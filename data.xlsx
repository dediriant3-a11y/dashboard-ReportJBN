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D:\HSI\"/>
    </mc:Choice>
  </mc:AlternateContent>
  <xr:revisionPtr revIDLastSave="0" documentId="13_ncr:1_{D10A3D8B-D95A-473C-8771-D097D6B90B46}" xr6:coauthVersionLast="47" xr6:coauthVersionMax="47" xr10:uidLastSave="{00000000-0000-0000-0000-000000000000}"/>
  <bookViews>
    <workbookView xWindow="-110" yWindow="-110" windowWidth="19420" windowHeight="10300" firstSheet="3" activeTab="3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Sheet3" sheetId="8" r:id="rId8"/>
    <sheet name="DATA DETAIL" sheetId="7" r:id="rId9"/>
    <sheet name="Sheet2" sheetId="9" r:id="rId10"/>
    <sheet name="Sheet5" sheetId="13" r:id="rId11"/>
  </sheets>
  <externalReferences>
    <externalReference r:id="rId12"/>
  </externalReferences>
  <definedNames>
    <definedName name="_xlnm._FilterDatabase" localSheetId="8" hidden="1">'DATA DETAIL'!$A$1:$BI$5978</definedName>
    <definedName name="_xlnm._FilterDatabase" localSheetId="10" hidden="1">Sheet5!$A$1:$J$270</definedName>
  </definedNames>
  <calcPr calcId="191029"/>
  <pivotCaches>
    <pivotCache cacheId="103" r:id="rId13"/>
    <pivotCache cacheId="109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5" l="1"/>
  <c r="G6" i="8"/>
  <c r="G7" i="8"/>
  <c r="G8" i="8"/>
  <c r="G9" i="8"/>
  <c r="G10" i="8"/>
  <c r="G5" i="8"/>
  <c r="D56" i="3"/>
  <c r="E56" i="3"/>
  <c r="D82" i="4" s="1"/>
  <c r="F56" i="3"/>
  <c r="G56" i="3"/>
  <c r="H56" i="3"/>
  <c r="I56" i="3"/>
  <c r="F82" i="4" s="1"/>
  <c r="J56" i="3"/>
  <c r="J82" i="4" s="1"/>
  <c r="K56" i="3"/>
  <c r="K82" i="4" s="1"/>
  <c r="L56" i="3"/>
  <c r="L82" i="4" s="1"/>
  <c r="M56" i="3"/>
  <c r="N56" i="3"/>
  <c r="O56" i="3"/>
  <c r="P56" i="3"/>
  <c r="M82" i="4" s="1"/>
  <c r="Q56" i="3"/>
  <c r="R56" i="3"/>
  <c r="S56" i="3"/>
  <c r="T56" i="3"/>
  <c r="U56" i="3"/>
  <c r="V56" i="3"/>
  <c r="W56" i="3"/>
  <c r="X56" i="3"/>
  <c r="N82" i="4" s="1"/>
  <c r="Y56" i="3"/>
  <c r="O82" i="4" s="1"/>
  <c r="Z56" i="3"/>
  <c r="P82" i="4" s="1"/>
  <c r="AA56" i="3"/>
  <c r="G82" i="4" s="1"/>
  <c r="AB56" i="3"/>
  <c r="AC56" i="3"/>
  <c r="AD56" i="3"/>
  <c r="AE56" i="3"/>
  <c r="AF56" i="3"/>
  <c r="I82" i="4" s="1"/>
  <c r="AG56" i="3"/>
  <c r="AH56" i="3"/>
  <c r="AI56" i="3"/>
  <c r="E23" i="3"/>
  <c r="D49" i="4" s="1"/>
  <c r="F23" i="3"/>
  <c r="G23" i="3"/>
  <c r="H23" i="3"/>
  <c r="I23" i="3"/>
  <c r="F49" i="4" s="1"/>
  <c r="J23" i="3"/>
  <c r="J49" i="4" s="1"/>
  <c r="K23" i="3"/>
  <c r="K49" i="4" s="1"/>
  <c r="L23" i="3"/>
  <c r="L49" i="4" s="1"/>
  <c r="E24" i="3"/>
  <c r="D50" i="4" s="1"/>
  <c r="F24" i="3"/>
  <c r="G24" i="3"/>
  <c r="H24" i="3"/>
  <c r="I24" i="3"/>
  <c r="F50" i="4" s="1"/>
  <c r="J24" i="3"/>
  <c r="J50" i="4" s="1"/>
  <c r="K24" i="3"/>
  <c r="K50" i="4" s="1"/>
  <c r="L24" i="3"/>
  <c r="L50" i="4" s="1"/>
  <c r="E25" i="3"/>
  <c r="D51" i="4" s="1"/>
  <c r="F25" i="3"/>
  <c r="G25" i="3"/>
  <c r="H25" i="3"/>
  <c r="I25" i="3"/>
  <c r="F51" i="4" s="1"/>
  <c r="J25" i="3"/>
  <c r="J51" i="4" s="1"/>
  <c r="K25" i="3"/>
  <c r="K51" i="4" s="1"/>
  <c r="L25" i="3"/>
  <c r="L51" i="4" s="1"/>
  <c r="E26" i="3"/>
  <c r="D52" i="4" s="1"/>
  <c r="F26" i="3"/>
  <c r="G26" i="3"/>
  <c r="H26" i="3"/>
  <c r="E52" i="4" s="1"/>
  <c r="I26" i="3"/>
  <c r="F52" i="4" s="1"/>
  <c r="J26" i="3"/>
  <c r="J52" i="4" s="1"/>
  <c r="K26" i="3"/>
  <c r="K52" i="4" s="1"/>
  <c r="L26" i="3"/>
  <c r="L52" i="4" s="1"/>
  <c r="E8" i="3"/>
  <c r="D34" i="4" s="1"/>
  <c r="E9" i="3"/>
  <c r="D35" i="4" s="1"/>
  <c r="E10" i="3"/>
  <c r="D36" i="4" s="1"/>
  <c r="E11" i="3"/>
  <c r="D37" i="4" s="1"/>
  <c r="E12" i="3"/>
  <c r="D38" i="4" s="1"/>
  <c r="E13" i="3"/>
  <c r="D39" i="4" s="1"/>
  <c r="E14" i="3"/>
  <c r="D40" i="4" s="1"/>
  <c r="E15" i="3"/>
  <c r="D41" i="4" s="1"/>
  <c r="E16" i="3"/>
  <c r="D42" i="4" s="1"/>
  <c r="D8" i="3"/>
  <c r="D7" i="3"/>
  <c r="E7" i="3"/>
  <c r="D33" i="4" s="1"/>
  <c r="F7" i="3"/>
  <c r="G52" i="8"/>
  <c r="G53" i="8"/>
  <c r="G54" i="8"/>
  <c r="G55" i="8"/>
  <c r="G56" i="8"/>
  <c r="G57" i="8"/>
  <c r="G58" i="8"/>
  <c r="G59" i="8"/>
  <c r="E50" i="4" l="1"/>
  <c r="E49" i="4"/>
  <c r="E51" i="4"/>
  <c r="E82" i="4"/>
  <c r="H82" i="4"/>
  <c r="C2" i="17"/>
  <c r="C1" i="15"/>
  <c r="C3" i="17"/>
  <c r="C11" i="17"/>
  <c r="C10" i="17"/>
  <c r="C9" i="17"/>
  <c r="C8" i="17"/>
  <c r="C7" i="17"/>
  <c r="C6" i="17"/>
  <c r="B23" i="15" l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K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" i="7"/>
  <c r="BG2" i="7" s="1"/>
  <c r="BH2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3" i="7"/>
  <c r="BG3" i="7" s="1"/>
  <c r="BH3" i="7" s="1"/>
  <c r="BF48" i="7"/>
  <c r="BG48" i="7" s="1"/>
  <c r="BH48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49" i="7"/>
  <c r="BG49" i="7" s="1"/>
  <c r="BH49" i="7" s="1"/>
  <c r="BF148" i="7"/>
  <c r="BG148" i="7" s="1"/>
  <c r="BH148" i="7" s="1"/>
  <c r="BF50" i="7"/>
  <c r="BG50" i="7" s="1"/>
  <c r="BH50" i="7" s="1"/>
  <c r="BF149" i="7"/>
  <c r="BG149" i="7" s="1"/>
  <c r="BH149" i="7" s="1"/>
  <c r="BF51" i="7"/>
  <c r="BG51" i="7" s="1"/>
  <c r="BH51" i="7" s="1"/>
  <c r="BF52" i="7"/>
  <c r="BG52" i="7" s="1"/>
  <c r="BH52" i="7" s="1"/>
  <c r="BF150" i="7"/>
  <c r="BG150" i="7" s="1"/>
  <c r="BH150" i="7" s="1"/>
  <c r="BF53" i="7"/>
  <c r="BG53" i="7" s="1"/>
  <c r="BH53" i="7" s="1"/>
  <c r="BF151" i="7"/>
  <c r="BG151" i="7" s="1"/>
  <c r="BH151" i="7" s="1"/>
  <c r="BF54" i="7"/>
  <c r="BG54" i="7" s="1"/>
  <c r="BH54" i="7" s="1"/>
  <c r="BF55" i="7"/>
  <c r="BG55" i="7" s="1"/>
  <c r="BH55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156" i="7"/>
  <c r="BG156" i="7" s="1"/>
  <c r="BH156" i="7" s="1"/>
  <c r="BF157" i="7"/>
  <c r="BG157" i="7" s="1"/>
  <c r="BH157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158" i="7"/>
  <c r="BG158" i="7" s="1"/>
  <c r="BH158" i="7" s="1"/>
  <c r="BF65" i="7"/>
  <c r="BG65" i="7" s="1"/>
  <c r="BH65" i="7" s="1"/>
  <c r="BF159" i="7"/>
  <c r="BG159" i="7" s="1"/>
  <c r="BH159" i="7" s="1"/>
  <c r="BF160" i="7"/>
  <c r="BG160" i="7" s="1"/>
  <c r="BH160" i="7" s="1"/>
  <c r="BF161" i="7"/>
  <c r="BG161" i="7" s="1"/>
  <c r="BH161" i="7" s="1"/>
  <c r="BF66" i="7"/>
  <c r="BG66" i="7" s="1"/>
  <c r="BH66" i="7" s="1"/>
  <c r="BF67" i="7"/>
  <c r="BG67" i="7" s="1"/>
  <c r="BH67" i="7" s="1"/>
  <c r="BF162" i="7"/>
  <c r="BG162" i="7" s="1"/>
  <c r="BH162" i="7" s="1"/>
  <c r="BF163" i="7"/>
  <c r="BG163" i="7" s="1"/>
  <c r="BH163" i="7" s="1"/>
  <c r="BF164" i="7"/>
  <c r="BG164" i="7" s="1"/>
  <c r="BH164" i="7" s="1"/>
  <c r="BF68" i="7"/>
  <c r="BG68" i="7" s="1"/>
  <c r="BH68" i="7" s="1"/>
  <c r="BF69" i="7"/>
  <c r="BG69" i="7" s="1"/>
  <c r="BH69" i="7" s="1"/>
  <c r="BF70" i="7"/>
  <c r="BG70" i="7" s="1"/>
  <c r="BH70" i="7" s="1"/>
  <c r="BF165" i="7"/>
  <c r="BG165" i="7" s="1"/>
  <c r="BH165" i="7" s="1"/>
  <c r="BF166" i="7"/>
  <c r="BG166" i="7" s="1"/>
  <c r="BH166" i="7" s="1"/>
  <c r="BF167" i="7"/>
  <c r="BG167" i="7" s="1"/>
  <c r="BH167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168" i="7"/>
  <c r="BG168" i="7" s="1"/>
  <c r="BH168" i="7" s="1"/>
  <c r="BF76" i="7"/>
  <c r="BG76" i="7" s="1"/>
  <c r="BH76" i="7" s="1"/>
  <c r="BF169" i="7"/>
  <c r="BG169" i="7" s="1"/>
  <c r="BH169" i="7" s="1"/>
  <c r="BF170" i="7"/>
  <c r="BG170" i="7" s="1"/>
  <c r="BH170" i="7" s="1"/>
  <c r="BF171" i="7"/>
  <c r="BG171" i="7" s="1"/>
  <c r="BH171" i="7" s="1"/>
  <c r="BF77" i="7"/>
  <c r="BG77" i="7" s="1"/>
  <c r="BH77" i="7" s="1"/>
  <c r="BF172" i="7"/>
  <c r="BG172" i="7" s="1"/>
  <c r="BH172" i="7" s="1"/>
  <c r="BF78" i="7"/>
  <c r="BG78" i="7" s="1"/>
  <c r="BH78" i="7" s="1"/>
  <c r="BF173" i="7"/>
  <c r="BG173" i="7" s="1"/>
  <c r="BH173" i="7" s="1"/>
  <c r="BF79" i="7"/>
  <c r="BG79" i="7" s="1"/>
  <c r="BH79" i="7" s="1"/>
  <c r="BF80" i="7"/>
  <c r="BG80" i="7" s="1"/>
  <c r="BH80" i="7" s="1"/>
  <c r="BF174" i="7"/>
  <c r="BG174" i="7" s="1"/>
  <c r="BH174" i="7" s="1"/>
  <c r="BF81" i="7"/>
  <c r="BG81" i="7" s="1"/>
  <c r="BH81" i="7" s="1"/>
  <c r="BF82" i="7"/>
  <c r="BG82" i="7" s="1"/>
  <c r="BH82" i="7" s="1"/>
  <c r="BF175" i="7"/>
  <c r="BG175" i="7" s="1"/>
  <c r="BH175" i="7" s="1"/>
  <c r="BF176" i="7"/>
  <c r="BG176" i="7" s="1"/>
  <c r="BH176" i="7" s="1"/>
  <c r="BF83" i="7"/>
  <c r="BG83" i="7" s="1"/>
  <c r="BH83" i="7" s="1"/>
  <c r="BF177" i="7"/>
  <c r="BG177" i="7" s="1"/>
  <c r="BH177" i="7" s="1"/>
  <c r="BF84" i="7"/>
  <c r="BG84" i="7" s="1"/>
  <c r="BH84" i="7" s="1"/>
  <c r="BF85" i="7"/>
  <c r="BG85" i="7" s="1"/>
  <c r="BH85" i="7" s="1"/>
  <c r="BF86" i="7"/>
  <c r="BG86" i="7" s="1"/>
  <c r="BH86" i="7" s="1"/>
  <c r="BF178" i="7"/>
  <c r="BG178" i="7" s="1"/>
  <c r="BH178" i="7" s="1"/>
  <c r="BF179" i="7"/>
  <c r="BG179" i="7" s="1"/>
  <c r="BH179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180" i="7"/>
  <c r="BG180" i="7" s="1"/>
  <c r="BH180" i="7" s="1"/>
  <c r="BF181" i="7"/>
  <c r="BG181" i="7" s="1"/>
  <c r="BH181" i="7" s="1"/>
  <c r="BF91" i="7"/>
  <c r="BG91" i="7" s="1"/>
  <c r="BH91" i="7" s="1"/>
  <c r="BF182" i="7"/>
  <c r="BG182" i="7" s="1"/>
  <c r="BH182" i="7" s="1"/>
  <c r="BF183" i="7"/>
  <c r="BG183" i="7" s="1"/>
  <c r="BH183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184" i="7"/>
  <c r="BG184" i="7" s="1"/>
  <c r="BH184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85" i="7"/>
  <c r="BG185" i="7" s="1"/>
  <c r="BH185" i="7" s="1"/>
  <c r="BF104" i="7"/>
  <c r="BG104" i="7" s="1"/>
  <c r="BH104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05" i="7"/>
  <c r="BG105" i="7" s="1"/>
  <c r="BH105" i="7" s="1"/>
  <c r="BF106" i="7"/>
  <c r="BG106" i="7" s="1"/>
  <c r="BH106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287" i="7"/>
  <c r="BG287" i="7" s="1"/>
  <c r="BH287" i="7" s="1"/>
  <c r="BF107" i="7"/>
  <c r="BG107" i="7" s="1"/>
  <c r="BH107" i="7" s="1"/>
  <c r="BF196" i="7"/>
  <c r="BG196" i="7" s="1"/>
  <c r="BH196" i="7" s="1"/>
  <c r="BF197" i="7"/>
  <c r="BG197" i="7" s="1"/>
  <c r="BH197" i="7" s="1"/>
  <c r="BF198" i="7"/>
  <c r="BG198" i="7" s="1"/>
  <c r="BH198" i="7" s="1"/>
  <c r="BF288" i="7"/>
  <c r="BG288" i="7" s="1"/>
  <c r="BH28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89" i="7"/>
  <c r="BG289" i="7" s="1"/>
  <c r="BH289" i="7" s="1"/>
  <c r="BF290" i="7"/>
  <c r="BG290" i="7" s="1"/>
  <c r="BH290" i="7" s="1"/>
  <c r="BF108" i="7"/>
  <c r="BG108" i="7" s="1"/>
  <c r="BH108" i="7" s="1"/>
  <c r="BF203" i="7"/>
  <c r="BG203" i="7" s="1"/>
  <c r="BH203" i="7" s="1"/>
  <c r="BF291" i="7"/>
  <c r="BG291" i="7" s="1"/>
  <c r="BH291" i="7" s="1"/>
  <c r="BF292" i="7"/>
  <c r="BG292" i="7" s="1"/>
  <c r="BH292" i="7" s="1"/>
  <c r="BF109" i="7"/>
  <c r="BG109" i="7" s="1"/>
  <c r="BH109" i="7" s="1"/>
  <c r="BF204" i="7"/>
  <c r="BG204" i="7" s="1"/>
  <c r="BH204" i="7" s="1"/>
  <c r="BF293" i="7"/>
  <c r="BG293" i="7" s="1"/>
  <c r="BH293" i="7" s="1"/>
  <c r="BF205" i="7"/>
  <c r="BG205" i="7" s="1"/>
  <c r="BH205" i="7" s="1"/>
  <c r="BF206" i="7"/>
  <c r="BF110" i="7"/>
  <c r="BG110" i="7" s="1"/>
  <c r="BH110" i="7" s="1"/>
  <c r="BF294" i="7"/>
  <c r="BG294" i="7" s="1"/>
  <c r="BH294" i="7" s="1"/>
  <c r="BF207" i="7"/>
  <c r="BG207" i="7" s="1"/>
  <c r="BH207" i="7" s="1"/>
  <c r="BF208" i="7"/>
  <c r="BG208" i="7" s="1"/>
  <c r="BH208" i="7" s="1"/>
  <c r="BF295" i="7"/>
  <c r="BG295" i="7" s="1"/>
  <c r="BH295" i="7" s="1"/>
  <c r="BF296" i="7"/>
  <c r="BG296" i="7" s="1"/>
  <c r="BH296" i="7" s="1"/>
  <c r="BF297" i="7"/>
  <c r="BG297" i="7" s="1"/>
  <c r="BH297" i="7" s="1"/>
  <c r="BF209" i="7"/>
  <c r="BG209" i="7" s="1"/>
  <c r="BH209" i="7" s="1"/>
  <c r="BF298" i="7"/>
  <c r="BG298" i="7" s="1"/>
  <c r="BH298" i="7" s="1"/>
  <c r="BF111" i="7"/>
  <c r="BG111" i="7" s="1"/>
  <c r="BH111" i="7" s="1"/>
  <c r="BF210" i="7"/>
  <c r="BG210" i="7" s="1"/>
  <c r="BH210" i="7" s="1"/>
  <c r="BF211" i="7"/>
  <c r="BG211" i="7" s="1"/>
  <c r="BH211" i="7" s="1"/>
  <c r="BF112" i="7"/>
  <c r="BG112" i="7" s="1"/>
  <c r="BH112" i="7" s="1"/>
  <c r="BF212" i="7"/>
  <c r="BG212" i="7" s="1"/>
  <c r="BH212" i="7" s="1"/>
  <c r="BF299" i="7"/>
  <c r="BG299" i="7" s="1"/>
  <c r="BH299" i="7" s="1"/>
  <c r="BF113" i="7"/>
  <c r="BG113" i="7" s="1"/>
  <c r="BH113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300" i="7"/>
  <c r="BG300" i="7" s="1"/>
  <c r="BH300" i="7" s="1"/>
  <c r="BF225" i="7"/>
  <c r="BG225" i="7" s="1"/>
  <c r="BH225" i="7" s="1"/>
  <c r="BF226" i="7"/>
  <c r="BG226" i="7" s="1"/>
  <c r="BH226" i="7" s="1"/>
  <c r="BF301" i="7"/>
  <c r="BG301" i="7" s="1"/>
  <c r="BH301" i="7" s="1"/>
  <c r="BF227" i="7"/>
  <c r="BG227" i="7" s="1"/>
  <c r="BH227" i="7" s="1"/>
  <c r="BF114" i="7"/>
  <c r="BG114" i="7" s="1"/>
  <c r="BH114" i="7" s="1"/>
  <c r="BF115" i="7"/>
  <c r="BG115" i="7" s="1"/>
  <c r="BH115" i="7" s="1"/>
  <c r="BF302" i="7"/>
  <c r="BG302" i="7" s="1"/>
  <c r="BH302" i="7" s="1"/>
  <c r="BF116" i="7"/>
  <c r="BG116" i="7" s="1"/>
  <c r="BH116" i="7" s="1"/>
  <c r="BF228" i="7"/>
  <c r="BG228" i="7" s="1"/>
  <c r="BH228" i="7" s="1"/>
  <c r="BF303" i="7"/>
  <c r="BG303" i="7" s="1"/>
  <c r="BH303" i="7" s="1"/>
  <c r="BF304" i="7"/>
  <c r="BG304" i="7" s="1"/>
  <c r="BH304" i="7" s="1"/>
  <c r="BF229" i="7"/>
  <c r="BG229" i="7" s="1"/>
  <c r="BH229" i="7" s="1"/>
  <c r="BF230" i="7"/>
  <c r="BG230" i="7" s="1"/>
  <c r="BH230" i="7" s="1"/>
  <c r="BF231" i="7"/>
  <c r="BG231" i="7" s="1"/>
  <c r="BH231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305" i="7"/>
  <c r="BG305" i="7" s="1"/>
  <c r="BH305" i="7" s="1"/>
  <c r="BF232" i="7"/>
  <c r="BG232" i="7" s="1"/>
  <c r="BH232" i="7" s="1"/>
  <c r="BF233" i="7"/>
  <c r="BG233" i="7" s="1"/>
  <c r="BH233" i="7" s="1"/>
  <c r="BF234" i="7"/>
  <c r="BG234" i="7" s="1"/>
  <c r="BH234" i="7" s="1"/>
  <c r="BF306" i="7"/>
  <c r="BG306" i="7" s="1"/>
  <c r="BH306" i="7" s="1"/>
  <c r="BF235" i="7"/>
  <c r="BG235" i="7" s="1"/>
  <c r="BH235" i="7" s="1"/>
  <c r="BF236" i="7"/>
  <c r="BG236" i="7" s="1"/>
  <c r="BH236" i="7" s="1"/>
  <c r="BF237" i="7"/>
  <c r="BG237" i="7" s="1"/>
  <c r="BH237" i="7" s="1"/>
  <c r="BF307" i="7"/>
  <c r="BG307" i="7" s="1"/>
  <c r="BH307" i="7" s="1"/>
  <c r="BF238" i="7"/>
  <c r="BG238" i="7" s="1"/>
  <c r="BH238" i="7" s="1"/>
  <c r="BF239" i="7"/>
  <c r="BG239" i="7" s="1"/>
  <c r="BH239" i="7" s="1"/>
  <c r="BF121" i="7"/>
  <c r="BG121" i="7" s="1"/>
  <c r="BH121" i="7" s="1"/>
  <c r="BF240" i="7"/>
  <c r="BG240" i="7" s="1"/>
  <c r="BH240" i="7" s="1"/>
  <c r="BF241" i="7"/>
  <c r="BG241" i="7" s="1"/>
  <c r="BH241" i="7" s="1"/>
  <c r="BF308" i="7"/>
  <c r="BG308" i="7" s="1"/>
  <c r="BH308" i="7" s="1"/>
  <c r="BF242" i="7"/>
  <c r="BG242" i="7" s="1"/>
  <c r="BH242" i="7" s="1"/>
  <c r="BF309" i="7"/>
  <c r="BG309" i="7" s="1"/>
  <c r="BH309" i="7" s="1"/>
  <c r="BF243" i="7"/>
  <c r="BG243" i="7" s="1"/>
  <c r="BH243" i="7" s="1"/>
  <c r="BF310" i="7"/>
  <c r="BG310" i="7" s="1"/>
  <c r="BH310" i="7" s="1"/>
  <c r="BF244" i="7"/>
  <c r="BG244" i="7" s="1"/>
  <c r="BH244" i="7" s="1"/>
  <c r="BF391" i="7"/>
  <c r="BG391" i="7" s="1"/>
  <c r="BH391" i="7" s="1"/>
  <c r="BF392" i="7"/>
  <c r="BG392" i="7" s="1"/>
  <c r="BH392" i="7" s="1"/>
  <c r="BF393" i="7"/>
  <c r="BG393" i="7" s="1"/>
  <c r="BH393" i="7" s="1"/>
  <c r="BF311" i="7"/>
  <c r="BG311" i="7" s="1"/>
  <c r="BH311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12" i="7"/>
  <c r="BG312" i="7" s="1"/>
  <c r="BH312" i="7" s="1"/>
  <c r="BF399" i="7"/>
  <c r="BG399" i="7" s="1"/>
  <c r="BH399" i="7" s="1"/>
  <c r="BF400" i="7"/>
  <c r="BG400" i="7" s="1"/>
  <c r="BH400" i="7" s="1"/>
  <c r="BF401" i="7"/>
  <c r="BG401" i="7" s="1"/>
  <c r="BH401" i="7" s="1"/>
  <c r="BF313" i="7"/>
  <c r="BG313" i="7" s="1"/>
  <c r="BH313" i="7" s="1"/>
  <c r="BF314" i="7"/>
  <c r="BG314" i="7" s="1"/>
  <c r="BH314" i="7" s="1"/>
  <c r="BF315" i="7"/>
  <c r="BG315" i="7" s="1"/>
  <c r="BH315" i="7" s="1"/>
  <c r="BF402" i="7"/>
  <c r="BG402" i="7" s="1"/>
  <c r="BH402" i="7" s="1"/>
  <c r="BF245" i="7"/>
  <c r="BG245" i="7" s="1"/>
  <c r="BH245" i="7" s="1"/>
  <c r="BF316" i="7"/>
  <c r="BG316" i="7" s="1"/>
  <c r="BH316" i="7" s="1"/>
  <c r="BF403" i="7"/>
  <c r="BG403" i="7" s="1"/>
  <c r="BH403" i="7" s="1"/>
  <c r="BF317" i="7"/>
  <c r="BG317" i="7" s="1"/>
  <c r="BH317" i="7" s="1"/>
  <c r="BF318" i="7"/>
  <c r="BG318" i="7" s="1"/>
  <c r="BH318" i="7" s="1"/>
  <c r="BF319" i="7"/>
  <c r="BG319" i="7" s="1"/>
  <c r="BH319" i="7" s="1"/>
  <c r="BF246" i="7"/>
  <c r="BG246" i="7" s="1"/>
  <c r="BH246" i="7" s="1"/>
  <c r="BF404" i="7"/>
  <c r="BG404" i="7" s="1"/>
  <c r="BH404" i="7" s="1"/>
  <c r="BF320" i="7"/>
  <c r="BG320" i="7" s="1"/>
  <c r="BH320" i="7" s="1"/>
  <c r="BF247" i="7"/>
  <c r="BG247" i="7" s="1"/>
  <c r="BH247" i="7" s="1"/>
  <c r="BF405" i="7"/>
  <c r="BG405" i="7" s="1"/>
  <c r="BH405" i="7" s="1"/>
  <c r="BF321" i="7"/>
  <c r="BG321" i="7" s="1"/>
  <c r="BH321" i="7" s="1"/>
  <c r="BF248" i="7"/>
  <c r="BG248" i="7" s="1"/>
  <c r="BH248" i="7" s="1"/>
  <c r="BF406" i="7"/>
  <c r="BG406" i="7" s="1"/>
  <c r="BH406" i="7" s="1"/>
  <c r="BF407" i="7"/>
  <c r="BG407" i="7" s="1"/>
  <c r="BH407" i="7" s="1"/>
  <c r="BF122" i="7"/>
  <c r="BG122" i="7" s="1"/>
  <c r="BH122" i="7" s="1"/>
  <c r="BF408" i="7"/>
  <c r="BG408" i="7" s="1"/>
  <c r="BH408" i="7" s="1"/>
  <c r="BF249" i="7"/>
  <c r="BG249" i="7" s="1"/>
  <c r="BH249" i="7" s="1"/>
  <c r="BF322" i="7"/>
  <c r="BG322" i="7" s="1"/>
  <c r="BH322" i="7" s="1"/>
  <c r="BF323" i="7"/>
  <c r="BG323" i="7" s="1"/>
  <c r="BH323" i="7" s="1"/>
  <c r="BF324" i="7"/>
  <c r="BG324" i="7" s="1"/>
  <c r="BH324" i="7" s="1"/>
  <c r="BF250" i="7"/>
  <c r="BG250" i="7" s="1"/>
  <c r="BH250" i="7" s="1"/>
  <c r="BF251" i="7"/>
  <c r="BG251" i="7" s="1"/>
  <c r="BH251" i="7" s="1"/>
  <c r="BF252" i="7"/>
  <c r="BG252" i="7" s="1"/>
  <c r="BH252" i="7" s="1"/>
  <c r="BF409" i="7"/>
  <c r="BG409" i="7" s="1"/>
  <c r="BH409" i="7" s="1"/>
  <c r="BF123" i="7"/>
  <c r="BG123" i="7" s="1"/>
  <c r="BH123" i="7" s="1"/>
  <c r="BF325" i="7"/>
  <c r="BG325" i="7" s="1"/>
  <c r="BH325" i="7" s="1"/>
  <c r="BF326" i="7"/>
  <c r="BG326" i="7" s="1"/>
  <c r="BH326" i="7" s="1"/>
  <c r="BF253" i="7"/>
  <c r="BG253" i="7" s="1"/>
  <c r="BH253" i="7" s="1"/>
  <c r="BF124" i="7"/>
  <c r="BG124" i="7" s="1"/>
  <c r="BH124" i="7" s="1"/>
  <c r="BF327" i="7"/>
  <c r="BG327" i="7" s="1"/>
  <c r="BH327" i="7" s="1"/>
  <c r="BF410" i="7"/>
  <c r="BG410" i="7" s="1"/>
  <c r="BH410" i="7" s="1"/>
  <c r="BF411" i="7"/>
  <c r="BG411" i="7" s="1"/>
  <c r="BH411" i="7" s="1"/>
  <c r="BF328" i="7"/>
  <c r="BG328" i="7" s="1"/>
  <c r="BH328" i="7" s="1"/>
  <c r="BF254" i="7"/>
  <c r="BG254" i="7" s="1"/>
  <c r="BH254" i="7" s="1"/>
  <c r="BF412" i="7"/>
  <c r="BG412" i="7" s="1"/>
  <c r="BH412" i="7" s="1"/>
  <c r="BF255" i="7"/>
  <c r="BG255" i="7" s="1"/>
  <c r="BH255" i="7" s="1"/>
  <c r="BF413" i="7"/>
  <c r="BG413" i="7" s="1"/>
  <c r="BH413" i="7" s="1"/>
  <c r="BF414" i="7"/>
  <c r="BG414" i="7" s="1"/>
  <c r="BH414" i="7" s="1"/>
  <c r="BF415" i="7"/>
  <c r="BG415" i="7" s="1"/>
  <c r="BH415" i="7" s="1"/>
  <c r="BF256" i="7"/>
  <c r="BG256" i="7" s="1"/>
  <c r="BH256" i="7" s="1"/>
  <c r="BF125" i="7"/>
  <c r="BG125" i="7" s="1"/>
  <c r="BH125" i="7" s="1"/>
  <c r="BF329" i="7"/>
  <c r="BG329" i="7" s="1"/>
  <c r="BH329" i="7" s="1"/>
  <c r="BF330" i="7"/>
  <c r="BG330" i="7" s="1"/>
  <c r="BH330" i="7" s="1"/>
  <c r="BF416" i="7"/>
  <c r="BG416" i="7" s="1"/>
  <c r="BH416" i="7" s="1"/>
  <c r="BF257" i="7"/>
  <c r="BG257" i="7" s="1"/>
  <c r="BH257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331" i="7"/>
  <c r="BG331" i="7" s="1"/>
  <c r="BH331" i="7" s="1"/>
  <c r="BF258" i="7"/>
  <c r="BG258" i="7" s="1"/>
  <c r="BH258" i="7" s="1"/>
  <c r="BF332" i="7"/>
  <c r="BG332" i="7" s="1"/>
  <c r="BH332" i="7" s="1"/>
  <c r="BF333" i="7"/>
  <c r="BG333" i="7" s="1"/>
  <c r="BH333" i="7" s="1"/>
  <c r="BF424" i="7"/>
  <c r="BG424" i="7" s="1"/>
  <c r="BH424" i="7" s="1"/>
  <c r="BF425" i="7"/>
  <c r="BG425" i="7" s="1"/>
  <c r="BH425" i="7" s="1"/>
  <c r="BF426" i="7"/>
  <c r="BG426" i="7" s="1"/>
  <c r="BH426" i="7" s="1"/>
  <c r="BF126" i="7"/>
  <c r="BG126" i="7" s="1"/>
  <c r="BH126" i="7" s="1"/>
  <c r="BF427" i="7"/>
  <c r="BG427" i="7" s="1"/>
  <c r="BH427" i="7" s="1"/>
  <c r="BF259" i="7"/>
  <c r="BG259" i="7" s="1"/>
  <c r="BH259" i="7" s="1"/>
  <c r="BF334" i="7"/>
  <c r="BG334" i="7" s="1"/>
  <c r="BH334" i="7" s="1"/>
  <c r="BF127" i="7"/>
  <c r="BG127" i="7" s="1"/>
  <c r="BH127" i="7" s="1"/>
  <c r="BF128" i="7"/>
  <c r="BG128" i="7" s="1"/>
  <c r="BH128" i="7" s="1"/>
  <c r="BF428" i="7"/>
  <c r="BG428" i="7" s="1"/>
  <c r="BH428" i="7" s="1"/>
  <c r="BF129" i="7"/>
  <c r="BG129" i="7" s="1"/>
  <c r="BH129" i="7" s="1"/>
  <c r="BF335" i="7"/>
  <c r="BG335" i="7" s="1"/>
  <c r="BH335" i="7" s="1"/>
  <c r="BF336" i="7"/>
  <c r="BG336" i="7" s="1"/>
  <c r="BH336" i="7" s="1"/>
  <c r="BF429" i="7"/>
  <c r="BG429" i="7" s="1"/>
  <c r="BH429" i="7" s="1"/>
  <c r="BF337" i="7"/>
  <c r="BG337" i="7" s="1"/>
  <c r="BH337" i="7" s="1"/>
  <c r="BF338" i="7"/>
  <c r="BG338" i="7" s="1"/>
  <c r="BH338" i="7" s="1"/>
  <c r="BF430" i="7"/>
  <c r="BG430" i="7" s="1"/>
  <c r="BH430" i="7" s="1"/>
  <c r="BF431" i="7"/>
  <c r="BG431" i="7" s="1"/>
  <c r="BH431" i="7" s="1"/>
  <c r="BF130" i="7"/>
  <c r="BG130" i="7" s="1"/>
  <c r="BH130" i="7" s="1"/>
  <c r="BF432" i="7"/>
  <c r="BG432" i="7" s="1"/>
  <c r="BH432" i="7" s="1"/>
  <c r="BF260" i="7"/>
  <c r="BG260" i="7" s="1"/>
  <c r="BH260" i="7" s="1"/>
  <c r="BF433" i="7"/>
  <c r="BG433" i="7" s="1"/>
  <c r="BH433" i="7" s="1"/>
  <c r="BF261" i="7"/>
  <c r="BG261" i="7" s="1"/>
  <c r="BH261" i="7" s="1"/>
  <c r="BF262" i="7"/>
  <c r="BG262" i="7" s="1"/>
  <c r="BH262" i="7" s="1"/>
  <c r="BF131" i="7"/>
  <c r="BG131" i="7" s="1"/>
  <c r="BH131" i="7" s="1"/>
  <c r="BF434" i="7"/>
  <c r="BG434" i="7" s="1"/>
  <c r="BH434" i="7" s="1"/>
  <c r="BF435" i="7"/>
  <c r="BG435" i="7" s="1"/>
  <c r="BH435" i="7" s="1"/>
  <c r="BF436" i="7"/>
  <c r="BG436" i="7" s="1"/>
  <c r="BH436" i="7" s="1"/>
  <c r="BF339" i="7"/>
  <c r="BG339" i="7" s="1"/>
  <c r="BH339" i="7" s="1"/>
  <c r="BF437" i="7"/>
  <c r="BG437" i="7" s="1"/>
  <c r="BH437" i="7" s="1"/>
  <c r="BF340" i="7"/>
  <c r="BG340" i="7" s="1"/>
  <c r="BH340" i="7" s="1"/>
  <c r="BF263" i="7"/>
  <c r="BG263" i="7" s="1"/>
  <c r="BH263" i="7" s="1"/>
  <c r="BF341" i="7"/>
  <c r="BG341" i="7" s="1"/>
  <c r="BH341" i="7" s="1"/>
  <c r="BF342" i="7"/>
  <c r="BG342" i="7" s="1"/>
  <c r="BH342" i="7" s="1"/>
  <c r="BF343" i="7"/>
  <c r="BG343" i="7" s="1"/>
  <c r="BH343" i="7" s="1"/>
  <c r="BF438" i="7"/>
  <c r="BG438" i="7" s="1"/>
  <c r="BH438" i="7" s="1"/>
  <c r="BF344" i="7"/>
  <c r="BG344" i="7" s="1"/>
  <c r="BH344" i="7" s="1"/>
  <c r="BF345" i="7"/>
  <c r="BG345" i="7" s="1"/>
  <c r="BH345" i="7" s="1"/>
  <c r="BF346" i="7"/>
  <c r="BG346" i="7" s="1"/>
  <c r="BH346" i="7" s="1"/>
  <c r="BF439" i="7"/>
  <c r="BG439" i="7" s="1"/>
  <c r="BH439" i="7" s="1"/>
  <c r="BF347" i="7"/>
  <c r="BG347" i="7" s="1"/>
  <c r="BH347" i="7" s="1"/>
  <c r="BF348" i="7"/>
  <c r="BG348" i="7" s="1"/>
  <c r="BH348" i="7" s="1"/>
  <c r="BF264" i="7"/>
  <c r="BG264" i="7" s="1"/>
  <c r="BH264" i="7" s="1"/>
  <c r="BF440" i="7"/>
  <c r="BG440" i="7" s="1"/>
  <c r="BH440" i="7" s="1"/>
  <c r="BF549" i="7"/>
  <c r="BG549" i="7" s="1"/>
  <c r="BH549" i="7" s="1"/>
  <c r="BF349" i="7"/>
  <c r="BG349" i="7" s="1"/>
  <c r="BH349" i="7" s="1"/>
  <c r="BF441" i="7"/>
  <c r="BG441" i="7" s="1"/>
  <c r="BH441" i="7" s="1"/>
  <c r="BF442" i="7"/>
  <c r="BG442" i="7" s="1"/>
  <c r="BH442" i="7" s="1"/>
  <c r="BF443" i="7"/>
  <c r="BG443" i="7" s="1"/>
  <c r="BH443" i="7" s="1"/>
  <c r="BF550" i="7"/>
  <c r="BG550" i="7" s="1"/>
  <c r="BH550" i="7" s="1"/>
  <c r="BF444" i="7"/>
  <c r="BG444" i="7" s="1"/>
  <c r="BH444" i="7" s="1"/>
  <c r="BF445" i="7"/>
  <c r="BG445" i="7" s="1"/>
  <c r="BH445" i="7" s="1"/>
  <c r="BF551" i="7"/>
  <c r="BG551" i="7" s="1"/>
  <c r="BH551" i="7" s="1"/>
  <c r="BF446" i="7"/>
  <c r="BG446" i="7" s="1"/>
  <c r="BH446" i="7" s="1"/>
  <c r="BF552" i="7"/>
  <c r="BG552" i="7" s="1"/>
  <c r="BH552" i="7" s="1"/>
  <c r="BF265" i="7"/>
  <c r="BG265" i="7" s="1"/>
  <c r="BH265" i="7" s="1"/>
  <c r="BF553" i="7"/>
  <c r="BG553" i="7" s="1"/>
  <c r="BH553" i="7" s="1"/>
  <c r="BF266" i="7"/>
  <c r="BG266" i="7" s="1"/>
  <c r="BH266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447" i="7"/>
  <c r="BG447" i="7" s="1"/>
  <c r="BH447" i="7" s="1"/>
  <c r="BF350" i="7"/>
  <c r="BG350" i="7" s="1"/>
  <c r="BH350" i="7" s="1"/>
  <c r="BF448" i="7"/>
  <c r="BG448" i="7" s="1"/>
  <c r="BH448" i="7" s="1"/>
  <c r="BF559" i="7"/>
  <c r="BG559" i="7" s="1"/>
  <c r="BH559" i="7" s="1"/>
  <c r="BF560" i="7"/>
  <c r="BG560" i="7" s="1"/>
  <c r="BH560" i="7" s="1"/>
  <c r="BF351" i="7"/>
  <c r="BG351" i="7" s="1"/>
  <c r="BH351" i="7" s="1"/>
  <c r="BF449" i="7"/>
  <c r="BG449" i="7" s="1"/>
  <c r="BH449" i="7" s="1"/>
  <c r="BF450" i="7"/>
  <c r="BG450" i="7" s="1"/>
  <c r="BH450" i="7" s="1"/>
  <c r="BF267" i="7"/>
  <c r="BG267" i="7" s="1"/>
  <c r="BH267" i="7" s="1"/>
  <c r="BF451" i="7"/>
  <c r="BG451" i="7" s="1"/>
  <c r="BH451" i="7" s="1"/>
  <c r="BF452" i="7"/>
  <c r="BG452" i="7" s="1"/>
  <c r="BH452" i="7" s="1"/>
  <c r="BF561" i="7"/>
  <c r="BG561" i="7" s="1"/>
  <c r="BH561" i="7" s="1"/>
  <c r="BF453" i="7"/>
  <c r="BG453" i="7" s="1"/>
  <c r="BH453" i="7" s="1"/>
  <c r="BF454" i="7"/>
  <c r="BG454" i="7" s="1"/>
  <c r="BH454" i="7" s="1"/>
  <c r="BF455" i="7"/>
  <c r="BG455" i="7" s="1"/>
  <c r="BH455" i="7" s="1"/>
  <c r="BF562" i="7"/>
  <c r="BG562" i="7" s="1"/>
  <c r="BH562" i="7" s="1"/>
  <c r="BF563" i="7"/>
  <c r="BG563" i="7" s="1"/>
  <c r="BH563" i="7" s="1"/>
  <c r="BF456" i="7"/>
  <c r="BG456" i="7" s="1"/>
  <c r="BH456" i="7" s="1"/>
  <c r="BF457" i="7"/>
  <c r="BG457" i="7" s="1"/>
  <c r="BH457" i="7" s="1"/>
  <c r="BF132" i="7"/>
  <c r="BG132" i="7" s="1"/>
  <c r="BH132" i="7" s="1"/>
  <c r="BF458" i="7"/>
  <c r="BG458" i="7" s="1"/>
  <c r="BH458" i="7" s="1"/>
  <c r="BF352" i="7"/>
  <c r="BG352" i="7" s="1"/>
  <c r="BH352" i="7" s="1"/>
  <c r="BF459" i="7"/>
  <c r="BG459" i="7" s="1"/>
  <c r="BH459" i="7" s="1"/>
  <c r="BF460" i="7"/>
  <c r="BG460" i="7" s="1"/>
  <c r="BH460" i="7" s="1"/>
  <c r="BF353" i="7"/>
  <c r="BG353" i="7" s="1"/>
  <c r="BH353" i="7" s="1"/>
  <c r="BF461" i="7"/>
  <c r="BG461" i="7" s="1"/>
  <c r="BH461" i="7" s="1"/>
  <c r="BF564" i="7"/>
  <c r="BG564" i="7" s="1"/>
  <c r="BH564" i="7" s="1"/>
  <c r="BF462" i="7"/>
  <c r="BG462" i="7" s="1"/>
  <c r="BH462" i="7" s="1"/>
  <c r="BF354" i="7"/>
  <c r="BG354" i="7" s="1"/>
  <c r="BH354" i="7" s="1"/>
  <c r="BF463" i="7"/>
  <c r="BG463" i="7" s="1"/>
  <c r="BH463" i="7" s="1"/>
  <c r="BF565" i="7"/>
  <c r="BG565" i="7" s="1"/>
  <c r="BH565" i="7" s="1"/>
  <c r="BF566" i="7"/>
  <c r="BG566" i="7" s="1"/>
  <c r="BH566" i="7" s="1"/>
  <c r="BF133" i="7"/>
  <c r="BG133" i="7" s="1"/>
  <c r="BH133" i="7" s="1"/>
  <c r="BF355" i="7"/>
  <c r="BG355" i="7" s="1"/>
  <c r="BH355" i="7" s="1"/>
  <c r="BF464" i="7"/>
  <c r="BG464" i="7" s="1"/>
  <c r="BH464" i="7" s="1"/>
  <c r="BF356" i="7"/>
  <c r="BG356" i="7" s="1"/>
  <c r="BH356" i="7" s="1"/>
  <c r="BF465" i="7"/>
  <c r="BG465" i="7" s="1"/>
  <c r="BH465" i="7" s="1"/>
  <c r="BF466" i="7"/>
  <c r="BG466" i="7" s="1"/>
  <c r="BH466" i="7" s="1"/>
  <c r="BF467" i="7"/>
  <c r="BG467" i="7" s="1"/>
  <c r="BH467" i="7" s="1"/>
  <c r="BF268" i="7"/>
  <c r="BG268" i="7" s="1"/>
  <c r="BH268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567" i="7"/>
  <c r="BG567" i="7" s="1"/>
  <c r="BH567" i="7" s="1"/>
  <c r="BF474" i="7"/>
  <c r="BG474" i="7" s="1"/>
  <c r="BH474" i="7" s="1"/>
  <c r="BF475" i="7"/>
  <c r="BG475" i="7" s="1"/>
  <c r="BH475" i="7" s="1"/>
  <c r="BF568" i="7"/>
  <c r="BG568" i="7" s="1"/>
  <c r="BH568" i="7" s="1"/>
  <c r="BF269" i="7"/>
  <c r="BG269" i="7" s="1"/>
  <c r="BH269" i="7" s="1"/>
  <c r="BF362" i="7"/>
  <c r="BG362" i="7" s="1"/>
  <c r="BH362" i="7" s="1"/>
  <c r="BF476" i="7"/>
  <c r="BG476" i="7" s="1"/>
  <c r="BH476" i="7" s="1"/>
  <c r="BF363" i="7"/>
  <c r="BG363" i="7" s="1"/>
  <c r="BH363" i="7" s="1"/>
  <c r="BF270" i="7"/>
  <c r="BG270" i="7" s="1"/>
  <c r="BH270" i="7" s="1"/>
  <c r="BF477" i="7"/>
  <c r="BG477" i="7" s="1"/>
  <c r="BH477" i="7" s="1"/>
  <c r="BF478" i="7"/>
  <c r="BG478" i="7" s="1"/>
  <c r="BH478" i="7" s="1"/>
  <c r="BF364" i="7"/>
  <c r="BG364" i="7" s="1"/>
  <c r="BH364" i="7" s="1"/>
  <c r="BF365" i="7"/>
  <c r="BG365" i="7" s="1"/>
  <c r="BH365" i="7" s="1"/>
  <c r="BF569" i="7"/>
  <c r="BG569" i="7" s="1"/>
  <c r="BH569" i="7" s="1"/>
  <c r="BF366" i="7"/>
  <c r="BG366" i="7" s="1"/>
  <c r="BH366" i="7" s="1"/>
  <c r="BF134" i="7"/>
  <c r="BG134" i="7" s="1"/>
  <c r="BH134" i="7" s="1"/>
  <c r="BF367" i="7"/>
  <c r="BG367" i="7" s="1"/>
  <c r="BH367" i="7" s="1"/>
  <c r="BF479" i="7"/>
  <c r="BG479" i="7" s="1"/>
  <c r="BH479" i="7" s="1"/>
  <c r="BF271" i="7"/>
  <c r="BG271" i="7" s="1"/>
  <c r="BH271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485" i="7"/>
  <c r="BG485" i="7" s="1"/>
  <c r="BH485" i="7" s="1"/>
  <c r="BF574" i="7"/>
  <c r="BG574" i="7" s="1"/>
  <c r="BH574" i="7" s="1"/>
  <c r="BF368" i="7"/>
  <c r="BG368" i="7" s="1"/>
  <c r="BH368" i="7" s="1"/>
  <c r="BF486" i="7"/>
  <c r="BG486" i="7" s="1"/>
  <c r="BH486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369" i="7"/>
  <c r="BG369" i="7" s="1"/>
  <c r="BH369" i="7" s="1"/>
  <c r="BF487" i="7"/>
  <c r="BG487" i="7" s="1"/>
  <c r="BH487" i="7" s="1"/>
  <c r="BF272" i="7"/>
  <c r="BG272" i="7" s="1"/>
  <c r="BH272" i="7" s="1"/>
  <c r="BF273" i="7"/>
  <c r="BG273" i="7" s="1"/>
  <c r="BH273" i="7" s="1"/>
  <c r="BF370" i="7"/>
  <c r="BG370" i="7" s="1"/>
  <c r="BH370" i="7" s="1"/>
  <c r="BF488" i="7"/>
  <c r="BG488" i="7" s="1"/>
  <c r="BH488" i="7" s="1"/>
  <c r="BF579" i="7"/>
  <c r="BG579" i="7" s="1"/>
  <c r="BH579" i="7" s="1"/>
  <c r="BF371" i="7"/>
  <c r="BG371" i="7" s="1"/>
  <c r="BH371" i="7" s="1"/>
  <c r="BF372" i="7"/>
  <c r="BG372" i="7" s="1"/>
  <c r="BH372" i="7" s="1"/>
  <c r="BF373" i="7"/>
  <c r="BG373" i="7" s="1"/>
  <c r="BH373" i="7" s="1"/>
  <c r="BF489" i="7"/>
  <c r="BG489" i="7" s="1"/>
  <c r="BH489" i="7" s="1"/>
  <c r="BF490" i="7"/>
  <c r="BG490" i="7" s="1"/>
  <c r="BH490" i="7" s="1"/>
  <c r="BF580" i="7"/>
  <c r="BG580" i="7" s="1"/>
  <c r="BH580" i="7" s="1"/>
  <c r="BF581" i="7"/>
  <c r="BG581" i="7" s="1"/>
  <c r="BH581" i="7" s="1"/>
  <c r="BF491" i="7"/>
  <c r="BG491" i="7" s="1"/>
  <c r="BH491" i="7" s="1"/>
  <c r="BF582" i="7"/>
  <c r="BG582" i="7" s="1"/>
  <c r="BH582" i="7" s="1"/>
  <c r="BF583" i="7"/>
  <c r="BG583" i="7" s="1"/>
  <c r="BH583" i="7" s="1"/>
  <c r="BF492" i="7"/>
  <c r="BG492" i="7" s="1"/>
  <c r="BH492" i="7" s="1"/>
  <c r="BF584" i="7"/>
  <c r="BG584" i="7" s="1"/>
  <c r="BH584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585" i="7"/>
  <c r="BG585" i="7" s="1"/>
  <c r="BH585" i="7" s="1"/>
  <c r="BF586" i="7"/>
  <c r="BG586" i="7" s="1"/>
  <c r="BH586" i="7" s="1"/>
  <c r="BF497" i="7"/>
  <c r="BG497" i="7" s="1"/>
  <c r="BH497" i="7" s="1"/>
  <c r="BF498" i="7"/>
  <c r="BG498" i="7" s="1"/>
  <c r="BH498" i="7" s="1"/>
  <c r="BF587" i="7"/>
  <c r="BG587" i="7" s="1"/>
  <c r="BH587" i="7" s="1"/>
  <c r="BF499" i="7"/>
  <c r="BG499" i="7" s="1"/>
  <c r="BH499" i="7" s="1"/>
  <c r="BF500" i="7"/>
  <c r="BG500" i="7" s="1"/>
  <c r="BH500" i="7" s="1"/>
  <c r="BF588" i="7"/>
  <c r="BG588" i="7" s="1"/>
  <c r="BH588" i="7" s="1"/>
  <c r="BF501" i="7"/>
  <c r="BG501" i="7" s="1"/>
  <c r="BH501" i="7" s="1"/>
  <c r="BF374" i="7"/>
  <c r="BG374" i="7" s="1"/>
  <c r="BH374" i="7" s="1"/>
  <c r="BF502" i="7"/>
  <c r="BG502" i="7" s="1"/>
  <c r="BH502" i="7" s="1"/>
  <c r="BF589" i="7"/>
  <c r="BG589" i="7" s="1"/>
  <c r="BH589" i="7" s="1"/>
  <c r="BF375" i="7"/>
  <c r="BG375" i="7" s="1"/>
  <c r="BH375" i="7" s="1"/>
  <c r="BF503" i="7"/>
  <c r="BG503" i="7" s="1"/>
  <c r="BH503" i="7" s="1"/>
  <c r="BF590" i="7"/>
  <c r="BG590" i="7" s="1"/>
  <c r="BH590" i="7" s="1"/>
  <c r="BF504" i="7"/>
  <c r="BG504" i="7" s="1"/>
  <c r="BH504" i="7" s="1"/>
  <c r="BF591" i="7"/>
  <c r="BG591" i="7" s="1"/>
  <c r="BH591" i="7" s="1"/>
  <c r="BF505" i="7"/>
  <c r="BG505" i="7" s="1"/>
  <c r="BH505" i="7" s="1"/>
  <c r="BF274" i="7"/>
  <c r="BG274" i="7" s="1"/>
  <c r="BH274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135" i="7"/>
  <c r="BG135" i="7" s="1"/>
  <c r="BH135" i="7" s="1"/>
  <c r="BF510" i="7"/>
  <c r="BG510" i="7" s="1"/>
  <c r="BH510" i="7" s="1"/>
  <c r="BF592" i="7"/>
  <c r="BG592" i="7" s="1"/>
  <c r="BH592" i="7" s="1"/>
  <c r="BF511" i="7"/>
  <c r="BG511" i="7" s="1"/>
  <c r="BH511" i="7" s="1"/>
  <c r="BF593" i="7"/>
  <c r="BG593" i="7" s="1"/>
  <c r="BH593" i="7" s="1"/>
  <c r="BF512" i="7"/>
  <c r="BG512" i="7" s="1"/>
  <c r="BH512" i="7" s="1"/>
  <c r="BF594" i="7"/>
  <c r="BG594" i="7" s="1"/>
  <c r="BH594" i="7" s="1"/>
  <c r="BF595" i="7"/>
  <c r="BG595" i="7" s="1"/>
  <c r="BH595" i="7" s="1"/>
  <c r="BF513" i="7"/>
  <c r="BG513" i="7" s="1"/>
  <c r="BH513" i="7" s="1"/>
  <c r="BF514" i="7"/>
  <c r="BG514" i="7" s="1"/>
  <c r="BH514" i="7" s="1"/>
  <c r="BF596" i="7"/>
  <c r="BG596" i="7" s="1"/>
  <c r="BH596" i="7" s="1"/>
  <c r="BF597" i="7"/>
  <c r="BG597" i="7" s="1"/>
  <c r="BH597" i="7" s="1"/>
  <c r="BF515" i="7"/>
  <c r="BG515" i="7" s="1"/>
  <c r="BH515" i="7" s="1"/>
  <c r="BF516" i="7"/>
  <c r="BG516" i="7" s="1"/>
  <c r="BH516" i="7" s="1"/>
  <c r="BF376" i="7"/>
  <c r="BG376" i="7" s="1"/>
  <c r="BH376" i="7" s="1"/>
  <c r="BF517" i="7"/>
  <c r="BG517" i="7" s="1"/>
  <c r="BH517" i="7" s="1"/>
  <c r="BF275" i="7"/>
  <c r="BG275" i="7" s="1"/>
  <c r="BH275" i="7" s="1"/>
  <c r="BF276" i="7"/>
  <c r="BG276" i="7" s="1"/>
  <c r="BH276" i="7" s="1"/>
  <c r="BF277" i="7"/>
  <c r="BG277" i="7" s="1"/>
  <c r="BH277" i="7" s="1"/>
  <c r="BF518" i="7"/>
  <c r="BG518" i="7" s="1"/>
  <c r="BH518" i="7" s="1"/>
  <c r="BF598" i="7"/>
  <c r="BG598" i="7" s="1"/>
  <c r="BH598" i="7" s="1"/>
  <c r="BF519" i="7"/>
  <c r="BG519" i="7" s="1"/>
  <c r="BH519" i="7" s="1"/>
  <c r="BF136" i="7"/>
  <c r="BG136" i="7" s="1"/>
  <c r="BH136" i="7" s="1"/>
  <c r="BF599" i="7"/>
  <c r="BG599" i="7" s="1"/>
  <c r="BH599" i="7" s="1"/>
  <c r="BF377" i="7"/>
  <c r="BG377" i="7" s="1"/>
  <c r="BH377" i="7" s="1"/>
  <c r="BF600" i="7"/>
  <c r="BG600" i="7" s="1"/>
  <c r="BH600" i="7" s="1"/>
  <c r="BF601" i="7"/>
  <c r="BG601" i="7" s="1"/>
  <c r="BH601" i="7" s="1"/>
  <c r="BF278" i="7"/>
  <c r="BG278" i="7" s="1"/>
  <c r="BH278" i="7" s="1"/>
  <c r="BF378" i="7"/>
  <c r="BG378" i="7" s="1"/>
  <c r="BH378" i="7" s="1"/>
  <c r="BF379" i="7"/>
  <c r="BG379" i="7" s="1"/>
  <c r="BH379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380" i="7"/>
  <c r="BG380" i="7" s="1"/>
  <c r="BH380" i="7" s="1"/>
  <c r="BF520" i="7"/>
  <c r="BG520" i="7" s="1"/>
  <c r="BH520" i="7" s="1"/>
  <c r="BF521" i="7"/>
  <c r="BG521" i="7" s="1"/>
  <c r="BH521" i="7" s="1"/>
  <c r="BF381" i="7"/>
  <c r="BG381" i="7" s="1"/>
  <c r="BH381" i="7" s="1"/>
  <c r="BF522" i="7"/>
  <c r="BG522" i="7" s="1"/>
  <c r="BH522" i="7" s="1"/>
  <c r="BF382" i="7"/>
  <c r="BG382" i="7" s="1"/>
  <c r="BH382" i="7" s="1"/>
  <c r="BF383" i="7"/>
  <c r="BG383" i="7" s="1"/>
  <c r="BH383" i="7" s="1"/>
  <c r="BF523" i="7"/>
  <c r="BG523" i="7" s="1"/>
  <c r="BH523" i="7" s="1"/>
  <c r="BF384" i="7"/>
  <c r="BG384" i="7" s="1"/>
  <c r="BH384" i="7" s="1"/>
  <c r="BF279" i="7"/>
  <c r="BG279" i="7" s="1"/>
  <c r="BH279" i="7" s="1"/>
  <c r="BF280" i="7"/>
  <c r="BG280" i="7" s="1"/>
  <c r="BH280" i="7" s="1"/>
  <c r="BF524" i="7"/>
  <c r="BG524" i="7" s="1"/>
  <c r="BH524" i="7" s="1"/>
  <c r="BF712" i="7"/>
  <c r="BG712" i="7" s="1"/>
  <c r="BH712" i="7" s="1"/>
  <c r="BF713" i="7"/>
  <c r="BG713" i="7" s="1"/>
  <c r="BH713" i="7" s="1"/>
  <c r="BF607" i="7"/>
  <c r="BG607" i="7" s="1"/>
  <c r="BH607" i="7" s="1"/>
  <c r="BF714" i="7"/>
  <c r="BG714" i="7" s="1"/>
  <c r="BH714" i="7" s="1"/>
  <c r="BF715" i="7"/>
  <c r="BG715" i="7" s="1"/>
  <c r="BH715" i="7" s="1"/>
  <c r="BF716" i="7"/>
  <c r="BG716" i="7" s="1"/>
  <c r="BH716" i="7" s="1"/>
  <c r="BF608" i="7"/>
  <c r="BG608" i="7" s="1"/>
  <c r="BH608" i="7" s="1"/>
  <c r="BF717" i="7"/>
  <c r="BG717" i="7" s="1"/>
  <c r="BH717" i="7" s="1"/>
  <c r="BF718" i="7"/>
  <c r="BG718" i="7" s="1"/>
  <c r="BH718" i="7" s="1"/>
  <c r="BF281" i="7"/>
  <c r="BG281" i="7" s="1"/>
  <c r="BH281" i="7" s="1"/>
  <c r="BF719" i="7"/>
  <c r="BG719" i="7" s="1"/>
  <c r="BH719" i="7" s="1"/>
  <c r="BF525" i="7"/>
  <c r="BG525" i="7" s="1"/>
  <c r="BH525" i="7" s="1"/>
  <c r="BF720" i="7"/>
  <c r="BG720" i="7" s="1"/>
  <c r="BH720" i="7" s="1"/>
  <c r="BF609" i="7"/>
  <c r="BG609" i="7" s="1"/>
  <c r="BH609" i="7" s="1"/>
  <c r="BF721" i="7"/>
  <c r="BG721" i="7" s="1"/>
  <c r="BH721" i="7" s="1"/>
  <c r="BF282" i="7"/>
  <c r="BG282" i="7" s="1"/>
  <c r="BH282" i="7" s="1"/>
  <c r="BF722" i="7"/>
  <c r="BG722" i="7" s="1"/>
  <c r="BH722" i="7" s="1"/>
  <c r="BF723" i="7"/>
  <c r="BG723" i="7" s="1"/>
  <c r="BH723" i="7" s="1"/>
  <c r="BF724" i="7"/>
  <c r="BG724" i="7" s="1"/>
  <c r="BH724" i="7" s="1"/>
  <c r="BF526" i="7"/>
  <c r="BG526" i="7" s="1"/>
  <c r="BH526" i="7" s="1"/>
  <c r="BF283" i="7"/>
  <c r="BG283" i="7" s="1"/>
  <c r="BH283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725" i="7"/>
  <c r="BG725" i="7" s="1"/>
  <c r="BH725" i="7" s="1"/>
  <c r="BF615" i="7"/>
  <c r="BG615" i="7" s="1"/>
  <c r="BH615" i="7" s="1"/>
  <c r="BF616" i="7"/>
  <c r="BG616" i="7" s="1"/>
  <c r="BH616" i="7" s="1"/>
  <c r="BF726" i="7"/>
  <c r="BG726" i="7" s="1"/>
  <c r="BH726" i="7" s="1"/>
  <c r="BF727" i="7"/>
  <c r="BG727" i="7" s="1"/>
  <c r="BH727" i="7" s="1"/>
  <c r="BF617" i="7"/>
  <c r="BG617" i="7" s="1"/>
  <c r="BH617" i="7" s="1"/>
  <c r="BF618" i="7"/>
  <c r="BG618" i="7" s="1"/>
  <c r="BH618" i="7" s="1"/>
  <c r="BF527" i="7"/>
  <c r="BG527" i="7" s="1"/>
  <c r="BH527" i="7" s="1"/>
  <c r="BF284" i="7"/>
  <c r="BG284" i="7" s="1"/>
  <c r="BH284" i="7" s="1"/>
  <c r="BF619" i="7"/>
  <c r="BG619" i="7" s="1"/>
  <c r="BH619" i="7" s="1"/>
  <c r="BF620" i="7"/>
  <c r="BG620" i="7" s="1"/>
  <c r="BH620" i="7" s="1"/>
  <c r="BF621" i="7"/>
  <c r="BG621" i="7" s="1"/>
  <c r="BH621" i="7" s="1"/>
  <c r="BF728" i="7"/>
  <c r="BG728" i="7" s="1"/>
  <c r="BH728" i="7" s="1"/>
  <c r="BF622" i="7"/>
  <c r="BG622" i="7" s="1"/>
  <c r="BH622" i="7" s="1"/>
  <c r="BF729" i="7"/>
  <c r="BG729" i="7" s="1"/>
  <c r="BH729" i="7" s="1"/>
  <c r="BF623" i="7"/>
  <c r="BG623" i="7" s="1"/>
  <c r="BH623" i="7" s="1"/>
  <c r="BF624" i="7"/>
  <c r="BG624" i="7" s="1"/>
  <c r="BH624" i="7" s="1"/>
  <c r="BF137" i="7"/>
  <c r="BG137" i="7" s="1"/>
  <c r="BH137" i="7" s="1"/>
  <c r="BF730" i="7"/>
  <c r="BG730" i="7" s="1"/>
  <c r="BH730" i="7" s="1"/>
  <c r="BF625" i="7"/>
  <c r="BG625" i="7" s="1"/>
  <c r="BH625" i="7" s="1"/>
  <c r="BF626" i="7"/>
  <c r="BG626" i="7" s="1"/>
  <c r="BH626" i="7" s="1"/>
  <c r="BF385" i="7"/>
  <c r="BG385" i="7" s="1"/>
  <c r="BH385" i="7" s="1"/>
  <c r="BF627" i="7"/>
  <c r="BG627" i="7" s="1"/>
  <c r="BH627" i="7" s="1"/>
  <c r="BF628" i="7"/>
  <c r="BG628" i="7" s="1"/>
  <c r="BH628" i="7" s="1"/>
  <c r="BF528" i="7"/>
  <c r="BG528" i="7" s="1"/>
  <c r="BH528" i="7" s="1"/>
  <c r="BF629" i="7"/>
  <c r="BG629" i="7" s="1"/>
  <c r="BH629" i="7" s="1"/>
  <c r="BF630" i="7"/>
  <c r="BG630" i="7" s="1"/>
  <c r="BH630" i="7" s="1"/>
  <c r="BF631" i="7"/>
  <c r="BG631" i="7" s="1"/>
  <c r="BH631" i="7" s="1"/>
  <c r="BF529" i="7"/>
  <c r="BG529" i="7" s="1"/>
  <c r="BH529" i="7" s="1"/>
  <c r="BF632" i="7"/>
  <c r="BG632" i="7" s="1"/>
  <c r="BH632" i="7" s="1"/>
  <c r="BF530" i="7"/>
  <c r="BG530" i="7" s="1"/>
  <c r="BH530" i="7" s="1"/>
  <c r="BF633" i="7"/>
  <c r="BG633" i="7" s="1"/>
  <c r="BH633" i="7" s="1"/>
  <c r="BF634" i="7"/>
  <c r="BG634" i="7" s="1"/>
  <c r="BH634" i="7" s="1"/>
  <c r="BF731" i="7"/>
  <c r="BG731" i="7" s="1"/>
  <c r="BH731" i="7" s="1"/>
  <c r="BF635" i="7"/>
  <c r="BG635" i="7" s="1"/>
  <c r="BH635" i="7" s="1"/>
  <c r="BF636" i="7"/>
  <c r="BG636" i="7" s="1"/>
  <c r="BH636" i="7" s="1"/>
  <c r="BF637" i="7"/>
  <c r="BG637" i="7" s="1"/>
  <c r="BH637" i="7" s="1"/>
  <c r="BF732" i="7"/>
  <c r="BG732" i="7" s="1"/>
  <c r="BH732" i="7" s="1"/>
  <c r="BF531" i="7"/>
  <c r="BG531" i="7" s="1"/>
  <c r="BH531" i="7" s="1"/>
  <c r="BF733" i="7"/>
  <c r="BG733" i="7" s="1"/>
  <c r="BH733" i="7" s="1"/>
  <c r="BF638" i="7"/>
  <c r="BG638" i="7" s="1"/>
  <c r="BH638" i="7" s="1"/>
  <c r="BF639" i="7"/>
  <c r="BG639" i="7" s="1"/>
  <c r="BH639" i="7" s="1"/>
  <c r="BF640" i="7"/>
  <c r="BG640" i="7" s="1"/>
  <c r="BH640" i="7" s="1"/>
  <c r="BF734" i="7"/>
  <c r="BG734" i="7" s="1"/>
  <c r="BH734" i="7" s="1"/>
  <c r="BF735" i="7"/>
  <c r="BG735" i="7" s="1"/>
  <c r="BH735" i="7" s="1"/>
  <c r="BF736" i="7"/>
  <c r="BG736" i="7" s="1"/>
  <c r="BH736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737" i="7"/>
  <c r="BG737" i="7" s="1"/>
  <c r="BH737" i="7" s="1"/>
  <c r="BF645" i="7"/>
  <c r="BG645" i="7" s="1"/>
  <c r="BH645" i="7" s="1"/>
  <c r="BF532" i="7"/>
  <c r="BG532" i="7" s="1"/>
  <c r="BH532" i="7" s="1"/>
  <c r="BF646" i="7"/>
  <c r="BG646" i="7" s="1"/>
  <c r="BH646" i="7" s="1"/>
  <c r="BF647" i="7"/>
  <c r="BG647" i="7" s="1"/>
  <c r="BH647" i="7" s="1"/>
  <c r="BF738" i="7"/>
  <c r="BG738" i="7" s="1"/>
  <c r="BH738" i="7" s="1"/>
  <c r="BF648" i="7"/>
  <c r="BG648" i="7" s="1"/>
  <c r="BH648" i="7" s="1"/>
  <c r="BF739" i="7"/>
  <c r="BG739" i="7" s="1"/>
  <c r="BH739" i="7" s="1"/>
  <c r="BF649" i="7"/>
  <c r="BG649" i="7" s="1"/>
  <c r="BH649" i="7" s="1"/>
  <c r="BF740" i="7"/>
  <c r="BG740" i="7" s="1"/>
  <c r="BH740" i="7" s="1"/>
  <c r="BF650" i="7"/>
  <c r="BG650" i="7" s="1"/>
  <c r="BH650" i="7" s="1"/>
  <c r="BF741" i="7"/>
  <c r="BG741" i="7" s="1"/>
  <c r="BH741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742" i="7"/>
  <c r="BG742" i="7" s="1"/>
  <c r="BH742" i="7" s="1"/>
  <c r="BF743" i="7"/>
  <c r="BG743" i="7" s="1"/>
  <c r="BH743" i="7" s="1"/>
  <c r="BF657" i="7"/>
  <c r="BG657" i="7" s="1"/>
  <c r="BH657" i="7" s="1"/>
  <c r="BF658" i="7"/>
  <c r="BG658" i="7" s="1"/>
  <c r="BH658" i="7" s="1"/>
  <c r="BF533" i="7"/>
  <c r="BG533" i="7" s="1"/>
  <c r="BH533" i="7" s="1"/>
  <c r="BF659" i="7"/>
  <c r="BG659" i="7" s="1"/>
  <c r="BH659" i="7" s="1"/>
  <c r="BF660" i="7"/>
  <c r="BG660" i="7" s="1"/>
  <c r="BH660" i="7" s="1"/>
  <c r="BF661" i="7"/>
  <c r="BG661" i="7" s="1"/>
  <c r="BH661" i="7" s="1"/>
  <c r="BF744" i="7"/>
  <c r="BG744" i="7" s="1"/>
  <c r="BH744" i="7" s="1"/>
  <c r="BF745" i="7"/>
  <c r="BG745" i="7" s="1"/>
  <c r="BH745" i="7" s="1"/>
  <c r="BF386" i="7"/>
  <c r="BG386" i="7" s="1"/>
  <c r="BH386" i="7" s="1"/>
  <c r="BF662" i="7"/>
  <c r="BG662" i="7" s="1"/>
  <c r="BH662" i="7" s="1"/>
  <c r="BF746" i="7"/>
  <c r="BG746" i="7" s="1"/>
  <c r="BH746" i="7" s="1"/>
  <c r="BF747" i="7"/>
  <c r="BG747" i="7" s="1"/>
  <c r="BH747" i="7" s="1"/>
  <c r="BF663" i="7"/>
  <c r="BG663" i="7" s="1"/>
  <c r="BH663" i="7" s="1"/>
  <c r="BF534" i="7"/>
  <c r="BG534" i="7" s="1"/>
  <c r="BH534" i="7" s="1"/>
  <c r="BF748" i="7"/>
  <c r="BG748" i="7" s="1"/>
  <c r="BH748" i="7" s="1"/>
  <c r="BF749" i="7"/>
  <c r="BG749" i="7" s="1"/>
  <c r="BH749" i="7" s="1"/>
  <c r="BF535" i="7"/>
  <c r="BG535" i="7" s="1"/>
  <c r="BH535" i="7" s="1"/>
  <c r="BF664" i="7"/>
  <c r="BG664" i="7" s="1"/>
  <c r="BH664" i="7" s="1"/>
  <c r="BF750" i="7"/>
  <c r="BG750" i="7" s="1"/>
  <c r="BH750" i="7" s="1"/>
  <c r="BF665" i="7"/>
  <c r="BG665" i="7" s="1"/>
  <c r="BH665" i="7" s="1"/>
  <c r="BF751" i="7"/>
  <c r="BG751" i="7" s="1"/>
  <c r="BH751" i="7" s="1"/>
  <c r="BF536" i="7"/>
  <c r="BG536" i="7" s="1"/>
  <c r="BH536" i="7" s="1"/>
  <c r="BF666" i="7"/>
  <c r="BG666" i="7" s="1"/>
  <c r="BH666" i="7" s="1"/>
  <c r="BF752" i="7"/>
  <c r="BG752" i="7" s="1"/>
  <c r="BH752" i="7" s="1"/>
  <c r="BF537" i="7"/>
  <c r="BG537" i="7" s="1"/>
  <c r="BH537" i="7" s="1"/>
  <c r="BF753" i="7"/>
  <c r="BG753" i="7" s="1"/>
  <c r="BH753" i="7" s="1"/>
  <c r="BF538" i="7"/>
  <c r="BG538" i="7" s="1"/>
  <c r="BH538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754" i="7"/>
  <c r="BG754" i="7" s="1"/>
  <c r="BH754" i="7" s="1"/>
  <c r="BF755" i="7"/>
  <c r="BG755" i="7" s="1"/>
  <c r="BH755" i="7" s="1"/>
  <c r="BF756" i="7"/>
  <c r="BG756" i="7" s="1"/>
  <c r="BH756" i="7" s="1"/>
  <c r="BF673" i="7"/>
  <c r="BG673" i="7" s="1"/>
  <c r="BH673" i="7" s="1"/>
  <c r="BF674" i="7"/>
  <c r="BG674" i="7" s="1"/>
  <c r="BH674" i="7" s="1"/>
  <c r="BF757" i="7"/>
  <c r="BG757" i="7" s="1"/>
  <c r="BH757" i="7" s="1"/>
  <c r="BF758" i="7"/>
  <c r="BG758" i="7" s="1"/>
  <c r="BH758" i="7" s="1"/>
  <c r="BF759" i="7"/>
  <c r="BG759" i="7" s="1"/>
  <c r="BH759" i="7" s="1"/>
  <c r="BF675" i="7"/>
  <c r="BG675" i="7" s="1"/>
  <c r="BH675" i="7" s="1"/>
  <c r="BF760" i="7"/>
  <c r="BG760" i="7" s="1"/>
  <c r="BH760" i="7" s="1"/>
  <c r="BF761" i="7"/>
  <c r="BG761" i="7" s="1"/>
  <c r="BH761" i="7" s="1"/>
  <c r="BF762" i="7"/>
  <c r="BG762" i="7" s="1"/>
  <c r="BH762" i="7" s="1"/>
  <c r="BF676" i="7"/>
  <c r="BG676" i="7" s="1"/>
  <c r="BH676" i="7" s="1"/>
  <c r="BF677" i="7"/>
  <c r="BG677" i="7" s="1"/>
  <c r="BH677" i="7" s="1"/>
  <c r="BF763" i="7"/>
  <c r="BG763" i="7" s="1"/>
  <c r="BH763" i="7" s="1"/>
  <c r="BF678" i="7"/>
  <c r="BG678" i="7" s="1"/>
  <c r="BH678" i="7" s="1"/>
  <c r="BF764" i="7"/>
  <c r="BG764" i="7" s="1"/>
  <c r="BH764" i="7" s="1"/>
  <c r="BF679" i="7"/>
  <c r="BG679" i="7" s="1"/>
  <c r="BH679" i="7" s="1"/>
  <c r="BF539" i="7"/>
  <c r="BG539" i="7" s="1"/>
  <c r="BH539" i="7" s="1"/>
  <c r="BF765" i="7"/>
  <c r="BG765" i="7" s="1"/>
  <c r="BH765" i="7" s="1"/>
  <c r="BF680" i="7"/>
  <c r="BG680" i="7" s="1"/>
  <c r="BH680" i="7" s="1"/>
  <c r="BF387" i="7"/>
  <c r="BG387" i="7" s="1"/>
  <c r="BH387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681" i="7"/>
  <c r="BG681" i="7" s="1"/>
  <c r="BH681" i="7" s="1"/>
  <c r="BF880" i="7"/>
  <c r="BG880" i="7" s="1"/>
  <c r="BH880" i="7" s="1"/>
  <c r="BF771" i="7"/>
  <c r="BG771" i="7" s="1"/>
  <c r="BH771" i="7" s="1"/>
  <c r="BF772" i="7"/>
  <c r="BG772" i="7" s="1"/>
  <c r="BH772" i="7" s="1"/>
  <c r="BF881" i="7"/>
  <c r="BG881" i="7" s="1"/>
  <c r="BH881" i="7" s="1"/>
  <c r="BF882" i="7"/>
  <c r="BG882" i="7" s="1"/>
  <c r="BH882" i="7" s="1"/>
  <c r="BF773" i="7"/>
  <c r="BG773" i="7" s="1"/>
  <c r="BH773" i="7" s="1"/>
  <c r="BF540" i="7"/>
  <c r="BG540" i="7" s="1"/>
  <c r="BH540" i="7" s="1"/>
  <c r="BF883" i="7"/>
  <c r="BG883" i="7" s="1"/>
  <c r="BH883" i="7" s="1"/>
  <c r="BF682" i="7"/>
  <c r="BG682" i="7" s="1"/>
  <c r="BH682" i="7" s="1"/>
  <c r="BF884" i="7"/>
  <c r="BG884" i="7" s="1"/>
  <c r="BH884" i="7" s="1"/>
  <c r="BF774" i="7"/>
  <c r="BG774" i="7" s="1"/>
  <c r="BH774" i="7" s="1"/>
  <c r="BF541" i="7"/>
  <c r="BG541" i="7" s="1"/>
  <c r="BH541" i="7" s="1"/>
  <c r="BF775" i="7"/>
  <c r="BG775" i="7" s="1"/>
  <c r="BH775" i="7" s="1"/>
  <c r="BF885" i="7"/>
  <c r="BG885" i="7" s="1"/>
  <c r="BH885" i="7" s="1"/>
  <c r="BF776" i="7"/>
  <c r="BG776" i="7" s="1"/>
  <c r="BH776" i="7" s="1"/>
  <c r="BF683" i="7"/>
  <c r="BG683" i="7" s="1"/>
  <c r="BH683" i="7" s="1"/>
  <c r="BF777" i="7"/>
  <c r="BG777" i="7" s="1"/>
  <c r="BH777" i="7" s="1"/>
  <c r="BF886" i="7"/>
  <c r="BG886" i="7" s="1"/>
  <c r="BH886" i="7" s="1"/>
  <c r="BF887" i="7"/>
  <c r="BG887" i="7" s="1"/>
  <c r="BH887" i="7" s="1"/>
  <c r="BF684" i="7"/>
  <c r="BG684" i="7" s="1"/>
  <c r="BH684" i="7" s="1"/>
  <c r="BF778" i="7"/>
  <c r="BG778" i="7" s="1"/>
  <c r="BH778" i="7" s="1"/>
  <c r="BF888" i="7"/>
  <c r="BG888" i="7" s="1"/>
  <c r="BH888" i="7" s="1"/>
  <c r="BF779" i="7"/>
  <c r="BG779" i="7" s="1"/>
  <c r="BH779" i="7" s="1"/>
  <c r="BF780" i="7"/>
  <c r="BG780" i="7" s="1"/>
  <c r="BH780" i="7" s="1"/>
  <c r="BF781" i="7"/>
  <c r="BG781" i="7" s="1"/>
  <c r="BH781" i="7" s="1"/>
  <c r="BF889" i="7"/>
  <c r="BG889" i="7" s="1"/>
  <c r="BH889" i="7" s="1"/>
  <c r="BF890" i="7"/>
  <c r="BG890" i="7" s="1"/>
  <c r="BH890" i="7" s="1"/>
  <c r="BF782" i="7"/>
  <c r="BG782" i="7" s="1"/>
  <c r="BH782" i="7" s="1"/>
  <c r="BF891" i="7"/>
  <c r="BG891" i="7" s="1"/>
  <c r="BH891" i="7" s="1"/>
  <c r="BF685" i="7"/>
  <c r="BG685" i="7" s="1"/>
  <c r="BH685" i="7" s="1"/>
  <c r="BF892" i="7"/>
  <c r="BG892" i="7" s="1"/>
  <c r="BH892" i="7" s="1"/>
  <c r="BF783" i="7"/>
  <c r="BG783" i="7" s="1"/>
  <c r="BH783" i="7" s="1"/>
  <c r="BF784" i="7"/>
  <c r="BG784" i="7" s="1"/>
  <c r="BH784" i="7" s="1"/>
  <c r="BF893" i="7"/>
  <c r="BG893" i="7" s="1"/>
  <c r="BH893" i="7" s="1"/>
  <c r="BF785" i="7"/>
  <c r="BG785" i="7" s="1"/>
  <c r="BH785" i="7" s="1"/>
  <c r="BF686" i="7"/>
  <c r="BG686" i="7" s="1"/>
  <c r="BH686" i="7" s="1"/>
  <c r="BF894" i="7"/>
  <c r="BG894" i="7" s="1"/>
  <c r="BH894" i="7" s="1"/>
  <c r="BF895" i="7"/>
  <c r="BG895" i="7" s="1"/>
  <c r="BH895" i="7" s="1"/>
  <c r="BF786" i="7"/>
  <c r="BG786" i="7" s="1"/>
  <c r="BH786" i="7" s="1"/>
  <c r="BF896" i="7"/>
  <c r="BG896" i="7" s="1"/>
  <c r="BH896" i="7" s="1"/>
  <c r="BF787" i="7"/>
  <c r="BG787" i="7" s="1"/>
  <c r="BH787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687" i="7"/>
  <c r="BG687" i="7" s="1"/>
  <c r="BH687" i="7" s="1"/>
  <c r="BF788" i="7"/>
  <c r="BG788" i="7" s="1"/>
  <c r="BH788" i="7" s="1"/>
  <c r="BF688" i="7"/>
  <c r="BG688" i="7" s="1"/>
  <c r="BH688" i="7" s="1"/>
  <c r="BF901" i="7"/>
  <c r="BG901" i="7" s="1"/>
  <c r="BH901" i="7" s="1"/>
  <c r="BF542" i="7"/>
  <c r="BG542" i="7" s="1"/>
  <c r="BH542" i="7" s="1"/>
  <c r="BF789" i="7"/>
  <c r="BG789" i="7" s="1"/>
  <c r="BH789" i="7" s="1"/>
  <c r="BF790" i="7"/>
  <c r="BG790" i="7" s="1"/>
  <c r="BH790" i="7" s="1"/>
  <c r="BF791" i="7"/>
  <c r="BG791" i="7" s="1"/>
  <c r="BH791" i="7" s="1"/>
  <c r="BF902" i="7"/>
  <c r="BG902" i="7" s="1"/>
  <c r="BH902" i="7" s="1"/>
  <c r="BF792" i="7"/>
  <c r="BG792" i="7" s="1"/>
  <c r="BH792" i="7" s="1"/>
  <c r="BF689" i="7"/>
  <c r="BG689" i="7" s="1"/>
  <c r="BH689" i="7" s="1"/>
  <c r="BF903" i="7"/>
  <c r="BG903" i="7" s="1"/>
  <c r="BH903" i="7" s="1"/>
  <c r="BF904" i="7"/>
  <c r="BG904" i="7" s="1"/>
  <c r="BH904" i="7" s="1"/>
  <c r="BF905" i="7"/>
  <c r="BG905" i="7" s="1"/>
  <c r="BH905" i="7" s="1"/>
  <c r="BF793" i="7"/>
  <c r="BG793" i="7" s="1"/>
  <c r="BH793" i="7" s="1"/>
  <c r="BF794" i="7"/>
  <c r="BG794" i="7" s="1"/>
  <c r="BH794" i="7" s="1"/>
  <c r="BF543" i="7"/>
  <c r="BG543" i="7" s="1"/>
  <c r="BH543" i="7" s="1"/>
  <c r="BF906" i="7"/>
  <c r="BG906" i="7" s="1"/>
  <c r="BH906" i="7" s="1"/>
  <c r="BF795" i="7"/>
  <c r="BG795" i="7" s="1"/>
  <c r="BH795" i="7" s="1"/>
  <c r="BF796" i="7"/>
  <c r="BG796" i="7" s="1"/>
  <c r="BH796" i="7" s="1"/>
  <c r="BF797" i="7"/>
  <c r="BG797" i="7" s="1"/>
  <c r="BH797" i="7" s="1"/>
  <c r="BF907" i="7"/>
  <c r="BG907" i="7" s="1"/>
  <c r="BH907" i="7" s="1"/>
  <c r="BF798" i="7"/>
  <c r="BG798" i="7" s="1"/>
  <c r="BH798" i="7" s="1"/>
  <c r="BF544" i="7"/>
  <c r="BG544" i="7" s="1"/>
  <c r="BH544" i="7" s="1"/>
  <c r="BF799" i="7"/>
  <c r="BG799" i="7" s="1"/>
  <c r="BH799" i="7" s="1"/>
  <c r="BF800" i="7"/>
  <c r="BG800" i="7" s="1"/>
  <c r="BH800" i="7" s="1"/>
  <c r="BF908" i="7"/>
  <c r="BG908" i="7" s="1"/>
  <c r="BH908" i="7" s="1"/>
  <c r="BF801" i="7"/>
  <c r="BG801" i="7" s="1"/>
  <c r="BH801" i="7" s="1"/>
  <c r="BF909" i="7"/>
  <c r="BG909" i="7" s="1"/>
  <c r="BH909" i="7" s="1"/>
  <c r="BF690" i="7"/>
  <c r="BG690" i="7" s="1"/>
  <c r="BH690" i="7" s="1"/>
  <c r="BF910" i="7"/>
  <c r="BG910" i="7" s="1"/>
  <c r="BH910" i="7" s="1"/>
  <c r="BF802" i="7"/>
  <c r="BG802" i="7" s="1"/>
  <c r="BH802" i="7" s="1"/>
  <c r="BF911" i="7"/>
  <c r="BG911" i="7" s="1"/>
  <c r="BH911" i="7" s="1"/>
  <c r="BF912" i="7"/>
  <c r="BG912" i="7" s="1"/>
  <c r="BH912" i="7" s="1"/>
  <c r="BF913" i="7"/>
  <c r="BG913" i="7" s="1"/>
  <c r="BH913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691" i="7"/>
  <c r="BG691" i="7" s="1"/>
  <c r="BH691" i="7" s="1"/>
  <c r="BF807" i="7"/>
  <c r="BG807" i="7" s="1"/>
  <c r="BH807" i="7" s="1"/>
  <c r="BF808" i="7"/>
  <c r="BG808" i="7" s="1"/>
  <c r="BH808" i="7" s="1"/>
  <c r="BF914" i="7"/>
  <c r="BG914" i="7" s="1"/>
  <c r="BH914" i="7" s="1"/>
  <c r="BF915" i="7"/>
  <c r="BG915" i="7" s="1"/>
  <c r="BH915" i="7" s="1"/>
  <c r="BF916" i="7"/>
  <c r="BG916" i="7" s="1"/>
  <c r="BH916" i="7" s="1"/>
  <c r="BF809" i="7"/>
  <c r="BG809" i="7" s="1"/>
  <c r="BH809" i="7" s="1"/>
  <c r="BF692" i="7"/>
  <c r="BG692" i="7" s="1"/>
  <c r="BH692" i="7" s="1"/>
  <c r="BF917" i="7"/>
  <c r="BG917" i="7" s="1"/>
  <c r="BH917" i="7" s="1"/>
  <c r="BF810" i="7"/>
  <c r="BG810" i="7" s="1"/>
  <c r="BH810" i="7" s="1"/>
  <c r="BF811" i="7"/>
  <c r="BG811" i="7" s="1"/>
  <c r="BH811" i="7" s="1"/>
  <c r="BF918" i="7"/>
  <c r="BG918" i="7" s="1"/>
  <c r="BH918" i="7" s="1"/>
  <c r="BF693" i="7"/>
  <c r="BG693" i="7" s="1"/>
  <c r="BH693" i="7" s="1"/>
  <c r="BF812" i="7"/>
  <c r="BG812" i="7" s="1"/>
  <c r="BH812" i="7" s="1"/>
  <c r="BF919" i="7"/>
  <c r="BG919" i="7" s="1"/>
  <c r="BH919" i="7" s="1"/>
  <c r="BF920" i="7"/>
  <c r="BG920" i="7" s="1"/>
  <c r="BH920" i="7" s="1"/>
  <c r="BF921" i="7"/>
  <c r="BG921" i="7" s="1"/>
  <c r="BH921" i="7" s="1"/>
  <c r="BF813" i="7"/>
  <c r="BG813" i="7" s="1"/>
  <c r="BH813" i="7" s="1"/>
  <c r="BF922" i="7"/>
  <c r="BG922" i="7" s="1"/>
  <c r="BH922" i="7" s="1"/>
  <c r="BF814" i="7"/>
  <c r="BG814" i="7" s="1"/>
  <c r="BH814" i="7" s="1"/>
  <c r="BF923" i="7"/>
  <c r="BG923" i="7" s="1"/>
  <c r="BH923" i="7" s="1"/>
  <c r="BF924" i="7"/>
  <c r="BG924" i="7" s="1"/>
  <c r="BH924" i="7" s="1"/>
  <c r="BF815" i="7"/>
  <c r="BG815" i="7" s="1"/>
  <c r="BH815" i="7" s="1"/>
  <c r="BF816" i="7"/>
  <c r="BG816" i="7" s="1"/>
  <c r="BH816" i="7" s="1"/>
  <c r="BF694" i="7"/>
  <c r="BG694" i="7" s="1"/>
  <c r="BH694" i="7" s="1"/>
  <c r="BF925" i="7"/>
  <c r="BG925" i="7" s="1"/>
  <c r="BH925" i="7" s="1"/>
  <c r="BF926" i="7"/>
  <c r="BG926" i="7" s="1"/>
  <c r="BH926" i="7" s="1"/>
  <c r="BF817" i="7"/>
  <c r="BG817" i="7" s="1"/>
  <c r="BH817" i="7" s="1"/>
  <c r="BF927" i="7"/>
  <c r="BG927" i="7" s="1"/>
  <c r="BH927" i="7" s="1"/>
  <c r="BF695" i="7"/>
  <c r="BG695" i="7" s="1"/>
  <c r="BH695" i="7" s="1"/>
  <c r="BF818" i="7"/>
  <c r="BG818" i="7" s="1"/>
  <c r="BH818" i="7" s="1"/>
  <c r="BF819" i="7"/>
  <c r="BG819" i="7" s="1"/>
  <c r="BH819" i="7" s="1"/>
  <c r="BF928" i="7"/>
  <c r="BG928" i="7" s="1"/>
  <c r="BH928" i="7" s="1"/>
  <c r="BF929" i="7"/>
  <c r="BG929" i="7" s="1"/>
  <c r="BH929" i="7" s="1"/>
  <c r="BF820" i="7"/>
  <c r="BG820" i="7" s="1"/>
  <c r="BH820" i="7" s="1"/>
  <c r="BF930" i="7"/>
  <c r="BG930" i="7" s="1"/>
  <c r="BH930" i="7" s="1"/>
  <c r="BF931" i="7"/>
  <c r="BG931" i="7" s="1"/>
  <c r="BH931" i="7" s="1"/>
  <c r="BF932" i="7"/>
  <c r="BG932" i="7" s="1"/>
  <c r="BH932" i="7" s="1"/>
  <c r="BF821" i="7"/>
  <c r="BG821" i="7" s="1"/>
  <c r="BH821" i="7" s="1"/>
  <c r="BF822" i="7"/>
  <c r="BG822" i="7" s="1"/>
  <c r="BH822" i="7" s="1"/>
  <c r="BF545" i="7"/>
  <c r="BG545" i="7" s="1"/>
  <c r="BH545" i="7" s="1"/>
  <c r="BF933" i="7"/>
  <c r="BG933" i="7" s="1"/>
  <c r="BH933" i="7" s="1"/>
  <c r="BF388" i="7"/>
  <c r="BG388" i="7" s="1"/>
  <c r="BH388" i="7" s="1"/>
  <c r="BF823" i="7"/>
  <c r="BG823" i="7" s="1"/>
  <c r="BH823" i="7" s="1"/>
  <c r="BF934" i="7"/>
  <c r="BG934" i="7" s="1"/>
  <c r="BH934" i="7" s="1"/>
  <c r="BF824" i="7"/>
  <c r="BG824" i="7" s="1"/>
  <c r="BH824" i="7" s="1"/>
  <c r="BF825" i="7"/>
  <c r="BG825" i="7" s="1"/>
  <c r="BH825" i="7" s="1"/>
  <c r="BF826" i="7"/>
  <c r="BG826" i="7" s="1"/>
  <c r="BH826" i="7" s="1"/>
  <c r="BF935" i="7"/>
  <c r="BG935" i="7" s="1"/>
  <c r="BH935" i="7" s="1"/>
  <c r="BF827" i="7"/>
  <c r="BG827" i="7" s="1"/>
  <c r="BH827" i="7" s="1"/>
  <c r="BF828" i="7"/>
  <c r="BG828" i="7" s="1"/>
  <c r="BH828" i="7" s="1"/>
  <c r="BF829" i="7"/>
  <c r="BG829" i="7" s="1"/>
  <c r="BH829" i="7" s="1"/>
  <c r="BF936" i="7"/>
  <c r="BG936" i="7" s="1"/>
  <c r="BH936" i="7" s="1"/>
  <c r="BF546" i="7"/>
  <c r="BG546" i="7" s="1"/>
  <c r="BH546" i="7" s="1"/>
  <c r="BF830" i="7"/>
  <c r="BG830" i="7" s="1"/>
  <c r="BH830" i="7" s="1"/>
  <c r="BF547" i="7"/>
  <c r="BG547" i="7" s="1"/>
  <c r="BH547" i="7" s="1"/>
  <c r="BF831" i="7"/>
  <c r="BG831" i="7" s="1"/>
  <c r="BH831" i="7" s="1"/>
  <c r="BF696" i="7"/>
  <c r="BG696" i="7" s="1"/>
  <c r="BH696" i="7" s="1"/>
  <c r="BF697" i="7"/>
  <c r="BG697" i="7" s="1"/>
  <c r="BH697" i="7" s="1"/>
  <c r="BF937" i="7"/>
  <c r="BG937" i="7" s="1"/>
  <c r="BH937" i="7" s="1"/>
  <c r="BF832" i="7"/>
  <c r="BG832" i="7" s="1"/>
  <c r="BH832" i="7" s="1"/>
  <c r="BF833" i="7"/>
  <c r="BG833" i="7" s="1"/>
  <c r="BH833" i="7" s="1"/>
  <c r="BF834" i="7"/>
  <c r="BG834" i="7" s="1"/>
  <c r="BH834" i="7" s="1"/>
  <c r="BF698" i="7"/>
  <c r="BG698" i="7" s="1"/>
  <c r="BH698" i="7" s="1"/>
  <c r="BF699" i="7"/>
  <c r="BG699" i="7" s="1"/>
  <c r="BH699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835" i="7"/>
  <c r="BG835" i="7" s="1"/>
  <c r="BH835" i="7" s="1"/>
  <c r="BF836" i="7"/>
  <c r="BG836" i="7" s="1"/>
  <c r="BH836" i="7" s="1"/>
  <c r="BF700" i="7"/>
  <c r="BG700" i="7" s="1"/>
  <c r="BH700" i="7" s="1"/>
  <c r="BF943" i="7"/>
  <c r="BG943" i="7" s="1"/>
  <c r="BH943" i="7" s="1"/>
  <c r="BF837" i="7"/>
  <c r="BG837" i="7" s="1"/>
  <c r="BH837" i="7" s="1"/>
  <c r="BF944" i="7"/>
  <c r="BG944" i="7" s="1"/>
  <c r="BH944" i="7" s="1"/>
  <c r="BF945" i="7"/>
  <c r="BG945" i="7" s="1"/>
  <c r="BH945" i="7" s="1"/>
  <c r="BF838" i="7"/>
  <c r="BG838" i="7" s="1"/>
  <c r="BH838" i="7" s="1"/>
  <c r="BF839" i="7"/>
  <c r="BG839" i="7" s="1"/>
  <c r="BH839" i="7" s="1"/>
  <c r="BF701" i="7"/>
  <c r="BG701" i="7" s="1"/>
  <c r="BH701" i="7" s="1"/>
  <c r="BF840" i="7"/>
  <c r="BG840" i="7" s="1"/>
  <c r="BH840" i="7" s="1"/>
  <c r="BF841" i="7"/>
  <c r="BG841" i="7" s="1"/>
  <c r="BH841" i="7" s="1"/>
  <c r="BF842" i="7"/>
  <c r="BG842" i="7" s="1"/>
  <c r="BH842" i="7" s="1"/>
  <c r="BF946" i="7"/>
  <c r="BG946" i="7" s="1"/>
  <c r="BH946" i="7" s="1"/>
  <c r="BF843" i="7"/>
  <c r="BG843" i="7" s="1"/>
  <c r="BH843" i="7" s="1"/>
  <c r="BF844" i="7"/>
  <c r="BG844" i="7" s="1"/>
  <c r="BH844" i="7" s="1"/>
  <c r="BF947" i="7"/>
  <c r="BG947" i="7" s="1"/>
  <c r="BH947" i="7" s="1"/>
  <c r="BF948" i="7"/>
  <c r="BG948" i="7" s="1"/>
  <c r="BH948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949" i="7"/>
  <c r="BG949" i="7" s="1"/>
  <c r="BH949" i="7" s="1"/>
  <c r="BF1092" i="7"/>
  <c r="BG1092" i="7" s="1"/>
  <c r="BH1092" i="7" s="1"/>
  <c r="BF1093" i="7"/>
  <c r="BG1093" i="7" s="1"/>
  <c r="BH1093" i="7" s="1"/>
  <c r="BF1094" i="7"/>
  <c r="BG1094" i="7" s="1"/>
  <c r="BH1094" i="7" s="1"/>
  <c r="BF950" i="7"/>
  <c r="BG950" i="7" s="1"/>
  <c r="BH950" i="7" s="1"/>
  <c r="BF1095" i="7"/>
  <c r="BG1095" i="7" s="1"/>
  <c r="BH1095" i="7" s="1"/>
  <c r="BF951" i="7"/>
  <c r="BG951" i="7" s="1"/>
  <c r="BH951" i="7" s="1"/>
  <c r="BF1096" i="7"/>
  <c r="BG1096" i="7" s="1"/>
  <c r="BH1096" i="7" s="1"/>
  <c r="BF952" i="7"/>
  <c r="BG952" i="7" s="1"/>
  <c r="BH952" i="7" s="1"/>
  <c r="BF1097" i="7"/>
  <c r="BG1097" i="7" s="1"/>
  <c r="BH1097" i="7" s="1"/>
  <c r="BF953" i="7"/>
  <c r="BG953" i="7" s="1"/>
  <c r="BH953" i="7" s="1"/>
  <c r="BF1098" i="7"/>
  <c r="BG1098" i="7" s="1"/>
  <c r="BH1098" i="7" s="1"/>
  <c r="BF954" i="7"/>
  <c r="BG954" i="7" s="1"/>
  <c r="BH954" i="7" s="1"/>
  <c r="BF955" i="7"/>
  <c r="BG955" i="7" s="1"/>
  <c r="BH955" i="7" s="1"/>
  <c r="BF1099" i="7"/>
  <c r="BG1099" i="7" s="1"/>
  <c r="BH1099" i="7" s="1"/>
  <c r="BF956" i="7"/>
  <c r="BG956" i="7" s="1"/>
  <c r="BH956" i="7" s="1"/>
  <c r="BF1100" i="7"/>
  <c r="BG1100" i="7" s="1"/>
  <c r="BH1100" i="7" s="1"/>
  <c r="BF1101" i="7"/>
  <c r="BG1101" i="7" s="1"/>
  <c r="BH1101" i="7" s="1"/>
  <c r="BF957" i="7"/>
  <c r="BG957" i="7" s="1"/>
  <c r="BH957" i="7" s="1"/>
  <c r="BF958" i="7"/>
  <c r="BG958" i="7" s="1"/>
  <c r="BH958" i="7" s="1"/>
  <c r="BF1102" i="7"/>
  <c r="BG1102" i="7" s="1"/>
  <c r="BH1102" i="7" s="1"/>
  <c r="BF959" i="7"/>
  <c r="BG959" i="7" s="1"/>
  <c r="BH959" i="7" s="1"/>
  <c r="BF960" i="7"/>
  <c r="BG960" i="7" s="1"/>
  <c r="BH960" i="7" s="1"/>
  <c r="BF1103" i="7"/>
  <c r="BG1103" i="7" s="1"/>
  <c r="BH1103" i="7" s="1"/>
  <c r="BF1104" i="7"/>
  <c r="BG1104" i="7" s="1"/>
  <c r="BH1104" i="7" s="1"/>
  <c r="BF961" i="7"/>
  <c r="BG961" i="7" s="1"/>
  <c r="BH961" i="7" s="1"/>
  <c r="BF962" i="7"/>
  <c r="BG962" i="7" s="1"/>
  <c r="BH962" i="7" s="1"/>
  <c r="BF1105" i="7"/>
  <c r="BG1105" i="7" s="1"/>
  <c r="BH1105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1106" i="7"/>
  <c r="BG1106" i="7" s="1"/>
  <c r="BH1106" i="7" s="1"/>
  <c r="BF1107" i="7"/>
  <c r="BG1107" i="7" s="1"/>
  <c r="BH1107" i="7" s="1"/>
  <c r="BF849" i="7"/>
  <c r="BG849" i="7" s="1"/>
  <c r="BH849" i="7" s="1"/>
  <c r="BF967" i="7"/>
  <c r="BG967" i="7" s="1"/>
  <c r="BH967" i="7" s="1"/>
  <c r="BF1108" i="7"/>
  <c r="BG1108" i="7" s="1"/>
  <c r="BH1108" i="7" s="1"/>
  <c r="BF1109" i="7"/>
  <c r="BG1109" i="7" s="1"/>
  <c r="BH1109" i="7" s="1"/>
  <c r="BF968" i="7"/>
  <c r="BG968" i="7" s="1"/>
  <c r="BH968" i="7" s="1"/>
  <c r="BF1110" i="7"/>
  <c r="BG1110" i="7" s="1"/>
  <c r="BH1110" i="7" s="1"/>
  <c r="BF969" i="7"/>
  <c r="BG969" i="7" s="1"/>
  <c r="BH969" i="7" s="1"/>
  <c r="BF970" i="7"/>
  <c r="BG970" i="7" s="1"/>
  <c r="BH970" i="7" s="1"/>
  <c r="BF702" i="7"/>
  <c r="BG702" i="7" s="1"/>
  <c r="BH702" i="7" s="1"/>
  <c r="BF850" i="7"/>
  <c r="BG850" i="7" s="1"/>
  <c r="BH850" i="7" s="1"/>
  <c r="BF971" i="7"/>
  <c r="BG971" i="7" s="1"/>
  <c r="BH971" i="7" s="1"/>
  <c r="BF1111" i="7"/>
  <c r="BG1111" i="7" s="1"/>
  <c r="BH1111" i="7" s="1"/>
  <c r="BF972" i="7"/>
  <c r="BG972" i="7" s="1"/>
  <c r="BH972" i="7" s="1"/>
  <c r="BF851" i="7"/>
  <c r="BG851" i="7" s="1"/>
  <c r="BH851" i="7" s="1"/>
  <c r="BF1112" i="7"/>
  <c r="BG1112" i="7" s="1"/>
  <c r="BH1112" i="7" s="1"/>
  <c r="BF1113" i="7"/>
  <c r="BG1113" i="7" s="1"/>
  <c r="BH1113" i="7" s="1"/>
  <c r="BF1114" i="7"/>
  <c r="BG1114" i="7" s="1"/>
  <c r="BH1114" i="7" s="1"/>
  <c r="BF852" i="7"/>
  <c r="BG852" i="7" s="1"/>
  <c r="BH852" i="7" s="1"/>
  <c r="BF853" i="7"/>
  <c r="BG853" i="7" s="1"/>
  <c r="BH853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1115" i="7"/>
  <c r="BG1115" i="7" s="1"/>
  <c r="BH1115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854" i="7"/>
  <c r="BG854" i="7" s="1"/>
  <c r="BH854" i="7" s="1"/>
  <c r="BF1116" i="7"/>
  <c r="BG1116" i="7" s="1"/>
  <c r="BH1116" i="7" s="1"/>
  <c r="BF703" i="7"/>
  <c r="BG703" i="7" s="1"/>
  <c r="BH703" i="7" s="1"/>
  <c r="BF982" i="7"/>
  <c r="BG982" i="7" s="1"/>
  <c r="BH982" i="7" s="1"/>
  <c r="BF983" i="7"/>
  <c r="BG983" i="7" s="1"/>
  <c r="BH983" i="7" s="1"/>
  <c r="BF389" i="7"/>
  <c r="BG389" i="7" s="1"/>
  <c r="BH389" i="7" s="1"/>
  <c r="BF984" i="7"/>
  <c r="BG984" i="7" s="1"/>
  <c r="BH984" i="7" s="1"/>
  <c r="BF985" i="7"/>
  <c r="BG985" i="7" s="1"/>
  <c r="BH985" i="7" s="1"/>
  <c r="BF986" i="7"/>
  <c r="BG986" i="7" s="1"/>
  <c r="BH986" i="7" s="1"/>
  <c r="BF855" i="7"/>
  <c r="BG855" i="7" s="1"/>
  <c r="BH855" i="7" s="1"/>
  <c r="BF987" i="7"/>
  <c r="BG987" i="7" s="1"/>
  <c r="BH987" i="7" s="1"/>
  <c r="BF988" i="7"/>
  <c r="BG988" i="7" s="1"/>
  <c r="BH988" i="7" s="1"/>
  <c r="BF989" i="7"/>
  <c r="BG989" i="7" s="1"/>
  <c r="BH989" i="7" s="1"/>
  <c r="BF704" i="7"/>
  <c r="BG704" i="7" s="1"/>
  <c r="BH704" i="7" s="1"/>
  <c r="BF1117" i="7"/>
  <c r="BG1117" i="7" s="1"/>
  <c r="BH1117" i="7" s="1"/>
  <c r="BF990" i="7"/>
  <c r="BG990" i="7" s="1"/>
  <c r="BH990" i="7" s="1"/>
  <c r="BF856" i="7"/>
  <c r="BG856" i="7" s="1"/>
  <c r="BH856" i="7" s="1"/>
  <c r="BF991" i="7"/>
  <c r="BG991" i="7" s="1"/>
  <c r="BH991" i="7" s="1"/>
  <c r="BF992" i="7"/>
  <c r="BG992" i="7" s="1"/>
  <c r="BH992" i="7" s="1"/>
  <c r="BF993" i="7"/>
  <c r="BG993" i="7" s="1"/>
  <c r="BH993" i="7" s="1"/>
  <c r="BF1118" i="7"/>
  <c r="BG1118" i="7" s="1"/>
  <c r="BH1118" i="7" s="1"/>
  <c r="BF1119" i="7"/>
  <c r="BG1119" i="7" s="1"/>
  <c r="BH1119" i="7" s="1"/>
  <c r="BF994" i="7"/>
  <c r="BG994" i="7" s="1"/>
  <c r="BH994" i="7" s="1"/>
  <c r="BF1120" i="7"/>
  <c r="BG1120" i="7" s="1"/>
  <c r="BH1120" i="7" s="1"/>
  <c r="BF705" i="7"/>
  <c r="BG705" i="7" s="1"/>
  <c r="BH705" i="7" s="1"/>
  <c r="BF995" i="7"/>
  <c r="BG995" i="7" s="1"/>
  <c r="BH995" i="7" s="1"/>
  <c r="BF996" i="7"/>
  <c r="BG996" i="7" s="1"/>
  <c r="BH996" i="7" s="1"/>
  <c r="BF857" i="7"/>
  <c r="BG857" i="7" s="1"/>
  <c r="BH857" i="7" s="1"/>
  <c r="BF997" i="7"/>
  <c r="BG997" i="7" s="1"/>
  <c r="BH997" i="7" s="1"/>
  <c r="BF1121" i="7"/>
  <c r="BG1121" i="7" s="1"/>
  <c r="BH1121" i="7" s="1"/>
  <c r="BF1122" i="7"/>
  <c r="BG1122" i="7" s="1"/>
  <c r="BH1122" i="7" s="1"/>
  <c r="BF998" i="7"/>
  <c r="BG998" i="7" s="1"/>
  <c r="BH998" i="7" s="1"/>
  <c r="BF999" i="7"/>
  <c r="BG999" i="7" s="1"/>
  <c r="BH999" i="7" s="1"/>
  <c r="BF858" i="7"/>
  <c r="BG858" i="7" s="1"/>
  <c r="BH858" i="7" s="1"/>
  <c r="BF1000" i="7"/>
  <c r="BG1000" i="7" s="1"/>
  <c r="BH1000" i="7" s="1"/>
  <c r="BF1001" i="7"/>
  <c r="BG1001" i="7" s="1"/>
  <c r="BH1001" i="7" s="1"/>
  <c r="BF859" i="7"/>
  <c r="BG859" i="7" s="1"/>
  <c r="BH859" i="7" s="1"/>
  <c r="BF860" i="7"/>
  <c r="BG860" i="7" s="1"/>
  <c r="BH860" i="7" s="1"/>
  <c r="BF1002" i="7"/>
  <c r="BG1002" i="7" s="1"/>
  <c r="BH1002" i="7" s="1"/>
  <c r="BF1003" i="7"/>
  <c r="BG1003" i="7" s="1"/>
  <c r="BH1003" i="7" s="1"/>
  <c r="BF1004" i="7"/>
  <c r="BG1004" i="7" s="1"/>
  <c r="BH1004" i="7" s="1"/>
  <c r="BF861" i="7"/>
  <c r="BG861" i="7" s="1"/>
  <c r="BH861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862" i="7"/>
  <c r="BG862" i="7" s="1"/>
  <c r="BH862" i="7" s="1"/>
  <c r="BF1010" i="7"/>
  <c r="BG1010" i="7" s="1"/>
  <c r="BH1010" i="7" s="1"/>
  <c r="BF1011" i="7"/>
  <c r="BG1011" i="7" s="1"/>
  <c r="BH1011" i="7" s="1"/>
  <c r="BF1123" i="7"/>
  <c r="BG1123" i="7" s="1"/>
  <c r="BH1123" i="7" s="1"/>
  <c r="BF863" i="7"/>
  <c r="BG863" i="7" s="1"/>
  <c r="BH863" i="7" s="1"/>
  <c r="BF1012" i="7"/>
  <c r="BG1012" i="7" s="1"/>
  <c r="BH1012" i="7" s="1"/>
  <c r="BF1013" i="7"/>
  <c r="BG1013" i="7" s="1"/>
  <c r="BH1013" i="7" s="1"/>
  <c r="BF1014" i="7"/>
  <c r="BG1014" i="7" s="1"/>
  <c r="BH1014" i="7" s="1"/>
  <c r="BF864" i="7"/>
  <c r="BG864" i="7" s="1"/>
  <c r="BH864" i="7" s="1"/>
  <c r="BF1124" i="7"/>
  <c r="BG1124" i="7" s="1"/>
  <c r="BH1124" i="7" s="1"/>
  <c r="BF865" i="7"/>
  <c r="BG865" i="7" s="1"/>
  <c r="BH865" i="7" s="1"/>
  <c r="BF1015" i="7"/>
  <c r="BG1015" i="7" s="1"/>
  <c r="BH1015" i="7" s="1"/>
  <c r="BF1125" i="7"/>
  <c r="BG1125" i="7" s="1"/>
  <c r="BH1125" i="7" s="1"/>
  <c r="BF1016" i="7"/>
  <c r="BG1016" i="7" s="1"/>
  <c r="BH1016" i="7" s="1"/>
  <c r="BF1017" i="7"/>
  <c r="BG1017" i="7" s="1"/>
  <c r="BH1017" i="7" s="1"/>
  <c r="BF1126" i="7"/>
  <c r="BG1126" i="7" s="1"/>
  <c r="BH1126" i="7" s="1"/>
  <c r="BF1018" i="7"/>
  <c r="BG1018" i="7" s="1"/>
  <c r="BH1018" i="7" s="1"/>
  <c r="BF1019" i="7"/>
  <c r="BG1019" i="7" s="1"/>
  <c r="BH1019" i="7" s="1"/>
  <c r="BF1127" i="7"/>
  <c r="BG1127" i="7" s="1"/>
  <c r="BH1127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128" i="7"/>
  <c r="BG1128" i="7" s="1"/>
  <c r="BH1128" i="7" s="1"/>
  <c r="BF1025" i="7"/>
  <c r="BG1025" i="7" s="1"/>
  <c r="BH1025" i="7" s="1"/>
  <c r="BF866" i="7"/>
  <c r="BG866" i="7" s="1"/>
  <c r="BH866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706" i="7"/>
  <c r="BG706" i="7" s="1"/>
  <c r="BH706" i="7" s="1"/>
  <c r="BF1030" i="7"/>
  <c r="BG1030" i="7" s="1"/>
  <c r="BH1030" i="7" s="1"/>
  <c r="BF867" i="7"/>
  <c r="BG867" i="7" s="1"/>
  <c r="BH867" i="7" s="1"/>
  <c r="BF1031" i="7"/>
  <c r="BG1031" i="7" s="1"/>
  <c r="BH1031" i="7" s="1"/>
  <c r="BF868" i="7"/>
  <c r="BG868" i="7" s="1"/>
  <c r="BH868" i="7" s="1"/>
  <c r="BF1032" i="7"/>
  <c r="BG1032" i="7" s="1"/>
  <c r="BH1032" i="7" s="1"/>
  <c r="BF869" i="7"/>
  <c r="BG869" i="7" s="1"/>
  <c r="BH869" i="7" s="1"/>
  <c r="BF707" i="7"/>
  <c r="BG707" i="7" s="1"/>
  <c r="BH707" i="7" s="1"/>
  <c r="BF1129" i="7"/>
  <c r="BG1129" i="7" s="1"/>
  <c r="BH1129" i="7" s="1"/>
  <c r="BF1033" i="7"/>
  <c r="BG1033" i="7" s="1"/>
  <c r="BH1033" i="7" s="1"/>
  <c r="BF1130" i="7"/>
  <c r="BG1130" i="7" s="1"/>
  <c r="BH1130" i="7" s="1"/>
  <c r="BF1131" i="7"/>
  <c r="BG1131" i="7" s="1"/>
  <c r="BH1131" i="7" s="1"/>
  <c r="BF1034" i="7"/>
  <c r="BG1034" i="7" s="1"/>
  <c r="BH1034" i="7" s="1"/>
  <c r="BF1035" i="7"/>
  <c r="BG1035" i="7" s="1"/>
  <c r="BH1035" i="7" s="1"/>
  <c r="BF1036" i="7"/>
  <c r="BG1036" i="7" s="1"/>
  <c r="BH1036" i="7" s="1"/>
  <c r="BF870" i="7"/>
  <c r="BG870" i="7" s="1"/>
  <c r="BH870" i="7" s="1"/>
  <c r="BF1037" i="7"/>
  <c r="BG1037" i="7" s="1"/>
  <c r="BH1037" i="7" s="1"/>
  <c r="BF1038" i="7"/>
  <c r="BG1038" i="7" s="1"/>
  <c r="BH1038" i="7" s="1"/>
  <c r="BF1132" i="7"/>
  <c r="BG1132" i="7" s="1"/>
  <c r="BH1132" i="7" s="1"/>
  <c r="BF1039" i="7"/>
  <c r="BG1039" i="7" s="1"/>
  <c r="BH1039" i="7" s="1"/>
  <c r="BF1040" i="7"/>
  <c r="BG1040" i="7" s="1"/>
  <c r="BH1040" i="7" s="1"/>
  <c r="BF1133" i="7"/>
  <c r="BG1133" i="7" s="1"/>
  <c r="BH1133" i="7" s="1"/>
  <c r="BF1041" i="7"/>
  <c r="BG1041" i="7" s="1"/>
  <c r="BH1041" i="7" s="1"/>
  <c r="BF1042" i="7"/>
  <c r="BG1042" i="7" s="1"/>
  <c r="BH1042" i="7" s="1"/>
  <c r="BF1134" i="7"/>
  <c r="BG1134" i="7" s="1"/>
  <c r="BH1134" i="7" s="1"/>
  <c r="BF1043" i="7"/>
  <c r="BG1043" i="7" s="1"/>
  <c r="BH1043" i="7" s="1"/>
  <c r="BF1135" i="7"/>
  <c r="BG1135" i="7" s="1"/>
  <c r="BH1135" i="7" s="1"/>
  <c r="BF1044" i="7"/>
  <c r="BG1044" i="7" s="1"/>
  <c r="BH1044" i="7" s="1"/>
  <c r="BF1045" i="7"/>
  <c r="BG1045" i="7" s="1"/>
  <c r="BH1045" i="7" s="1"/>
  <c r="BF871" i="7"/>
  <c r="BG871" i="7" s="1"/>
  <c r="BH871" i="7" s="1"/>
  <c r="BF1046" i="7"/>
  <c r="BG1046" i="7" s="1"/>
  <c r="BH1046" i="7" s="1"/>
  <c r="BF1136" i="7"/>
  <c r="BG1136" i="7" s="1"/>
  <c r="BH1136" i="7" s="1"/>
  <c r="BF1137" i="7"/>
  <c r="BG1137" i="7" s="1"/>
  <c r="BH1137" i="7" s="1"/>
  <c r="BF1047" i="7"/>
  <c r="BG1047" i="7" s="1"/>
  <c r="BH1047" i="7" s="1"/>
  <c r="BF1138" i="7"/>
  <c r="BG1138" i="7" s="1"/>
  <c r="BH1138" i="7" s="1"/>
  <c r="BF1048" i="7"/>
  <c r="BG1048" i="7" s="1"/>
  <c r="BH1048" i="7" s="1"/>
  <c r="BF1049" i="7"/>
  <c r="BG1049" i="7" s="1"/>
  <c r="BH1049" i="7" s="1"/>
  <c r="BF1139" i="7"/>
  <c r="BG1139" i="7" s="1"/>
  <c r="BH1139" i="7" s="1"/>
  <c r="BF1140" i="7"/>
  <c r="BG1140" i="7" s="1"/>
  <c r="BH1140" i="7" s="1"/>
  <c r="BF1050" i="7"/>
  <c r="BG1050" i="7" s="1"/>
  <c r="BH1050" i="7" s="1"/>
  <c r="BF1254" i="7"/>
  <c r="BG1254" i="7" s="1"/>
  <c r="BH1254" i="7" s="1"/>
  <c r="BF1051" i="7"/>
  <c r="BG1051" i="7" s="1"/>
  <c r="BH1051" i="7" s="1"/>
  <c r="BF1141" i="7"/>
  <c r="BG1141" i="7" s="1"/>
  <c r="BH1141" i="7" s="1"/>
  <c r="BF1255" i="7"/>
  <c r="BG1255" i="7" s="1"/>
  <c r="BH1255" i="7" s="1"/>
  <c r="BF1142" i="7"/>
  <c r="BG1142" i="7" s="1"/>
  <c r="BH1142" i="7" s="1"/>
  <c r="BF1143" i="7"/>
  <c r="BG1143" i="7" s="1"/>
  <c r="BH1143" i="7" s="1"/>
  <c r="BF548" i="7"/>
  <c r="BG548" i="7" s="1"/>
  <c r="BH548" i="7" s="1"/>
  <c r="BF1052" i="7"/>
  <c r="BG1052" i="7" s="1"/>
  <c r="BH1052" i="7" s="1"/>
  <c r="BF1256" i="7"/>
  <c r="BG1256" i="7" s="1"/>
  <c r="BH1256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053" i="7"/>
  <c r="BG1053" i="7" s="1"/>
  <c r="BH1053" i="7" s="1"/>
  <c r="BF1257" i="7"/>
  <c r="BG1257" i="7" s="1"/>
  <c r="BH1257" i="7" s="1"/>
  <c r="BF1148" i="7"/>
  <c r="BG1148" i="7" s="1"/>
  <c r="BH1148" i="7" s="1"/>
  <c r="BF1258" i="7"/>
  <c r="BG1258" i="7" s="1"/>
  <c r="BH1258" i="7" s="1"/>
  <c r="BF1259" i="7"/>
  <c r="BG1259" i="7" s="1"/>
  <c r="BH1259" i="7" s="1"/>
  <c r="BF1149" i="7"/>
  <c r="BG1149" i="7" s="1"/>
  <c r="BH1149" i="7" s="1"/>
  <c r="BF1260" i="7"/>
  <c r="BG1260" i="7" s="1"/>
  <c r="BH1260" i="7" s="1"/>
  <c r="BF1150" i="7"/>
  <c r="BG1150" i="7" s="1"/>
  <c r="BH1150" i="7" s="1"/>
  <c r="BF1151" i="7"/>
  <c r="BG1151" i="7" s="1"/>
  <c r="BH1151" i="7" s="1"/>
  <c r="BF1152" i="7"/>
  <c r="BG1152" i="7" s="1"/>
  <c r="BH1152" i="7" s="1"/>
  <c r="BF1054" i="7"/>
  <c r="BG1054" i="7" s="1"/>
  <c r="BH1054" i="7" s="1"/>
  <c r="BF1055" i="7"/>
  <c r="BG1055" i="7" s="1"/>
  <c r="BH1055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056" i="7"/>
  <c r="BG1056" i="7" s="1"/>
  <c r="BH1056" i="7" s="1"/>
  <c r="BF1057" i="7"/>
  <c r="BG1057" i="7" s="1"/>
  <c r="BH1057" i="7" s="1"/>
  <c r="BF1261" i="7"/>
  <c r="BG1261" i="7" s="1"/>
  <c r="BH1261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262" i="7"/>
  <c r="BG1262" i="7" s="1"/>
  <c r="BH1262" i="7" s="1"/>
  <c r="BF1058" i="7"/>
  <c r="BG1058" i="7" s="1"/>
  <c r="BH1058" i="7" s="1"/>
  <c r="BF1162" i="7"/>
  <c r="BG1162" i="7" s="1"/>
  <c r="BH1162" i="7" s="1"/>
  <c r="BF1059" i="7"/>
  <c r="BG1059" i="7" s="1"/>
  <c r="BH1059" i="7" s="1"/>
  <c r="BF1263" i="7"/>
  <c r="BG1263" i="7" s="1"/>
  <c r="BH1263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264" i="7"/>
  <c r="BG1264" i="7" s="1"/>
  <c r="BH1264" i="7" s="1"/>
  <c r="BF1168" i="7"/>
  <c r="BG1168" i="7" s="1"/>
  <c r="BH1168" i="7" s="1"/>
  <c r="BF1169" i="7"/>
  <c r="BG1169" i="7" s="1"/>
  <c r="BH1169" i="7" s="1"/>
  <c r="BF1170" i="7"/>
  <c r="BG1170" i="7" s="1"/>
  <c r="BH1170" i="7" s="1"/>
  <c r="BF1060" i="7"/>
  <c r="BG1060" i="7" s="1"/>
  <c r="BH106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265" i="7"/>
  <c r="BG1265" i="7" s="1"/>
  <c r="BH126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061" i="7"/>
  <c r="BG1061" i="7" s="1"/>
  <c r="BH1061" i="7" s="1"/>
  <c r="BF1180" i="7"/>
  <c r="BG1180" i="7" s="1"/>
  <c r="BH1180" i="7" s="1"/>
  <c r="BF1181" i="7"/>
  <c r="BG1181" i="7" s="1"/>
  <c r="BH1181" i="7" s="1"/>
  <c r="BF1266" i="7"/>
  <c r="BG1266" i="7" s="1"/>
  <c r="BH1266" i="7" s="1"/>
  <c r="BF1267" i="7"/>
  <c r="BG1267" i="7" s="1"/>
  <c r="BH1267" i="7" s="1"/>
  <c r="BF1182" i="7"/>
  <c r="BG1182" i="7" s="1"/>
  <c r="BH1182" i="7" s="1"/>
  <c r="BF1183" i="7"/>
  <c r="BG1183" i="7" s="1"/>
  <c r="BH1183" i="7" s="1"/>
  <c r="BF1184" i="7"/>
  <c r="BG1184" i="7" s="1"/>
  <c r="BH1184" i="7" s="1"/>
  <c r="BF1062" i="7"/>
  <c r="BG1062" i="7" s="1"/>
  <c r="BH1062" i="7" s="1"/>
  <c r="BF1185" i="7"/>
  <c r="BG1185" i="7" s="1"/>
  <c r="BH1185" i="7" s="1"/>
  <c r="BF1063" i="7"/>
  <c r="BG1063" i="7" s="1"/>
  <c r="BH1063" i="7" s="1"/>
  <c r="BF1268" i="7"/>
  <c r="BG1268" i="7" s="1"/>
  <c r="BH1268" i="7" s="1"/>
  <c r="BF1186" i="7"/>
  <c r="BG1186" i="7" s="1"/>
  <c r="BH1186" i="7" s="1"/>
  <c r="BF1269" i="7"/>
  <c r="BG1269" i="7" s="1"/>
  <c r="BH1269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064" i="7"/>
  <c r="BG1064" i="7" s="1"/>
  <c r="BH1064" i="7" s="1"/>
  <c r="BF1065" i="7"/>
  <c r="BG1065" i="7" s="1"/>
  <c r="BH1065" i="7" s="1"/>
  <c r="BF1066" i="7"/>
  <c r="BG1066" i="7" s="1"/>
  <c r="BH1066" i="7" s="1"/>
  <c r="BF1191" i="7"/>
  <c r="BG1191" i="7" s="1"/>
  <c r="BH1191" i="7" s="1"/>
  <c r="BF1270" i="7"/>
  <c r="BG1270" i="7" s="1"/>
  <c r="BH1270" i="7" s="1"/>
  <c r="BF1192" i="7"/>
  <c r="BG1192" i="7" s="1"/>
  <c r="BH1192" i="7" s="1"/>
  <c r="BF1271" i="7"/>
  <c r="BG1271" i="7" s="1"/>
  <c r="BH1271" i="7" s="1"/>
  <c r="BF1193" i="7"/>
  <c r="BG1193" i="7" s="1"/>
  <c r="BH1193" i="7" s="1"/>
  <c r="BF1194" i="7"/>
  <c r="BG1194" i="7" s="1"/>
  <c r="BH1194" i="7" s="1"/>
  <c r="BF1195" i="7"/>
  <c r="BG1195" i="7" s="1"/>
  <c r="BH1195" i="7" s="1"/>
  <c r="BF1067" i="7"/>
  <c r="BG1067" i="7" s="1"/>
  <c r="BH1067" i="7" s="1"/>
  <c r="BF138" i="7"/>
  <c r="BG138" i="7" s="1"/>
  <c r="BH138" i="7" s="1"/>
  <c r="BF1272" i="7"/>
  <c r="BG1272" i="7" s="1"/>
  <c r="BH1272" i="7" s="1"/>
  <c r="BF1273" i="7"/>
  <c r="BG1273" i="7" s="1"/>
  <c r="BH1273" i="7" s="1"/>
  <c r="BF1196" i="7"/>
  <c r="BG1196" i="7" s="1"/>
  <c r="BH1196" i="7" s="1"/>
  <c r="BF1274" i="7"/>
  <c r="BG1274" i="7" s="1"/>
  <c r="BH1274" i="7" s="1"/>
  <c r="BF1197" i="7"/>
  <c r="BG1197" i="7" s="1"/>
  <c r="BH1197" i="7" s="1"/>
  <c r="BF1198" i="7"/>
  <c r="BG1198" i="7" s="1"/>
  <c r="BH1198" i="7" s="1"/>
  <c r="BF1068" i="7"/>
  <c r="BG1068" i="7" s="1"/>
  <c r="BH1068" i="7" s="1"/>
  <c r="BF1069" i="7"/>
  <c r="BG1069" i="7" s="1"/>
  <c r="BH1069" i="7" s="1"/>
  <c r="BF1199" i="7"/>
  <c r="BG1199" i="7" s="1"/>
  <c r="BH1199" i="7" s="1"/>
  <c r="BF1200" i="7"/>
  <c r="BG1200" i="7" s="1"/>
  <c r="BH1200" i="7" s="1"/>
  <c r="BF1201" i="7"/>
  <c r="BG1201" i="7" s="1"/>
  <c r="BH1201" i="7" s="1"/>
  <c r="BF1070" i="7"/>
  <c r="BG1070" i="7" s="1"/>
  <c r="BH1070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071" i="7"/>
  <c r="BG1071" i="7" s="1"/>
  <c r="BH1071" i="7" s="1"/>
  <c r="BF1072" i="7"/>
  <c r="BG1072" i="7" s="1"/>
  <c r="BH1072" i="7" s="1"/>
  <c r="BF1275" i="7"/>
  <c r="BG1275" i="7" s="1"/>
  <c r="BH1275" i="7" s="1"/>
  <c r="BF1207" i="7"/>
  <c r="BG1207" i="7" s="1"/>
  <c r="BH1207" i="7" s="1"/>
  <c r="BF1276" i="7"/>
  <c r="BG1276" i="7" s="1"/>
  <c r="BH1276" i="7" s="1"/>
  <c r="BF1208" i="7"/>
  <c r="BG1208" i="7" s="1"/>
  <c r="BH1208" i="7" s="1"/>
  <c r="BF708" i="7"/>
  <c r="BG708" i="7" s="1"/>
  <c r="BH708" i="7" s="1"/>
  <c r="BF709" i="7"/>
  <c r="BG709" i="7" s="1"/>
  <c r="BH709" i="7" s="1"/>
  <c r="BF1209" i="7"/>
  <c r="BG1209" i="7" s="1"/>
  <c r="BH1209" i="7" s="1"/>
  <c r="BF1210" i="7"/>
  <c r="BG1210" i="7" s="1"/>
  <c r="BH1210" i="7" s="1"/>
  <c r="BF1211" i="7"/>
  <c r="BG1211" i="7" s="1"/>
  <c r="BH1211" i="7" s="1"/>
  <c r="BF1073" i="7"/>
  <c r="BG1073" i="7" s="1"/>
  <c r="BH1073" i="7" s="1"/>
  <c r="BF1212" i="7"/>
  <c r="BG1212" i="7" s="1"/>
  <c r="BH1212" i="7" s="1"/>
  <c r="BF1074" i="7"/>
  <c r="BG1074" i="7" s="1"/>
  <c r="BH1074" i="7" s="1"/>
  <c r="BF1213" i="7"/>
  <c r="BG1213" i="7" s="1"/>
  <c r="BH1213" i="7" s="1"/>
  <c r="BF1336" i="7"/>
  <c r="BG1336" i="7" s="1"/>
  <c r="BH1336" i="7" s="1"/>
  <c r="BF1277" i="7"/>
  <c r="BG1277" i="7" s="1"/>
  <c r="BH1277" i="7" s="1"/>
  <c r="BF1214" i="7"/>
  <c r="BG1214" i="7" s="1"/>
  <c r="BH1214" i="7" s="1"/>
  <c r="BF1337" i="7"/>
  <c r="BG1337" i="7" s="1"/>
  <c r="BH1337" i="7" s="1"/>
  <c r="BF1075" i="7"/>
  <c r="BG1075" i="7" s="1"/>
  <c r="BH1075" i="7" s="1"/>
  <c r="BF1215" i="7"/>
  <c r="BG1215" i="7" s="1"/>
  <c r="BH1215" i="7" s="1"/>
  <c r="BF1216" i="7"/>
  <c r="BG1216" i="7" s="1"/>
  <c r="BH1216" i="7" s="1"/>
  <c r="BF1278" i="7"/>
  <c r="BG1278" i="7" s="1"/>
  <c r="BH1278" i="7" s="1"/>
  <c r="BF1279" i="7"/>
  <c r="BG1279" i="7" s="1"/>
  <c r="BH1279" i="7" s="1"/>
  <c r="BF1280" i="7"/>
  <c r="BG1280" i="7" s="1"/>
  <c r="BH1280" i="7" s="1"/>
  <c r="BF1338" i="7"/>
  <c r="BG1338" i="7" s="1"/>
  <c r="BH1338" i="7" s="1"/>
  <c r="BF1339" i="7"/>
  <c r="BG1339" i="7" s="1"/>
  <c r="BH1339" i="7" s="1"/>
  <c r="BF1340" i="7"/>
  <c r="BG1340" i="7" s="1"/>
  <c r="BH1340" i="7" s="1"/>
  <c r="BF1217" i="7"/>
  <c r="BG1217" i="7" s="1"/>
  <c r="BH1217" i="7" s="1"/>
  <c r="BF1281" i="7"/>
  <c r="BG1281" i="7" s="1"/>
  <c r="BH1281" i="7" s="1"/>
  <c r="BF1218" i="7"/>
  <c r="BG1218" i="7" s="1"/>
  <c r="BH1218" i="7" s="1"/>
  <c r="BF1219" i="7"/>
  <c r="BG1219" i="7" s="1"/>
  <c r="BH1219" i="7" s="1"/>
  <c r="BF1282" i="7"/>
  <c r="BG1282" i="7" s="1"/>
  <c r="BH1282" i="7" s="1"/>
  <c r="BF1076" i="7"/>
  <c r="BG1076" i="7" s="1"/>
  <c r="BH1076" i="7" s="1"/>
  <c r="BF1283" i="7"/>
  <c r="BG1283" i="7" s="1"/>
  <c r="BH1283" i="7" s="1"/>
  <c r="BF1284" i="7"/>
  <c r="BG1284" i="7" s="1"/>
  <c r="BH1284" i="7" s="1"/>
  <c r="BF1341" i="7"/>
  <c r="BG1341" i="7" s="1"/>
  <c r="BH1341" i="7" s="1"/>
  <c r="BF1342" i="7"/>
  <c r="BG1342" i="7" s="1"/>
  <c r="BH1342" i="7" s="1"/>
  <c r="BF1077" i="7"/>
  <c r="BG1077" i="7" s="1"/>
  <c r="BH1077" i="7" s="1"/>
  <c r="BF1343" i="7"/>
  <c r="BG1343" i="7" s="1"/>
  <c r="BH1343" i="7" s="1"/>
  <c r="BF1285" i="7"/>
  <c r="BG1285" i="7" s="1"/>
  <c r="BH1285" i="7" s="1"/>
  <c r="BF1286" i="7"/>
  <c r="BG1286" i="7" s="1"/>
  <c r="BH1286" i="7" s="1"/>
  <c r="BF1220" i="7"/>
  <c r="BG1220" i="7" s="1"/>
  <c r="BH1220" i="7" s="1"/>
  <c r="BF1287" i="7"/>
  <c r="BG1287" i="7" s="1"/>
  <c r="BH1287" i="7" s="1"/>
  <c r="BF1288" i="7"/>
  <c r="BG1288" i="7" s="1"/>
  <c r="BH1288" i="7" s="1"/>
  <c r="BF1289" i="7"/>
  <c r="BG1289" i="7" s="1"/>
  <c r="BH1289" i="7" s="1"/>
  <c r="BF1344" i="7"/>
  <c r="BG1344" i="7" s="1"/>
  <c r="BH1344" i="7" s="1"/>
  <c r="BF1345" i="7"/>
  <c r="BG1345" i="7" s="1"/>
  <c r="BH1345" i="7" s="1"/>
  <c r="BF1346" i="7"/>
  <c r="BG1346" i="7" s="1"/>
  <c r="BH1346" i="7" s="1"/>
  <c r="BF1290" i="7"/>
  <c r="BG1290" i="7" s="1"/>
  <c r="BH1290" i="7" s="1"/>
  <c r="BF1347" i="7"/>
  <c r="BG1347" i="7" s="1"/>
  <c r="BH1347" i="7" s="1"/>
  <c r="BF1221" i="7"/>
  <c r="BG1221" i="7" s="1"/>
  <c r="BH1221" i="7" s="1"/>
  <c r="BF1348" i="7"/>
  <c r="BG1348" i="7" s="1"/>
  <c r="BH1348" i="7" s="1"/>
  <c r="BF1291" i="7"/>
  <c r="BG1291" i="7" s="1"/>
  <c r="BH1291" i="7" s="1"/>
  <c r="BF1222" i="7"/>
  <c r="BG1222" i="7" s="1"/>
  <c r="BH1222" i="7" s="1"/>
  <c r="BF1223" i="7"/>
  <c r="BG1223" i="7" s="1"/>
  <c r="BH1223" i="7" s="1"/>
  <c r="BF1349" i="7"/>
  <c r="BG1349" i="7" s="1"/>
  <c r="BH1349" i="7" s="1"/>
  <c r="BF1292" i="7"/>
  <c r="BG1292" i="7" s="1"/>
  <c r="BH1292" i="7" s="1"/>
  <c r="BF1224" i="7"/>
  <c r="BG1224" i="7" s="1"/>
  <c r="BH1224" i="7" s="1"/>
  <c r="BF1293" i="7"/>
  <c r="BG1293" i="7" s="1"/>
  <c r="BH1293" i="7" s="1"/>
  <c r="BF1294" i="7"/>
  <c r="BG1294" i="7" s="1"/>
  <c r="BH1294" i="7" s="1"/>
  <c r="BF1078" i="7"/>
  <c r="BG1078" i="7" s="1"/>
  <c r="BH1078" i="7" s="1"/>
  <c r="BF1295" i="7"/>
  <c r="BG1295" i="7" s="1"/>
  <c r="BH1295" i="7" s="1"/>
  <c r="BF1225" i="7"/>
  <c r="BG1225" i="7" s="1"/>
  <c r="BH1225" i="7" s="1"/>
  <c r="BF1296" i="7"/>
  <c r="BG1296" i="7" s="1"/>
  <c r="BH1296" i="7" s="1"/>
  <c r="BF1079" i="7"/>
  <c r="BG1079" i="7" s="1"/>
  <c r="BH1079" i="7" s="1"/>
  <c r="BF1297" i="7"/>
  <c r="BG1297" i="7" s="1"/>
  <c r="BH1297" i="7" s="1"/>
  <c r="BF1298" i="7"/>
  <c r="BG1298" i="7" s="1"/>
  <c r="BH1298" i="7" s="1"/>
  <c r="BF1299" i="7"/>
  <c r="BG1299" i="7" s="1"/>
  <c r="BH1299" i="7" s="1"/>
  <c r="BF1226" i="7"/>
  <c r="BG1226" i="7" s="1"/>
  <c r="BH1226" i="7" s="1"/>
  <c r="BF1227" i="7"/>
  <c r="BG1227" i="7" s="1"/>
  <c r="BH1227" i="7" s="1"/>
  <c r="BF1080" i="7"/>
  <c r="BG1080" i="7" s="1"/>
  <c r="BH1080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50" i="7"/>
  <c r="BG1350" i="7" s="1"/>
  <c r="BH1350" i="7" s="1"/>
  <c r="BF1351" i="7"/>
  <c r="BG1351" i="7" s="1"/>
  <c r="BH1351" i="7" s="1"/>
  <c r="BF1228" i="7"/>
  <c r="BG1228" i="7" s="1"/>
  <c r="BH1228" i="7" s="1"/>
  <c r="BF1305" i="7"/>
  <c r="BG1305" i="7" s="1"/>
  <c r="BH1305" i="7" s="1"/>
  <c r="BF1352" i="7"/>
  <c r="BG1352" i="7" s="1"/>
  <c r="BH1352" i="7" s="1"/>
  <c r="BF1353" i="7"/>
  <c r="BG1353" i="7" s="1"/>
  <c r="BH1353" i="7" s="1"/>
  <c r="BF1229" i="7"/>
  <c r="BG1229" i="7" s="1"/>
  <c r="BH1229" i="7" s="1"/>
  <c r="BF1306" i="7"/>
  <c r="BG1306" i="7" s="1"/>
  <c r="BH1306" i="7" s="1"/>
  <c r="BF1230" i="7"/>
  <c r="BG1230" i="7" s="1"/>
  <c r="BH1230" i="7" s="1"/>
  <c r="BF1354" i="7"/>
  <c r="BG1354" i="7" s="1"/>
  <c r="BH1354" i="7" s="1"/>
  <c r="BF1355" i="7"/>
  <c r="BG1355" i="7" s="1"/>
  <c r="BH1355" i="7" s="1"/>
  <c r="BF1307" i="7"/>
  <c r="BG1307" i="7" s="1"/>
  <c r="BH1307" i="7" s="1"/>
  <c r="BF1356" i="7"/>
  <c r="BG1356" i="7" s="1"/>
  <c r="BH1356" i="7" s="1"/>
  <c r="BF1357" i="7"/>
  <c r="BG1357" i="7" s="1"/>
  <c r="BH1357" i="7" s="1"/>
  <c r="BF1308" i="7"/>
  <c r="BG1308" i="7" s="1"/>
  <c r="BH1308" i="7" s="1"/>
  <c r="BF1231" i="7"/>
  <c r="BG1231" i="7" s="1"/>
  <c r="BH1231" i="7" s="1"/>
  <c r="BF1081" i="7"/>
  <c r="BG1081" i="7" s="1"/>
  <c r="BH1081" i="7" s="1"/>
  <c r="BF1232" i="7"/>
  <c r="BG1232" i="7" s="1"/>
  <c r="BH1232" i="7" s="1"/>
  <c r="BF1309" i="7"/>
  <c r="BG1309" i="7" s="1"/>
  <c r="BH1309" i="7" s="1"/>
  <c r="BF1358" i="7"/>
  <c r="BG1358" i="7" s="1"/>
  <c r="BH1358" i="7" s="1"/>
  <c r="BF1310" i="7"/>
  <c r="BG1310" i="7" s="1"/>
  <c r="BH1310" i="7" s="1"/>
  <c r="BF1311" i="7"/>
  <c r="BG1311" i="7" s="1"/>
  <c r="BH1311" i="7" s="1"/>
  <c r="BF1359" i="7"/>
  <c r="BG1359" i="7" s="1"/>
  <c r="BH1359" i="7" s="1"/>
  <c r="BF1360" i="7"/>
  <c r="BG1360" i="7" s="1"/>
  <c r="BH1360" i="7" s="1"/>
  <c r="BF1361" i="7"/>
  <c r="BG1361" i="7" s="1"/>
  <c r="BH1361" i="7" s="1"/>
  <c r="BF1424" i="7"/>
  <c r="BG1424" i="7" s="1"/>
  <c r="BH1424" i="7" s="1"/>
  <c r="BF1362" i="7"/>
  <c r="BG1362" i="7" s="1"/>
  <c r="BH1362" i="7" s="1"/>
  <c r="BF1425" i="7"/>
  <c r="BG1425" i="7" s="1"/>
  <c r="BH1425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426" i="7"/>
  <c r="BG1426" i="7" s="1"/>
  <c r="BH1426" i="7" s="1"/>
  <c r="BF1427" i="7"/>
  <c r="BG1427" i="7" s="1"/>
  <c r="BH1427" i="7" s="1"/>
  <c r="BF1367" i="7"/>
  <c r="BG1367" i="7" s="1"/>
  <c r="BH1367" i="7" s="1"/>
  <c r="BF1428" i="7"/>
  <c r="BG1428" i="7" s="1"/>
  <c r="BH1428" i="7" s="1"/>
  <c r="BF1429" i="7"/>
  <c r="BG1429" i="7" s="1"/>
  <c r="BH1429" i="7" s="1"/>
  <c r="BF139" i="7"/>
  <c r="BG139" i="7" s="1"/>
  <c r="BH139" i="7" s="1"/>
  <c r="BF1312" i="7"/>
  <c r="BG1312" i="7" s="1"/>
  <c r="BH1312" i="7" s="1"/>
  <c r="BF1233" i="7"/>
  <c r="BG1233" i="7" s="1"/>
  <c r="BH1233" i="7" s="1"/>
  <c r="BF1313" i="7"/>
  <c r="BG1313" i="7" s="1"/>
  <c r="BH1313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14" i="7"/>
  <c r="BG1314" i="7" s="1"/>
  <c r="BH1314" i="7" s="1"/>
  <c r="BF1372" i="7"/>
  <c r="BG1372" i="7" s="1"/>
  <c r="BH1372" i="7" s="1"/>
  <c r="BF1234" i="7"/>
  <c r="BG1234" i="7" s="1"/>
  <c r="BH1234" i="7" s="1"/>
  <c r="BF1373" i="7"/>
  <c r="BG1373" i="7" s="1"/>
  <c r="BH1373" i="7" s="1"/>
  <c r="BF1374" i="7"/>
  <c r="BG1374" i="7" s="1"/>
  <c r="BH1374" i="7" s="1"/>
  <c r="BF1315" i="7"/>
  <c r="BG1315" i="7" s="1"/>
  <c r="BH1315" i="7" s="1"/>
  <c r="BF1375" i="7"/>
  <c r="BG1375" i="7" s="1"/>
  <c r="BH1375" i="7" s="1"/>
  <c r="BF1376" i="7"/>
  <c r="BG1376" i="7" s="1"/>
  <c r="BH1376" i="7" s="1"/>
  <c r="BF1430" i="7"/>
  <c r="BG1430" i="7" s="1"/>
  <c r="BH1430" i="7" s="1"/>
  <c r="BF1431" i="7"/>
  <c r="BG1431" i="7" s="1"/>
  <c r="BH1431" i="7" s="1"/>
  <c r="BF1377" i="7"/>
  <c r="BG1377" i="7" s="1"/>
  <c r="BH1377" i="7" s="1"/>
  <c r="BF1432" i="7"/>
  <c r="BG1432" i="7" s="1"/>
  <c r="BH1432" i="7" s="1"/>
  <c r="BF1378" i="7"/>
  <c r="BG1378" i="7" s="1"/>
  <c r="BH1378" i="7" s="1"/>
  <c r="BF1379" i="7"/>
  <c r="BG1379" i="7" s="1"/>
  <c r="BH1379" i="7" s="1"/>
  <c r="BF1316" i="7"/>
  <c r="BG1316" i="7" s="1"/>
  <c r="BH1316" i="7" s="1"/>
  <c r="BF1433" i="7"/>
  <c r="BG1433" i="7" s="1"/>
  <c r="BH1433" i="7" s="1"/>
  <c r="BF1380" i="7"/>
  <c r="BG1380" i="7" s="1"/>
  <c r="BH1380" i="7" s="1"/>
  <c r="BF1434" i="7"/>
  <c r="BG1434" i="7" s="1"/>
  <c r="BH1434" i="7" s="1"/>
  <c r="BF1435" i="7"/>
  <c r="BG1435" i="7" s="1"/>
  <c r="BH1435" i="7" s="1"/>
  <c r="BF1381" i="7"/>
  <c r="BG1381" i="7" s="1"/>
  <c r="BH1381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382" i="7"/>
  <c r="BG1382" i="7" s="1"/>
  <c r="BH1382" i="7" s="1"/>
  <c r="BF1440" i="7"/>
  <c r="BG1440" i="7" s="1"/>
  <c r="BH1440" i="7" s="1"/>
  <c r="BF1235" i="7"/>
  <c r="BG1235" i="7" s="1"/>
  <c r="BH1235" i="7" s="1"/>
  <c r="BF1383" i="7"/>
  <c r="BG1383" i="7" s="1"/>
  <c r="BH1383" i="7" s="1"/>
  <c r="BF1441" i="7"/>
  <c r="BG1441" i="7" s="1"/>
  <c r="BH1441" i="7" s="1"/>
  <c r="BF1384" i="7"/>
  <c r="BG1384" i="7" s="1"/>
  <c r="BH1384" i="7" s="1"/>
  <c r="BF1442" i="7"/>
  <c r="BG1442" i="7" s="1"/>
  <c r="BH1442" i="7" s="1"/>
  <c r="BF1385" i="7"/>
  <c r="BG1385" i="7" s="1"/>
  <c r="BH1385" i="7" s="1"/>
  <c r="BF1386" i="7"/>
  <c r="BG1386" i="7" s="1"/>
  <c r="BH1386" i="7" s="1"/>
  <c r="BF1387" i="7"/>
  <c r="BG1387" i="7" s="1"/>
  <c r="BH1387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388" i="7"/>
  <c r="BG1388" i="7" s="1"/>
  <c r="BH1388" i="7" s="1"/>
  <c r="BF1317" i="7"/>
  <c r="BG1317" i="7" s="1"/>
  <c r="BH1317" i="7" s="1"/>
  <c r="BF1447" i="7"/>
  <c r="BG1447" i="7" s="1"/>
  <c r="BH1447" i="7" s="1"/>
  <c r="BF1448" i="7"/>
  <c r="BG1448" i="7" s="1"/>
  <c r="BH1448" i="7" s="1"/>
  <c r="BF1318" i="7"/>
  <c r="BG1318" i="7" s="1"/>
  <c r="BH1318" i="7" s="1"/>
  <c r="BF1449" i="7"/>
  <c r="BG1449" i="7" s="1"/>
  <c r="BH1449" i="7" s="1"/>
  <c r="BF1450" i="7"/>
  <c r="BG1450" i="7" s="1"/>
  <c r="BH1450" i="7" s="1"/>
  <c r="BF1451" i="7"/>
  <c r="BG1451" i="7" s="1"/>
  <c r="BH1451" i="7" s="1"/>
  <c r="BF872" i="7"/>
  <c r="BG872" i="7" s="1"/>
  <c r="BH872" i="7" s="1"/>
  <c r="BF1452" i="7"/>
  <c r="BG1452" i="7" s="1"/>
  <c r="BH1452" i="7" s="1"/>
  <c r="BF1236" i="7"/>
  <c r="BG1236" i="7" s="1"/>
  <c r="BH1236" i="7" s="1"/>
  <c r="BF1389" i="7"/>
  <c r="BG1389" i="7" s="1"/>
  <c r="BH1389" i="7" s="1"/>
  <c r="BF1453" i="7"/>
  <c r="BG1453" i="7" s="1"/>
  <c r="BH1453" i="7" s="1"/>
  <c r="BF1237" i="7"/>
  <c r="BG1237" i="7" s="1"/>
  <c r="BH1237" i="7" s="1"/>
  <c r="BF1454" i="7"/>
  <c r="BG1454" i="7" s="1"/>
  <c r="BH1454" i="7" s="1"/>
  <c r="BF1455" i="7"/>
  <c r="BG1455" i="7" s="1"/>
  <c r="BH1455" i="7" s="1"/>
  <c r="BF1456" i="7"/>
  <c r="BG1456" i="7" s="1"/>
  <c r="BH1456" i="7" s="1"/>
  <c r="BF1319" i="7"/>
  <c r="BG1319" i="7" s="1"/>
  <c r="BH1319" i="7" s="1"/>
  <c r="BF1457" i="7"/>
  <c r="BG1457" i="7" s="1"/>
  <c r="BH1457" i="7" s="1"/>
  <c r="BF1320" i="7"/>
  <c r="BG1320" i="7" s="1"/>
  <c r="BH1320" i="7" s="1"/>
  <c r="BF1390" i="7"/>
  <c r="BG1390" i="7" s="1"/>
  <c r="BH1390" i="7" s="1"/>
  <c r="BF1321" i="7"/>
  <c r="BG1321" i="7" s="1"/>
  <c r="BH1321" i="7" s="1"/>
  <c r="BF1458" i="7"/>
  <c r="BG1458" i="7" s="1"/>
  <c r="BH1458" i="7" s="1"/>
  <c r="BF1391" i="7"/>
  <c r="BG1391" i="7" s="1"/>
  <c r="BH1391" i="7" s="1"/>
  <c r="BF1459" i="7"/>
  <c r="BG1459" i="7" s="1"/>
  <c r="BH1459" i="7" s="1"/>
  <c r="BF1392" i="7"/>
  <c r="BG1392" i="7" s="1"/>
  <c r="BH1392" i="7" s="1"/>
  <c r="BF1322" i="7"/>
  <c r="BG1322" i="7" s="1"/>
  <c r="BH1322" i="7" s="1"/>
  <c r="BF1393" i="7"/>
  <c r="BG1393" i="7" s="1"/>
  <c r="BH1393" i="7" s="1"/>
  <c r="BF1238" i="7"/>
  <c r="BG1238" i="7" s="1"/>
  <c r="BH1238" i="7" s="1"/>
  <c r="BF1394" i="7"/>
  <c r="BG1394" i="7" s="1"/>
  <c r="BH1394" i="7" s="1"/>
  <c r="BF1395" i="7"/>
  <c r="BG1395" i="7" s="1"/>
  <c r="BH1395" i="7" s="1"/>
  <c r="BF1323" i="7"/>
  <c r="BG1323" i="7" s="1"/>
  <c r="BH1323" i="7" s="1"/>
  <c r="BF1082" i="7"/>
  <c r="BG1082" i="7" s="1"/>
  <c r="BH1082" i="7" s="1"/>
  <c r="BF1396" i="7"/>
  <c r="BG1396" i="7" s="1"/>
  <c r="BH1396" i="7" s="1"/>
  <c r="BF1460" i="7"/>
  <c r="BG1460" i="7" s="1"/>
  <c r="BH1460" i="7" s="1"/>
  <c r="BF1397" i="7"/>
  <c r="BG1397" i="7" s="1"/>
  <c r="BH1397" i="7" s="1"/>
  <c r="BF1461" i="7"/>
  <c r="BG1461" i="7" s="1"/>
  <c r="BH1461" i="7" s="1"/>
  <c r="BF1398" i="7"/>
  <c r="BG1398" i="7" s="1"/>
  <c r="BH1398" i="7" s="1"/>
  <c r="BF1462" i="7"/>
  <c r="BG1462" i="7" s="1"/>
  <c r="BH1462" i="7" s="1"/>
  <c r="BF1463" i="7"/>
  <c r="BG1463" i="7" s="1"/>
  <c r="BH1463" i="7" s="1"/>
  <c r="BF1324" i="7"/>
  <c r="BG1324" i="7" s="1"/>
  <c r="BH1324" i="7" s="1"/>
  <c r="BF1325" i="7"/>
  <c r="BG1325" i="7" s="1"/>
  <c r="BH1325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64" i="7"/>
  <c r="BG1464" i="7" s="1"/>
  <c r="BH1464" i="7" s="1"/>
  <c r="BF1326" i="7"/>
  <c r="BG1326" i="7" s="1"/>
  <c r="BH1326" i="7" s="1"/>
  <c r="BF1402" i="7"/>
  <c r="BG1402" i="7" s="1"/>
  <c r="BH1402" i="7" s="1"/>
  <c r="BF1403" i="7"/>
  <c r="BG1403" i="7" s="1"/>
  <c r="BH1403" i="7" s="1"/>
  <c r="BF1083" i="7"/>
  <c r="BG1083" i="7" s="1"/>
  <c r="BH1083" i="7" s="1"/>
  <c r="BF1404" i="7"/>
  <c r="BG1404" i="7" s="1"/>
  <c r="BH1404" i="7" s="1"/>
  <c r="BF1465" i="7"/>
  <c r="BG1465" i="7" s="1"/>
  <c r="BH1465" i="7" s="1"/>
  <c r="BF1239" i="7"/>
  <c r="BG1239" i="7" s="1"/>
  <c r="BH1239" i="7" s="1"/>
  <c r="BF1405" i="7"/>
  <c r="BG1405" i="7" s="1"/>
  <c r="BH1405" i="7" s="1"/>
  <c r="BF1327" i="7"/>
  <c r="BG1327" i="7" s="1"/>
  <c r="BH1327" i="7" s="1"/>
  <c r="BF1466" i="7"/>
  <c r="BG1466" i="7" s="1"/>
  <c r="BH1466" i="7" s="1"/>
  <c r="BF1406" i="7"/>
  <c r="BG1406" i="7" s="1"/>
  <c r="BH1406" i="7" s="1"/>
  <c r="BF1240" i="7"/>
  <c r="BG1240" i="7" s="1"/>
  <c r="BH1240" i="7" s="1"/>
  <c r="BF1467" i="7"/>
  <c r="BG1467" i="7" s="1"/>
  <c r="BH1467" i="7" s="1"/>
  <c r="BF1407" i="7"/>
  <c r="BG1407" i="7" s="1"/>
  <c r="BH1407" i="7" s="1"/>
  <c r="BF1408" i="7"/>
  <c r="BG1408" i="7" s="1"/>
  <c r="BH1408" i="7" s="1"/>
  <c r="BF1468" i="7"/>
  <c r="BG1468" i="7" s="1"/>
  <c r="BH1468" i="7" s="1"/>
  <c r="BF1469" i="7"/>
  <c r="BG1469" i="7" s="1"/>
  <c r="BH1469" i="7" s="1"/>
  <c r="BF1409" i="7"/>
  <c r="BG1409" i="7" s="1"/>
  <c r="BH1409" i="7" s="1"/>
  <c r="BF1470" i="7"/>
  <c r="BG1470" i="7" s="1"/>
  <c r="BH1470" i="7" s="1"/>
  <c r="BF1471" i="7"/>
  <c r="BG1471" i="7" s="1"/>
  <c r="BH1471" i="7" s="1"/>
  <c r="BF1410" i="7"/>
  <c r="BG1410" i="7" s="1"/>
  <c r="BH1410" i="7" s="1"/>
  <c r="BF1241" i="7"/>
  <c r="BG1241" i="7" s="1"/>
  <c r="BH1241" i="7" s="1"/>
  <c r="BF1472" i="7"/>
  <c r="BG1472" i="7" s="1"/>
  <c r="BH1472" i="7" s="1"/>
  <c r="BF1473" i="7"/>
  <c r="BG1473" i="7" s="1"/>
  <c r="BH1473" i="7" s="1"/>
  <c r="BF1411" i="7"/>
  <c r="BG1411" i="7" s="1"/>
  <c r="BH1411" i="7" s="1"/>
  <c r="BF1242" i="7"/>
  <c r="BG1242" i="7" s="1"/>
  <c r="BH1242" i="7" s="1"/>
  <c r="BF873" i="7"/>
  <c r="BG873" i="7" s="1"/>
  <c r="BH873" i="7" s="1"/>
  <c r="BF1474" i="7"/>
  <c r="BG1474" i="7" s="1"/>
  <c r="BH1474" i="7" s="1"/>
  <c r="BF710" i="7"/>
  <c r="BG710" i="7" s="1"/>
  <c r="BH710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328" i="7"/>
  <c r="BG1328" i="7" s="1"/>
  <c r="BH1328" i="7" s="1"/>
  <c r="BF1475" i="7"/>
  <c r="BG1475" i="7" s="1"/>
  <c r="BH1475" i="7" s="1"/>
  <c r="BF1476" i="7"/>
  <c r="BG1476" i="7" s="1"/>
  <c r="BH1476" i="7" s="1"/>
  <c r="BF874" i="7"/>
  <c r="BG874" i="7" s="1"/>
  <c r="BH874" i="7" s="1"/>
  <c r="BF1477" i="7"/>
  <c r="BG1477" i="7" s="1"/>
  <c r="BH1477" i="7" s="1"/>
  <c r="BF1478" i="7"/>
  <c r="BG1478" i="7" s="1"/>
  <c r="BH1478" i="7" s="1"/>
  <c r="BF1412" i="7"/>
  <c r="BG1412" i="7" s="1"/>
  <c r="BH1412" i="7" s="1"/>
  <c r="BF1479" i="7"/>
  <c r="BG1479" i="7" s="1"/>
  <c r="BH1479" i="7" s="1"/>
  <c r="BF1566" i="7"/>
  <c r="BG1566" i="7" s="1"/>
  <c r="BH1566" i="7" s="1"/>
  <c r="BF1480" i="7"/>
  <c r="BG1480" i="7" s="1"/>
  <c r="BH1480" i="7" s="1"/>
  <c r="BF1567" i="7"/>
  <c r="BG1567" i="7" s="1"/>
  <c r="BH1567" i="7" s="1"/>
  <c r="BF1084" i="7"/>
  <c r="BG1084" i="7" s="1"/>
  <c r="BH1084" i="7" s="1"/>
  <c r="BF1568" i="7"/>
  <c r="BG1568" i="7" s="1"/>
  <c r="BH1568" i="7" s="1"/>
  <c r="BF1481" i="7"/>
  <c r="BG1481" i="7" s="1"/>
  <c r="BH1481" i="7" s="1"/>
  <c r="BF1482" i="7"/>
  <c r="BG1482" i="7" s="1"/>
  <c r="BH1482" i="7" s="1"/>
  <c r="BF1413" i="7"/>
  <c r="BG1413" i="7" s="1"/>
  <c r="BH1413" i="7" s="1"/>
  <c r="BF1483" i="7"/>
  <c r="BG1483" i="7" s="1"/>
  <c r="BH1483" i="7" s="1"/>
  <c r="BF1484" i="7"/>
  <c r="BG1484" i="7" s="1"/>
  <c r="BH1484" i="7" s="1"/>
  <c r="BF1485" i="7"/>
  <c r="BG1485" i="7" s="1"/>
  <c r="BH1485" i="7" s="1"/>
  <c r="BF1569" i="7"/>
  <c r="BG1569" i="7" s="1"/>
  <c r="BH1569" i="7" s="1"/>
  <c r="BF1570" i="7"/>
  <c r="BG1570" i="7" s="1"/>
  <c r="BH1570" i="7" s="1"/>
  <c r="BF1571" i="7"/>
  <c r="BG1571" i="7" s="1"/>
  <c r="BH1571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14" i="7"/>
  <c r="BG1414" i="7" s="1"/>
  <c r="BH1414" i="7" s="1"/>
  <c r="BF1491" i="7"/>
  <c r="BG1491" i="7" s="1"/>
  <c r="BH1491" i="7" s="1"/>
  <c r="BF1492" i="7"/>
  <c r="BG1492" i="7" s="1"/>
  <c r="BH1492" i="7" s="1"/>
  <c r="BF1572" i="7"/>
  <c r="BG1572" i="7" s="1"/>
  <c r="BH1572" i="7" s="1"/>
  <c r="BF1415" i="7"/>
  <c r="BG1415" i="7" s="1"/>
  <c r="BH1415" i="7" s="1"/>
  <c r="BF1573" i="7"/>
  <c r="BG1573" i="7" s="1"/>
  <c r="BH1573" i="7" s="1"/>
  <c r="BF1574" i="7"/>
  <c r="BG1574" i="7" s="1"/>
  <c r="BH1574" i="7" s="1"/>
  <c r="BF1243" i="7"/>
  <c r="BG1243" i="7" s="1"/>
  <c r="BH1243" i="7" s="1"/>
  <c r="BF1085" i="7"/>
  <c r="BG1085" i="7" s="1"/>
  <c r="BH1085" i="7" s="1"/>
  <c r="BF1493" i="7"/>
  <c r="BG1493" i="7" s="1"/>
  <c r="BH1493" i="7" s="1"/>
  <c r="BF1494" i="7"/>
  <c r="BG1494" i="7" s="1"/>
  <c r="BH1494" i="7" s="1"/>
  <c r="BF1416" i="7"/>
  <c r="BG1416" i="7" s="1"/>
  <c r="BH1416" i="7" s="1"/>
  <c r="BF1495" i="7"/>
  <c r="BG1495" i="7" s="1"/>
  <c r="BH1495" i="7" s="1"/>
  <c r="BF1575" i="7"/>
  <c r="BG1575" i="7" s="1"/>
  <c r="BH1575" i="7" s="1"/>
  <c r="BF1496" i="7"/>
  <c r="BG1496" i="7" s="1"/>
  <c r="BH1496" i="7" s="1"/>
  <c r="BF1576" i="7"/>
  <c r="BG1576" i="7" s="1"/>
  <c r="BH1576" i="7" s="1"/>
  <c r="BF1577" i="7"/>
  <c r="BG1577" i="7" s="1"/>
  <c r="BH1577" i="7" s="1"/>
  <c r="BF1578" i="7"/>
  <c r="BG1578" i="7" s="1"/>
  <c r="BH1578" i="7" s="1"/>
  <c r="BF1497" i="7"/>
  <c r="BG1497" i="7" s="1"/>
  <c r="BH1497" i="7" s="1"/>
  <c r="BF1579" i="7"/>
  <c r="BG1579" i="7" s="1"/>
  <c r="BH1579" i="7" s="1"/>
  <c r="BF1580" i="7"/>
  <c r="BG1580" i="7" s="1"/>
  <c r="BH1580" i="7" s="1"/>
  <c r="BF1498" i="7"/>
  <c r="BG1498" i="7" s="1"/>
  <c r="BH1498" i="7" s="1"/>
  <c r="BF1499" i="7"/>
  <c r="BG1499" i="7" s="1"/>
  <c r="BH1499" i="7" s="1"/>
  <c r="BF1581" i="7"/>
  <c r="BG1581" i="7" s="1"/>
  <c r="BH1581" i="7" s="1"/>
  <c r="BF1500" i="7"/>
  <c r="BG1500" i="7" s="1"/>
  <c r="BH1500" i="7" s="1"/>
  <c r="BF1501" i="7"/>
  <c r="BG1501" i="7" s="1"/>
  <c r="BH1501" i="7" s="1"/>
  <c r="BF1244" i="7"/>
  <c r="BG1244" i="7" s="1"/>
  <c r="BH1244" i="7" s="1"/>
  <c r="BF1582" i="7"/>
  <c r="BG1582" i="7" s="1"/>
  <c r="BH1582" i="7" s="1"/>
  <c r="BF1502" i="7"/>
  <c r="BG1502" i="7" s="1"/>
  <c r="BH1502" i="7" s="1"/>
  <c r="BF1245" i="7"/>
  <c r="BG1245" i="7" s="1"/>
  <c r="BH1245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03" i="7"/>
  <c r="BG1503" i="7" s="1"/>
  <c r="BH1503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417" i="7"/>
  <c r="BG1417" i="7" s="1"/>
  <c r="BH1417" i="7" s="1"/>
  <c r="BF875" i="7"/>
  <c r="BG875" i="7" s="1"/>
  <c r="BH875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086" i="7"/>
  <c r="BG1086" i="7" s="1"/>
  <c r="BH1086" i="7" s="1"/>
  <c r="BF1591" i="7"/>
  <c r="BG1591" i="7" s="1"/>
  <c r="BH1591" i="7" s="1"/>
  <c r="BF1509" i="7"/>
  <c r="BG1509" i="7" s="1"/>
  <c r="BH1509" i="7" s="1"/>
  <c r="BF1592" i="7"/>
  <c r="BG1592" i="7" s="1"/>
  <c r="BH1592" i="7" s="1"/>
  <c r="BF1510" i="7"/>
  <c r="BG1510" i="7" s="1"/>
  <c r="BH1510" i="7" s="1"/>
  <c r="BF1593" i="7"/>
  <c r="BG1593" i="7" s="1"/>
  <c r="BH1593" i="7" s="1"/>
  <c r="BF1511" i="7"/>
  <c r="BG1511" i="7" s="1"/>
  <c r="BH1511" i="7" s="1"/>
  <c r="BF1512" i="7"/>
  <c r="BG1512" i="7" s="1"/>
  <c r="BH1512" i="7" s="1"/>
  <c r="BF1418" i="7"/>
  <c r="BG1418" i="7" s="1"/>
  <c r="BH1418" i="7" s="1"/>
  <c r="BF1329" i="7"/>
  <c r="BG1329" i="7" s="1"/>
  <c r="BH1329" i="7" s="1"/>
  <c r="BF1594" i="7"/>
  <c r="BG1594" i="7" s="1"/>
  <c r="BH1594" i="7" s="1"/>
  <c r="BF1595" i="7"/>
  <c r="BG1595" i="7" s="1"/>
  <c r="BH1595" i="7" s="1"/>
  <c r="BF1513" i="7"/>
  <c r="BG1513" i="7" s="1"/>
  <c r="BH1513" i="7" s="1"/>
  <c r="BF1596" i="7"/>
  <c r="BG1596" i="7" s="1"/>
  <c r="BH1596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97" i="7"/>
  <c r="BG1597" i="7" s="1"/>
  <c r="BH1597" i="7" s="1"/>
  <c r="BF1598" i="7"/>
  <c r="BG1598" i="7" s="1"/>
  <c r="BH1598" i="7" s="1"/>
  <c r="BF1521" i="7"/>
  <c r="BG1521" i="7" s="1"/>
  <c r="BH1521" i="7" s="1"/>
  <c r="BF1246" i="7"/>
  <c r="BG1246" i="7" s="1"/>
  <c r="BH1246" i="7" s="1"/>
  <c r="BF1599" i="7"/>
  <c r="BG1599" i="7" s="1"/>
  <c r="BH1599" i="7" s="1"/>
  <c r="BF1522" i="7"/>
  <c r="BG1522" i="7" s="1"/>
  <c r="BH1522" i="7" s="1"/>
  <c r="BF1600" i="7"/>
  <c r="BG1600" i="7" s="1"/>
  <c r="BH1600" i="7" s="1"/>
  <c r="BF1601" i="7"/>
  <c r="BG1601" i="7" s="1"/>
  <c r="BH1601" i="7" s="1"/>
  <c r="BF1523" i="7"/>
  <c r="BG1523" i="7" s="1"/>
  <c r="BH1523" i="7" s="1"/>
  <c r="BF1602" i="7"/>
  <c r="BG1602" i="7" s="1"/>
  <c r="BH1602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603" i="7"/>
  <c r="BG1603" i="7" s="1"/>
  <c r="BH1603" i="7" s="1"/>
  <c r="BF1604" i="7"/>
  <c r="BG1604" i="7" s="1"/>
  <c r="BH1604" i="7" s="1"/>
  <c r="BF1605" i="7"/>
  <c r="BG1605" i="7" s="1"/>
  <c r="BH1605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606" i="7"/>
  <c r="BG1606" i="7" s="1"/>
  <c r="BH1606" i="7" s="1"/>
  <c r="BF1532" i="7"/>
  <c r="BG1532" i="7" s="1"/>
  <c r="BH1532" i="7" s="1"/>
  <c r="BF1607" i="7"/>
  <c r="BG1607" i="7" s="1"/>
  <c r="BH1607" i="7" s="1"/>
  <c r="BF1533" i="7"/>
  <c r="BG1533" i="7" s="1"/>
  <c r="BH1533" i="7" s="1"/>
  <c r="BF1608" i="7"/>
  <c r="BG1608" i="7" s="1"/>
  <c r="BH1608" i="7" s="1"/>
  <c r="BF1609" i="7"/>
  <c r="BG1609" i="7" s="1"/>
  <c r="BH1609" i="7" s="1"/>
  <c r="BF1534" i="7"/>
  <c r="BG1534" i="7" s="1"/>
  <c r="BH1534" i="7" s="1"/>
  <c r="BF1419" i="7"/>
  <c r="BG1419" i="7" s="1"/>
  <c r="BH1419" i="7" s="1"/>
  <c r="BF1535" i="7"/>
  <c r="BG1535" i="7" s="1"/>
  <c r="BH1535" i="7" s="1"/>
  <c r="BF1610" i="7"/>
  <c r="BG1610" i="7" s="1"/>
  <c r="BH1610" i="7" s="1"/>
  <c r="BF1536" i="7"/>
  <c r="BG1536" i="7" s="1"/>
  <c r="BH1536" i="7" s="1"/>
  <c r="BF1611" i="7"/>
  <c r="BG1611" i="7" s="1"/>
  <c r="BH1611" i="7" s="1"/>
  <c r="BF1537" i="7"/>
  <c r="BG1537" i="7" s="1"/>
  <c r="BH1537" i="7" s="1"/>
  <c r="BF1612" i="7"/>
  <c r="BG1612" i="7" s="1"/>
  <c r="BH1612" i="7" s="1"/>
  <c r="BF1247" i="7"/>
  <c r="BG1247" i="7" s="1"/>
  <c r="BH1247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248" i="7"/>
  <c r="BG1248" i="7" s="1"/>
  <c r="BH1248" i="7" s="1"/>
  <c r="BF1249" i="7"/>
  <c r="BG1249" i="7" s="1"/>
  <c r="BH1249" i="7" s="1"/>
  <c r="BF1420" i="7"/>
  <c r="BG1420" i="7" s="1"/>
  <c r="BH1420" i="7" s="1"/>
  <c r="BF1538" i="7"/>
  <c r="BG1538" i="7" s="1"/>
  <c r="BH1538" i="7" s="1"/>
  <c r="BF1539" i="7"/>
  <c r="BG1539" i="7" s="1"/>
  <c r="BH1539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540" i="7"/>
  <c r="BG1540" i="7" s="1"/>
  <c r="BH1540" i="7" s="1"/>
  <c r="BF1541" i="7"/>
  <c r="BG1541" i="7" s="1"/>
  <c r="BH1541" i="7" s="1"/>
  <c r="BF1621" i="7"/>
  <c r="BG1621" i="7" s="1"/>
  <c r="BH1621" i="7" s="1"/>
  <c r="BF1622" i="7"/>
  <c r="BG1622" i="7" s="1"/>
  <c r="BH1622" i="7" s="1"/>
  <c r="BF1623" i="7"/>
  <c r="BG1623" i="7" s="1"/>
  <c r="BH1623" i="7" s="1"/>
  <c r="BF1542" i="7"/>
  <c r="BG1542" i="7" s="1"/>
  <c r="BH1542" i="7" s="1"/>
  <c r="BF1624" i="7"/>
  <c r="BG1624" i="7" s="1"/>
  <c r="BH1624" i="7" s="1"/>
  <c r="BF1543" i="7"/>
  <c r="BG1543" i="7" s="1"/>
  <c r="BH1543" i="7" s="1"/>
  <c r="BF1625" i="7"/>
  <c r="BG1625" i="7" s="1"/>
  <c r="BH1625" i="7" s="1"/>
  <c r="BF1626" i="7"/>
  <c r="BG1626" i="7" s="1"/>
  <c r="BH1626" i="7" s="1"/>
  <c r="BF1627" i="7"/>
  <c r="BG1627" i="7" s="1"/>
  <c r="BH1627" i="7" s="1"/>
  <c r="BF1744" i="7"/>
  <c r="BG1744" i="7" s="1"/>
  <c r="BH1744" i="7" s="1"/>
  <c r="BF390" i="7"/>
  <c r="BG390" i="7" s="1"/>
  <c r="BH390" i="7" s="1"/>
  <c r="BF1628" i="7"/>
  <c r="BG1628" i="7" s="1"/>
  <c r="BH1628" i="7" s="1"/>
  <c r="BF1421" i="7"/>
  <c r="BG1421" i="7" s="1"/>
  <c r="BH1421" i="7" s="1"/>
  <c r="BF1745" i="7"/>
  <c r="BG1745" i="7" s="1"/>
  <c r="BH1745" i="7" s="1"/>
  <c r="BF1544" i="7"/>
  <c r="BG1544" i="7" s="1"/>
  <c r="BH1544" i="7" s="1"/>
  <c r="BF1746" i="7"/>
  <c r="BG1746" i="7" s="1"/>
  <c r="BH1746" i="7" s="1"/>
  <c r="BF1629" i="7"/>
  <c r="BG1629" i="7" s="1"/>
  <c r="BH1629" i="7" s="1"/>
  <c r="BF1630" i="7"/>
  <c r="BG1630" i="7" s="1"/>
  <c r="BH1630" i="7" s="1"/>
  <c r="BF1631" i="7"/>
  <c r="BG1631" i="7" s="1"/>
  <c r="BH1631" i="7" s="1"/>
  <c r="BF1545" i="7"/>
  <c r="BG1545" i="7" s="1"/>
  <c r="BH1545" i="7" s="1"/>
  <c r="BF1747" i="7"/>
  <c r="BG1747" i="7" s="1"/>
  <c r="BH1747" i="7" s="1"/>
  <c r="BF1748" i="7"/>
  <c r="BG1748" i="7" s="1"/>
  <c r="BH1748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749" i="7"/>
  <c r="BG1749" i="7" s="1"/>
  <c r="BH1749" i="7" s="1"/>
  <c r="BF1637" i="7"/>
  <c r="BG1637" i="7" s="1"/>
  <c r="BH1637" i="7" s="1"/>
  <c r="BF1546" i="7"/>
  <c r="BG1546" i="7" s="1"/>
  <c r="BH1546" i="7" s="1"/>
  <c r="BF1638" i="7"/>
  <c r="BG1638" i="7" s="1"/>
  <c r="BH1638" i="7" s="1"/>
  <c r="BF1750" i="7"/>
  <c r="BG1750" i="7" s="1"/>
  <c r="BH1750" i="7" s="1"/>
  <c r="BF1751" i="7"/>
  <c r="BG1751" i="7" s="1"/>
  <c r="BH1751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752" i="7"/>
  <c r="BG1752" i="7" s="1"/>
  <c r="BH1752" i="7" s="1"/>
  <c r="BF1753" i="7"/>
  <c r="BG1753" i="7" s="1"/>
  <c r="BH1753" i="7" s="1"/>
  <c r="BF1754" i="7"/>
  <c r="BG1754" i="7" s="1"/>
  <c r="BH1754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755" i="7"/>
  <c r="BG1755" i="7" s="1"/>
  <c r="BH1755" i="7" s="1"/>
  <c r="BF1648" i="7"/>
  <c r="BG1648" i="7" s="1"/>
  <c r="BH1648" i="7" s="1"/>
  <c r="BF1649" i="7"/>
  <c r="BG1649" i="7" s="1"/>
  <c r="BH1649" i="7" s="1"/>
  <c r="BF1250" i="7"/>
  <c r="BG1250" i="7" s="1"/>
  <c r="BH1250" i="7" s="1"/>
  <c r="BF1650" i="7"/>
  <c r="BG1650" i="7" s="1"/>
  <c r="BH1650" i="7" s="1"/>
  <c r="BF1651" i="7"/>
  <c r="BG1651" i="7" s="1"/>
  <c r="BH1651" i="7" s="1"/>
  <c r="BF1756" i="7"/>
  <c r="BG1756" i="7" s="1"/>
  <c r="BH1756" i="7" s="1"/>
  <c r="BF1652" i="7"/>
  <c r="BG1652" i="7" s="1"/>
  <c r="BH1652" i="7" s="1"/>
  <c r="BF1547" i="7"/>
  <c r="BG1547" i="7" s="1"/>
  <c r="BH1547" i="7" s="1"/>
  <c r="BF1653" i="7"/>
  <c r="BG1653" i="7" s="1"/>
  <c r="BH1653" i="7" s="1"/>
  <c r="BF1654" i="7"/>
  <c r="BG1654" i="7" s="1"/>
  <c r="BH1654" i="7" s="1"/>
  <c r="BF1757" i="7"/>
  <c r="BG1757" i="7" s="1"/>
  <c r="BH1757" i="7" s="1"/>
  <c r="BF1548" i="7"/>
  <c r="BG1548" i="7" s="1"/>
  <c r="BH1548" i="7" s="1"/>
  <c r="BF1655" i="7"/>
  <c r="BG1655" i="7" s="1"/>
  <c r="BH1655" i="7" s="1"/>
  <c r="BF1758" i="7"/>
  <c r="BG1758" i="7" s="1"/>
  <c r="BH1758" i="7" s="1"/>
  <c r="BF1330" i="7"/>
  <c r="BG1330" i="7" s="1"/>
  <c r="BH1330" i="7" s="1"/>
  <c r="BF1656" i="7"/>
  <c r="BG1656" i="7" s="1"/>
  <c r="BH1656" i="7" s="1"/>
  <c r="BF1759" i="7"/>
  <c r="BG1759" i="7" s="1"/>
  <c r="BH1759" i="7" s="1"/>
  <c r="BF1760" i="7"/>
  <c r="BG1760" i="7" s="1"/>
  <c r="BH1760" i="7" s="1"/>
  <c r="BF1657" i="7"/>
  <c r="BG1657" i="7" s="1"/>
  <c r="BH1657" i="7" s="1"/>
  <c r="BF1761" i="7"/>
  <c r="BG1761" i="7" s="1"/>
  <c r="BH1761" i="7" s="1"/>
  <c r="BF1658" i="7"/>
  <c r="BG1658" i="7" s="1"/>
  <c r="BH1658" i="7" s="1"/>
  <c r="BF1762" i="7"/>
  <c r="BG1762" i="7" s="1"/>
  <c r="BH1762" i="7" s="1"/>
  <c r="BF1659" i="7"/>
  <c r="BG1659" i="7" s="1"/>
  <c r="BH1659" i="7" s="1"/>
  <c r="BF1549" i="7"/>
  <c r="BG1549" i="7" s="1"/>
  <c r="BH1549" i="7" s="1"/>
  <c r="BF1763" i="7"/>
  <c r="BG1763" i="7" s="1"/>
  <c r="BH1763" i="7" s="1"/>
  <c r="BF1660" i="7"/>
  <c r="BG1660" i="7" s="1"/>
  <c r="BH1660" i="7" s="1"/>
  <c r="BF1661" i="7"/>
  <c r="BG1661" i="7" s="1"/>
  <c r="BH1661" i="7" s="1"/>
  <c r="BF1662" i="7"/>
  <c r="BG1662" i="7" s="1"/>
  <c r="BH1662" i="7" s="1"/>
  <c r="BF1764" i="7"/>
  <c r="BG1764" i="7" s="1"/>
  <c r="BH1764" i="7" s="1"/>
  <c r="BF1550" i="7"/>
  <c r="BG1550" i="7" s="1"/>
  <c r="BH1550" i="7" s="1"/>
  <c r="BF1331" i="7"/>
  <c r="BG1331" i="7" s="1"/>
  <c r="BH1331" i="7" s="1"/>
  <c r="BF1422" i="7"/>
  <c r="BG1422" i="7" s="1"/>
  <c r="BH1422" i="7" s="1"/>
  <c r="BF1765" i="7"/>
  <c r="BG1765" i="7" s="1"/>
  <c r="BH1765" i="7" s="1"/>
  <c r="BF1766" i="7"/>
  <c r="BG1766" i="7" s="1"/>
  <c r="BH1766" i="7" s="1"/>
  <c r="BF1767" i="7"/>
  <c r="BG1767" i="7" s="1"/>
  <c r="BH1767" i="7" s="1"/>
  <c r="BF1663" i="7"/>
  <c r="BG1663" i="7" s="1"/>
  <c r="BH1663" i="7" s="1"/>
  <c r="BF1664" i="7"/>
  <c r="BG1664" i="7" s="1"/>
  <c r="BH1664" i="7" s="1"/>
  <c r="BF1665" i="7"/>
  <c r="BG1665" i="7" s="1"/>
  <c r="BH1665" i="7" s="1"/>
  <c r="BF1768" i="7"/>
  <c r="BG1768" i="7" s="1"/>
  <c r="BH1768" i="7" s="1"/>
  <c r="BF1666" i="7"/>
  <c r="BG1666" i="7" s="1"/>
  <c r="BH1666" i="7" s="1"/>
  <c r="BF1769" i="7"/>
  <c r="BG1769" i="7" s="1"/>
  <c r="BH1769" i="7" s="1"/>
  <c r="BF1667" i="7"/>
  <c r="BG1667" i="7" s="1"/>
  <c r="BH1667" i="7" s="1"/>
  <c r="BF1770" i="7"/>
  <c r="BG1770" i="7" s="1"/>
  <c r="BH1770" i="7" s="1"/>
  <c r="BF1551" i="7"/>
  <c r="BG1551" i="7" s="1"/>
  <c r="BH1551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771" i="7"/>
  <c r="BG1771" i="7" s="1"/>
  <c r="BH1771" i="7" s="1"/>
  <c r="BF1772" i="7"/>
  <c r="BG1772" i="7" s="1"/>
  <c r="BH1772" i="7" s="1"/>
  <c r="BF1773" i="7"/>
  <c r="BG1773" i="7" s="1"/>
  <c r="BH1773" i="7" s="1"/>
  <c r="BF876" i="7"/>
  <c r="BG876" i="7" s="1"/>
  <c r="BH876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774" i="7"/>
  <c r="BG1774" i="7" s="1"/>
  <c r="BH1774" i="7" s="1"/>
  <c r="BF1775" i="7"/>
  <c r="BG1775" i="7" s="1"/>
  <c r="BH1775" i="7" s="1"/>
  <c r="BF1087" i="7"/>
  <c r="BG1087" i="7" s="1"/>
  <c r="BH1087" i="7" s="1"/>
  <c r="BF1677" i="7"/>
  <c r="BG1677" i="7" s="1"/>
  <c r="BH1677" i="7" s="1"/>
  <c r="BF1332" i="7"/>
  <c r="BG1332" i="7" s="1"/>
  <c r="BH1332" i="7" s="1"/>
  <c r="BF1776" i="7"/>
  <c r="BG1776" i="7" s="1"/>
  <c r="BH1776" i="7" s="1"/>
  <c r="BF1678" i="7"/>
  <c r="BG1678" i="7" s="1"/>
  <c r="BH1678" i="7" s="1"/>
  <c r="BF1679" i="7"/>
  <c r="BG1679" i="7" s="1"/>
  <c r="BH1679" i="7" s="1"/>
  <c r="BF1680" i="7"/>
  <c r="BG1680" i="7" s="1"/>
  <c r="BH1680" i="7" s="1"/>
  <c r="BF1777" i="7"/>
  <c r="BG1777" i="7" s="1"/>
  <c r="BH1777" i="7" s="1"/>
  <c r="BF1778" i="7"/>
  <c r="BG1778" i="7" s="1"/>
  <c r="BH1778" i="7" s="1"/>
  <c r="BF1779" i="7"/>
  <c r="BG1779" i="7" s="1"/>
  <c r="BH1779" i="7" s="1"/>
  <c r="BF1681" i="7"/>
  <c r="BG1681" i="7" s="1"/>
  <c r="BH1681" i="7" s="1"/>
  <c r="BF1682" i="7"/>
  <c r="BG1682" i="7" s="1"/>
  <c r="BH1682" i="7" s="1"/>
  <c r="BF1552" i="7"/>
  <c r="BG1552" i="7" s="1"/>
  <c r="BH1552" i="7" s="1"/>
  <c r="BF1683" i="7"/>
  <c r="BG1683" i="7" s="1"/>
  <c r="BH1683" i="7" s="1"/>
  <c r="BF285" i="7"/>
  <c r="BG285" i="7" s="1"/>
  <c r="BH285" i="7" s="1"/>
  <c r="BF1780" i="7"/>
  <c r="BG1780" i="7" s="1"/>
  <c r="BH1780" i="7" s="1"/>
  <c r="BF1684" i="7"/>
  <c r="BG1684" i="7" s="1"/>
  <c r="BH1684" i="7" s="1"/>
  <c r="BF1685" i="7"/>
  <c r="BG1685" i="7" s="1"/>
  <c r="BH1685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686" i="7"/>
  <c r="BG1686" i="7" s="1"/>
  <c r="BH1686" i="7" s="1"/>
  <c r="BF1785" i="7"/>
  <c r="BG1785" i="7" s="1"/>
  <c r="BH1785" i="7" s="1"/>
  <c r="BF1687" i="7"/>
  <c r="BG1687" i="7" s="1"/>
  <c r="BH1687" i="7" s="1"/>
  <c r="BF877" i="7"/>
  <c r="BG877" i="7" s="1"/>
  <c r="BH877" i="7" s="1"/>
  <c r="BF1688" i="7"/>
  <c r="BG1688" i="7" s="1"/>
  <c r="BH1688" i="7" s="1"/>
  <c r="BF1333" i="7"/>
  <c r="BG1333" i="7" s="1"/>
  <c r="BH1333" i="7" s="1"/>
  <c r="BF1689" i="7"/>
  <c r="BG1689" i="7" s="1"/>
  <c r="BH1689" i="7" s="1"/>
  <c r="BF1690" i="7"/>
  <c r="BG1690" i="7" s="1"/>
  <c r="BH1690" i="7" s="1"/>
  <c r="BF1691" i="7"/>
  <c r="BG1691" i="7" s="1"/>
  <c r="BH1691" i="7" s="1"/>
  <c r="BF1553" i="7"/>
  <c r="BG1553" i="7" s="1"/>
  <c r="BH1553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088" i="7"/>
  <c r="BG1088" i="7" s="1"/>
  <c r="BH1088" i="7" s="1"/>
  <c r="BF1696" i="7"/>
  <c r="BG1696" i="7" s="1"/>
  <c r="BH1696" i="7" s="1"/>
  <c r="BF1554" i="7"/>
  <c r="BG1554" i="7" s="1"/>
  <c r="BH1554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86" i="7"/>
  <c r="BG1786" i="7" s="1"/>
  <c r="BH1786" i="7" s="1"/>
  <c r="BF1705" i="7"/>
  <c r="BG1705" i="7" s="1"/>
  <c r="BH1705" i="7" s="1"/>
  <c r="BF1787" i="7"/>
  <c r="BG1787" i="7" s="1"/>
  <c r="BH1787" i="7" s="1"/>
  <c r="BF878" i="7"/>
  <c r="BG878" i="7" s="1"/>
  <c r="BH878" i="7" s="1"/>
  <c r="BF1889" i="7"/>
  <c r="BG1889" i="7" s="1"/>
  <c r="BH1889" i="7" s="1"/>
  <c r="BF1706" i="7"/>
  <c r="BG1706" i="7" s="1"/>
  <c r="BH1706" i="7" s="1"/>
  <c r="BF1788" i="7"/>
  <c r="BG1788" i="7" s="1"/>
  <c r="BH1788" i="7" s="1"/>
  <c r="BF1789" i="7"/>
  <c r="BG1789" i="7" s="1"/>
  <c r="BH1789" i="7" s="1"/>
  <c r="BF1707" i="7"/>
  <c r="BG1707" i="7" s="1"/>
  <c r="BH1707" i="7" s="1"/>
  <c r="BF1708" i="7"/>
  <c r="BG1708" i="7" s="1"/>
  <c r="BH1708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890" i="7"/>
  <c r="BG1890" i="7" s="1"/>
  <c r="BH1890" i="7" s="1"/>
  <c r="BF1891" i="7"/>
  <c r="BG1891" i="7" s="1"/>
  <c r="BH1891" i="7" s="1"/>
  <c r="BF1794" i="7"/>
  <c r="BG1794" i="7" s="1"/>
  <c r="BH1794" i="7" s="1"/>
  <c r="BF711" i="7"/>
  <c r="BG711" i="7" s="1"/>
  <c r="BH711" i="7" s="1"/>
  <c r="BF1795" i="7"/>
  <c r="BG1795" i="7" s="1"/>
  <c r="BH1795" i="7" s="1"/>
  <c r="BF1892" i="7"/>
  <c r="BG1892" i="7" s="1"/>
  <c r="BH1892" i="7" s="1"/>
  <c r="BF1893" i="7"/>
  <c r="BG1893" i="7" s="1"/>
  <c r="BH1893" i="7" s="1"/>
  <c r="BF1796" i="7"/>
  <c r="BG1796" i="7" s="1"/>
  <c r="BH1796" i="7" s="1"/>
  <c r="BF1797" i="7"/>
  <c r="BG1797" i="7" s="1"/>
  <c r="BH1797" i="7" s="1"/>
  <c r="BF1709" i="7"/>
  <c r="BG1709" i="7" s="1"/>
  <c r="BH1709" i="7" s="1"/>
  <c r="BF1798" i="7"/>
  <c r="BG1798" i="7" s="1"/>
  <c r="BH1798" i="7" s="1"/>
  <c r="BF1799" i="7"/>
  <c r="BG1799" i="7" s="1"/>
  <c r="BH1799" i="7" s="1"/>
  <c r="BF1800" i="7"/>
  <c r="BG1800" i="7" s="1"/>
  <c r="BH1800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801" i="7"/>
  <c r="BG1801" i="7" s="1"/>
  <c r="BH1801" i="7" s="1"/>
  <c r="BF1802" i="7"/>
  <c r="BG1802" i="7" s="1"/>
  <c r="BH1802" i="7" s="1"/>
  <c r="BF1894" i="7"/>
  <c r="BG1894" i="7" s="1"/>
  <c r="BH1894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95" i="7"/>
  <c r="BG1895" i="7" s="1"/>
  <c r="BH1895" i="7" s="1"/>
  <c r="BF1806" i="7"/>
  <c r="BG1806" i="7" s="1"/>
  <c r="BH1806" i="7" s="1"/>
  <c r="BF1896" i="7"/>
  <c r="BG1896" i="7" s="1"/>
  <c r="BH1896" i="7" s="1"/>
  <c r="BF1807" i="7"/>
  <c r="BG1807" i="7" s="1"/>
  <c r="BH1807" i="7" s="1"/>
  <c r="BF1555" i="7"/>
  <c r="BG1555" i="7" s="1"/>
  <c r="BH1555" i="7" s="1"/>
  <c r="BF1897" i="7"/>
  <c r="BG1897" i="7" s="1"/>
  <c r="BH189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714" i="7"/>
  <c r="BG1714" i="7" s="1"/>
  <c r="BH1714" i="7" s="1"/>
  <c r="BF1813" i="7"/>
  <c r="BG1813" i="7" s="1"/>
  <c r="BH1813" i="7" s="1"/>
  <c r="BF1814" i="7"/>
  <c r="BG1814" i="7" s="1"/>
  <c r="BH1814" i="7" s="1"/>
  <c r="BF1898" i="7"/>
  <c r="BG1898" i="7" s="1"/>
  <c r="BH1898" i="7" s="1"/>
  <c r="BF1715" i="7"/>
  <c r="BG1715" i="7" s="1"/>
  <c r="BH1715" i="7" s="1"/>
  <c r="BF1899" i="7"/>
  <c r="BG1899" i="7" s="1"/>
  <c r="BH1899" i="7" s="1"/>
  <c r="BF1716" i="7"/>
  <c r="BG1716" i="7" s="1"/>
  <c r="BH1716" i="7" s="1"/>
  <c r="BF1815" i="7"/>
  <c r="BG1815" i="7" s="1"/>
  <c r="BH1815" i="7" s="1"/>
  <c r="BF1816" i="7"/>
  <c r="BG1816" i="7" s="1"/>
  <c r="BH1816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717" i="7"/>
  <c r="BG1717" i="7" s="1"/>
  <c r="BH1717" i="7" s="1"/>
  <c r="BF1906" i="7"/>
  <c r="BG1906" i="7" s="1"/>
  <c r="BH1906" i="7" s="1"/>
  <c r="BF1556" i="7"/>
  <c r="BG1556" i="7" s="1"/>
  <c r="BH1556" i="7" s="1"/>
  <c r="BF1907" i="7"/>
  <c r="BG1907" i="7" s="1"/>
  <c r="BH1907" i="7" s="1"/>
  <c r="BF1817" i="7"/>
  <c r="BG1817" i="7" s="1"/>
  <c r="BH1817" i="7" s="1"/>
  <c r="BF1908" i="7"/>
  <c r="BG1908" i="7" s="1"/>
  <c r="BH1908" i="7" s="1"/>
  <c r="BF1818" i="7"/>
  <c r="BG1818" i="7" s="1"/>
  <c r="BH181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819" i="7"/>
  <c r="BG1819" i="7" s="1"/>
  <c r="BH1819" i="7" s="1"/>
  <c r="BF1912" i="7"/>
  <c r="BG1912" i="7" s="1"/>
  <c r="BH1912" i="7" s="1"/>
  <c r="BF1913" i="7"/>
  <c r="BG1913" i="7" s="1"/>
  <c r="BH1913" i="7" s="1"/>
  <c r="BF1820" i="7"/>
  <c r="BG1820" i="7" s="1"/>
  <c r="BH1820" i="7" s="1"/>
  <c r="BF1821" i="7"/>
  <c r="BG1821" i="7" s="1"/>
  <c r="BH1821" i="7" s="1"/>
  <c r="BF1914" i="7"/>
  <c r="BG1914" i="7" s="1"/>
  <c r="BH1914" i="7" s="1"/>
  <c r="BF1822" i="7"/>
  <c r="BG1822" i="7" s="1"/>
  <c r="BH1822" i="7" s="1"/>
  <c r="BF1823" i="7"/>
  <c r="BG1823" i="7" s="1"/>
  <c r="BH1823" i="7" s="1"/>
  <c r="BF1915" i="7"/>
  <c r="BG1915" i="7" s="1"/>
  <c r="BH1915" i="7" s="1"/>
  <c r="BF1824" i="7"/>
  <c r="BG1824" i="7" s="1"/>
  <c r="BH1824" i="7" s="1"/>
  <c r="BF1916" i="7"/>
  <c r="BG1916" i="7" s="1"/>
  <c r="BH1916" i="7" s="1"/>
  <c r="BF1917" i="7"/>
  <c r="BG1917" i="7" s="1"/>
  <c r="BH1917" i="7" s="1"/>
  <c r="BF1918" i="7"/>
  <c r="BG1918" i="7" s="1"/>
  <c r="BH1918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718" i="7"/>
  <c r="BG1718" i="7" s="1"/>
  <c r="BH1718" i="7" s="1"/>
  <c r="BF1830" i="7"/>
  <c r="BG1830" i="7" s="1"/>
  <c r="BH1830" i="7" s="1"/>
  <c r="BF1919" i="7"/>
  <c r="BG1919" i="7" s="1"/>
  <c r="BH1919" i="7" s="1"/>
  <c r="BF1920" i="7"/>
  <c r="BG1920" i="7" s="1"/>
  <c r="BH1920" i="7" s="1"/>
  <c r="BF1831" i="7"/>
  <c r="BG1831" i="7" s="1"/>
  <c r="BH1831" i="7" s="1"/>
  <c r="BF1921" i="7"/>
  <c r="BG1921" i="7" s="1"/>
  <c r="BH1921" i="7" s="1"/>
  <c r="BF1832" i="7"/>
  <c r="BG1832" i="7" s="1"/>
  <c r="BH1832" i="7" s="1"/>
  <c r="BF1719" i="7"/>
  <c r="BG1719" i="7" s="1"/>
  <c r="BH1719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720" i="7"/>
  <c r="BG1720" i="7" s="1"/>
  <c r="BH1720" i="7" s="1"/>
  <c r="BF1838" i="7"/>
  <c r="BG1838" i="7" s="1"/>
  <c r="BH1838" i="7" s="1"/>
  <c r="BF1721" i="7"/>
  <c r="BG1721" i="7" s="1"/>
  <c r="BH1721" i="7" s="1"/>
  <c r="BF1922" i="7"/>
  <c r="BG1922" i="7" s="1"/>
  <c r="BH1922" i="7" s="1"/>
  <c r="BF1722" i="7"/>
  <c r="BG1722" i="7" s="1"/>
  <c r="BH1722" i="7" s="1"/>
  <c r="BF1723" i="7"/>
  <c r="BG1723" i="7" s="1"/>
  <c r="BH1723" i="7" s="1"/>
  <c r="BF1839" i="7"/>
  <c r="BG1839" i="7" s="1"/>
  <c r="BH1839" i="7" s="1"/>
  <c r="BF1840" i="7"/>
  <c r="BG1840" i="7" s="1"/>
  <c r="BH1840" i="7" s="1"/>
  <c r="BF1841" i="7"/>
  <c r="BG1841" i="7" s="1"/>
  <c r="BH1841" i="7" s="1"/>
  <c r="BF1923" i="7"/>
  <c r="BG1923" i="7" s="1"/>
  <c r="BH1923" i="7" s="1"/>
  <c r="BF1924" i="7"/>
  <c r="BG1924" i="7" s="1"/>
  <c r="BH1924" i="7" s="1"/>
  <c r="BF1842" i="7"/>
  <c r="BG1842" i="7" s="1"/>
  <c r="BH1842" i="7" s="1"/>
  <c r="BF1843" i="7"/>
  <c r="BG1843" i="7" s="1"/>
  <c r="BH1843" i="7" s="1"/>
  <c r="BF1557" i="7"/>
  <c r="BG1557" i="7" s="1"/>
  <c r="BH1557" i="7" s="1"/>
  <c r="BF1925" i="7"/>
  <c r="BG1925" i="7" s="1"/>
  <c r="BH1925" i="7" s="1"/>
  <c r="BF1926" i="7"/>
  <c r="BG1926" i="7" s="1"/>
  <c r="BH1926" i="7" s="1"/>
  <c r="BF1844" i="7"/>
  <c r="BG1844" i="7" s="1"/>
  <c r="BH1844" i="7" s="1"/>
  <c r="BF1927" i="7"/>
  <c r="BG1927" i="7" s="1"/>
  <c r="BH1927" i="7" s="1"/>
  <c r="BF1724" i="7"/>
  <c r="BG1724" i="7" s="1"/>
  <c r="BH1724" i="7" s="1"/>
  <c r="BF1928" i="7"/>
  <c r="BG1928" i="7" s="1"/>
  <c r="BH1928" i="7" s="1"/>
  <c r="BF1725" i="7"/>
  <c r="BG1725" i="7" s="1"/>
  <c r="BH1725" i="7" s="1"/>
  <c r="BF1845" i="7"/>
  <c r="BG1845" i="7" s="1"/>
  <c r="BH1845" i="7" s="1"/>
  <c r="BF1929" i="7"/>
  <c r="BG1929" i="7" s="1"/>
  <c r="BH1929" i="7" s="1"/>
  <c r="BF1930" i="7"/>
  <c r="BG1930" i="7" s="1"/>
  <c r="BH1930" i="7" s="1"/>
  <c r="BF1846" i="7"/>
  <c r="BG1846" i="7" s="1"/>
  <c r="BH1846" i="7" s="1"/>
  <c r="BF1847" i="7"/>
  <c r="BG1847" i="7" s="1"/>
  <c r="BH1847" i="7" s="1"/>
  <c r="BF1931" i="7"/>
  <c r="BG1931" i="7" s="1"/>
  <c r="BH1931" i="7" s="1"/>
  <c r="BF1726" i="7"/>
  <c r="BG1726" i="7" s="1"/>
  <c r="BH1726" i="7" s="1"/>
  <c r="BF1932" i="7"/>
  <c r="BG1932" i="7" s="1"/>
  <c r="BH1932" i="7" s="1"/>
  <c r="BF1848" i="7"/>
  <c r="BG1848" i="7" s="1"/>
  <c r="BH1848" i="7" s="1"/>
  <c r="BF1849" i="7"/>
  <c r="BG1849" i="7" s="1"/>
  <c r="BH1849" i="7" s="1"/>
  <c r="BF1558" i="7"/>
  <c r="BG1558" i="7" s="1"/>
  <c r="BH1558" i="7" s="1"/>
  <c r="BF1727" i="7"/>
  <c r="BG1727" i="7" s="1"/>
  <c r="BH1727" i="7" s="1"/>
  <c r="BF1850" i="7"/>
  <c r="BG1850" i="7" s="1"/>
  <c r="BH1850" i="7" s="1"/>
  <c r="BF1728" i="7"/>
  <c r="BG1728" i="7" s="1"/>
  <c r="BH1728" i="7" s="1"/>
  <c r="BF1729" i="7"/>
  <c r="BG1729" i="7" s="1"/>
  <c r="BH1729" i="7" s="1"/>
  <c r="BF1851" i="7"/>
  <c r="BG1851" i="7" s="1"/>
  <c r="BH1851" i="7" s="1"/>
  <c r="BF1933" i="7"/>
  <c r="BG1933" i="7" s="1"/>
  <c r="BH1933" i="7" s="1"/>
  <c r="BF1852" i="7"/>
  <c r="BG1852" i="7" s="1"/>
  <c r="BH1852" i="7" s="1"/>
  <c r="BF1853" i="7"/>
  <c r="BG1853" i="7" s="1"/>
  <c r="BH1853" i="7" s="1"/>
  <c r="BF1934" i="7"/>
  <c r="BG1934" i="7" s="1"/>
  <c r="BH1934" i="7" s="1"/>
  <c r="BF1854" i="7"/>
  <c r="BG1854" i="7" s="1"/>
  <c r="BH1854" i="7" s="1"/>
  <c r="BF1935" i="7"/>
  <c r="BG1935" i="7" s="1"/>
  <c r="BH1935" i="7" s="1"/>
  <c r="BF1855" i="7"/>
  <c r="BG1855" i="7" s="1"/>
  <c r="BH1855" i="7" s="1"/>
  <c r="BF1856" i="7"/>
  <c r="BG1856" i="7" s="1"/>
  <c r="BH1856" i="7" s="1"/>
  <c r="BF1936" i="7"/>
  <c r="BG1936" i="7" s="1"/>
  <c r="BH1936" i="7" s="1"/>
  <c r="BF1857" i="7"/>
  <c r="BG1857" i="7" s="1"/>
  <c r="BH1857" i="7" s="1"/>
  <c r="BF1858" i="7"/>
  <c r="BG1858" i="7" s="1"/>
  <c r="BH1858" i="7" s="1"/>
  <c r="BF1859" i="7"/>
  <c r="BG1859" i="7" s="1"/>
  <c r="BH1859" i="7" s="1"/>
  <c r="BF286" i="7"/>
  <c r="BG286" i="7" s="1"/>
  <c r="BH286" i="7" s="1"/>
  <c r="BF1937" i="7"/>
  <c r="BG1937" i="7" s="1"/>
  <c r="BH1937" i="7" s="1"/>
  <c r="BF1938" i="7"/>
  <c r="BG1938" i="7" s="1"/>
  <c r="BH1938" i="7" s="1"/>
  <c r="BF2049" i="7"/>
  <c r="BG2049" i="7" s="1"/>
  <c r="BH2049" i="7" s="1"/>
  <c r="BF2050" i="7"/>
  <c r="BG2050" i="7" s="1"/>
  <c r="BH2050" i="7" s="1"/>
  <c r="BF1939" i="7"/>
  <c r="BG1939" i="7" s="1"/>
  <c r="BH1939" i="7" s="1"/>
  <c r="BF1860" i="7"/>
  <c r="BG1860" i="7" s="1"/>
  <c r="BH1860" i="7" s="1"/>
  <c r="BF1940" i="7"/>
  <c r="BG1940" i="7" s="1"/>
  <c r="BH1940" i="7" s="1"/>
  <c r="BF2051" i="7"/>
  <c r="BG2051" i="7" s="1"/>
  <c r="BH2051" i="7" s="1"/>
  <c r="BF1730" i="7"/>
  <c r="BG1730" i="7" s="1"/>
  <c r="BH1730" i="7" s="1"/>
  <c r="BF1941" i="7"/>
  <c r="BG1941" i="7" s="1"/>
  <c r="BH1941" i="7" s="1"/>
  <c r="BF1861" i="7"/>
  <c r="BG1861" i="7" s="1"/>
  <c r="BH1861" i="7" s="1"/>
  <c r="BF2052" i="7"/>
  <c r="BG2052" i="7" s="1"/>
  <c r="BH2052" i="7" s="1"/>
  <c r="BF2053" i="7"/>
  <c r="BG2053" i="7" s="1"/>
  <c r="BH2053" i="7" s="1"/>
  <c r="BF1942" i="7"/>
  <c r="BG1942" i="7" s="1"/>
  <c r="BH1942" i="7" s="1"/>
  <c r="BF2054" i="7"/>
  <c r="BG2054" i="7" s="1"/>
  <c r="BH2054" i="7" s="1"/>
  <c r="BF1943" i="7"/>
  <c r="BG1943" i="7" s="1"/>
  <c r="BH1943" i="7" s="1"/>
  <c r="BF1944" i="7"/>
  <c r="BG1944" i="7" s="1"/>
  <c r="BH1944" i="7" s="1"/>
  <c r="BF1945" i="7"/>
  <c r="BG1945" i="7" s="1"/>
  <c r="BH1945" i="7" s="1"/>
  <c r="BF2055" i="7"/>
  <c r="BG2055" i="7" s="1"/>
  <c r="BH2055" i="7" s="1"/>
  <c r="BF1862" i="7"/>
  <c r="BG1862" i="7" s="1"/>
  <c r="BH1862" i="7" s="1"/>
  <c r="BF1946" i="7"/>
  <c r="BG1946" i="7" s="1"/>
  <c r="BH1946" i="7" s="1"/>
  <c r="BF1947" i="7"/>
  <c r="BG1947" i="7" s="1"/>
  <c r="BH1947" i="7" s="1"/>
  <c r="BF1948" i="7"/>
  <c r="BG1948" i="7" s="1"/>
  <c r="BH1948" i="7" s="1"/>
  <c r="BF1731" i="7"/>
  <c r="BG1731" i="7" s="1"/>
  <c r="BH1731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863" i="7"/>
  <c r="BG1863" i="7" s="1"/>
  <c r="BH1863" i="7" s="1"/>
  <c r="BF2056" i="7"/>
  <c r="BG2056" i="7" s="1"/>
  <c r="BH2056" i="7" s="1"/>
  <c r="BF1953" i="7"/>
  <c r="BG1953" i="7" s="1"/>
  <c r="BH1953" i="7" s="1"/>
  <c r="BF1954" i="7"/>
  <c r="BG1954" i="7" s="1"/>
  <c r="BH1954" i="7" s="1"/>
  <c r="BF2057" i="7"/>
  <c r="BG2057" i="7" s="1"/>
  <c r="BH2057" i="7" s="1"/>
  <c r="BF2058" i="7"/>
  <c r="BG2058" i="7" s="1"/>
  <c r="BH2058" i="7" s="1"/>
  <c r="BF2059" i="7"/>
  <c r="BG2059" i="7" s="1"/>
  <c r="BH2059" i="7" s="1"/>
  <c r="BF1955" i="7"/>
  <c r="BG1955" i="7" s="1"/>
  <c r="BH1955" i="7" s="1"/>
  <c r="BF1956" i="7"/>
  <c r="BG1956" i="7" s="1"/>
  <c r="BH1956" i="7" s="1"/>
  <c r="BF1957" i="7"/>
  <c r="BG1957" i="7" s="1"/>
  <c r="BH1957" i="7" s="1"/>
  <c r="BF1089" i="7"/>
  <c r="BG1089" i="7" s="1"/>
  <c r="BH1089" i="7" s="1"/>
  <c r="BF1864" i="7"/>
  <c r="BG1864" i="7" s="1"/>
  <c r="BH1864" i="7" s="1"/>
  <c r="BF1958" i="7"/>
  <c r="BG1958" i="7" s="1"/>
  <c r="BH1958" i="7" s="1"/>
  <c r="BF2060" i="7"/>
  <c r="BG2060" i="7" s="1"/>
  <c r="BH2060" i="7" s="1"/>
  <c r="BF2061" i="7"/>
  <c r="BG2061" i="7" s="1"/>
  <c r="BH2061" i="7" s="1"/>
  <c r="BF1959" i="7"/>
  <c r="BG1959" i="7" s="1"/>
  <c r="BH1959" i="7" s="1"/>
  <c r="BF1960" i="7"/>
  <c r="BG1960" i="7" s="1"/>
  <c r="BH1960" i="7" s="1"/>
  <c r="BF2062" i="7"/>
  <c r="BG2062" i="7" s="1"/>
  <c r="BH2062" i="7" s="1"/>
  <c r="BF1423" i="7"/>
  <c r="BG1423" i="7" s="1"/>
  <c r="BH1423" i="7" s="1"/>
  <c r="BF2063" i="7"/>
  <c r="BG2063" i="7" s="1"/>
  <c r="BH2063" i="7" s="1"/>
  <c r="BF1865" i="7"/>
  <c r="BG1865" i="7" s="1"/>
  <c r="BH1865" i="7" s="1"/>
  <c r="BF1961" i="7"/>
  <c r="BG1961" i="7" s="1"/>
  <c r="BH1961" i="7" s="1"/>
  <c r="BF1962" i="7"/>
  <c r="BG1962" i="7" s="1"/>
  <c r="BH1962" i="7" s="1"/>
  <c r="BF1732" i="7"/>
  <c r="BG1732" i="7" s="1"/>
  <c r="BH173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733" i="7"/>
  <c r="BG1733" i="7" s="1"/>
  <c r="BH1733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2064" i="7"/>
  <c r="BG2064" i="7" s="1"/>
  <c r="BH2064" i="7" s="1"/>
  <c r="BF1974" i="7"/>
  <c r="BG1974" i="7" s="1"/>
  <c r="BH1974" i="7" s="1"/>
  <c r="BF1734" i="7"/>
  <c r="BG1734" i="7" s="1"/>
  <c r="BH1734" i="7" s="1"/>
  <c r="BF1975" i="7"/>
  <c r="BG1975" i="7" s="1"/>
  <c r="BH1975" i="7" s="1"/>
  <c r="BF1976" i="7"/>
  <c r="BG1976" i="7" s="1"/>
  <c r="BH1976" i="7" s="1"/>
  <c r="BF1977" i="7"/>
  <c r="BG1977" i="7" s="1"/>
  <c r="BH1977" i="7" s="1"/>
  <c r="BF2065" i="7"/>
  <c r="BG2065" i="7" s="1"/>
  <c r="BH2065" i="7" s="1"/>
  <c r="BF1866" i="7"/>
  <c r="BG1866" i="7" s="1"/>
  <c r="BH1866" i="7" s="1"/>
  <c r="BF1978" i="7"/>
  <c r="BG1978" i="7" s="1"/>
  <c r="BH1978" i="7" s="1"/>
  <c r="BF1979" i="7"/>
  <c r="BG1979" i="7" s="1"/>
  <c r="BH1979" i="7" s="1"/>
  <c r="BF1867" i="7"/>
  <c r="BG1867" i="7" s="1"/>
  <c r="BH1867" i="7" s="1"/>
  <c r="BF1868" i="7"/>
  <c r="BG1868" i="7" s="1"/>
  <c r="BH1868" i="7" s="1"/>
  <c r="BF1735" i="7"/>
  <c r="BG1735" i="7" s="1"/>
  <c r="BH1735" i="7" s="1"/>
  <c r="BF1980" i="7"/>
  <c r="BG1980" i="7" s="1"/>
  <c r="BH1980" i="7" s="1"/>
  <c r="BF2066" i="7"/>
  <c r="BG2066" i="7" s="1"/>
  <c r="BH2066" i="7" s="1"/>
  <c r="BF1981" i="7"/>
  <c r="BG1981" i="7" s="1"/>
  <c r="BH1981" i="7" s="1"/>
  <c r="BF1982" i="7"/>
  <c r="BG1982" i="7" s="1"/>
  <c r="BH1982" i="7" s="1"/>
  <c r="BF1983" i="7"/>
  <c r="BG1983" i="7" s="1"/>
  <c r="BH1983" i="7" s="1"/>
  <c r="BF2067" i="7"/>
  <c r="BG2067" i="7" s="1"/>
  <c r="BH2067" i="7" s="1"/>
  <c r="BF1869" i="7"/>
  <c r="BG1869" i="7" s="1"/>
  <c r="BH1869" i="7" s="1"/>
  <c r="BF1984" i="7"/>
  <c r="BG1984" i="7" s="1"/>
  <c r="BH1984" i="7" s="1"/>
  <c r="BF1870" i="7"/>
  <c r="BG1870" i="7" s="1"/>
  <c r="BH1870" i="7" s="1"/>
  <c r="BF1985" i="7"/>
  <c r="BG1985" i="7" s="1"/>
  <c r="BH1985" i="7" s="1"/>
  <c r="BF1871" i="7"/>
  <c r="BG1871" i="7" s="1"/>
  <c r="BH1871" i="7" s="1"/>
  <c r="BF1872" i="7"/>
  <c r="BG1872" i="7" s="1"/>
  <c r="BH1872" i="7" s="1"/>
  <c r="BF1986" i="7"/>
  <c r="BG1986" i="7" s="1"/>
  <c r="BH1986" i="7" s="1"/>
  <c r="BF1736" i="7"/>
  <c r="BG1736" i="7" s="1"/>
  <c r="BH1736" i="7" s="1"/>
  <c r="BF2068" i="7"/>
  <c r="BG2068" i="7" s="1"/>
  <c r="BH2068" i="7" s="1"/>
  <c r="BF1987" i="7"/>
  <c r="BG1987" i="7" s="1"/>
  <c r="BH1987" i="7" s="1"/>
  <c r="BF1988" i="7"/>
  <c r="BG1988" i="7" s="1"/>
  <c r="BH1988" i="7" s="1"/>
  <c r="BF1873" i="7"/>
  <c r="BG1873" i="7" s="1"/>
  <c r="BH1873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2069" i="7"/>
  <c r="BG2069" i="7" s="1"/>
  <c r="BH2069" i="7" s="1"/>
  <c r="BF1993" i="7"/>
  <c r="BG1993" i="7" s="1"/>
  <c r="BH1993" i="7" s="1"/>
  <c r="BF1994" i="7"/>
  <c r="BG1994" i="7" s="1"/>
  <c r="BH1994" i="7" s="1"/>
  <c r="BF2070" i="7"/>
  <c r="BG2070" i="7" s="1"/>
  <c r="BH2070" i="7" s="1"/>
  <c r="BF1874" i="7"/>
  <c r="BG1874" i="7" s="1"/>
  <c r="BH1874" i="7" s="1"/>
  <c r="BF2071" i="7"/>
  <c r="BG2071" i="7" s="1"/>
  <c r="BH2071" i="7" s="1"/>
  <c r="BF2072" i="7"/>
  <c r="BG2072" i="7" s="1"/>
  <c r="BH2072" i="7" s="1"/>
  <c r="BF1737" i="7"/>
  <c r="BG1737" i="7" s="1"/>
  <c r="BH1737" i="7" s="1"/>
  <c r="BF1995" i="7"/>
  <c r="BG1995" i="7" s="1"/>
  <c r="BH1995" i="7" s="1"/>
  <c r="BF1875" i="7"/>
  <c r="BG1875" i="7" s="1"/>
  <c r="BH1875" i="7" s="1"/>
  <c r="BF1738" i="7"/>
  <c r="BG1738" i="7" s="1"/>
  <c r="BH1738" i="7" s="1"/>
  <c r="BF1996" i="7"/>
  <c r="BG1996" i="7" s="1"/>
  <c r="BH1996" i="7" s="1"/>
  <c r="BF1997" i="7"/>
  <c r="BG1997" i="7" s="1"/>
  <c r="BH1997" i="7" s="1"/>
  <c r="BF1876" i="7"/>
  <c r="BG1876" i="7" s="1"/>
  <c r="BH1876" i="7" s="1"/>
  <c r="BF1877" i="7"/>
  <c r="BG1877" i="7" s="1"/>
  <c r="BH1877" i="7" s="1"/>
  <c r="BF1998" i="7"/>
  <c r="BG1998" i="7" s="1"/>
  <c r="BH1998" i="7" s="1"/>
  <c r="BF2073" i="7"/>
  <c r="BG2073" i="7" s="1"/>
  <c r="BH2073" i="7" s="1"/>
  <c r="BF2074" i="7"/>
  <c r="BG2074" i="7" s="1"/>
  <c r="BH2074" i="7" s="1"/>
  <c r="BF1999" i="7"/>
  <c r="BG1999" i="7" s="1"/>
  <c r="BH1999" i="7" s="1"/>
  <c r="BF2075" i="7"/>
  <c r="BG2075" i="7" s="1"/>
  <c r="BH2075" i="7" s="1"/>
  <c r="BF879" i="7"/>
  <c r="BG879" i="7" s="1"/>
  <c r="BH879" i="7" s="1"/>
  <c r="BF1739" i="7"/>
  <c r="BG1739" i="7" s="1"/>
  <c r="BH1739" i="7" s="1"/>
  <c r="BF2076" i="7"/>
  <c r="BG2076" i="7" s="1"/>
  <c r="BH2076" i="7" s="1"/>
  <c r="BF2000" i="7"/>
  <c r="BG2000" i="7" s="1"/>
  <c r="BH2000" i="7" s="1"/>
  <c r="BF1251" i="7"/>
  <c r="BG1251" i="7" s="1"/>
  <c r="BH1251" i="7" s="1"/>
  <c r="BF2001" i="7"/>
  <c r="BG2001" i="7" s="1"/>
  <c r="BH2001" i="7" s="1"/>
  <c r="BF1878" i="7"/>
  <c r="BG1878" i="7" s="1"/>
  <c r="BH1878" i="7" s="1"/>
  <c r="BF2002" i="7"/>
  <c r="BG2002" i="7" s="1"/>
  <c r="BH2002" i="7" s="1"/>
  <c r="BF2077" i="7"/>
  <c r="BG2077" i="7" s="1"/>
  <c r="BH2077" i="7" s="1"/>
  <c r="BF2078" i="7"/>
  <c r="BG2078" i="7" s="1"/>
  <c r="BH2078" i="7" s="1"/>
  <c r="BF2003" i="7"/>
  <c r="BG2003" i="7" s="1"/>
  <c r="BH2003" i="7" s="1"/>
  <c r="BF2079" i="7"/>
  <c r="BG2079" i="7" s="1"/>
  <c r="BH2079" i="7" s="1"/>
  <c r="BF2080" i="7"/>
  <c r="BG2080" i="7" s="1"/>
  <c r="BH2080" i="7" s="1"/>
  <c r="BF1879" i="7"/>
  <c r="BG1879" i="7" s="1"/>
  <c r="BH1879" i="7" s="1"/>
  <c r="BF2081" i="7"/>
  <c r="BG2081" i="7" s="1"/>
  <c r="BH2081" i="7" s="1"/>
  <c r="BF2082" i="7"/>
  <c r="BG2082" i="7" s="1"/>
  <c r="BH2082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83" i="7"/>
  <c r="BG2083" i="7" s="1"/>
  <c r="BH2083" i="7" s="1"/>
  <c r="BF2084" i="7"/>
  <c r="BG2084" i="7" s="1"/>
  <c r="BH2084" i="7" s="1"/>
  <c r="BF2007" i="7"/>
  <c r="BG2007" i="7" s="1"/>
  <c r="BH2007" i="7" s="1"/>
  <c r="BF2008" i="7"/>
  <c r="BG2008" i="7" s="1"/>
  <c r="BH2008" i="7" s="1"/>
  <c r="BF2085" i="7"/>
  <c r="BG2085" i="7" s="1"/>
  <c r="BH2085" i="7" s="1"/>
  <c r="BF2086" i="7"/>
  <c r="BG2086" i="7" s="1"/>
  <c r="BH2086" i="7" s="1"/>
  <c r="BF1880" i="7"/>
  <c r="BG1880" i="7" s="1"/>
  <c r="BH1880" i="7" s="1"/>
  <c r="BF2009" i="7"/>
  <c r="BG2009" i="7" s="1"/>
  <c r="BH2009" i="7" s="1"/>
  <c r="BF2010" i="7"/>
  <c r="BG2010" i="7" s="1"/>
  <c r="BH2010" i="7" s="1"/>
  <c r="BF1881" i="7"/>
  <c r="BG1881" i="7" s="1"/>
  <c r="BH1881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16" i="7"/>
  <c r="BG2016" i="7" s="1"/>
  <c r="BH2016" i="7" s="1"/>
  <c r="BF2017" i="7"/>
  <c r="BG2017" i="7" s="1"/>
  <c r="BH2017" i="7" s="1"/>
  <c r="BF2091" i="7"/>
  <c r="BG2091" i="7" s="1"/>
  <c r="BH2091" i="7" s="1"/>
  <c r="BF1740" i="7"/>
  <c r="BG1740" i="7" s="1"/>
  <c r="BH1740" i="7" s="1"/>
  <c r="BF2018" i="7"/>
  <c r="BG2018" i="7" s="1"/>
  <c r="BH2018" i="7" s="1"/>
  <c r="BF2019" i="7"/>
  <c r="BG2019" i="7" s="1"/>
  <c r="BH2019" i="7" s="1"/>
  <c r="BF2092" i="7"/>
  <c r="BG2092" i="7" s="1"/>
  <c r="BH2092" i="7" s="1"/>
  <c r="BF2020" i="7"/>
  <c r="BG2020" i="7" s="1"/>
  <c r="BH2020" i="7" s="1"/>
  <c r="BF2093" i="7"/>
  <c r="BG2093" i="7" s="1"/>
  <c r="BH2093" i="7" s="1"/>
  <c r="BF2021" i="7"/>
  <c r="BG2021" i="7" s="1"/>
  <c r="BH2021" i="7" s="1"/>
  <c r="BF2177" i="7"/>
  <c r="BG2177" i="7" s="1"/>
  <c r="BH2177" i="7" s="1"/>
  <c r="BF2094" i="7"/>
  <c r="BG2094" i="7" s="1"/>
  <c r="BH2094" i="7" s="1"/>
  <c r="BF1882" i="7"/>
  <c r="BG1882" i="7" s="1"/>
  <c r="BH1882" i="7" s="1"/>
  <c r="BF2178" i="7"/>
  <c r="BG2178" i="7" s="1"/>
  <c r="BH2178" i="7" s="1"/>
  <c r="BF2179" i="7"/>
  <c r="BG2179" i="7" s="1"/>
  <c r="BH2179" i="7" s="1"/>
  <c r="BF2180" i="7"/>
  <c r="BG2180" i="7" s="1"/>
  <c r="BH2180" i="7" s="1"/>
  <c r="BF2022" i="7"/>
  <c r="BG2022" i="7" s="1"/>
  <c r="BH2022" i="7" s="1"/>
  <c r="BF2095" i="7"/>
  <c r="BG2095" i="7" s="1"/>
  <c r="BH2095" i="7" s="1"/>
  <c r="BF2181" i="7"/>
  <c r="BG2181" i="7" s="1"/>
  <c r="BH2181" i="7" s="1"/>
  <c r="BF2182" i="7"/>
  <c r="BG2182" i="7" s="1"/>
  <c r="BH2182" i="7" s="1"/>
  <c r="BF2183" i="7"/>
  <c r="BG2183" i="7" s="1"/>
  <c r="BH2183" i="7" s="1"/>
  <c r="BF2023" i="7"/>
  <c r="BG2023" i="7" s="1"/>
  <c r="BH2023" i="7" s="1"/>
  <c r="BF2184" i="7"/>
  <c r="BG2184" i="7" s="1"/>
  <c r="BH2184" i="7" s="1"/>
  <c r="BF2096" i="7"/>
  <c r="BG2096" i="7" s="1"/>
  <c r="BH2096" i="7" s="1"/>
  <c r="BF2185" i="7"/>
  <c r="BG2185" i="7" s="1"/>
  <c r="BH2185" i="7" s="1"/>
  <c r="BF2186" i="7"/>
  <c r="BG2186" i="7" s="1"/>
  <c r="BH2186" i="7" s="1"/>
  <c r="BF2024" i="7"/>
  <c r="BG2024" i="7" s="1"/>
  <c r="BH2024" i="7" s="1"/>
  <c r="BF2187" i="7"/>
  <c r="BG2187" i="7" s="1"/>
  <c r="BH2187" i="7" s="1"/>
  <c r="BF2188" i="7"/>
  <c r="BG2188" i="7" s="1"/>
  <c r="BH2188" i="7" s="1"/>
  <c r="BF2189" i="7"/>
  <c r="BG2189" i="7" s="1"/>
  <c r="BH2189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90" i="7"/>
  <c r="BG2190" i="7" s="1"/>
  <c r="BH2190" i="7" s="1"/>
  <c r="BF2025" i="7"/>
  <c r="BG2025" i="7" s="1"/>
  <c r="BH2025" i="7" s="1"/>
  <c r="BF1334" i="7"/>
  <c r="BG1334" i="7" s="1"/>
  <c r="BH1334" i="7" s="1"/>
  <c r="BF2191" i="7"/>
  <c r="BG2191" i="7" s="1"/>
  <c r="BH2191" i="7" s="1"/>
  <c r="BF2100" i="7"/>
  <c r="BG2100" i="7" s="1"/>
  <c r="BH2100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01" i="7"/>
  <c r="BG2101" i="7" s="1"/>
  <c r="BH2101" i="7" s="1"/>
  <c r="BF2195" i="7"/>
  <c r="BG2195" i="7" s="1"/>
  <c r="BH2195" i="7" s="1"/>
  <c r="BF2196" i="7"/>
  <c r="BG2196" i="7" s="1"/>
  <c r="BH2196" i="7" s="1"/>
  <c r="BF1335" i="7"/>
  <c r="BG1335" i="7" s="1"/>
  <c r="BH1335" i="7" s="1"/>
  <c r="BF2102" i="7"/>
  <c r="BG2102" i="7" s="1"/>
  <c r="BH2102" i="7" s="1"/>
  <c r="BF2197" i="7"/>
  <c r="BG2197" i="7" s="1"/>
  <c r="BH2197" i="7" s="1"/>
  <c r="BF2103" i="7"/>
  <c r="BG2103" i="7" s="1"/>
  <c r="BH2103" i="7" s="1"/>
  <c r="BF2104" i="7"/>
  <c r="BG2104" i="7" s="1"/>
  <c r="BH2104" i="7" s="1"/>
  <c r="BF2105" i="7"/>
  <c r="BG2105" i="7" s="1"/>
  <c r="BH2105" i="7" s="1"/>
  <c r="BF2026" i="7"/>
  <c r="BG2026" i="7" s="1"/>
  <c r="BH2026" i="7" s="1"/>
  <c r="BF1090" i="7"/>
  <c r="BG1090" i="7" s="1"/>
  <c r="BH1090" i="7" s="1"/>
  <c r="BF2027" i="7"/>
  <c r="BG2027" i="7" s="1"/>
  <c r="BH2027" i="7" s="1"/>
  <c r="BF1883" i="7"/>
  <c r="BG1883" i="7" s="1"/>
  <c r="BH1883" i="7" s="1"/>
  <c r="BF2198" i="7"/>
  <c r="BG2198" i="7" s="1"/>
  <c r="BH2198" i="7" s="1"/>
  <c r="BF2106" i="7"/>
  <c r="BG2106" i="7" s="1"/>
  <c r="BH2106" i="7" s="1"/>
  <c r="BF2107" i="7"/>
  <c r="BG2107" i="7" s="1"/>
  <c r="BH2107" i="7" s="1"/>
  <c r="BF2199" i="7"/>
  <c r="BG2199" i="7" s="1"/>
  <c r="BH2199" i="7" s="1"/>
  <c r="BF2028" i="7"/>
  <c r="BG2028" i="7" s="1"/>
  <c r="BH2028" i="7" s="1"/>
  <c r="BF2029" i="7"/>
  <c r="BG2029" i="7" s="1"/>
  <c r="BH2029" i="7" s="1"/>
  <c r="BF2108" i="7"/>
  <c r="BG2108" i="7" s="1"/>
  <c r="BH2108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109" i="7"/>
  <c r="BG2109" i="7" s="1"/>
  <c r="BH2109" i="7" s="1"/>
  <c r="BF2110" i="7"/>
  <c r="BG2110" i="7" s="1"/>
  <c r="BH2110" i="7" s="1"/>
  <c r="BF2111" i="7"/>
  <c r="BG2111" i="7" s="1"/>
  <c r="BH2111" i="7" s="1"/>
  <c r="BF2030" i="7"/>
  <c r="BG2030" i="7" s="1"/>
  <c r="BH2030" i="7" s="1"/>
  <c r="BF2112" i="7"/>
  <c r="BG2112" i="7" s="1"/>
  <c r="BH2112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113" i="7"/>
  <c r="BG2113" i="7" s="1"/>
  <c r="BH2113" i="7" s="1"/>
  <c r="BF2208" i="7"/>
  <c r="BG2208" i="7" s="1"/>
  <c r="BH2208" i="7" s="1"/>
  <c r="BF2209" i="7"/>
  <c r="BG2209" i="7" s="1"/>
  <c r="BH2209" i="7" s="1"/>
  <c r="BF2031" i="7"/>
  <c r="BG2031" i="7" s="1"/>
  <c r="BH2031" i="7" s="1"/>
  <c r="BF2114" i="7"/>
  <c r="BG2114" i="7" s="1"/>
  <c r="BH2114" i="7" s="1"/>
  <c r="BF2115" i="7"/>
  <c r="BG2115" i="7" s="1"/>
  <c r="BH2115" i="7" s="1"/>
  <c r="BF2116" i="7"/>
  <c r="BG2116" i="7" s="1"/>
  <c r="BH2116" i="7" s="1"/>
  <c r="BF2210" i="7"/>
  <c r="BG2210" i="7" s="1"/>
  <c r="BH2210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032" i="7"/>
  <c r="BG2032" i="7" s="1"/>
  <c r="BH2032" i="7" s="1"/>
  <c r="BF2125" i="7"/>
  <c r="BG2125" i="7" s="1"/>
  <c r="BH2125" i="7" s="1"/>
  <c r="BF2211" i="7"/>
  <c r="BG2211" i="7" s="1"/>
  <c r="BH2211" i="7" s="1"/>
  <c r="BF2033" i="7"/>
  <c r="BG2033" i="7" s="1"/>
  <c r="BH2033" i="7" s="1"/>
  <c r="BF2126" i="7"/>
  <c r="BG2126" i="7" s="1"/>
  <c r="BH2126" i="7" s="1"/>
  <c r="BF2212" i="7"/>
  <c r="BG2212" i="7" s="1"/>
  <c r="BH2212" i="7" s="1"/>
  <c r="BF2034" i="7"/>
  <c r="BG2034" i="7" s="1"/>
  <c r="BH2034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213" i="7"/>
  <c r="BG2213" i="7" s="1"/>
  <c r="BH2213" i="7" s="1"/>
  <c r="BF2134" i="7"/>
  <c r="BG2134" i="7" s="1"/>
  <c r="BH2134" i="7" s="1"/>
  <c r="BF2035" i="7"/>
  <c r="BG2035" i="7" s="1"/>
  <c r="BH2035" i="7" s="1"/>
  <c r="BF2214" i="7"/>
  <c r="BG2214" i="7" s="1"/>
  <c r="BH2214" i="7" s="1"/>
  <c r="BF2036" i="7"/>
  <c r="BG2036" i="7" s="1"/>
  <c r="BH2036" i="7" s="1"/>
  <c r="BF2215" i="7"/>
  <c r="BG2215" i="7" s="1"/>
  <c r="BH2215" i="7" s="1"/>
  <c r="BF2216" i="7"/>
  <c r="BG2216" i="7" s="1"/>
  <c r="BH2216" i="7" s="1"/>
  <c r="BF2217" i="7"/>
  <c r="BG2217" i="7" s="1"/>
  <c r="BH2217" i="7" s="1"/>
  <c r="BF2135" i="7"/>
  <c r="BG2135" i="7" s="1"/>
  <c r="BH2135" i="7" s="1"/>
  <c r="BF2037" i="7"/>
  <c r="BG2037" i="7" s="1"/>
  <c r="BH203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136" i="7"/>
  <c r="BG2136" i="7" s="1"/>
  <c r="BH2136" i="7" s="1"/>
  <c r="BF2137" i="7"/>
  <c r="BG2137" i="7" s="1"/>
  <c r="BH2137" i="7" s="1"/>
  <c r="BF2138" i="7"/>
  <c r="BG2138" i="7" s="1"/>
  <c r="BH2138" i="7" s="1"/>
  <c r="BF2224" i="7"/>
  <c r="BG2224" i="7" s="1"/>
  <c r="BH2224" i="7" s="1"/>
  <c r="BF2139" i="7"/>
  <c r="BG2139" i="7" s="1"/>
  <c r="BH2139" i="7" s="1"/>
  <c r="BF2140" i="7"/>
  <c r="BG2140" i="7" s="1"/>
  <c r="BH2140" i="7" s="1"/>
  <c r="BF2141" i="7"/>
  <c r="BG2141" i="7" s="1"/>
  <c r="BH2141" i="7" s="1"/>
  <c r="BF1884" i="7"/>
  <c r="BG1884" i="7" s="1"/>
  <c r="BH1884" i="7" s="1"/>
  <c r="BF1741" i="7"/>
  <c r="BG1741" i="7" s="1"/>
  <c r="BH1741" i="7" s="1"/>
  <c r="BF2142" i="7"/>
  <c r="BG2142" i="7" s="1"/>
  <c r="BH2142" i="7" s="1"/>
  <c r="BF2143" i="7"/>
  <c r="BG2143" i="7" s="1"/>
  <c r="BH2143" i="7" s="1"/>
  <c r="BF2038" i="7"/>
  <c r="BG2038" i="7" s="1"/>
  <c r="BH2038" i="7" s="1"/>
  <c r="BF2144" i="7"/>
  <c r="BG2144" i="7" s="1"/>
  <c r="BH2144" i="7" s="1"/>
  <c r="BF2145" i="7"/>
  <c r="BG2145" i="7" s="1"/>
  <c r="BH2145" i="7" s="1"/>
  <c r="BF2039" i="7"/>
  <c r="BG2039" i="7" s="1"/>
  <c r="BH2039" i="7" s="1"/>
  <c r="BF2146" i="7"/>
  <c r="BG2146" i="7" s="1"/>
  <c r="BH2146" i="7" s="1"/>
  <c r="BF2147" i="7"/>
  <c r="BG2147" i="7" s="1"/>
  <c r="BH2147" i="7" s="1"/>
  <c r="BF2225" i="7"/>
  <c r="BG2225" i="7" s="1"/>
  <c r="BH2225" i="7" s="1"/>
  <c r="BF2148" i="7"/>
  <c r="BG2148" i="7" s="1"/>
  <c r="BH2148" i="7" s="1"/>
  <c r="BF2040" i="7"/>
  <c r="BG2040" i="7" s="1"/>
  <c r="BH2040" i="7" s="1"/>
  <c r="BF2041" i="7"/>
  <c r="BG2041" i="7" s="1"/>
  <c r="BH2041" i="7" s="1"/>
  <c r="BF2042" i="7"/>
  <c r="BG2042" i="7" s="1"/>
  <c r="BH2042" i="7" s="1"/>
  <c r="BF2226" i="7"/>
  <c r="BG2226" i="7" s="1"/>
  <c r="BH2226" i="7" s="1"/>
  <c r="BF2149" i="7"/>
  <c r="BG2149" i="7" s="1"/>
  <c r="BH2149" i="7" s="1"/>
  <c r="BF2150" i="7"/>
  <c r="BG2150" i="7" s="1"/>
  <c r="BH2150" i="7" s="1"/>
  <c r="BF2151" i="7"/>
  <c r="BG2151" i="7" s="1"/>
  <c r="BH2151" i="7" s="1"/>
  <c r="BF2043" i="7"/>
  <c r="BG2043" i="7" s="1"/>
  <c r="BH2043" i="7" s="1"/>
  <c r="BF2227" i="7"/>
  <c r="BG2227" i="7" s="1"/>
  <c r="BH2227" i="7" s="1"/>
  <c r="BF1885" i="7"/>
  <c r="BG1885" i="7" s="1"/>
  <c r="BH1885" i="7" s="1"/>
  <c r="BF2228" i="7"/>
  <c r="BG2228" i="7" s="1"/>
  <c r="BH2228" i="7" s="1"/>
  <c r="BF2152" i="7"/>
  <c r="BG2152" i="7" s="1"/>
  <c r="BH2152" i="7" s="1"/>
  <c r="BF2153" i="7"/>
  <c r="BG2153" i="7" s="1"/>
  <c r="BH2153" i="7" s="1"/>
  <c r="BF1886" i="7"/>
  <c r="BG1886" i="7" s="1"/>
  <c r="BH1886" i="7" s="1"/>
  <c r="BF2154" i="7"/>
  <c r="BG2154" i="7" s="1"/>
  <c r="BH2154" i="7" s="1"/>
  <c r="BF2155" i="7"/>
  <c r="BG2155" i="7" s="1"/>
  <c r="BH2155" i="7" s="1"/>
  <c r="BF2229" i="7"/>
  <c r="BG2229" i="7" s="1"/>
  <c r="BH2229" i="7" s="1"/>
  <c r="BF2044" i="7"/>
  <c r="BG2044" i="7" s="1"/>
  <c r="BH2044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307" i="7"/>
  <c r="BG2307" i="7" s="1"/>
  <c r="BH2307" i="7" s="1"/>
  <c r="BF2156" i="7"/>
  <c r="BG2156" i="7" s="1"/>
  <c r="BH2156" i="7" s="1"/>
  <c r="BF2236" i="7"/>
  <c r="BG2236" i="7" s="1"/>
  <c r="BH2236" i="7" s="1"/>
  <c r="BF2308" i="7"/>
  <c r="BG2308" i="7" s="1"/>
  <c r="BH2308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309" i="7"/>
  <c r="BG2309" i="7" s="1"/>
  <c r="BH2309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1742" i="7"/>
  <c r="BG1742" i="7" s="1"/>
  <c r="BH1742" i="7" s="1"/>
  <c r="BF2248" i="7"/>
  <c r="BG2248" i="7" s="1"/>
  <c r="BH2248" i="7" s="1"/>
  <c r="BF2249" i="7"/>
  <c r="BG2249" i="7" s="1"/>
  <c r="BH2249" i="7" s="1"/>
  <c r="BF2250" i="7"/>
  <c r="BG2250" i="7" s="1"/>
  <c r="BH2250" i="7" s="1"/>
  <c r="BF2310" i="7"/>
  <c r="BG2310" i="7" s="1"/>
  <c r="BH2310" i="7" s="1"/>
  <c r="BF2311" i="7"/>
  <c r="BG2311" i="7" s="1"/>
  <c r="BH2311" i="7" s="1"/>
  <c r="BF2312" i="7"/>
  <c r="BG2312" i="7" s="1"/>
  <c r="BH2312" i="7" s="1"/>
  <c r="BF2251" i="7"/>
  <c r="BG2251" i="7" s="1"/>
  <c r="BH2251" i="7" s="1"/>
  <c r="BF2157" i="7"/>
  <c r="BG2157" i="7" s="1"/>
  <c r="BH2157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317" i="7"/>
  <c r="BG2317" i="7" s="1"/>
  <c r="BH2317" i="7" s="1"/>
  <c r="BF2257" i="7"/>
  <c r="BG2257" i="7" s="1"/>
  <c r="BH2257" i="7" s="1"/>
  <c r="BF2258" i="7"/>
  <c r="BG2258" i="7" s="1"/>
  <c r="BH2258" i="7" s="1"/>
  <c r="BF2259" i="7"/>
  <c r="BG2259" i="7" s="1"/>
  <c r="BH2259" i="7" s="1"/>
  <c r="BF2158" i="7"/>
  <c r="BG2158" i="7" s="1"/>
  <c r="BH2158" i="7" s="1"/>
  <c r="BF2318" i="7"/>
  <c r="BG2318" i="7" s="1"/>
  <c r="BH2318" i="7" s="1"/>
  <c r="BF2260" i="7"/>
  <c r="BG2260" i="7" s="1"/>
  <c r="BH2260" i="7" s="1"/>
  <c r="BF2319" i="7"/>
  <c r="BG2319" i="7" s="1"/>
  <c r="BH2319" i="7" s="1"/>
  <c r="BF2320" i="7"/>
  <c r="BG2320" i="7" s="1"/>
  <c r="BH2320" i="7" s="1"/>
  <c r="BF2261" i="7"/>
  <c r="BG2261" i="7" s="1"/>
  <c r="BH2261" i="7" s="1"/>
  <c r="BF2262" i="7"/>
  <c r="BG2262" i="7" s="1"/>
  <c r="BH2262" i="7" s="1"/>
  <c r="BF2159" i="7"/>
  <c r="BG2159" i="7" s="1"/>
  <c r="BH2159" i="7" s="1"/>
  <c r="BF2263" i="7"/>
  <c r="BG2263" i="7" s="1"/>
  <c r="BH2263" i="7" s="1"/>
  <c r="BF2160" i="7"/>
  <c r="BG2160" i="7" s="1"/>
  <c r="BH2160" i="7" s="1"/>
  <c r="BF2264" i="7"/>
  <c r="BG2264" i="7" s="1"/>
  <c r="BH2264" i="7" s="1"/>
  <c r="BF2265" i="7"/>
  <c r="BG2265" i="7" s="1"/>
  <c r="BH2265" i="7" s="1"/>
  <c r="BF2321" i="7"/>
  <c r="BG2321" i="7" s="1"/>
  <c r="BH2321" i="7" s="1"/>
  <c r="BF2357" i="7"/>
  <c r="BG2357" i="7" s="1"/>
  <c r="BH2357" i="7" s="1"/>
  <c r="BF2358" i="7"/>
  <c r="BG2358" i="7" s="1"/>
  <c r="BH2358" i="7" s="1"/>
  <c r="BF2266" i="7"/>
  <c r="BG2266" i="7" s="1"/>
  <c r="BH2266" i="7" s="1"/>
  <c r="BF2359" i="7"/>
  <c r="BG2359" i="7" s="1"/>
  <c r="BH2359" i="7" s="1"/>
  <c r="BF2267" i="7"/>
  <c r="BG2267" i="7" s="1"/>
  <c r="BH2267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22" i="7"/>
  <c r="BG2322" i="7" s="1"/>
  <c r="BH2322" i="7" s="1"/>
  <c r="BF2323" i="7"/>
  <c r="BG2323" i="7" s="1"/>
  <c r="BH2323" i="7" s="1"/>
  <c r="BF2324" i="7"/>
  <c r="BG2324" i="7" s="1"/>
  <c r="BH2324" i="7" s="1"/>
  <c r="BF2161" i="7"/>
  <c r="BG2161" i="7" s="1"/>
  <c r="BH2161" i="7" s="1"/>
  <c r="BF2268" i="7"/>
  <c r="BG2268" i="7" s="1"/>
  <c r="BH2268" i="7" s="1"/>
  <c r="BF2364" i="7"/>
  <c r="BG2364" i="7" s="1"/>
  <c r="BH2364" i="7" s="1"/>
  <c r="BF2162" i="7"/>
  <c r="BG2162" i="7" s="1"/>
  <c r="BH2162" i="7" s="1"/>
  <c r="BF2325" i="7"/>
  <c r="BG2325" i="7" s="1"/>
  <c r="BH2325" i="7" s="1"/>
  <c r="BF2326" i="7"/>
  <c r="BG2326" i="7" s="1"/>
  <c r="BH2326" i="7" s="1"/>
  <c r="BF2269" i="7"/>
  <c r="BG2269" i="7" s="1"/>
  <c r="BH2269" i="7" s="1"/>
  <c r="BF2365" i="7"/>
  <c r="BG2365" i="7" s="1"/>
  <c r="BH2365" i="7" s="1"/>
  <c r="BF2327" i="7"/>
  <c r="BG2327" i="7" s="1"/>
  <c r="BH2327" i="7" s="1"/>
  <c r="BF2270" i="7"/>
  <c r="BG2270" i="7" s="1"/>
  <c r="BH2270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163" i="7"/>
  <c r="BG2163" i="7" s="1"/>
  <c r="BH2163" i="7" s="1"/>
  <c r="BF2271" i="7"/>
  <c r="BG2271" i="7" s="1"/>
  <c r="BH2271" i="7" s="1"/>
  <c r="BF2164" i="7"/>
  <c r="BG2164" i="7" s="1"/>
  <c r="BH2164" i="7" s="1"/>
  <c r="BF2332" i="7"/>
  <c r="BG2332" i="7" s="1"/>
  <c r="BH2332" i="7" s="1"/>
  <c r="BF2333" i="7"/>
  <c r="BG2333" i="7" s="1"/>
  <c r="BH2333" i="7" s="1"/>
  <c r="BF2334" i="7"/>
  <c r="BG2334" i="7" s="1"/>
  <c r="BH2334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366" i="7"/>
  <c r="BG2366" i="7" s="1"/>
  <c r="BH2366" i="7" s="1"/>
  <c r="BF2335" i="7"/>
  <c r="BG2335" i="7" s="1"/>
  <c r="BH2335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367" i="7"/>
  <c r="BG2367" i="7" s="1"/>
  <c r="BH2367" i="7" s="1"/>
  <c r="BF2368" i="7"/>
  <c r="BG2368" i="7" s="1"/>
  <c r="BH2368" i="7" s="1"/>
  <c r="BF2336" i="7"/>
  <c r="BG2336" i="7" s="1"/>
  <c r="BH2336" i="7" s="1"/>
  <c r="BF2045" i="7"/>
  <c r="BG2045" i="7" s="1"/>
  <c r="BH2045" i="7" s="1"/>
  <c r="BF2281" i="7"/>
  <c r="BG2281" i="7" s="1"/>
  <c r="BH2281" i="7" s="1"/>
  <c r="BF2282" i="7"/>
  <c r="BG2282" i="7" s="1"/>
  <c r="BH2282" i="7" s="1"/>
  <c r="BF2337" i="7"/>
  <c r="BG2337" i="7" s="1"/>
  <c r="BH2337" i="7" s="1"/>
  <c r="BF2283" i="7"/>
  <c r="BG2283" i="7" s="1"/>
  <c r="BH2283" i="7" s="1"/>
  <c r="BF2284" i="7"/>
  <c r="BG2284" i="7" s="1"/>
  <c r="BH2284" i="7" s="1"/>
  <c r="BF2165" i="7"/>
  <c r="BG2165" i="7" s="1"/>
  <c r="BH2165" i="7" s="1"/>
  <c r="BF2285" i="7"/>
  <c r="BG2285" i="7" s="1"/>
  <c r="BH2285" i="7" s="1"/>
  <c r="BF2338" i="7"/>
  <c r="BG2338" i="7" s="1"/>
  <c r="BH2338" i="7" s="1"/>
  <c r="BF2339" i="7"/>
  <c r="BG2339" i="7" s="1"/>
  <c r="BH2339" i="7" s="1"/>
  <c r="BF2166" i="7"/>
  <c r="BG2166" i="7" s="1"/>
  <c r="BH2166" i="7" s="1"/>
  <c r="BF2340" i="7"/>
  <c r="BG2340" i="7" s="1"/>
  <c r="BH2340" i="7" s="1"/>
  <c r="BF2369" i="7"/>
  <c r="BG2369" i="7" s="1"/>
  <c r="BH2369" i="7" s="1"/>
  <c r="BF2286" i="7"/>
  <c r="BG2286" i="7" s="1"/>
  <c r="BH2286" i="7" s="1"/>
  <c r="BF2287" i="7"/>
  <c r="BG2287" i="7" s="1"/>
  <c r="BH2287" i="7" s="1"/>
  <c r="BF2341" i="7"/>
  <c r="BG2341" i="7" s="1"/>
  <c r="BH2341" i="7" s="1"/>
  <c r="BF2342" i="7"/>
  <c r="BG2342" i="7" s="1"/>
  <c r="BH2342" i="7" s="1"/>
  <c r="BF2370" i="7"/>
  <c r="BG2370" i="7" s="1"/>
  <c r="BH2370" i="7" s="1"/>
  <c r="BF2371" i="7"/>
  <c r="BG2371" i="7" s="1"/>
  <c r="BH2371" i="7" s="1"/>
  <c r="BF2343" i="7"/>
  <c r="BG2343" i="7" s="1"/>
  <c r="BH2343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455" i="7"/>
  <c r="BG2455" i="7" s="1"/>
  <c r="BH2455" i="7" s="1"/>
  <c r="BF2376" i="7"/>
  <c r="BG2376" i="7" s="1"/>
  <c r="BH2376" i="7" s="1"/>
  <c r="BF2456" i="7"/>
  <c r="BG2456" i="7" s="1"/>
  <c r="BH2456" i="7" s="1"/>
  <c r="BF2457" i="7"/>
  <c r="BG2457" i="7" s="1"/>
  <c r="BH2457" i="7" s="1"/>
  <c r="BF2377" i="7"/>
  <c r="BG2377" i="7" s="1"/>
  <c r="BH2377" i="7" s="1"/>
  <c r="BF2378" i="7"/>
  <c r="BG2378" i="7" s="1"/>
  <c r="BH2378" i="7" s="1"/>
  <c r="BF2167" i="7"/>
  <c r="BG2167" i="7" s="1"/>
  <c r="BH2167" i="7" s="1"/>
  <c r="BF2344" i="7"/>
  <c r="BG2344" i="7" s="1"/>
  <c r="BH2344" i="7" s="1"/>
  <c r="BF2379" i="7"/>
  <c r="BG2379" i="7" s="1"/>
  <c r="BH2379" i="7" s="1"/>
  <c r="BF2458" i="7"/>
  <c r="BG2458" i="7" s="1"/>
  <c r="BH2458" i="7" s="1"/>
  <c r="BF2288" i="7"/>
  <c r="BG2288" i="7" s="1"/>
  <c r="BH2288" i="7" s="1"/>
  <c r="BF2380" i="7"/>
  <c r="BG2380" i="7" s="1"/>
  <c r="BH2380" i="7" s="1"/>
  <c r="BF2381" i="7"/>
  <c r="BG2381" i="7" s="1"/>
  <c r="BH2381" i="7" s="1"/>
  <c r="BF2289" i="7"/>
  <c r="BG2289" i="7" s="1"/>
  <c r="BH2289" i="7" s="1"/>
  <c r="BF2459" i="7"/>
  <c r="BG2459" i="7" s="1"/>
  <c r="BH2459" i="7" s="1"/>
  <c r="BF2290" i="7"/>
  <c r="BG2290" i="7" s="1"/>
  <c r="BH2290" i="7" s="1"/>
  <c r="BF2382" i="7"/>
  <c r="BG2382" i="7" s="1"/>
  <c r="BH2382" i="7" s="1"/>
  <c r="BF2460" i="7"/>
  <c r="BG2460" i="7" s="1"/>
  <c r="BH2460" i="7" s="1"/>
  <c r="BF2345" i="7"/>
  <c r="BG2345" i="7" s="1"/>
  <c r="BH2345" i="7" s="1"/>
  <c r="BF2291" i="7"/>
  <c r="BG2291" i="7" s="1"/>
  <c r="BH2291" i="7" s="1"/>
  <c r="BF2292" i="7"/>
  <c r="BG2292" i="7" s="1"/>
  <c r="BH2292" i="7" s="1"/>
  <c r="BF2383" i="7"/>
  <c r="BG2383" i="7" s="1"/>
  <c r="BH2383" i="7" s="1"/>
  <c r="BF2046" i="7"/>
  <c r="BG2046" i="7" s="1"/>
  <c r="BH2046" i="7" s="1"/>
  <c r="BF2384" i="7"/>
  <c r="BG2384" i="7" s="1"/>
  <c r="BH2384" i="7" s="1"/>
  <c r="BF2346" i="7"/>
  <c r="BG2346" i="7" s="1"/>
  <c r="BH2346" i="7" s="1"/>
  <c r="BF2385" i="7"/>
  <c r="BG2385" i="7" s="1"/>
  <c r="BH2385" i="7" s="1"/>
  <c r="BF2461" i="7"/>
  <c r="BG2461" i="7" s="1"/>
  <c r="BH2461" i="7" s="1"/>
  <c r="BF2386" i="7"/>
  <c r="BG2386" i="7" s="1"/>
  <c r="BH2386" i="7" s="1"/>
  <c r="BF2168" i="7"/>
  <c r="BG2168" i="7" s="1"/>
  <c r="BH2168" i="7" s="1"/>
  <c r="BF2387" i="7"/>
  <c r="BG2387" i="7" s="1"/>
  <c r="BH2387" i="7" s="1"/>
  <c r="BF2169" i="7"/>
  <c r="BG2169" i="7" s="1"/>
  <c r="BH2169" i="7" s="1"/>
  <c r="BF2388" i="7"/>
  <c r="BG2388" i="7" s="1"/>
  <c r="BH2388" i="7" s="1"/>
  <c r="BF2170" i="7"/>
  <c r="BG2170" i="7" s="1"/>
  <c r="BH2170" i="7" s="1"/>
  <c r="BF2347" i="7"/>
  <c r="BG2347" i="7" s="1"/>
  <c r="BH2347" i="7" s="1"/>
  <c r="BF2389" i="7"/>
  <c r="BG2389" i="7" s="1"/>
  <c r="BH2389" i="7" s="1"/>
  <c r="BF2390" i="7"/>
  <c r="BG2390" i="7" s="1"/>
  <c r="BH2390" i="7" s="1"/>
  <c r="BF2391" i="7"/>
  <c r="BG2391" i="7" s="1"/>
  <c r="BH2391" i="7" s="1"/>
  <c r="BF2462" i="7"/>
  <c r="BG2462" i="7" s="1"/>
  <c r="BH2462" i="7" s="1"/>
  <c r="BF2392" i="7"/>
  <c r="BG2392" i="7" s="1"/>
  <c r="BH2392" i="7" s="1"/>
  <c r="BF2393" i="7"/>
  <c r="BG2393" i="7" s="1"/>
  <c r="BH2393" i="7" s="1"/>
  <c r="BF2463" i="7"/>
  <c r="BG2463" i="7" s="1"/>
  <c r="BH246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464" i="7"/>
  <c r="BG2464" i="7" s="1"/>
  <c r="BH2464" i="7" s="1"/>
  <c r="BF2465" i="7"/>
  <c r="BG2465" i="7" s="1"/>
  <c r="BH2465" i="7" s="1"/>
  <c r="BF2293" i="7"/>
  <c r="BG2293" i="7" s="1"/>
  <c r="BH2293" i="7" s="1"/>
  <c r="BF2399" i="7"/>
  <c r="BG2399" i="7" s="1"/>
  <c r="BH2399" i="7" s="1"/>
  <c r="BF2466" i="7"/>
  <c r="BG2466" i="7" s="1"/>
  <c r="BH2466" i="7" s="1"/>
  <c r="BF2467" i="7"/>
  <c r="BG2467" i="7" s="1"/>
  <c r="BH2467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68" i="7"/>
  <c r="BG2468" i="7" s="1"/>
  <c r="BH2468" i="7" s="1"/>
  <c r="BF2403" i="7"/>
  <c r="BG2403" i="7" s="1"/>
  <c r="BH2403" i="7" s="1"/>
  <c r="BF2469" i="7"/>
  <c r="BG2469" i="7" s="1"/>
  <c r="BH2469" i="7" s="1"/>
  <c r="BF2470" i="7"/>
  <c r="BG2470" i="7" s="1"/>
  <c r="BH2470" i="7" s="1"/>
  <c r="BF2404" i="7"/>
  <c r="BG2404" i="7" s="1"/>
  <c r="BH2404" i="7" s="1"/>
  <c r="BF1743" i="7"/>
  <c r="BG1743" i="7" s="1"/>
  <c r="BH1743" i="7" s="1"/>
  <c r="BF1887" i="7"/>
  <c r="BG1887" i="7" s="1"/>
  <c r="BH1887" i="7" s="1"/>
  <c r="BF2471" i="7"/>
  <c r="BG2471" i="7" s="1"/>
  <c r="BH2471" i="7" s="1"/>
  <c r="BF2348" i="7"/>
  <c r="BG2348" i="7" s="1"/>
  <c r="BH2348" i="7" s="1"/>
  <c r="BF2405" i="7"/>
  <c r="BG2405" i="7" s="1"/>
  <c r="BH2405" i="7" s="1"/>
  <c r="BF2472" i="7"/>
  <c r="BG2472" i="7" s="1"/>
  <c r="BH2472" i="7" s="1"/>
  <c r="BF2406" i="7"/>
  <c r="BG2406" i="7" s="1"/>
  <c r="BH2406" i="7" s="1"/>
  <c r="BF2407" i="7"/>
  <c r="BG2407" i="7" s="1"/>
  <c r="BH2407" i="7" s="1"/>
  <c r="BF2408" i="7"/>
  <c r="BG2408" i="7" s="1"/>
  <c r="BH2408" i="7" s="1"/>
  <c r="BF2171" i="7"/>
  <c r="BG2171" i="7" s="1"/>
  <c r="BH2171" i="7" s="1"/>
  <c r="BF2473" i="7"/>
  <c r="BG2473" i="7" s="1"/>
  <c r="BH2473" i="7" s="1"/>
  <c r="BF2409" i="7"/>
  <c r="BG2409" i="7" s="1"/>
  <c r="BH2409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172" i="7"/>
  <c r="BG2172" i="7" s="1"/>
  <c r="BH2172" i="7" s="1"/>
  <c r="BF2349" i="7"/>
  <c r="BG2349" i="7" s="1"/>
  <c r="BH2349" i="7" s="1"/>
  <c r="BF2478" i="7"/>
  <c r="BG2478" i="7" s="1"/>
  <c r="BH2478" i="7" s="1"/>
  <c r="BF2350" i="7"/>
  <c r="BG2350" i="7" s="1"/>
  <c r="BH2350" i="7" s="1"/>
  <c r="BF2479" i="7"/>
  <c r="BG2479" i="7" s="1"/>
  <c r="BH2479" i="7" s="1"/>
  <c r="BF2294" i="7"/>
  <c r="BG2294" i="7" s="1"/>
  <c r="BH2294" i="7" s="1"/>
  <c r="BF2410" i="7"/>
  <c r="BG2410" i="7" s="1"/>
  <c r="BH2410" i="7" s="1"/>
  <c r="BF2173" i="7"/>
  <c r="BG2173" i="7" s="1"/>
  <c r="BH2173" i="7" s="1"/>
  <c r="BF2351" i="7"/>
  <c r="BG2351" i="7" s="1"/>
  <c r="BH2351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80" i="7"/>
  <c r="BG2480" i="7" s="1"/>
  <c r="BH2480" i="7" s="1"/>
  <c r="BF2352" i="7"/>
  <c r="BG2352" i="7" s="1"/>
  <c r="BH2352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295" i="7"/>
  <c r="BG2295" i="7" s="1"/>
  <c r="BH2295" i="7" s="1"/>
  <c r="BF2481" i="7"/>
  <c r="BG2481" i="7" s="1"/>
  <c r="BH2481" i="7" s="1"/>
  <c r="BF2418" i="7"/>
  <c r="BG2418" i="7" s="1"/>
  <c r="BH2418" i="7" s="1"/>
  <c r="BF2419" i="7"/>
  <c r="BG2419" i="7" s="1"/>
  <c r="BH2419" i="7" s="1"/>
  <c r="BF2353" i="7"/>
  <c r="BG2353" i="7" s="1"/>
  <c r="BH2353" i="7" s="1"/>
  <c r="BF2047" i="7"/>
  <c r="BG2047" i="7" s="1"/>
  <c r="BH2047" i="7" s="1"/>
  <c r="BF2420" i="7"/>
  <c r="BG2420" i="7" s="1"/>
  <c r="BH2420" i="7" s="1"/>
  <c r="BF2174" i="7"/>
  <c r="BG2174" i="7" s="1"/>
  <c r="BH2174" i="7" s="1"/>
  <c r="BF2421" i="7"/>
  <c r="BG2421" i="7" s="1"/>
  <c r="BH2421" i="7" s="1"/>
  <c r="BF2422" i="7"/>
  <c r="BG2422" i="7" s="1"/>
  <c r="BH2422" i="7" s="1"/>
  <c r="BF2482" i="7"/>
  <c r="BG2482" i="7" s="1"/>
  <c r="BH2482" i="7" s="1"/>
  <c r="BF2423" i="7"/>
  <c r="BG2423" i="7" s="1"/>
  <c r="BH2423" i="7" s="1"/>
  <c r="BF2483" i="7"/>
  <c r="BG2483" i="7" s="1"/>
  <c r="BH2483" i="7" s="1"/>
  <c r="BF2296" i="7"/>
  <c r="BG2296" i="7" s="1"/>
  <c r="BH2296" i="7" s="1"/>
  <c r="BF2297" i="7"/>
  <c r="BG2297" i="7" s="1"/>
  <c r="BH2297" i="7" s="1"/>
  <c r="BF2424" i="7"/>
  <c r="BG2424" i="7" s="1"/>
  <c r="BH2424" i="7" s="1"/>
  <c r="BF2484" i="7"/>
  <c r="BG2484" i="7" s="1"/>
  <c r="BH2484" i="7" s="1"/>
  <c r="BF2485" i="7"/>
  <c r="BG2485" i="7" s="1"/>
  <c r="BH2485" i="7" s="1"/>
  <c r="BF2425" i="7"/>
  <c r="BG2425" i="7" s="1"/>
  <c r="BH2425" i="7" s="1"/>
  <c r="BF2426" i="7"/>
  <c r="BG2426" i="7" s="1"/>
  <c r="BH2426" i="7" s="1"/>
  <c r="BF2427" i="7"/>
  <c r="BG2427" i="7" s="1"/>
  <c r="BH2427" i="7" s="1"/>
  <c r="BF2354" i="7"/>
  <c r="BG2354" i="7" s="1"/>
  <c r="BH2354" i="7" s="1"/>
  <c r="BF2486" i="7"/>
  <c r="BG2486" i="7" s="1"/>
  <c r="BH2486" i="7" s="1"/>
  <c r="BF2569" i="7"/>
  <c r="BG2569" i="7" s="1"/>
  <c r="BH2569" i="7" s="1"/>
  <c r="BF2428" i="7"/>
  <c r="BG2428" i="7" s="1"/>
  <c r="BH2428" i="7" s="1"/>
  <c r="BF2570" i="7"/>
  <c r="BG2570" i="7" s="1"/>
  <c r="BH2570" i="7" s="1"/>
  <c r="BF2355" i="7"/>
  <c r="BG2355" i="7" s="1"/>
  <c r="BH2355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29" i="7"/>
  <c r="BG2429" i="7" s="1"/>
  <c r="BH2429" i="7" s="1"/>
  <c r="BF2571" i="7"/>
  <c r="BG2571" i="7" s="1"/>
  <c r="BH2571" i="7" s="1"/>
  <c r="BF2491" i="7"/>
  <c r="BG2491" i="7" s="1"/>
  <c r="BH2491" i="7" s="1"/>
  <c r="BF1559" i="7"/>
  <c r="BG1559" i="7" s="1"/>
  <c r="BH1559" i="7" s="1"/>
  <c r="BF2572" i="7"/>
  <c r="BG2572" i="7" s="1"/>
  <c r="BH2572" i="7" s="1"/>
  <c r="BF2573" i="7"/>
  <c r="BG2573" i="7" s="1"/>
  <c r="BH2573" i="7" s="1"/>
  <c r="BF2492" i="7"/>
  <c r="BG2492" i="7" s="1"/>
  <c r="BH2492" i="7" s="1"/>
  <c r="BF2493" i="7"/>
  <c r="BG2493" i="7" s="1"/>
  <c r="BH2493" i="7" s="1"/>
  <c r="BF2574" i="7"/>
  <c r="BG2574" i="7" s="1"/>
  <c r="BH2574" i="7" s="1"/>
  <c r="BF2575" i="7"/>
  <c r="BG2575" i="7" s="1"/>
  <c r="BH2575" i="7" s="1"/>
  <c r="BF2494" i="7"/>
  <c r="BG2494" i="7" s="1"/>
  <c r="BH2494" i="7" s="1"/>
  <c r="BF2495" i="7"/>
  <c r="BG2495" i="7" s="1"/>
  <c r="BH2495" i="7" s="1"/>
  <c r="BF2430" i="7"/>
  <c r="BG2430" i="7" s="1"/>
  <c r="BH2430" i="7" s="1"/>
  <c r="BF1560" i="7"/>
  <c r="BG1560" i="7" s="1"/>
  <c r="BH1560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31" i="7"/>
  <c r="BG2431" i="7" s="1"/>
  <c r="BH2431" i="7" s="1"/>
  <c r="BF2432" i="7"/>
  <c r="BG2432" i="7" s="1"/>
  <c r="BH2432" i="7" s="1"/>
  <c r="BF2499" i="7"/>
  <c r="BG2499" i="7" s="1"/>
  <c r="BH2499" i="7" s="1"/>
  <c r="BF2433" i="7"/>
  <c r="BG2433" i="7" s="1"/>
  <c r="BH2433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76" i="7"/>
  <c r="BG2576" i="7" s="1"/>
  <c r="BH2576" i="7" s="1"/>
  <c r="BF2503" i="7"/>
  <c r="BG2503" i="7" s="1"/>
  <c r="BH2503" i="7" s="1"/>
  <c r="BF2577" i="7"/>
  <c r="BG2577" i="7" s="1"/>
  <c r="BH2577" i="7" s="1"/>
  <c r="BF2504" i="7"/>
  <c r="BG2504" i="7" s="1"/>
  <c r="BH2504" i="7" s="1"/>
  <c r="BF2505" i="7"/>
  <c r="BG2505" i="7" s="1"/>
  <c r="BH2505" i="7" s="1"/>
  <c r="BF2578" i="7"/>
  <c r="BG2578" i="7" s="1"/>
  <c r="BH2578" i="7" s="1"/>
  <c r="BF2579" i="7"/>
  <c r="BG2579" i="7" s="1"/>
  <c r="BH2579" i="7" s="1"/>
  <c r="BF2580" i="7"/>
  <c r="BG2580" i="7" s="1"/>
  <c r="BH2580" i="7" s="1"/>
  <c r="BF2356" i="7"/>
  <c r="BG2356" i="7" s="1"/>
  <c r="BH2356" i="7" s="1"/>
  <c r="BF2434" i="7"/>
  <c r="BG2434" i="7" s="1"/>
  <c r="BH2434" i="7" s="1"/>
  <c r="BF1252" i="7"/>
  <c r="BG1252" i="7" s="1"/>
  <c r="BH1252" i="7" s="1"/>
  <c r="BF1253" i="7"/>
  <c r="BG1253" i="7" s="1"/>
  <c r="BH1253" i="7" s="1"/>
  <c r="BF2581" i="7"/>
  <c r="BG2581" i="7" s="1"/>
  <c r="BH2581" i="7" s="1"/>
  <c r="BF2582" i="7"/>
  <c r="BG2582" i="7" s="1"/>
  <c r="BH2582" i="7" s="1"/>
  <c r="BF2435" i="7"/>
  <c r="BG2435" i="7" s="1"/>
  <c r="BH2435" i="7" s="1"/>
  <c r="BF2583" i="7"/>
  <c r="BG2583" i="7" s="1"/>
  <c r="BH2583" i="7" s="1"/>
  <c r="BF2584" i="7"/>
  <c r="BG2584" i="7" s="1"/>
  <c r="BH2584" i="7" s="1"/>
  <c r="BF2585" i="7"/>
  <c r="BG2585" i="7" s="1"/>
  <c r="BH2585" i="7" s="1"/>
  <c r="BF2298" i="7"/>
  <c r="BG2298" i="7" s="1"/>
  <c r="BH2298" i="7" s="1"/>
  <c r="BF2506" i="7"/>
  <c r="BG2506" i="7" s="1"/>
  <c r="BH2506" i="7" s="1"/>
  <c r="BF2507" i="7"/>
  <c r="BG2507" i="7" s="1"/>
  <c r="BH2507" i="7" s="1"/>
  <c r="BF2175" i="7"/>
  <c r="BG2175" i="7" s="1"/>
  <c r="BH2175" i="7" s="1"/>
  <c r="BF2508" i="7"/>
  <c r="BG2508" i="7" s="1"/>
  <c r="BH2508" i="7" s="1"/>
  <c r="BF2509" i="7"/>
  <c r="BG2509" i="7" s="1"/>
  <c r="BH2509" i="7" s="1"/>
  <c r="BF2586" i="7"/>
  <c r="BG2586" i="7" s="1"/>
  <c r="BH2586" i="7" s="1"/>
  <c r="BF2510" i="7"/>
  <c r="BG2510" i="7" s="1"/>
  <c r="BH2510" i="7" s="1"/>
  <c r="BF2436" i="7"/>
  <c r="BG2436" i="7" s="1"/>
  <c r="BH2436" i="7" s="1"/>
  <c r="BF2437" i="7"/>
  <c r="BG2437" i="7" s="1"/>
  <c r="BH2437" i="7" s="1"/>
  <c r="BF2438" i="7"/>
  <c r="BG2438" i="7" s="1"/>
  <c r="BH2438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14" i="7"/>
  <c r="BG2514" i="7" s="1"/>
  <c r="BH2514" i="7" s="1"/>
  <c r="BF2590" i="7"/>
  <c r="BG2590" i="7" s="1"/>
  <c r="BH2590" i="7" s="1"/>
  <c r="BF2591" i="7"/>
  <c r="BG2591" i="7" s="1"/>
  <c r="BH2591" i="7" s="1"/>
  <c r="BF2515" i="7"/>
  <c r="BG2515" i="7" s="1"/>
  <c r="BH2515" i="7" s="1"/>
  <c r="BF2592" i="7"/>
  <c r="BG2592" i="7" s="1"/>
  <c r="BH2592" i="7" s="1"/>
  <c r="BF2516" i="7"/>
  <c r="BG2516" i="7" s="1"/>
  <c r="BH2516" i="7" s="1"/>
  <c r="BF2517" i="7"/>
  <c r="BG2517" i="7" s="1"/>
  <c r="BH2517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18" i="7"/>
  <c r="BG2518" i="7" s="1"/>
  <c r="BH2518" i="7" s="1"/>
  <c r="BF2598" i="7"/>
  <c r="BG2598" i="7" s="1"/>
  <c r="BH2598" i="7" s="1"/>
  <c r="BF2599" i="7"/>
  <c r="BG2599" i="7" s="1"/>
  <c r="BH2599" i="7" s="1"/>
  <c r="BF2600" i="7"/>
  <c r="BG2600" i="7" s="1"/>
  <c r="BH2600" i="7" s="1"/>
  <c r="BF2176" i="7"/>
  <c r="BG2176" i="7" s="1"/>
  <c r="BH2176" i="7" s="1"/>
  <c r="BF2601" i="7"/>
  <c r="BG2601" i="7" s="1"/>
  <c r="BH2601" i="7" s="1"/>
  <c r="BF2519" i="7"/>
  <c r="BG2519" i="7" s="1"/>
  <c r="BH2519" i="7" s="1"/>
  <c r="BF2602" i="7"/>
  <c r="BG2602" i="7" s="1"/>
  <c r="BH2602" i="7" s="1"/>
  <c r="BF2520" i="7"/>
  <c r="BG2520" i="7" s="1"/>
  <c r="BH2520" i="7" s="1"/>
  <c r="BF2299" i="7"/>
  <c r="BG2299" i="7" s="1"/>
  <c r="BH2299" i="7" s="1"/>
  <c r="BF2521" i="7"/>
  <c r="BG2521" i="7" s="1"/>
  <c r="BH2521" i="7" s="1"/>
  <c r="BF2439" i="7"/>
  <c r="BG2439" i="7" s="1"/>
  <c r="BH2439" i="7" s="1"/>
  <c r="BF2522" i="7"/>
  <c r="BG2522" i="7" s="1"/>
  <c r="BH2522" i="7" s="1"/>
  <c r="BF2603" i="7"/>
  <c r="BG2603" i="7" s="1"/>
  <c r="BH2603" i="7" s="1"/>
  <c r="BF2440" i="7"/>
  <c r="BG2440" i="7" s="1"/>
  <c r="BH2440" i="7" s="1"/>
  <c r="BF2523" i="7"/>
  <c r="BG2523" i="7" s="1"/>
  <c r="BH2523" i="7" s="1"/>
  <c r="BF2441" i="7"/>
  <c r="BG2441" i="7" s="1"/>
  <c r="BH2441" i="7" s="1"/>
  <c r="BF2442" i="7"/>
  <c r="BG2442" i="7" s="1"/>
  <c r="BH2442" i="7" s="1"/>
  <c r="BF2604" i="7"/>
  <c r="BG2604" i="7" s="1"/>
  <c r="BH2604" i="7" s="1"/>
  <c r="BF2524" i="7"/>
  <c r="BG2524" i="7" s="1"/>
  <c r="BH2524" i="7" s="1"/>
  <c r="BF2605" i="7"/>
  <c r="BG2605" i="7" s="1"/>
  <c r="BH2605" i="7" s="1"/>
  <c r="BF2525" i="7"/>
  <c r="BG2525" i="7" s="1"/>
  <c r="BH2525" i="7" s="1"/>
  <c r="BF2443" i="7"/>
  <c r="BG2443" i="7" s="1"/>
  <c r="BH2443" i="7" s="1"/>
  <c r="BF2526" i="7"/>
  <c r="BG2526" i="7" s="1"/>
  <c r="BH2526" i="7" s="1"/>
  <c r="BF2527" i="7"/>
  <c r="BG2527" i="7" s="1"/>
  <c r="BH2527" i="7" s="1"/>
  <c r="BF2444" i="7"/>
  <c r="BG2444" i="7" s="1"/>
  <c r="BH2444" i="7" s="1"/>
  <c r="BF2445" i="7"/>
  <c r="BG2445" i="7" s="1"/>
  <c r="BH2445" i="7" s="1"/>
  <c r="BF2528" i="7"/>
  <c r="BG2528" i="7" s="1"/>
  <c r="BH2528" i="7" s="1"/>
  <c r="BF2446" i="7"/>
  <c r="BG2446" i="7" s="1"/>
  <c r="BH2446" i="7" s="1"/>
  <c r="BF2529" i="7"/>
  <c r="BG2529" i="7" s="1"/>
  <c r="BH2529" i="7" s="1"/>
  <c r="BF2530" i="7"/>
  <c r="BG2530" i="7" s="1"/>
  <c r="BH2530" i="7" s="1"/>
  <c r="BF2531" i="7"/>
  <c r="BG2531" i="7" s="1"/>
  <c r="BH2531" i="7" s="1"/>
  <c r="BF2606" i="7"/>
  <c r="BG2606" i="7" s="1"/>
  <c r="BH2606" i="7" s="1"/>
  <c r="BF2607" i="7"/>
  <c r="BG2607" i="7" s="1"/>
  <c r="BH2607" i="7" s="1"/>
  <c r="BF2532" i="7"/>
  <c r="BG2532" i="7" s="1"/>
  <c r="BH2532" i="7" s="1"/>
  <c r="BF2608" i="7"/>
  <c r="BG2608" i="7" s="1"/>
  <c r="BH2608" i="7" s="1"/>
  <c r="BF2533" i="7"/>
  <c r="BG2533" i="7" s="1"/>
  <c r="BH2533" i="7" s="1"/>
  <c r="BF2534" i="7"/>
  <c r="BG2534" i="7" s="1"/>
  <c r="BH2534" i="7" s="1"/>
  <c r="BF2535" i="7"/>
  <c r="BG2535" i="7" s="1"/>
  <c r="BH2535" i="7" s="1"/>
  <c r="BF2609" i="7"/>
  <c r="BG2609" i="7" s="1"/>
  <c r="BH2609" i="7" s="1"/>
  <c r="BF2048" i="7"/>
  <c r="BG2048" i="7" s="1"/>
  <c r="BH2048" i="7" s="1"/>
  <c r="BF2536" i="7"/>
  <c r="BG2536" i="7" s="1"/>
  <c r="BH2536" i="7" s="1"/>
  <c r="BF2447" i="7"/>
  <c r="BG2447" i="7" s="1"/>
  <c r="BH2447" i="7" s="1"/>
  <c r="BF2448" i="7"/>
  <c r="BG2448" i="7" s="1"/>
  <c r="BH2448" i="7" s="1"/>
  <c r="BF2537" i="7"/>
  <c r="BG2537" i="7" s="1"/>
  <c r="BH2537" i="7" s="1"/>
  <c r="BF2610" i="7"/>
  <c r="BG2610" i="7" s="1"/>
  <c r="BH2610" i="7" s="1"/>
  <c r="BF2538" i="7"/>
  <c r="BG2538" i="7" s="1"/>
  <c r="BH2538" i="7" s="1"/>
  <c r="BF2449" i="7"/>
  <c r="BG2449" i="7" s="1"/>
  <c r="BH2449" i="7" s="1"/>
  <c r="BF2539" i="7"/>
  <c r="BG2539" i="7" s="1"/>
  <c r="BH2539" i="7" s="1"/>
  <c r="BF2540" i="7"/>
  <c r="BG2540" i="7" s="1"/>
  <c r="BH2540" i="7" s="1"/>
  <c r="BF2611" i="7"/>
  <c r="BG2611" i="7" s="1"/>
  <c r="BH2611" i="7" s="1"/>
  <c r="BF2696" i="7"/>
  <c r="BG2696" i="7" s="1"/>
  <c r="BH2696" i="7" s="1"/>
  <c r="BF2612" i="7"/>
  <c r="BG2612" i="7" s="1"/>
  <c r="BH2612" i="7" s="1"/>
  <c r="BF2613" i="7"/>
  <c r="BG2613" i="7" s="1"/>
  <c r="BH2613" i="7" s="1"/>
  <c r="BF2697" i="7"/>
  <c r="BG2697" i="7" s="1"/>
  <c r="BH2697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541" i="7"/>
  <c r="BG2541" i="7" s="1"/>
  <c r="BH2541" i="7" s="1"/>
  <c r="BF2618" i="7"/>
  <c r="BG2618" i="7" s="1"/>
  <c r="BH2618" i="7" s="1"/>
  <c r="BF2619" i="7"/>
  <c r="BG2619" i="7" s="1"/>
  <c r="BH2619" i="7" s="1"/>
  <c r="BF2620" i="7"/>
  <c r="BG2620" i="7" s="1"/>
  <c r="BH2620" i="7" s="1"/>
  <c r="BF2542" i="7"/>
  <c r="BG2542" i="7" s="1"/>
  <c r="BH2542" i="7" s="1"/>
  <c r="BF2621" i="7"/>
  <c r="BG2621" i="7" s="1"/>
  <c r="BH2621" i="7" s="1"/>
  <c r="BF2698" i="7"/>
  <c r="BG2698" i="7" s="1"/>
  <c r="BH2698" i="7" s="1"/>
  <c r="BF2450" i="7"/>
  <c r="BG2450" i="7" s="1"/>
  <c r="BH2450" i="7" s="1"/>
  <c r="BF2622" i="7"/>
  <c r="BG2622" i="7" s="1"/>
  <c r="BH2622" i="7" s="1"/>
  <c r="BF2699" i="7"/>
  <c r="BG2699" i="7" s="1"/>
  <c r="BH2699" i="7" s="1"/>
  <c r="BF2300" i="7"/>
  <c r="BG2300" i="7" s="1"/>
  <c r="BH2300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700" i="7"/>
  <c r="BG2700" i="7" s="1"/>
  <c r="BH2700" i="7" s="1"/>
  <c r="BF2630" i="7"/>
  <c r="BG2630" i="7" s="1"/>
  <c r="BH2630" i="7" s="1"/>
  <c r="BF2543" i="7"/>
  <c r="BG2543" i="7" s="1"/>
  <c r="BH2543" i="7" s="1"/>
  <c r="BF2544" i="7"/>
  <c r="BG2544" i="7" s="1"/>
  <c r="BH2544" i="7" s="1"/>
  <c r="BF2701" i="7"/>
  <c r="BG2701" i="7" s="1"/>
  <c r="BH2701" i="7" s="1"/>
  <c r="BF2702" i="7"/>
  <c r="BG2702" i="7" s="1"/>
  <c r="BH2702" i="7" s="1"/>
  <c r="BF2631" i="7"/>
  <c r="BG2631" i="7" s="1"/>
  <c r="BH2631" i="7" s="1"/>
  <c r="BF2703" i="7"/>
  <c r="BG2703" i="7" s="1"/>
  <c r="BH2703" i="7" s="1"/>
  <c r="BF2704" i="7"/>
  <c r="BG2704" i="7" s="1"/>
  <c r="BH2704" i="7" s="1"/>
  <c r="BF2705" i="7"/>
  <c r="BG2705" i="7" s="1"/>
  <c r="BH2705" i="7" s="1"/>
  <c r="BF2632" i="7"/>
  <c r="BG2632" i="7" s="1"/>
  <c r="BH2632" i="7" s="1"/>
  <c r="BF2633" i="7"/>
  <c r="BG2633" i="7" s="1"/>
  <c r="BH2633" i="7" s="1"/>
  <c r="BF2634" i="7"/>
  <c r="BG2634" i="7" s="1"/>
  <c r="BH2634" i="7" s="1"/>
  <c r="BF2545" i="7"/>
  <c r="BG2545" i="7" s="1"/>
  <c r="BH2545" i="7" s="1"/>
  <c r="BF2635" i="7"/>
  <c r="BG2635" i="7" s="1"/>
  <c r="BH2635" i="7" s="1"/>
  <c r="BF2706" i="7"/>
  <c r="BG2706" i="7" s="1"/>
  <c r="BH2706" i="7" s="1"/>
  <c r="BF2636" i="7"/>
  <c r="BG2636" i="7" s="1"/>
  <c r="BH2636" i="7" s="1"/>
  <c r="BF2707" i="7"/>
  <c r="BG2707" i="7" s="1"/>
  <c r="BH2707" i="7" s="1"/>
  <c r="BF2546" i="7"/>
  <c r="BG2546" i="7" s="1"/>
  <c r="BH2546" i="7" s="1"/>
  <c r="BF2637" i="7"/>
  <c r="BG2637" i="7" s="1"/>
  <c r="BH2637" i="7" s="1"/>
  <c r="BF2547" i="7"/>
  <c r="BG2547" i="7" s="1"/>
  <c r="BH2547" i="7" s="1"/>
  <c r="BF2638" i="7"/>
  <c r="BG2638" i="7" s="1"/>
  <c r="BH2638" i="7" s="1"/>
  <c r="BF2548" i="7"/>
  <c r="BG2548" i="7" s="1"/>
  <c r="BH2548" i="7" s="1"/>
  <c r="BF2549" i="7"/>
  <c r="BG2549" i="7" s="1"/>
  <c r="BH2549" i="7" s="1"/>
  <c r="BF2550" i="7"/>
  <c r="BG2550" i="7" s="1"/>
  <c r="BH2550" i="7" s="1"/>
  <c r="BF2708" i="7"/>
  <c r="BG2708" i="7" s="1"/>
  <c r="BH2708" i="7" s="1"/>
  <c r="BF2639" i="7"/>
  <c r="BG2639" i="7" s="1"/>
  <c r="BH2639" i="7" s="1"/>
  <c r="BF2301" i="7"/>
  <c r="BG2301" i="7" s="1"/>
  <c r="BH2301" i="7" s="1"/>
  <c r="BF2640" i="7"/>
  <c r="BG2640" i="7" s="1"/>
  <c r="BH2640" i="7" s="1"/>
  <c r="BF2641" i="7"/>
  <c r="BG2641" i="7" s="1"/>
  <c r="BH2641" i="7" s="1"/>
  <c r="BF2642" i="7"/>
  <c r="BG2642" i="7" s="1"/>
  <c r="BH2642" i="7" s="1"/>
  <c r="BF2551" i="7"/>
  <c r="BG2551" i="7" s="1"/>
  <c r="BH2551" i="7" s="1"/>
  <c r="BF2643" i="7"/>
  <c r="BG2643" i="7" s="1"/>
  <c r="BH2643" i="7" s="1"/>
  <c r="BF2302" i="7"/>
  <c r="BG2302" i="7" s="1"/>
  <c r="BH2302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709" i="7"/>
  <c r="BG2709" i="7" s="1"/>
  <c r="BH2709" i="7" s="1"/>
  <c r="BF2649" i="7"/>
  <c r="BG2649" i="7" s="1"/>
  <c r="BH2649" i="7" s="1"/>
  <c r="BF2650" i="7"/>
  <c r="BG2650" i="7" s="1"/>
  <c r="BH2650" i="7" s="1"/>
  <c r="BF2651" i="7"/>
  <c r="BG2651" i="7" s="1"/>
  <c r="BH2651" i="7" s="1"/>
  <c r="BF2710" i="7"/>
  <c r="BG2710" i="7" s="1"/>
  <c r="BH2710" i="7" s="1"/>
  <c r="BF2652" i="7"/>
  <c r="BG2652" i="7" s="1"/>
  <c r="BH2652" i="7" s="1"/>
  <c r="BF2711" i="7"/>
  <c r="BG2711" i="7" s="1"/>
  <c r="BH2711" i="7" s="1"/>
  <c r="BF2653" i="7"/>
  <c r="BG2653" i="7" s="1"/>
  <c r="BH2653" i="7" s="1"/>
  <c r="BF2552" i="7"/>
  <c r="BG2552" i="7" s="1"/>
  <c r="BH2552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654" i="7"/>
  <c r="BG2654" i="7" s="1"/>
  <c r="BH2654" i="7" s="1"/>
  <c r="BF2655" i="7"/>
  <c r="BG2655" i="7" s="1"/>
  <c r="BH2655" i="7" s="1"/>
  <c r="BF2656" i="7"/>
  <c r="BG2656" i="7" s="1"/>
  <c r="BH2656" i="7" s="1"/>
  <c r="BF2717" i="7"/>
  <c r="BG2717" i="7" s="1"/>
  <c r="BH2717" i="7" s="1"/>
  <c r="BF2657" i="7"/>
  <c r="BG2657" i="7" s="1"/>
  <c r="BH2657" i="7" s="1"/>
  <c r="BF2451" i="7"/>
  <c r="BG2451" i="7" s="1"/>
  <c r="BH2451" i="7" s="1"/>
  <c r="BF2658" i="7"/>
  <c r="BG2658" i="7" s="1"/>
  <c r="BH2658" i="7" s="1"/>
  <c r="BF2718" i="7"/>
  <c r="BG2718" i="7" s="1"/>
  <c r="BH2718" i="7" s="1"/>
  <c r="BF2553" i="7"/>
  <c r="BG2553" i="7" s="1"/>
  <c r="BH2553" i="7" s="1"/>
  <c r="BF2659" i="7"/>
  <c r="BG2659" i="7" s="1"/>
  <c r="BH2659" i="7" s="1"/>
  <c r="BF2719" i="7"/>
  <c r="BG2719" i="7" s="1"/>
  <c r="BH2719" i="7" s="1"/>
  <c r="BF2720" i="7"/>
  <c r="BG2720" i="7" s="1"/>
  <c r="BH2720" i="7" s="1"/>
  <c r="BF2660" i="7"/>
  <c r="BG2660" i="7" s="1"/>
  <c r="BH2660" i="7" s="1"/>
  <c r="BF2661" i="7"/>
  <c r="BG2661" i="7" s="1"/>
  <c r="BH2661" i="7" s="1"/>
  <c r="BF2721" i="7"/>
  <c r="BG2721" i="7" s="1"/>
  <c r="BH2721" i="7" s="1"/>
  <c r="BF2722" i="7"/>
  <c r="BG2722" i="7" s="1"/>
  <c r="BH2722" i="7" s="1"/>
  <c r="BF2554" i="7"/>
  <c r="BG2554" i="7" s="1"/>
  <c r="BH2554" i="7" s="1"/>
  <c r="BF2723" i="7"/>
  <c r="BG2723" i="7" s="1"/>
  <c r="BH2723" i="7" s="1"/>
  <c r="BF2555" i="7"/>
  <c r="BG2555" i="7" s="1"/>
  <c r="BH2555" i="7" s="1"/>
  <c r="BF2724" i="7"/>
  <c r="BG2724" i="7" s="1"/>
  <c r="BH2724" i="7" s="1"/>
  <c r="BF2725" i="7"/>
  <c r="BG2725" i="7" s="1"/>
  <c r="BH2725" i="7" s="1"/>
  <c r="BF2662" i="7"/>
  <c r="BG2662" i="7" s="1"/>
  <c r="BH2662" i="7" s="1"/>
  <c r="BF2726" i="7"/>
  <c r="BG2726" i="7" s="1"/>
  <c r="BH2726" i="7" s="1"/>
  <c r="BF2663" i="7"/>
  <c r="BG2663" i="7" s="1"/>
  <c r="BH2663" i="7" s="1"/>
  <c r="BF2556" i="7"/>
  <c r="BG2556" i="7" s="1"/>
  <c r="BH2556" i="7" s="1"/>
  <c r="BF2557" i="7"/>
  <c r="BG2557" i="7" s="1"/>
  <c r="BH2557" i="7" s="1"/>
  <c r="BF2452" i="7"/>
  <c r="BG2452" i="7" s="1"/>
  <c r="BH2452" i="7" s="1"/>
  <c r="BF2303" i="7"/>
  <c r="BG2303" i="7" s="1"/>
  <c r="BH2303" i="7" s="1"/>
  <c r="BF2558" i="7"/>
  <c r="BG2558" i="7" s="1"/>
  <c r="BH2558" i="7" s="1"/>
  <c r="BF2727" i="7"/>
  <c r="BG2727" i="7" s="1"/>
  <c r="BH2727" i="7" s="1"/>
  <c r="BF2664" i="7"/>
  <c r="BG2664" i="7" s="1"/>
  <c r="BH2664" i="7" s="1"/>
  <c r="BF2728" i="7"/>
  <c r="BG2728" i="7" s="1"/>
  <c r="BH2728" i="7" s="1"/>
  <c r="BF2665" i="7"/>
  <c r="BG2665" i="7" s="1"/>
  <c r="BH2665" i="7" s="1"/>
  <c r="BF2666" i="7"/>
  <c r="BG2666" i="7" s="1"/>
  <c r="BH2666" i="7" s="1"/>
  <c r="BF2667" i="7"/>
  <c r="BG2667" i="7" s="1"/>
  <c r="BH2667" i="7" s="1"/>
  <c r="BF2559" i="7"/>
  <c r="BG2559" i="7" s="1"/>
  <c r="BH2559" i="7" s="1"/>
  <c r="BF2668" i="7"/>
  <c r="BG2668" i="7" s="1"/>
  <c r="BH2668" i="7" s="1"/>
  <c r="BF2560" i="7"/>
  <c r="BG2560" i="7" s="1"/>
  <c r="BH2560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304" i="7"/>
  <c r="BG2304" i="7" s="1"/>
  <c r="BH2304" i="7" s="1"/>
  <c r="BF2673" i="7"/>
  <c r="BG2673" i="7" s="1"/>
  <c r="BH2673" i="7" s="1"/>
  <c r="BF2674" i="7"/>
  <c r="BG2674" i="7" s="1"/>
  <c r="BH2674" i="7" s="1"/>
  <c r="BF2675" i="7"/>
  <c r="BG2675" i="7" s="1"/>
  <c r="BH2675" i="7" s="1"/>
  <c r="BF2729" i="7"/>
  <c r="BG2729" i="7" s="1"/>
  <c r="BH2729" i="7" s="1"/>
  <c r="BF2773" i="7"/>
  <c r="BG2773" i="7" s="1"/>
  <c r="BH2773" i="7" s="1"/>
  <c r="BF2676" i="7"/>
  <c r="BG2676" i="7" s="1"/>
  <c r="BH2676" i="7" s="1"/>
  <c r="BF2677" i="7"/>
  <c r="BG2677" i="7" s="1"/>
  <c r="BH2677" i="7" s="1"/>
  <c r="BF2730" i="7"/>
  <c r="BG2730" i="7" s="1"/>
  <c r="BH2730" i="7" s="1"/>
  <c r="BF2731" i="7"/>
  <c r="BG2731" i="7" s="1"/>
  <c r="BH2731" i="7" s="1"/>
  <c r="BF2678" i="7"/>
  <c r="BG2678" i="7" s="1"/>
  <c r="BH2678" i="7" s="1"/>
  <c r="BF2732" i="7"/>
  <c r="BG2732" i="7" s="1"/>
  <c r="BH2732" i="7" s="1"/>
  <c r="BF2774" i="7"/>
  <c r="BG2774" i="7" s="1"/>
  <c r="BH2774" i="7" s="1"/>
  <c r="BF2775" i="7"/>
  <c r="BG2775" i="7" s="1"/>
  <c r="BH2775" i="7" s="1"/>
  <c r="BF2561" i="7"/>
  <c r="BG2561" i="7" s="1"/>
  <c r="BH2561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33" i="7"/>
  <c r="BG2733" i="7" s="1"/>
  <c r="BH2733" i="7" s="1"/>
  <c r="BF2734" i="7"/>
  <c r="BG2734" i="7" s="1"/>
  <c r="BH2734" i="7" s="1"/>
  <c r="BF2779" i="7"/>
  <c r="BG2779" i="7" s="1"/>
  <c r="BH2779" i="7" s="1"/>
  <c r="BF2735" i="7"/>
  <c r="BG2735" i="7" s="1"/>
  <c r="BH2735" i="7" s="1"/>
  <c r="BF2562" i="7"/>
  <c r="BG2562" i="7" s="1"/>
  <c r="BH2562" i="7" s="1"/>
  <c r="BF2736" i="7"/>
  <c r="BG2736" i="7" s="1"/>
  <c r="BH2736" i="7" s="1"/>
  <c r="BF2780" i="7"/>
  <c r="BG2780" i="7" s="1"/>
  <c r="BH2780" i="7" s="1"/>
  <c r="BF2737" i="7"/>
  <c r="BG2737" i="7" s="1"/>
  <c r="BH2737" i="7" s="1"/>
  <c r="BF2738" i="7"/>
  <c r="BG2738" i="7" s="1"/>
  <c r="BH2738" i="7" s="1"/>
  <c r="BF2563" i="7"/>
  <c r="BG2563" i="7" s="1"/>
  <c r="BH2563" i="7" s="1"/>
  <c r="BF2781" i="7"/>
  <c r="BG2781" i="7" s="1"/>
  <c r="BH2781" i="7" s="1"/>
  <c r="BF2782" i="7"/>
  <c r="BG2782" i="7" s="1"/>
  <c r="BH2782" i="7" s="1"/>
  <c r="BF2679" i="7"/>
  <c r="BG2679" i="7" s="1"/>
  <c r="BH2679" i="7" s="1"/>
  <c r="BF2783" i="7"/>
  <c r="BG2783" i="7" s="1"/>
  <c r="BH2783" i="7" s="1"/>
  <c r="BF2784" i="7"/>
  <c r="BG2784" i="7" s="1"/>
  <c r="BH2784" i="7" s="1"/>
  <c r="BF2680" i="7"/>
  <c r="BG2680" i="7" s="1"/>
  <c r="BH2680" i="7" s="1"/>
  <c r="BF2785" i="7"/>
  <c r="BG2785" i="7" s="1"/>
  <c r="BH2785" i="7" s="1"/>
  <c r="BF2739" i="7"/>
  <c r="BG2739" i="7" s="1"/>
  <c r="BH2739" i="7" s="1"/>
  <c r="BF2786" i="7"/>
  <c r="BG2786" i="7" s="1"/>
  <c r="BH2786" i="7" s="1"/>
  <c r="BF2787" i="7"/>
  <c r="BG2787" i="7" s="1"/>
  <c r="BH2787" i="7" s="1"/>
  <c r="BF2681" i="7"/>
  <c r="BG2681" i="7" s="1"/>
  <c r="BH2681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88" i="7"/>
  <c r="BG2788" i="7" s="1"/>
  <c r="BH2788" i="7" s="1"/>
  <c r="BF2744" i="7"/>
  <c r="BG2744" i="7" s="1"/>
  <c r="BH2744" i="7" s="1"/>
  <c r="BF2789" i="7"/>
  <c r="BG2789" i="7" s="1"/>
  <c r="BH2789" i="7" s="1"/>
  <c r="BF2790" i="7"/>
  <c r="BG2790" i="7" s="1"/>
  <c r="BH2790" i="7" s="1"/>
  <c r="BF2564" i="7"/>
  <c r="BG2564" i="7" s="1"/>
  <c r="BH2564" i="7" s="1"/>
  <c r="BF2682" i="7"/>
  <c r="BG2682" i="7" s="1"/>
  <c r="BH2682" i="7" s="1"/>
  <c r="BF2683" i="7"/>
  <c r="BG2683" i="7" s="1"/>
  <c r="BH2683" i="7" s="1"/>
  <c r="BF2684" i="7"/>
  <c r="BG2684" i="7" s="1"/>
  <c r="BH2684" i="7" s="1"/>
  <c r="BF2791" i="7"/>
  <c r="BG2791" i="7" s="1"/>
  <c r="BH2791" i="7" s="1"/>
  <c r="BF2745" i="7"/>
  <c r="BG2745" i="7" s="1"/>
  <c r="BH2745" i="7" s="1"/>
  <c r="BF2746" i="7"/>
  <c r="BG2746" i="7" s="1"/>
  <c r="BH2746" i="7" s="1"/>
  <c r="BF2792" i="7"/>
  <c r="BG2792" i="7" s="1"/>
  <c r="BH2792" i="7" s="1"/>
  <c r="BF2685" i="7"/>
  <c r="BG2685" i="7" s="1"/>
  <c r="BH2685" i="7" s="1"/>
  <c r="BF2686" i="7"/>
  <c r="BG2686" i="7" s="1"/>
  <c r="BH2686" i="7" s="1"/>
  <c r="BF2793" i="7"/>
  <c r="BG2793" i="7" s="1"/>
  <c r="BH2793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94" i="7"/>
  <c r="BG2794" i="7" s="1"/>
  <c r="BH2794" i="7" s="1"/>
  <c r="BF2795" i="7"/>
  <c r="BG2795" i="7" s="1"/>
  <c r="BH2795" i="7" s="1"/>
  <c r="BF2750" i="7"/>
  <c r="BG2750" i="7" s="1"/>
  <c r="BH2750" i="7" s="1"/>
  <c r="BF2751" i="7"/>
  <c r="BG2751" i="7" s="1"/>
  <c r="BH2751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52" i="7"/>
  <c r="BG2752" i="7" s="1"/>
  <c r="BH2752" i="7" s="1"/>
  <c r="BF2687" i="7"/>
  <c r="BG2687" i="7" s="1"/>
  <c r="BH2687" i="7" s="1"/>
  <c r="BF2688" i="7"/>
  <c r="BG2688" i="7" s="1"/>
  <c r="BH2688" i="7" s="1"/>
  <c r="BF2799" i="7"/>
  <c r="BG2799" i="7" s="1"/>
  <c r="BH2799" i="7" s="1"/>
  <c r="BF2565" i="7"/>
  <c r="BG2565" i="7" s="1"/>
  <c r="BH2565" i="7" s="1"/>
  <c r="BF2689" i="7"/>
  <c r="BG2689" i="7" s="1"/>
  <c r="BH2689" i="7" s="1"/>
  <c r="BF2690" i="7"/>
  <c r="BG2690" i="7" s="1"/>
  <c r="BH2690" i="7" s="1"/>
  <c r="BF2305" i="7"/>
  <c r="BG2305" i="7" s="1"/>
  <c r="BH2305" i="7" s="1"/>
  <c r="BF2753" i="7"/>
  <c r="BG2753" i="7" s="1"/>
  <c r="BH2753" i="7" s="1"/>
  <c r="BF2800" i="7"/>
  <c r="BG2800" i="7" s="1"/>
  <c r="BH2800" i="7" s="1"/>
  <c r="BF2801" i="7"/>
  <c r="BG2801" i="7" s="1"/>
  <c r="BH2801" i="7" s="1"/>
  <c r="BF2754" i="7"/>
  <c r="BG2754" i="7" s="1"/>
  <c r="BH2754" i="7" s="1"/>
  <c r="BF2755" i="7"/>
  <c r="BG2755" i="7" s="1"/>
  <c r="BH2755" i="7" s="1"/>
  <c r="BF2756" i="7"/>
  <c r="BG2756" i="7" s="1"/>
  <c r="BH2756" i="7" s="1"/>
  <c r="BF2802" i="7"/>
  <c r="BG2802" i="7" s="1"/>
  <c r="BH2802" i="7" s="1"/>
  <c r="BF2803" i="7"/>
  <c r="BG2803" i="7" s="1"/>
  <c r="BH2803" i="7" s="1"/>
  <c r="BF2804" i="7"/>
  <c r="BG2804" i="7" s="1"/>
  <c r="BH2804" i="7" s="1"/>
  <c r="BF2566" i="7"/>
  <c r="BG2566" i="7" s="1"/>
  <c r="BH2566" i="7" s="1"/>
  <c r="BF2757" i="7"/>
  <c r="BG2757" i="7" s="1"/>
  <c r="BH2757" i="7" s="1"/>
  <c r="BF2805" i="7"/>
  <c r="BG2805" i="7" s="1"/>
  <c r="BH2805" i="7" s="1"/>
  <c r="BF2453" i="7"/>
  <c r="BG2453" i="7" s="1"/>
  <c r="BH2453" i="7" s="1"/>
  <c r="BF2758" i="7"/>
  <c r="BG2758" i="7" s="1"/>
  <c r="BH2758" i="7" s="1"/>
  <c r="BF1091" i="7"/>
  <c r="BG1091" i="7" s="1"/>
  <c r="BH1091" i="7" s="1"/>
  <c r="BF2691" i="7"/>
  <c r="BG2691" i="7" s="1"/>
  <c r="BH2691" i="7" s="1"/>
  <c r="BF2806" i="7"/>
  <c r="BG2806" i="7" s="1"/>
  <c r="BH2806" i="7" s="1"/>
  <c r="BF2759" i="7"/>
  <c r="BG2759" i="7" s="1"/>
  <c r="BH2759" i="7" s="1"/>
  <c r="BF2807" i="7"/>
  <c r="BG2807" i="7" s="1"/>
  <c r="BH2807" i="7" s="1"/>
  <c r="BF2760" i="7"/>
  <c r="BG2760" i="7" s="1"/>
  <c r="BH2760" i="7" s="1"/>
  <c r="BF2761" i="7"/>
  <c r="BG2761" i="7" s="1"/>
  <c r="BH2761" i="7" s="1"/>
  <c r="BF2762" i="7"/>
  <c r="BG2762" i="7" s="1"/>
  <c r="BH2762" i="7" s="1"/>
  <c r="BF2808" i="7"/>
  <c r="BG2808" i="7" s="1"/>
  <c r="BH2808" i="7" s="1"/>
  <c r="BF2809" i="7"/>
  <c r="BG2809" i="7" s="1"/>
  <c r="BH2809" i="7" s="1"/>
  <c r="BF2763" i="7"/>
  <c r="BG2763" i="7" s="1"/>
  <c r="BH2763" i="7" s="1"/>
  <c r="BF2810" i="7"/>
  <c r="BG2810" i="7" s="1"/>
  <c r="BH2810" i="7" s="1"/>
  <c r="BF2867" i="7"/>
  <c r="BG2867" i="7" s="1"/>
  <c r="BH2867" i="7" s="1"/>
  <c r="BF2811" i="7"/>
  <c r="BG2811" i="7" s="1"/>
  <c r="BH2811" i="7" s="1"/>
  <c r="BF2868" i="7"/>
  <c r="BG2868" i="7" s="1"/>
  <c r="BH2868" i="7" s="1"/>
  <c r="BF2692" i="7"/>
  <c r="BG2692" i="7" s="1"/>
  <c r="BH2692" i="7" s="1"/>
  <c r="BF2812" i="7"/>
  <c r="BG2812" i="7" s="1"/>
  <c r="BH2812" i="7" s="1"/>
  <c r="BF2567" i="7"/>
  <c r="BG2567" i="7" s="1"/>
  <c r="BH2567" i="7" s="1"/>
  <c r="BF2869" i="7"/>
  <c r="BG2869" i="7" s="1"/>
  <c r="BH2869" i="7" s="1"/>
  <c r="BF2693" i="7"/>
  <c r="BG2693" i="7" s="1"/>
  <c r="BH2693" i="7" s="1"/>
  <c r="BF2870" i="7"/>
  <c r="BG2870" i="7" s="1"/>
  <c r="BH2870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71" i="7"/>
  <c r="BG2871" i="7" s="1"/>
  <c r="BH2871" i="7" s="1"/>
  <c r="BF2872" i="7"/>
  <c r="BG2872" i="7" s="1"/>
  <c r="BH2872" i="7" s="1"/>
  <c r="BF2764" i="7"/>
  <c r="BG2764" i="7" s="1"/>
  <c r="BH2764" i="7" s="1"/>
  <c r="BF2873" i="7"/>
  <c r="BG2873" i="7" s="1"/>
  <c r="BH2873" i="7" s="1"/>
  <c r="BF2874" i="7"/>
  <c r="BG2874" i="7" s="1"/>
  <c r="BH2874" i="7" s="1"/>
  <c r="BF2822" i="7"/>
  <c r="BG2822" i="7" s="1"/>
  <c r="BH2822" i="7" s="1"/>
  <c r="BF2875" i="7"/>
  <c r="BG2875" i="7" s="1"/>
  <c r="BH2875" i="7" s="1"/>
  <c r="BF2876" i="7"/>
  <c r="BG2876" i="7" s="1"/>
  <c r="BH2876" i="7" s="1"/>
  <c r="BF2877" i="7"/>
  <c r="BG2877" i="7" s="1"/>
  <c r="BH2877" i="7" s="1"/>
  <c r="BF2765" i="7"/>
  <c r="BG2765" i="7" s="1"/>
  <c r="BH2765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766" i="7"/>
  <c r="BG2766" i="7" s="1"/>
  <c r="BH2766" i="7" s="1"/>
  <c r="BF2767" i="7"/>
  <c r="BG2767" i="7" s="1"/>
  <c r="BH2767" i="7" s="1"/>
  <c r="BF2831" i="7"/>
  <c r="BG2831" i="7" s="1"/>
  <c r="BH2831" i="7" s="1"/>
  <c r="BF2832" i="7"/>
  <c r="BG2832" i="7" s="1"/>
  <c r="BH2832" i="7" s="1"/>
  <c r="BF2882" i="7"/>
  <c r="BG2882" i="7" s="1"/>
  <c r="BH2882" i="7" s="1"/>
  <c r="BF2768" i="7"/>
  <c r="BG2768" i="7" s="1"/>
  <c r="BH2768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1561" i="7"/>
  <c r="BG1561" i="7" s="1"/>
  <c r="BH1561" i="7" s="1"/>
  <c r="BF2833" i="7"/>
  <c r="BG2833" i="7" s="1"/>
  <c r="BH2833" i="7" s="1"/>
  <c r="BF2887" i="7"/>
  <c r="BG2887" i="7" s="1"/>
  <c r="BH2887" i="7" s="1"/>
  <c r="BF2834" i="7"/>
  <c r="BG2834" i="7" s="1"/>
  <c r="BH2834" i="7" s="1"/>
  <c r="BF2888" i="7"/>
  <c r="BG2888" i="7" s="1"/>
  <c r="BH2888" i="7" s="1"/>
  <c r="BF2769" i="7"/>
  <c r="BG2769" i="7" s="1"/>
  <c r="BH2769" i="7" s="1"/>
  <c r="BF2770" i="7"/>
  <c r="BG2770" i="7" s="1"/>
  <c r="BH2770" i="7" s="1"/>
  <c r="BF2835" i="7"/>
  <c r="BG2835" i="7" s="1"/>
  <c r="BH2835" i="7" s="1"/>
  <c r="BF2889" i="7"/>
  <c r="BG2889" i="7" s="1"/>
  <c r="BH2889" i="7" s="1"/>
  <c r="BF2836" i="7"/>
  <c r="BG2836" i="7" s="1"/>
  <c r="BH2836" i="7" s="1"/>
  <c r="BF2890" i="7"/>
  <c r="BG2890" i="7" s="1"/>
  <c r="BH2890" i="7" s="1"/>
  <c r="BF2891" i="7"/>
  <c r="BG2891" i="7" s="1"/>
  <c r="BH2891" i="7" s="1"/>
  <c r="BF2837" i="7"/>
  <c r="BG2837" i="7" s="1"/>
  <c r="BH2837" i="7" s="1"/>
  <c r="BF2838" i="7"/>
  <c r="BG2838" i="7" s="1"/>
  <c r="BH2838" i="7" s="1"/>
  <c r="BF2892" i="7"/>
  <c r="BG2892" i="7" s="1"/>
  <c r="BH2892" i="7" s="1"/>
  <c r="BF2893" i="7"/>
  <c r="BG2893" i="7" s="1"/>
  <c r="BH2893" i="7" s="1"/>
  <c r="BF2771" i="7"/>
  <c r="BG2771" i="7" s="1"/>
  <c r="BH2771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44" i="7"/>
  <c r="BG2844" i="7" s="1"/>
  <c r="BH2844" i="7" s="1"/>
  <c r="BF2772" i="7"/>
  <c r="BG2772" i="7" s="1"/>
  <c r="BH2772" i="7" s="1"/>
  <c r="BF2897" i="7"/>
  <c r="BG2897" i="7" s="1"/>
  <c r="BH2897" i="7" s="1"/>
  <c r="BF2845" i="7"/>
  <c r="BG2845" i="7" s="1"/>
  <c r="BH2845" i="7" s="1"/>
  <c r="BF2898" i="7"/>
  <c r="BG2898" i="7" s="1"/>
  <c r="BH2898" i="7" s="1"/>
  <c r="BF2899" i="7"/>
  <c r="BG2899" i="7" s="1"/>
  <c r="BH2899" i="7" s="1"/>
  <c r="BF2306" i="7"/>
  <c r="BG2306" i="7" s="1"/>
  <c r="BH2306" i="7" s="1"/>
  <c r="BF2900" i="7"/>
  <c r="BG2900" i="7" s="1"/>
  <c r="BH2900" i="7" s="1"/>
  <c r="BF2454" i="7"/>
  <c r="BG2454" i="7" s="1"/>
  <c r="BH2454" i="7" s="1"/>
  <c r="BF2568" i="7"/>
  <c r="BG2568" i="7" s="1"/>
  <c r="BH2568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901" i="7"/>
  <c r="BG2901" i="7" s="1"/>
  <c r="BH2901" i="7" s="1"/>
  <c r="BF2850" i="7"/>
  <c r="BG2850" i="7" s="1"/>
  <c r="BH2850" i="7" s="1"/>
  <c r="BF2694" i="7"/>
  <c r="BG2694" i="7" s="1"/>
  <c r="BH2694" i="7" s="1"/>
  <c r="BF2851" i="7"/>
  <c r="BG2851" i="7" s="1"/>
  <c r="BH2851" i="7" s="1"/>
  <c r="BF2695" i="7"/>
  <c r="BG2695" i="7" s="1"/>
  <c r="BH2695" i="7" s="1"/>
  <c r="BF2852" i="7"/>
  <c r="BG2852" i="7" s="1"/>
  <c r="BH2852" i="7" s="1"/>
  <c r="BF2853" i="7"/>
  <c r="BG2853" i="7" s="1"/>
  <c r="BH2853" i="7" s="1"/>
  <c r="BF2854" i="7"/>
  <c r="BG2854" i="7" s="1"/>
  <c r="BH2854" i="7" s="1"/>
  <c r="BF1888" i="7"/>
  <c r="BG1888" i="7" s="1"/>
  <c r="BH1888" i="7" s="1"/>
  <c r="BF2902" i="7"/>
  <c r="BG2902" i="7" s="1"/>
  <c r="BH2902" i="7" s="1"/>
  <c r="BF2855" i="7"/>
  <c r="BG2855" i="7" s="1"/>
  <c r="BH2855" i="7" s="1"/>
  <c r="BF2903" i="7"/>
  <c r="BG2903" i="7" s="1"/>
  <c r="BH2903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04" i="7"/>
  <c r="BG2904" i="7" s="1"/>
  <c r="BH2904" i="7" s="1"/>
  <c r="BF2928" i="7"/>
  <c r="BG2928" i="7" s="1"/>
  <c r="BH2928" i="7" s="1"/>
  <c r="BF2905" i="7"/>
  <c r="BG2905" i="7" s="1"/>
  <c r="BH2905" i="7" s="1"/>
  <c r="BF2906" i="7"/>
  <c r="BG2906" i="7" s="1"/>
  <c r="BH2906" i="7" s="1"/>
  <c r="BF2929" i="7"/>
  <c r="BG2929" i="7" s="1"/>
  <c r="BH2929" i="7" s="1"/>
  <c r="BF2930" i="7"/>
  <c r="BG2930" i="7" s="1"/>
  <c r="BH2930" i="7" s="1"/>
  <c r="BF2907" i="7"/>
  <c r="BG2907" i="7" s="1"/>
  <c r="BH2907" i="7" s="1"/>
  <c r="BF2931" i="7"/>
  <c r="BG2931" i="7" s="1"/>
  <c r="BH2931" i="7" s="1"/>
  <c r="BF2908" i="7"/>
  <c r="BG2908" i="7" s="1"/>
  <c r="BH2908" i="7" s="1"/>
  <c r="BF2932" i="7"/>
  <c r="BG2932" i="7" s="1"/>
  <c r="BH2932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33" i="7"/>
  <c r="BG2933" i="7" s="1"/>
  <c r="BH2933" i="7" s="1"/>
  <c r="BF2912" i="7"/>
  <c r="BG2912" i="7" s="1"/>
  <c r="BH2912" i="7" s="1"/>
  <c r="BF2913" i="7"/>
  <c r="BG2913" i="7" s="1"/>
  <c r="BH2913" i="7" s="1"/>
  <c r="BF2863" i="7"/>
  <c r="BG2863" i="7" s="1"/>
  <c r="BH2863" i="7" s="1"/>
  <c r="BF2914" i="7"/>
  <c r="BG2914" i="7" s="1"/>
  <c r="BH2914" i="7" s="1"/>
  <c r="BF2915" i="7"/>
  <c r="BG2915" i="7" s="1"/>
  <c r="BH2915" i="7" s="1"/>
  <c r="BF2934" i="7"/>
  <c r="BG2934" i="7" s="1"/>
  <c r="BH2934" i="7" s="1"/>
  <c r="BF2935" i="7"/>
  <c r="BG2935" i="7" s="1"/>
  <c r="BH2935" i="7" s="1"/>
  <c r="BF2864" i="7"/>
  <c r="BG2864" i="7" s="1"/>
  <c r="BH2864" i="7" s="1"/>
  <c r="BF2916" i="7"/>
  <c r="BG2916" i="7" s="1"/>
  <c r="BH2916" i="7" s="1"/>
  <c r="BF2936" i="7"/>
  <c r="BG2936" i="7" s="1"/>
  <c r="BH2936" i="7" s="1"/>
  <c r="BF2865" i="7"/>
  <c r="BG2865" i="7" s="1"/>
  <c r="BH2865" i="7" s="1"/>
  <c r="BF2960" i="7"/>
  <c r="BG2960" i="7" s="1"/>
  <c r="BH2960" i="7" s="1"/>
  <c r="BF2917" i="7"/>
  <c r="BG2917" i="7" s="1"/>
  <c r="BH2917" i="7" s="1"/>
  <c r="BF2961" i="7"/>
  <c r="BG2961" i="7" s="1"/>
  <c r="BH2961" i="7" s="1"/>
  <c r="BF2937" i="7"/>
  <c r="BG2937" i="7" s="1"/>
  <c r="BH2937" i="7" s="1"/>
  <c r="BF2938" i="7"/>
  <c r="BG2938" i="7" s="1"/>
  <c r="BH2938" i="7" s="1"/>
  <c r="BF2918" i="7"/>
  <c r="BG2918" i="7" s="1"/>
  <c r="BH2918" i="7" s="1"/>
  <c r="BF2962" i="7"/>
  <c r="BG2962" i="7" s="1"/>
  <c r="BH2962" i="7" s="1"/>
  <c r="BF2963" i="7"/>
  <c r="BG2963" i="7" s="1"/>
  <c r="BH2963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64" i="7"/>
  <c r="BG2964" i="7" s="1"/>
  <c r="BH2964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19" i="7"/>
  <c r="BG2919" i="7" s="1"/>
  <c r="BH2919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68" i="7"/>
  <c r="BG2968" i="7" s="1"/>
  <c r="BH2968" i="7" s="1"/>
  <c r="BF2969" i="7"/>
  <c r="BG2969" i="7" s="1"/>
  <c r="BH2969" i="7" s="1"/>
  <c r="BF2948" i="7"/>
  <c r="BG2948" i="7" s="1"/>
  <c r="BH2948" i="7" s="1"/>
  <c r="BF2866" i="7"/>
  <c r="BG2866" i="7" s="1"/>
  <c r="BH2866" i="7" s="1"/>
  <c r="BF2920" i="7"/>
  <c r="BG2920" i="7" s="1"/>
  <c r="BH2920" i="7" s="1"/>
  <c r="BF2970" i="7"/>
  <c r="BG2970" i="7" s="1"/>
  <c r="BH2970" i="7" s="1"/>
  <c r="BF2949" i="7"/>
  <c r="BG2949" i="7" s="1"/>
  <c r="BH2949" i="7" s="1"/>
  <c r="BF2971" i="7"/>
  <c r="BG2971" i="7" s="1"/>
  <c r="BH2971" i="7" s="1"/>
  <c r="BF2950" i="7"/>
  <c r="BG2950" i="7" s="1"/>
  <c r="BH2950" i="7" s="1"/>
  <c r="BF2972" i="7"/>
  <c r="BG2972" i="7" s="1"/>
  <c r="BH2972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73" i="7"/>
  <c r="BG2973" i="7" s="1"/>
  <c r="BH2973" i="7" s="1"/>
  <c r="BF2921" i="7"/>
  <c r="BG2921" i="7" s="1"/>
  <c r="BH2921" i="7" s="1"/>
  <c r="BF2974" i="7"/>
  <c r="BG2974" i="7" s="1"/>
  <c r="BH2974" i="7" s="1"/>
  <c r="BF2922" i="7"/>
  <c r="BG2922" i="7" s="1"/>
  <c r="BH2922" i="7" s="1"/>
  <c r="BF2954" i="7"/>
  <c r="BG2954" i="7" s="1"/>
  <c r="BH2954" i="7" s="1"/>
  <c r="BF2923" i="7"/>
  <c r="BG2923" i="7" s="1"/>
  <c r="BH2923" i="7" s="1"/>
  <c r="BF2955" i="7"/>
  <c r="BG2955" i="7" s="1"/>
  <c r="BH2955" i="7" s="1"/>
  <c r="BF2975" i="7"/>
  <c r="BG2975" i="7" s="1"/>
  <c r="BH297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2959" i="7"/>
  <c r="BI2958" i="7"/>
  <c r="BI2957" i="7"/>
  <c r="BI2956" i="7"/>
  <c r="BI2975" i="7"/>
  <c r="BI2955" i="7"/>
  <c r="BI2923" i="7"/>
  <c r="BI2954" i="7"/>
  <c r="BI2922" i="7"/>
  <c r="BI2974" i="7"/>
  <c r="BI2921" i="7"/>
  <c r="BI2973" i="7"/>
  <c r="BI2953" i="7"/>
  <c r="BI2952" i="7"/>
  <c r="BI2951" i="7"/>
  <c r="BI2972" i="7"/>
  <c r="BI2950" i="7"/>
  <c r="BI2971" i="7"/>
  <c r="BI2949" i="7"/>
  <c r="BI2970" i="7"/>
  <c r="BI2920" i="7"/>
  <c r="BI2866" i="7"/>
  <c r="BI2948" i="7"/>
  <c r="BI2969" i="7"/>
  <c r="BI2968" i="7"/>
  <c r="BI2947" i="7"/>
  <c r="BI2946" i="7"/>
  <c r="BI2945" i="7"/>
  <c r="BI2967" i="7"/>
  <c r="BI2966" i="7"/>
  <c r="BI2965" i="7"/>
  <c r="BI2919" i="7"/>
  <c r="BI2944" i="7"/>
  <c r="BI2943" i="7"/>
  <c r="BI2942" i="7"/>
  <c r="BI2964" i="7"/>
  <c r="BI2941" i="7"/>
  <c r="BI2940" i="7"/>
  <c r="BI2939" i="7"/>
  <c r="BI2963" i="7"/>
  <c r="BI2962" i="7"/>
  <c r="BI2918" i="7"/>
  <c r="BI2938" i="7"/>
  <c r="BI2937" i="7"/>
  <c r="BI2961" i="7"/>
  <c r="BI2917" i="7"/>
  <c r="BI2960" i="7"/>
  <c r="BI2865" i="7"/>
  <c r="BI2936" i="7"/>
  <c r="BI2916" i="7"/>
  <c r="BI2864" i="7"/>
  <c r="BI2935" i="7"/>
  <c r="BI2934" i="7"/>
  <c r="BI2915" i="7"/>
  <c r="BI2914" i="7"/>
  <c r="BI2863" i="7"/>
  <c r="BI2913" i="7"/>
  <c r="BI2912" i="7"/>
  <c r="BI2933" i="7"/>
  <c r="BI2911" i="7"/>
  <c r="BI2910" i="7"/>
  <c r="BI2909" i="7"/>
  <c r="BI2932" i="7"/>
  <c r="BI2908" i="7"/>
  <c r="BI2931" i="7"/>
  <c r="BI2907" i="7"/>
  <c r="BI2930" i="7"/>
  <c r="BI2929" i="7"/>
  <c r="BI2906" i="7"/>
  <c r="BI2905" i="7"/>
  <c r="BI2928" i="7"/>
  <c r="BI2904" i="7"/>
  <c r="BI2927" i="7"/>
  <c r="BI2926" i="7"/>
  <c r="BI2925" i="7"/>
  <c r="BI2924" i="7"/>
  <c r="BI2862" i="7"/>
  <c r="BI2861" i="7"/>
  <c r="BI2860" i="7"/>
  <c r="BI2859" i="7"/>
  <c r="BI2858" i="7"/>
  <c r="BI2857" i="7"/>
  <c r="BI2856" i="7"/>
  <c r="BI2903" i="7"/>
  <c r="BI2855" i="7"/>
  <c r="BI2902" i="7"/>
  <c r="BI1888" i="7"/>
  <c r="BI2854" i="7"/>
  <c r="BI2853" i="7"/>
  <c r="BI2852" i="7"/>
  <c r="BI2695" i="7"/>
  <c r="BI2851" i="7"/>
  <c r="BI2694" i="7"/>
  <c r="BI2850" i="7"/>
  <c r="BI2901" i="7"/>
  <c r="BI2849" i="7"/>
  <c r="BI2848" i="7"/>
  <c r="BI2847" i="7"/>
  <c r="BI2846" i="7"/>
  <c r="BI2568" i="7"/>
  <c r="BI2454" i="7"/>
  <c r="BI2900" i="7"/>
  <c r="BI2306" i="7"/>
  <c r="BI2899" i="7"/>
  <c r="BI2898" i="7"/>
  <c r="BI2845" i="7"/>
  <c r="BI2897" i="7"/>
  <c r="BI2772" i="7"/>
  <c r="BI2844" i="7"/>
  <c r="BI2896" i="7"/>
  <c r="BI2895" i="7"/>
  <c r="BI2894" i="7"/>
  <c r="BI2843" i="7"/>
  <c r="BI2842" i="7"/>
  <c r="BI2841" i="7"/>
  <c r="BI2840" i="7"/>
  <c r="BI2839" i="7"/>
  <c r="BI2771" i="7"/>
  <c r="BI2893" i="7"/>
  <c r="BI2892" i="7"/>
  <c r="BI2838" i="7"/>
  <c r="BI2837" i="7"/>
  <c r="BI2891" i="7"/>
  <c r="BI2890" i="7"/>
  <c r="BI2836" i="7"/>
  <c r="BI2889" i="7"/>
  <c r="BI2835" i="7"/>
  <c r="BI2770" i="7"/>
  <c r="BI2769" i="7"/>
  <c r="BI2888" i="7"/>
  <c r="BI2834" i="7"/>
  <c r="BI2887" i="7"/>
  <c r="BI2833" i="7"/>
  <c r="BI1561" i="7"/>
  <c r="BI2886" i="7"/>
  <c r="BI2885" i="7"/>
  <c r="BI2884" i="7"/>
  <c r="BI2883" i="7"/>
  <c r="BI2768" i="7"/>
  <c r="BI2882" i="7"/>
  <c r="BI2832" i="7"/>
  <c r="BI2831" i="7"/>
  <c r="BI2767" i="7"/>
  <c r="BI2766" i="7"/>
  <c r="BI2830" i="7"/>
  <c r="BI2829" i="7"/>
  <c r="BI2828" i="7"/>
  <c r="BI2827" i="7"/>
  <c r="BI2881" i="7"/>
  <c r="BI2880" i="7"/>
  <c r="BI2879" i="7"/>
  <c r="BI2878" i="7"/>
  <c r="BI2826" i="7"/>
  <c r="BI2825" i="7"/>
  <c r="BI2824" i="7"/>
  <c r="BI2823" i="7"/>
  <c r="BI2765" i="7"/>
  <c r="BI2877" i="7"/>
  <c r="BI2876" i="7"/>
  <c r="BI2875" i="7"/>
  <c r="BI2822" i="7"/>
  <c r="BI2874" i="7"/>
  <c r="BI2873" i="7"/>
  <c r="BI2764" i="7"/>
  <c r="BI2872" i="7"/>
  <c r="BI2871" i="7"/>
  <c r="BI2821" i="7"/>
  <c r="BI2820" i="7"/>
  <c r="BI2819" i="7"/>
  <c r="BI2818" i="7"/>
  <c r="BI2817" i="7"/>
  <c r="BI2816" i="7"/>
  <c r="BI2815" i="7"/>
  <c r="BI2814" i="7"/>
  <c r="BI2813" i="7"/>
  <c r="BI2870" i="7"/>
  <c r="BI2693" i="7"/>
  <c r="BI2869" i="7"/>
  <c r="BI2567" i="7"/>
  <c r="BI2812" i="7"/>
  <c r="BI2692" i="7"/>
  <c r="BI2868" i="7"/>
  <c r="BI2811" i="7"/>
  <c r="BI2867" i="7"/>
  <c r="BI2810" i="7"/>
  <c r="BI2763" i="7"/>
  <c r="BI2809" i="7"/>
  <c r="BI2808" i="7"/>
  <c r="BI2762" i="7"/>
  <c r="BI2761" i="7"/>
  <c r="BI2760" i="7"/>
  <c r="BI2807" i="7"/>
  <c r="BI2759" i="7"/>
  <c r="BI2806" i="7"/>
  <c r="BI2691" i="7"/>
  <c r="BI1091" i="7"/>
  <c r="BI2758" i="7"/>
  <c r="BI2453" i="7"/>
  <c r="BI2805" i="7"/>
  <c r="BI2757" i="7"/>
  <c r="BI2566" i="7"/>
  <c r="BI2804" i="7"/>
  <c r="BI2803" i="7"/>
  <c r="BI2802" i="7"/>
  <c r="BI2756" i="7"/>
  <c r="BI2755" i="7"/>
  <c r="BI2754" i="7"/>
  <c r="BI2801" i="7"/>
  <c r="BI2800" i="7"/>
  <c r="BI2753" i="7"/>
  <c r="BI2305" i="7"/>
  <c r="BI2690" i="7"/>
  <c r="BI2689" i="7"/>
  <c r="BI2565" i="7"/>
  <c r="BI2799" i="7"/>
  <c r="BI2688" i="7"/>
  <c r="BI2687" i="7"/>
  <c r="BI2752" i="7"/>
  <c r="BI2798" i="7"/>
  <c r="BI2797" i="7"/>
  <c r="BI2796" i="7"/>
  <c r="BI2751" i="7"/>
  <c r="BI2750" i="7"/>
  <c r="BI2795" i="7"/>
  <c r="BI2794" i="7"/>
  <c r="BI2749" i="7"/>
  <c r="BI2748" i="7"/>
  <c r="BI2747" i="7"/>
  <c r="BI2793" i="7"/>
  <c r="BI2686" i="7"/>
  <c r="BI2685" i="7"/>
  <c r="BI2792" i="7"/>
  <c r="BI2746" i="7"/>
  <c r="BI2745" i="7"/>
  <c r="BI2791" i="7"/>
  <c r="BI2684" i="7"/>
  <c r="BI2683" i="7"/>
  <c r="BI2682" i="7"/>
  <c r="BI2564" i="7"/>
  <c r="BI2790" i="7"/>
  <c r="BI2789" i="7"/>
  <c r="BI2744" i="7"/>
  <c r="BI2788" i="7"/>
  <c r="BI2743" i="7"/>
  <c r="BI2742" i="7"/>
  <c r="BI2741" i="7"/>
  <c r="BI2740" i="7"/>
  <c r="BI2681" i="7"/>
  <c r="BI2787" i="7"/>
  <c r="BI2786" i="7"/>
  <c r="BI2739" i="7"/>
  <c r="BI2785" i="7"/>
  <c r="BI2680" i="7"/>
  <c r="BI2784" i="7"/>
  <c r="BI2783" i="7"/>
  <c r="BI2679" i="7"/>
  <c r="BI2782" i="7"/>
  <c r="BI2781" i="7"/>
  <c r="BI2563" i="7"/>
  <c r="BI2738" i="7"/>
  <c r="BI2737" i="7"/>
  <c r="BI2780" i="7"/>
  <c r="BI2736" i="7"/>
  <c r="BI2562" i="7"/>
  <c r="BI2735" i="7"/>
  <c r="BI2779" i="7"/>
  <c r="BI2734" i="7"/>
  <c r="BI2733" i="7"/>
  <c r="BI2778" i="7"/>
  <c r="BI2777" i="7"/>
  <c r="BI2776" i="7"/>
  <c r="BI2561" i="7"/>
  <c r="BI2775" i="7"/>
  <c r="BI2774" i="7"/>
  <c r="BI2732" i="7"/>
  <c r="BI2678" i="7"/>
  <c r="BI2731" i="7"/>
  <c r="BI2730" i="7"/>
  <c r="BI2677" i="7"/>
  <c r="BI2676" i="7"/>
  <c r="BI2773" i="7"/>
  <c r="BI2729" i="7"/>
  <c r="BI2675" i="7"/>
  <c r="BI2674" i="7"/>
  <c r="BI2673" i="7"/>
  <c r="BI2304" i="7"/>
  <c r="BI2672" i="7"/>
  <c r="BI2671" i="7"/>
  <c r="BI2670" i="7"/>
  <c r="BI2669" i="7"/>
  <c r="BI2560" i="7"/>
  <c r="BI2668" i="7"/>
  <c r="BI2559" i="7"/>
  <c r="BI2667" i="7"/>
  <c r="BI2666" i="7"/>
  <c r="BI2665" i="7"/>
  <c r="BI2728" i="7"/>
  <c r="BI2664" i="7"/>
  <c r="BI2727" i="7"/>
  <c r="BI2558" i="7"/>
  <c r="BI2303" i="7"/>
  <c r="BI2452" i="7"/>
  <c r="BI2557" i="7"/>
  <c r="BI2556" i="7"/>
  <c r="BI2663" i="7"/>
  <c r="BI2726" i="7"/>
  <c r="BI2662" i="7"/>
  <c r="BI2725" i="7"/>
  <c r="BI2724" i="7"/>
  <c r="BI2555" i="7"/>
  <c r="BI2723" i="7"/>
  <c r="BI2554" i="7"/>
  <c r="BI2722" i="7"/>
  <c r="BI2721" i="7"/>
  <c r="BI2661" i="7"/>
  <c r="BI2660" i="7"/>
  <c r="BI2720" i="7"/>
  <c r="BI2719" i="7"/>
  <c r="BI2659" i="7"/>
  <c r="BI2553" i="7"/>
  <c r="BI2718" i="7"/>
  <c r="BI2658" i="7"/>
  <c r="BI2451" i="7"/>
  <c r="BI2657" i="7"/>
  <c r="BI2717" i="7"/>
  <c r="BI2656" i="7"/>
  <c r="BI2655" i="7"/>
  <c r="BI2654" i="7"/>
  <c r="BI2716" i="7"/>
  <c r="BI2715" i="7"/>
  <c r="BI2714" i="7"/>
  <c r="BI2713" i="7"/>
  <c r="BI2712" i="7"/>
  <c r="BI2552" i="7"/>
  <c r="BI2653" i="7"/>
  <c r="BI2711" i="7"/>
  <c r="BI2652" i="7"/>
  <c r="BI2710" i="7"/>
  <c r="BI2651" i="7"/>
  <c r="BI2650" i="7"/>
  <c r="BI2649" i="7"/>
  <c r="BI2709" i="7"/>
  <c r="BI2648" i="7"/>
  <c r="BI2647" i="7"/>
  <c r="BI2646" i="7"/>
  <c r="BI2645" i="7"/>
  <c r="BI2644" i="7"/>
  <c r="BI2302" i="7"/>
  <c r="BI2643" i="7"/>
  <c r="BI2551" i="7"/>
  <c r="BI2642" i="7"/>
  <c r="BI2641" i="7"/>
  <c r="BI2640" i="7"/>
  <c r="BI2301" i="7"/>
  <c r="BI2639" i="7"/>
  <c r="BI2708" i="7"/>
  <c r="BI2550" i="7"/>
  <c r="BI2549" i="7"/>
  <c r="BI2548" i="7"/>
  <c r="BI2638" i="7"/>
  <c r="BI2547" i="7"/>
  <c r="BI2637" i="7"/>
  <c r="BI2546" i="7"/>
  <c r="BI2707" i="7"/>
  <c r="BI2636" i="7"/>
  <c r="BI2706" i="7"/>
  <c r="BI2635" i="7"/>
  <c r="BI2545" i="7"/>
  <c r="BI2634" i="7"/>
  <c r="BI2633" i="7"/>
  <c r="BI2632" i="7"/>
  <c r="BI2705" i="7"/>
  <c r="BI2704" i="7"/>
  <c r="BI2703" i="7"/>
  <c r="BI2631" i="7"/>
  <c r="BI2702" i="7"/>
  <c r="BI2701" i="7"/>
  <c r="BI2544" i="7"/>
  <c r="BI2543" i="7"/>
  <c r="BI2630" i="7"/>
  <c r="BI2700" i="7"/>
  <c r="BI2629" i="7"/>
  <c r="BI2628" i="7"/>
  <c r="BI2627" i="7"/>
  <c r="BI2626" i="7"/>
  <c r="BI2625" i="7"/>
  <c r="BI2624" i="7"/>
  <c r="BI2623" i="7"/>
  <c r="BI2300" i="7"/>
  <c r="BI2699" i="7"/>
  <c r="BI2622" i="7"/>
  <c r="BI2450" i="7"/>
  <c r="BI2698" i="7"/>
  <c r="BI2621" i="7"/>
  <c r="BI2542" i="7"/>
  <c r="BI2620" i="7"/>
  <c r="BI2619" i="7"/>
  <c r="BI2618" i="7"/>
  <c r="BI2541" i="7"/>
  <c r="BI2617" i="7"/>
  <c r="BI2616" i="7"/>
  <c r="BI2615" i="7"/>
  <c r="BI2614" i="7"/>
  <c r="BI2697" i="7"/>
  <c r="BI2613" i="7"/>
  <c r="BI2612" i="7"/>
  <c r="BI2696" i="7"/>
  <c r="BI2611" i="7"/>
  <c r="BI2540" i="7"/>
  <c r="BI2539" i="7"/>
  <c r="BI2449" i="7"/>
  <c r="BI2538" i="7"/>
  <c r="BI2610" i="7"/>
  <c r="BI2537" i="7"/>
  <c r="BI2448" i="7"/>
  <c r="BI2447" i="7"/>
  <c r="BI2536" i="7"/>
  <c r="BI2048" i="7"/>
  <c r="BI2609" i="7"/>
  <c r="BI2535" i="7"/>
  <c r="BI2534" i="7"/>
  <c r="BI2533" i="7"/>
  <c r="BI2608" i="7"/>
  <c r="BI2532" i="7"/>
  <c r="BI2607" i="7"/>
  <c r="BI2606" i="7"/>
  <c r="BI2531" i="7"/>
  <c r="BI2530" i="7"/>
  <c r="BI2529" i="7"/>
  <c r="BI2446" i="7"/>
  <c r="BI2528" i="7"/>
  <c r="BI2445" i="7"/>
  <c r="BI2444" i="7"/>
  <c r="BI2527" i="7"/>
  <c r="BI2526" i="7"/>
  <c r="BI2443" i="7"/>
  <c r="BI2525" i="7"/>
  <c r="BI2605" i="7"/>
  <c r="BI2524" i="7"/>
  <c r="BI2604" i="7"/>
  <c r="BI2442" i="7"/>
  <c r="BI2441" i="7"/>
  <c r="BI2523" i="7"/>
  <c r="BI2440" i="7"/>
  <c r="BI2603" i="7"/>
  <c r="BI2522" i="7"/>
  <c r="BI2439" i="7"/>
  <c r="BI2521" i="7"/>
  <c r="BI2299" i="7"/>
  <c r="BI2520" i="7"/>
  <c r="BI2602" i="7"/>
  <c r="BI2519" i="7"/>
  <c r="BI2601" i="7"/>
  <c r="BI2176" i="7"/>
  <c r="BI2600" i="7"/>
  <c r="BI2599" i="7"/>
  <c r="BI2598" i="7"/>
  <c r="BI2518" i="7"/>
  <c r="BI2597" i="7"/>
  <c r="BI2596" i="7"/>
  <c r="BI2595" i="7"/>
  <c r="BI2594" i="7"/>
  <c r="BI2593" i="7"/>
  <c r="BI2517" i="7"/>
  <c r="BI2516" i="7"/>
  <c r="BI2592" i="7"/>
  <c r="BI2515" i="7"/>
  <c r="BI2591" i="7"/>
  <c r="BI2590" i="7"/>
  <c r="BI2514" i="7"/>
  <c r="BI2589" i="7"/>
  <c r="BI2588" i="7"/>
  <c r="BI2587" i="7"/>
  <c r="BI2513" i="7"/>
  <c r="BI2512" i="7"/>
  <c r="BI2511" i="7"/>
  <c r="BI2438" i="7"/>
  <c r="BI2437" i="7"/>
  <c r="BI2436" i="7"/>
  <c r="BI2510" i="7"/>
  <c r="BI2586" i="7"/>
  <c r="BI2509" i="7"/>
  <c r="BI2508" i="7"/>
  <c r="BI2175" i="7"/>
  <c r="BI2507" i="7"/>
  <c r="BI2506" i="7"/>
  <c r="BI2298" i="7"/>
  <c r="BI2585" i="7"/>
  <c r="BI2584" i="7"/>
  <c r="BI2583" i="7"/>
  <c r="BI2435" i="7"/>
  <c r="BI2582" i="7"/>
  <c r="BI2581" i="7"/>
  <c r="BI1253" i="7"/>
  <c r="BI1252" i="7"/>
  <c r="BI2434" i="7"/>
  <c r="BI2356" i="7"/>
  <c r="BI2580" i="7"/>
  <c r="BI2579" i="7"/>
  <c r="BI2578" i="7"/>
  <c r="BI2505" i="7"/>
  <c r="BI2504" i="7"/>
  <c r="BI2577" i="7"/>
  <c r="BI2503" i="7"/>
  <c r="BI2576" i="7"/>
  <c r="BI2502" i="7"/>
  <c r="BI2501" i="7"/>
  <c r="BI2500" i="7"/>
  <c r="BI2433" i="7"/>
  <c r="BI2499" i="7"/>
  <c r="BI2432" i="7"/>
  <c r="BI2431" i="7"/>
  <c r="BI2498" i="7"/>
  <c r="BI2497" i="7"/>
  <c r="BI2496" i="7"/>
  <c r="BI1560" i="7"/>
  <c r="BI2430" i="7"/>
  <c r="BI2495" i="7"/>
  <c r="BI2494" i="7"/>
  <c r="BI2575" i="7"/>
  <c r="BI2574" i="7"/>
  <c r="BI2493" i="7"/>
  <c r="BI2492" i="7"/>
  <c r="BI2573" i="7"/>
  <c r="BI2572" i="7"/>
  <c r="BI1559" i="7"/>
  <c r="BI2491" i="7"/>
  <c r="BI2571" i="7"/>
  <c r="BI2429" i="7"/>
  <c r="BI2490" i="7"/>
  <c r="BI2489" i="7"/>
  <c r="BI2488" i="7"/>
  <c r="BI2487" i="7"/>
  <c r="BI2355" i="7"/>
  <c r="BI2570" i="7"/>
  <c r="BI2428" i="7"/>
  <c r="BI2569" i="7"/>
  <c r="BI2486" i="7"/>
  <c r="BI2354" i="7"/>
  <c r="BI2427" i="7"/>
  <c r="BI2426" i="7"/>
  <c r="BI2425" i="7"/>
  <c r="BI2485" i="7"/>
  <c r="BI2484" i="7"/>
  <c r="BI2424" i="7"/>
  <c r="BI2297" i="7"/>
  <c r="BI2296" i="7"/>
  <c r="BI2483" i="7"/>
  <c r="BI2423" i="7"/>
  <c r="BI2482" i="7"/>
  <c r="BI2422" i="7"/>
  <c r="BI2421" i="7"/>
  <c r="BI2174" i="7"/>
  <c r="BI2420" i="7"/>
  <c r="BI2047" i="7"/>
  <c r="BI2353" i="7"/>
  <c r="BI2419" i="7"/>
  <c r="BI2418" i="7"/>
  <c r="BI2481" i="7"/>
  <c r="BI2295" i="7"/>
  <c r="BI2417" i="7"/>
  <c r="BI2416" i="7"/>
  <c r="BI2415" i="7"/>
  <c r="BI2414" i="7"/>
  <c r="BI2352" i="7"/>
  <c r="BI2480" i="7"/>
  <c r="BI2413" i="7"/>
  <c r="BI2412" i="7"/>
  <c r="BI2411" i="7"/>
  <c r="BI2351" i="7"/>
  <c r="BI2173" i="7"/>
  <c r="BI2410" i="7"/>
  <c r="BI2294" i="7"/>
  <c r="BI2479" i="7"/>
  <c r="BI2350" i="7"/>
  <c r="BI2478" i="7"/>
  <c r="BI2349" i="7"/>
  <c r="BI2172" i="7"/>
  <c r="BI2477" i="7"/>
  <c r="BI2476" i="7"/>
  <c r="BI2475" i="7"/>
  <c r="BI2474" i="7"/>
  <c r="BI2409" i="7"/>
  <c r="BI2473" i="7"/>
  <c r="BI2171" i="7"/>
  <c r="BI2408" i="7"/>
  <c r="BI2407" i="7"/>
  <c r="BI2406" i="7"/>
  <c r="BI2472" i="7"/>
  <c r="BI2405" i="7"/>
  <c r="BI2348" i="7"/>
  <c r="BI2471" i="7"/>
  <c r="BI1887" i="7"/>
  <c r="BI1743" i="7"/>
  <c r="BI2404" i="7"/>
  <c r="BI2470" i="7"/>
  <c r="BI2469" i="7"/>
  <c r="BI2403" i="7"/>
  <c r="BI2468" i="7"/>
  <c r="BI2402" i="7"/>
  <c r="BI2401" i="7"/>
  <c r="BI2400" i="7"/>
  <c r="BI2467" i="7"/>
  <c r="BI2466" i="7"/>
  <c r="BI2399" i="7"/>
  <c r="BI2293" i="7"/>
  <c r="BI2465" i="7"/>
  <c r="BI2464" i="7"/>
  <c r="BI2398" i="7"/>
  <c r="BI2397" i="7"/>
  <c r="BI2396" i="7"/>
  <c r="BI2395" i="7"/>
  <c r="BI2394" i="7"/>
  <c r="BI2463" i="7"/>
  <c r="BI2393" i="7"/>
  <c r="BI2392" i="7"/>
  <c r="BI2462" i="7"/>
  <c r="BI2391" i="7"/>
  <c r="BI2390" i="7"/>
  <c r="BI2389" i="7"/>
  <c r="BI2347" i="7"/>
  <c r="BI2170" i="7"/>
  <c r="BI2388" i="7"/>
  <c r="BI2169" i="7"/>
  <c r="BI2387" i="7"/>
  <c r="BI2168" i="7"/>
  <c r="BI2386" i="7"/>
  <c r="BI2461" i="7"/>
  <c r="BI2385" i="7"/>
  <c r="BI2346" i="7"/>
  <c r="BI2384" i="7"/>
  <c r="BI2046" i="7"/>
  <c r="BI2383" i="7"/>
  <c r="BI2292" i="7"/>
  <c r="BI2291" i="7"/>
  <c r="BI2345" i="7"/>
  <c r="BI2460" i="7"/>
  <c r="BI2382" i="7"/>
  <c r="BI2290" i="7"/>
  <c r="BI2459" i="7"/>
  <c r="BI2289" i="7"/>
  <c r="BI2381" i="7"/>
  <c r="BI2380" i="7"/>
  <c r="BI2288" i="7"/>
  <c r="BI2458" i="7"/>
  <c r="BI2379" i="7"/>
  <c r="BI2344" i="7"/>
  <c r="BI2167" i="7"/>
  <c r="BI2378" i="7"/>
  <c r="BI2377" i="7"/>
  <c r="BI2457" i="7"/>
  <c r="BI2456" i="7"/>
  <c r="BI2376" i="7"/>
  <c r="BI2455" i="7"/>
  <c r="BI2375" i="7"/>
  <c r="BI2374" i="7"/>
  <c r="BI2373" i="7"/>
  <c r="BI2372" i="7"/>
  <c r="BI2343" i="7"/>
  <c r="BI2371" i="7"/>
  <c r="BI2370" i="7"/>
  <c r="BI2342" i="7"/>
  <c r="BI2341" i="7"/>
  <c r="BI2287" i="7"/>
  <c r="BI2286" i="7"/>
  <c r="BI2369" i="7"/>
  <c r="BI2340" i="7"/>
  <c r="BI2166" i="7"/>
  <c r="BI2339" i="7"/>
  <c r="BI2338" i="7"/>
  <c r="BI2285" i="7"/>
  <c r="BI2165" i="7"/>
  <c r="BI2284" i="7"/>
  <c r="BI2283" i="7"/>
  <c r="BI2337" i="7"/>
  <c r="BI2282" i="7"/>
  <c r="BI2281" i="7"/>
  <c r="BI2045" i="7"/>
  <c r="BI2336" i="7"/>
  <c r="BI2368" i="7"/>
  <c r="BI2367" i="7"/>
  <c r="BI2280" i="7"/>
  <c r="BI2279" i="7"/>
  <c r="BI2278" i="7"/>
  <c r="BI2277" i="7"/>
  <c r="BI2335" i="7"/>
  <c r="BI2366" i="7"/>
  <c r="BI2276" i="7"/>
  <c r="BI2275" i="7"/>
  <c r="BI2274" i="7"/>
  <c r="BI2273" i="7"/>
  <c r="BI2272" i="7"/>
  <c r="BI2334" i="7"/>
  <c r="BI2333" i="7"/>
  <c r="BI2332" i="7"/>
  <c r="BI2164" i="7"/>
  <c r="BI2271" i="7"/>
  <c r="BI2163" i="7"/>
  <c r="BI2331" i="7"/>
  <c r="BI2330" i="7"/>
  <c r="BI2329" i="7"/>
  <c r="BI2328" i="7"/>
  <c r="BI2270" i="7"/>
  <c r="BI2327" i="7"/>
  <c r="BI2365" i="7"/>
  <c r="BI2269" i="7"/>
  <c r="BI2326" i="7"/>
  <c r="BI2325" i="7"/>
  <c r="BI2162" i="7"/>
  <c r="BI2364" i="7"/>
  <c r="BI2268" i="7"/>
  <c r="BI2161" i="7"/>
  <c r="BI2324" i="7"/>
  <c r="BI2323" i="7"/>
  <c r="BI2322" i="7"/>
  <c r="BI2363" i="7"/>
  <c r="BI2362" i="7"/>
  <c r="BI2361" i="7"/>
  <c r="BI2360" i="7"/>
  <c r="BI2267" i="7"/>
  <c r="BI2359" i="7"/>
  <c r="BI2266" i="7"/>
  <c r="BI2358" i="7"/>
  <c r="BI2357" i="7"/>
  <c r="BI2321" i="7"/>
  <c r="BI2265" i="7"/>
  <c r="BI2264" i="7"/>
  <c r="BI2160" i="7"/>
  <c r="BI2263" i="7"/>
  <c r="BI2159" i="7"/>
  <c r="BI2262" i="7"/>
  <c r="BI2261" i="7"/>
  <c r="BI2320" i="7"/>
  <c r="BI2319" i="7"/>
  <c r="BI2260" i="7"/>
  <c r="BI2318" i="7"/>
  <c r="BI2158" i="7"/>
  <c r="BI2259" i="7"/>
  <c r="BI2258" i="7"/>
  <c r="BI2257" i="7"/>
  <c r="BI2317" i="7"/>
  <c r="BI2256" i="7"/>
  <c r="BI2255" i="7"/>
  <c r="BI2254" i="7"/>
  <c r="BI2253" i="7"/>
  <c r="BI2252" i="7"/>
  <c r="BI2316" i="7"/>
  <c r="BI2315" i="7"/>
  <c r="BI2314" i="7"/>
  <c r="BI2313" i="7"/>
  <c r="BI2157" i="7"/>
  <c r="BI2251" i="7"/>
  <c r="BI2312" i="7"/>
  <c r="BI2311" i="7"/>
  <c r="BI2310" i="7"/>
  <c r="BI2250" i="7"/>
  <c r="BI2249" i="7"/>
  <c r="BI2248" i="7"/>
  <c r="BI1742" i="7"/>
  <c r="BI2247" i="7"/>
  <c r="BI2246" i="7"/>
  <c r="BI2245" i="7"/>
  <c r="BI2244" i="7"/>
  <c r="BI2243" i="7"/>
  <c r="BI2309" i="7"/>
  <c r="BI2242" i="7"/>
  <c r="BI2241" i="7"/>
  <c r="BI2240" i="7"/>
  <c r="BI2239" i="7"/>
  <c r="BI2238" i="7"/>
  <c r="BI2237" i="7"/>
  <c r="BI2308" i="7"/>
  <c r="BI2236" i="7"/>
  <c r="BI2156" i="7"/>
  <c r="BI2307" i="7"/>
  <c r="BI2235" i="7"/>
  <c r="BI2234" i="7"/>
  <c r="BI2233" i="7"/>
  <c r="BI2232" i="7"/>
  <c r="BI2231" i="7"/>
  <c r="BI2230" i="7"/>
  <c r="BI2044" i="7"/>
  <c r="BI2229" i="7"/>
  <c r="BI2155" i="7"/>
  <c r="BI2154" i="7"/>
  <c r="BI1886" i="7"/>
  <c r="BI2153" i="7"/>
  <c r="BI2152" i="7"/>
  <c r="BI2228" i="7"/>
  <c r="BI1885" i="7"/>
  <c r="BI2227" i="7"/>
  <c r="BI2043" i="7"/>
  <c r="BI2151" i="7"/>
  <c r="BI2150" i="7"/>
  <c r="BI2149" i="7"/>
  <c r="BI2226" i="7"/>
  <c r="BI2042" i="7"/>
  <c r="BI2041" i="7"/>
  <c r="BI2040" i="7"/>
  <c r="BI2148" i="7"/>
  <c r="BI2225" i="7"/>
  <c r="BI2147" i="7"/>
  <c r="BI2146" i="7"/>
  <c r="BI2039" i="7"/>
  <c r="BI2145" i="7"/>
  <c r="BI2144" i="7"/>
  <c r="BI2038" i="7"/>
  <c r="BI2143" i="7"/>
  <c r="BI2142" i="7"/>
  <c r="BI1741" i="7"/>
  <c r="BI1884" i="7"/>
  <c r="BI2141" i="7"/>
  <c r="BI2140" i="7"/>
  <c r="BI2139" i="7"/>
  <c r="BI2224" i="7"/>
  <c r="BI2138" i="7"/>
  <c r="BI2137" i="7"/>
  <c r="BI2136" i="7"/>
  <c r="BI2223" i="7"/>
  <c r="BI2222" i="7"/>
  <c r="BI2221" i="7"/>
  <c r="BI2220" i="7"/>
  <c r="BI2219" i="7"/>
  <c r="BI2218" i="7"/>
  <c r="BI2037" i="7"/>
  <c r="BI2135" i="7"/>
  <c r="BI2217" i="7"/>
  <c r="BI2216" i="7"/>
  <c r="BI2215" i="7"/>
  <c r="BI2036" i="7"/>
  <c r="BI2214" i="7"/>
  <c r="BI2035" i="7"/>
  <c r="BI2134" i="7"/>
  <c r="BI2213" i="7"/>
  <c r="BI2133" i="7"/>
  <c r="BI2132" i="7"/>
  <c r="BI2131" i="7"/>
  <c r="BI2130" i="7"/>
  <c r="BI2129" i="7"/>
  <c r="BI2128" i="7"/>
  <c r="BI2127" i="7"/>
  <c r="BI2034" i="7"/>
  <c r="BI2212" i="7"/>
  <c r="BI2126" i="7"/>
  <c r="BI2033" i="7"/>
  <c r="BI2211" i="7"/>
  <c r="BI2125" i="7"/>
  <c r="BI2032" i="7"/>
  <c r="BI2124" i="7"/>
  <c r="BI2123" i="7"/>
  <c r="BI2122" i="7"/>
  <c r="BI2121" i="7"/>
  <c r="BI2120" i="7"/>
  <c r="BI2119" i="7"/>
  <c r="BI2118" i="7"/>
  <c r="BI2117" i="7"/>
  <c r="BI2210" i="7"/>
  <c r="BI2116" i="7"/>
  <c r="BI2115" i="7"/>
  <c r="BI2114" i="7"/>
  <c r="BI2031" i="7"/>
  <c r="BI2209" i="7"/>
  <c r="BI2208" i="7"/>
  <c r="BI2113" i="7"/>
  <c r="BI2207" i="7"/>
  <c r="BI2206" i="7"/>
  <c r="BI2205" i="7"/>
  <c r="BI2204" i="7"/>
  <c r="BI2112" i="7"/>
  <c r="BI2030" i="7"/>
  <c r="BI2111" i="7"/>
  <c r="BI2110" i="7"/>
  <c r="BI2109" i="7"/>
  <c r="BI2203" i="7"/>
  <c r="BI2202" i="7"/>
  <c r="BI2201" i="7"/>
  <c r="BI2200" i="7"/>
  <c r="BI2108" i="7"/>
  <c r="BI2029" i="7"/>
  <c r="BI2028" i="7"/>
  <c r="BI2199" i="7"/>
  <c r="BI2107" i="7"/>
  <c r="BI2106" i="7"/>
  <c r="BI2198" i="7"/>
  <c r="BI1883" i="7"/>
  <c r="BI2027" i="7"/>
  <c r="BI1090" i="7"/>
  <c r="BI2026" i="7"/>
  <c r="BI2105" i="7"/>
  <c r="BI2104" i="7"/>
  <c r="BI2103" i="7"/>
  <c r="BI2197" i="7"/>
  <c r="BI2102" i="7"/>
  <c r="BI1335" i="7"/>
  <c r="BI2196" i="7"/>
  <c r="BI2195" i="7"/>
  <c r="BI2101" i="7"/>
  <c r="BI2194" i="7"/>
  <c r="BI2193" i="7"/>
  <c r="BI2192" i="7"/>
  <c r="BI2100" i="7"/>
  <c r="BI2191" i="7"/>
  <c r="BI1334" i="7"/>
  <c r="BI2025" i="7"/>
  <c r="BI2190" i="7"/>
  <c r="BI2099" i="7"/>
  <c r="BI2098" i="7"/>
  <c r="BI2097" i="7"/>
  <c r="BI2189" i="7"/>
  <c r="BI2188" i="7"/>
  <c r="BI2187" i="7"/>
  <c r="BI2024" i="7"/>
  <c r="BI2186" i="7"/>
  <c r="BI2185" i="7"/>
  <c r="BI2096" i="7"/>
  <c r="BI2184" i="7"/>
  <c r="BI2023" i="7"/>
  <c r="BI2183" i="7"/>
  <c r="BI2182" i="7"/>
  <c r="BI2181" i="7"/>
  <c r="BI2095" i="7"/>
  <c r="BI2022" i="7"/>
  <c r="BI2180" i="7"/>
  <c r="BI2179" i="7"/>
  <c r="BI2178" i="7"/>
  <c r="BI1882" i="7"/>
  <c r="BI2094" i="7"/>
  <c r="BI2177" i="7"/>
  <c r="BI2021" i="7"/>
  <c r="BI2093" i="7"/>
  <c r="BI2020" i="7"/>
  <c r="BI2092" i="7"/>
  <c r="BI2019" i="7"/>
  <c r="BI2018" i="7"/>
  <c r="BI1740" i="7"/>
  <c r="BI2091" i="7"/>
  <c r="BI2017" i="7"/>
  <c r="BI2016" i="7"/>
  <c r="BI2090" i="7"/>
  <c r="BI2089" i="7"/>
  <c r="BI2088" i="7"/>
  <c r="BI2087" i="7"/>
  <c r="BI2015" i="7"/>
  <c r="BI2014" i="7"/>
  <c r="BI2013" i="7"/>
  <c r="BI2012" i="7"/>
  <c r="BI2011" i="7"/>
  <c r="BI1881" i="7"/>
  <c r="BI2010" i="7"/>
  <c r="BI2009" i="7"/>
  <c r="BI1880" i="7"/>
  <c r="BI2086" i="7"/>
  <c r="BI2085" i="7"/>
  <c r="BI2008" i="7"/>
  <c r="BI2007" i="7"/>
  <c r="BI2084" i="7"/>
  <c r="BI2083" i="7"/>
  <c r="BI2006" i="7"/>
  <c r="BI2005" i="7"/>
  <c r="BI2004" i="7"/>
  <c r="BI2082" i="7"/>
  <c r="BI2081" i="7"/>
  <c r="BI1879" i="7"/>
  <c r="BI2080" i="7"/>
  <c r="BI2079" i="7"/>
  <c r="BI2003" i="7"/>
  <c r="BI2078" i="7"/>
  <c r="BI2077" i="7"/>
  <c r="BI2002" i="7"/>
  <c r="BI1878" i="7"/>
  <c r="BI2001" i="7"/>
  <c r="BI1251" i="7"/>
  <c r="BI2000" i="7"/>
  <c r="BI2076" i="7"/>
  <c r="BI1739" i="7"/>
  <c r="BI879" i="7"/>
  <c r="BI2075" i="7"/>
  <c r="BI1999" i="7"/>
  <c r="BI2074" i="7"/>
  <c r="BI2073" i="7"/>
  <c r="BI1998" i="7"/>
  <c r="BI1877" i="7"/>
  <c r="BI1876" i="7"/>
  <c r="BI1997" i="7"/>
  <c r="BI1996" i="7"/>
  <c r="BI1738" i="7"/>
  <c r="BI1875" i="7"/>
  <c r="BI1995" i="7"/>
  <c r="BI1737" i="7"/>
  <c r="BI2072" i="7"/>
  <c r="BI2071" i="7"/>
  <c r="BI1874" i="7"/>
  <c r="BI2070" i="7"/>
  <c r="BI1994" i="7"/>
  <c r="BI1993" i="7"/>
  <c r="BI2069" i="7"/>
  <c r="BI1992" i="7"/>
  <c r="BI1991" i="7"/>
  <c r="BI1990" i="7"/>
  <c r="BI1989" i="7"/>
  <c r="BI1873" i="7"/>
  <c r="BI1988" i="7"/>
  <c r="BI1987" i="7"/>
  <c r="BI2068" i="7"/>
  <c r="BI1736" i="7"/>
  <c r="BI1986" i="7"/>
  <c r="BI1872" i="7"/>
  <c r="BI1871" i="7"/>
  <c r="BI1985" i="7"/>
  <c r="BI1870" i="7"/>
  <c r="BI1984" i="7"/>
  <c r="BI1869" i="7"/>
  <c r="BI2067" i="7"/>
  <c r="BI1983" i="7"/>
  <c r="BI1982" i="7"/>
  <c r="BI1981" i="7"/>
  <c r="BI2066" i="7"/>
  <c r="BI1980" i="7"/>
  <c r="BI1735" i="7"/>
  <c r="BI1868" i="7"/>
  <c r="BI1867" i="7"/>
  <c r="BI1979" i="7"/>
  <c r="BI1978" i="7"/>
  <c r="BI1866" i="7"/>
  <c r="BI2065" i="7"/>
  <c r="BI1977" i="7"/>
  <c r="BI1976" i="7"/>
  <c r="BI1975" i="7"/>
  <c r="BI1734" i="7"/>
  <c r="BI1974" i="7"/>
  <c r="BI2064" i="7"/>
  <c r="BI1973" i="7"/>
  <c r="BI1972" i="7"/>
  <c r="BI1971" i="7"/>
  <c r="BI1970" i="7"/>
  <c r="BI1969" i="7"/>
  <c r="BI1733" i="7"/>
  <c r="BI1968" i="7"/>
  <c r="BI1967" i="7"/>
  <c r="BI1966" i="7"/>
  <c r="BI1965" i="7"/>
  <c r="BI1964" i="7"/>
  <c r="BI1963" i="7"/>
  <c r="BI1732" i="7"/>
  <c r="BI1962" i="7"/>
  <c r="BI1961" i="7"/>
  <c r="BI1865" i="7"/>
  <c r="BI2063" i="7"/>
  <c r="BI1423" i="7"/>
  <c r="BI2062" i="7"/>
  <c r="BI1960" i="7"/>
  <c r="BI1959" i="7"/>
  <c r="BI2061" i="7"/>
  <c r="BI2060" i="7"/>
  <c r="BI1958" i="7"/>
  <c r="BI1864" i="7"/>
  <c r="BI1089" i="7"/>
  <c r="BI1957" i="7"/>
  <c r="BI1956" i="7"/>
  <c r="BI1955" i="7"/>
  <c r="BI2059" i="7"/>
  <c r="BI2058" i="7"/>
  <c r="BI2057" i="7"/>
  <c r="BI1954" i="7"/>
  <c r="BI1953" i="7"/>
  <c r="BI2056" i="7"/>
  <c r="BI1863" i="7"/>
  <c r="BI1952" i="7"/>
  <c r="BI1951" i="7"/>
  <c r="BI1950" i="7"/>
  <c r="BI1949" i="7"/>
  <c r="BI1731" i="7"/>
  <c r="BI1948" i="7"/>
  <c r="BI1947" i="7"/>
  <c r="BI1946" i="7"/>
  <c r="BI1862" i="7"/>
  <c r="BI2055" i="7"/>
  <c r="BI1945" i="7"/>
  <c r="BI1944" i="7"/>
  <c r="BI1943" i="7"/>
  <c r="BI2054" i="7"/>
  <c r="BI1942" i="7"/>
  <c r="BI2053" i="7"/>
  <c r="BI2052" i="7"/>
  <c r="BI1861" i="7"/>
  <c r="BI1941" i="7"/>
  <c r="BI1730" i="7"/>
  <c r="BI2051" i="7"/>
  <c r="BI1940" i="7"/>
  <c r="BI1860" i="7"/>
  <c r="BI1939" i="7"/>
  <c r="BI2050" i="7"/>
  <c r="BI2049" i="7"/>
  <c r="BI1938" i="7"/>
  <c r="BI1937" i="7"/>
  <c r="BI286" i="7"/>
  <c r="BI1859" i="7"/>
  <c r="BI1858" i="7"/>
  <c r="BI1857" i="7"/>
  <c r="BI1936" i="7"/>
  <c r="BI1856" i="7"/>
  <c r="BI1855" i="7"/>
  <c r="BI1935" i="7"/>
  <c r="BI1854" i="7"/>
  <c r="BI1934" i="7"/>
  <c r="BI1853" i="7"/>
  <c r="BI1852" i="7"/>
  <c r="BI1933" i="7"/>
  <c r="BI1851" i="7"/>
  <c r="BI1729" i="7"/>
  <c r="BI1728" i="7"/>
  <c r="BI1850" i="7"/>
  <c r="BI1727" i="7"/>
  <c r="BI1558" i="7"/>
  <c r="BI1849" i="7"/>
  <c r="BI1848" i="7"/>
  <c r="BI1932" i="7"/>
  <c r="BI1726" i="7"/>
  <c r="BI1931" i="7"/>
  <c r="BI1847" i="7"/>
  <c r="BI1846" i="7"/>
  <c r="BI1930" i="7"/>
  <c r="BI1929" i="7"/>
  <c r="BI1845" i="7"/>
  <c r="BI1725" i="7"/>
  <c r="BI1928" i="7"/>
  <c r="BI1724" i="7"/>
  <c r="BI1927" i="7"/>
  <c r="BI1844" i="7"/>
  <c r="BI1926" i="7"/>
  <c r="BI1925" i="7"/>
  <c r="BI1557" i="7"/>
  <c r="BI1843" i="7"/>
  <c r="BI1842" i="7"/>
  <c r="BI1924" i="7"/>
  <c r="BI1923" i="7"/>
  <c r="BI1841" i="7"/>
  <c r="BI1840" i="7"/>
  <c r="BI1839" i="7"/>
  <c r="BI1723" i="7"/>
  <c r="BI1722" i="7"/>
  <c r="BI1922" i="7"/>
  <c r="BI1721" i="7"/>
  <c r="BI1838" i="7"/>
  <c r="BI1720" i="7"/>
  <c r="BI1837" i="7"/>
  <c r="BI1836" i="7"/>
  <c r="BI1835" i="7"/>
  <c r="BI1834" i="7"/>
  <c r="BI1833" i="7"/>
  <c r="BI1719" i="7"/>
  <c r="BI1832" i="7"/>
  <c r="BI1921" i="7"/>
  <c r="BI1831" i="7"/>
  <c r="BI1920" i="7"/>
  <c r="BI1919" i="7"/>
  <c r="BI1830" i="7"/>
  <c r="BI1718" i="7"/>
  <c r="BI1829" i="7"/>
  <c r="BI1828" i="7"/>
  <c r="BI1827" i="7"/>
  <c r="BI1826" i="7"/>
  <c r="BI1825" i="7"/>
  <c r="BI1918" i="7"/>
  <c r="BI1917" i="7"/>
  <c r="BI1916" i="7"/>
  <c r="BI1824" i="7"/>
  <c r="BI1915" i="7"/>
  <c r="BI1823" i="7"/>
  <c r="BI1822" i="7"/>
  <c r="BI1914" i="7"/>
  <c r="BI1821" i="7"/>
  <c r="BI1820" i="7"/>
  <c r="BI1913" i="7"/>
  <c r="BI1912" i="7"/>
  <c r="BI1819" i="7"/>
  <c r="BI1911" i="7"/>
  <c r="BI1910" i="7"/>
  <c r="BI1909" i="7"/>
  <c r="BI1818" i="7"/>
  <c r="BI1908" i="7"/>
  <c r="BI1817" i="7"/>
  <c r="BI1907" i="7"/>
  <c r="BI1556" i="7"/>
  <c r="BI1906" i="7"/>
  <c r="BI1717" i="7"/>
  <c r="BI1905" i="7"/>
  <c r="BI1904" i="7"/>
  <c r="BI1903" i="7"/>
  <c r="BI1902" i="7"/>
  <c r="BI1901" i="7"/>
  <c r="BI1900" i="7"/>
  <c r="BI1816" i="7"/>
  <c r="BI1815" i="7"/>
  <c r="BI1716" i="7"/>
  <c r="BI1899" i="7"/>
  <c r="BI1715" i="7"/>
  <c r="BI1898" i="7"/>
  <c r="BI1814" i="7"/>
  <c r="BI1813" i="7"/>
  <c r="BI1714" i="7"/>
  <c r="BI1812" i="7"/>
  <c r="BI1811" i="7"/>
  <c r="BI1810" i="7"/>
  <c r="BI1809" i="7"/>
  <c r="BI1808" i="7"/>
  <c r="BI1897" i="7"/>
  <c r="BI1555" i="7"/>
  <c r="BI1807" i="7"/>
  <c r="BI1896" i="7"/>
  <c r="BI1806" i="7"/>
  <c r="BI1895" i="7"/>
  <c r="BI1805" i="7"/>
  <c r="BI1804" i="7"/>
  <c r="BI1803" i="7"/>
  <c r="BI1894" i="7"/>
  <c r="BI1802" i="7"/>
  <c r="BI1801" i="7"/>
  <c r="BI1713" i="7"/>
  <c r="BI1712" i="7"/>
  <c r="BI1711" i="7"/>
  <c r="BI1710" i="7"/>
  <c r="BI1800" i="7"/>
  <c r="BI1799" i="7"/>
  <c r="BI1798" i="7"/>
  <c r="BI1709" i="7"/>
  <c r="BI1797" i="7"/>
  <c r="BI1796" i="7"/>
  <c r="BI1893" i="7"/>
  <c r="BI1892" i="7"/>
  <c r="BI1795" i="7"/>
  <c r="BI711" i="7"/>
  <c r="BI1794" i="7"/>
  <c r="BI1891" i="7"/>
  <c r="BI1890" i="7"/>
  <c r="BI1793" i="7"/>
  <c r="BI1792" i="7"/>
  <c r="BI1791" i="7"/>
  <c r="BI1790" i="7"/>
  <c r="BI1708" i="7"/>
  <c r="BI1707" i="7"/>
  <c r="BI1789" i="7"/>
  <c r="BI1788" i="7"/>
  <c r="BI1706" i="7"/>
  <c r="BI1889" i="7"/>
  <c r="BI878" i="7"/>
  <c r="BI1787" i="7"/>
  <c r="BI1705" i="7"/>
  <c r="BI1786" i="7"/>
  <c r="BI1704" i="7"/>
  <c r="BI1703" i="7"/>
  <c r="BI1702" i="7"/>
  <c r="BI1701" i="7"/>
  <c r="BI1700" i="7"/>
  <c r="BI1699" i="7"/>
  <c r="BI1698" i="7"/>
  <c r="BI1697" i="7"/>
  <c r="BI1554" i="7"/>
  <c r="BI1696" i="7"/>
  <c r="BI1088" i="7"/>
  <c r="BI1695" i="7"/>
  <c r="BI1694" i="7"/>
  <c r="BI1693" i="7"/>
  <c r="BI1692" i="7"/>
  <c r="BI1553" i="7"/>
  <c r="BI1691" i="7"/>
  <c r="BI1690" i="7"/>
  <c r="BI1689" i="7"/>
  <c r="BI1333" i="7"/>
  <c r="BI1688" i="7"/>
  <c r="BI877" i="7"/>
  <c r="BI1687" i="7"/>
  <c r="BI1785" i="7"/>
  <c r="BI1686" i="7"/>
  <c r="BI1784" i="7"/>
  <c r="BI1783" i="7"/>
  <c r="BI1782" i="7"/>
  <c r="BI1781" i="7"/>
  <c r="BI1685" i="7"/>
  <c r="BI1684" i="7"/>
  <c r="BI1780" i="7"/>
  <c r="BI285" i="7"/>
  <c r="BI1683" i="7"/>
  <c r="BI1552" i="7"/>
  <c r="BI1682" i="7"/>
  <c r="BI1681" i="7"/>
  <c r="BI1779" i="7"/>
  <c r="BI1778" i="7"/>
  <c r="BI1777" i="7"/>
  <c r="BI1680" i="7"/>
  <c r="BI1679" i="7"/>
  <c r="BI1678" i="7"/>
  <c r="BI1776" i="7"/>
  <c r="BI1332" i="7"/>
  <c r="BI1677" i="7"/>
  <c r="BI1087" i="7"/>
  <c r="BI1775" i="7"/>
  <c r="BI1774" i="7"/>
  <c r="BI1676" i="7"/>
  <c r="BI1675" i="7"/>
  <c r="BI1674" i="7"/>
  <c r="BI1673" i="7"/>
  <c r="BI876" i="7"/>
  <c r="BI1773" i="7"/>
  <c r="BI1772" i="7"/>
  <c r="BI1771" i="7"/>
  <c r="BI1672" i="7"/>
  <c r="BI1671" i="7"/>
  <c r="BI1670" i="7"/>
  <c r="BI1669" i="7"/>
  <c r="BI1668" i="7"/>
  <c r="BI1551" i="7"/>
  <c r="BI1770" i="7"/>
  <c r="BI1667" i="7"/>
  <c r="BI1769" i="7"/>
  <c r="BI1666" i="7"/>
  <c r="BI1768" i="7"/>
  <c r="BI1665" i="7"/>
  <c r="BI1664" i="7"/>
  <c r="BI1663" i="7"/>
  <c r="BI1767" i="7"/>
  <c r="BI1766" i="7"/>
  <c r="BI1765" i="7"/>
  <c r="BI1422" i="7"/>
  <c r="BI1331" i="7"/>
  <c r="BI1550" i="7"/>
  <c r="BI1764" i="7"/>
  <c r="BI1662" i="7"/>
  <c r="BI1661" i="7"/>
  <c r="BI1660" i="7"/>
  <c r="BI1763" i="7"/>
  <c r="BI1549" i="7"/>
  <c r="BI1659" i="7"/>
  <c r="BI1762" i="7"/>
  <c r="BI1658" i="7"/>
  <c r="BI1761" i="7"/>
  <c r="BI1657" i="7"/>
  <c r="BI1760" i="7"/>
  <c r="BI1759" i="7"/>
  <c r="BI1656" i="7"/>
  <c r="BI1330" i="7"/>
  <c r="BI1758" i="7"/>
  <c r="BI1655" i="7"/>
  <c r="BI1548" i="7"/>
  <c r="BI1757" i="7"/>
  <c r="BI1654" i="7"/>
  <c r="BI1653" i="7"/>
  <c r="BI1547" i="7"/>
  <c r="BI1652" i="7"/>
  <c r="BI1756" i="7"/>
  <c r="BI1651" i="7"/>
  <c r="BI1650" i="7"/>
  <c r="BI1250" i="7"/>
  <c r="BI1649" i="7"/>
  <c r="BI1648" i="7"/>
  <c r="BI1755" i="7"/>
  <c r="BI1647" i="7"/>
  <c r="BI1646" i="7"/>
  <c r="BI1645" i="7"/>
  <c r="BI1644" i="7"/>
  <c r="BI1643" i="7"/>
  <c r="BI1754" i="7"/>
  <c r="BI1753" i="7"/>
  <c r="BI1752" i="7"/>
  <c r="BI1642" i="7"/>
  <c r="BI1641" i="7"/>
  <c r="BI1640" i="7"/>
  <c r="BI1639" i="7"/>
  <c r="BI1751" i="7"/>
  <c r="BI1750" i="7"/>
  <c r="BI1638" i="7"/>
  <c r="BI1546" i="7"/>
  <c r="BI1637" i="7"/>
  <c r="BI1749" i="7"/>
  <c r="BI1636" i="7"/>
  <c r="BI1635" i="7"/>
  <c r="BI1634" i="7"/>
  <c r="BI1633" i="7"/>
  <c r="BI1632" i="7"/>
  <c r="BI1748" i="7"/>
  <c r="BI1747" i="7"/>
  <c r="BI1545" i="7"/>
  <c r="BI1631" i="7"/>
  <c r="BI1630" i="7"/>
  <c r="BI1629" i="7"/>
  <c r="BI1746" i="7"/>
  <c r="BI1544" i="7"/>
  <c r="BI1745" i="7"/>
  <c r="BI1421" i="7"/>
  <c r="BI1628" i="7"/>
  <c r="BI390" i="7"/>
  <c r="BI1744" i="7"/>
  <c r="BI1627" i="7"/>
  <c r="BI1626" i="7"/>
  <c r="BI1625" i="7"/>
  <c r="BI1543" i="7"/>
  <c r="BI1624" i="7"/>
  <c r="BI1542" i="7"/>
  <c r="BI1623" i="7"/>
  <c r="BI1622" i="7"/>
  <c r="BI1621" i="7"/>
  <c r="BI1541" i="7"/>
  <c r="BI1540" i="7"/>
  <c r="BI1620" i="7"/>
  <c r="BI1619" i="7"/>
  <c r="BI1618" i="7"/>
  <c r="BI1617" i="7"/>
  <c r="BI1539" i="7"/>
  <c r="BI1538" i="7"/>
  <c r="BI1420" i="7"/>
  <c r="BI1249" i="7"/>
  <c r="BI1248" i="7"/>
  <c r="BI1616" i="7"/>
  <c r="BI1615" i="7"/>
  <c r="BI1614" i="7"/>
  <c r="BI1613" i="7"/>
  <c r="BI1247" i="7"/>
  <c r="BI1612" i="7"/>
  <c r="BI1537" i="7"/>
  <c r="BI1611" i="7"/>
  <c r="BI1536" i="7"/>
  <c r="BI1610" i="7"/>
  <c r="BI1535" i="7"/>
  <c r="BI1419" i="7"/>
  <c r="BI1534" i="7"/>
  <c r="BI1609" i="7"/>
  <c r="BI1608" i="7"/>
  <c r="BI1533" i="7"/>
  <c r="BI1607" i="7"/>
  <c r="BI1532" i="7"/>
  <c r="BI1606" i="7"/>
  <c r="BI1531" i="7"/>
  <c r="BI1530" i="7"/>
  <c r="BI1529" i="7"/>
  <c r="BI1528" i="7"/>
  <c r="BI1605" i="7"/>
  <c r="BI1604" i="7"/>
  <c r="BI1603" i="7"/>
  <c r="BI1527" i="7"/>
  <c r="BI1526" i="7"/>
  <c r="BI1525" i="7"/>
  <c r="BI1524" i="7"/>
  <c r="BI1602" i="7"/>
  <c r="BI1523" i="7"/>
  <c r="BI1601" i="7"/>
  <c r="BI1600" i="7"/>
  <c r="BI1522" i="7"/>
  <c r="BI1599" i="7"/>
  <c r="BI1246" i="7"/>
  <c r="BI1521" i="7"/>
  <c r="BI1598" i="7"/>
  <c r="BI1597" i="7"/>
  <c r="BI1520" i="7"/>
  <c r="BI1519" i="7"/>
  <c r="BI1518" i="7"/>
  <c r="BI1517" i="7"/>
  <c r="BI1516" i="7"/>
  <c r="BI1515" i="7"/>
  <c r="BI1514" i="7"/>
  <c r="BI1596" i="7"/>
  <c r="BI1513" i="7"/>
  <c r="BI1595" i="7"/>
  <c r="BI1594" i="7"/>
  <c r="BI1329" i="7"/>
  <c r="BI1418" i="7"/>
  <c r="BI1512" i="7"/>
  <c r="BI1511" i="7"/>
  <c r="BI1593" i="7"/>
  <c r="BI1510" i="7"/>
  <c r="BI1592" i="7"/>
  <c r="BI1509" i="7"/>
  <c r="BI1591" i="7"/>
  <c r="BI1086" i="7"/>
  <c r="BI1508" i="7"/>
  <c r="BI1507" i="7"/>
  <c r="BI1506" i="7"/>
  <c r="BI1505" i="7"/>
  <c r="BI1504" i="7"/>
  <c r="BI875" i="7"/>
  <c r="BI1417" i="7"/>
  <c r="BI1590" i="7"/>
  <c r="BI1589" i="7"/>
  <c r="BI1588" i="7"/>
  <c r="BI1587" i="7"/>
  <c r="BI1586" i="7"/>
  <c r="BI1503" i="7"/>
  <c r="BI1585" i="7"/>
  <c r="BI1584" i="7"/>
  <c r="BI1583" i="7"/>
  <c r="BI1245" i="7"/>
  <c r="BI1502" i="7"/>
  <c r="BI1582" i="7"/>
  <c r="BI1244" i="7"/>
  <c r="BI1501" i="7"/>
  <c r="BI1500" i="7"/>
  <c r="BI1581" i="7"/>
  <c r="BI1499" i="7"/>
  <c r="BI1498" i="7"/>
  <c r="BI1580" i="7"/>
  <c r="BI1579" i="7"/>
  <c r="BI1497" i="7"/>
  <c r="BI1578" i="7"/>
  <c r="BI1577" i="7"/>
  <c r="BI1576" i="7"/>
  <c r="BI1496" i="7"/>
  <c r="BI1575" i="7"/>
  <c r="BI1495" i="7"/>
  <c r="BI1416" i="7"/>
  <c r="BI1494" i="7"/>
  <c r="BI1493" i="7"/>
  <c r="BI1085" i="7"/>
  <c r="BI1243" i="7"/>
  <c r="BI1574" i="7"/>
  <c r="BI1573" i="7"/>
  <c r="BI1415" i="7"/>
  <c r="BI1572" i="7"/>
  <c r="BI1492" i="7"/>
  <c r="BI1491" i="7"/>
  <c r="BI1414" i="7"/>
  <c r="BI1490" i="7"/>
  <c r="BI1489" i="7"/>
  <c r="BI1488" i="7"/>
  <c r="BI1487" i="7"/>
  <c r="BI1486" i="7"/>
  <c r="BI1571" i="7"/>
  <c r="BI1570" i="7"/>
  <c r="BI1569" i="7"/>
  <c r="BI1485" i="7"/>
  <c r="BI1484" i="7"/>
  <c r="BI1483" i="7"/>
  <c r="BI1413" i="7"/>
  <c r="BI1482" i="7"/>
  <c r="BI1481" i="7"/>
  <c r="BI1568" i="7"/>
  <c r="BI1084" i="7"/>
  <c r="BI1567" i="7"/>
  <c r="BI1480" i="7"/>
  <c r="BI1566" i="7"/>
  <c r="BI1479" i="7"/>
  <c r="BI1412" i="7"/>
  <c r="BI1478" i="7"/>
  <c r="BI1477" i="7"/>
  <c r="BI874" i="7"/>
  <c r="BI1476" i="7"/>
  <c r="BI1475" i="7"/>
  <c r="BI1328" i="7"/>
  <c r="BI1565" i="7"/>
  <c r="BI1564" i="7"/>
  <c r="BI1563" i="7"/>
  <c r="BI1562" i="7"/>
  <c r="BI710" i="7"/>
  <c r="BI1474" i="7"/>
  <c r="BI873" i="7"/>
  <c r="BI1242" i="7"/>
  <c r="BI1411" i="7"/>
  <c r="BI1473" i="7"/>
  <c r="BI1472" i="7"/>
  <c r="BI1241" i="7"/>
  <c r="BI1410" i="7"/>
  <c r="BI1471" i="7"/>
  <c r="BI1470" i="7"/>
  <c r="BI1409" i="7"/>
  <c r="BI1469" i="7"/>
  <c r="BI1468" i="7"/>
  <c r="BI1408" i="7"/>
  <c r="BI1407" i="7"/>
  <c r="BI1467" i="7"/>
  <c r="BI1240" i="7"/>
  <c r="BI1406" i="7"/>
  <c r="BI1466" i="7"/>
  <c r="BI1327" i="7"/>
  <c r="BI1405" i="7"/>
  <c r="BI1239" i="7"/>
  <c r="BI1465" i="7"/>
  <c r="BI1404" i="7"/>
  <c r="BI1083" i="7"/>
  <c r="BI1403" i="7"/>
  <c r="BI1402" i="7"/>
  <c r="BI1326" i="7"/>
  <c r="BI1464" i="7"/>
  <c r="BI1401" i="7"/>
  <c r="BI1400" i="7"/>
  <c r="BI1399" i="7"/>
  <c r="BI1325" i="7"/>
  <c r="BI1324" i="7"/>
  <c r="BI1463" i="7"/>
  <c r="BI1462" i="7"/>
  <c r="BI1398" i="7"/>
  <c r="BI1461" i="7"/>
  <c r="BI1397" i="7"/>
  <c r="BI1460" i="7"/>
  <c r="BI1396" i="7"/>
  <c r="BI1082" i="7"/>
  <c r="BI1323" i="7"/>
  <c r="BI1395" i="7"/>
  <c r="BI1394" i="7"/>
  <c r="BI1238" i="7"/>
  <c r="BI1393" i="7"/>
  <c r="BI1322" i="7"/>
  <c r="BI1392" i="7"/>
  <c r="BI1459" i="7"/>
  <c r="BI1391" i="7"/>
  <c r="BI1458" i="7"/>
  <c r="BI1321" i="7"/>
  <c r="BI1390" i="7"/>
  <c r="BI1320" i="7"/>
  <c r="BI1457" i="7"/>
  <c r="BI1319" i="7"/>
  <c r="BI1456" i="7"/>
  <c r="BI1455" i="7"/>
  <c r="BI1454" i="7"/>
  <c r="BI1237" i="7"/>
  <c r="BI1453" i="7"/>
  <c r="BI1389" i="7"/>
  <c r="BI1236" i="7"/>
  <c r="BI1452" i="7"/>
  <c r="BI872" i="7"/>
  <c r="BI1451" i="7"/>
  <c r="BI1450" i="7"/>
  <c r="BI1449" i="7"/>
  <c r="BI1318" i="7"/>
  <c r="BI1448" i="7"/>
  <c r="BI1447" i="7"/>
  <c r="BI1317" i="7"/>
  <c r="BI1388" i="7"/>
  <c r="BI1446" i="7"/>
  <c r="BI1445" i="7"/>
  <c r="BI1444" i="7"/>
  <c r="BI1443" i="7"/>
  <c r="BI1387" i="7"/>
  <c r="BI1386" i="7"/>
  <c r="BI1385" i="7"/>
  <c r="BI1442" i="7"/>
  <c r="BI1384" i="7"/>
  <c r="BI1441" i="7"/>
  <c r="BI1383" i="7"/>
  <c r="BI1235" i="7"/>
  <c r="BI1440" i="7"/>
  <c r="BI1382" i="7"/>
  <c r="BI1439" i="7"/>
  <c r="BI1438" i="7"/>
  <c r="BI1437" i="7"/>
  <c r="BI1436" i="7"/>
  <c r="BI1381" i="7"/>
  <c r="BI1435" i="7"/>
  <c r="BI1434" i="7"/>
  <c r="BI1380" i="7"/>
  <c r="BI1433" i="7"/>
  <c r="BI1316" i="7"/>
  <c r="BI1379" i="7"/>
  <c r="BI1378" i="7"/>
  <c r="BI1432" i="7"/>
  <c r="BI1377" i="7"/>
  <c r="BI1431" i="7"/>
  <c r="BI1430" i="7"/>
  <c r="BI1376" i="7"/>
  <c r="BI1375" i="7"/>
  <c r="BI1315" i="7"/>
  <c r="BI1374" i="7"/>
  <c r="BI1373" i="7"/>
  <c r="BI1234" i="7"/>
  <c r="BI1372" i="7"/>
  <c r="BI1314" i="7"/>
  <c r="BI1371" i="7"/>
  <c r="BI1370" i="7"/>
  <c r="BI1369" i="7"/>
  <c r="BI1368" i="7"/>
  <c r="BI1313" i="7"/>
  <c r="BI1233" i="7"/>
  <c r="BI1312" i="7"/>
  <c r="BI139" i="7"/>
  <c r="BI1429" i="7"/>
  <c r="BI1428" i="7"/>
  <c r="BI1367" i="7"/>
  <c r="BI1427" i="7"/>
  <c r="BI1426" i="7"/>
  <c r="BI1366" i="7"/>
  <c r="BI1365" i="7"/>
  <c r="BI1364" i="7"/>
  <c r="BI1363" i="7"/>
  <c r="BI1425" i="7"/>
  <c r="BI1362" i="7"/>
  <c r="BI1424" i="7"/>
  <c r="BI1361" i="7"/>
  <c r="BI1360" i="7"/>
  <c r="BI1359" i="7"/>
  <c r="BI1311" i="7"/>
  <c r="BI1310" i="7"/>
  <c r="BI1358" i="7"/>
  <c r="BI1309" i="7"/>
  <c r="BI1232" i="7"/>
  <c r="BI1081" i="7"/>
  <c r="BI1231" i="7"/>
  <c r="BI1308" i="7"/>
  <c r="BI1357" i="7"/>
  <c r="BI1356" i="7"/>
  <c r="BI1307" i="7"/>
  <c r="BI1355" i="7"/>
  <c r="BI1354" i="7"/>
  <c r="BI1230" i="7"/>
  <c r="BI1306" i="7"/>
  <c r="BI1229" i="7"/>
  <c r="BI1353" i="7"/>
  <c r="BI1352" i="7"/>
  <c r="BI1305" i="7"/>
  <c r="BI1228" i="7"/>
  <c r="BI1351" i="7"/>
  <c r="BI1350" i="7"/>
  <c r="BI1304" i="7"/>
  <c r="BI1303" i="7"/>
  <c r="BI1302" i="7"/>
  <c r="BI1301" i="7"/>
  <c r="BI1300" i="7"/>
  <c r="BI1080" i="7"/>
  <c r="BI1227" i="7"/>
  <c r="BI1226" i="7"/>
  <c r="BI1299" i="7"/>
  <c r="BI1298" i="7"/>
  <c r="BI1297" i="7"/>
  <c r="BI1079" i="7"/>
  <c r="BI1296" i="7"/>
  <c r="BI1225" i="7"/>
  <c r="BI1295" i="7"/>
  <c r="BI1078" i="7"/>
  <c r="BI1294" i="7"/>
  <c r="BI1293" i="7"/>
  <c r="BI1224" i="7"/>
  <c r="BI1292" i="7"/>
  <c r="BI1349" i="7"/>
  <c r="BI1223" i="7"/>
  <c r="BI1222" i="7"/>
  <c r="BI1291" i="7"/>
  <c r="BI1348" i="7"/>
  <c r="BI1221" i="7"/>
  <c r="BI1347" i="7"/>
  <c r="BI1290" i="7"/>
  <c r="BI1346" i="7"/>
  <c r="BI1345" i="7"/>
  <c r="BI1344" i="7"/>
  <c r="BI1289" i="7"/>
  <c r="BI1288" i="7"/>
  <c r="BI1287" i="7"/>
  <c r="BI1220" i="7"/>
  <c r="BI1286" i="7"/>
  <c r="BI1285" i="7"/>
  <c r="BI1343" i="7"/>
  <c r="BI1077" i="7"/>
  <c r="BI1342" i="7"/>
  <c r="BI1341" i="7"/>
  <c r="BI1284" i="7"/>
  <c r="BI1283" i="7"/>
  <c r="BI1076" i="7"/>
  <c r="BI1282" i="7"/>
  <c r="BI1219" i="7"/>
  <c r="BI1218" i="7"/>
  <c r="BI1281" i="7"/>
  <c r="BI1217" i="7"/>
  <c r="BI1340" i="7"/>
  <c r="BI1339" i="7"/>
  <c r="BI1338" i="7"/>
  <c r="BI1280" i="7"/>
  <c r="BI1279" i="7"/>
  <c r="BI1278" i="7"/>
  <c r="BI1216" i="7"/>
  <c r="BI1215" i="7"/>
  <c r="BI1075" i="7"/>
  <c r="BI1337" i="7"/>
  <c r="BI1214" i="7"/>
  <c r="BI1277" i="7"/>
  <c r="BI1336" i="7"/>
  <c r="BI1213" i="7"/>
  <c r="BI1074" i="7"/>
  <c r="BI1212" i="7"/>
  <c r="BI1073" i="7"/>
  <c r="BI1211" i="7"/>
  <c r="BI1210" i="7"/>
  <c r="BI1209" i="7"/>
  <c r="BI709" i="7"/>
  <c r="BI708" i="7"/>
  <c r="BI1208" i="7"/>
  <c r="BI1276" i="7"/>
  <c r="BI1207" i="7"/>
  <c r="BI1275" i="7"/>
  <c r="BI1072" i="7"/>
  <c r="BI1071" i="7"/>
  <c r="BI1206" i="7"/>
  <c r="BI1205" i="7"/>
  <c r="BI1204" i="7"/>
  <c r="BI1203" i="7"/>
  <c r="BI1202" i="7"/>
  <c r="BI1070" i="7"/>
  <c r="BI1201" i="7"/>
  <c r="BI1200" i="7"/>
  <c r="BI1199" i="7"/>
  <c r="BI1069" i="7"/>
  <c r="BI1068" i="7"/>
  <c r="BI1198" i="7"/>
  <c r="BI1197" i="7"/>
  <c r="BI1274" i="7"/>
  <c r="BI1196" i="7"/>
  <c r="BI1273" i="7"/>
  <c r="BI1272" i="7"/>
  <c r="BI138" i="7"/>
  <c r="BI1067" i="7"/>
  <c r="BI1195" i="7"/>
  <c r="BI1194" i="7"/>
  <c r="BI1193" i="7"/>
  <c r="BI1271" i="7"/>
  <c r="BI1192" i="7"/>
  <c r="BI1270" i="7"/>
  <c r="BI1191" i="7"/>
  <c r="BI1066" i="7"/>
  <c r="BI1065" i="7"/>
  <c r="BI1064" i="7"/>
  <c r="BI1190" i="7"/>
  <c r="BI1189" i="7"/>
  <c r="BI1188" i="7"/>
  <c r="BI1187" i="7"/>
  <c r="BI1269" i="7"/>
  <c r="BI1186" i="7"/>
  <c r="BI1268" i="7"/>
  <c r="BI1063" i="7"/>
  <c r="BI1185" i="7"/>
  <c r="BI1062" i="7"/>
  <c r="BI1184" i="7"/>
  <c r="BI1183" i="7"/>
  <c r="BI1182" i="7"/>
  <c r="BI1267" i="7"/>
  <c r="BI1266" i="7"/>
  <c r="BI1181" i="7"/>
  <c r="BI1180" i="7"/>
  <c r="BI1061" i="7"/>
  <c r="BI1179" i="7"/>
  <c r="BI1178" i="7"/>
  <c r="BI1177" i="7"/>
  <c r="BI1176" i="7"/>
  <c r="BI1265" i="7"/>
  <c r="BI1175" i="7"/>
  <c r="BI1174" i="7"/>
  <c r="BI1173" i="7"/>
  <c r="BI1172" i="7"/>
  <c r="BI1171" i="7"/>
  <c r="BI1060" i="7"/>
  <c r="BI1170" i="7"/>
  <c r="BI1169" i="7"/>
  <c r="BI1168" i="7"/>
  <c r="BI1264" i="7"/>
  <c r="BI1167" i="7"/>
  <c r="BI1166" i="7"/>
  <c r="BI1165" i="7"/>
  <c r="BI1164" i="7"/>
  <c r="BI1163" i="7"/>
  <c r="BI1263" i="7"/>
  <c r="BI1059" i="7"/>
  <c r="BI1162" i="7"/>
  <c r="BI1058" i="7"/>
  <c r="BI1262" i="7"/>
  <c r="BI1161" i="7"/>
  <c r="BI1160" i="7"/>
  <c r="BI1159" i="7"/>
  <c r="BI1158" i="7"/>
  <c r="BI1261" i="7"/>
  <c r="BI1057" i="7"/>
  <c r="BI1056" i="7"/>
  <c r="BI1157" i="7"/>
  <c r="BI1156" i="7"/>
  <c r="BI1155" i="7"/>
  <c r="BI1154" i="7"/>
  <c r="BI1153" i="7"/>
  <c r="BI1055" i="7"/>
  <c r="BI1054" i="7"/>
  <c r="BI1152" i="7"/>
  <c r="BI1151" i="7"/>
  <c r="BI1150" i="7"/>
  <c r="BI1260" i="7"/>
  <c r="BI1149" i="7"/>
  <c r="BI1259" i="7"/>
  <c r="BI1258" i="7"/>
  <c r="BI1148" i="7"/>
  <c r="BI1257" i="7"/>
  <c r="BI1053" i="7"/>
  <c r="BI1147" i="7"/>
  <c r="BI1146" i="7"/>
  <c r="BI1145" i="7"/>
  <c r="BI1144" i="7"/>
  <c r="BI1256" i="7"/>
  <c r="BI1052" i="7"/>
  <c r="BI548" i="7"/>
  <c r="BI1143" i="7"/>
  <c r="BI1142" i="7"/>
  <c r="BI1255" i="7"/>
  <c r="BI1141" i="7"/>
  <c r="BI1051" i="7"/>
  <c r="BI1254" i="7"/>
  <c r="BI1050" i="7"/>
  <c r="BI1140" i="7"/>
  <c r="BI1139" i="7"/>
  <c r="BI1049" i="7"/>
  <c r="BI1048" i="7"/>
  <c r="BI1138" i="7"/>
  <c r="BI1047" i="7"/>
  <c r="BI1137" i="7"/>
  <c r="BI1136" i="7"/>
  <c r="BI1046" i="7"/>
  <c r="BI871" i="7"/>
  <c r="BI1045" i="7"/>
  <c r="BI1044" i="7"/>
  <c r="BI1135" i="7"/>
  <c r="BI1043" i="7"/>
  <c r="BI1134" i="7"/>
  <c r="BI1042" i="7"/>
  <c r="BI1041" i="7"/>
  <c r="BI1133" i="7"/>
  <c r="BI1040" i="7"/>
  <c r="BI1039" i="7"/>
  <c r="BI1132" i="7"/>
  <c r="BI1038" i="7"/>
  <c r="BI1037" i="7"/>
  <c r="BI870" i="7"/>
  <c r="BI1036" i="7"/>
  <c r="BI1035" i="7"/>
  <c r="BI1034" i="7"/>
  <c r="BI1131" i="7"/>
  <c r="BI1130" i="7"/>
  <c r="BI1033" i="7"/>
  <c r="BI1129" i="7"/>
  <c r="BI707" i="7"/>
  <c r="BI869" i="7"/>
  <c r="BI1032" i="7"/>
  <c r="BI868" i="7"/>
  <c r="BI1031" i="7"/>
  <c r="BI867" i="7"/>
  <c r="BI1030" i="7"/>
  <c r="BI706" i="7"/>
  <c r="BI1029" i="7"/>
  <c r="BI1028" i="7"/>
  <c r="BI1027" i="7"/>
  <c r="BI1026" i="7"/>
  <c r="BI866" i="7"/>
  <c r="BI1025" i="7"/>
  <c r="BI1128" i="7"/>
  <c r="BI1024" i="7"/>
  <c r="BI1023" i="7"/>
  <c r="BI1022" i="7"/>
  <c r="BI1021" i="7"/>
  <c r="BI1020" i="7"/>
  <c r="BI1127" i="7"/>
  <c r="BI1019" i="7"/>
  <c r="BI1018" i="7"/>
  <c r="BI1126" i="7"/>
  <c r="BI1017" i="7"/>
  <c r="BI1016" i="7"/>
  <c r="BI1125" i="7"/>
  <c r="BI1015" i="7"/>
  <c r="BI865" i="7"/>
  <c r="BI1124" i="7"/>
  <c r="BI864" i="7"/>
  <c r="BI1014" i="7"/>
  <c r="BI1013" i="7"/>
  <c r="BI1012" i="7"/>
  <c r="BI863" i="7"/>
  <c r="BI1123" i="7"/>
  <c r="BI1011" i="7"/>
  <c r="BI1010" i="7"/>
  <c r="BI862" i="7"/>
  <c r="BI1009" i="7"/>
  <c r="BI1008" i="7"/>
  <c r="BI1007" i="7"/>
  <c r="BI1006" i="7"/>
  <c r="BI1005" i="7"/>
  <c r="BI861" i="7"/>
  <c r="BI1004" i="7"/>
  <c r="BI1003" i="7"/>
  <c r="BI1002" i="7"/>
  <c r="BI860" i="7"/>
  <c r="BI859" i="7"/>
  <c r="BI1001" i="7"/>
  <c r="BI1000" i="7"/>
  <c r="BI858" i="7"/>
  <c r="BI999" i="7"/>
  <c r="BI998" i="7"/>
  <c r="BI1122" i="7"/>
  <c r="BI1121" i="7"/>
  <c r="BI997" i="7"/>
  <c r="BI857" i="7"/>
  <c r="BI996" i="7"/>
  <c r="BI995" i="7"/>
  <c r="BI705" i="7"/>
  <c r="BI1120" i="7"/>
  <c r="BI994" i="7"/>
  <c r="BI1119" i="7"/>
  <c r="BI1118" i="7"/>
  <c r="BI993" i="7"/>
  <c r="BI992" i="7"/>
  <c r="BI991" i="7"/>
  <c r="BI856" i="7"/>
  <c r="BI990" i="7"/>
  <c r="BI1117" i="7"/>
  <c r="BI704" i="7"/>
  <c r="BI989" i="7"/>
  <c r="BI988" i="7"/>
  <c r="BI987" i="7"/>
  <c r="BI855" i="7"/>
  <c r="BI986" i="7"/>
  <c r="BI985" i="7"/>
  <c r="BI984" i="7"/>
  <c r="BI389" i="7"/>
  <c r="BI983" i="7"/>
  <c r="BI982" i="7"/>
  <c r="BI703" i="7"/>
  <c r="BI1116" i="7"/>
  <c r="BI854" i="7"/>
  <c r="BI981" i="7"/>
  <c r="BI980" i="7"/>
  <c r="BI979" i="7"/>
  <c r="BI978" i="7"/>
  <c r="BI977" i="7"/>
  <c r="BI1115" i="7"/>
  <c r="BI976" i="7"/>
  <c r="BI975" i="7"/>
  <c r="BI974" i="7"/>
  <c r="BI973" i="7"/>
  <c r="BI853" i="7"/>
  <c r="BI852" i="7"/>
  <c r="BI1114" i="7"/>
  <c r="BI1113" i="7"/>
  <c r="BI1112" i="7"/>
  <c r="BI851" i="7"/>
  <c r="BI972" i="7"/>
  <c r="BI1111" i="7"/>
  <c r="BI971" i="7"/>
  <c r="BI850" i="7"/>
  <c r="BI702" i="7"/>
  <c r="BI970" i="7"/>
  <c r="BI969" i="7"/>
  <c r="BI1110" i="7"/>
  <c r="BI968" i="7"/>
  <c r="BI1109" i="7"/>
  <c r="BI1108" i="7"/>
  <c r="BI967" i="7"/>
  <c r="BI849" i="7"/>
  <c r="BI1107" i="7"/>
  <c r="BI1106" i="7"/>
  <c r="BI966" i="7"/>
  <c r="BI965" i="7"/>
  <c r="BI964" i="7"/>
  <c r="BI963" i="7"/>
  <c r="BI1105" i="7"/>
  <c r="BI962" i="7"/>
  <c r="BI961" i="7"/>
  <c r="BI1104" i="7"/>
  <c r="BI1103" i="7"/>
  <c r="BI960" i="7"/>
  <c r="BI959" i="7"/>
  <c r="BI1102" i="7"/>
  <c r="BI958" i="7"/>
  <c r="BI957" i="7"/>
  <c r="BI1101" i="7"/>
  <c r="BI1100" i="7"/>
  <c r="BI956" i="7"/>
  <c r="BI1099" i="7"/>
  <c r="BI955" i="7"/>
  <c r="BI954" i="7"/>
  <c r="BI1098" i="7"/>
  <c r="BI953" i="7"/>
  <c r="BI1097" i="7"/>
  <c r="BI952" i="7"/>
  <c r="BI1096" i="7"/>
  <c r="BI951" i="7"/>
  <c r="BI1095" i="7"/>
  <c r="BI950" i="7"/>
  <c r="BI1094" i="7"/>
  <c r="BI1093" i="7"/>
  <c r="BI1092" i="7"/>
  <c r="BI949" i="7"/>
  <c r="BI848" i="7"/>
  <c r="BI847" i="7"/>
  <c r="BI846" i="7"/>
  <c r="BI845" i="7"/>
  <c r="BI948" i="7"/>
  <c r="BI947" i="7"/>
  <c r="BI844" i="7"/>
  <c r="BI843" i="7"/>
  <c r="BI946" i="7"/>
  <c r="BI842" i="7"/>
  <c r="BI841" i="7"/>
  <c r="BI840" i="7"/>
  <c r="BI701" i="7"/>
  <c r="BI839" i="7"/>
  <c r="BI838" i="7"/>
  <c r="BI945" i="7"/>
  <c r="BI944" i="7"/>
  <c r="BI837" i="7"/>
  <c r="BI943" i="7"/>
  <c r="BI700" i="7"/>
  <c r="BI836" i="7"/>
  <c r="BI835" i="7"/>
  <c r="BI942" i="7"/>
  <c r="BI941" i="7"/>
  <c r="BI940" i="7"/>
  <c r="BI939" i="7"/>
  <c r="BI938" i="7"/>
  <c r="BI699" i="7"/>
  <c r="BI698" i="7"/>
  <c r="BI834" i="7"/>
  <c r="BI833" i="7"/>
  <c r="BI832" i="7"/>
  <c r="BI937" i="7"/>
  <c r="BI697" i="7"/>
  <c r="BI696" i="7"/>
  <c r="BI831" i="7"/>
  <c r="BI547" i="7"/>
  <c r="BI830" i="7"/>
  <c r="BI546" i="7"/>
  <c r="BI936" i="7"/>
  <c r="BI829" i="7"/>
  <c r="BI828" i="7"/>
  <c r="BI827" i="7"/>
  <c r="BI935" i="7"/>
  <c r="BI826" i="7"/>
  <c r="BI825" i="7"/>
  <c r="BI824" i="7"/>
  <c r="BI934" i="7"/>
  <c r="BI823" i="7"/>
  <c r="BI388" i="7"/>
  <c r="BI933" i="7"/>
  <c r="BI545" i="7"/>
  <c r="BI822" i="7"/>
  <c r="BI821" i="7"/>
  <c r="BI932" i="7"/>
  <c r="BI931" i="7"/>
  <c r="BI930" i="7"/>
  <c r="BI820" i="7"/>
  <c r="BI929" i="7"/>
  <c r="BI928" i="7"/>
  <c r="BI819" i="7"/>
  <c r="BI818" i="7"/>
  <c r="BI695" i="7"/>
  <c r="BI927" i="7"/>
  <c r="BI817" i="7"/>
  <c r="BI926" i="7"/>
  <c r="BI925" i="7"/>
  <c r="BI694" i="7"/>
  <c r="BI816" i="7"/>
  <c r="BI815" i="7"/>
  <c r="BI924" i="7"/>
  <c r="BI923" i="7"/>
  <c r="BI814" i="7"/>
  <c r="BI922" i="7"/>
  <c r="BI813" i="7"/>
  <c r="BI921" i="7"/>
  <c r="BI920" i="7"/>
  <c r="BI919" i="7"/>
  <c r="BI812" i="7"/>
  <c r="BI693" i="7"/>
  <c r="BI918" i="7"/>
  <c r="BI811" i="7"/>
  <c r="BI810" i="7"/>
  <c r="BI917" i="7"/>
  <c r="BI692" i="7"/>
  <c r="BI809" i="7"/>
  <c r="BI916" i="7"/>
  <c r="BI915" i="7"/>
  <c r="BI914" i="7"/>
  <c r="BI808" i="7"/>
  <c r="BI807" i="7"/>
  <c r="BI691" i="7"/>
  <c r="BI806" i="7"/>
  <c r="BI805" i="7"/>
  <c r="BI804" i="7"/>
  <c r="BI803" i="7"/>
  <c r="BI913" i="7"/>
  <c r="BI912" i="7"/>
  <c r="BI911" i="7"/>
  <c r="BI802" i="7"/>
  <c r="BI910" i="7"/>
  <c r="BI690" i="7"/>
  <c r="BI909" i="7"/>
  <c r="BI801" i="7"/>
  <c r="BI908" i="7"/>
  <c r="BI800" i="7"/>
  <c r="BI799" i="7"/>
  <c r="BI544" i="7"/>
  <c r="BI798" i="7"/>
  <c r="BI907" i="7"/>
  <c r="BI797" i="7"/>
  <c r="BI796" i="7"/>
  <c r="BI795" i="7"/>
  <c r="BI906" i="7"/>
  <c r="BI543" i="7"/>
  <c r="BI794" i="7"/>
  <c r="BI793" i="7"/>
  <c r="BI905" i="7"/>
  <c r="BI904" i="7"/>
  <c r="BI903" i="7"/>
  <c r="BI689" i="7"/>
  <c r="BI792" i="7"/>
  <c r="BI902" i="7"/>
  <c r="BI791" i="7"/>
  <c r="BI790" i="7"/>
  <c r="BI789" i="7"/>
  <c r="BI542" i="7"/>
  <c r="BI901" i="7"/>
  <c r="BI688" i="7"/>
  <c r="BI788" i="7"/>
  <c r="BI687" i="7"/>
  <c r="BI900" i="7"/>
  <c r="BI899" i="7"/>
  <c r="BI898" i="7"/>
  <c r="BI897" i="7"/>
  <c r="BI787" i="7"/>
  <c r="BI896" i="7"/>
  <c r="BI786" i="7"/>
  <c r="BI895" i="7"/>
  <c r="BI894" i="7"/>
  <c r="BI686" i="7"/>
  <c r="BI785" i="7"/>
  <c r="BI893" i="7"/>
  <c r="BI784" i="7"/>
  <c r="BI783" i="7"/>
  <c r="BI892" i="7"/>
  <c r="BI685" i="7"/>
  <c r="BI891" i="7"/>
  <c r="BI782" i="7"/>
  <c r="BI890" i="7"/>
  <c r="BI889" i="7"/>
  <c r="BI781" i="7"/>
  <c r="BI780" i="7"/>
  <c r="BI779" i="7"/>
  <c r="BI888" i="7"/>
  <c r="BI778" i="7"/>
  <c r="BI684" i="7"/>
  <c r="BI887" i="7"/>
  <c r="BI886" i="7"/>
  <c r="BI777" i="7"/>
  <c r="BI683" i="7"/>
  <c r="BI776" i="7"/>
  <c r="BI885" i="7"/>
  <c r="BI775" i="7"/>
  <c r="BI541" i="7"/>
  <c r="BI774" i="7"/>
  <c r="BI884" i="7"/>
  <c r="BI682" i="7"/>
  <c r="BI883" i="7"/>
  <c r="BI540" i="7"/>
  <c r="BI773" i="7"/>
  <c r="BI882" i="7"/>
  <c r="BI881" i="7"/>
  <c r="BI772" i="7"/>
  <c r="BI771" i="7"/>
  <c r="BI880" i="7"/>
  <c r="BI681" i="7"/>
  <c r="BI770" i="7"/>
  <c r="BI769" i="7"/>
  <c r="BI768" i="7"/>
  <c r="BI767" i="7"/>
  <c r="BI766" i="7"/>
  <c r="BI387" i="7"/>
  <c r="BI680" i="7"/>
  <c r="BI765" i="7"/>
  <c r="BI539" i="7"/>
  <c r="BI679" i="7"/>
  <c r="BI764" i="7"/>
  <c r="BI678" i="7"/>
  <c r="BI763" i="7"/>
  <c r="BI677" i="7"/>
  <c r="BI676" i="7"/>
  <c r="BI762" i="7"/>
  <c r="BI761" i="7"/>
  <c r="BI760" i="7"/>
  <c r="BI675" i="7"/>
  <c r="BI759" i="7"/>
  <c r="BI758" i="7"/>
  <c r="BI757" i="7"/>
  <c r="BI674" i="7"/>
  <c r="BI673" i="7"/>
  <c r="BI756" i="7"/>
  <c r="BI755" i="7"/>
  <c r="BI754" i="7"/>
  <c r="BI672" i="7"/>
  <c r="BI671" i="7"/>
  <c r="BI670" i="7"/>
  <c r="BI669" i="7"/>
  <c r="BI668" i="7"/>
  <c r="BI667" i="7"/>
  <c r="BI538" i="7"/>
  <c r="BI753" i="7"/>
  <c r="BI537" i="7"/>
  <c r="BI752" i="7"/>
  <c r="BI666" i="7"/>
  <c r="BI536" i="7"/>
  <c r="BI751" i="7"/>
  <c r="BI665" i="7"/>
  <c r="BI750" i="7"/>
  <c r="BI664" i="7"/>
  <c r="BI535" i="7"/>
  <c r="BI749" i="7"/>
  <c r="BI748" i="7"/>
  <c r="BI534" i="7"/>
  <c r="BI663" i="7"/>
  <c r="BI747" i="7"/>
  <c r="BI746" i="7"/>
  <c r="BI662" i="7"/>
  <c r="BI386" i="7"/>
  <c r="BI745" i="7"/>
  <c r="BI744" i="7"/>
  <c r="BI661" i="7"/>
  <c r="BI660" i="7"/>
  <c r="BI659" i="7"/>
  <c r="BI533" i="7"/>
  <c r="BI658" i="7"/>
  <c r="BI657" i="7"/>
  <c r="BI743" i="7"/>
  <c r="BI742" i="7"/>
  <c r="BI656" i="7"/>
  <c r="BI655" i="7"/>
  <c r="BI654" i="7"/>
  <c r="BI653" i="7"/>
  <c r="BI652" i="7"/>
  <c r="BI651" i="7"/>
  <c r="BI741" i="7"/>
  <c r="BI650" i="7"/>
  <c r="BI740" i="7"/>
  <c r="BI649" i="7"/>
  <c r="BI739" i="7"/>
  <c r="BI648" i="7"/>
  <c r="BI738" i="7"/>
  <c r="BI647" i="7"/>
  <c r="BI646" i="7"/>
  <c r="BI532" i="7"/>
  <c r="BI645" i="7"/>
  <c r="BI737" i="7"/>
  <c r="BI644" i="7"/>
  <c r="BI643" i="7"/>
  <c r="BI642" i="7"/>
  <c r="BI641" i="7"/>
  <c r="BI736" i="7"/>
  <c r="BI735" i="7"/>
  <c r="BI734" i="7"/>
  <c r="BI640" i="7"/>
  <c r="BI639" i="7"/>
  <c r="BI638" i="7"/>
  <c r="BI733" i="7"/>
  <c r="BI531" i="7"/>
  <c r="BI732" i="7"/>
  <c r="BI637" i="7"/>
  <c r="BI636" i="7"/>
  <c r="BI635" i="7"/>
  <c r="BI731" i="7"/>
  <c r="BI634" i="7"/>
  <c r="BI633" i="7"/>
  <c r="BI530" i="7"/>
  <c r="BI632" i="7"/>
  <c r="BI529" i="7"/>
  <c r="BI631" i="7"/>
  <c r="BI630" i="7"/>
  <c r="BI629" i="7"/>
  <c r="BI528" i="7"/>
  <c r="BI628" i="7"/>
  <c r="BI627" i="7"/>
  <c r="BI385" i="7"/>
  <c r="BI626" i="7"/>
  <c r="BI625" i="7"/>
  <c r="BI730" i="7"/>
  <c r="BI137" i="7"/>
  <c r="BI624" i="7"/>
  <c r="BI623" i="7"/>
  <c r="BI729" i="7"/>
  <c r="BI622" i="7"/>
  <c r="BI728" i="7"/>
  <c r="BI621" i="7"/>
  <c r="BI620" i="7"/>
  <c r="BI619" i="7"/>
  <c r="BI284" i="7"/>
  <c r="BI527" i="7"/>
  <c r="BI618" i="7"/>
  <c r="BI617" i="7"/>
  <c r="BI727" i="7"/>
  <c r="BI726" i="7"/>
  <c r="BI616" i="7"/>
  <c r="BI615" i="7"/>
  <c r="BI725" i="7"/>
  <c r="BI614" i="7"/>
  <c r="BI613" i="7"/>
  <c r="BI612" i="7"/>
  <c r="BI611" i="7"/>
  <c r="BI610" i="7"/>
  <c r="BI283" i="7"/>
  <c r="BI526" i="7"/>
  <c r="BI724" i="7"/>
  <c r="BI723" i="7"/>
  <c r="BI722" i="7"/>
  <c r="BI282" i="7"/>
  <c r="BI721" i="7"/>
  <c r="BI609" i="7"/>
  <c r="BI720" i="7"/>
  <c r="BI525" i="7"/>
  <c r="BI719" i="7"/>
  <c r="BI281" i="7"/>
  <c r="BI718" i="7"/>
  <c r="BI717" i="7"/>
  <c r="BI608" i="7"/>
  <c r="BI716" i="7"/>
  <c r="BI715" i="7"/>
  <c r="BI714" i="7"/>
  <c r="BI607" i="7"/>
  <c r="BI713" i="7"/>
  <c r="BI712" i="7"/>
  <c r="BI524" i="7"/>
  <c r="BI280" i="7"/>
  <c r="BI279" i="7"/>
  <c r="BI384" i="7"/>
  <c r="BI523" i="7"/>
  <c r="BI383" i="7"/>
  <c r="BI382" i="7"/>
  <c r="BI522" i="7"/>
  <c r="BI381" i="7"/>
  <c r="BI521" i="7"/>
  <c r="BI520" i="7"/>
  <c r="BI380" i="7"/>
  <c r="BI606" i="7"/>
  <c r="BI605" i="7"/>
  <c r="BI604" i="7"/>
  <c r="BI603" i="7"/>
  <c r="BI602" i="7"/>
  <c r="BI379" i="7"/>
  <c r="BI378" i="7"/>
  <c r="BI278" i="7"/>
  <c r="BI601" i="7"/>
  <c r="BI600" i="7"/>
  <c r="BI377" i="7"/>
  <c r="BI599" i="7"/>
  <c r="BI136" i="7"/>
  <c r="BI519" i="7"/>
  <c r="BI598" i="7"/>
  <c r="BI518" i="7"/>
  <c r="BI277" i="7"/>
  <c r="BI276" i="7"/>
  <c r="BI275" i="7"/>
  <c r="BI517" i="7"/>
  <c r="BI376" i="7"/>
  <c r="BI516" i="7"/>
  <c r="BI515" i="7"/>
  <c r="BI597" i="7"/>
  <c r="BI596" i="7"/>
  <c r="BI514" i="7"/>
  <c r="BI513" i="7"/>
  <c r="BI595" i="7"/>
  <c r="BI594" i="7"/>
  <c r="BI512" i="7"/>
  <c r="BI593" i="7"/>
  <c r="BI511" i="7"/>
  <c r="BI592" i="7"/>
  <c r="BI510" i="7"/>
  <c r="BI135" i="7"/>
  <c r="BI509" i="7"/>
  <c r="BI508" i="7"/>
  <c r="BI507" i="7"/>
  <c r="BI506" i="7"/>
  <c r="BI274" i="7"/>
  <c r="BI505" i="7"/>
  <c r="BI591" i="7"/>
  <c r="BI504" i="7"/>
  <c r="BI590" i="7"/>
  <c r="BI503" i="7"/>
  <c r="BI375" i="7"/>
  <c r="BI589" i="7"/>
  <c r="BI502" i="7"/>
  <c r="BI374" i="7"/>
  <c r="BI501" i="7"/>
  <c r="BI588" i="7"/>
  <c r="BI500" i="7"/>
  <c r="BI499" i="7"/>
  <c r="BI587" i="7"/>
  <c r="BI498" i="7"/>
  <c r="BI497" i="7"/>
  <c r="BI586" i="7"/>
  <c r="BI585" i="7"/>
  <c r="BI496" i="7"/>
  <c r="BI495" i="7"/>
  <c r="BI494" i="7"/>
  <c r="BI493" i="7"/>
  <c r="BI584" i="7"/>
  <c r="BI492" i="7"/>
  <c r="BI583" i="7"/>
  <c r="BI582" i="7"/>
  <c r="BI491" i="7"/>
  <c r="BI581" i="7"/>
  <c r="BI580" i="7"/>
  <c r="BI490" i="7"/>
  <c r="BI489" i="7"/>
  <c r="BI373" i="7"/>
  <c r="BI372" i="7"/>
  <c r="BI371" i="7"/>
  <c r="BI579" i="7"/>
  <c r="BI488" i="7"/>
  <c r="BI370" i="7"/>
  <c r="BI273" i="7"/>
  <c r="BI272" i="7"/>
  <c r="BI487" i="7"/>
  <c r="BI369" i="7"/>
  <c r="BI578" i="7"/>
  <c r="BI577" i="7"/>
  <c r="BI576" i="7"/>
  <c r="BI575" i="7"/>
  <c r="BI486" i="7"/>
  <c r="BI368" i="7"/>
  <c r="BI574" i="7"/>
  <c r="BI485" i="7"/>
  <c r="BI573" i="7"/>
  <c r="BI572" i="7"/>
  <c r="BI571" i="7"/>
  <c r="BI570" i="7"/>
  <c r="BI484" i="7"/>
  <c r="BI483" i="7"/>
  <c r="BI482" i="7"/>
  <c r="BI481" i="7"/>
  <c r="BI480" i="7"/>
  <c r="BI271" i="7"/>
  <c r="BI479" i="7"/>
  <c r="BI367" i="7"/>
  <c r="BI134" i="7"/>
  <c r="BI366" i="7"/>
  <c r="BI569" i="7"/>
  <c r="BI365" i="7"/>
  <c r="BI364" i="7"/>
  <c r="BI478" i="7"/>
  <c r="BI477" i="7"/>
  <c r="BI270" i="7"/>
  <c r="BI363" i="7"/>
  <c r="BI476" i="7"/>
  <c r="BI362" i="7"/>
  <c r="BI269" i="7"/>
  <c r="BI568" i="7"/>
  <c r="BI475" i="7"/>
  <c r="BI474" i="7"/>
  <c r="BI567" i="7"/>
  <c r="BI361" i="7"/>
  <c r="BI360" i="7"/>
  <c r="BI359" i="7"/>
  <c r="BI358" i="7"/>
  <c r="BI357" i="7"/>
  <c r="BI473" i="7"/>
  <c r="BI472" i="7"/>
  <c r="BI471" i="7"/>
  <c r="BI470" i="7"/>
  <c r="BI469" i="7"/>
  <c r="BI468" i="7"/>
  <c r="BI268" i="7"/>
  <c r="BI467" i="7"/>
  <c r="BI466" i="7"/>
  <c r="BI465" i="7"/>
  <c r="BI356" i="7"/>
  <c r="BI464" i="7"/>
  <c r="BI355" i="7"/>
  <c r="BI133" i="7"/>
  <c r="BI566" i="7"/>
  <c r="BI565" i="7"/>
  <c r="BI463" i="7"/>
  <c r="BI354" i="7"/>
  <c r="BI462" i="7"/>
  <c r="BI564" i="7"/>
  <c r="BI461" i="7"/>
  <c r="BI353" i="7"/>
  <c r="BI460" i="7"/>
  <c r="BI459" i="7"/>
  <c r="BI352" i="7"/>
  <c r="BI458" i="7"/>
  <c r="BI132" i="7"/>
  <c r="BI457" i="7"/>
  <c r="BI456" i="7"/>
  <c r="BI563" i="7"/>
  <c r="BI562" i="7"/>
  <c r="BI455" i="7"/>
  <c r="BI454" i="7"/>
  <c r="BI453" i="7"/>
  <c r="BI561" i="7"/>
  <c r="BI452" i="7"/>
  <c r="BI451" i="7"/>
  <c r="BI267" i="7"/>
  <c r="BI450" i="7"/>
  <c r="BI449" i="7"/>
  <c r="BI351" i="7"/>
  <c r="BI560" i="7"/>
  <c r="BI559" i="7"/>
  <c r="BI448" i="7"/>
  <c r="BI350" i="7"/>
  <c r="BI447" i="7"/>
  <c r="BI558" i="7"/>
  <c r="BI557" i="7"/>
  <c r="BI556" i="7"/>
  <c r="BI555" i="7"/>
  <c r="BI554" i="7"/>
  <c r="BI266" i="7"/>
  <c r="BI553" i="7"/>
  <c r="BI265" i="7"/>
  <c r="BI552" i="7"/>
  <c r="BI446" i="7"/>
  <c r="BI551" i="7"/>
  <c r="BI445" i="7"/>
  <c r="BI444" i="7"/>
  <c r="BI550" i="7"/>
  <c r="BI443" i="7"/>
  <c r="BI442" i="7"/>
  <c r="BI441" i="7"/>
  <c r="BI349" i="7"/>
  <c r="BI549" i="7"/>
  <c r="BI440" i="7"/>
  <c r="BI264" i="7"/>
  <c r="BI348" i="7"/>
  <c r="BI347" i="7"/>
  <c r="BI439" i="7"/>
  <c r="BI346" i="7"/>
  <c r="BI345" i="7"/>
  <c r="BI344" i="7"/>
  <c r="BI438" i="7"/>
  <c r="BI343" i="7"/>
  <c r="BI342" i="7"/>
  <c r="BI341" i="7"/>
  <c r="BI263" i="7"/>
  <c r="BI340" i="7"/>
  <c r="BI437" i="7"/>
  <c r="BI339" i="7"/>
  <c r="BI436" i="7"/>
  <c r="BI435" i="7"/>
  <c r="BI434" i="7"/>
  <c r="BI131" i="7"/>
  <c r="BI262" i="7"/>
  <c r="BI261" i="7"/>
  <c r="BI433" i="7"/>
  <c r="BI260" i="7"/>
  <c r="BI432" i="7"/>
  <c r="BI130" i="7"/>
  <c r="BI431" i="7"/>
  <c r="BI430" i="7"/>
  <c r="BI338" i="7"/>
  <c r="BI337" i="7"/>
  <c r="BI429" i="7"/>
  <c r="BI336" i="7"/>
  <c r="BI335" i="7"/>
  <c r="BI129" i="7"/>
  <c r="BI428" i="7"/>
  <c r="BI128" i="7"/>
  <c r="BI127" i="7"/>
  <c r="BI334" i="7"/>
  <c r="BI259" i="7"/>
  <c r="BI427" i="7"/>
  <c r="BI126" i="7"/>
  <c r="BI426" i="7"/>
  <c r="BI425" i="7"/>
  <c r="BI424" i="7"/>
  <c r="BI333" i="7"/>
  <c r="BI332" i="7"/>
  <c r="BI258" i="7"/>
  <c r="BI331" i="7"/>
  <c r="BI423" i="7"/>
  <c r="BI422" i="7"/>
  <c r="BI421" i="7"/>
  <c r="BI420" i="7"/>
  <c r="BI419" i="7"/>
  <c r="BI418" i="7"/>
  <c r="BI417" i="7"/>
  <c r="BI257" i="7"/>
  <c r="BI416" i="7"/>
  <c r="BI330" i="7"/>
  <c r="BI329" i="7"/>
  <c r="BI125" i="7"/>
  <c r="BI256" i="7"/>
  <c r="BI415" i="7"/>
  <c r="BI414" i="7"/>
  <c r="BI413" i="7"/>
  <c r="BI255" i="7"/>
  <c r="BI412" i="7"/>
  <c r="BI254" i="7"/>
  <c r="BI328" i="7"/>
  <c r="BI411" i="7"/>
  <c r="BI410" i="7"/>
  <c r="BI327" i="7"/>
  <c r="BI124" i="7"/>
  <c r="BI253" i="7"/>
  <c r="BI326" i="7"/>
  <c r="BI325" i="7"/>
  <c r="BI123" i="7"/>
  <c r="BI409" i="7"/>
  <c r="BI252" i="7"/>
  <c r="BI251" i="7"/>
  <c r="BI250" i="7"/>
  <c r="BI324" i="7"/>
  <c r="BI323" i="7"/>
  <c r="BI322" i="7"/>
  <c r="BI249" i="7"/>
  <c r="BI408" i="7"/>
  <c r="BI122" i="7"/>
  <c r="BI407" i="7"/>
  <c r="BI406" i="7"/>
  <c r="BI248" i="7"/>
  <c r="BI321" i="7"/>
  <c r="BI405" i="7"/>
  <c r="BI247" i="7"/>
  <c r="BI320" i="7"/>
  <c r="BI404" i="7"/>
  <c r="BI246" i="7"/>
  <c r="BI319" i="7"/>
  <c r="BI318" i="7"/>
  <c r="BI317" i="7"/>
  <c r="BI403" i="7"/>
  <c r="BI316" i="7"/>
  <c r="BI245" i="7"/>
  <c r="BI402" i="7"/>
  <c r="BI315" i="7"/>
  <c r="BI314" i="7"/>
  <c r="BI313" i="7"/>
  <c r="BI401" i="7"/>
  <c r="BI400" i="7"/>
  <c r="BI399" i="7"/>
  <c r="BI312" i="7"/>
  <c r="BI398" i="7"/>
  <c r="BI397" i="7"/>
  <c r="BI396" i="7"/>
  <c r="BI395" i="7"/>
  <c r="BI394" i="7"/>
  <c r="BI311" i="7"/>
  <c r="BI393" i="7"/>
  <c r="BI392" i="7"/>
  <c r="BI391" i="7"/>
  <c r="BI244" i="7"/>
  <c r="BI310" i="7"/>
  <c r="BI243" i="7"/>
  <c r="BI309" i="7"/>
  <c r="BI242" i="7"/>
  <c r="BI308" i="7"/>
  <c r="BI241" i="7"/>
  <c r="BI240" i="7"/>
  <c r="BI121" i="7"/>
  <c r="BI239" i="7"/>
  <c r="BI238" i="7"/>
  <c r="BI307" i="7"/>
  <c r="BI237" i="7"/>
  <c r="BI236" i="7"/>
  <c r="BI235" i="7"/>
  <c r="BI306" i="7"/>
  <c r="BI234" i="7"/>
  <c r="BI233" i="7"/>
  <c r="BI232" i="7"/>
  <c r="BI305" i="7"/>
  <c r="BI120" i="7"/>
  <c r="BI119" i="7"/>
  <c r="BI118" i="7"/>
  <c r="BI117" i="7"/>
  <c r="BI231" i="7"/>
  <c r="BI230" i="7"/>
  <c r="BI229" i="7"/>
  <c r="BI304" i="7"/>
  <c r="BI303" i="7"/>
  <c r="BI228" i="7"/>
  <c r="BI116" i="7"/>
  <c r="BI302" i="7"/>
  <c r="BI115" i="7"/>
  <c r="BI114" i="7"/>
  <c r="BI227" i="7"/>
  <c r="BI301" i="7"/>
  <c r="BI226" i="7"/>
  <c r="BI225" i="7"/>
  <c r="BI300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113" i="7"/>
  <c r="BI299" i="7"/>
  <c r="BI212" i="7"/>
  <c r="BI112" i="7"/>
  <c r="BI211" i="7"/>
  <c r="BI210" i="7"/>
  <c r="BI111" i="7"/>
  <c r="BI298" i="7"/>
  <c r="BI209" i="7"/>
  <c r="BI297" i="7"/>
  <c r="BI296" i="7"/>
  <c r="BI295" i="7"/>
  <c r="BI208" i="7"/>
  <c r="BI207" i="7"/>
  <c r="BI294" i="7"/>
  <c r="BI110" i="7"/>
  <c r="BI206" i="7"/>
  <c r="BI205" i="7"/>
  <c r="BI293" i="7"/>
  <c r="BI204" i="7"/>
  <c r="BI109" i="7"/>
  <c r="BI292" i="7"/>
  <c r="BI291" i="7"/>
  <c r="BI203" i="7"/>
  <c r="BI108" i="7"/>
  <c r="BI290" i="7"/>
  <c r="BI289" i="7"/>
  <c r="BI202" i="7"/>
  <c r="BI201" i="7"/>
  <c r="BI200" i="7"/>
  <c r="BI199" i="7"/>
  <c r="BI288" i="7"/>
  <c r="BI198" i="7"/>
  <c r="BI197" i="7"/>
  <c r="BI196" i="7"/>
  <c r="BI107" i="7"/>
  <c r="BI287" i="7"/>
  <c r="BI195" i="7"/>
  <c r="BI194" i="7"/>
  <c r="BI193" i="7"/>
  <c r="BI192" i="7"/>
  <c r="BI191" i="7"/>
  <c r="BI190" i="7"/>
  <c r="BI106" i="7"/>
  <c r="BI105" i="7"/>
  <c r="BI189" i="7"/>
  <c r="BI188" i="7"/>
  <c r="BI187" i="7"/>
  <c r="BI186" i="7"/>
  <c r="BI104" i="7"/>
  <c r="BI185" i="7"/>
  <c r="BI103" i="7"/>
  <c r="BI102" i="7"/>
  <c r="BI101" i="7"/>
  <c r="BI100" i="7"/>
  <c r="BI99" i="7"/>
  <c r="BI98" i="7"/>
  <c r="BI97" i="7"/>
  <c r="BI96" i="7"/>
  <c r="BI184" i="7"/>
  <c r="BI95" i="7"/>
  <c r="BI94" i="7"/>
  <c r="BI93" i="7"/>
  <c r="BI92" i="7"/>
  <c r="BI183" i="7"/>
  <c r="BI182" i="7"/>
  <c r="BI91" i="7"/>
  <c r="BI181" i="7"/>
  <c r="BI180" i="7"/>
  <c r="BI90" i="7"/>
  <c r="BI89" i="7"/>
  <c r="BI88" i="7"/>
  <c r="BI87" i="7"/>
  <c r="BI179" i="7"/>
  <c r="BI178" i="7"/>
  <c r="BI86" i="7"/>
  <c r="BI85" i="7"/>
  <c r="BI84" i="7"/>
  <c r="BI177" i="7"/>
  <c r="BI83" i="7"/>
  <c r="BI176" i="7"/>
  <c r="BI175" i="7"/>
  <c r="BI82" i="7"/>
  <c r="BI81" i="7"/>
  <c r="BI174" i="7"/>
  <c r="BI80" i="7"/>
  <c r="BI79" i="7"/>
  <c r="BI173" i="7"/>
  <c r="BI78" i="7"/>
  <c r="BI172" i="7"/>
  <c r="BI77" i="7"/>
  <c r="BI171" i="7"/>
  <c r="BI170" i="7"/>
  <c r="BI169" i="7"/>
  <c r="BI76" i="7"/>
  <c r="BI168" i="7"/>
  <c r="BI75" i="7"/>
  <c r="BI74" i="7"/>
  <c r="BI73" i="7"/>
  <c r="BI72" i="7"/>
  <c r="BI71" i="7"/>
  <c r="BI167" i="7"/>
  <c r="BI166" i="7"/>
  <c r="BI165" i="7"/>
  <c r="BI70" i="7"/>
  <c r="BI69" i="7"/>
  <c r="BI68" i="7"/>
  <c r="BI164" i="7"/>
  <c r="BI163" i="7"/>
  <c r="BI162" i="7"/>
  <c r="BI67" i="7"/>
  <c r="BI66" i="7"/>
  <c r="BI161" i="7"/>
  <c r="BI160" i="7"/>
  <c r="BI159" i="7"/>
  <c r="BI65" i="7"/>
  <c r="BI158" i="7"/>
  <c r="BI64" i="7"/>
  <c r="BI63" i="7"/>
  <c r="BI62" i="7"/>
  <c r="BI61" i="7"/>
  <c r="BI60" i="7"/>
  <c r="BI157" i="7"/>
  <c r="BI156" i="7"/>
  <c r="BI59" i="7"/>
  <c r="BI58" i="7"/>
  <c r="BI57" i="7"/>
  <c r="BI56" i="7"/>
  <c r="BI155" i="7"/>
  <c r="BI154" i="7"/>
  <c r="BI153" i="7"/>
  <c r="BI152" i="7"/>
  <c r="BI55" i="7"/>
  <c r="BI54" i="7"/>
  <c r="BI151" i="7"/>
  <c r="BI53" i="7"/>
  <c r="BI150" i="7"/>
  <c r="BI52" i="7"/>
  <c r="BI51" i="7"/>
  <c r="BI149" i="7"/>
  <c r="BI50" i="7"/>
  <c r="BI148" i="7"/>
  <c r="BI49" i="7"/>
  <c r="BI147" i="7"/>
  <c r="BI146" i="7"/>
  <c r="BI145" i="7"/>
  <c r="BI144" i="7"/>
  <c r="BI143" i="7"/>
  <c r="BI142" i="7"/>
  <c r="BI141" i="7"/>
  <c r="BI140" i="7"/>
  <c r="BI48" i="7"/>
  <c r="BI3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S59" i="15"/>
  <c r="S63" i="15"/>
  <c r="S61" i="15"/>
  <c r="S58" i="15"/>
  <c r="S54" i="15"/>
  <c r="S56" i="15"/>
  <c r="S52" i="15"/>
  <c r="S53" i="15"/>
  <c r="S43" i="15"/>
  <c r="S47" i="15"/>
  <c r="S40" i="15"/>
  <c r="S42" i="15"/>
  <c r="S41" i="15"/>
  <c r="S39" i="15"/>
  <c r="S33" i="15"/>
  <c r="S37" i="15"/>
  <c r="S35" i="15"/>
  <c r="S38" i="15"/>
  <c r="S34" i="15"/>
  <c r="AI55" i="3"/>
  <c r="AH55" i="3"/>
  <c r="AG55" i="3"/>
  <c r="AF55" i="3"/>
  <c r="I81" i="4" s="1"/>
  <c r="AE55" i="3"/>
  <c r="AD55" i="3"/>
  <c r="AC55" i="3"/>
  <c r="AB55" i="3"/>
  <c r="AA55" i="3"/>
  <c r="Z55" i="3"/>
  <c r="P81" i="4" s="1"/>
  <c r="Y55" i="3"/>
  <c r="O81" i="4" s="1"/>
  <c r="X55" i="3"/>
  <c r="N81" i="4" s="1"/>
  <c r="W55" i="3"/>
  <c r="V55" i="3"/>
  <c r="U55" i="3"/>
  <c r="T55" i="3"/>
  <c r="S55" i="3"/>
  <c r="R55" i="3"/>
  <c r="Q55" i="3"/>
  <c r="P55" i="3"/>
  <c r="M81" i="4" s="1"/>
  <c r="O55" i="3"/>
  <c r="N55" i="3"/>
  <c r="M55" i="3"/>
  <c r="L55" i="3"/>
  <c r="L81" i="4" s="1"/>
  <c r="K55" i="3"/>
  <c r="K81" i="4" s="1"/>
  <c r="J55" i="3"/>
  <c r="I55" i="3"/>
  <c r="F81" i="4" s="1"/>
  <c r="H55" i="3"/>
  <c r="G55" i="3"/>
  <c r="F55" i="3"/>
  <c r="E55" i="3"/>
  <c r="D55" i="3"/>
  <c r="AI54" i="3"/>
  <c r="AH54" i="3"/>
  <c r="AG54" i="3"/>
  <c r="AF54" i="3"/>
  <c r="AE54" i="3"/>
  <c r="AD54" i="3"/>
  <c r="AC54" i="3"/>
  <c r="AB54" i="3"/>
  <c r="AA54" i="3"/>
  <c r="G80" i="4" s="1"/>
  <c r="Z54" i="3"/>
  <c r="P80" i="4" s="1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L80" i="4" s="1"/>
  <c r="K54" i="3"/>
  <c r="K80" i="4" s="1"/>
  <c r="J54" i="3"/>
  <c r="I54" i="3"/>
  <c r="F80" i="4" s="1"/>
  <c r="H54" i="3"/>
  <c r="G54" i="3"/>
  <c r="F54" i="3"/>
  <c r="E54" i="3"/>
  <c r="D80" i="4" s="1"/>
  <c r="D54" i="3"/>
  <c r="AI53" i="3"/>
  <c r="AH53" i="3"/>
  <c r="AG53" i="3"/>
  <c r="AF53" i="3"/>
  <c r="I79" i="4" s="1"/>
  <c r="AE53" i="3"/>
  <c r="AD53" i="3"/>
  <c r="AC53" i="3"/>
  <c r="AB53" i="3"/>
  <c r="AA53" i="3"/>
  <c r="Z53" i="3"/>
  <c r="P79" i="4" s="1"/>
  <c r="Y53" i="3"/>
  <c r="X53" i="3"/>
  <c r="N79" i="4" s="1"/>
  <c r="W53" i="3"/>
  <c r="V53" i="3"/>
  <c r="U53" i="3"/>
  <c r="T53" i="3"/>
  <c r="S53" i="3"/>
  <c r="R53" i="3"/>
  <c r="Q53" i="3"/>
  <c r="P53" i="3"/>
  <c r="M79" i="4" s="1"/>
  <c r="O53" i="3"/>
  <c r="N53" i="3"/>
  <c r="M53" i="3"/>
  <c r="L53" i="3"/>
  <c r="L79" i="4" s="1"/>
  <c r="K53" i="3"/>
  <c r="J53" i="3"/>
  <c r="I53" i="3"/>
  <c r="F79" i="4" s="1"/>
  <c r="H53" i="3"/>
  <c r="G53" i="3"/>
  <c r="F53" i="3"/>
  <c r="E53" i="3"/>
  <c r="D53" i="3"/>
  <c r="AI52" i="3"/>
  <c r="AH52" i="3"/>
  <c r="AG52" i="3"/>
  <c r="AF52" i="3"/>
  <c r="I78" i="4" s="1"/>
  <c r="AE52" i="3"/>
  <c r="AD52" i="3"/>
  <c r="AC52" i="3"/>
  <c r="AB52" i="3"/>
  <c r="AA52" i="3"/>
  <c r="Z52" i="3"/>
  <c r="P78" i="4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O52" i="3"/>
  <c r="N52" i="3"/>
  <c r="M52" i="3"/>
  <c r="L52" i="3"/>
  <c r="L78" i="4" s="1"/>
  <c r="K52" i="3"/>
  <c r="J52" i="3"/>
  <c r="J78" i="4" s="1"/>
  <c r="I52" i="3"/>
  <c r="H52" i="3"/>
  <c r="G52" i="3"/>
  <c r="F52" i="3"/>
  <c r="E52" i="3"/>
  <c r="D78" i="4" s="1"/>
  <c r="D52" i="3"/>
  <c r="AI51" i="3"/>
  <c r="AH51" i="3"/>
  <c r="AG51" i="3"/>
  <c r="AF51" i="3"/>
  <c r="I77" i="4" s="1"/>
  <c r="AE51" i="3"/>
  <c r="AD51" i="3"/>
  <c r="AC51" i="3"/>
  <c r="AB51" i="3"/>
  <c r="AA51" i="3"/>
  <c r="G77" i="4" s="1"/>
  <c r="Z51" i="3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K77" i="4" s="1"/>
  <c r="J51" i="3"/>
  <c r="I51" i="3"/>
  <c r="F77" i="4" s="1"/>
  <c r="H51" i="3"/>
  <c r="G51" i="3"/>
  <c r="F51" i="3"/>
  <c r="E51" i="3"/>
  <c r="D77" i="4" s="1"/>
  <c r="D51" i="3"/>
  <c r="AI50" i="3"/>
  <c r="AH50" i="3"/>
  <c r="AG50" i="3"/>
  <c r="AF50" i="3"/>
  <c r="AE50" i="3"/>
  <c r="AD50" i="3"/>
  <c r="AC50" i="3"/>
  <c r="AB50" i="3"/>
  <c r="AA50" i="3"/>
  <c r="Z50" i="3"/>
  <c r="Y50" i="3"/>
  <c r="O76" i="4" s="1"/>
  <c r="X50" i="3"/>
  <c r="N76" i="4" s="1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L76" i="4" s="1"/>
  <c r="K50" i="3"/>
  <c r="J50" i="3"/>
  <c r="J76" i="4" s="1"/>
  <c r="I50" i="3"/>
  <c r="H50" i="3"/>
  <c r="G50" i="3"/>
  <c r="F50" i="3"/>
  <c r="E50" i="3"/>
  <c r="D50" i="3"/>
  <c r="AI49" i="3"/>
  <c r="AH49" i="3"/>
  <c r="AG49" i="3"/>
  <c r="AF49" i="3"/>
  <c r="I75" i="4" s="1"/>
  <c r="AE49" i="3"/>
  <c r="AD49" i="3"/>
  <c r="AC49" i="3"/>
  <c r="AB49" i="3"/>
  <c r="AA49" i="3"/>
  <c r="G75" i="4" s="1"/>
  <c r="Z49" i="3"/>
  <c r="P75" i="4" s="1"/>
  <c r="Y49" i="3"/>
  <c r="O75" i="4" s="1"/>
  <c r="X49" i="3"/>
  <c r="N75" i="4" s="1"/>
  <c r="W49" i="3"/>
  <c r="V49" i="3"/>
  <c r="U49" i="3"/>
  <c r="T49" i="3"/>
  <c r="S49" i="3"/>
  <c r="R49" i="3"/>
  <c r="Q49" i="3"/>
  <c r="P49" i="3"/>
  <c r="M75" i="4" s="1"/>
  <c r="O49" i="3"/>
  <c r="N49" i="3"/>
  <c r="M49" i="3"/>
  <c r="L49" i="3"/>
  <c r="L75" i="4" s="1"/>
  <c r="L64" i="15" s="1"/>
  <c r="K49" i="3"/>
  <c r="J49" i="3"/>
  <c r="I49" i="3"/>
  <c r="F75" i="4" s="1"/>
  <c r="F64" i="15" s="1"/>
  <c r="H49" i="3"/>
  <c r="G49" i="3"/>
  <c r="F49" i="3"/>
  <c r="E49" i="3"/>
  <c r="D75" i="4" s="1"/>
  <c r="D49" i="3"/>
  <c r="AI48" i="3"/>
  <c r="AH48" i="3"/>
  <c r="AG48" i="3"/>
  <c r="AF48" i="3"/>
  <c r="AE48" i="3"/>
  <c r="AD48" i="3"/>
  <c r="AC48" i="3"/>
  <c r="AB48" i="3"/>
  <c r="AA48" i="3"/>
  <c r="Z48" i="3"/>
  <c r="P74" i="4" s="1"/>
  <c r="Y48" i="3"/>
  <c r="X48" i="3"/>
  <c r="N74" i="4" s="1"/>
  <c r="W48" i="3"/>
  <c r="V48" i="3"/>
  <c r="U48" i="3"/>
  <c r="T48" i="3"/>
  <c r="S48" i="3"/>
  <c r="R48" i="3"/>
  <c r="Q48" i="3"/>
  <c r="P48" i="3"/>
  <c r="O48" i="3"/>
  <c r="N48" i="3"/>
  <c r="M48" i="3"/>
  <c r="L48" i="3"/>
  <c r="L74" i="4" s="1"/>
  <c r="K48" i="3"/>
  <c r="K74" i="4" s="1"/>
  <c r="J48" i="3"/>
  <c r="J74" i="4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Z47" i="3"/>
  <c r="P73" i="4" s="1"/>
  <c r="Y47" i="3"/>
  <c r="X47" i="3"/>
  <c r="N73" i="4" s="1"/>
  <c r="N63" i="15" s="1"/>
  <c r="W47" i="3"/>
  <c r="V47" i="3"/>
  <c r="U47" i="3"/>
  <c r="T47" i="3"/>
  <c r="S47" i="3"/>
  <c r="R47" i="3"/>
  <c r="Q47" i="3"/>
  <c r="P47" i="3"/>
  <c r="M73" i="4" s="1"/>
  <c r="O47" i="3"/>
  <c r="N47" i="3"/>
  <c r="M47" i="3"/>
  <c r="L47" i="3"/>
  <c r="L73" i="4" s="1"/>
  <c r="K47" i="3"/>
  <c r="K73" i="4" s="1"/>
  <c r="J47" i="3"/>
  <c r="I47" i="3"/>
  <c r="F73" i="4" s="1"/>
  <c r="F63" i="15" s="1"/>
  <c r="H47" i="3"/>
  <c r="G47" i="3"/>
  <c r="F47" i="3"/>
  <c r="E47" i="3"/>
  <c r="D73" i="4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Z46" i="3"/>
  <c r="P72" i="4" s="1"/>
  <c r="Y46" i="3"/>
  <c r="O72" i="4" s="1"/>
  <c r="X46" i="3"/>
  <c r="N72" i="4" s="1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L72" i="4" s="1"/>
  <c r="K46" i="3"/>
  <c r="J46" i="3"/>
  <c r="J72" i="4" s="1"/>
  <c r="J62" i="15" s="1"/>
  <c r="I46" i="3"/>
  <c r="F72" i="4" s="1"/>
  <c r="F62" i="15" s="1"/>
  <c r="H46" i="3"/>
  <c r="G46" i="3"/>
  <c r="F46" i="3"/>
  <c r="E46" i="3"/>
  <c r="D46" i="3"/>
  <c r="AI45" i="3"/>
  <c r="AH45" i="3"/>
  <c r="AG45" i="3"/>
  <c r="AF45" i="3"/>
  <c r="I71" i="4" s="1"/>
  <c r="AE45" i="3"/>
  <c r="AD45" i="3"/>
  <c r="AC45" i="3"/>
  <c r="AB45" i="3"/>
  <c r="AA45" i="3"/>
  <c r="G71" i="4" s="1"/>
  <c r="Z45" i="3"/>
  <c r="Y45" i="3"/>
  <c r="X45" i="3"/>
  <c r="N71" i="4" s="1"/>
  <c r="N61" i="15" s="1"/>
  <c r="W45" i="3"/>
  <c r="V45" i="3"/>
  <c r="U45" i="3"/>
  <c r="T45" i="3"/>
  <c r="S45" i="3"/>
  <c r="R45" i="3"/>
  <c r="Q45" i="3"/>
  <c r="P45" i="3"/>
  <c r="M71" i="4" s="1"/>
  <c r="O45" i="3"/>
  <c r="N45" i="3"/>
  <c r="M45" i="3"/>
  <c r="L45" i="3"/>
  <c r="K45" i="3"/>
  <c r="K71" i="4" s="1"/>
  <c r="K61" i="15" s="1"/>
  <c r="J45" i="3"/>
  <c r="J71" i="4" s="1"/>
  <c r="I45" i="3"/>
  <c r="F71" i="4" s="1"/>
  <c r="H45" i="3"/>
  <c r="G45" i="3"/>
  <c r="F45" i="3"/>
  <c r="E45" i="3"/>
  <c r="D71" i="4" s="1"/>
  <c r="D45" i="3"/>
  <c r="AI44" i="3"/>
  <c r="AH44" i="3"/>
  <c r="AG44" i="3"/>
  <c r="AF44" i="3"/>
  <c r="I70" i="4" s="1"/>
  <c r="AE44" i="3"/>
  <c r="AD44" i="3"/>
  <c r="AC44" i="3"/>
  <c r="AB44" i="3"/>
  <c r="AA44" i="3"/>
  <c r="Z44" i="3"/>
  <c r="Y44" i="3"/>
  <c r="O70" i="4" s="1"/>
  <c r="X44" i="3"/>
  <c r="N70" i="4" s="1"/>
  <c r="W44" i="3"/>
  <c r="V44" i="3"/>
  <c r="U44" i="3"/>
  <c r="T44" i="3"/>
  <c r="S44" i="3"/>
  <c r="R44" i="3"/>
  <c r="Q44" i="3"/>
  <c r="P44" i="3"/>
  <c r="O44" i="3"/>
  <c r="N44" i="3"/>
  <c r="M44" i="3"/>
  <c r="L44" i="3"/>
  <c r="L70" i="4" s="1"/>
  <c r="K44" i="3"/>
  <c r="K70" i="4" s="1"/>
  <c r="J44" i="3"/>
  <c r="I44" i="3"/>
  <c r="H44" i="3"/>
  <c r="G44" i="3"/>
  <c r="F44" i="3"/>
  <c r="E44" i="3"/>
  <c r="D44" i="3"/>
  <c r="AI43" i="3"/>
  <c r="AH43" i="3"/>
  <c r="AG43" i="3"/>
  <c r="AF43" i="3"/>
  <c r="I69" i="4" s="1"/>
  <c r="AE43" i="3"/>
  <c r="AD43" i="3"/>
  <c r="AC43" i="3"/>
  <c r="AB43" i="3"/>
  <c r="AA43" i="3"/>
  <c r="G69" i="4" s="1"/>
  <c r="Z43" i="3"/>
  <c r="Y43" i="3"/>
  <c r="X43" i="3"/>
  <c r="N69" i="4" s="1"/>
  <c r="W43" i="3"/>
  <c r="V43" i="3"/>
  <c r="U43" i="3"/>
  <c r="T43" i="3"/>
  <c r="S43" i="3"/>
  <c r="R43" i="3"/>
  <c r="Q43" i="3"/>
  <c r="P43" i="3"/>
  <c r="M69" i="4" s="1"/>
  <c r="O43" i="3"/>
  <c r="N43" i="3"/>
  <c r="M43" i="3"/>
  <c r="L43" i="3"/>
  <c r="L69" i="4" s="1"/>
  <c r="K43" i="3"/>
  <c r="J43" i="3"/>
  <c r="I43" i="3"/>
  <c r="F69" i="4" s="1"/>
  <c r="H43" i="3"/>
  <c r="G43" i="3"/>
  <c r="F43" i="3"/>
  <c r="E43" i="3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G68" i="4" s="1"/>
  <c r="Z42" i="3"/>
  <c r="P68" i="4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L68" i="4" s="1"/>
  <c r="K42" i="3"/>
  <c r="J42" i="3"/>
  <c r="J68" i="4" s="1"/>
  <c r="I42" i="3"/>
  <c r="F68" i="4" s="1"/>
  <c r="F59" i="15" s="1"/>
  <c r="H42" i="3"/>
  <c r="G42" i="3"/>
  <c r="F42" i="3"/>
  <c r="E42" i="3"/>
  <c r="D68" i="4" s="1"/>
  <c r="D42" i="3"/>
  <c r="AI41" i="3"/>
  <c r="AH41" i="3"/>
  <c r="AG41" i="3"/>
  <c r="AF41" i="3"/>
  <c r="I67" i="4" s="1"/>
  <c r="AE41" i="3"/>
  <c r="AD41" i="3"/>
  <c r="AC41" i="3"/>
  <c r="AB41" i="3"/>
  <c r="AA41" i="3"/>
  <c r="Z41" i="3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M67" i="4" s="1"/>
  <c r="O41" i="3"/>
  <c r="N41" i="3"/>
  <c r="M41" i="3"/>
  <c r="L41" i="3"/>
  <c r="K41" i="3"/>
  <c r="K67" i="4" s="1"/>
  <c r="J41" i="3"/>
  <c r="I41" i="3"/>
  <c r="F67" i="4" s="1"/>
  <c r="H41" i="3"/>
  <c r="G41" i="3"/>
  <c r="F41" i="3"/>
  <c r="E41" i="3"/>
  <c r="D41" i="3"/>
  <c r="AI40" i="3"/>
  <c r="AH40" i="3"/>
  <c r="AG40" i="3"/>
  <c r="AF40" i="3"/>
  <c r="AE40" i="3"/>
  <c r="AD40" i="3"/>
  <c r="AC40" i="3"/>
  <c r="AB40" i="3"/>
  <c r="AA40" i="3"/>
  <c r="G66" i="4" s="1"/>
  <c r="Z40" i="3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L66" i="4" s="1"/>
  <c r="K40" i="3"/>
  <c r="J40" i="3"/>
  <c r="I40" i="3"/>
  <c r="H40" i="3"/>
  <c r="G40" i="3"/>
  <c r="F40" i="3"/>
  <c r="E40" i="3"/>
  <c r="D66" i="4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Z39" i="3"/>
  <c r="Y39" i="3"/>
  <c r="O65" i="4" s="1"/>
  <c r="O56" i="15" s="1"/>
  <c r="X39" i="3"/>
  <c r="N65" i="4" s="1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K65" i="4" s="1"/>
  <c r="J39" i="3"/>
  <c r="I39" i="3"/>
  <c r="H39" i="3"/>
  <c r="G39" i="3"/>
  <c r="F39" i="3"/>
  <c r="E39" i="3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P64" i="4" s="1"/>
  <c r="Y38" i="3"/>
  <c r="O64" i="4" s="1"/>
  <c r="O55" i="15" s="1"/>
  <c r="X38" i="3"/>
  <c r="N64" i="4" s="1"/>
  <c r="W38" i="3"/>
  <c r="V38" i="3"/>
  <c r="U38" i="3"/>
  <c r="T38" i="3"/>
  <c r="S38" i="3"/>
  <c r="R38" i="3"/>
  <c r="Q38" i="3"/>
  <c r="P38" i="3"/>
  <c r="M64" i="4" s="1"/>
  <c r="O38" i="3"/>
  <c r="N38" i="3"/>
  <c r="M38" i="3"/>
  <c r="L38" i="3"/>
  <c r="L64" i="4" s="1"/>
  <c r="L55" i="15" s="1"/>
  <c r="K38" i="3"/>
  <c r="J38" i="3"/>
  <c r="J64" i="4" s="1"/>
  <c r="J55" i="15" s="1"/>
  <c r="I38" i="3"/>
  <c r="H38" i="3"/>
  <c r="G38" i="3"/>
  <c r="F38" i="3"/>
  <c r="E38" i="3"/>
  <c r="D64" i="4" s="1"/>
  <c r="D38" i="3"/>
  <c r="AI37" i="3"/>
  <c r="AH37" i="3"/>
  <c r="AG37" i="3"/>
  <c r="AF37" i="3"/>
  <c r="I63" i="4" s="1"/>
  <c r="AE37" i="3"/>
  <c r="AD37" i="3"/>
  <c r="AC37" i="3"/>
  <c r="AB37" i="3"/>
  <c r="AA37" i="3"/>
  <c r="G63" i="4" s="1"/>
  <c r="Z37" i="3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M63" i="4" s="1"/>
  <c r="O37" i="3"/>
  <c r="N37" i="3"/>
  <c r="M37" i="3"/>
  <c r="L37" i="3"/>
  <c r="L63" i="4" s="1"/>
  <c r="K37" i="3"/>
  <c r="J37" i="3"/>
  <c r="J63" i="4" s="1"/>
  <c r="J54" i="15" s="1"/>
  <c r="I37" i="3"/>
  <c r="H37" i="3"/>
  <c r="G37" i="3"/>
  <c r="F37" i="3"/>
  <c r="E37" i="3"/>
  <c r="D37" i="3"/>
  <c r="AI36" i="3"/>
  <c r="AH36" i="3"/>
  <c r="AG36" i="3"/>
  <c r="AF36" i="3"/>
  <c r="I62" i="4" s="1"/>
  <c r="AE36" i="3"/>
  <c r="AD36" i="3"/>
  <c r="AC36" i="3"/>
  <c r="AB36" i="3"/>
  <c r="AA36" i="3"/>
  <c r="Z36" i="3"/>
  <c r="P62" i="4" s="1"/>
  <c r="Y36" i="3"/>
  <c r="O62" i="4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L62" i="4" s="1"/>
  <c r="K36" i="3"/>
  <c r="J36" i="3"/>
  <c r="J62" i="4" s="1"/>
  <c r="I36" i="3"/>
  <c r="H36" i="3"/>
  <c r="G36" i="3"/>
  <c r="F36" i="3"/>
  <c r="E36" i="3"/>
  <c r="D62" i="4" s="1"/>
  <c r="D36" i="3"/>
  <c r="AI35" i="3"/>
  <c r="AH35" i="3"/>
  <c r="AG35" i="3"/>
  <c r="AF35" i="3"/>
  <c r="I61" i="4" s="1"/>
  <c r="AE35" i="3"/>
  <c r="AD35" i="3"/>
  <c r="AC35" i="3"/>
  <c r="AB35" i="3"/>
  <c r="AA35" i="3"/>
  <c r="Z35" i="3"/>
  <c r="Y35" i="3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K35" i="3"/>
  <c r="K61" i="4" s="1"/>
  <c r="J35" i="3"/>
  <c r="J61" i="4" s="1"/>
  <c r="I35" i="3"/>
  <c r="F61" i="4" s="1"/>
  <c r="H35" i="3"/>
  <c r="G35" i="3"/>
  <c r="F35" i="3"/>
  <c r="E35" i="3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P60" i="4" s="1"/>
  <c r="Y34" i="3"/>
  <c r="X34" i="3"/>
  <c r="N60" i="4" s="1"/>
  <c r="W34" i="3"/>
  <c r="V34" i="3"/>
  <c r="U34" i="3"/>
  <c r="T34" i="3"/>
  <c r="S34" i="3"/>
  <c r="R34" i="3"/>
  <c r="Q34" i="3"/>
  <c r="P34" i="3"/>
  <c r="M60" i="4" s="1"/>
  <c r="O34" i="3"/>
  <c r="N34" i="3"/>
  <c r="M34" i="3"/>
  <c r="L34" i="3"/>
  <c r="L60" i="4" s="1"/>
  <c r="K34" i="3"/>
  <c r="K60" i="4" s="1"/>
  <c r="K52" i="15" s="1"/>
  <c r="J34" i="3"/>
  <c r="I34" i="3"/>
  <c r="F60" i="4" s="1"/>
  <c r="H34" i="3"/>
  <c r="G34" i="3"/>
  <c r="F34" i="3"/>
  <c r="E34" i="3"/>
  <c r="D34" i="3"/>
  <c r="AI33" i="3"/>
  <c r="AH33" i="3"/>
  <c r="AG33" i="3"/>
  <c r="AF33" i="3"/>
  <c r="I59" i="4" s="1"/>
  <c r="AE33" i="3"/>
  <c r="AD33" i="3"/>
  <c r="AC33" i="3"/>
  <c r="AB33" i="3"/>
  <c r="AA33" i="3"/>
  <c r="G59" i="4" s="1"/>
  <c r="Z33" i="3"/>
  <c r="Y33" i="3"/>
  <c r="O59" i="4" s="1"/>
  <c r="X33" i="3"/>
  <c r="N59" i="4" s="1"/>
  <c r="W33" i="3"/>
  <c r="V33" i="3"/>
  <c r="U33" i="3"/>
  <c r="T33" i="3"/>
  <c r="S33" i="3"/>
  <c r="R33" i="3"/>
  <c r="Q33" i="3"/>
  <c r="P33" i="3"/>
  <c r="M59" i="4" s="1"/>
  <c r="O33" i="3"/>
  <c r="N33" i="3"/>
  <c r="M33" i="3"/>
  <c r="L33" i="3"/>
  <c r="K33" i="3"/>
  <c r="K59" i="4" s="1"/>
  <c r="J33" i="3"/>
  <c r="J59" i="4" s="1"/>
  <c r="I33" i="3"/>
  <c r="H33" i="3"/>
  <c r="G33" i="3"/>
  <c r="F33" i="3"/>
  <c r="E33" i="3"/>
  <c r="D33" i="3"/>
  <c r="AI32" i="3"/>
  <c r="AH32" i="3"/>
  <c r="AG32" i="3"/>
  <c r="AF32" i="3"/>
  <c r="I58" i="4" s="1"/>
  <c r="AE32" i="3"/>
  <c r="AD32" i="3"/>
  <c r="AC32" i="3"/>
  <c r="AB32" i="3"/>
  <c r="AA32" i="3"/>
  <c r="G58" i="4" s="1"/>
  <c r="Z32" i="3"/>
  <c r="Y32" i="3"/>
  <c r="O58" i="4" s="1"/>
  <c r="X32" i="3"/>
  <c r="W32" i="3"/>
  <c r="V32" i="3"/>
  <c r="U32" i="3"/>
  <c r="T32" i="3"/>
  <c r="S32" i="3"/>
  <c r="R32" i="3"/>
  <c r="Q32" i="3"/>
  <c r="P32" i="3"/>
  <c r="M58" i="4" s="1"/>
  <c r="O32" i="3"/>
  <c r="N32" i="3"/>
  <c r="M32" i="3"/>
  <c r="L32" i="3"/>
  <c r="L58" i="4" s="1"/>
  <c r="K32" i="3"/>
  <c r="K58" i="4" s="1"/>
  <c r="J32" i="3"/>
  <c r="J58" i="4" s="1"/>
  <c r="I32" i="3"/>
  <c r="F58" i="4" s="1"/>
  <c r="H32" i="3"/>
  <c r="G32" i="3"/>
  <c r="F32" i="3"/>
  <c r="E32" i="3"/>
  <c r="D58" i="4" s="1"/>
  <c r="D32" i="3"/>
  <c r="AI31" i="3"/>
  <c r="AH31" i="3"/>
  <c r="AG31" i="3"/>
  <c r="AF31" i="3"/>
  <c r="I57" i="4" s="1"/>
  <c r="AE31" i="3"/>
  <c r="AD31" i="3"/>
  <c r="AC31" i="3"/>
  <c r="AB31" i="3"/>
  <c r="AA31" i="3"/>
  <c r="Z31" i="3"/>
  <c r="P57" i="4" s="1"/>
  <c r="Y31" i="3"/>
  <c r="O57" i="4" s="1"/>
  <c r="O51" i="15" s="1"/>
  <c r="X31" i="3"/>
  <c r="N57" i="4" s="1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J31" i="3"/>
  <c r="J57" i="4" s="1"/>
  <c r="J51" i="15" s="1"/>
  <c r="I31" i="3"/>
  <c r="F57" i="4" s="1"/>
  <c r="H31" i="3"/>
  <c r="G31" i="3"/>
  <c r="F31" i="3"/>
  <c r="E31" i="3"/>
  <c r="D31" i="3"/>
  <c r="AI30" i="3"/>
  <c r="AH30" i="3"/>
  <c r="AG30" i="3"/>
  <c r="AF30" i="3"/>
  <c r="I56" i="4" s="1"/>
  <c r="AE30" i="3"/>
  <c r="AD30" i="3"/>
  <c r="AC30" i="3"/>
  <c r="AB30" i="3"/>
  <c r="AA30" i="3"/>
  <c r="G56" i="4" s="1"/>
  <c r="Z30" i="3"/>
  <c r="P56" i="4" s="1"/>
  <c r="Y30" i="3"/>
  <c r="O56" i="4" s="1"/>
  <c r="X30" i="3"/>
  <c r="N56" i="4" s="1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L56" i="4" s="1"/>
  <c r="K30" i="3"/>
  <c r="K56" i="4" s="1"/>
  <c r="J30" i="3"/>
  <c r="J56" i="4" s="1"/>
  <c r="I30" i="3"/>
  <c r="H30" i="3"/>
  <c r="G30" i="3"/>
  <c r="F30" i="3"/>
  <c r="E30" i="3"/>
  <c r="D30" i="3"/>
  <c r="AI29" i="3"/>
  <c r="AH29" i="3"/>
  <c r="AG29" i="3"/>
  <c r="AF29" i="3"/>
  <c r="I55" i="4" s="1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N55" i="4" s="1"/>
  <c r="W29" i="3"/>
  <c r="V29" i="3"/>
  <c r="U29" i="3"/>
  <c r="T29" i="3"/>
  <c r="S29" i="3"/>
  <c r="R29" i="3"/>
  <c r="Q29" i="3"/>
  <c r="P29" i="3"/>
  <c r="M55" i="4" s="1"/>
  <c r="O29" i="3"/>
  <c r="N29" i="3"/>
  <c r="M29" i="3"/>
  <c r="L29" i="3"/>
  <c r="K29" i="3"/>
  <c r="J29" i="3"/>
  <c r="J55" i="4" s="1"/>
  <c r="I29" i="3"/>
  <c r="H29" i="3"/>
  <c r="G29" i="3"/>
  <c r="F29" i="3"/>
  <c r="E29" i="3"/>
  <c r="D55" i="4" s="1"/>
  <c r="D29" i="3"/>
  <c r="AI28" i="3"/>
  <c r="AH28" i="3"/>
  <c r="AG28" i="3"/>
  <c r="AF28" i="3"/>
  <c r="I54" i="4" s="1"/>
  <c r="AE28" i="3"/>
  <c r="AD28" i="3"/>
  <c r="AC28" i="3"/>
  <c r="AB28" i="3"/>
  <c r="AA28" i="3"/>
  <c r="G54" i="4" s="1"/>
  <c r="Z28" i="3"/>
  <c r="P54" i="4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L54" i="4" s="1"/>
  <c r="K28" i="3"/>
  <c r="K54" i="4" s="1"/>
  <c r="J28" i="3"/>
  <c r="I28" i="3"/>
  <c r="H28" i="3"/>
  <c r="G28" i="3"/>
  <c r="F28" i="3"/>
  <c r="E28" i="3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Z27" i="3"/>
  <c r="Y27" i="3"/>
  <c r="O53" i="4" s="1"/>
  <c r="X27" i="3"/>
  <c r="N53" i="4" s="1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I27" i="3"/>
  <c r="F53" i="4" s="1"/>
  <c r="H27" i="3"/>
  <c r="G27" i="3"/>
  <c r="F27" i="3"/>
  <c r="E27" i="3"/>
  <c r="D27" i="3"/>
  <c r="AI26" i="3"/>
  <c r="AH26" i="3"/>
  <c r="AG26" i="3"/>
  <c r="AF26" i="3"/>
  <c r="I52" i="4" s="1"/>
  <c r="AE26" i="3"/>
  <c r="AD26" i="3"/>
  <c r="AC26" i="3"/>
  <c r="AB26" i="3"/>
  <c r="AA26" i="3"/>
  <c r="Z26" i="3"/>
  <c r="Y26" i="3"/>
  <c r="O52" i="4" s="1"/>
  <c r="X26" i="3"/>
  <c r="N52" i="4" s="1"/>
  <c r="W26" i="3"/>
  <c r="V26" i="3"/>
  <c r="U26" i="3"/>
  <c r="T26" i="3"/>
  <c r="S26" i="3"/>
  <c r="R26" i="3"/>
  <c r="Q26" i="3"/>
  <c r="P26" i="3"/>
  <c r="M52" i="4" s="1"/>
  <c r="O26" i="3"/>
  <c r="N26" i="3"/>
  <c r="M26" i="3"/>
  <c r="D26" i="3"/>
  <c r="AI25" i="3"/>
  <c r="AH25" i="3"/>
  <c r="AG25" i="3"/>
  <c r="AF25" i="3"/>
  <c r="I51" i="4" s="1"/>
  <c r="AE25" i="3"/>
  <c r="AD25" i="3"/>
  <c r="AC25" i="3"/>
  <c r="AB25" i="3"/>
  <c r="AA25" i="3"/>
  <c r="G51" i="4" s="1"/>
  <c r="Z25" i="3"/>
  <c r="Y25" i="3"/>
  <c r="O51" i="4" s="1"/>
  <c r="X25" i="3"/>
  <c r="N51" i="4" s="1"/>
  <c r="W25" i="3"/>
  <c r="V25" i="3"/>
  <c r="U25" i="3"/>
  <c r="T25" i="3"/>
  <c r="S25" i="3"/>
  <c r="R25" i="3"/>
  <c r="Q25" i="3"/>
  <c r="P25" i="3"/>
  <c r="M51" i="4" s="1"/>
  <c r="O25" i="3"/>
  <c r="N25" i="3"/>
  <c r="M25" i="3"/>
  <c r="G66" i="2"/>
  <c r="F66" i="2"/>
  <c r="D25" i="3"/>
  <c r="AI24" i="3"/>
  <c r="AH24" i="3"/>
  <c r="AG24" i="3"/>
  <c r="AF24" i="3"/>
  <c r="I50" i="4" s="1"/>
  <c r="AE24" i="3"/>
  <c r="AD24" i="3"/>
  <c r="AC24" i="3"/>
  <c r="AB24" i="3"/>
  <c r="AA24" i="3"/>
  <c r="Z24" i="3"/>
  <c r="P50" i="4" s="1"/>
  <c r="Y24" i="3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F65" i="2"/>
  <c r="D24" i="3"/>
  <c r="AI23" i="3"/>
  <c r="AH23" i="3"/>
  <c r="AG23" i="3"/>
  <c r="AF23" i="3"/>
  <c r="I49" i="4" s="1"/>
  <c r="AE23" i="3"/>
  <c r="AD23" i="3"/>
  <c r="AC23" i="3"/>
  <c r="AB23" i="3"/>
  <c r="AA23" i="3"/>
  <c r="G49" i="4" s="1"/>
  <c r="Z23" i="3"/>
  <c r="P49" i="4" s="1"/>
  <c r="Y23" i="3"/>
  <c r="O49" i="4" s="1"/>
  <c r="X23" i="3"/>
  <c r="N49" i="4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G64" i="2"/>
  <c r="F64" i="2"/>
  <c r="D23" i="3"/>
  <c r="AI22" i="3"/>
  <c r="AH22" i="3"/>
  <c r="AG22" i="3"/>
  <c r="AF22" i="3"/>
  <c r="I48" i="4" s="1"/>
  <c r="AE22" i="3"/>
  <c r="AD22" i="3"/>
  <c r="AC22" i="3"/>
  <c r="AB22" i="3"/>
  <c r="AA22" i="3"/>
  <c r="G48" i="4" s="1"/>
  <c r="G46" i="15" s="1"/>
  <c r="Z22" i="3"/>
  <c r="Y22" i="3"/>
  <c r="X22" i="3"/>
  <c r="W22" i="3"/>
  <c r="V22" i="3"/>
  <c r="U22" i="3"/>
  <c r="T22" i="3"/>
  <c r="S22" i="3"/>
  <c r="R22" i="3"/>
  <c r="Q22" i="3"/>
  <c r="P22" i="3"/>
  <c r="M48" i="4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X21" i="3"/>
  <c r="N47" i="4" s="1"/>
  <c r="W21" i="3"/>
  <c r="V21" i="3"/>
  <c r="U21" i="3"/>
  <c r="T21" i="3"/>
  <c r="S21" i="3"/>
  <c r="R21" i="3"/>
  <c r="Q21" i="3"/>
  <c r="P21" i="3"/>
  <c r="O21" i="3"/>
  <c r="N21" i="3"/>
  <c r="M21" i="3"/>
  <c r="L21" i="3"/>
  <c r="L47" i="4" s="1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21" i="3"/>
  <c r="AI20" i="3"/>
  <c r="AH20" i="3"/>
  <c r="AG20" i="3"/>
  <c r="AF20" i="3"/>
  <c r="I46" i="4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X20" i="3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20" i="3"/>
  <c r="AI19" i="3"/>
  <c r="AH19" i="3"/>
  <c r="AG19" i="3"/>
  <c r="AF19" i="3"/>
  <c r="AE19" i="3"/>
  <c r="AD19" i="3"/>
  <c r="AC19" i="3"/>
  <c r="AB19" i="3"/>
  <c r="AA19" i="3"/>
  <c r="G45" i="4" s="1"/>
  <c r="G43" i="15" s="1"/>
  <c r="Z19" i="3"/>
  <c r="P45" i="4" s="1"/>
  <c r="P43" i="15" s="1"/>
  <c r="Y19" i="3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K45" i="4" s="1"/>
  <c r="J19" i="3"/>
  <c r="J45" i="4" s="1"/>
  <c r="I19" i="3"/>
  <c r="F45" i="4" s="1"/>
  <c r="F43" i="15" s="1"/>
  <c r="H19" i="3"/>
  <c r="G19" i="3"/>
  <c r="F19" i="3"/>
  <c r="E19" i="3"/>
  <c r="D19" i="3"/>
  <c r="AI18" i="3"/>
  <c r="AH18" i="3"/>
  <c r="AG18" i="3"/>
  <c r="AF18" i="3"/>
  <c r="I44" i="4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M44" i="4" s="1"/>
  <c r="O18" i="3"/>
  <c r="N18" i="3"/>
  <c r="M18" i="3"/>
  <c r="L18" i="3"/>
  <c r="L44" i="4" s="1"/>
  <c r="L42" i="15" s="1"/>
  <c r="K18" i="3"/>
  <c r="J18" i="3"/>
  <c r="I18" i="3"/>
  <c r="F44" i="4" s="1"/>
  <c r="F42" i="15" s="1"/>
  <c r="H18" i="3"/>
  <c r="G18" i="3"/>
  <c r="F18" i="3"/>
  <c r="E18" i="3"/>
  <c r="D44" i="4" s="1"/>
  <c r="D18" i="3"/>
  <c r="AI17" i="3"/>
  <c r="AH17" i="3"/>
  <c r="AG17" i="3"/>
  <c r="AF17" i="3"/>
  <c r="AE17" i="3"/>
  <c r="AD17" i="3"/>
  <c r="AC17" i="3"/>
  <c r="AB17" i="3"/>
  <c r="AA17" i="3"/>
  <c r="G43" i="4" s="1"/>
  <c r="Z17" i="3"/>
  <c r="P43" i="4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L43" i="4" s="1"/>
  <c r="K17" i="3"/>
  <c r="K43" i="4" s="1"/>
  <c r="J17" i="3"/>
  <c r="J43" i="4" s="1"/>
  <c r="I17" i="3"/>
  <c r="F43" i="4" s="1"/>
  <c r="H17" i="3"/>
  <c r="G17" i="3"/>
  <c r="F17" i="3"/>
  <c r="E17" i="3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Z16" i="3"/>
  <c r="Y16" i="3"/>
  <c r="O42" i="4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K16" i="3"/>
  <c r="K42" i="4" s="1"/>
  <c r="K40" i="15" s="1"/>
  <c r="J16" i="3"/>
  <c r="J42" i="4" s="1"/>
  <c r="I16" i="3"/>
  <c r="F42" i="4" s="1"/>
  <c r="H16" i="3"/>
  <c r="G16" i="3"/>
  <c r="F16" i="3"/>
  <c r="D57" i="2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G41" i="4" s="1"/>
  <c r="Z15" i="3"/>
  <c r="P41" i="4" s="1"/>
  <c r="P39" i="15" s="1"/>
  <c r="Y15" i="3"/>
  <c r="X15" i="3"/>
  <c r="N41" i="4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J41" i="4" s="1"/>
  <c r="I15" i="3"/>
  <c r="F41" i="4" s="1"/>
  <c r="F39" i="15" s="1"/>
  <c r="H15" i="3"/>
  <c r="G15" i="3"/>
  <c r="F15" i="3"/>
  <c r="D40" i="15"/>
  <c r="D15" i="3"/>
  <c r="K55" i="2"/>
  <c r="G55" i="2"/>
  <c r="D39" i="15"/>
  <c r="AI14" i="3"/>
  <c r="AH14" i="3"/>
  <c r="AG14" i="3"/>
  <c r="AF14" i="3"/>
  <c r="I40" i="4" s="1"/>
  <c r="AE14" i="3"/>
  <c r="AD14" i="3"/>
  <c r="AC14" i="3"/>
  <c r="AB14" i="3"/>
  <c r="AA14" i="3"/>
  <c r="G40" i="4" s="1"/>
  <c r="G38" i="15" s="1"/>
  <c r="Z14" i="3"/>
  <c r="P40" i="4" s="1"/>
  <c r="P38" i="15" s="1"/>
  <c r="Y14" i="3"/>
  <c r="X14" i="3"/>
  <c r="N40" i="4" s="1"/>
  <c r="N38" i="15" s="1"/>
  <c r="W14" i="3"/>
  <c r="V14" i="3"/>
  <c r="U14" i="3"/>
  <c r="T14" i="3"/>
  <c r="S14" i="3"/>
  <c r="R14" i="3"/>
  <c r="Q14" i="3"/>
  <c r="P14" i="3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H14" i="3"/>
  <c r="G14" i="3"/>
  <c r="F14" i="3"/>
  <c r="D38" i="15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L39" i="4" s="1"/>
  <c r="K13" i="3"/>
  <c r="K39" i="4" s="1"/>
  <c r="J13" i="3"/>
  <c r="I13" i="3"/>
  <c r="H13" i="3"/>
  <c r="G13" i="3"/>
  <c r="F13" i="3"/>
  <c r="D13" i="3"/>
  <c r="AI12" i="3"/>
  <c r="AH12" i="3"/>
  <c r="AG12" i="3"/>
  <c r="AF12" i="3"/>
  <c r="AE12" i="3"/>
  <c r="AD12" i="3"/>
  <c r="AC12" i="3"/>
  <c r="AB12" i="3"/>
  <c r="AA12" i="3"/>
  <c r="G38" i="4" s="1"/>
  <c r="G37" i="15" s="1"/>
  <c r="Z12" i="3"/>
  <c r="P38" i="4" s="1"/>
  <c r="P37" i="15" s="1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O12" i="3"/>
  <c r="N12" i="3"/>
  <c r="M12" i="3"/>
  <c r="L12" i="3"/>
  <c r="L38" i="4" s="1"/>
  <c r="L37" i="15" s="1"/>
  <c r="K12" i="3"/>
  <c r="K38" i="4" s="1"/>
  <c r="K37" i="15" s="1"/>
  <c r="J12" i="3"/>
  <c r="I12" i="3"/>
  <c r="F38" i="4" s="1"/>
  <c r="F37" i="15" s="1"/>
  <c r="H12" i="3"/>
  <c r="G12" i="3"/>
  <c r="F12" i="3"/>
  <c r="D37" i="15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X11" i="3"/>
  <c r="N37" i="4" s="1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J11" i="3"/>
  <c r="J37" i="4" s="1"/>
  <c r="J36" i="15" s="1"/>
  <c r="I11" i="3"/>
  <c r="F37" i="4" s="1"/>
  <c r="F36" i="15" s="1"/>
  <c r="H11" i="3"/>
  <c r="G11" i="3"/>
  <c r="F11" i="3"/>
  <c r="D36" i="15"/>
  <c r="D11" i="3"/>
  <c r="AI10" i="3"/>
  <c r="AH10" i="3"/>
  <c r="AG10" i="3"/>
  <c r="AF10" i="3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M36" i="4" s="1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E36" i="4" s="1"/>
  <c r="D35" i="15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D34" i="15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I8" i="3"/>
  <c r="H8" i="3"/>
  <c r="G8" i="3"/>
  <c r="F8" i="3"/>
  <c r="D33" i="15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D32" i="15"/>
  <c r="P14" i="4"/>
  <c r="O14" i="4"/>
  <c r="O13" i="15" s="1"/>
  <c r="J10" i="17" s="1"/>
  <c r="N14" i="4"/>
  <c r="N13" i="15" s="1"/>
  <c r="I10" i="17" s="1"/>
  <c r="M14" i="4"/>
  <c r="M13" i="15" s="1"/>
  <c r="H10" i="17" s="1"/>
  <c r="L14" i="4"/>
  <c r="L13" i="15" s="1"/>
  <c r="G10" i="17" s="1"/>
  <c r="K14" i="4"/>
  <c r="K13" i="15" s="1"/>
  <c r="F10" i="17" s="1"/>
  <c r="J14" i="4"/>
  <c r="J13" i="15" s="1"/>
  <c r="E10" i="17" s="1"/>
  <c r="I14" i="4"/>
  <c r="G14" i="4"/>
  <c r="F14" i="4"/>
  <c r="F13" i="15" s="1"/>
  <c r="E14" i="4"/>
  <c r="E13" i="15" s="1"/>
  <c r="D14" i="4"/>
  <c r="P13" i="4"/>
  <c r="P12" i="15" s="1"/>
  <c r="K9" i="17" s="1"/>
  <c r="O13" i="4"/>
  <c r="O12" i="15" s="1"/>
  <c r="J9" i="17" s="1"/>
  <c r="N13" i="4"/>
  <c r="N12" i="15" s="1"/>
  <c r="I9" i="17" s="1"/>
  <c r="M13" i="4"/>
  <c r="M12" i="15" s="1"/>
  <c r="H9" i="17" s="1"/>
  <c r="L13" i="4"/>
  <c r="L12" i="15" s="1"/>
  <c r="G9" i="17" s="1"/>
  <c r="K13" i="4"/>
  <c r="K12" i="15" s="1"/>
  <c r="F9" i="17" s="1"/>
  <c r="J13" i="4"/>
  <c r="J12" i="15" s="1"/>
  <c r="E9" i="17" s="1"/>
  <c r="I13" i="4"/>
  <c r="G13" i="4"/>
  <c r="F13" i="4"/>
  <c r="F12" i="15" s="1"/>
  <c r="E13" i="4"/>
  <c r="E12" i="15" s="1"/>
  <c r="D13" i="4"/>
  <c r="P12" i="4"/>
  <c r="P11" i="15" s="1"/>
  <c r="K8" i="17" s="1"/>
  <c r="O12" i="4"/>
  <c r="O11" i="15" s="1"/>
  <c r="J8" i="17" s="1"/>
  <c r="N12" i="4"/>
  <c r="N11" i="15" s="1"/>
  <c r="I8" i="17" s="1"/>
  <c r="M12" i="4"/>
  <c r="M11" i="15" s="1"/>
  <c r="H8" i="17" s="1"/>
  <c r="L12" i="4"/>
  <c r="L11" i="15" s="1"/>
  <c r="G8" i="17" s="1"/>
  <c r="K12" i="4"/>
  <c r="K11" i="15" s="1"/>
  <c r="F8" i="17" s="1"/>
  <c r="J12" i="4"/>
  <c r="J11" i="15" s="1"/>
  <c r="E8" i="17" s="1"/>
  <c r="I12" i="4"/>
  <c r="G12" i="4"/>
  <c r="F12" i="4"/>
  <c r="F11" i="15" s="1"/>
  <c r="E12" i="4"/>
  <c r="E11" i="15" s="1"/>
  <c r="D12" i="4"/>
  <c r="P11" i="4"/>
  <c r="P10" i="15" s="1"/>
  <c r="K7" i="17" s="1"/>
  <c r="O11" i="4"/>
  <c r="O10" i="15" s="1"/>
  <c r="J7" i="17" s="1"/>
  <c r="N11" i="4"/>
  <c r="N10" i="15" s="1"/>
  <c r="I7" i="17" s="1"/>
  <c r="M11" i="4"/>
  <c r="M10" i="15" s="1"/>
  <c r="H7" i="17" s="1"/>
  <c r="L11" i="4"/>
  <c r="L10" i="15" s="1"/>
  <c r="G7" i="17" s="1"/>
  <c r="K11" i="4"/>
  <c r="K10" i="15" s="1"/>
  <c r="F7" i="17" s="1"/>
  <c r="J11" i="4"/>
  <c r="J10" i="15" s="1"/>
  <c r="E7" i="17" s="1"/>
  <c r="I11" i="4"/>
  <c r="G11" i="4"/>
  <c r="F11" i="4"/>
  <c r="F10" i="15" s="1"/>
  <c r="E11" i="4"/>
  <c r="E10" i="15" s="1"/>
  <c r="D11" i="4"/>
  <c r="D6" i="10"/>
  <c r="O10" i="4"/>
  <c r="O9" i="15" s="1"/>
  <c r="J6" i="17" s="1"/>
  <c r="N10" i="4"/>
  <c r="N9" i="15" s="1"/>
  <c r="M10" i="4"/>
  <c r="L10" i="4"/>
  <c r="L9" i="15" s="1"/>
  <c r="K10" i="4"/>
  <c r="K9" i="15" s="1"/>
  <c r="F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E37" i="4" l="1"/>
  <c r="E36" i="15" s="1"/>
  <c r="E35" i="4"/>
  <c r="E34" i="15" s="1"/>
  <c r="E44" i="4"/>
  <c r="E42" i="15" s="1"/>
  <c r="E34" i="4"/>
  <c r="I47" i="15"/>
  <c r="I60" i="15"/>
  <c r="E67" i="4"/>
  <c r="E58" i="15" s="1"/>
  <c r="E54" i="4"/>
  <c r="E57" i="4"/>
  <c r="E47" i="4"/>
  <c r="E45" i="15" s="1"/>
  <c r="E61" i="4"/>
  <c r="E38" i="4"/>
  <c r="E37" i="15" s="1"/>
  <c r="E43" i="4"/>
  <c r="E41" i="4"/>
  <c r="E39" i="15" s="1"/>
  <c r="E75" i="4"/>
  <c r="E66" i="4"/>
  <c r="E57" i="15" s="1"/>
  <c r="E46" i="4"/>
  <c r="E44" i="15" s="1"/>
  <c r="E59" i="4"/>
  <c r="E53" i="4"/>
  <c r="E63" i="4"/>
  <c r="E54" i="15" s="1"/>
  <c r="E65" i="4"/>
  <c r="E56" i="15" s="1"/>
  <c r="E62" i="4"/>
  <c r="E69" i="4"/>
  <c r="E72" i="4"/>
  <c r="E62" i="15" s="1"/>
  <c r="E48" i="4"/>
  <c r="E46" i="15" s="1"/>
  <c r="E79" i="4"/>
  <c r="E68" i="4"/>
  <c r="E59" i="15" s="1"/>
  <c r="E70" i="4"/>
  <c r="E64" i="4"/>
  <c r="E55" i="15" s="1"/>
  <c r="E55" i="4"/>
  <c r="E50" i="15" s="1"/>
  <c r="E45" i="4"/>
  <c r="E43" i="15" s="1"/>
  <c r="E80" i="4"/>
  <c r="E77" i="4"/>
  <c r="E58" i="4"/>
  <c r="E76" i="4"/>
  <c r="E60" i="4"/>
  <c r="E52" i="15" s="1"/>
  <c r="E73" i="4"/>
  <c r="E39" i="4"/>
  <c r="E74" i="4"/>
  <c r="E40" i="4"/>
  <c r="E38" i="15" s="1"/>
  <c r="E81" i="4"/>
  <c r="E78" i="4"/>
  <c r="E67" i="15" s="1"/>
  <c r="E71" i="4"/>
  <c r="E61" i="15" s="1"/>
  <c r="E56" i="4"/>
  <c r="E42" i="4"/>
  <c r="H81" i="4"/>
  <c r="H80" i="4"/>
  <c r="H78" i="4"/>
  <c r="H76" i="4"/>
  <c r="H75" i="4"/>
  <c r="H71" i="4"/>
  <c r="H61" i="15" s="1"/>
  <c r="H64" i="4"/>
  <c r="H55" i="15" s="1"/>
  <c r="H59" i="4"/>
  <c r="H52" i="4"/>
  <c r="H50" i="4"/>
  <c r="H46" i="4"/>
  <c r="H44" i="15" s="1"/>
  <c r="H36" i="4"/>
  <c r="H35" i="15" s="1"/>
  <c r="H77" i="4"/>
  <c r="H73" i="4"/>
  <c r="H70" i="4"/>
  <c r="H68" i="4"/>
  <c r="H59" i="15" s="1"/>
  <c r="H67" i="4"/>
  <c r="H58" i="15" s="1"/>
  <c r="H56" i="4"/>
  <c r="H55" i="4"/>
  <c r="H50" i="15" s="1"/>
  <c r="H53" i="4"/>
  <c r="H47" i="4"/>
  <c r="H45" i="15" s="1"/>
  <c r="H43" i="4"/>
  <c r="H35" i="4"/>
  <c r="H34" i="15" s="1"/>
  <c r="H34" i="4"/>
  <c r="H79" i="4"/>
  <c r="H74" i="4"/>
  <c r="H72" i="4"/>
  <c r="H62" i="15" s="1"/>
  <c r="H69" i="4"/>
  <c r="H65" i="4"/>
  <c r="H56" i="15" s="1"/>
  <c r="H60" i="4"/>
  <c r="H52" i="15" s="1"/>
  <c r="H58" i="4"/>
  <c r="H54" i="4"/>
  <c r="H48" i="4"/>
  <c r="H46" i="15" s="1"/>
  <c r="H44" i="4"/>
  <c r="H42" i="15" s="1"/>
  <c r="H39" i="4"/>
  <c r="H38" i="4"/>
  <c r="H37" i="15" s="1"/>
  <c r="H66" i="4"/>
  <c r="H57" i="15" s="1"/>
  <c r="H63" i="4"/>
  <c r="H54" i="15" s="1"/>
  <c r="H62" i="4"/>
  <c r="H61" i="4"/>
  <c r="H57" i="4"/>
  <c r="H51" i="4"/>
  <c r="H49" i="4"/>
  <c r="H45" i="4"/>
  <c r="H43" i="15" s="1"/>
  <c r="H42" i="4"/>
  <c r="H41" i="4"/>
  <c r="H39" i="15" s="1"/>
  <c r="H40" i="4"/>
  <c r="H38" i="15" s="1"/>
  <c r="H37" i="4"/>
  <c r="H36" i="15" s="1"/>
  <c r="O96" i="2"/>
  <c r="G81" i="4"/>
  <c r="G64" i="15" s="1"/>
  <c r="G96" i="2"/>
  <c r="J81" i="4"/>
  <c r="D96" i="2"/>
  <c r="D81" i="4"/>
  <c r="R95" i="2"/>
  <c r="I80" i="4"/>
  <c r="I67" i="15" s="1"/>
  <c r="L95" i="2"/>
  <c r="O80" i="4"/>
  <c r="K95" i="2"/>
  <c r="N80" i="4"/>
  <c r="N67" i="15" s="1"/>
  <c r="J95" i="2"/>
  <c r="M80" i="4"/>
  <c r="U80" i="4" s="1"/>
  <c r="R80" i="4" s="1"/>
  <c r="G95" i="2"/>
  <c r="J80" i="4"/>
  <c r="O94" i="2"/>
  <c r="G79" i="4"/>
  <c r="L94" i="2"/>
  <c r="O79" i="4"/>
  <c r="H94" i="2"/>
  <c r="K79" i="4"/>
  <c r="G94" i="2"/>
  <c r="J79" i="4"/>
  <c r="J65" i="15" s="1"/>
  <c r="D94" i="2"/>
  <c r="D79" i="4"/>
  <c r="O93" i="2"/>
  <c r="G78" i="4"/>
  <c r="G67" i="15" s="1"/>
  <c r="J93" i="2"/>
  <c r="M78" i="4"/>
  <c r="H93" i="2"/>
  <c r="K78" i="4"/>
  <c r="K67" i="15" s="1"/>
  <c r="F93" i="2"/>
  <c r="F78" i="4"/>
  <c r="F67" i="15" s="1"/>
  <c r="N92" i="2"/>
  <c r="P77" i="4"/>
  <c r="I92" i="2"/>
  <c r="L77" i="4"/>
  <c r="L66" i="15" s="1"/>
  <c r="G92" i="2"/>
  <c r="J77" i="4"/>
  <c r="J66" i="15" s="1"/>
  <c r="R91" i="2"/>
  <c r="I76" i="4"/>
  <c r="I65" i="15" s="1"/>
  <c r="O91" i="2"/>
  <c r="G76" i="4"/>
  <c r="N91" i="2"/>
  <c r="P76" i="4"/>
  <c r="P65" i="15" s="1"/>
  <c r="H91" i="2"/>
  <c r="K76" i="4"/>
  <c r="F91" i="2"/>
  <c r="F76" i="4"/>
  <c r="F65" i="15" s="1"/>
  <c r="D91" i="2"/>
  <c r="D76" i="4"/>
  <c r="H90" i="2"/>
  <c r="K75" i="4"/>
  <c r="K64" i="15" s="1"/>
  <c r="G90" i="2"/>
  <c r="J75" i="4"/>
  <c r="R89" i="2"/>
  <c r="I74" i="4"/>
  <c r="T74" i="4" s="1"/>
  <c r="Q74" i="4" s="1"/>
  <c r="O89" i="2"/>
  <c r="G74" i="4"/>
  <c r="L89" i="2"/>
  <c r="O74" i="4"/>
  <c r="J89" i="2"/>
  <c r="M74" i="4"/>
  <c r="U74" i="4" s="1"/>
  <c r="R74" i="4" s="1"/>
  <c r="O88" i="2"/>
  <c r="G73" i="4"/>
  <c r="L88" i="2"/>
  <c r="O73" i="4"/>
  <c r="G88" i="2"/>
  <c r="J73" i="4"/>
  <c r="J63" i="15" s="1"/>
  <c r="O87" i="2"/>
  <c r="G72" i="4"/>
  <c r="G62" i="15" s="1"/>
  <c r="H87" i="2"/>
  <c r="K72" i="4"/>
  <c r="K62" i="15" s="1"/>
  <c r="D87" i="2"/>
  <c r="D72" i="4"/>
  <c r="D62" i="15" s="1"/>
  <c r="N86" i="2"/>
  <c r="P71" i="4"/>
  <c r="P61" i="15" s="1"/>
  <c r="L86" i="2"/>
  <c r="O71" i="4"/>
  <c r="O61" i="15" s="1"/>
  <c r="I86" i="2"/>
  <c r="L71" i="4"/>
  <c r="L61" i="15" s="1"/>
  <c r="O85" i="2"/>
  <c r="G70" i="4"/>
  <c r="G60" i="15" s="1"/>
  <c r="N85" i="2"/>
  <c r="P70" i="4"/>
  <c r="J85" i="2"/>
  <c r="M70" i="4"/>
  <c r="M60" i="15" s="1"/>
  <c r="G85" i="2"/>
  <c r="J70" i="4"/>
  <c r="F85" i="2"/>
  <c r="F70" i="4"/>
  <c r="F60" i="15" s="1"/>
  <c r="D85" i="2"/>
  <c r="D70" i="4"/>
  <c r="N84" i="2"/>
  <c r="P69" i="4"/>
  <c r="P60" i="15" s="1"/>
  <c r="L84" i="2"/>
  <c r="O69" i="4"/>
  <c r="O60" i="15" s="1"/>
  <c r="H84" i="2"/>
  <c r="K69" i="4"/>
  <c r="G84" i="2"/>
  <c r="J69" i="4"/>
  <c r="J60" i="15" s="1"/>
  <c r="D84" i="2"/>
  <c r="D69" i="4"/>
  <c r="K83" i="2"/>
  <c r="N68" i="4"/>
  <c r="N59" i="15" s="1"/>
  <c r="H83" i="2"/>
  <c r="K68" i="4"/>
  <c r="K59" i="15" s="1"/>
  <c r="O82" i="2"/>
  <c r="G67" i="4"/>
  <c r="G58" i="15" s="1"/>
  <c r="N82" i="2"/>
  <c r="P67" i="4"/>
  <c r="P58" i="15" s="1"/>
  <c r="I82" i="2"/>
  <c r="L67" i="4"/>
  <c r="L58" i="15" s="1"/>
  <c r="G82" i="2"/>
  <c r="J67" i="4"/>
  <c r="J58" i="15" s="1"/>
  <c r="D82" i="2"/>
  <c r="D67" i="4"/>
  <c r="D58" i="15" s="1"/>
  <c r="R81" i="2"/>
  <c r="I66" i="4"/>
  <c r="I57" i="15" s="1"/>
  <c r="N81" i="2"/>
  <c r="P66" i="4"/>
  <c r="H81" i="2"/>
  <c r="K66" i="4"/>
  <c r="K57" i="15" s="1"/>
  <c r="G81" i="2"/>
  <c r="J66" i="4"/>
  <c r="J57" i="15" s="1"/>
  <c r="F81" i="2"/>
  <c r="F66" i="4"/>
  <c r="F57" i="15" s="1"/>
  <c r="O80" i="2"/>
  <c r="G65" i="4"/>
  <c r="G56" i="15" s="1"/>
  <c r="N80" i="2"/>
  <c r="P65" i="4"/>
  <c r="P56" i="15" s="1"/>
  <c r="G80" i="2"/>
  <c r="J65" i="4"/>
  <c r="J56" i="15" s="1"/>
  <c r="F80" i="2"/>
  <c r="F65" i="4"/>
  <c r="F56" i="15" s="1"/>
  <c r="D80" i="2"/>
  <c r="D65" i="4"/>
  <c r="D56" i="15" s="1"/>
  <c r="H79" i="2"/>
  <c r="K64" i="4"/>
  <c r="K55" i="15" s="1"/>
  <c r="F79" i="2"/>
  <c r="F64" i="4"/>
  <c r="F55" i="15" s="1"/>
  <c r="N78" i="2"/>
  <c r="P63" i="4"/>
  <c r="P54" i="15" s="1"/>
  <c r="H78" i="2"/>
  <c r="K63" i="4"/>
  <c r="K54" i="15" s="1"/>
  <c r="F78" i="2"/>
  <c r="F63" i="4"/>
  <c r="F54" i="15" s="1"/>
  <c r="D78" i="2"/>
  <c r="D63" i="4"/>
  <c r="D54" i="15" s="1"/>
  <c r="O77" i="2"/>
  <c r="G62" i="4"/>
  <c r="J77" i="2"/>
  <c r="M62" i="4"/>
  <c r="M48" i="15" s="1"/>
  <c r="H77" i="2"/>
  <c r="K62" i="4"/>
  <c r="K48" i="15" s="1"/>
  <c r="F77" i="2"/>
  <c r="F62" i="4"/>
  <c r="F48" i="15" s="1"/>
  <c r="O76" i="2"/>
  <c r="G61" i="4"/>
  <c r="G53" i="15" s="1"/>
  <c r="N76" i="2"/>
  <c r="P61" i="4"/>
  <c r="L76" i="2"/>
  <c r="O61" i="4"/>
  <c r="O53" i="15" s="1"/>
  <c r="I76" i="2"/>
  <c r="L61" i="4"/>
  <c r="L53" i="15" s="1"/>
  <c r="D76" i="2"/>
  <c r="D61" i="4"/>
  <c r="R75" i="2"/>
  <c r="I60" i="4"/>
  <c r="I52" i="15" s="1"/>
  <c r="L75" i="2"/>
  <c r="O60" i="4"/>
  <c r="O52" i="15" s="1"/>
  <c r="G75" i="2"/>
  <c r="J60" i="4"/>
  <c r="J52" i="15" s="1"/>
  <c r="D75" i="2"/>
  <c r="D60" i="4"/>
  <c r="D52" i="15" s="1"/>
  <c r="N74" i="2"/>
  <c r="P59" i="4"/>
  <c r="P51" i="15" s="1"/>
  <c r="I74" i="2"/>
  <c r="L59" i="4"/>
  <c r="L51" i="15" s="1"/>
  <c r="F74" i="2"/>
  <c r="F59" i="4"/>
  <c r="F51" i="15" s="1"/>
  <c r="D74" i="2"/>
  <c r="D59" i="4"/>
  <c r="N73" i="2"/>
  <c r="P58" i="4"/>
  <c r="K73" i="2"/>
  <c r="N58" i="4"/>
  <c r="N53" i="15" s="1"/>
  <c r="O72" i="2"/>
  <c r="G57" i="4"/>
  <c r="G51" i="15" s="1"/>
  <c r="D72" i="2"/>
  <c r="D57" i="4"/>
  <c r="F71" i="2"/>
  <c r="F56" i="4"/>
  <c r="D71" i="2"/>
  <c r="D56" i="4"/>
  <c r="I70" i="2"/>
  <c r="L55" i="4"/>
  <c r="L50" i="15" s="1"/>
  <c r="H70" i="2"/>
  <c r="K55" i="4"/>
  <c r="K50" i="15" s="1"/>
  <c r="F70" i="2"/>
  <c r="F55" i="4"/>
  <c r="F50" i="15" s="1"/>
  <c r="K69" i="2"/>
  <c r="N54" i="4"/>
  <c r="J69" i="2"/>
  <c r="M54" i="4"/>
  <c r="M49" i="15" s="1"/>
  <c r="G69" i="2"/>
  <c r="J54" i="4"/>
  <c r="J49" i="15" s="1"/>
  <c r="F69" i="2"/>
  <c r="F54" i="4"/>
  <c r="F49" i="15" s="1"/>
  <c r="D69" i="2"/>
  <c r="D54" i="4"/>
  <c r="D49" i="15" s="1"/>
  <c r="O68" i="2"/>
  <c r="G53" i="4"/>
  <c r="N68" i="2"/>
  <c r="P53" i="4"/>
  <c r="G68" i="2"/>
  <c r="J53" i="4"/>
  <c r="J48" i="15" s="1"/>
  <c r="D68" i="2"/>
  <c r="D53" i="4"/>
  <c r="D48" i="15" s="1"/>
  <c r="O67" i="2"/>
  <c r="G52" i="4"/>
  <c r="G40" i="15" s="1"/>
  <c r="N67" i="2"/>
  <c r="P52" i="4"/>
  <c r="N66" i="2"/>
  <c r="P51" i="4"/>
  <c r="O65" i="2"/>
  <c r="G50" i="4"/>
  <c r="G47" i="15" s="1"/>
  <c r="L65" i="2"/>
  <c r="O50" i="4"/>
  <c r="N63" i="2"/>
  <c r="P48" i="4"/>
  <c r="P46" i="15" s="1"/>
  <c r="L63" i="2"/>
  <c r="O48" i="4"/>
  <c r="O46" i="15" s="1"/>
  <c r="K63" i="2"/>
  <c r="N48" i="4"/>
  <c r="N46" i="15" s="1"/>
  <c r="D47" i="15"/>
  <c r="D48" i="4"/>
  <c r="D46" i="15" s="1"/>
  <c r="L62" i="2"/>
  <c r="O47" i="4"/>
  <c r="O45" i="15" s="1"/>
  <c r="J62" i="2"/>
  <c r="M47" i="4"/>
  <c r="M45" i="15" s="1"/>
  <c r="D62" i="2"/>
  <c r="D47" i="4"/>
  <c r="L61" i="2"/>
  <c r="O46" i="4"/>
  <c r="O44" i="15" s="1"/>
  <c r="K61" i="2"/>
  <c r="N46" i="4"/>
  <c r="N44" i="15" s="1"/>
  <c r="D61" i="2"/>
  <c r="D46" i="4"/>
  <c r="R60" i="2"/>
  <c r="I45" i="4"/>
  <c r="I43" i="15" s="1"/>
  <c r="L60" i="2"/>
  <c r="O45" i="4"/>
  <c r="O43" i="15" s="1"/>
  <c r="K60" i="2"/>
  <c r="N45" i="4"/>
  <c r="D60" i="2"/>
  <c r="D45" i="4"/>
  <c r="D43" i="15" s="1"/>
  <c r="H59" i="2"/>
  <c r="K44" i="4"/>
  <c r="K42" i="15" s="1"/>
  <c r="G59" i="2"/>
  <c r="J44" i="4"/>
  <c r="J42" i="15" s="1"/>
  <c r="R58" i="2"/>
  <c r="I43" i="4"/>
  <c r="I41" i="15" s="1"/>
  <c r="D58" i="2"/>
  <c r="D43" i="4"/>
  <c r="D41" i="15" s="1"/>
  <c r="N57" i="2"/>
  <c r="P42" i="4"/>
  <c r="I57" i="2"/>
  <c r="L42" i="4"/>
  <c r="L40" i="15" s="1"/>
  <c r="L56" i="2"/>
  <c r="O41" i="4"/>
  <c r="O39" i="15" s="1"/>
  <c r="I56" i="2"/>
  <c r="L41" i="4"/>
  <c r="L39" i="15" s="1"/>
  <c r="L54" i="2"/>
  <c r="O40" i="4"/>
  <c r="O38" i="15" s="1"/>
  <c r="J54" i="2"/>
  <c r="M40" i="4"/>
  <c r="M38" i="15" s="1"/>
  <c r="F54" i="2"/>
  <c r="F40" i="4"/>
  <c r="F38" i="15" s="1"/>
  <c r="L53" i="2"/>
  <c r="O39" i="4"/>
  <c r="G53" i="2"/>
  <c r="J39" i="4"/>
  <c r="F53" i="2"/>
  <c r="F39" i="4"/>
  <c r="R52" i="2"/>
  <c r="I38" i="4"/>
  <c r="J52" i="2"/>
  <c r="M38" i="4"/>
  <c r="G52" i="2"/>
  <c r="J38" i="4"/>
  <c r="J37" i="15" s="1"/>
  <c r="L51" i="2"/>
  <c r="O37" i="4"/>
  <c r="O36" i="15" s="1"/>
  <c r="H51" i="2"/>
  <c r="K37" i="4"/>
  <c r="R50" i="2"/>
  <c r="I36" i="4"/>
  <c r="I49" i="2"/>
  <c r="L35" i="4"/>
  <c r="L34" i="15" s="1"/>
  <c r="L48" i="2"/>
  <c r="O34" i="4"/>
  <c r="G48" i="2"/>
  <c r="J34" i="4"/>
  <c r="F48" i="2"/>
  <c r="F34" i="4"/>
  <c r="T39" i="15"/>
  <c r="Q39" i="15" s="1"/>
  <c r="J41" i="15"/>
  <c r="K51" i="15"/>
  <c r="BG206" i="7"/>
  <c r="BH206" i="7" s="1"/>
  <c r="S65" i="15"/>
  <c r="S45" i="15"/>
  <c r="S51" i="15"/>
  <c r="S62" i="15"/>
  <c r="S60" i="15"/>
  <c r="S64" i="15"/>
  <c r="S48" i="15"/>
  <c r="S55" i="15"/>
  <c r="S57" i="15"/>
  <c r="S67" i="15"/>
  <c r="S49" i="15"/>
  <c r="S36" i="15"/>
  <c r="S50" i="15"/>
  <c r="S66" i="15"/>
  <c r="F14" i="15"/>
  <c r="S46" i="15"/>
  <c r="S44" i="15"/>
  <c r="P64" i="15"/>
  <c r="L14" i="15"/>
  <c r="G11" i="17" s="1"/>
  <c r="G6" i="17"/>
  <c r="J14" i="15"/>
  <c r="E11" i="17" s="1"/>
  <c r="E6" i="17"/>
  <c r="N14" i="15"/>
  <c r="I11" i="17" s="1"/>
  <c r="I6" i="17"/>
  <c r="E14" i="15"/>
  <c r="P63" i="15"/>
  <c r="K41" i="15"/>
  <c r="O14" i="15"/>
  <c r="J11" i="17" s="1"/>
  <c r="K14" i="15"/>
  <c r="F11" i="17" s="1"/>
  <c r="K53" i="15"/>
  <c r="F53" i="15"/>
  <c r="N33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D89" i="2"/>
  <c r="T34" i="15"/>
  <c r="Q34" i="15" s="1"/>
  <c r="U34" i="15"/>
  <c r="R34" i="15" s="1"/>
  <c r="D9" i="15"/>
  <c r="D6" i="17" s="1"/>
  <c r="T10" i="4"/>
  <c r="C6" i="10"/>
  <c r="I9" i="15"/>
  <c r="M9" i="15"/>
  <c r="U10" i="4"/>
  <c r="R10" i="4" s="1"/>
  <c r="R9" i="15" s="1"/>
  <c r="M6" i="17" s="1"/>
  <c r="B7" i="10"/>
  <c r="D10" i="15"/>
  <c r="D7" i="17" s="1"/>
  <c r="C7" i="10"/>
  <c r="I10" i="15"/>
  <c r="B8" i="10"/>
  <c r="D11" i="15"/>
  <c r="D8" i="17" s="1"/>
  <c r="C8" i="10"/>
  <c r="I11" i="15"/>
  <c r="B9" i="10"/>
  <c r="D12" i="15"/>
  <c r="D9" i="17" s="1"/>
  <c r="C9" i="10"/>
  <c r="I12" i="15"/>
  <c r="B10" i="10"/>
  <c r="D13" i="15"/>
  <c r="D10" i="17" s="1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N9" i="17" s="1"/>
  <c r="S11" i="4"/>
  <c r="S10" i="15" s="1"/>
  <c r="N7" i="17" s="1"/>
  <c r="S15" i="4"/>
  <c r="S12" i="4"/>
  <c r="S11" i="15" s="1"/>
  <c r="N8" i="17" s="1"/>
  <c r="S10" i="4"/>
  <c r="S14" i="4"/>
  <c r="S13" i="15" s="1"/>
  <c r="N10" i="17" s="1"/>
  <c r="F90" i="2"/>
  <c r="L96" i="2"/>
  <c r="D67" i="15"/>
  <c r="P93" i="2"/>
  <c r="O79" i="2"/>
  <c r="K66" i="15"/>
  <c r="F83" i="2"/>
  <c r="H92" i="2"/>
  <c r="P89" i="2"/>
  <c r="F87" i="2"/>
  <c r="P87" i="2"/>
  <c r="O75" i="2"/>
  <c r="P88" i="2"/>
  <c r="O95" i="2"/>
  <c r="G61" i="15"/>
  <c r="P75" i="2"/>
  <c r="P81" i="2"/>
  <c r="P95" i="2"/>
  <c r="P96" i="2"/>
  <c r="L28" i="2"/>
  <c r="L29" i="2"/>
  <c r="O81" i="2"/>
  <c r="L91" i="2"/>
  <c r="D95" i="2"/>
  <c r="Q32" i="2"/>
  <c r="D86" i="2"/>
  <c r="D93" i="2"/>
  <c r="F96" i="2"/>
  <c r="K56" i="15"/>
  <c r="F66" i="15"/>
  <c r="D32" i="2"/>
  <c r="H32" i="2"/>
  <c r="M32" i="2"/>
  <c r="F32" i="2"/>
  <c r="J32" i="2"/>
  <c r="P31" i="2"/>
  <c r="H74" i="2"/>
  <c r="E32" i="2"/>
  <c r="I32" i="2"/>
  <c r="L31" i="2"/>
  <c r="O74" i="2"/>
  <c r="D79" i="2"/>
  <c r="O86" i="2"/>
  <c r="H88" i="2"/>
  <c r="D90" i="2"/>
  <c r="D92" i="2"/>
  <c r="L93" i="2"/>
  <c r="H95" i="2"/>
  <c r="H96" i="2"/>
  <c r="D61" i="15"/>
  <c r="K63" i="15"/>
  <c r="C32" i="2"/>
  <c r="G32" i="2"/>
  <c r="K32" i="2"/>
  <c r="P29" i="2"/>
  <c r="L30" i="2"/>
  <c r="D67" i="2"/>
  <c r="L80" i="2"/>
  <c r="F89" i="2"/>
  <c r="O90" i="2"/>
  <c r="O92" i="2"/>
  <c r="F94" i="2"/>
  <c r="K93" i="2"/>
  <c r="I66" i="15"/>
  <c r="J86" i="2"/>
  <c r="I87" i="2"/>
  <c r="I58" i="15"/>
  <c r="K88" i="2"/>
  <c r="I94" i="2"/>
  <c r="R72" i="2"/>
  <c r="K80" i="2"/>
  <c r="R84" i="2"/>
  <c r="R90" i="2"/>
  <c r="R92" i="2"/>
  <c r="J94" i="2"/>
  <c r="I95" i="2"/>
  <c r="I96" i="2"/>
  <c r="L59" i="15"/>
  <c r="L67" i="15"/>
  <c r="I78" i="2"/>
  <c r="R82" i="2"/>
  <c r="R87" i="2"/>
  <c r="K91" i="2"/>
  <c r="J92" i="2"/>
  <c r="R94" i="2"/>
  <c r="J96" i="2"/>
  <c r="R96" i="2"/>
  <c r="M50" i="15"/>
  <c r="N64" i="15"/>
  <c r="I67" i="2"/>
  <c r="I81" i="2"/>
  <c r="K89" i="2"/>
  <c r="J90" i="2"/>
  <c r="K92" i="2"/>
  <c r="I93" i="2"/>
  <c r="K96" i="2"/>
  <c r="L78" i="2"/>
  <c r="L81" i="2"/>
  <c r="F84" i="2"/>
  <c r="L87" i="2"/>
  <c r="F88" i="2"/>
  <c r="D55" i="15"/>
  <c r="F58" i="15"/>
  <c r="F92" i="2"/>
  <c r="L92" i="2"/>
  <c r="F95" i="2"/>
  <c r="D57" i="15"/>
  <c r="O62" i="15"/>
  <c r="T82" i="4"/>
  <c r="Q82" i="4" s="1"/>
  <c r="D81" i="2"/>
  <c r="L71" i="2"/>
  <c r="F75" i="2"/>
  <c r="L82" i="2"/>
  <c r="L85" i="2"/>
  <c r="D88" i="2"/>
  <c r="L90" i="2"/>
  <c r="P73" i="2"/>
  <c r="P76" i="2"/>
  <c r="P83" i="2"/>
  <c r="P86" i="2"/>
  <c r="O73" i="2"/>
  <c r="H76" i="2"/>
  <c r="H80" i="2"/>
  <c r="H82" i="2"/>
  <c r="H85" i="2"/>
  <c r="H86" i="2"/>
  <c r="H89" i="2"/>
  <c r="P94" i="2"/>
  <c r="G59" i="15"/>
  <c r="H75" i="2"/>
  <c r="O84" i="2"/>
  <c r="G54" i="15"/>
  <c r="G57" i="15"/>
  <c r="F68" i="2"/>
  <c r="D73" i="2"/>
  <c r="L83" i="2"/>
  <c r="F86" i="2"/>
  <c r="F61" i="15"/>
  <c r="D63" i="15"/>
  <c r="F40" i="15"/>
  <c r="L64" i="2"/>
  <c r="D70" i="2"/>
  <c r="L79" i="2"/>
  <c r="F82" i="2"/>
  <c r="D83" i="2"/>
  <c r="F47" i="15"/>
  <c r="D59" i="15"/>
  <c r="R83" i="2"/>
  <c r="M61" i="15"/>
  <c r="J60" i="2"/>
  <c r="I75" i="2"/>
  <c r="R78" i="2"/>
  <c r="K81" i="2"/>
  <c r="I62" i="2"/>
  <c r="R57" i="2"/>
  <c r="R63" i="2"/>
  <c r="I44" i="15"/>
  <c r="J61" i="2"/>
  <c r="D42" i="15"/>
  <c r="D50" i="2"/>
  <c r="F55" i="2"/>
  <c r="F50" i="2"/>
  <c r="D66" i="2"/>
  <c r="L68" i="2"/>
  <c r="F73" i="2"/>
  <c r="F57" i="2"/>
  <c r="D63" i="2"/>
  <c r="F67" i="2"/>
  <c r="D53" i="2"/>
  <c r="F72" i="2"/>
  <c r="L74" i="2"/>
  <c r="L77" i="2"/>
  <c r="F41" i="15"/>
  <c r="O48" i="15"/>
  <c r="F61" i="2"/>
  <c r="L70" i="2"/>
  <c r="F52" i="15"/>
  <c r="D48" i="2"/>
  <c r="D54" i="2"/>
  <c r="D59" i="2"/>
  <c r="F62" i="2"/>
  <c r="D64" i="2"/>
  <c r="L66" i="2"/>
  <c r="L69" i="2"/>
  <c r="D50" i="15"/>
  <c r="P66" i="2"/>
  <c r="P80" i="2"/>
  <c r="P85" i="2"/>
  <c r="P90" i="2"/>
  <c r="P91" i="2"/>
  <c r="P92" i="2"/>
  <c r="N32" i="2"/>
  <c r="L27" i="2"/>
  <c r="E93" i="2"/>
  <c r="E94" i="2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K58" i="15"/>
  <c r="I15" i="4"/>
  <c r="C11" i="10" s="1"/>
  <c r="M15" i="4"/>
  <c r="U14" i="4"/>
  <c r="R14" i="4" s="1"/>
  <c r="R13" i="15" s="1"/>
  <c r="M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M8" i="17" s="1"/>
  <c r="G15" i="4"/>
  <c r="U13" i="4"/>
  <c r="R13" i="4" s="1"/>
  <c r="R12" i="15" s="1"/>
  <c r="M9" i="17" s="1"/>
  <c r="T14" i="4"/>
  <c r="Q14" i="4" s="1"/>
  <c r="J51" i="2"/>
  <c r="F49" i="2"/>
  <c r="D51" i="2"/>
  <c r="F56" i="2"/>
  <c r="F60" i="2"/>
  <c r="E95" i="2"/>
  <c r="F33" i="4"/>
  <c r="F32" i="15" s="1"/>
  <c r="L49" i="2"/>
  <c r="F51" i="2"/>
  <c r="L52" i="2"/>
  <c r="D55" i="2"/>
  <c r="F58" i="2"/>
  <c r="N96" i="2"/>
  <c r="J39" i="15"/>
  <c r="J47" i="15"/>
  <c r="P70" i="2"/>
  <c r="P72" i="2"/>
  <c r="N51" i="2"/>
  <c r="G61" i="2"/>
  <c r="N61" i="2"/>
  <c r="G93" i="2"/>
  <c r="G62" i="2"/>
  <c r="H63" i="2"/>
  <c r="G79" i="2"/>
  <c r="N94" i="2"/>
  <c r="N95" i="2"/>
  <c r="P52" i="15"/>
  <c r="E52" i="2"/>
  <c r="E54" i="2"/>
  <c r="E66" i="2"/>
  <c r="E75" i="2"/>
  <c r="E78" i="2"/>
  <c r="E87" i="2"/>
  <c r="O61" i="2"/>
  <c r="H61" i="2"/>
  <c r="O71" i="2"/>
  <c r="O33" i="4"/>
  <c r="O32" i="15" s="1"/>
  <c r="G47" i="2"/>
  <c r="N49" i="2"/>
  <c r="F52" i="2"/>
  <c r="L55" i="2"/>
  <c r="L57" i="2"/>
  <c r="G50" i="2"/>
  <c r="G56" i="2"/>
  <c r="L58" i="2"/>
  <c r="L59" i="2"/>
  <c r="G67" i="2"/>
  <c r="O40" i="15"/>
  <c r="O41" i="15"/>
  <c r="D49" i="2"/>
  <c r="O49" i="2"/>
  <c r="L50" i="2"/>
  <c r="N54" i="2"/>
  <c r="N55" i="2"/>
  <c r="N58" i="2"/>
  <c r="N69" i="2"/>
  <c r="G89" i="2"/>
  <c r="N89" i="2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49" i="15"/>
  <c r="J50" i="15"/>
  <c r="P59" i="15"/>
  <c r="J61" i="15"/>
  <c r="P47" i="2"/>
  <c r="P52" i="2"/>
  <c r="P55" i="2"/>
  <c r="E60" i="2"/>
  <c r="P61" i="2"/>
  <c r="E62" i="2"/>
  <c r="P62" i="2"/>
  <c r="P63" i="2"/>
  <c r="P65" i="2"/>
  <c r="E67" i="2"/>
  <c r="P67" i="2"/>
  <c r="P68" i="2"/>
  <c r="P69" i="2"/>
  <c r="P71" i="2"/>
  <c r="G49" i="2"/>
  <c r="N50" i="2"/>
  <c r="N52" i="2"/>
  <c r="G54" i="2"/>
  <c r="N56" i="2"/>
  <c r="G63" i="2"/>
  <c r="N64" i="2"/>
  <c r="N72" i="2"/>
  <c r="G77" i="2"/>
  <c r="G83" i="2"/>
  <c r="N83" i="2"/>
  <c r="J59" i="15"/>
  <c r="E89" i="2"/>
  <c r="E91" i="2"/>
  <c r="J43" i="15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40" i="15"/>
  <c r="P55" i="15"/>
  <c r="O55" i="2"/>
  <c r="G39" i="15"/>
  <c r="P60" i="2"/>
  <c r="H53" i="2"/>
  <c r="O53" i="2"/>
  <c r="H55" i="2"/>
  <c r="H58" i="2"/>
  <c r="P58" i="2"/>
  <c r="P59" i="2"/>
  <c r="O60" i="2"/>
  <c r="H66" i="2"/>
  <c r="O66" i="2"/>
  <c r="H68" i="2"/>
  <c r="H33" i="4"/>
  <c r="H32" i="15" s="1"/>
  <c r="G41" i="15"/>
  <c r="K49" i="15"/>
  <c r="G72" i="2"/>
  <c r="N75" i="2"/>
  <c r="E77" i="2"/>
  <c r="E82" i="2"/>
  <c r="E83" i="2"/>
  <c r="O70" i="2"/>
  <c r="P74" i="2"/>
  <c r="P78" i="2"/>
  <c r="P79" i="2"/>
  <c r="P82" i="2"/>
  <c r="O47" i="2"/>
  <c r="G33" i="4"/>
  <c r="G32" i="15" s="1"/>
  <c r="H64" i="2"/>
  <c r="K47" i="15"/>
  <c r="O48" i="2"/>
  <c r="P49" i="2"/>
  <c r="O50" i="2"/>
  <c r="O54" i="2"/>
  <c r="O57" i="2"/>
  <c r="M55" i="15"/>
  <c r="J78" i="2"/>
  <c r="E79" i="2"/>
  <c r="K79" i="2"/>
  <c r="J81" i="2"/>
  <c r="M58" i="15"/>
  <c r="L65" i="15"/>
  <c r="I90" i="2"/>
  <c r="I91" i="2"/>
  <c r="H49" i="2"/>
  <c r="H54" i="2"/>
  <c r="O69" i="2"/>
  <c r="H72" i="2"/>
  <c r="H73" i="2"/>
  <c r="E47" i="2"/>
  <c r="E35" i="15"/>
  <c r="E51" i="2"/>
  <c r="E55" i="2"/>
  <c r="I55" i="2"/>
  <c r="E59" i="2"/>
  <c r="E63" i="2"/>
  <c r="E70" i="2"/>
  <c r="E72" i="2"/>
  <c r="E73" i="2"/>
  <c r="J73" i="2"/>
  <c r="M51" i="15"/>
  <c r="E74" i="2"/>
  <c r="M52" i="15"/>
  <c r="J74" i="2"/>
  <c r="J76" i="2"/>
  <c r="L54" i="15"/>
  <c r="I77" i="2"/>
  <c r="I83" i="2"/>
  <c r="I84" i="2"/>
  <c r="J84" i="2"/>
  <c r="J87" i="2"/>
  <c r="R88" i="2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G78" i="2"/>
  <c r="J79" i="2"/>
  <c r="R79" i="2"/>
  <c r="J80" i="2"/>
  <c r="J83" i="2"/>
  <c r="O83" i="2"/>
  <c r="E85" i="2"/>
  <c r="I85" i="2"/>
  <c r="L62" i="15"/>
  <c r="P84" i="2"/>
  <c r="K67" i="2"/>
  <c r="N48" i="15"/>
  <c r="K68" i="2"/>
  <c r="R69" i="2"/>
  <c r="I50" i="15"/>
  <c r="U56" i="4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J50" i="2"/>
  <c r="M35" i="15"/>
  <c r="J58" i="2"/>
  <c r="I65" i="2"/>
  <c r="I40" i="15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N45" i="15"/>
  <c r="N47" i="15"/>
  <c r="E33" i="4"/>
  <c r="E32" i="15" s="1"/>
  <c r="E65" i="2"/>
  <c r="E69" i="2"/>
  <c r="I53" i="2"/>
  <c r="L33" i="15"/>
  <c r="I38" i="15"/>
  <c r="R54" i="2"/>
  <c r="K59" i="2"/>
  <c r="I61" i="2"/>
  <c r="L45" i="15"/>
  <c r="I46" i="15"/>
  <c r="R62" i="2"/>
  <c r="M41" i="15"/>
  <c r="J65" i="2"/>
  <c r="R65" i="2"/>
  <c r="M40" i="15"/>
  <c r="J66" i="2"/>
  <c r="I68" i="2"/>
  <c r="I69" i="2"/>
  <c r="I49" i="15"/>
  <c r="R70" i="2"/>
  <c r="I72" i="2"/>
  <c r="K72" i="2"/>
  <c r="I73" i="2"/>
  <c r="R73" i="2"/>
  <c r="I51" i="15"/>
  <c r="N52" i="15"/>
  <c r="K74" i="2"/>
  <c r="R74" i="2"/>
  <c r="K51" i="2"/>
  <c r="N36" i="15"/>
  <c r="N40" i="15"/>
  <c r="K66" i="2"/>
  <c r="J68" i="2"/>
  <c r="K71" i="2"/>
  <c r="M53" i="15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I42" i="15"/>
  <c r="M46" i="15"/>
  <c r="N50" i="15"/>
  <c r="L52" i="15"/>
  <c r="K75" i="2"/>
  <c r="I53" i="15"/>
  <c r="U82" i="4"/>
  <c r="R82" i="4" s="1"/>
  <c r="E68" i="2"/>
  <c r="E76" i="2"/>
  <c r="L57" i="15"/>
  <c r="I80" i="2"/>
  <c r="I61" i="15"/>
  <c r="R85" i="2"/>
  <c r="I54" i="15"/>
  <c r="R77" i="2"/>
  <c r="N55" i="15"/>
  <c r="K78" i="2"/>
  <c r="E80" i="2"/>
  <c r="K82" i="2"/>
  <c r="E84" i="2"/>
  <c r="N62" i="15"/>
  <c r="K86" i="2"/>
  <c r="E88" i="2"/>
  <c r="L63" i="15"/>
  <c r="I88" i="2"/>
  <c r="K90" i="2"/>
  <c r="E92" i="2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48" i="15"/>
  <c r="K94" i="2"/>
  <c r="U11" i="4"/>
  <c r="R11" i="4" s="1"/>
  <c r="R10" i="15" s="1"/>
  <c r="M7" i="17" s="1"/>
  <c r="P15" i="4"/>
  <c r="D11" i="10" s="1"/>
  <c r="H10" i="4"/>
  <c r="M67" i="15" l="1"/>
  <c r="G65" i="15"/>
  <c r="D65" i="15"/>
  <c r="J64" i="15"/>
  <c r="D51" i="15"/>
  <c r="T51" i="15" s="1"/>
  <c r="Q51" i="15" s="1"/>
  <c r="Q94" i="2"/>
  <c r="Q91" i="2"/>
  <c r="P53" i="15"/>
  <c r="U53" i="15" s="1"/>
  <c r="R53" i="15" s="1"/>
  <c r="M95" i="2"/>
  <c r="D64" i="15"/>
  <c r="T81" i="4"/>
  <c r="Q81" i="4" s="1"/>
  <c r="O65" i="15"/>
  <c r="U79" i="4"/>
  <c r="R79" i="4" s="1"/>
  <c r="Q96" i="2"/>
  <c r="Q80" i="2"/>
  <c r="Q85" i="2"/>
  <c r="Q76" i="2"/>
  <c r="Q72" i="2"/>
  <c r="Q65" i="2"/>
  <c r="Q67" i="2"/>
  <c r="Q68" i="2"/>
  <c r="Q82" i="2"/>
  <c r="Q77" i="2"/>
  <c r="D60" i="15"/>
  <c r="O47" i="15"/>
  <c r="U50" i="4"/>
  <c r="R50" i="4" s="1"/>
  <c r="P40" i="15"/>
  <c r="T42" i="4"/>
  <c r="Q42" i="4" s="1"/>
  <c r="Q93" i="2"/>
  <c r="Q89" i="2"/>
  <c r="Q87" i="2"/>
  <c r="Q88" i="2"/>
  <c r="P32" i="15"/>
  <c r="T33" i="4"/>
  <c r="Q33" i="4" s="1"/>
  <c r="U33" i="4"/>
  <c r="R33" i="4" s="1"/>
  <c r="H63" i="15"/>
  <c r="H48" i="15"/>
  <c r="M14" i="15"/>
  <c r="H11" i="17" s="1"/>
  <c r="H6" i="17"/>
  <c r="P14" i="15"/>
  <c r="K11" i="17" s="1"/>
  <c r="K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D11" i="17" s="1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G63" i="15"/>
  <c r="O63" i="15"/>
  <c r="U76" i="4"/>
  <c r="R76" i="4" s="1"/>
  <c r="N65" i="15"/>
  <c r="E49" i="15"/>
  <c r="U41" i="4"/>
  <c r="R41" i="4" s="1"/>
  <c r="N39" i="15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D66" i="15"/>
  <c r="O64" i="15"/>
  <c r="F8" i="10"/>
  <c r="Q11" i="15"/>
  <c r="L8" i="17" s="1"/>
  <c r="G7" i="10"/>
  <c r="F10" i="10"/>
  <c r="Q13" i="15"/>
  <c r="L10" i="17" s="1"/>
  <c r="G8" i="10"/>
  <c r="H15" i="4"/>
  <c r="H9" i="15"/>
  <c r="H14" i="15" s="1"/>
  <c r="G9" i="10"/>
  <c r="G10" i="10"/>
  <c r="F9" i="10"/>
  <c r="Q12" i="15"/>
  <c r="L9" i="17" s="1"/>
  <c r="F7" i="10"/>
  <c r="Q10" i="15"/>
  <c r="L7" i="17" s="1"/>
  <c r="I14" i="15"/>
  <c r="H6" i="10"/>
  <c r="S9" i="15"/>
  <c r="N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T65" i="15" l="1"/>
  <c r="Q65" i="15" s="1"/>
  <c r="T64" i="15"/>
  <c r="Q64" i="15" s="1"/>
  <c r="T60" i="15"/>
  <c r="Q60" i="15" s="1"/>
  <c r="T40" i="15"/>
  <c r="Q40" i="15" s="1"/>
  <c r="U40" i="15"/>
  <c r="R40" i="15" s="1"/>
  <c r="U32" i="15"/>
  <c r="R32" i="15" s="1"/>
  <c r="T32" i="15"/>
  <c r="Q32" i="15" s="1"/>
  <c r="U39" i="15"/>
  <c r="R39" i="15" s="1"/>
  <c r="S68" i="15"/>
  <c r="N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L6" i="17" s="1"/>
  <c r="T83" i="4"/>
  <c r="Q83" i="4" s="1"/>
  <c r="Q97" i="2"/>
  <c r="U83" i="4"/>
  <c r="R83" i="4" s="1"/>
  <c r="M97" i="2"/>
  <c r="R68" i="15" l="1"/>
  <c r="M11" i="17"/>
  <c r="Q68" i="15"/>
  <c r="L11" i="17"/>
</calcChain>
</file>

<file path=xl/sharedStrings.xml><?xml version="1.0" encoding="utf-8"?>
<sst xmlns="http://schemas.openxmlformats.org/spreadsheetml/2006/main" count="6554" uniqueCount="1416">
  <si>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</si>
  <si>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</si>
  <si>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</si>
  <si>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</si>
  <si>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</si>
  <si>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</si>
  <si>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</si>
  <si>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</si>
  <si>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</si>
  <si>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</si>
  <si>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</si>
  <si>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</si>
  <si>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</si>
  <si>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</si>
  <si>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</si>
  <si>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</si>
  <si>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</si>
  <si>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</si>
  <si>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</si>
  <si>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</si>
  <si>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</si>
  <si>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</si>
  <si>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</si>
  <si>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</si>
  <si>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</si>
  <si>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</si>
  <si>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</si>
  <si>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</si>
  <si>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</si>
  <si>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</si>
  <si>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</si>
  <si>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</si>
  <si>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</si>
  <si>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</si>
  <si>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</si>
  <si>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</si>
  <si>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</si>
  <si>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</si>
  <si>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</si>
  <si>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</si>
  <si>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</si>
  <si>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</si>
  <si>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</si>
  <si>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</si>
  <si>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</si>
  <si>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</si>
  <si>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</si>
  <si>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</si>
  <si>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</si>
  <si>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</si>
  <si>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</si>
  <si>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</si>
  <si>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</si>
  <si>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</si>
  <si>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</si>
  <si>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</si>
  <si>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</si>
  <si>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</si>
  <si>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</si>
  <si>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</si>
  <si>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</si>
  <si>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</si>
  <si>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</si>
  <si>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</si>
  <si>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</si>
  <si>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</si>
  <si>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</si>
  <si>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</si>
  <si>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</si>
  <si>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</si>
  <si>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</si>
  <si>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</si>
  <si>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</si>
  <si>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</si>
  <si>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</si>
  <si>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</si>
  <si>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</si>
  <si>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</si>
  <si>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</si>
  <si>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</si>
  <si>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</si>
  <si>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</si>
  <si>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</si>
  <si>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</si>
  <si>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</si>
  <si>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</si>
  <si>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</si>
  <si>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</si>
  <si>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</si>
  <si>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</si>
  <si>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</si>
  <si>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</si>
  <si>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</si>
  <si>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</si>
  <si>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</si>
  <si>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</si>
  <si>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</si>
  <si>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</si>
  <si>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</si>
  <si>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</si>
  <si>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</si>
  <si>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</si>
  <si>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</si>
  <si>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</si>
  <si>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</si>
  <si>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</si>
  <si>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</si>
  <si>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</si>
  <si>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</si>
  <si>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</si>
  <si>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</si>
  <si>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</si>
  <si>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</si>
  <si>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</si>
  <si>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</si>
  <si>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</si>
  <si>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</si>
  <si>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</si>
  <si>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</si>
  <si>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</si>
  <si>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</si>
  <si>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</si>
  <si>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</si>
  <si>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</si>
  <si>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</si>
  <si>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</si>
  <si>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</si>
  <si>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</si>
  <si>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</si>
  <si>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</si>
  <si>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</si>
  <si>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</si>
  <si>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</si>
  <si>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</si>
  <si>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</si>
  <si>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</si>
  <si>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</si>
  <si>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</si>
  <si>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</si>
  <si>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</si>
  <si>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</si>
  <si>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</si>
  <si>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</si>
  <si>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</si>
  <si>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</si>
  <si>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</si>
  <si>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</si>
  <si>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</si>
  <si>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</si>
  <si>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</si>
  <si>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</si>
  <si>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</si>
  <si>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</si>
  <si>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</si>
  <si>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</si>
  <si>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</si>
  <si>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</si>
  <si>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</si>
  <si>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</si>
  <si>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</si>
  <si>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</si>
  <si>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</si>
  <si>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</si>
  <si>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</si>
  <si>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</si>
  <si>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</si>
  <si>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</si>
  <si>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</si>
  <si>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</si>
  <si>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</si>
  <si>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</si>
  <si>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</si>
  <si>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</si>
  <si>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</si>
  <si>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</si>
  <si>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</si>
  <si>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</si>
  <si>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</si>
  <si>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</si>
  <si>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</si>
  <si>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</si>
  <si>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</si>
  <si>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</si>
  <si>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</si>
  <si>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</si>
  <si>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</si>
  <si>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</si>
  <si>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</si>
  <si>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</si>
  <si>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</si>
  <si>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</si>
  <si>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</si>
  <si>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</si>
  <si>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</si>
  <si>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</si>
  <si>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</si>
  <si>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</si>
  <si>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</si>
  <si>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</si>
  <si>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</si>
  <si>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</si>
  <si>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</si>
  <si>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</si>
  <si>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</si>
  <si>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</si>
  <si>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</si>
  <si>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</si>
  <si>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</si>
  <si>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</si>
  <si>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</si>
  <si>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</si>
  <si>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</si>
  <si>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</si>
  <si>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</si>
  <si>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</si>
  <si>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</si>
  <si>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</si>
  <si>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</si>
  <si>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</si>
  <si>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</si>
  <si>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</si>
  <si>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</si>
  <si>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</si>
  <si>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</si>
  <si>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</si>
  <si>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</si>
  <si>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</si>
  <si>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</si>
  <si>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</si>
  <si>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</si>
  <si>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</si>
  <si>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</si>
  <si>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</si>
  <si>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</si>
  <si>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</si>
  <si>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</si>
  <si>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</si>
  <si>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</si>
  <si>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</si>
  <si>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</si>
  <si>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</si>
  <si>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</si>
  <si>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</si>
  <si>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</si>
  <si>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</si>
  <si>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</si>
  <si>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</si>
  <si>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</si>
  <si>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</si>
  <si>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</si>
  <si>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</si>
  <si>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</si>
  <si>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</si>
  <si>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</si>
  <si>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</si>
  <si>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</si>
  <si>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</si>
  <si>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</si>
  <si>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</si>
  <si>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</si>
  <si>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</si>
  <si>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</si>
  <si>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</si>
  <si>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</si>
  <si>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</si>
  <si>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</si>
  <si>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</si>
  <si>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</si>
  <si>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</si>
  <si>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</si>
  <si>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</si>
  <si>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</si>
  <si>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</si>
  <si>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</si>
  <si>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</si>
  <si>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</si>
  <si>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</si>
  <si>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</si>
  <si>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</si>
  <si>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</si>
  <si>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</si>
  <si>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</si>
  <si>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</si>
  <si>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</si>
  <si>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</si>
  <si>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</si>
  <si>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</si>
  <si>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</si>
  <si>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</si>
  <si>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</si>
  <si>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</si>
  <si>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</si>
  <si>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</si>
  <si>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</si>
  <si>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</si>
  <si>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</si>
  <si>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</si>
  <si>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</si>
  <si>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</si>
  <si>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</si>
  <si>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</si>
  <si>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</si>
  <si>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</si>
  <si>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</si>
  <si>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</si>
  <si>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</si>
  <si>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</si>
  <si>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</si>
  <si>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</si>
  <si>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</si>
  <si>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</si>
  <si>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</si>
  <si>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</si>
  <si>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</si>
  <si>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</si>
  <si>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</si>
  <si>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</si>
  <si>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</si>
  <si>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</si>
  <si>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</si>
  <si>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</si>
  <si>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</si>
  <si>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</si>
  <si>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</si>
  <si>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</si>
  <si>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</si>
  <si>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</si>
  <si>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</si>
  <si>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</si>
  <si>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</si>
  <si>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</si>
  <si>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</si>
  <si>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</si>
  <si>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</si>
  <si>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</si>
  <si>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</si>
  <si>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</si>
  <si>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</si>
  <si>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</si>
  <si>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</si>
  <si>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</si>
  <si>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</si>
  <si>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</si>
  <si>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</si>
  <si>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</si>
  <si>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</si>
  <si>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</si>
  <si>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</si>
  <si>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</si>
  <si>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</si>
  <si>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</si>
  <si>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</si>
  <si>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</si>
  <si>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</si>
  <si>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</si>
  <si>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</si>
  <si>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</si>
  <si>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</si>
  <si>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</si>
  <si>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</si>
  <si>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</si>
  <si>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</si>
  <si>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</si>
  <si>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</si>
  <si>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</si>
  <si>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</si>
  <si>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</si>
  <si>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</si>
  <si>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</si>
  <si>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</si>
  <si>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</si>
  <si>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</si>
  <si>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</si>
  <si>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</si>
  <si>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</si>
  <si>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</si>
  <si>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</si>
  <si>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</si>
  <si>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</si>
  <si>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</si>
  <si>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</si>
  <si>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</si>
  <si>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</si>
  <si>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</si>
  <si>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</si>
  <si>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</si>
  <si>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</si>
  <si>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</si>
  <si>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</si>
  <si>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</si>
  <si>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</si>
  <si>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</si>
  <si>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</si>
  <si>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</si>
  <si>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</si>
  <si>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</si>
  <si>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</si>
  <si>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</si>
  <si>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</si>
  <si>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</si>
  <si>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</si>
  <si>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</si>
  <si>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</si>
  <si>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</si>
  <si>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</si>
  <si>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</si>
  <si>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</si>
  <si>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</si>
  <si>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</si>
  <si>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</si>
  <si>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</si>
  <si>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</si>
  <si>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</si>
  <si>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</si>
  <si>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</si>
  <si>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</si>
  <si>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</si>
  <si>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</si>
  <si>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</si>
  <si>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</si>
  <si>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</si>
  <si>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</si>
  <si>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</si>
  <si>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</si>
  <si>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</si>
  <si>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</si>
  <si>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</si>
  <si>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</si>
  <si>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</si>
  <si>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</si>
  <si>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</si>
  <si>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</si>
  <si>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</si>
  <si>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</si>
  <si>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</si>
  <si>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</si>
  <si>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</si>
  <si>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</si>
  <si>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</si>
  <si>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</si>
  <si>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</si>
  <si>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</si>
  <si>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</si>
  <si>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</si>
  <si>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</si>
  <si>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</si>
  <si>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</si>
  <si>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</si>
  <si>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</si>
  <si>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</si>
  <si>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</si>
  <si>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</si>
  <si>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</si>
  <si>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</si>
  <si>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</si>
  <si>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</si>
  <si>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</si>
  <si>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</si>
  <si>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</si>
  <si>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</si>
  <si>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</si>
  <si>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</si>
  <si>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</si>
  <si>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</si>
  <si>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</si>
  <si>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</si>
  <si>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</si>
  <si>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</si>
  <si>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</si>
  <si>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</si>
  <si>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</si>
  <si>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</si>
  <si>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</si>
  <si>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</si>
  <si>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</si>
  <si>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</si>
  <si>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</si>
  <si>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</si>
  <si>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</si>
  <si>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</si>
  <si>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</si>
  <si>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</si>
  <si>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</si>
  <si>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</si>
  <si>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</si>
  <si>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</si>
  <si>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</si>
  <si>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</si>
  <si>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</si>
  <si>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</si>
  <si>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</si>
  <si>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</si>
  <si>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</si>
  <si>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</si>
  <si>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</si>
  <si>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</si>
  <si>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</si>
  <si>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</si>
  <si>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</si>
  <si>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</si>
  <si>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</si>
  <si>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</si>
  <si>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</si>
  <si>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</si>
  <si>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</si>
  <si>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</si>
  <si>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</si>
  <si>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</si>
  <si>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</si>
  <si>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</si>
  <si>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</si>
  <si>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</si>
  <si>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</si>
  <si>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</si>
  <si>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</si>
  <si>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</si>
  <si>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</si>
  <si>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</si>
  <si>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</si>
  <si>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</si>
  <si>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</si>
  <si>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</si>
  <si>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</si>
  <si>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</si>
  <si>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</si>
  <si>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</si>
  <si>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</si>
  <si>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</si>
  <si>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</si>
  <si>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</si>
  <si>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</si>
  <si>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</si>
  <si>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</si>
  <si>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</si>
  <si>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REVOKE %</t>
  </si>
  <si>
    <t>KAPASAN</t>
  </si>
  <si>
    <t>BREBES</t>
  </si>
  <si>
    <t>PEMALANG</t>
  </si>
  <si>
    <t>CC - HD1A - INPROGRESS UNCONTACTED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</si>
  <si>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</si>
  <si>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</si>
  <si>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</si>
  <si>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9 | WFM - UN-SCS</t>
  </si>
  <si>
    <t>UNSC</t>
  </si>
  <si>
    <t>YOGYAKARTA</t>
  </si>
  <si>
    <t>PURWODADI</t>
  </si>
  <si>
    <t>SINGARJA</t>
  </si>
  <si>
    <t>SEMARAPURA</t>
  </si>
  <si>
    <t>NGADILUWIH</t>
  </si>
  <si>
    <t>KLOJEN</t>
  </si>
  <si>
    <t>WLINGI</t>
  </si>
  <si>
    <t>MAGETAN</t>
  </si>
  <si>
    <t>INNER - SOLO JATENG TIMUR</t>
  </si>
  <si>
    <t>DENPASAR</t>
  </si>
  <si>
    <t>SALATIGA</t>
  </si>
  <si>
    <t>SLI</t>
  </si>
  <si>
    <t>GENTENG</t>
  </si>
  <si>
    <t>DOMPU</t>
  </si>
  <si>
    <t>CARUBAN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</si>
  <si>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</si>
  <si>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</si>
  <si>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MERGOYOSO</t>
  </si>
  <si>
    <t>SEPANJANG</t>
  </si>
  <si>
    <t>RBS-Regional 2</t>
  </si>
  <si>
    <t>INNER - YOGYA JATENG SELATAN</t>
  </si>
  <si>
    <t>TUREN</t>
  </si>
  <si>
    <t>SINGOSARI</t>
  </si>
  <si>
    <t>B2B Partner Management (PM)</t>
  </si>
  <si>
    <t>KRT</t>
  </si>
  <si>
    <t>KERTOSONO</t>
  </si>
  <si>
    <t>SAWOJAJAR</t>
  </si>
  <si>
    <t>LABUAN BAJO</t>
  </si>
  <si>
    <t>BAJAWA</t>
  </si>
  <si>
    <t>KANDANGAN</t>
  </si>
  <si>
    <t>AMBULU</t>
  </si>
  <si>
    <t>SEMINYAK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</si>
  <si>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</si>
  <si>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</si>
  <si>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BAMBE</t>
  </si>
  <si>
    <t>BENOA</t>
  </si>
  <si>
    <t>BANGIL</t>
  </si>
  <si>
    <t>RUNGKUT</t>
  </si>
  <si>
    <t>GEDANGAN</t>
  </si>
  <si>
    <t>JAGIR</t>
  </si>
  <si>
    <t>PACITAN</t>
  </si>
  <si>
    <t>UBUD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</si>
  <si>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</si>
  <si>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</si>
  <si>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</si>
  <si>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</si>
  <si>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</si>
  <si>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</si>
  <si>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</si>
  <si>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</si>
  <si>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</si>
  <si>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</si>
  <si>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</si>
  <si>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</si>
  <si>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</si>
  <si>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</si>
  <si>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</si>
  <si>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</si>
  <si>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</si>
  <si>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</si>
  <si>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</si>
  <si>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</si>
  <si>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</si>
  <si>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</si>
  <si>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</si>
  <si>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</si>
  <si>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</si>
  <si>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</si>
  <si>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</si>
  <si>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</si>
  <si>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</si>
  <si>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</si>
  <si>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</si>
  <si>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</si>
  <si>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</si>
  <si>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</si>
  <si>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</si>
  <si>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</si>
  <si>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</si>
  <si>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</si>
  <si>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</si>
  <si>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</si>
  <si>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</si>
  <si>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</si>
  <si>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</si>
  <si>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</si>
  <si>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</si>
  <si>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</si>
  <si>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</si>
  <si>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</si>
  <si>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</si>
  <si>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</si>
  <si>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</si>
  <si>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</si>
  <si>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</si>
  <si>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</si>
  <si>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</si>
  <si>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</si>
  <si>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</si>
  <si>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</si>
  <si>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</si>
  <si>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</si>
  <si>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</si>
  <si>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</si>
  <si>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</si>
  <si>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</si>
  <si>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</si>
  <si>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</si>
  <si>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</si>
  <si>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</si>
  <si>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</si>
  <si>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</si>
  <si>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</si>
  <si>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</si>
  <si>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</si>
  <si>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</si>
  <si>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</si>
  <si>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</si>
  <si>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</si>
  <si>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</si>
  <si>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</si>
  <si>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</si>
  <si>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</si>
  <si>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</si>
  <si>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</si>
  <si>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</si>
  <si>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</si>
  <si>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</si>
  <si>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</si>
  <si>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</si>
  <si>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</si>
  <si>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</si>
  <si>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</si>
  <si>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</si>
  <si>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</si>
  <si>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</si>
  <si>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</si>
  <si>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</si>
  <si>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</si>
  <si>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</si>
  <si>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</si>
  <si>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</si>
  <si>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</si>
  <si>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</si>
  <si>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</si>
  <si>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</si>
  <si>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</si>
  <si>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</si>
  <si>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</si>
  <si>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</si>
  <si>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</si>
  <si>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</si>
  <si>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</si>
  <si>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</si>
  <si>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</si>
  <si>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</si>
  <si>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</si>
  <si>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</si>
  <si>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</si>
  <si>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</si>
  <si>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</si>
  <si>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</si>
  <si>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</si>
  <si>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</si>
  <si>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</si>
  <si>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</si>
  <si>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</si>
  <si>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</si>
  <si>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</si>
  <si>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</si>
  <si>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</si>
  <si>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</si>
  <si>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</si>
  <si>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</si>
  <si>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</si>
  <si>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</si>
  <si>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</si>
  <si>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</si>
  <si>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</si>
  <si>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</si>
  <si>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</si>
  <si>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</si>
  <si>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</si>
  <si>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</si>
  <si>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</si>
  <si>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</si>
  <si>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</si>
  <si>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</si>
  <si>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</si>
  <si>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</si>
  <si>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</si>
  <si>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</si>
  <si>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</si>
  <si>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</si>
  <si>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</si>
  <si>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</si>
  <si>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</si>
  <si>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</si>
  <si>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</si>
  <si>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</si>
  <si>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</si>
  <si>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</si>
  <si>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</si>
  <si>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</si>
  <si>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</si>
  <si>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</si>
  <si>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</si>
  <si>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</si>
  <si>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</si>
  <si>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</si>
  <si>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</si>
  <si>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</si>
  <si>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</si>
  <si>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</si>
  <si>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</si>
  <si>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</si>
  <si>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</si>
  <si>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</si>
  <si>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</si>
  <si>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</si>
  <si>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</si>
  <si>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</si>
  <si>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</si>
  <si>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</si>
  <si>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</si>
  <si>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</si>
  <si>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</si>
  <si>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</si>
  <si>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</si>
  <si>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</si>
  <si>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</si>
  <si>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</si>
  <si>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</si>
  <si>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</si>
  <si>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</si>
  <si>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</si>
  <si>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</si>
  <si>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</si>
  <si>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</si>
  <si>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</si>
  <si>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</si>
  <si>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</si>
  <si>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</si>
  <si>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</si>
  <si>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</si>
  <si>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</si>
  <si>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</si>
  <si>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</si>
  <si>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</si>
  <si>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</si>
  <si>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</si>
  <si>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</si>
  <si>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new telda</t>
  </si>
  <si>
    <t>PAT</t>
  </si>
  <si>
    <t>BANTUL</t>
  </si>
  <si>
    <t>MIE - INVALID SURVEY - Kendala Jalur/Rute Tarikan</t>
  </si>
  <si>
    <t>PWT</t>
  </si>
  <si>
    <t>BTL</t>
  </si>
  <si>
    <t>HSI Bisnis PSB 70% - 150 Mbps</t>
  </si>
  <si>
    <t>JHR</t>
  </si>
  <si>
    <t>KBU</t>
  </si>
  <si>
    <t>KUD</t>
  </si>
  <si>
    <t>PS/PI  (%) (Target 94%)</t>
  </si>
  <si>
    <t>TTI COMPLY  1X 24  (%) (Target 94%)</t>
  </si>
  <si>
    <t>QC2</t>
  </si>
  <si>
    <t xml:space="preserve">PROVISIONING NEW SALES INDIBIZ TR3 JBN MTD H-1  </t>
  </si>
  <si>
    <t>KLP</t>
  </si>
  <si>
    <t>JOHAR</t>
  </si>
  <si>
    <t>LOMBOK TENGAH</t>
  </si>
  <si>
    <t>SUMBAWA TIMUR</t>
  </si>
  <si>
    <t>LOMBOK UTARA</t>
  </si>
  <si>
    <t>BIMA BARAT</t>
  </si>
  <si>
    <t>WARU INJOKO</t>
  </si>
  <si>
    <t>KLAMPOK</t>
  </si>
  <si>
    <t>REGISTER (RE)</t>
  </si>
  <si>
    <t>MYCX - SEND OPEN PAPERLESS</t>
  </si>
  <si>
    <t>SEND PAPERLESS OPEN</t>
  </si>
  <si>
    <t>WONOSOBO</t>
  </si>
  <si>
    <t>WOS</t>
  </si>
  <si>
    <t>HSI Bisnis Bundling OCA Breach Checker Promo H2 2026 PSB 70% - 200 Mbps</t>
  </si>
  <si>
    <t>PADANGAN</t>
  </si>
  <si>
    <t>SLEMAN</t>
  </si>
  <si>
    <t>GOD</t>
  </si>
  <si>
    <t>LOMBOK TIMUR</t>
  </si>
  <si>
    <t>2P INET + VOICE</t>
  </si>
  <si>
    <t>NON-HERO GRESIK</t>
  </si>
  <si>
    <t>ODP-KBL-FGW/05 FGW/D01/05.01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</si>
  <si>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</si>
  <si>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BLORA</t>
  </si>
  <si>
    <t>BLO</t>
  </si>
  <si>
    <t>SEMARANG TUGU</t>
  </si>
  <si>
    <t>HSI Bisnis Bundling Netmonk Promo 2026 PSB 70% - 100 Mbps</t>
  </si>
  <si>
    <t>SMT</t>
  </si>
  <si>
    <t>TOKO SEMBAKO MADURA</t>
  </si>
  <si>
    <t>100 | REVOKE COMPLETED</t>
  </si>
  <si>
    <t>Revoke Completed</t>
  </si>
  <si>
    <t>Kendala Teknik</t>
  </si>
  <si>
    <t>OSS - FALLOUT</t>
  </si>
  <si>
    <t>FO_WFM</t>
  </si>
  <si>
    <t>Kendala Pelanggan</t>
  </si>
  <si>
    <t>TAHUN</t>
  </si>
  <si>
    <t>BULAN</t>
  </si>
  <si>
    <t>TANGGAL</t>
  </si>
  <si>
    <t>PURBALINGGA</t>
  </si>
  <si>
    <t>TROPODO</t>
  </si>
  <si>
    <t>JATIROGO BANCAR</t>
  </si>
  <si>
    <t>BLIMBING</t>
  </si>
  <si>
    <t>KENDAL</t>
  </si>
  <si>
    <t>SRAGEN</t>
  </si>
  <si>
    <t>PWB</t>
  </si>
  <si>
    <t>SOBIZ</t>
  </si>
  <si>
    <t>HSI Bisnis Basic Bundling Netmonk Promo H2 2026 PSB 70% - 150 Mbps</t>
  </si>
  <si>
    <t>- SP_NOSS;SP_NOSS ~ Internet NOSS Multispeed Network[0]  - SP_NOSS;SP_NOSS ~ Internet NOSS Multispeed Network[0]  - E25060;E25060 ~ ES25 - Paket HSI Bisnis (HSIE) Khusus Winback 2.0[0]  - E25060~null~E25060_UNL;UNL ~ Internet-Link Unlimited Internet Usage</t>
  </si>
  <si>
    <t>SAMBIT SUMOROTO</t>
  </si>
  <si>
    <t>BRB</t>
  </si>
  <si>
    <t>HSI Bisnis Bundling OCA Breach Checker Promo H2 2026 Dual Band PSB 70% - 100 Mbps</t>
  </si>
  <si>
    <t>KDL</t>
  </si>
  <si>
    <t>BMU</t>
  </si>
  <si>
    <t>BUMIAYU</t>
  </si>
  <si>
    <t>HSI Bisnis Basic Bundling Phone PSB 70% - Free 800 Menit - 50 Mbps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</si>
  <si>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</si>
  <si>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>SRG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</si>
  <si>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</si>
  <si>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HSI Bisnis Khusus Winback PSB 70% - 200 Mbps</t>
  </si>
  <si>
    <t>WONOGIRI</t>
  </si>
  <si>
    <t>RDD</t>
  </si>
  <si>
    <t>RANDUDONGKAL</t>
  </si>
  <si>
    <t>BBT</t>
  </si>
  <si>
    <t>BOBOTSARI</t>
  </si>
  <si>
    <t>HSI Bisnis Bundling Phone PSB 70% - Free 800 Menit - 50 Mbps</t>
  </si>
  <si>
    <t>HSI Bisnis Bundling Netmonk Promo H2 2026 PSB 70% - 50 Mbps</t>
  </si>
  <si>
    <t>TEGAL</t>
  </si>
  <si>
    <t>HSI Bisnis Bundling Netmonk PSB 70% - 200 Mbps</t>
  </si>
  <si>
    <t>DMA</t>
  </si>
  <si>
    <t>DEMAK</t>
  </si>
  <si>
    <t>HSI Bisnis Bundling Netmonk PSB 70% - 150 Mbps</t>
  </si>
  <si>
    <t>HSI Bisnis Promo Hari Pelanggan Nasional PSB 70% - 100 Mbps</t>
  </si>
  <si>
    <t>HSI Bisnis Promo Hari Pelanggan Nasional PSB 70% - 200 Mbps</t>
  </si>
  <si>
    <t>HSI Bisnis Promo Hari Pelanggan Nasional PSB 70% - 50 Mbps</t>
  </si>
  <si>
    <t>HSI Bisnis Promo Hari Pelanggan Nasional PSB 70% - 100 Mbps Dual Band</t>
  </si>
  <si>
    <t>HSI Bisnis Promo Hari Pelanggan Nasional PSB 70% - 300 Mbps</t>
  </si>
  <si>
    <t>HSI Bisnis Basic Promo Hari Pelanggan Nasional PSB 70% - 50 Mbps</t>
  </si>
  <si>
    <t>HSI Bisnis Basic Promo Hari Pelanggan Nasional PSB 70% - 75 Mbps</t>
  </si>
  <si>
    <t>HSI Bisnis Basic Promo Hari Pelanggan Nasional PSB 70% - 200 Mbps</t>
  </si>
  <si>
    <t>HSI Bisnis Promo Hari Pelanggan Nasional PSB 70% - 75 Mbps</t>
  </si>
  <si>
    <t>PRE_PI</t>
  </si>
  <si>
    <t>HSI Bisnis Basic PSB 70% - 200 Mbps</t>
  </si>
  <si>
    <t>HSI Bisnis Bundling OCA Breach Checker Promo H2 2026 PSB 70% - 75 Mbps</t>
  </si>
  <si>
    <t>HSI Bisnis Basic Promo Hari Pelanggan Nasional PSB 70% - 100 Mbps</t>
  </si>
  <si>
    <t>JSO</t>
  </si>
  <si>
    <t>SMAN 1 TAMBAKREJO</t>
  </si>
  <si>
    <t>|MC20010|MYIA-028170984602/POI/DYAH NUR AINI /082330100128/sman1tambakrejobjn@gmail.com</t>
  </si>
  <si>
    <t>PT. SEMANGAT INOVASI ANAK BANGSA</t>
  </si>
  <si>
    <t>|MB00452|/EURICO JORDAN HAMBALI/8111901993/8111901993/finance.psds@gmail.com</t>
  </si>
  <si>
    <t>OSS - PROVISIONING START</t>
  </si>
  <si>
    <t>Provisioning Start</t>
  </si>
  <si>
    <t>WARKOP KRISNA</t>
  </si>
  <si>
    <t>MGN</t>
  </si>
  <si>
    <t>SMK HARKAT NEGERI KOTA TEGAL</t>
  </si>
  <si>
    <t>RBS-Regional 4</t>
  </si>
  <si>
    <t>ODP-MGN-FA/050</t>
  </si>
  <si>
    <t>JNT MENGANTI</t>
  </si>
  <si>
    <t>MD|MYDB-20260921269265|DN00001/MN01735|JNT MENGANTI|083117586167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</si>
  <si>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E26016;E26016 ~ ES26 </t>
  </si>
  <si>
    <t>ODP-SAP-FAB/60</t>
  </si>
  <si>
    <t>HSI Bisnis Bundling OCA Breach Checker Promo 2026 PSB 70% - 50 Mbps</t>
  </si>
  <si>
    <t xml:space="preserve">2026-09-25 08:00:00 | M Janji : 25 Sept 2026 Jam Pasang : Pagi / Siang Note : hubungi pelanggan jika ingin kelokasi </t>
  </si>
  <si>
    <t>KOS MARANATHA</t>
  </si>
  <si>
    <t>WO064972378</t>
  </si>
  <si>
    <t>MD|MYDB-20260924269584|DC40005/MC40070|KOS MARANATHA|082236819220</t>
  </si>
  <si>
    <t>SRC YANU CELL</t>
  </si>
  <si>
    <t>RANIE SHOP</t>
  </si>
  <si>
    <t>MD|MYDB-20260926269733|SC00001/MC00020|RANIE SHOP|08978905427</t>
  </si>
  <si>
    <t>toko rahmat</t>
  </si>
  <si>
    <t>MD|MYDB-20260926269742|SC00001/MC00127|toko rahmat|08213439748</t>
  </si>
  <si>
    <t>TOKO SAMPOERNA</t>
  </si>
  <si>
    <t>ODP-DMO-FQJ/40 FQJ/D03/40.01</t>
  </si>
  <si>
    <t>CV. KARYA MANDIRI</t>
  </si>
  <si>
    <t>ODP-PAT-FD/037</t>
  </si>
  <si>
    <t>ODP-BWN-FAB/03</t>
  </si>
  <si>
    <t>CV. Sarana Multi Keramindo</t>
  </si>
  <si>
    <t>|MN02813|MYIA-071676003846/POI/Ade Kartika Sari/082231881989/saranamultikeramindo888@gmail.com</t>
  </si>
  <si>
    <t>HAYA TEKNOLOGI INDONESIA</t>
  </si>
  <si>
    <t>2026-03-05 08:00:00|Jam Pasang : Pagi / Siang  Note : hubungi pelanggan jika ingin kelokasi   |RI2334|MYDITA</t>
  </si>
  <si>
    <t>PT. PRADIPTA PERKASA MAKMUR</t>
  </si>
  <si>
    <t>|MN02627|MYIA-081077924838/POI/RHINO FAJAR PRASETYO/6281216490893/ptppmadm@gmail.com</t>
  </si>
  <si>
    <t>OSS - PROVISIONING DESAIN</t>
  </si>
  <si>
    <t>Provisioning Designed</t>
  </si>
  <si>
    <t>ODP-SEL-FAT/17 FAT/D02/17.01</t>
  </si>
  <si>
    <t>HSI Bisnis Promo Hari Pelanggan Nasional PSB 70% - 150 Mbps</t>
  </si>
  <si>
    <t>cafe BIOLA</t>
  </si>
  <si>
    <t>MD|MYDB-20260929269959|DN00001/MN00459|cafe BIOLA|082264149593</t>
  </si>
  <si>
    <t>ODP-PAZ-FT/47</t>
  </si>
  <si>
    <t>PCN MR DIY XMBL</t>
  </si>
  <si>
    <t>|MN00843|MYIA-025118226100/POI/RIZKY NANDA /081289014442/diy.xmbl@panducitiakses.com</t>
  </si>
  <si>
    <t>ODP-PII-FV/03</t>
  </si>
  <si>
    <t>- 11_11446;Biaya PSB HSI EBIS Tunai di Depan ~ 11[150000]  - SP_NOSS;SP_NOSS ~ Internet NOSS Multispeed Network[0]  - E23047;E23047 ~ ES23 - Paket HSI Bisnis Basic[0]  - E23047~null~E23047_UNL;UNL ~ Internet-Link Unlimited Internet Usage ~ E23047[0]  - E2</t>
  </si>
  <si>
    <t>ODP-TUL-FQ/11 FQ/D01/11.01</t>
  </si>
  <si>
    <t>PT BANGKIT LEKULINER INDONESIA</t>
  </si>
  <si>
    <t>PP Al Islam - R. Kom MA 2</t>
  </si>
  <si>
    <t>|MN00282|MYIA-052255698658/POI/Ahmad Reza Ahsani/082311316519/alislambiz60@gmail.com</t>
  </si>
  <si>
    <t>RBS/R2/AM ROBERTO RAPSANJANI 406543/081285505152/AHMAD SARJONO/082123705945/finance@hayateknologi.co.id/PIC : FAJAR : 085693530060</t>
  </si>
  <si>
    <t>2026-10-01 11:00:00|SMAN 1 Tambakrejo, Jalan raya taji Ngambon Tambakrejo Bojonegoro|SYSTEM|MYDITA</t>
  </si>
  <si>
    <t>WIFI DUSUN BASUKI NGUTER</t>
  </si>
  <si>
    <t>|MN01309|/WIFI DUSUN BASUKI NGUTER/PROMO H2 HSI B2B BISNIS + NETMONK (1:1) 100MBPS 556,1RB PSB DISC 70%//nguterdesa@gmail.com/MASKUR/85607566362</t>
  </si>
  <si>
    <t>PT. CAHAYA SURYA BALI INDAH</t>
  </si>
  <si>
    <t>ODP-UBN-FDJ/13</t>
  </si>
  <si>
    <t>|MN02545|/PIC I MADE SALIN/081779993097/madesalin307@gmail.com</t>
  </si>
  <si>
    <t>UNCONTACTED : Mail Box - Memo Putri Arviyanti 40971304|MYDITA</t>
  </si>
  <si>
    <t>- 11_11446;Biaya PSB HSI EBIS Tunai di Depan ~ 11[150000]  - SP_NOSS;SP_NOSS ~ Internet NOSS Multispeed Network[0]  - SP_NOSS;SP_NOSS ~ Internet NOSS Multispeed Network[0]  - E23047;E23047 ~ ES23 - Paket HSI Bisnis Basic[0]  - E23047~null~E23047_UNL;UNL ~</t>
  </si>
  <si>
    <t>Toko Lalu Dirahup</t>
  </si>
  <si>
    <t>ODP-PYA-FAC/24 FAC/D06/24.01</t>
  </si>
  <si>
    <t>WO065523427</t>
  </si>
  <si>
    <t>MD|MYDB-20260930270056|SC00001/MC00046|Toko Lalu Dirahup|087716211449</t>
  </si>
  <si>
    <t xml:space="preserve">2026-10-03 11:00:00 | Nama PIC:  bp lalu No HP: 087716211449 Alt: Tanggal: 03/10/2026 Jam Pasang: Siang Note: Hubungi sebelum ke lokasi, terimakasih. </t>
  </si>
  <si>
    <t>Toko Efendi</t>
  </si>
  <si>
    <t>ODP-SEL-FAU/38</t>
  </si>
  <si>
    <t>WO065464563</t>
  </si>
  <si>
    <t>MD|MYDB-20260930269994|SC00001/MC00149|Toko Efendi|082340824804</t>
  </si>
  <si>
    <t xml:space="preserve">2026-10-03 11:00:00 | M Janji : (02/OKTOBER/2026) jam Pasang : 09:00 Note : hubungi pelanggan jika ingin kelokasi </t>
  </si>
  <si>
    <t>Toko Wiwin</t>
  </si>
  <si>
    <t>WO065495596</t>
  </si>
  <si>
    <t>MD|MYDB-20261001270110|SC00001/MC00149|Toko Wiwin|081902203306</t>
  </si>
  <si>
    <t xml:space="preserve">2026-10-03 11:00:00 | Tgl pemasangan : 3 Oktober 2026 Jam pemasangan : siang Info Tambahan : Hubungi pelanggan dulu sebelum ke lokasi terimakasih  </t>
  </si>
  <si>
    <t>ODP-SGG-FAW/53</t>
  </si>
  <si>
    <t>WO065523290</t>
  </si>
  <si>
    <t>2026-09-27 11:00:00 | Nama : BP MUHANIS   No Hp : 08978905427  No Alt :   Tgl Pemasangan : 27 September 2026  Interval : PAGI   Note : Hubungi pelanggan terlebih dahulu</t>
  </si>
  <si>
    <t>WO065521510</t>
  </si>
  <si>
    <t>2026-09-27 11:00:00 | Tanggal pemasangan 27/09/2026  Jam pemasangan : pagi/siang  Info Tambahan : Hubungi pelanggan dulu sebelum ke lokasi. terimakasih</t>
  </si>
  <si>
    <t>Toko sembako Nani</t>
  </si>
  <si>
    <t>ODP-SIL-FAB/22 FAB/D01/22.01</t>
  </si>
  <si>
    <t>WO065455865</t>
  </si>
  <si>
    <t>|MN02085|MYIA-054044001930/POI/munawir/08871284869/samnetjebo@gmail.com</t>
  </si>
  <si>
    <t>2026-10-02 08:00:00 | M Janji : (02/OKTOBER/2026) jam Pasang : 09:00 Note : hubungi pelanggan jika ingin kelokasi</t>
  </si>
  <si>
    <t>ODP-SBW-FAW/04</t>
  </si>
  <si>
    <t>WO065456609</t>
  </si>
  <si>
    <t>MD|MYDB-20261001270080|SC00001/MC00020|SRC YANU CELL|082341881630</t>
  </si>
  <si>
    <t xml:space="preserve">2026-10-02 08:00:00 | Waktu pemasangan: 01 oktober 2026 Jam pemasangan : 08.00 - 12.00 Mohon hubungi pelanggan sebelum ke lokasi  Terima kasih </t>
  </si>
  <si>
    <t>HSI Bisnis Bundling OCA Breach PSB 70% - 100 Mbps</t>
  </si>
  <si>
    <t>UD DUAPUTRI</t>
  </si>
  <si>
    <t>ODP-ALA-FAE/04</t>
  </si>
  <si>
    <t>WO065495332</t>
  </si>
  <si>
    <t>|MN02367|MYIA-010840744485/POI/ANDI IWANSYAH/082339523123/andiparker66@gmail.com</t>
  </si>
  <si>
    <t>2026-10-02 11:00:00 | Nama PIC : bapak andi No HP : 082339523123 Alt :  M Janji : (JUMAT/2/oktober/2026) jam Pasang : 09:00 Note : hubungi pelanggan jika ingin kelokasi</t>
  </si>
  <si>
    <t>kos putri D&amp;G</t>
  </si>
  <si>
    <t>ODP-KLJ-FV/22 FV/D03/01.22</t>
  </si>
  <si>
    <t>WO065511665</t>
  </si>
  <si>
    <t>|MC20232|MYIA-023889146959/POI/irwan oktavianto/081357121909/au2el1414@gmail.com</t>
  </si>
  <si>
    <t xml:space="preserve">2026-10-02 15:00:00 | Jam pemasangan : 12.00 Info Tambahan : Hubungi pelanggan dulu sebelum ke lokasi terimakasih </t>
  </si>
  <si>
    <t>Senandika Coffee &amp; Heritage</t>
  </si>
  <si>
    <t>ODP-KLJ-FCT/43 FCT/D04/43.01</t>
  </si>
  <si>
    <t>WO065459284</t>
  </si>
  <si>
    <t>|MN02703|MYIA-061394852513/POI/Burhan Muhammad/081125505929/senandikacoffee.malang@gmail.com</t>
  </si>
  <si>
    <t>Apotek K24 Tumpang Malang / Badan Anugerah Timur Gemilang</t>
  </si>
  <si>
    <t>ODP-TMP-FJ/24</t>
  </si>
  <si>
    <t>WO065478497</t>
  </si>
  <si>
    <t>|MC80228|/Apotek K24 Tumpang Malang/Paket HSI Bisnis Promo HPN 1:1 50Mbps/Witarso Praditya/081229773200/anjaraji1996@gmail.com</t>
  </si>
  <si>
    <t>2026-10-02 08:00:00|Jam pemasangan : 12.00 Info Tambahan : Hubungi pelanggan dulu sebelum ke lokasi terimakasih |40951381|MYDITA</t>
  </si>
  <si>
    <t>ODP-BLB-FDW/187</t>
  </si>
  <si>
    <t>WO065508452</t>
  </si>
  <si>
    <t>2026-09-29 08:00:00 | Nama : KARTIKA  No HP : 082231881989  No Alternatif :  M Janji : 29/09/2026  Jam Pasang : Pagi  NoteÃ‚Â :  Hubungi terlebih dahulu sebelum ke lokasi</t>
  </si>
  <si>
    <t>SPBU 54.661.43 YALA</t>
  </si>
  <si>
    <t>ODP-WGI-FE/16 FE/D02/16.01</t>
  </si>
  <si>
    <t>WO065522382</t>
  </si>
  <si>
    <t>|MN00385|MYIA-075793586391/POI/yudha dwi pristianto/085755252087/spbuduren4@gmail.com</t>
  </si>
  <si>
    <t>2026-10-02 15:00:00 | telp :085755252087 alt ;  manja : pagi / siang 02/10/2026 hub sebelum ke lokasi</t>
  </si>
  <si>
    <t>SDIT Daarussalam Tulungagung</t>
  </si>
  <si>
    <t>WO065467811</t>
  </si>
  <si>
    <t>MD|MYDB-20260930270057|DB10005/MB10139|SDIT Daarussalam Tulungagung|081334782076</t>
  </si>
  <si>
    <t xml:space="preserve">2026-10-02 08:00:00 | Jam Pemasangan : 08:00 - 12.00 Tanggal Pemasangan :02/10/2026 Info Tambahan : Hubungi pelanggan sebelum datang ke lokasi </t>
  </si>
  <si>
    <t>MIE - INVALID SURVEY - Double Input</t>
  </si>
  <si>
    <t>PT KEM WOOD GRACE INDUSTRY(RUANG ROTARI)</t>
  </si>
  <si>
    <t>ODP-MGE-FV/104 FV/D09/104.01</t>
  </si>
  <si>
    <t>WO065477316</t>
  </si>
  <si>
    <t>|MN02395|MYIA-037783953843/POI/AHMAD AFAN/08112782821/purchase.kwgi@gmail.com</t>
  </si>
  <si>
    <t>2026-10-03 15:00:00 | M Janji :  02 Okt  2026 Jam Pasang : Pagi / Siang Note : hubungi pelanggan jika ingin kelokasi</t>
  </si>
  <si>
    <t>WARUNG MBOK SUGIYEM</t>
  </si>
  <si>
    <t>ODP-PAE-FM/36 FM/D04/36.01</t>
  </si>
  <si>
    <t>WO065511785</t>
  </si>
  <si>
    <t>MD|MYDB-20261001270129|DC20010/MC20002|WARUNG MBOK SUGIYEM|085196687936</t>
  </si>
  <si>
    <t>2026-10-02 15:00:00 | Nama PIC : BAPAK HENDRA No HP : 085196687936 Alt :  M Janji : (JUMAT/2/oktober/2026) jam Pasang : 09:00 Note : hubungi pelanggan jika ingin kelokasi</t>
  </si>
  <si>
    <t>TOKO BUKU PERDANA</t>
  </si>
  <si>
    <t>ODP-MJT-FAH/04 FAH/D01/04.01</t>
  </si>
  <si>
    <t>WO065469590</t>
  </si>
  <si>
    <t>MD|MYDB-20260929269933|DC20015/MC20183|TOKO BUKU PERDANA|08973408728</t>
  </si>
  <si>
    <t xml:space="preserve">2026-10-02 11:00:00 | Nama PIC:  bp pramono No HP: 08973408728 Alt: Tanggal: 02/10/2026 Jam Pasang: Siang Note: Hubungi sebelum ke lokasi, terimakasih. </t>
  </si>
  <si>
    <t>OGT BIRD SHOP</t>
  </si>
  <si>
    <t>ODP-MJT-FE/16 FE/D04/16.01</t>
  </si>
  <si>
    <t>WO065479435</t>
  </si>
  <si>
    <t>|MC20057|MYIA-008364132785/POI/Hendrik Hermawan/085791473812/acida04.mmm@gmail.con</t>
  </si>
  <si>
    <t>2026-10-02 08:00:00 | Nama Pic : bp Hendrik  No Hp Pic : 085791473812 No alt : - Jam Pemasangan : pagi  Tanggal Pemasangan : 2 Oktober 2026</t>
  </si>
  <si>
    <t>ODP-MJT-FAA/70 FAA/D05/70.01</t>
  </si>
  <si>
    <t>WO065523460</t>
  </si>
  <si>
    <t>|MN01066|MYIA-001322539707/POI/HAFIDZ FAJARUDIN/085704475116/fandbedrink@gmail.com</t>
  </si>
  <si>
    <t xml:space="preserve">2026-10-02 15:00:00 | telp :085704475116 alt ;  manja : pagi / siang 02/10/2026 hub sebelum ke lokasi </t>
  </si>
  <si>
    <t>CV. SEVINE INDONESIA</t>
  </si>
  <si>
    <t>ODP-KRJ-FD/01</t>
  </si>
  <si>
    <t>WO065477648</t>
  </si>
  <si>
    <t>|MN00265|MYIA-083036326484/POI/BARA YOGYA ANGKASA/087885691698/sevine.id@gmail.com</t>
  </si>
  <si>
    <t xml:space="preserve">2026-10-02 08:00:00 | Nama : REGA No HP : 087885691698 No Alt :  M Janji : 02/10/2026 Jam Pasang : Pagi  NoteÃ‚Â :  hubungi terlebih dahulu sebelum kelokasi  </t>
  </si>
  <si>
    <t>ODP-PON-FBG/13</t>
  </si>
  <si>
    <t>WO065500038</t>
  </si>
  <si>
    <t>2026-10-01 15:00:00 | Nama Pic : bp Reza   No Hp Pic : 082311316519  No alt : -  Jam Pemasangan : pagi siang   Tanggal Pemasangan : 1 Oktober 2026</t>
  </si>
  <si>
    <t>ODP-KBU-FHA/073</t>
  </si>
  <si>
    <t>WO065488717</t>
  </si>
  <si>
    <t>2026-09-30 11:00:00|Nama : BP EURICO JORDAN HAMBALI   No Hp : 08111901993  No Alt :   Tgl Pemasangan : 30 September 2026  Interval : SIANG  Note : Hubungi pelanggan terlebih dahulu|40971402|MYDITA</t>
  </si>
  <si>
    <t>SD NEGERI SINDET</t>
  </si>
  <si>
    <t>ODP-BTL-FCD/002 FCD/D01/002.01</t>
  </si>
  <si>
    <t>WO065522722</t>
  </si>
  <si>
    <t>|MN02579|MYIA-096681019795/POI/FAJAR WULANDARI /085647906630/fajarwulandari15@gmail.com</t>
  </si>
  <si>
    <t xml:space="preserve">2026-10-03 08:00:00 | Jam pemasangan : 12.00 Info Tambahan : Hubungi pelanggan dulu sebelum ke lokasi terimakasih </t>
  </si>
  <si>
    <t>SPPG MARGOLUWIH SEYEGAN</t>
  </si>
  <si>
    <t>ODP-GOD-FBA/020 FBA/D02/020.01</t>
  </si>
  <si>
    <t>WO065464219</t>
  </si>
  <si>
    <t>|MC80045|MYIA-016073436654/POI/LUKAS HERUWINDARTO/085713682344/sppgseyegan.kabsleman@gmail.com</t>
  </si>
  <si>
    <t xml:space="preserve">2026-10-02 08:00:00 | M Janji : (02/OKTOBER/2026) jam Pasang : 09:00 Note : hubungi pelanggan jika ingin kelokasi </t>
  </si>
  <si>
    <t>TOKO ISKANDAR BERKAH</t>
  </si>
  <si>
    <t>ODP-PME-FFA/50 FFA/D06/50.01</t>
  </si>
  <si>
    <t>WO065489370</t>
  </si>
  <si>
    <t>MD|MYDB-20260930270031|DN00001/MN00086|TOKO ISKANDAR BERKAH|087892187356</t>
  </si>
  <si>
    <t>2026-10-02 11:00:00 | Nama PIC : Indah No HP : 087892187356 Alt :  M Janji : 02/10/2026 Jam Pasang : 08.00 - 13:00  NoteÃ‚Â :  hubungi terlebih dahulu sebelum kelokasi</t>
  </si>
  <si>
    <t>ODP-PME-FAP/45 FAP/D01/45.01</t>
  </si>
  <si>
    <t>WO065526923</t>
  </si>
  <si>
    <t>MD|MYDB-20261001270140|DN00001/MN00806|TOKO SAMPOERNA|083152888002</t>
  </si>
  <si>
    <t>2026-10-02 15:00:00 | Nama Pic : bu yati  No Hp Pic : 083152888002 No alt : - Jam Pemasangan : pagi  Tanggal Pemasangan : 2 Oktober 2026</t>
  </si>
  <si>
    <t>Hotel Jundi Aidil 2</t>
  </si>
  <si>
    <t>ODP-AJA-FB/08</t>
  </si>
  <si>
    <t>WO065492460</t>
  </si>
  <si>
    <t>|MN02601|/Hotel Jundi Aidil 2/082177474439/jundiyangaidil@gmail.com/HSI Bisnis Promo HUT Telkom (1:1) 50 Mbps (Rp 355.000) PSB Rp 150.000/SAMSURI/-6.863708, 115.286239</t>
  </si>
  <si>
    <t>2026-10-02 11:00:00|M Janji :  02 Okt  2026 Jam Pasang : Pagi / Siang Note : hubungi pelanggan jika ingin kelokasi |40981182|MYDITA</t>
  </si>
  <si>
    <t>ALL IN SURABAYA TAN PONY</t>
  </si>
  <si>
    <t>ODP-KBL-FFL/01 FFL/D01/01.01</t>
  </si>
  <si>
    <t>WO065484924</t>
  </si>
  <si>
    <t>|MN02280|MYIA-095662419461/POI/TAN PONY/081241640717/sumatraco.salt@gmail.com</t>
  </si>
  <si>
    <t>2026-10-02 11:00:00 | Nama Pic : bp akmal  No Hp Pic : 081241640717 No alt : - Jam Pemasangan : pagi  Tanggal Pemasangan : 2 Oktober 2026</t>
  </si>
  <si>
    <t>Sport Station (perdana global internet)</t>
  </si>
  <si>
    <t>WO065511453</t>
  </si>
  <si>
    <t>|MN02280|MYIA-041947142654/POI/ayu putri anggreani kusanto/08990794495/ayupak180899@gmail.com</t>
  </si>
  <si>
    <t>2026-10-02 15:00:00 | Nama PIC : IBU AYU No HP : 08990794495 Alt :  M Janji : (JUMAT/2/oktober/2026) jam Pasang : 09:00 Note : hubungi pelanggan jika ingin kelokasi</t>
  </si>
  <si>
    <t>GBM</t>
  </si>
  <si>
    <t>ODP-KJR-FAK/07 FAK/D01/07.01</t>
  </si>
  <si>
    <t>WO065524352</t>
  </si>
  <si>
    <t>MD|MYDB-20261001270113|DN00001/MN00884|GBM|081216160962</t>
  </si>
  <si>
    <t xml:space="preserve">2026-10-02 15:00:00 | Nama PIC:  bp gavil No HP: 081216160962 Alt: Tanggal: 02/10/2026 Jam Pasang: Sore Note: Hubungi sebelum ke lokasi, terimakasih. </t>
  </si>
  <si>
    <t>Resik Clean</t>
  </si>
  <si>
    <t>ODP-IJK-FHM/44</t>
  </si>
  <si>
    <t>WO065484402</t>
  </si>
  <si>
    <t>MD|MYID-4042610010001|RBIZBestdeals|Resik Clean|08113105599</t>
  </si>
  <si>
    <t>2026-10-02 11:00:00 | Nama Pic : BP ROZIKI No Hp Pic : 08113105599 Jam Pemasangan : 08:00 - 12.00 Tanggal Pemasangan : JUMAT 2 OKTOBER 2026 Info Tambahan : Hubungi pelanggan sebelum datang ke lokasi</t>
  </si>
  <si>
    <t>PT SEDOSO INGGIL PESONA KREASI</t>
  </si>
  <si>
    <t>ODP-IJK-FLV/28</t>
  </si>
  <si>
    <t>WO065520519</t>
  </si>
  <si>
    <t>AMRBS;400664;AMEX;ASANDHYASARI;RBS-3;SURAMADU;PT SEDOSO INGGIL PESONA KREASI;HSI Bisnis (1:1) 75 Mbps (Rp 519.000) PSB Rp 150.000;Fawwaz 088996234808 - Aimin Tohari 081252702272;edp.top10@gmail.com;Ahmad Fawwas Wildani;Tenant Top Noodle, Royal Plaza Lanta</t>
  </si>
  <si>
    <t>2026-10-02 15:00:00|Nama Pic : bp Fawwaz  No Hp Pic : 088996234808 No alt : - Jam Pemasangan : pagi  Tanggal Pemasangan : 2 Oktober 2026|40951375|MYDITA</t>
  </si>
  <si>
    <t>ODP-KRP-FBM/06</t>
  </si>
  <si>
    <t>WO065492145</t>
  </si>
  <si>
    <t>SD MUHAMMADIYAH 20 (Guru Bidang)</t>
  </si>
  <si>
    <t>WO065521820</t>
  </si>
  <si>
    <t>MD|MYDB-20261001270126|DN00001/MN02094|SD MUHAMMADIYAH 20 (Guru Bidang)|0081232101488</t>
  </si>
  <si>
    <t xml:space="preserve">2026-10-03 15:00:00 | Jam pemasangan : 12.00 Info Tambahan : Hubungi pelanggan dulu sebelum ke lokasi terimakasih </t>
  </si>
  <si>
    <t>PT. Infinity Global Energy</t>
  </si>
  <si>
    <t>ODP-DMO-FQA/43 FQA/D04/43.01</t>
  </si>
  <si>
    <t>WO065455723</t>
  </si>
  <si>
    <t>|MN02627|MYIA-033965943039/POI/ROEDY SOEMARTONO/08213331539/infinityenergy.id@gmail.com</t>
  </si>
  <si>
    <t>2026-10-02 08:00:00 | Nama PIC : Roedy No HP : 08213331539 Alt :  M Janji : 02/10/2026 Jam Pasang : 08.00 - 13:00  NoteÃ‚Â :  hubungi terlebih dahulu sebelum kelokasi</t>
  </si>
  <si>
    <t>PT SAMUDERA JAYA KUSUMA</t>
  </si>
  <si>
    <t>ODP-DMO-FST/08 FST/D01/08.01</t>
  </si>
  <si>
    <t>WO065511533</t>
  </si>
  <si>
    <t>|MN02280|MYIA-005206776408/POI/IRFANSYAH/082299100819/irvan@samuderajayakusuma.com</t>
  </si>
  <si>
    <t xml:space="preserve">2026-10-03 15:00:00 | Tanggal: 2/10/2026 Jam Pasang: 08.00 - 12.00 Note: Hubungi sebelum ke lokasi, terimakasih. </t>
  </si>
  <si>
    <t>ALIAND STAR INDONESIA</t>
  </si>
  <si>
    <t>ODP-MYR-FQP/40</t>
  </si>
  <si>
    <t>WO065521944</t>
  </si>
  <si>
    <t>|MN02446|/ALIAND STAR INDONESIA/Andhiyani khoirunnisa/082229627293/andhiyani23@gmail.com/HSI Bisnis Promo HUT Telkom (1:1) 50 Mbps (Rp 355.000) PSB Rp 150.000</t>
  </si>
  <si>
    <t>2026-10-03 08:00:00|Nama Pic : IBU ANDI No Hp Pic : 082229627293 Jam Pemasangan : 08:00 - 12.00 Tanggal Pemasangan : JUMAT 2 OKTOBER 2026 Info Tambahan : Hubungi pelanggan sebelum datang ke lokasi|40000798|MYDITA</t>
  </si>
  <si>
    <t>ODP-MYR-FQP/38</t>
  </si>
  <si>
    <t>WO065555688</t>
  </si>
  <si>
    <t>2026-10-04 08:00:00|Jam pemasangan : 12.00 Info Tambahan : Hubungi pelanggan dulu sebelum ke lokasi terimakasih|40951377|MYDITA</t>
  </si>
  <si>
    <t>PT. Karya Asta Sedana</t>
  </si>
  <si>
    <t>ODP-RKT-FDF/47 FDF/D03/01.47</t>
  </si>
  <si>
    <t>WO065529924</t>
  </si>
  <si>
    <t>|MB00449|MYIA-069372422186/POI/bapak/085212553798/sutra.rizyan@kas.co.id</t>
  </si>
  <si>
    <t>2026-10-03 08:00:00 | Nama Pic : BP SUTRA No Hp Pic : 085212553798 Jam Pemasangan : 08:00 - 12.00 Tanggal Pemasangan : JUMAT 2 OKTOBER 2026 Info Tambahan : Hubungi pelanggan sebelum datang ke lokasi</t>
  </si>
  <si>
    <t>Kripek tempe dan peyek mbk dani</t>
  </si>
  <si>
    <t>ODP-BLO-FFC/010 FFC/D03/03.10</t>
  </si>
  <si>
    <t>WO065471818</t>
  </si>
  <si>
    <t>|MC60133|MYIA-064574997194/POI/Sandhyka fanny nugroho/082341929664/fanyholo16@gmail.com</t>
  </si>
  <si>
    <t xml:space="preserve">2026-10-02 08:00:00 | Jam pemasangan : 12.00 Info Tambahan : Hubungi pelanggan dulu sebelum ke lokasi terimakasih  </t>
  </si>
  <si>
    <t>PT BANGKIT LAKULINER INDONESIA</t>
  </si>
  <si>
    <t>ODP-BLO-FG/031 FG/D07/031.01</t>
  </si>
  <si>
    <t>WO065523463</t>
  </si>
  <si>
    <t>|MN02897|MYIA-043250148362/POI/Muhammad Arif Nurdin /085283300362/arif.nurdin@seindonesia.co.id</t>
  </si>
  <si>
    <t xml:space="preserve">2026-10-02 15:00:00 | Nama : ARIF No HP : 085283300362 No Alt :  M Janji : 02/10/2026 Jam Pasang : Pagi  NoteÃ‚Â :  hubungi terlebih dahulu sebelum kelokasi </t>
  </si>
  <si>
    <t>MI NURUL HUDA ASEMRUDUNG</t>
  </si>
  <si>
    <t>ODP-PWB-FE/003</t>
  </si>
  <si>
    <t>WO065513737</t>
  </si>
  <si>
    <t>|MN00410|/MUNADI/081325352203/asemrudungminurulhuda@ymail.com /Permintaan PSB HSI BISNIS 1S INET 50MBPS PAKET WINBACK2/MI NURUL HUDA ASEMRUDUNG</t>
  </si>
  <si>
    <t>2026-10-02 15:00:00|Jam Pemasangan : 08:00 - 12.00 Tanggal Pemasangan :02/10/2026 Info Tambahan : Hubungi pelanggan sebelum datang ke lokasi |40971402|MYDITA</t>
  </si>
  <si>
    <t>SPPG TARUMAN</t>
  </si>
  <si>
    <t>ODP-PWB-FA/037</t>
  </si>
  <si>
    <t>WO065517729</t>
  </si>
  <si>
    <t>|MN00410|/RAVINDRA LUQMAN/085641184995/Sppgtaruman@gmail.com /Permintaan PSB HSI BISNIS 1S INET 50MBPS PAKET WINBACK2/SPPG TARUMAN</t>
  </si>
  <si>
    <t>2026-10-02 15:00:00|telp :085641184995 alt ;  manja : pagi / siang 02/10/2026 hub sebelum ke lokasi |40000802|MYDITA</t>
  </si>
  <si>
    <t>SMA Trensains Muhammadiyah Sragen 3</t>
  </si>
  <si>
    <t>ODP-SRG-FAT/016 FAT/D04/016.01</t>
  </si>
  <si>
    <t>WO065477020</t>
  </si>
  <si>
    <t>|MN01811|MYIA-036057047702/POI/Indrato Dwi Atmoko/081548640111/trensainss@gmail.com</t>
  </si>
  <si>
    <t>2026-10-02 08:00:00 | Nama Pic : BP INDRA No Hp Pic : 081548640111 Jam Pemasangan : 08:00 - 12.00 Tanggal Pemasangan : JUMAT 2 OKTOBER 2026 Info Tambahan : Hubungi pelanggan sebelum datang ke lokasi</t>
  </si>
  <si>
    <t>PCN MR DIY XCLM</t>
  </si>
  <si>
    <t>ODP-KRT-FQ/031 FQ/D03/031.01</t>
  </si>
  <si>
    <t>WO065479008</t>
  </si>
  <si>
    <t>|MN01857|MYIA-014527317667/POI/RIZKY NANDA/081917636163/diy.xclm@panducitiakses.com</t>
  </si>
  <si>
    <t xml:space="preserve">2026-10-02 08:00:00 | Tanggal: 2/10/2026 Jam Pasang: 08.00 - 12.00 Note: Hubungi sebelum ke lokasi, terimakasih. </t>
  </si>
  <si>
    <t>WO065482211</t>
  </si>
  <si>
    <t>|MN01857|MYIA-006500738290/POI/Rizky Nanda/081917636163/admin@panduciti.net</t>
  </si>
  <si>
    <t>2026-10-02 11:00:00 | Tanggal pemasangan : 2 OKTOBER 2026 Jam pemasangan : 11.00 Info Tambahan : Hubungi pelanggan dulu sebelum ke lokasi, terima kasih.</t>
  </si>
  <si>
    <t>Puskesmas Jatisrono I</t>
  </si>
  <si>
    <t>ODP-JSO-F02/014</t>
  </si>
  <si>
    <t>WO065551069</t>
  </si>
  <si>
    <t>AMRBS;405678/Nighara Asmarantaka Sulya//TREG4SOLO/Nurjadid 081329022378/puskesmasjatisrono1@yahoo.co.id/PSB HSI BISNIS WINBACK 2.0 300mbps ABODEMEN 1.130.000 PLUS PPN</t>
  </si>
  <si>
    <t>2026-10-03 08:00:00|Jam Pemasangan : 08:00 - 12.00 Tanggal Pemasangan : SABTU 03 OKTOBER 2026 Info Tambahan : Hubungi pelanggan sebelum datang ke lokasi|40000798|MYDITA</t>
  </si>
  <si>
    <t>ODP-MOJ-FJ/46</t>
  </si>
  <si>
    <t>WO065468628</t>
  </si>
  <si>
    <t xml:space="preserve">2026-10-01 08:00:00 | M Janji : 10/01/2026  Jam Pasang : pagi  Note : hubungi pelanggan jika ingin kelokasi    </t>
  </si>
  <si>
    <t>DUDUK MANIS CAFE</t>
  </si>
  <si>
    <t>ODP-MRT-FX/31</t>
  </si>
  <si>
    <t>WO065468525</t>
  </si>
  <si>
    <t>|MN02271|/DUDUK MANIS CAFE/WINBACK 2.0 HSI B2B (1:1) 75MBPS 415RB PSB DISC 70%//iisdepita0@gmail.com/IIS DEPITA AYU CITRA/82223280007</t>
  </si>
  <si>
    <t>2026-10-02 08:00:00|telp :082223280007 alt ;  manja : pagi / siang 02/10/2026 hub sebelum ke lokasi |40000802|MYDITA</t>
  </si>
  <si>
    <t>menara agung perkasa</t>
  </si>
  <si>
    <t>ODP-KRN-FC/68 FC/D04/68.01</t>
  </si>
  <si>
    <t>WO065490280</t>
  </si>
  <si>
    <t>|MC20232|MYIA-048467448439/POI/della putri cahyani/082236478113/mapprofil37@gmail.com</t>
  </si>
  <si>
    <t xml:space="preserve">2026-10-02 11:00:00 | Jam pemasangan : 12.00 Info Tambahan : Hubungi pelanggan dulu sebelum ke lokasi terimakasih  </t>
  </si>
  <si>
    <t>SDN SUKODONO 1</t>
  </si>
  <si>
    <t>ODP-SDN-FA/26</t>
  </si>
  <si>
    <t>WO065475234</t>
  </si>
  <si>
    <t>|MN02627|/SDN SUKODONO 1/WINBACK 2.0 HSI B2B (1:1) 100MBPS 535RB PSB DISC 70%/-/sukodono1@yahoo.co.id/NISWATUN CHOIROH/081359309279085706760696</t>
  </si>
  <si>
    <t>2026-10-02 08:00:00|telp :081359309279 alt ;  manja : pagi / siang 02/10/2026 hub sebelum ke lokasi |40000802|MYDITA</t>
  </si>
  <si>
    <t>J&amp;T Express (sukodono_1)</t>
  </si>
  <si>
    <t>ODP-SDN-FV/22 FV/D03/22.01</t>
  </si>
  <si>
    <t>WO065468653</t>
  </si>
  <si>
    <t>MD|MYDB-20260930270053|DN00001/MN01572|J&amp;T Express (sukodono_1)|081393665822</t>
  </si>
  <si>
    <t xml:space="preserve">2026-10-02 11:00:00 | Nama PIC:  bp fery No HP: 081393665822 Alt: Tanggal: 02/10/2026 Jam Pasang: Siang Note: Hubungi sebelum ke lokasi, terimakasih. </t>
  </si>
  <si>
    <t>kost harmonia</t>
  </si>
  <si>
    <t>ODP-SDA-FHU/028 FHU/D03/028.01</t>
  </si>
  <si>
    <t>WO065476297</t>
  </si>
  <si>
    <t>MD|MYDB-20261001270084|DN00001/MN01572|kost harmonia|082338876610</t>
  </si>
  <si>
    <t xml:space="preserve">2026-10-02 08:00:00 | telp :082338876610 alt ; 082338876610 manja : pagi / siang 02/10/2026 hub sebelum ke lokasi </t>
  </si>
  <si>
    <t>MI DARUL ULUM SARIROGO</t>
  </si>
  <si>
    <t>ODP-SDA-FCB/14</t>
  </si>
  <si>
    <t>WO065471238</t>
  </si>
  <si>
    <t>|MN02627|MYIA-024426428593/POI/zanis afandi/081703600041/zanisaf99@gmail.com</t>
  </si>
  <si>
    <t xml:space="preserve">2026-10-02 08:00:00 | Nama PIC: bp zanis No HP: 081703600041 Alt: Tanggal: 02/10/2026 Jam Pasang: Pagi Note: Hubungi sebelum ke lokasi, terimakasih. </t>
  </si>
  <si>
    <t>SDIT AL USWAH BANGIL</t>
  </si>
  <si>
    <t>ODP-BNL-FA/01</t>
  </si>
  <si>
    <t>WO065507753</t>
  </si>
  <si>
    <t>|MN00898|/SDIT AL USWAH BANGIL/WINBACK 2.0 HSI B2B (1:1) 50MBPS 355RB PSB DISC 70%//sditaluswahbangil@gmail.com/HENDRIK WIYONO/8980469442</t>
  </si>
  <si>
    <t>2026-10-02 15:00:00|Nama : HENDRIK No HP : 08980469442 No Alt :  M Janji : 02/10/2026 Jam Pasang : Pagi  NoteÃ‚Â :  hubungi terlebih dahulu sebelum kelokasi|40951377|MYDITA</t>
  </si>
  <si>
    <t>CV GALAXY MULIA CAHAYA</t>
  </si>
  <si>
    <t>ODP-TPO-FCT/18 FCT/D01/18.01</t>
  </si>
  <si>
    <t>WO065470141</t>
  </si>
  <si>
    <t>MD|MYDB-20261001270091|DN00001/MN00884|CV GALAXY MULIA CAHAYA|085870323525</t>
  </si>
  <si>
    <t>ODP-TPO-FCC/24</t>
  </si>
  <si>
    <t>WO065483847</t>
  </si>
  <si>
    <t xml:space="preserve">2026-09-30 15:00:00 | Jam pemasangan : 12.00  Info Tambahan : Hubungi pelanggan dulu sebelum ke lokasi  terimakasih   </t>
  </si>
  <si>
    <t>WISMA MUTIARA DEMAK</t>
  </si>
  <si>
    <t>ODP-DMA-FB/146</t>
  </si>
  <si>
    <t>|MC60142|/JAMAL MUHLIS/081325316050/wismamutiara781@gmail.com /Permintaan PSB HSI BISNIS 1S INET 100MBPS PAKET WINBACK1/WISMA MUTIARA DEMAK</t>
  </si>
  <si>
    <t>SD KRISTEN 04</t>
  </si>
  <si>
    <t>ODP-SLI-FH/004 FH/D02/01.04</t>
  </si>
  <si>
    <t>WO065474059</t>
  </si>
  <si>
    <t>|MN00238|MYIA-051341016470/POI/NATALIA/082142035844/sdkristen04@gmail.com</t>
  </si>
  <si>
    <t xml:space="preserve">2026-10-02 08:00:00 | Nama : NARENDRA No HP :  082142035844 No Alt :  M Janji : 02/10/2026 Jam Pasang : Pagi  NoteÃ‚Â :  hubungi terlebih dahulu sebelum kelokasi  </t>
  </si>
  <si>
    <t>Satria Mini Soccer &amp; Resto</t>
  </si>
  <si>
    <t>ODP-KUD-FX/043 FX/D05/043.01</t>
  </si>
  <si>
    <t>WO065469652</t>
  </si>
  <si>
    <t>|MC60025|MYIA-031254946000/POI/Bhayu Brilian/082139114041/nurul.cinta101@gmail.com</t>
  </si>
  <si>
    <t xml:space="preserve">2026-10-05 11:00:00 | Nama : BAYU No HP :  082139114041 No Alt :  0882017462453 M Janji : 05/10/2026 Jam Pasang : Pagi  NoteÃ‚Â :  hubungi terlebih dahulu sebelum kelokasi  </t>
  </si>
  <si>
    <t>WO065562116</t>
  </si>
  <si>
    <t>|MC60040|/Moh Sahal/081325426555/sahal99.km@gmail.com /Permintaan PSB HSI BISNIS 1S INET 100MBPS PAKET WINBACK2/CV. KARYA MANDIRI</t>
  </si>
  <si>
    <t>2026-10-03 08:00:00|Tanggal Pemasangan : 03 Oktober 2026 Jam Pemasangan : 08:00 15:00 Info Tambahan : Hubungi pelanggan dulu sebelum ke lokasi terimakasih|40931149|MYDITA</t>
  </si>
  <si>
    <t>ODP-KDL-FC/12 FC/D09/01-01</t>
  </si>
  <si>
    <t>WO065463660</t>
  </si>
  <si>
    <t>|MN02256|MYIA-027844997170/POI/WAHYU ISNURIATI/085263536509/wahyuisnuriati75@gmail.com</t>
  </si>
  <si>
    <t>PT. RUANG RAYA INDONESIA</t>
  </si>
  <si>
    <t>ODP-SMT-FW/073</t>
  </si>
  <si>
    <t>WO065499259</t>
  </si>
  <si>
    <t>AMRBS;403538;REG3;RACHMAT;081391599400;CP.CITRA NIRWANA;081329856257;PAKET PROMO INDIBIZ BISNIS 1:1 150 MBPS ABONEMEN 620.000;PT. RUANG RAYA INDONESIA</t>
  </si>
  <si>
    <t>2026-08-26 13:00:00|M Janji : (Rabu, 26/AGUSTUS/2026)  jam Pasang : 13:00  Note : hubungi pelanggan jika ingin ke lokasi, terima kasih.|40941148|MYDITA</t>
  </si>
  <si>
    <t>AFFILIATE MUNIR</t>
  </si>
  <si>
    <t>ODP-SMT-FT/065 FT/D05/065.01</t>
  </si>
  <si>
    <t>WO065466517</t>
  </si>
  <si>
    <t>MD|MYDB-20260929269981|DN00001/MN02296|AFFILIATE MUNIR|085800548037</t>
  </si>
  <si>
    <t xml:space="preserve">2026-10-02 08:00:00 | telp :085800548037  alt ;  manja : pagi / siang 02/10/2026 hub sebelum ke lokasi </t>
  </si>
  <si>
    <t>ODP-JHR-FEA/067 FEA/D04/067.01</t>
  </si>
  <si>
    <t>WO065523173</t>
  </si>
  <si>
    <t>|MN02897|MYIA-034159284387/POI/Muhammad Arif Nurdin /085283300362/arif.nurdin@seindonesia.co.id</t>
  </si>
  <si>
    <t>ODP-PWT-FAH/125 FAH/D05/125.01</t>
  </si>
  <si>
    <t>WO065522871</t>
  </si>
  <si>
    <t>|MB00449|MYIA-024919532417/POI/bapak/085212553798/sutra.rizyan@kas.co.id</t>
  </si>
  <si>
    <t xml:space="preserve">2026-10-02 15:00:00 | Tgl pemasangan : 2 Oktober 2026 Jam pemasangan : pagi siang Info Tambahan : Hubungi pelanggan dulu sebelum ke lokasi terimakasih  </t>
  </si>
  <si>
    <t>PT SUMBER HIDUP SEHAT/VIVA APOTEK BANYUMAS</t>
  </si>
  <si>
    <t>ODP-PWT-FBH/135</t>
  </si>
  <si>
    <t>WO065502205</t>
  </si>
  <si>
    <t>AMRBS;405075;REG3;KATATA VEKANIDYA;082225049060;CP.Vindya Rustama Wardhana;081327371234;PAKET 50MBPS ABN 355.000;PT SUMBER HIDUP SEHAT/VIVA APOTEK BANYUMAS;Pemasangan untuk rumah IT</t>
  </si>
  <si>
    <t>2026-10-03 08:00:00|M Janji :  02 Okt  2026 Jam Pasang : Pagi / Siang Note : hubungi pelanggan jika ingin kelokasi |40981182|MYDITA</t>
  </si>
  <si>
    <t>Kopi Jjb Ratamba</t>
  </si>
  <si>
    <t>ODP-BJR-FAE/052</t>
  </si>
  <si>
    <t>SA; MN000649 ; ARIF  ; TREG3 ; BANJARNEGARA ;PSB 1S HSI BISNIS PROMO 50 MB; Kopi Jjb Ratamba/08812876920 ; astuko.f.t@gmail.com</t>
  </si>
  <si>
    <t>ERABLUE IV PURWOREJO KLAMPOK</t>
  </si>
  <si>
    <t>ODP-KLP-FD/007 FD/D01/007.01</t>
  </si>
  <si>
    <t>WO065499256</t>
  </si>
  <si>
    <t>|MN00649|MYIA-054395505018/POI/HASBIBINTARO SHIDDIQ/081216998674/nextperdanaone@gmail.com</t>
  </si>
  <si>
    <t xml:space="preserve">2026-10-02 11:00:00 | Nama PIC : Hasbi No HP : 081216998674 Alt :  M Janji : 02/10/2026 Jam Pasang : 08.00 - 13:00  NoteÃ‚Â :  hubungi terlebih dahulu sebelum kelokasi </t>
  </si>
  <si>
    <t>DIXY CREATIVE</t>
  </si>
  <si>
    <t>ODP-WOS-FAM/146</t>
  </si>
  <si>
    <t>WO065489155</t>
  </si>
  <si>
    <t>|MN02262|MYIA-091309452400/POI/Ayuk Fitriani /089525846079/andrea.dixy22@gmail.com</t>
  </si>
  <si>
    <t>2026-10-02 11:00:00 | Nama Pic : BP DIKY No Hp Pic : 089525846079 Jam Pemasangan : 08:00 - 12.00 Tanggal Pemasangan : JUMAT 2 OKTOBER 2026 Info Tambahan : Hubungi pelanggan sebelum datang ke lokasi</t>
  </si>
  <si>
    <t>PKBM IQRO</t>
  </si>
  <si>
    <t>ODP-RDD-FE/057 FE/D03/057.01</t>
  </si>
  <si>
    <t>WO065509981</t>
  </si>
  <si>
    <t>|MN00324|MYIA-079077019597/POI/Ari Yuliyani/082226854008/ariyulianirukmana@gmail.com</t>
  </si>
  <si>
    <t xml:space="preserve">2026-10-02 15:00:00 | Nama : ARI No HP : 082226854008 No Alt :  M Janji : 02/10/2026 Jam Pasang : Pagi  NoteÃ‚Â :  hubungi terlebih dahulu sebelum kelokasi  </t>
  </si>
  <si>
    <t>Trans Artha Technology Nusantara</t>
  </si>
  <si>
    <t>ODP-BBT-FF/064</t>
  </si>
  <si>
    <t>WO065464470</t>
  </si>
  <si>
    <t>|MC00213|MYIA-095236115307/POI/JAMALUDIN RIFAI/081324496411/didikmeil12@gmail.com</t>
  </si>
  <si>
    <t>2026-10-02 08:00:00 | Nama PIC : RIFAI No HP : 081324496411 Alt :  M Janji : 02/10/2026 Jam Pasang : 08.00 - 13:00  NoteÃ‚Â :  hubungi terlebih dahulu sebelum kelokasi</t>
  </si>
  <si>
    <t>SDN KALIGANGSA KULON 01</t>
  </si>
  <si>
    <t>ODP-BRB-FU/009 FU/D01/009.01</t>
  </si>
  <si>
    <t>WO065520642</t>
  </si>
  <si>
    <t>|MN00292|MYIA-000585508607/POI/Budi Nurhayati/087730595157/budinurhayati978@gmail.com</t>
  </si>
  <si>
    <t>2026-10-03 08:00:00 | Nama PIC : bu budi nurhayati No HP : 087730595157 Alt :  M Janji : 03/10/2026 Jam Pasang : 08.00  NoteÃ‚Â :  hubungi terlebih dahulu sebelum kelokasi</t>
  </si>
  <si>
    <t>SMK MUHAMMADIYAH 1 PAGUYANGAN</t>
  </si>
  <si>
    <t>ODP-BMU-FG/013</t>
  </si>
  <si>
    <t>AMRBS;403095;REG3;BAYU PUTRO;085100296564;PIC  0882008588569; smkmuhpgy@gmail.com;HSI 100MB;535.000</t>
  </si>
  <si>
    <t>UNCONTACTED : Line Busy SOPHAN SOPYAN 40900827|MYDITA</t>
  </si>
  <si>
    <t>ODP-MGN-FA/084</t>
  </si>
  <si>
    <t>WO065519926</t>
  </si>
  <si>
    <t>AMRBS;403095;REG3;BAYU PUTRO;085100296564;PIC 085742226933;HSI 200MB;smkharkatnegeri.kotategal@gmail.com</t>
  </si>
  <si>
    <t>2026-10-03 08:00:00|telp :085742226933 alt ;  manja : pagi / siang 03/10/2026 hub sebelum ke lokasi|40000802|MYDITA</t>
  </si>
  <si>
    <t>WO065519845</t>
  </si>
  <si>
    <t>AMRBS;403095;REG3;BAYU PUTRO;085100296564;PIC 085742226933;smkharkatnegeri.kotategal@gmail.com</t>
  </si>
  <si>
    <t>JNE CABANG BOJONG</t>
  </si>
  <si>
    <t>ODP-BLU-FE/052 FE/D03/052.01</t>
  </si>
  <si>
    <t>WO065496027</t>
  </si>
  <si>
    <t>|MN00292|MYIA-045855053348/POI/Fathul Mu&amp; 39;in/087725785507/muinfathul399@gmail.com</t>
  </si>
  <si>
    <t>2026-10-02 11:00:00 | Nama PIC : bapak fathul No HP : 087725785507 Alt :  M Janji : (JUMAT/2/oktober/2026) jam Pasang : 09:00 Note : hubungi pelanggan jika ingin kelokasi</t>
  </si>
  <si>
    <t>ODP-CRM-FAA/33</t>
  </si>
  <si>
    <t>WO065490775</t>
  </si>
  <si>
    <t>2026-09-23 08:00:00 | Nama PIC : Bp Candra  No Hp : 083117586167  Alt : -  Manja : 23 Sept 2026  Jam : Pagi / Siang  Note : Hubungi pelanggan terlebih dahulu</t>
  </si>
  <si>
    <t>UPT SDN 329 Gresik</t>
  </si>
  <si>
    <t>WO065471510</t>
  </si>
  <si>
    <t>MD|MYDB-20260829267477|DN00001/MN00018|UPT SDN 329 Gresik|081331009134</t>
  </si>
  <si>
    <t>2026-08-30 11:00:00 | Nama Pic : IBU FAIRUS  No Hp Pic : 081331009134  Jam Pemasangan : 08:00 - 12.00  Tanggal Pemasangan : MINGGU 30 AGUSTUS 2026  Info Tambahan : Hubungi pelanggan sebelum datang ke lokasi</t>
  </si>
  <si>
    <t>PKM SAMBENG</t>
  </si>
  <si>
    <t>ODP-BBA-FAD/35</t>
  </si>
  <si>
    <t>WO065514723</t>
  </si>
  <si>
    <t>|MN00882|/PKM SAMBENG/NURWAHYUDI/082339863366/sbgpkm@gmail.com/HSI Bisnis Promo HUT Telkom (1:1) 50 Mbps (Rp 355.000) PSB Rp 150.000/</t>
  </si>
  <si>
    <t>2026-10-02 15:00:00|Nama PIC: bp yudi No HP: 082339863366 Alt: Tanggal: 02/10/2026 Jam Pasang: Sore Note: Hubungi sebelum ke lokasi, terimakasih. |40931149|MYDITA</t>
  </si>
  <si>
    <t>PT DUTAKOM WIBAWA PUTRA</t>
  </si>
  <si>
    <t>ODP-BDG-FG/05 FG/D01/05.01</t>
  </si>
  <si>
    <t>WO065480039</t>
  </si>
  <si>
    <t>|MN00443|MYIA-074809792626/POI/bu karin/082124990664/purchasing@dwp.co.id</t>
  </si>
  <si>
    <t>2026-10-02 10:00:00 | Nama Pic : bu karin  No Hp Pic : 082124990664 No alt : - Jam Pemasangan : pagi  Tanggal Pemasangan : 2 Oktober 2026</t>
  </si>
  <si>
    <t>Provisioning Failed|WFM|INF009616724|TOF_-6.869492500000001,112.3479201_kendala otb penuh, perlu tambah jaringan karena dilok</t>
  </si>
  <si>
    <t>WO065459816</t>
  </si>
  <si>
    <t>SMPN1 KEDUNGADEM</t>
  </si>
  <si>
    <t>ODP-SMJ-FE/08 FE/D01/08.01</t>
  </si>
  <si>
    <t>WO065494048</t>
  </si>
  <si>
    <t>|MN02366|MYIA-077393503719/POI/Yuli irmawati/081249454075/smpnkedungadem@gmail.com</t>
  </si>
  <si>
    <t>HSI Bisnis Basic Bundling Netmonk Promo H2 2026 PSB 70% - 200 Mbps</t>
  </si>
  <si>
    <t>WO065519884</t>
  </si>
  <si>
    <t>|MN02366|MYIA-057038954465/POI/Yuli irmawati/081249454075/smpnkedungadem@gmail.com</t>
  </si>
  <si>
    <t>2026-10-02 15:00:00 | Nama Pic : bu Yuli irmawati No Hp Pic : 081249454075 No alt : - Jam Pemasangan : pagi  Tanggal Pemasangan : 2 Oktober 2026</t>
  </si>
  <si>
    <t>PT LAUTAN BERKAT MAKMUR INDONESIA</t>
  </si>
  <si>
    <t>ODP-BCR-FAB/35 FAB/D02/35.01</t>
  </si>
  <si>
    <t>WO065513175</t>
  </si>
  <si>
    <t>|MN02619|MYIA-037776528933/POI/BULAN REVINNA MURTY/08113048889/lautanberkatfishmeal@gmail.com</t>
  </si>
  <si>
    <t>B A G</t>
  </si>
  <si>
    <t>ODP-JTR-FA/67</t>
  </si>
  <si>
    <t>WO065463957</t>
  </si>
  <si>
    <t>|MN00799|MYIA-056739033521/POI/DONI HERMAWAN/085232289609/doni15.bag@gmail.com</t>
  </si>
  <si>
    <t>2026-10-02 08:00:00 | Nama PIC : Doni No HP : 085232289609 Alt :  M Janji : 02/10/2026 Jam Pasang : 08.00 - 13:00  NoteÃ‚Â :  hubungi terlebih dahulu sebelum kelokasi</t>
  </si>
  <si>
    <t>KANTOR BALAI DESA SOKOSARI</t>
  </si>
  <si>
    <t>ODP-RGL-FAD/51</t>
  </si>
  <si>
    <t>WO065473254</t>
  </si>
  <si>
    <t>AMRBS;403658;AGIL CATUR MAULANA PUTRA;PSB;Inet Only, 100Mbps Bisnis 1:1 (535K);Edy Purnomo +62 852-3534-4444;https://maps.app.goo.gl/C3oRxFhyojUQ9Wan9</t>
  </si>
  <si>
    <t>2026-10-02 08:00:00|Jam pemasangan : 12.00 Info Tambahan : Hubungi pelanggan dulu sebelum ke lokasi terimakasih  |40951381|MYDITA</t>
  </si>
  <si>
    <t>SMA SURIA ATAMBUA</t>
  </si>
  <si>
    <t>ODP-ATB-FM/84</t>
  </si>
  <si>
    <t>WO065465563</t>
  </si>
  <si>
    <t>MD|MYDB-20261001270089|SC00001/MC00186|SMA SURIA ATAMBUA|085239731954</t>
  </si>
  <si>
    <t>2026-10-03 15:00:00 | Nama PIC : bapak adi No HP : 085239731954 Alt :  M Janji : (sabtu/3/oktober/2026) jam Pasang : 09:00 Note : hubungi pelanggan jika ingin kelokasi</t>
  </si>
  <si>
    <t>Apotek K24 Liliba - Kupang / Badan Anugerah Timur Gemilang</t>
  </si>
  <si>
    <t>ODP-OSP-FC/129</t>
  </si>
  <si>
    <t>WO065483938</t>
  </si>
  <si>
    <t>|MC80228|/Apotek K24 Liliba - Kupang/Paket HSI Bisnis Promo HPN 1:1 50Mbps/Witarso Praditya/081229773200/anjaraji1996@gmail.com</t>
  </si>
  <si>
    <t>2026-10-02 11:00:00|telp :081229773200 alt ;  manja : pagi / siang 02/10/2026 hub sebelum ke lokasi|40000802|MYDITA</t>
  </si>
  <si>
    <t>Inprogress Alpro, SC Lama : SC1002605860</t>
  </si>
  <si>
    <t>UME Kost &amp; Co-Living</t>
  </si>
  <si>
    <t>ODP-KPN-FM/27 FM/D02/27.01</t>
  </si>
  <si>
    <t>WO065489506</t>
  </si>
  <si>
    <t>|MC40164|MYIA-026126962465/POI/Maria Kurniawati Alfa Sene/082341476240/mariaalfa011996@gmail.com</t>
  </si>
  <si>
    <t>2026-10-02 11:00:00 | Nama Pic : IBU MARIA No Hp Pic : 082341476240 Jam Pemasangan : 08:00 - 12.00 Tanggal Pemasangan : JUMAT 2 OKTOBER 2026 Info Tambahan : Hubungi pelanggan sebelum datang ke lokasi</t>
  </si>
  <si>
    <t>BETA CELL</t>
  </si>
  <si>
    <t>ODP-KPN-FDE/28 FDE/D02/28.01</t>
  </si>
  <si>
    <t>WO065523543</t>
  </si>
  <si>
    <t>MD|MYDB-20261001270136|DC40005/MC40050|BETA CELL|081312002689</t>
  </si>
  <si>
    <t>2026-10-02 15:00:00 | Nama Pic : bp masanto  No Hp Pic : 081312002689 No alt : - Jam Pemasangan : siang  Tanggal Pemasangan : 2 Oktober 2026</t>
  </si>
  <si>
    <t>toko kembar kesilir</t>
  </si>
  <si>
    <t>ODP-PSG-FA/36 FA/D01/36.01</t>
  </si>
  <si>
    <t>WO065523367</t>
  </si>
  <si>
    <t>MD|MYDB-20261001270112|DC30004/MC30053|toko kembar kesilir|082139299633</t>
  </si>
  <si>
    <t>2026-10-02 15:00:00 | Nama Pic : IBU SITI No Hp Pic : 082139299633 Jam Pemasangan : 08:00 - 12.00 Tanggal Pemasangan : JUMAT 2 OKTOBER 2026 Info Tambahan : Hubungi pelanggan sebelum datang ke lokasi</t>
  </si>
  <si>
    <t>TOKO M REJEKI</t>
  </si>
  <si>
    <t>ODP-MLD-FD/05 FD/D02/05.01</t>
  </si>
  <si>
    <t>WO065517329</t>
  </si>
  <si>
    <t>|MN00099|MYIA-038939789759/POI/RYAN EKA PRATAMA /0881027181373/ekapratamaryan@gmail.com</t>
  </si>
  <si>
    <t xml:space="preserve">2026-10-02 15:00:00 | Nama : RYAN No HP : 0881027181373 No Alt :  M Janji : 02/10/2026 Jam Pasang : Pagi  NoteÃ‚Â :  hubungi terlebih dahulu sebelum kelokasi </t>
  </si>
  <si>
    <t>ODP-ABL-F04/05</t>
  </si>
  <si>
    <t>WO065465785</t>
  </si>
  <si>
    <t>2026-09-30 11:00:00 | Tanggal pemasangan : 30/09/2026  Jam pemasangan : pagi / siang   Info Tambahan : Hubungi pelanggan dulu sebelum ke lokasi Terimakasih</t>
  </si>
  <si>
    <t>PT PUTRA ANUGRAH</t>
  </si>
  <si>
    <t>ODP-JER-FW/66 FW/D07/66.01</t>
  </si>
  <si>
    <t>WO065484682</t>
  </si>
  <si>
    <t>MD|MYDB-20261001270104|DN00001/MN00906|PT PUTRA ANUGRAH|6285142489147</t>
  </si>
  <si>
    <t xml:space="preserve">2026-10-02 11:00:00 | Tgl pemasangan : 2 Oktober 2026 Jam pemasangan : siang Info Tambahan : Hubungi pelanggan dulu sebelum ke lokasi terimakasih </t>
  </si>
  <si>
    <t>WO065493680</t>
  </si>
  <si>
    <t>2026-10-02 08:00:00|Nama PIC:  BP MASKUR  No HP: 085607566362  Alt:  Tanggal: 02/10/2026  Jam Pasang: Pagi  Note: Hubungi sebelum ke lokasi, terimakasih. |40931149|MYDITA</t>
  </si>
  <si>
    <t>RUANGAN LABORATURIUM MIN 1 ENDE</t>
  </si>
  <si>
    <t>ODP-END-FM/17 FM/D03/17.01</t>
  </si>
  <si>
    <t>WO065492766</t>
  </si>
  <si>
    <t>|MC40144|MYIA-079321043987/POI/ROSMINI AMBUTUA/081237356577/albaqorah22@gmail.com</t>
  </si>
  <si>
    <t>2026-10-04 08:00:00 | Nama Pic : bu ROSMINI  No Hp Pic : 081237356577 No alt : - Jam Pemasangan : pagi  Tanggal Pemasangan : 2 Oktober 2026</t>
  </si>
  <si>
    <t>APOTIK AS-SIDIQ FARMA</t>
  </si>
  <si>
    <t>ODP-END-FC/08 FC/D01/08.01</t>
  </si>
  <si>
    <t>WO065523626</t>
  </si>
  <si>
    <t>|MC40144|MYIA-029630983829/POI/MOH. RISAN KARNIAN/082237932915/mohamadrisan04@gmail.com</t>
  </si>
  <si>
    <t xml:space="preserve">2026-10-03 08:00:00 | Tgl pemasangan : 3 Oktober 2026 Jam pemasangan : pagi  Info Tambahan : Hubungi pelanggan dulu sebelum ke lokasi terimakasih  </t>
  </si>
  <si>
    <t>KOS KOSAN 4 BERSAUDARA</t>
  </si>
  <si>
    <t>ODP-RTE-FC/60 FC/D03/60.01</t>
  </si>
  <si>
    <t>WO065486813</t>
  </si>
  <si>
    <t>|MN02681|MYIA-032766204020/POI/Dominggus Djami/081228493330/koskosanbersaudara@gmail.com</t>
  </si>
  <si>
    <t>2026-10-02 11:00:00 | telp :081228493330 alt ;  manja : pagi / siang 02/10/2026 hub sebelum ke lokasi</t>
  </si>
  <si>
    <t>SD 4 SENGANAN</t>
  </si>
  <si>
    <t>ODP-BTR-FA/14</t>
  </si>
  <si>
    <t>WO065497753</t>
  </si>
  <si>
    <t>MN02844/PIC I WAYAN WIJAYA KUSUMA/082260882199/wijayak339@gmail.com</t>
  </si>
  <si>
    <t>2026-10-02 11:00:00|Nama PIC:  bp wijaya kusuma No HP: 082260882199 Alt: Tanggal: 02/10/2026 Jam Pasang: Siang Note: Hubungi sebelum ke lokasi, terimakasih. |40931149|MYDITA</t>
  </si>
  <si>
    <t>SD 5 SENGANAN</t>
  </si>
  <si>
    <t>ODP-BTR-FQ/05</t>
  </si>
  <si>
    <t>WO065488757</t>
  </si>
  <si>
    <t>MN02844/PIC GUSTI AYU PUTU DEVI LUVIANA/085737154821/lutvianadevi@gmail.com</t>
  </si>
  <si>
    <t>2026-10-02 11:00:00|Nama PIC : ibu devi No HP : 085737154821 Alt :  M Janji : (JUMAT/2/oktober/2026) jam Pasang : 09:00 Note : hubungi pelanggan jika ingin kelokasi|40961371|MYDITA</t>
  </si>
  <si>
    <t>ISTANA BONEKA GATSU BALI</t>
  </si>
  <si>
    <t>ODP-UBN-FCQ/01</t>
  </si>
  <si>
    <t>WO065502037</t>
  </si>
  <si>
    <t>AMRBS;406961;DEVI PUSPITASARI;ISTANA BONEKA GATSU BALI;HSI 50MB + NETMONK;08979429963</t>
  </si>
  <si>
    <t>2026-10-02 11:00:00|Tanggal: 2/10/2026 Jam Pasang: 08.00 - 12.00 Note: Hubungi sebelum ke lokasi, terimakasih.  |40971401|MYDITA</t>
  </si>
  <si>
    <t>WO065467458</t>
  </si>
  <si>
    <t>2026-10-02 08:00:00|Tanggal: 2/10/2026 Jam Pasang: 08.00 - 12.00 Note: Hubungi sebelum ke lokasi, terimakasih.  |40971401|MYDITA</t>
  </si>
  <si>
    <t>WO065461325</t>
  </si>
  <si>
    <t>2026-10-01 11:00:00|Nama : BP I MADE SALIN  No Hp : 081779993097  No Alt : 081999412311  Tgl Pemasangan : 01 Oktober 2026  Interval : PAGI   Note : Hubungi pelanggan terlebih dahulu|40971402|MYDITA</t>
  </si>
  <si>
    <t>Mindup Education</t>
  </si>
  <si>
    <t>ODP-KNT-FG/10</t>
  </si>
  <si>
    <t>WO065509775</t>
  </si>
  <si>
    <t>|MN00087|/PIC I Gede Wisnu Saputra/081353277918-082314691321/mindupeducation@gmail.com</t>
  </si>
  <si>
    <t>2026-10-02 15:00:00|Nama PIC : BAPAK WISNU No HP : 081353277918 Alt :  M Janji : (JUMAT/2/oktober/2026) jam Pasang : 09:00 Note : hubungi pelanggan jika ingin kelokasi|40961371|MYDITA</t>
  </si>
  <si>
    <t>Last update proses : 02-10-2026 13:34:05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</si>
</sst>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6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95">
    <xf numFmtId="0" fontId="0" fillId="0" borderId="0" xfId="0"/>
    <xf numFmtId="0" fontId="0" fillId="0" borderId="0" xfId="0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7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4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2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 wrapText="1"/>
    </xf>
    <xf numFmtId="0" fontId="13" fillId="9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4" fillId="0" borderId="1" xfId="0" applyFont="1" applyBorder="1" applyAlignment="1">
      <alignment horizontal="center" vertical="center"/>
    </xf>
    <xf numFmtId="0" fontId="12" fillId="10" borderId="1" xfId="0" applyFont="1" applyFill="1" applyBorder="1"/>
    <xf numFmtId="0" fontId="12" fillId="10" borderId="1" xfId="0" applyFont="1" applyFill="1" applyBorder="1" applyAlignment="1">
      <alignment horizontal="center" vertical="center"/>
    </xf>
    <xf numFmtId="0" fontId="12" fillId="0" borderId="0" xfId="0" applyFont="1"/>
    <xf numFmtId="0" fontId="14" fillId="0" borderId="5" xfId="0" applyFont="1" applyBorder="1"/>
    <xf numFmtId="0" fontId="14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5" fillId="0" borderId="0" xfId="0" applyFont="1" applyAlignment="1">
      <alignment horizontal="center" wrapText="1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5" borderId="1" xfId="0" applyFont="1" applyFill="1" applyBorder="1" applyAlignment="1">
      <alignment horizontal="center" vertical="center" wrapText="1"/>
    </xf>
    <xf numFmtId="0" fontId="11" fillId="7" borderId="0" xfId="0" applyFont="1" applyFill="1"/>
    <xf numFmtId="0" fontId="12" fillId="7" borderId="0" xfId="0" applyFont="1" applyFill="1"/>
    <xf numFmtId="10" fontId="14" fillId="0" borderId="1" xfId="0" applyNumberFormat="1" applyFont="1" applyBorder="1" applyAlignment="1">
      <alignment horizontal="center" vertical="center"/>
    </xf>
    <xf numFmtId="10" fontId="12" fillId="10" borderId="1" xfId="0" applyNumberFormat="1" applyFont="1" applyFill="1" applyBorder="1" applyAlignment="1">
      <alignment horizontal="center" vertical="center"/>
    </xf>
    <xf numFmtId="0" fontId="8" fillId="0" borderId="4" xfId="2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 wrapText="1"/>
    </xf>
    <xf numFmtId="0" fontId="14" fillId="0" borderId="13" xfId="0" applyFont="1" applyBorder="1"/>
    <xf numFmtId="0" fontId="14" fillId="0" borderId="13" xfId="0" applyFont="1" applyBorder="1" applyAlignment="1">
      <alignment horizontal="right"/>
    </xf>
    <xf numFmtId="0" fontId="12" fillId="10" borderId="15" xfId="0" applyFont="1" applyFill="1" applyBorder="1"/>
    <xf numFmtId="0" fontId="14" fillId="0" borderId="16" xfId="0" applyFont="1" applyBorder="1"/>
    <xf numFmtId="0" fontId="14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7" fillId="0" borderId="0" xfId="0" applyFont="1"/>
    <xf numFmtId="0" fontId="18" fillId="0" borderId="0" xfId="0" applyFont="1"/>
    <xf numFmtId="0" fontId="5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3" fillId="11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19" borderId="0" xfId="0" applyFont="1" applyFill="1" applyAlignment="1">
      <alignment horizontal="center"/>
    </xf>
    <xf numFmtId="0" fontId="5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4" fillId="21" borderId="1" xfId="0" applyNumberFormat="1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/>
    </xf>
    <xf numFmtId="0" fontId="0" fillId="22" borderId="1" xfId="0" applyFill="1" applyBorder="1" applyAlignment="1">
      <alignment horizontal="center" vertical="center"/>
    </xf>
    <xf numFmtId="0" fontId="2" fillId="0" borderId="0" xfId="0" applyFont="1"/>
    <xf numFmtId="0" fontId="13" fillId="11" borderId="30" xfId="0" applyFont="1" applyFill="1" applyBorder="1" applyAlignment="1">
      <alignment horizontal="center" vertical="center" wrapText="1"/>
    </xf>
    <xf numFmtId="0" fontId="13" fillId="11" borderId="31" xfId="0" applyFont="1" applyFill="1" applyBorder="1" applyAlignment="1">
      <alignment horizontal="center" vertical="center" wrapText="1"/>
    </xf>
    <xf numFmtId="0" fontId="13" fillId="11" borderId="32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/>
    </xf>
    <xf numFmtId="0" fontId="13" fillId="8" borderId="30" xfId="0" applyFont="1" applyFill="1" applyBorder="1" applyAlignment="1">
      <alignment horizontal="center" vertical="center" wrapText="1"/>
    </xf>
    <xf numFmtId="0" fontId="13" fillId="8" borderId="31" xfId="0" applyFont="1" applyFill="1" applyBorder="1" applyAlignment="1">
      <alignment horizontal="center" vertical="center" wrapText="1"/>
    </xf>
    <xf numFmtId="0" fontId="13" fillId="8" borderId="32" xfId="0" applyFont="1" applyFill="1" applyBorder="1" applyAlignment="1">
      <alignment horizontal="center" vertical="center" wrapText="1"/>
    </xf>
    <xf numFmtId="0" fontId="13" fillId="9" borderId="33" xfId="0" applyFont="1" applyFill="1" applyBorder="1" applyAlignment="1">
      <alignment horizontal="center" vertical="center" wrapText="1"/>
    </xf>
    <xf numFmtId="0" fontId="13" fillId="9" borderId="34" xfId="0" applyFont="1" applyFill="1" applyBorder="1" applyAlignment="1">
      <alignment horizontal="center" vertical="center" wrapText="1"/>
    </xf>
    <xf numFmtId="0" fontId="13" fillId="9" borderId="35" xfId="0" applyFont="1" applyFill="1" applyBorder="1" applyAlignment="1">
      <alignment horizontal="center" vertical="center" wrapText="1"/>
    </xf>
    <xf numFmtId="0" fontId="13" fillId="9" borderId="36" xfId="0" applyFont="1" applyFill="1" applyBorder="1" applyAlignment="1">
      <alignment horizontal="center" vertical="center" wrapText="1"/>
    </xf>
    <xf numFmtId="0" fontId="13" fillId="9" borderId="0" xfId="0" applyFont="1" applyFill="1" applyAlignment="1">
      <alignment horizontal="center" vertical="center" wrapText="1"/>
    </xf>
    <xf numFmtId="0" fontId="13" fillId="9" borderId="37" xfId="0" applyFont="1" applyFill="1" applyBorder="1" applyAlignment="1">
      <alignment horizontal="center" vertical="center" wrapText="1"/>
    </xf>
    <xf numFmtId="0" fontId="13" fillId="9" borderId="38" xfId="0" applyFont="1" applyFill="1" applyBorder="1" applyAlignment="1">
      <alignment horizontal="center" vertical="center" wrapText="1"/>
    </xf>
    <xf numFmtId="0" fontId="13" fillId="9" borderId="39" xfId="0" applyFont="1" applyFill="1" applyBorder="1" applyAlignment="1">
      <alignment horizontal="center" vertical="center" wrapText="1"/>
    </xf>
    <xf numFmtId="0" fontId="13" fillId="9" borderId="40" xfId="0" applyFont="1" applyFill="1" applyBorder="1" applyAlignment="1">
      <alignment horizontal="center" vertical="center" wrapText="1"/>
    </xf>
    <xf numFmtId="0" fontId="13" fillId="9" borderId="30" xfId="0" applyFont="1" applyFill="1" applyBorder="1" applyAlignment="1">
      <alignment horizontal="center" vertical="center" wrapText="1"/>
    </xf>
    <xf numFmtId="0" fontId="13" fillId="9" borderId="31" xfId="0" applyFont="1" applyFill="1" applyBorder="1" applyAlignment="1">
      <alignment horizontal="center" vertical="center" wrapText="1"/>
    </xf>
    <xf numFmtId="0" fontId="13" fillId="9" borderId="32" xfId="0" applyFont="1" applyFill="1" applyBorder="1" applyAlignment="1">
      <alignment horizontal="center" vertical="center" wrapText="1"/>
    </xf>
    <xf numFmtId="0" fontId="13" fillId="5" borderId="30" xfId="0" applyFont="1" applyFill="1" applyBorder="1" applyAlignment="1">
      <alignment horizontal="center" vertical="center" wrapText="1"/>
    </xf>
    <xf numFmtId="0" fontId="13" fillId="5" borderId="31" xfId="0" applyFont="1" applyFill="1" applyBorder="1" applyAlignment="1">
      <alignment horizontal="center" vertical="center" wrapText="1"/>
    </xf>
    <xf numFmtId="0" fontId="13" fillId="5" borderId="32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13" fillId="5" borderId="33" xfId="0" applyFont="1" applyFill="1" applyBorder="1" applyAlignment="1">
      <alignment horizontal="center" vertical="center" wrapText="1"/>
    </xf>
    <xf numFmtId="0" fontId="13" fillId="5" borderId="34" xfId="0" applyFont="1" applyFill="1" applyBorder="1" applyAlignment="1">
      <alignment horizontal="center" vertical="center" wrapText="1"/>
    </xf>
    <xf numFmtId="0" fontId="13" fillId="5" borderId="35" xfId="0" applyFont="1" applyFill="1" applyBorder="1" applyAlignment="1">
      <alignment horizontal="center" vertical="center" wrapText="1"/>
    </xf>
    <xf numFmtId="0" fontId="13" fillId="5" borderId="36" xfId="0" applyFont="1" applyFill="1" applyBorder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13" fillId="5" borderId="37" xfId="0" applyFont="1" applyFill="1" applyBorder="1" applyAlignment="1">
      <alignment horizontal="center" vertical="center" wrapText="1"/>
    </xf>
    <xf numFmtId="0" fontId="13" fillId="5" borderId="38" xfId="0" applyFont="1" applyFill="1" applyBorder="1" applyAlignment="1">
      <alignment horizontal="center" vertical="center" wrapText="1"/>
    </xf>
    <xf numFmtId="0" fontId="13" fillId="5" borderId="39" xfId="0" applyFont="1" applyFill="1" applyBorder="1" applyAlignment="1">
      <alignment horizontal="center" vertical="center" wrapText="1"/>
    </xf>
    <xf numFmtId="0" fontId="13" fillId="5" borderId="40" xfId="0" applyFont="1" applyFill="1" applyBorder="1" applyAlignment="1">
      <alignment horizontal="center" vertical="center" wrapText="1"/>
    </xf>
    <xf numFmtId="0" fontId="13" fillId="3" borderId="30" xfId="0" applyFont="1" applyFill="1" applyBorder="1" applyAlignment="1">
      <alignment horizontal="center" vertical="center" wrapText="1"/>
    </xf>
    <xf numFmtId="0" fontId="13" fillId="3" borderId="31" xfId="0" applyFont="1" applyFill="1" applyBorder="1" applyAlignment="1">
      <alignment horizontal="center" vertical="center" wrapText="1"/>
    </xf>
    <xf numFmtId="0" fontId="13" fillId="3" borderId="3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 wrapText="1"/>
    </xf>
    <xf numFmtId="0" fontId="13" fillId="5" borderId="13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/>
    </xf>
    <xf numFmtId="0" fontId="5" fillId="12" borderId="28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13" fillId="8" borderId="13" xfId="0" applyFont="1" applyFill="1" applyBorder="1" applyAlignment="1">
      <alignment horizontal="center" vertical="center"/>
    </xf>
    <xf numFmtId="0" fontId="13" fillId="8" borderId="13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3" fillId="5" borderId="14" xfId="0" applyFont="1" applyFill="1" applyBorder="1" applyAlignment="1">
      <alignment horizontal="center" vertical="center" wrapText="1"/>
    </xf>
    <xf numFmtId="0" fontId="13" fillId="5" borderId="26" xfId="0" applyFont="1" applyFill="1" applyBorder="1" applyAlignment="1">
      <alignment horizontal="center" vertical="center" wrapText="1"/>
    </xf>
    <xf numFmtId="0" fontId="13" fillId="5" borderId="27" xfId="0" applyFont="1" applyFill="1" applyBorder="1" applyAlignment="1">
      <alignment horizontal="center" vertical="center" wrapText="1"/>
    </xf>
    <xf numFmtId="0" fontId="13" fillId="3" borderId="13" xfId="0" applyFont="1" applyFill="1" applyBorder="1" applyAlignment="1">
      <alignment horizontal="center" vertical="center" wrapText="1"/>
    </xf>
    <xf numFmtId="0" fontId="13" fillId="9" borderId="13" xfId="0" applyFont="1" applyFill="1" applyBorder="1" applyAlignment="1">
      <alignment horizontal="center" vertical="center" wrapText="1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5" fillId="0" borderId="0" xfId="0" applyFont="1" applyAlignment="1">
      <alignment horizontal="left"/>
    </xf>
    <xf numFmtId="0" fontId="5" fillId="0" borderId="0" xfId="0" applyFont="1" applyAlignment="1">
      <alignment horizontal="center" wrapText="1"/>
    </xf>
    <xf numFmtId="0" fontId="12" fillId="7" borderId="0" xfId="0" applyFont="1" applyFill="1" applyAlignment="1">
      <alignment horizontal="center" vertical="top" wrapText="1"/>
    </xf>
    <xf numFmtId="0" fontId="13" fillId="8" borderId="30" xfId="0" applyFont="1" applyFill="1" applyBorder="1" applyAlignment="1">
      <alignment horizontal="center" vertical="center"/>
    </xf>
    <xf numFmtId="0" fontId="13" fillId="8" borderId="31" xfId="0" applyFont="1" applyFill="1" applyBorder="1" applyAlignment="1">
      <alignment horizontal="center" vertical="center"/>
    </xf>
    <xf numFmtId="0" fontId="13" fillId="8" borderId="32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1" fillId="3" borderId="0" xfId="0" applyFont="1" applyFill="1"/>
    <xf numFmtId="0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21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4.7619047619047616E-2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0.16666666666666666</c:v>
                </c:pt>
                <c:pt idx="1">
                  <c:v>0.3888888888888889</c:v>
                </c:pt>
                <c:pt idx="2">
                  <c:v>0.30769230769230771</c:v>
                </c:pt>
                <c:pt idx="3">
                  <c:v>6.6666666666666666E-2</c:v>
                </c:pt>
                <c:pt idx="4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6</c:v>
                      </c:pt>
                      <c:pt idx="1">
                        <c:v>18</c:v>
                      </c:pt>
                      <c:pt idx="2">
                        <c:v>13</c:v>
                      </c:pt>
                      <c:pt idx="3">
                        <c:v>16</c:v>
                      </c:pt>
                      <c:pt idx="4">
                        <c:v>21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</c:v>
                      </c:pt>
                      <c:pt idx="1">
                        <c:v>7</c:v>
                      </c:pt>
                      <c:pt idx="2">
                        <c:v>4</c:v>
                      </c:pt>
                      <c:pt idx="3">
                        <c:v>1</c:v>
                      </c:pt>
                      <c:pt idx="4">
                        <c:v>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0.25</c:v>
                      </c:pt>
                      <c:pt idx="1">
                        <c:v>0.875</c:v>
                      </c:pt>
                      <c:pt idx="2">
                        <c:v>0.4</c:v>
                      </c:pt>
                      <c:pt idx="3">
                        <c:v>0.1111111111111111</c:v>
                      </c:pt>
                      <c:pt idx="4">
                        <c:v>0.75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4.7619047619047616E-2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0.25</c:v>
                </c:pt>
                <c:pt idx="1">
                  <c:v>0.875</c:v>
                </c:pt>
                <c:pt idx="2">
                  <c:v>0.4</c:v>
                </c:pt>
                <c:pt idx="3">
                  <c:v>0.1111111111111111</c:v>
                </c:pt>
                <c:pt idx="4">
                  <c:v>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6</c:v>
                      </c:pt>
                      <c:pt idx="1">
                        <c:v>18</c:v>
                      </c:pt>
                      <c:pt idx="2">
                        <c:v>13</c:v>
                      </c:pt>
                      <c:pt idx="3">
                        <c:v>16</c:v>
                      </c:pt>
                      <c:pt idx="4">
                        <c:v>21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</c:v>
                      </c:pt>
                      <c:pt idx="1">
                        <c:v>7</c:v>
                      </c:pt>
                      <c:pt idx="2">
                        <c:v>4</c:v>
                      </c:pt>
                      <c:pt idx="3">
                        <c:v>1</c:v>
                      </c:pt>
                      <c:pt idx="4">
                        <c:v>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0.16666666666666666</c:v>
                      </c:pt>
                      <c:pt idx="1">
                        <c:v>0.3888888888888889</c:v>
                      </c:pt>
                      <c:pt idx="2">
                        <c:v>0.30769230769230771</c:v>
                      </c:pt>
                      <c:pt idx="3">
                        <c:v>6.6666666666666666E-2</c:v>
                      </c:pt>
                      <c:pt idx="4">
                        <c:v>0.3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4.7619047619047616E-2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6</c:v>
                      </c:pt>
                      <c:pt idx="1">
                        <c:v>18</c:v>
                      </c:pt>
                      <c:pt idx="2">
                        <c:v>13</c:v>
                      </c:pt>
                      <c:pt idx="3">
                        <c:v>16</c:v>
                      </c:pt>
                      <c:pt idx="4">
                        <c:v>21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</c:v>
                      </c:pt>
                      <c:pt idx="1">
                        <c:v>7</c:v>
                      </c:pt>
                      <c:pt idx="2">
                        <c:v>4</c:v>
                      </c:pt>
                      <c:pt idx="3">
                        <c:v>1</c:v>
                      </c:pt>
                      <c:pt idx="4">
                        <c:v>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0.16666666666666666</c:v>
                      </c:pt>
                      <c:pt idx="1">
                        <c:v>0.3888888888888889</c:v>
                      </c:pt>
                      <c:pt idx="2">
                        <c:v>0.30769230769230771</c:v>
                      </c:pt>
                      <c:pt idx="3">
                        <c:v>6.6666666666666666E-2</c:v>
                      </c:pt>
                      <c:pt idx="4">
                        <c:v>0.3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0.25</c:v>
                      </c:pt>
                      <c:pt idx="1">
                        <c:v>0.875</c:v>
                      </c:pt>
                      <c:pt idx="2">
                        <c:v>0.4</c:v>
                      </c:pt>
                      <c:pt idx="3">
                        <c:v>0.1111111111111111</c:v>
                      </c:pt>
                      <c:pt idx="4">
                        <c:v>0.75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BA/data%204%20agustus%202026.xlsx" TargetMode="External"/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/COBA/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97.589368634261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107"/>
    </cacheField>
    <cacheField name="ORDER_ID" numFmtId="0">
      <sharedItems containsString="0" containsBlank="1" containsNumber="1" containsInteger="1" minValue="1002616819" maxValue="1002618820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01T19:37:39"/>
    </cacheField>
    <cacheField name="LAST_UPDATED_DATE" numFmtId="0">
      <sharedItems containsNonDate="0" containsDate="1" containsString="0" containsBlank="1" minDate="2026-10-01T08:52:57" maxDate="2026-10-02T13:24:15"/>
    </cacheField>
    <cacheField name="NCLI" numFmtId="0">
      <sharedItems containsString="0" containsBlank="1" containsNumber="1" containsInteger="1" minValue="69005969" maxValue="69402688"/>
    </cacheField>
    <cacheField name="POTS" numFmtId="0">
      <sharedItems containsString="0" containsBlank="1" containsNumber="1" containsInteger="1" minValue="2716010314" maxValue="3368900010"/>
    </cacheField>
    <cacheField name="SPEEDY" numFmtId="0">
      <sharedItems containsString="0" containsBlank="1" containsNumber="1" containsInteger="1" minValue="141373127777" maxValue="172619203547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9.0351962" maxValue="124.890847764909"/>
    </cacheField>
    <cacheField name="GPS_LATITUDE" numFmtId="0">
      <sharedItems containsString="0" containsBlank="1" containsNumber="1" minValue="-10.186500000000001" maxValue="-5.83253487701701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10T07:40:28" maxDate="2026-01-10T19:40:32"/>
    </cacheField>
    <cacheField name="TANGGAL_MANJA" numFmtId="0">
      <sharedItems containsNonDate="0" containsDate="1" containsString="0" containsBlank="1" minDate="2026-09-25T00:00:00" maxDate="2026-10-05T11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02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NonDate="0" containsString="0" containsBlank="1"/>
    </cacheField>
    <cacheField name="TGL_MANJA" numFmtId="0">
      <sharedItems containsNonDate="0" containsDate="1" containsString="0" containsBlank="1" minDate="2026-09-25T08:00:00" maxDate="2026-10-05T11:00:00"/>
    </cacheField>
    <cacheField name="DETAIL_MANJA" numFmtId="0">
      <sharedItems containsBlank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2"/>
    </cacheField>
    <cacheField name="PS 1" numFmtId="0">
      <sharedItems containsDate="1" containsBlank="1" containsMixedTypes="1" minDate="2026-10-01T00:00:00" maxDate="2026-10-03T00:00:00"/>
    </cacheField>
    <cacheField name="CEK" numFmtId="0">
      <sharedItems containsBlank="1" containsMixedTypes="1" containsNumber="1" minValue="-2.4583333333357587" maxValue="0.70833333333575865"/>
    </cacheField>
    <cacheField name="HASIL" numFmtId="0">
      <sharedItems containsBlank="1" count="4">
        <e v="#NUM!"/>
        <s v="COMPLY"/>
        <m/>
        <s v="NOT COMPLY" u="1"/>
      </sharedItems>
    </cacheField>
    <cacheField name="TELDA" numFmtId="0">
      <sharedItems containsBlank="1" count="111">
        <s v="SELONG"/>
        <s v="BIMA"/>
        <s v="SUMBAWA"/>
        <s v="MALANG"/>
        <s v="BATU"/>
        <s v="BLITAR"/>
        <e v="#N/A"/>
        <s v="KEDIRI"/>
        <s v="MADIUN"/>
        <s v="PONOROGO"/>
        <s v="MADURA"/>
        <s v="SURABAYA UTARA"/>
        <s v="SURABAYA SELATAN"/>
        <s v="MOJOKERTO"/>
        <s v="SIDOARJO"/>
        <s v="PASURUAN"/>
        <s v="GRESIK"/>
        <s v="BOJONEGORO"/>
        <s v="ATAMBUA"/>
        <s v="KUPANG"/>
        <s v="BANYUWANGI"/>
        <s v="JEMBER"/>
        <s v="PROBOLINGGO"/>
        <s v="ENDE"/>
        <s v="LABOAN BAJO"/>
        <s v="TABANAN"/>
        <s v="UBUNG"/>
        <s v="SINGARAJA"/>
        <m/>
        <s v="MATARAM" u="1"/>
        <s v="NGANJUK" u="1"/>
        <s v="WAINGAPU" u="1"/>
        <s v="MAUMERE" u="1"/>
        <s v="JEMBRANA" u="1"/>
        <s v="SANUR" u="1"/>
        <s v="JIMBARAN" u="1"/>
        <s v="GIANYAR" u="1"/>
        <s v="KLUNGKUNG" u="1"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97.589369791669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107"/>
    </cacheField>
    <cacheField name="ORDER_ID" numFmtId="0">
      <sharedItems containsString="0" containsBlank="1" containsNumber="1" containsInteger="1" minValue="1002616819" maxValue="1002618820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01T19:37:39"/>
    </cacheField>
    <cacheField name="LAST_UPDATED_DATE" numFmtId="0">
      <sharedItems containsNonDate="0" containsDate="1" containsString="0" containsBlank="1" minDate="2026-10-01T08:52:57" maxDate="2026-10-02T13:24:15"/>
    </cacheField>
    <cacheField name="NCLI" numFmtId="0">
      <sharedItems containsString="0" containsBlank="1" containsNumber="1" containsInteger="1" minValue="69005969" maxValue="69402688"/>
    </cacheField>
    <cacheField name="POTS" numFmtId="0">
      <sharedItems containsString="0" containsBlank="1" containsNumber="1" containsInteger="1" minValue="2716010314" maxValue="3368900010"/>
    </cacheField>
    <cacheField name="SPEEDY" numFmtId="0">
      <sharedItems containsString="0" containsBlank="1" containsNumber="1" containsInteger="1" minValue="141373127777" maxValue="172619203547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9.0351962" maxValue="124.890847764909"/>
    </cacheField>
    <cacheField name="GPS_LATITUDE" numFmtId="0">
      <sharedItems containsString="0" containsBlank="1" containsNumber="1" minValue="-10.186500000000001" maxValue="-5.83253487701701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10T07:40:28" maxDate="2026-01-10T19:40:32"/>
    </cacheField>
    <cacheField name="TANGGAL_MANJA" numFmtId="0">
      <sharedItems containsNonDate="0" containsDate="1" containsString="0" containsBlank="1" minDate="2026-09-25T00:00:00" maxDate="2026-10-05T11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02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NonDate="0" containsString="0" containsBlank="1"/>
    </cacheField>
    <cacheField name="TGL_MANJA" numFmtId="0">
      <sharedItems containsNonDate="0" containsDate="1" containsString="0" containsBlank="1" minDate="2026-09-25T08:00:00" maxDate="2026-10-05T11:00:00"/>
    </cacheField>
    <cacheField name="DETAIL_MANJA" numFmtId="0">
      <sharedItems containsBlank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2"/>
    </cacheField>
    <cacheField name="PS 1" numFmtId="0">
      <sharedItems containsDate="1" containsBlank="1" containsMixedTypes="1" minDate="2026-10-01T00:00:00" maxDate="2026-10-03T00:00:00"/>
    </cacheField>
    <cacheField name="CEK" numFmtId="0">
      <sharedItems containsBlank="1" containsMixedTypes="1" containsNumber="1" minValue="-2.4583333333357587" maxValue="0.70833333333575865"/>
    </cacheField>
    <cacheField name="HASIL" numFmtId="0">
      <sharedItems containsBlank="1" count="4">
        <e v="#NUM!"/>
        <s v="COMPLY"/>
        <m/>
        <s v="NOT COMPLY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18762"/>
    <n v="3"/>
    <x v="0"/>
    <n v="5"/>
    <s v="MATARAM"/>
    <s v="LOMBOK BARAT TENGAH"/>
    <s v="PRY"/>
    <s v="REG"/>
    <s v="AO"/>
    <s v="NEW SALES"/>
    <s v="1P INET"/>
    <s v="MIE - SEND SURVEY"/>
    <s v="RBS-Regional 3"/>
    <d v="2026-10-01T17:49:39"/>
    <d v="2026-10-01T17:52:06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SURVEY_NEW_MANJA"/>
    <s v="LOMBOK TENGAH"/>
    <s v="NO ADDON"/>
    <m/>
    <s v="MIE - SEND SURVEY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m/>
    <m/>
    <m/>
    <e v="#NUM!"/>
    <e v="#NUM!"/>
    <x v="0"/>
    <x v="0"/>
  </r>
  <r>
    <n v="2"/>
    <n v="1002617134"/>
    <n v="3"/>
    <x v="0"/>
    <n v="5"/>
    <s v="MATARAM"/>
    <s v="LOMBOK TIMUR UTARA"/>
    <s v="SEL"/>
    <s v="REG"/>
    <s v="AO"/>
    <s v="NEW SALES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1"/>
    <x v="0"/>
  </r>
  <r>
    <n v="3"/>
    <n v="1002617999"/>
    <n v="3"/>
    <x v="0"/>
    <n v="5"/>
    <s v="MATARAM"/>
    <s v="LOMBOK TIMUR UTARA"/>
    <s v="SEL"/>
    <s v="REG"/>
    <s v="AO"/>
    <s v="NEW SALES"/>
    <s v="1P INET"/>
    <s v="MIE - SEND SURVEY"/>
    <s v="RBS-Regional 3"/>
    <d v="2026-10-01T14:01:40"/>
    <d v="2026-10-01T14:04:07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SURVEY_NEW_MANJA"/>
    <s v="LOMBOK TIMUR"/>
    <s v="NO ADDON"/>
    <m/>
    <s v="MIE - SEND SURVEY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m/>
    <m/>
    <m/>
    <e v="#NUM!"/>
    <e v="#NUM!"/>
    <x v="0"/>
    <x v="0"/>
  </r>
  <r>
    <n v="4"/>
    <n v="1002618749"/>
    <n v="3"/>
    <x v="0"/>
    <n v="5"/>
    <s v="MATARAM"/>
    <s v="LOMBOK TIMUR UTARA"/>
    <s v="SGG"/>
    <s v="REG"/>
    <s v="AO"/>
    <s v="NEW SALES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1"/>
    <x v="0"/>
  </r>
  <r>
    <n v="5"/>
    <n v="1002618712"/>
    <n v="3"/>
    <x v="0"/>
    <n v="5"/>
    <s v="MATARAM"/>
    <s v="BIMA"/>
    <s v="SAP"/>
    <s v="REG"/>
    <s v="AO"/>
    <s v="NEW SALES"/>
    <m/>
    <s v="7 | OSS - PROVISIONING ISSUED"/>
    <s v="RBS-Regional 3"/>
    <d v="2026-10-01T17:19:59"/>
    <d v="2026-10-02T13:23:48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PI"/>
    <s v="BIMA BARAT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m/>
    <m/>
    <m/>
    <e v="#NUM!"/>
    <e v="#NUM!"/>
    <x v="0"/>
    <x v="1"/>
  </r>
  <r>
    <n v="6"/>
    <n v="1002616820"/>
    <n v="3"/>
    <x v="0"/>
    <n v="5"/>
    <s v="MATARAM"/>
    <s v="BIMA"/>
    <s v="SIL"/>
    <s v="REG"/>
    <s v="AO"/>
    <s v="NEW SALES"/>
    <s v="1P INET"/>
    <s v="8 | OSS - PONR"/>
    <s v="RBS-Regional 3"/>
    <d v="2026-10-01T07:23:39"/>
    <d v="2026-10-02T12:45:19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ACT_COM"/>
    <s v="BIMA BARAT"/>
    <s v="NETMONK"/>
    <m/>
    <s v="PONR"/>
    <s v="HSI Bisnis Bundling Netmonk PSB 70% - 200 Mbps"/>
    <s v="INDIBIZ"/>
    <m/>
    <m/>
    <d v="2026-10-02T08:00:00"/>
    <s v="2026-10-02 08:00:00 | M Janji : (02/OKTOBER/2026) jam Pasang : 09:00 Note : hubungi pelanggan jika ingin kelokasi"/>
    <m/>
    <m/>
    <m/>
    <e v="#NUM!"/>
    <e v="#NUM!"/>
    <x v="0"/>
    <x v="1"/>
  </r>
  <r>
    <n v="7"/>
    <n v="1002616833"/>
    <n v="3"/>
    <x v="0"/>
    <n v="5"/>
    <s v="MATARAM"/>
    <s v="SUMBAWA"/>
    <s v="SBW"/>
    <s v="REG"/>
    <s v="AO"/>
    <s v="NEW SALES"/>
    <s v="1P INET"/>
    <s v="7 | OSS - PROVISIONING ISSUED"/>
    <s v="RBS-Regional 3"/>
    <d v="2026-10-01T07:53:41"/>
    <d v="2026-10-01T16:07:51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m/>
    <s v="PI"/>
    <s v="X"/>
    <s v="OCA"/>
    <m/>
    <s v="Provisioning Issued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0"/>
    <x v="2"/>
  </r>
  <r>
    <n v="8"/>
    <n v="1002617985"/>
    <n v="3"/>
    <x v="0"/>
    <n v="5"/>
    <s v="MATARAM"/>
    <s v="SUMBAWA"/>
    <s v="ALA"/>
    <s v="REG"/>
    <s v="AO"/>
    <s v="NEW SALES"/>
    <s v="1P INET"/>
    <s v="7 | OSS - PROVISIONING ISSUED"/>
    <s v="RBS-Regional 3"/>
    <d v="2026-10-01T13:58:40"/>
    <d v="2026-10-02T13:23:31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I"/>
    <s v="SUMBAWA TIMUR"/>
    <s v="NO ADDON"/>
    <m/>
    <s v="Provisioning Issu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m/>
    <m/>
    <m/>
    <e v="#NUM!"/>
    <e v="#NUM!"/>
    <x v="0"/>
    <x v="2"/>
  </r>
  <r>
    <n v="9"/>
    <n v="1002618464"/>
    <n v="3"/>
    <x v="1"/>
    <n v="5"/>
    <s v="MALANG"/>
    <s v="KEPANJEN"/>
    <s v="KLJ"/>
    <s v="REG"/>
    <s v="AO"/>
    <s v="NEW SALES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  <x v="3"/>
  </r>
  <r>
    <n v="10"/>
    <n v="1002616858"/>
    <n v="3"/>
    <x v="1"/>
    <n v="5"/>
    <s v="MALANG"/>
    <s v="KEPANJEN"/>
    <s v="KLJ"/>
    <s v="REG"/>
    <s v="AO"/>
    <s v="NEW SALES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1"/>
    <x v="3"/>
  </r>
  <r>
    <n v="11"/>
    <n v="1002617199"/>
    <n v="3"/>
    <x v="1"/>
    <n v="5"/>
    <s v="MALANG"/>
    <s v="BATU"/>
    <s v="TMP"/>
    <s v="REG"/>
    <s v="AO"/>
    <s v="NEW SALES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1"/>
    <x v="4"/>
  </r>
  <r>
    <n v="12"/>
    <n v="1002618310"/>
    <n v="3"/>
    <x v="1"/>
    <n v="5"/>
    <s v="MALANG"/>
    <s v="BATU"/>
    <s v="BLB"/>
    <s v="REG"/>
    <s v="AO"/>
    <s v="NEW SALES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1"/>
    <x v="4"/>
  </r>
  <r>
    <n v="13"/>
    <n v="1002618740"/>
    <n v="3"/>
    <x v="1"/>
    <n v="5"/>
    <s v="KEDIRI"/>
    <s v="BLITAR"/>
    <s v="WGI"/>
    <s v="REG"/>
    <s v="AO"/>
    <s v="NEW SALES"/>
    <s v="1P INET"/>
    <s v="8 | OSS - PONR"/>
    <s v="RBS-Regional 3"/>
    <d v="2026-10-01T17:34:35"/>
    <d v="2026-10-02T12:20:54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ACT_COM"/>
    <s v="WLINGI"/>
    <s v="OCA"/>
    <m/>
    <s v="PONR"/>
    <s v="HSI Bisnis Bundling OCA Breach Checker Promo 2026 PSB 70% - 50 Mbps"/>
    <s v="INDIBIZ"/>
    <m/>
    <m/>
    <d v="2026-10-02T15:00:00"/>
    <s v="2026-10-02 15:00:00 | telp :085755252087 alt ;  manja : pagi / siang 02/10/2026 hub sebelum ke lokasi"/>
    <m/>
    <m/>
    <m/>
    <e v="#NUM!"/>
    <e v="#NUM!"/>
    <x v="0"/>
    <x v="5"/>
  </r>
  <r>
    <n v="14"/>
    <n v="1002617286"/>
    <n v="3"/>
    <x v="1"/>
    <n v="5"/>
    <s v="KEDIRI"/>
    <s v="TULUNGAGUNG"/>
    <s v="TUL"/>
    <s v="REG"/>
    <s v="AO"/>
    <s v="NEW SALES"/>
    <s v="1P INET"/>
    <s v="MIA - INVALID SURVEY"/>
    <s v="RBS-Regional 3"/>
    <d v="2026-10-01T10:13:41"/>
    <d v="2026-10-01T10:58:59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SURVEY_NEW_MANJA"/>
    <s v="TULUNGAGUNG"/>
    <s v="NETMONK"/>
    <m/>
    <s v="MIE - INVALID SURVEY - Double Input"/>
    <s v="HSI Bisnis Bundling Netmonk Promo H2 2026 PSB 70% - 50 Mbps"/>
    <s v="INDIBIZ"/>
    <m/>
    <m/>
    <d v="2026-10-02T08:00:00"/>
    <s v="2026-10-02 08:00:00 | Jam Pemasangan : 08:00 - 12.00 Tanggal Pemasangan :02/10/2026 Info Tambahan : Hubungi pelanggan sebelum datang ke lokasi "/>
    <m/>
    <m/>
    <m/>
    <e v="#NUM!"/>
    <e v="#NUM!"/>
    <x v="0"/>
    <x v="5"/>
  </r>
  <r>
    <n v="15"/>
    <n v="1002617592"/>
    <n v="3"/>
    <x v="2"/>
    <n v="4"/>
    <s v="MAGELANG"/>
    <s v="MAGELANG"/>
    <s v="MGE"/>
    <s v="REG"/>
    <s v="AO"/>
    <s v="NEW SALES"/>
    <s v="1P INET"/>
    <s v="MIE - SEND SURVEY"/>
    <s v="RBS-Regional 3"/>
    <d v="2026-10-01T11:26:34"/>
    <d v="2026-10-01T11:28:07"/>
    <n v="69402247"/>
    <m/>
    <n v="146137148301"/>
    <s v="PT KEM WOOD GRACE INDUSTRY(RUANG ROTARI)"/>
    <s v="ODP-MGE-FV/104 FV/D09/104.01"/>
    <s v="WO065477316"/>
    <m/>
    <m/>
    <m/>
    <n v="110.25965598392"/>
    <n v="-7.3734311367481498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SURVEY_NEW_MANJA"/>
    <s v="X"/>
    <s v="NO ADDON"/>
    <m/>
    <s v="MIE - SEND SURVEY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m/>
    <m/>
    <m/>
    <e v="#NUM!"/>
    <e v="#NUM!"/>
    <x v="0"/>
    <x v="6"/>
  </r>
  <r>
    <n v="16"/>
    <n v="1002618470"/>
    <n v="3"/>
    <x v="1"/>
    <n v="5"/>
    <s v="KEDIRI"/>
    <s v="KEDIRI"/>
    <s v="PAE"/>
    <s v="REG"/>
    <s v="AO"/>
    <s v="NEW SALES"/>
    <s v="1P INET"/>
    <s v="MIE - SEND SURVEY"/>
    <s v="RBS-Regional 3"/>
    <d v="2026-10-01T15:55:39"/>
    <d v="2026-10-01T15:58:06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SURVEY_NEW_MANJA"/>
    <s v="PARE"/>
    <s v="NO ADDON"/>
    <m/>
    <s v="MIE - SEND SURVEY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m/>
    <m/>
    <m/>
    <e v="#NUM!"/>
    <e v="#NUM!"/>
    <x v="0"/>
    <x v="7"/>
  </r>
  <r>
    <n v="17"/>
    <n v="1002617351"/>
    <n v="3"/>
    <x v="1"/>
    <n v="5"/>
    <s v="KEDIRI"/>
    <s v="KEDIRI"/>
    <s v="MJT"/>
    <s v="REG"/>
    <s v="AO"/>
    <s v="NEW SALES"/>
    <s v="1P INET"/>
    <s v="OSS - PROVISIONING START"/>
    <s v="RBS-Regional 3"/>
    <d v="2026-10-01T10:29:40"/>
    <d v="2026-10-02T11:38:36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RE_PI"/>
    <s v="NGADILUWIH"/>
    <s v="NO ADDON"/>
    <m/>
    <s v="Provisioning Start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m/>
    <m/>
    <m/>
    <e v="#NUM!"/>
    <e v="#NUM!"/>
    <x v="0"/>
    <x v="7"/>
  </r>
  <r>
    <n v="18"/>
    <n v="1002617644"/>
    <n v="3"/>
    <x v="1"/>
    <n v="5"/>
    <s v="KEDIRI"/>
    <s v="KEDIRI"/>
    <s v="MJT"/>
    <s v="REG"/>
    <s v="AO"/>
    <s v="NEW SALES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1"/>
    <x v="7"/>
  </r>
  <r>
    <n v="19"/>
    <n v="1002618759"/>
    <n v="3"/>
    <x v="1"/>
    <n v="5"/>
    <s v="KEDIRI"/>
    <s v="KEDIRI"/>
    <s v="MJT"/>
    <s v="REG"/>
    <s v="AO"/>
    <s v="NEW SALES"/>
    <s v="1P INET"/>
    <s v="MIE - SEND SURVEY"/>
    <s v="RBS-Regional 3"/>
    <d v="2026-10-01T17:49:34"/>
    <d v="2026-10-01T17:52:01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SURVEY_NEW_MANJA"/>
    <s v="NGADILUWIH"/>
    <s v="NO ADDON"/>
    <m/>
    <s v="MIE - SEND SURVEY"/>
    <s v="HSI Bisnis Promo Hari Pelanggan Nasional PSB 70% - 300 Mbps"/>
    <s v="INDIBIZ"/>
    <m/>
    <m/>
    <d v="2026-10-02T15:00:00"/>
    <s v="2026-10-02 15:00:00 | telp :085704475116 alt ;  manja : pagi / siang 02/10/2026 hub sebelum ke lokasi "/>
    <m/>
    <m/>
    <m/>
    <e v="#NUM!"/>
    <e v="#NUM!"/>
    <x v="0"/>
    <x v="7"/>
  </r>
  <r>
    <n v="20"/>
    <n v="1002617598"/>
    <n v="3"/>
    <x v="1"/>
    <n v="5"/>
    <s v="MADIUN"/>
    <s v="NGAWI"/>
    <s v="KRJ"/>
    <s v="REG"/>
    <s v="AO"/>
    <s v="NEW SALES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1"/>
    <x v="8"/>
  </r>
  <r>
    <n v="21"/>
    <n v="1002618105"/>
    <n v="3"/>
    <x v="1"/>
    <n v="5"/>
    <s v="MADIUN"/>
    <s v="PONOROGO"/>
    <s v="PON"/>
    <s v="REG"/>
    <s v="AO"/>
    <s v="NEW SALES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1"/>
    <x v="9"/>
  </r>
  <r>
    <n v="22"/>
    <n v="1002617775"/>
    <n v="3"/>
    <x v="2"/>
    <n v="4"/>
    <s v="YOGYAKARTA"/>
    <s v="INNER - YOGYA JATENG SELATAN"/>
    <s v="KBU"/>
    <s v="REG"/>
    <s v="AO"/>
    <s v="NEW SALES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1"/>
    <x v="6"/>
  </r>
  <r>
    <n v="23"/>
    <n v="1002618747"/>
    <n v="3"/>
    <x v="2"/>
    <n v="4"/>
    <s v="YOGYAKARTA"/>
    <s v="BANTUL"/>
    <s v="BTL"/>
    <s v="REG"/>
    <s v="AO"/>
    <s v="NEW SALES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1"/>
    <x v="6"/>
  </r>
  <r>
    <n v="24"/>
    <n v="1002617109"/>
    <n v="3"/>
    <x v="2"/>
    <n v="4"/>
    <s v="YOGYAKARTA"/>
    <s v="SLEMAN"/>
    <s v="GOD"/>
    <s v="REG"/>
    <s v="AO"/>
    <s v="NEW SALES"/>
    <s v="1P INET"/>
    <s v="8 | OSS - PONR"/>
    <s v="RBS-Regional 3"/>
    <d v="2026-10-01T09:34:39"/>
    <d v="2026-10-02T13:16:30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ACT_COM"/>
    <s v="X"/>
    <s v="NO ADDON"/>
    <m/>
    <s v="PONR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m/>
    <m/>
    <m/>
    <e v="#NUM!"/>
    <e v="#NUM!"/>
    <x v="0"/>
    <x v="6"/>
  </r>
  <r>
    <n v="25"/>
    <n v="1002617805"/>
    <n v="3"/>
    <x v="3"/>
    <n v="5"/>
    <s v="MADURA"/>
    <s v="PAMEKASAN"/>
    <s v="PME"/>
    <s v="REG"/>
    <s v="AO"/>
    <s v="NEW SALES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1"/>
    <x v="10"/>
  </r>
  <r>
    <n v="26"/>
    <n v="1002618796"/>
    <n v="3"/>
    <x v="3"/>
    <n v="5"/>
    <s v="MADURA"/>
    <s v="PAMEKASAN"/>
    <s v="PME"/>
    <s v="REG"/>
    <s v="AO"/>
    <s v="NEW SALES"/>
    <s v="1P INET"/>
    <s v="MIE - SEND SURVEY"/>
    <s v="RBS-Regional 3"/>
    <d v="2026-10-01T18:38:39"/>
    <d v="2026-10-01T18:40:01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SURVEY_NEW_MANJA"/>
    <s v="PAMEKASAN"/>
    <s v="NETMONK"/>
    <m/>
    <s v="MIE - SEND SURVEY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m/>
    <m/>
    <m/>
    <e v="#NUM!"/>
    <e v="#NUM!"/>
    <x v="0"/>
    <x v="10"/>
  </r>
  <r>
    <n v="27"/>
    <n v="1002617619"/>
    <n v="3"/>
    <x v="3"/>
    <n v="5"/>
    <s v="MADURA"/>
    <s v="PAMEKASAN"/>
    <s v="AJA"/>
    <s v="REG"/>
    <s v="AO"/>
    <s v="NEW SALES"/>
    <m/>
    <s v="MIA - INVALID SURVEY"/>
    <s v="RBS-Regional 3"/>
    <d v="2026-10-01T11:36:55"/>
    <d v="2026-10-02T09:44:51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0"/>
    <x v="10"/>
  </r>
  <r>
    <n v="28"/>
    <n v="1002617733"/>
    <n v="3"/>
    <x v="3"/>
    <n v="5"/>
    <s v="SBY UTARA"/>
    <s v="KENJERAN"/>
    <s v="KBL"/>
    <s v="REG"/>
    <s v="AO"/>
    <s v="NEW SALES"/>
    <s v="1P INET"/>
    <s v="MIA - INVALID SURVEY"/>
    <s v="RBS-Regional 3"/>
    <d v="2026-10-01T12:31:39"/>
    <d v="2026-10-02T09:43:49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m/>
    <s v="SURVEY_NEW_MANJA"/>
    <s v="KEBALEN"/>
    <s v="NO ADDON"/>
    <m/>
    <s v="MIE - INVALID SURVEY - Kendala Jalur/Rute Tarikan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0"/>
    <x v="11"/>
  </r>
  <r>
    <n v="29"/>
    <n v="1002618449"/>
    <n v="3"/>
    <x v="3"/>
    <n v="5"/>
    <s v="SBY UTARA"/>
    <s v="KENJERAN"/>
    <s v="KBL"/>
    <s v="REG"/>
    <s v="AO"/>
    <s v="NEW SALES"/>
    <s v="1P INET"/>
    <s v="MIE - SEND SURVEY"/>
    <s v="RBS-Regional 3"/>
    <d v="2026-10-01T15:50:34"/>
    <d v="2026-10-01T15:52:0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SURVEY_NEW_MANJA"/>
    <s v="KEBALEN"/>
    <s v="NO ADDON"/>
    <m/>
    <s v="MIE - SEND SURVEY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m/>
    <m/>
    <m/>
    <e v="#NUM!"/>
    <e v="#NUM!"/>
    <x v="0"/>
    <x v="11"/>
  </r>
  <r>
    <n v="30"/>
    <n v="1002618774"/>
    <n v="3"/>
    <x v="3"/>
    <n v="5"/>
    <s v="SBY UTARA"/>
    <s v="KENJERAN"/>
    <s v="KJR"/>
    <s v="REG"/>
    <s v="AO"/>
    <s v="NEW SALES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1"/>
    <x v="11"/>
  </r>
  <r>
    <n v="31"/>
    <n v="1002617724"/>
    <n v="3"/>
    <x v="3"/>
    <n v="5"/>
    <s v="SBY SELATAN"/>
    <s v="KETINTANG"/>
    <s v="IJK"/>
    <s v="REG"/>
    <s v="AO"/>
    <s v="NEW SALES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1"/>
    <x v="12"/>
  </r>
  <r>
    <n v="32"/>
    <n v="1002618255"/>
    <n v="3"/>
    <x v="3"/>
    <n v="5"/>
    <s v="SBY SELATAN"/>
    <s v="KETINTANG"/>
    <s v="IJK"/>
    <s v="REG"/>
    <s v="AO"/>
    <s v="NEW SALES"/>
    <m/>
    <s v="MIE - SEND SURVEY"/>
    <s v="RBS-Regional 3"/>
    <d v="2026-10-01T15:08:33"/>
    <d v="2026-10-01T17:12:0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SURVEY_NEW_MANJA"/>
    <s v="WARU INJOKO"/>
    <s v="NO ADDON"/>
    <m/>
    <s v="MIE - SEND SURVEY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m/>
    <m/>
    <m/>
    <e v="#NUM!"/>
    <e v="#NUM!"/>
    <x v="0"/>
    <x v="12"/>
  </r>
  <r>
    <n v="33"/>
    <n v="1002617848"/>
    <n v="3"/>
    <x v="3"/>
    <n v="5"/>
    <s v="SBY UTARA"/>
    <s v="TANDES"/>
    <s v="KRP"/>
    <s v="REG"/>
    <s v="AO"/>
    <s v="NEW SALES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1"/>
    <x v="11"/>
  </r>
  <r>
    <n v="34"/>
    <n v="1002618729"/>
    <n v="3"/>
    <x v="3"/>
    <n v="5"/>
    <s v="SBY UTARA"/>
    <s v="MANYAR"/>
    <s v="MGO"/>
    <s v="REG"/>
    <s v="AO"/>
    <s v="NEW SALES"/>
    <s v="1P INET"/>
    <s v="8 | OSS - PONR"/>
    <s v="RBS-Regional 3"/>
    <d v="2026-10-01T17:28:34"/>
    <d v="2026-10-02T13:18:34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ACT_COM"/>
    <s v="MERGOYOSO"/>
    <s v="NO ADDON"/>
    <m/>
    <s v="PONR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m/>
    <m/>
    <m/>
    <e v="#NUM!"/>
    <e v="#NUM!"/>
    <x v="0"/>
    <x v="12"/>
  </r>
  <r>
    <n v="35"/>
    <n v="1002616819"/>
    <n v="3"/>
    <x v="3"/>
    <n v="5"/>
    <s v="SBY UTARA"/>
    <s v="MANYAR"/>
    <s v="MGO"/>
    <s v="REG"/>
    <s v="AO"/>
    <s v="NEW SALES"/>
    <s v="1P INET"/>
    <s v="100 | REVOKE COMPLETED"/>
    <s v="RBS-Regional 3"/>
    <d v="2026-10-01T07:17:34"/>
    <d v="2026-10-02T13:01:23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Revoke Completed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0"/>
    <x v="12"/>
  </r>
  <r>
    <n v="36"/>
    <n v="1002618465"/>
    <n v="3"/>
    <x v="3"/>
    <n v="5"/>
    <s v="SBY UTARA"/>
    <s v="MANYAR"/>
    <s v="MGO"/>
    <s v="REG"/>
    <s v="AO"/>
    <s v="NEW SALES"/>
    <s v="2P INET + VOICE"/>
    <s v="MIE - SEND SURVEY"/>
    <s v="RBS-Regional 3"/>
    <d v="2026-10-01T15:52:40"/>
    <d v="2026-10-01T15:54:01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SURVEY_NEW_MANJA"/>
    <s v="MERGOYOSO"/>
    <s v="NO ADDON"/>
    <m/>
    <s v="MIE - SEND SURVEY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m/>
    <m/>
    <m/>
    <e v="#NUM!"/>
    <e v="#NUM!"/>
    <x v="0"/>
    <x v="12"/>
  </r>
  <r>
    <n v="37"/>
    <n v="1002618123"/>
    <n v="3"/>
    <x v="3"/>
    <n v="5"/>
    <s v="SBY SELATAN"/>
    <s v="MANYAR"/>
    <s v="MYR"/>
    <s v="REG"/>
    <s v="AO"/>
    <s v="NEW SALES"/>
    <m/>
    <s v="MIE - SEND SURVEY"/>
    <s v="RBS-Regional 3"/>
    <d v="2026-10-01T14:33:24"/>
    <d v="2026-10-01T17:28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SURVEY_NEW_MANJA"/>
    <s v="MANYA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m/>
    <m/>
    <m/>
    <e v="#NUM!"/>
    <e v="#NUM!"/>
    <x v="0"/>
    <x v="12"/>
  </r>
  <r>
    <n v="38"/>
    <n v="1002618719"/>
    <n v="3"/>
    <x v="3"/>
    <n v="5"/>
    <s v="SBY SELATAN"/>
    <s v="MANYAR"/>
    <s v="MYR"/>
    <s v="REG"/>
    <s v="AO"/>
    <s v="NEW SALES"/>
    <m/>
    <s v="MIE - SEND SURVEY"/>
    <s v="RBS-Regional 3"/>
    <d v="2026-10-01T17:24:30"/>
    <d v="2026-10-02T10:38:01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SURVEY_NEW_MANJA"/>
    <s v="MANYAR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m/>
    <m/>
    <m/>
    <e v="#NUM!"/>
    <e v="#NUM!"/>
    <x v="0"/>
    <x v="12"/>
  </r>
  <r>
    <n v="39"/>
    <n v="1002618820"/>
    <n v="3"/>
    <x v="3"/>
    <n v="5"/>
    <s v="SBY SELATAN"/>
    <s v="KETINTANG"/>
    <s v="RKT"/>
    <s v="REG"/>
    <s v="AO"/>
    <s v="NEW SALES"/>
    <s v="1P INET"/>
    <s v="MIE - SEND SURVEY"/>
    <s v="RBS-Regional 3"/>
    <d v="2026-10-01T19:37:39"/>
    <d v="2026-10-01T19:40:01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SURVEY_NEW_MANJA"/>
    <s v="RUNGKUT"/>
    <s v="NO ADDON"/>
    <m/>
    <s v="MIE - SEND SURVEY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m/>
    <m/>
    <m/>
    <e v="#NUM!"/>
    <e v="#NUM!"/>
    <x v="0"/>
    <x v="12"/>
  </r>
  <r>
    <n v="40"/>
    <n v="1002617446"/>
    <n v="3"/>
    <x v="4"/>
    <n v="4"/>
    <s v="KUDUS"/>
    <s v="BLORA"/>
    <s v="BLO"/>
    <s v="REG"/>
    <s v="AO"/>
    <s v="NEW SALES"/>
    <s v="1P INET"/>
    <s v="8 | OSS - PONR"/>
    <s v="RBS-Regional 3"/>
    <d v="2026-10-01T10:47:39"/>
    <d v="2026-10-02T11:23:13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ACT_COM"/>
    <s v="X"/>
    <s v="NO ADDON"/>
    <m/>
    <s v="PONR"/>
    <s v="HSI Bisnis PSB 70% - 50 Mbps"/>
    <s v="INDIBIZ"/>
    <m/>
    <m/>
    <d v="2026-10-02T08:00:00"/>
    <s v="2026-10-02 08:00:00 | Jam pemasangan : 12.00 Info Tambahan : Hubungi pelanggan dulu sebelum ke lokasi terimakasih  "/>
    <m/>
    <m/>
    <m/>
    <e v="#NUM!"/>
    <e v="#NUM!"/>
    <x v="0"/>
    <x v="6"/>
  </r>
  <r>
    <n v="41"/>
    <n v="1002618761"/>
    <n v="3"/>
    <x v="4"/>
    <n v="4"/>
    <s v="KUDUS"/>
    <s v="BLORA"/>
    <s v="BLO"/>
    <s v="REG"/>
    <s v="AO"/>
    <s v="NEW SALES"/>
    <s v="1P INET"/>
    <s v="MIE - SEND SURVEY"/>
    <s v="RBS-Regional 3"/>
    <d v="2026-10-01T17:49:39"/>
    <d v="2026-10-01T17:52:01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SURVEY_NEW_MANJA"/>
    <s v="X"/>
    <s v="NO ADDON"/>
    <m/>
    <s v="MIE - SEND SURVEY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m/>
    <m/>
    <m/>
    <e v="#NUM!"/>
    <e v="#NUM!"/>
    <x v="0"/>
    <x v="6"/>
  </r>
  <r>
    <n v="42"/>
    <n v="1002618342"/>
    <n v="3"/>
    <x v="4"/>
    <n v="4"/>
    <s v="KUDUS"/>
    <s v="PURWODADI"/>
    <s v="PWB"/>
    <s v="REG"/>
    <s v="AO"/>
    <s v="NEW SALES"/>
    <m/>
    <s v="7 | OSS - PROVISIONING ISSUED"/>
    <s v="RBS-Regional 3"/>
    <d v="2026-10-01T15:27:07"/>
    <d v="2026-10-02T13:11:32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I"/>
    <s v="X"/>
    <s v="NO ADDON"/>
    <m/>
    <s v="Provisioning Issu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m/>
    <m/>
    <m/>
    <e v="#NUM!"/>
    <e v="#NUM!"/>
    <x v="0"/>
    <x v="6"/>
  </r>
  <r>
    <n v="43"/>
    <n v="1002618094"/>
    <n v="3"/>
    <x v="4"/>
    <n v="4"/>
    <s v="KUDUS"/>
    <s v="PURWODADI"/>
    <s v="PWB"/>
    <s v="REG"/>
    <s v="AO"/>
    <s v="NEW SALES"/>
    <m/>
    <s v="MIE - SEND SURVEY"/>
    <s v="RBS-Regional 3"/>
    <d v="2026-10-01T14:26:10"/>
    <d v="2026-10-01T16:48:2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SURVEY_NEW_MANJA"/>
    <s v="X"/>
    <s v="NO ADDON"/>
    <m/>
    <s v="MIE - SEND SURVEY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m/>
    <m/>
    <m/>
    <e v="#NUM!"/>
    <e v="#NUM!"/>
    <x v="0"/>
    <x v="6"/>
  </r>
  <r>
    <n v="44"/>
    <n v="1002617580"/>
    <n v="3"/>
    <x v="4"/>
    <n v="4"/>
    <s v="SOLO"/>
    <s v="SRAGEN"/>
    <s v="SRG"/>
    <s v="REG"/>
    <s v="AO"/>
    <s v="NEW SALES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1"/>
    <x v="6"/>
  </r>
  <r>
    <n v="45"/>
    <n v="1002617638"/>
    <n v="3"/>
    <x v="4"/>
    <n v="4"/>
    <s v="SOLO"/>
    <s v="INNER - SOLO JATENG TIMUR"/>
    <s v="KRT"/>
    <s v="REG"/>
    <s v="AO"/>
    <s v="NEW SALES"/>
    <s v="2P INET + VOICE"/>
    <s v="OSS - PROVISIONING START"/>
    <s v="RBS-Regional 3"/>
    <d v="2026-10-01T11:40:40"/>
    <d v="2026-10-02T08:14:5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m/>
    <s v="PRE_PI"/>
    <s v="X"/>
    <s v="NO ADDON"/>
    <m/>
    <s v="Provisioning Start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0"/>
    <x v="6"/>
  </r>
  <r>
    <n v="46"/>
    <n v="1002617694"/>
    <n v="3"/>
    <x v="4"/>
    <n v="4"/>
    <s v="SOLO"/>
    <s v="INNER - SOLO JATENG TIMUR"/>
    <s v="KRT"/>
    <s v="REG"/>
    <s v="AO"/>
    <s v="NEW SALES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1"/>
    <x v="6"/>
  </r>
  <r>
    <n v="47"/>
    <n v="1002617973"/>
    <n v="3"/>
    <x v="4"/>
    <n v="4"/>
    <s v="SOLO"/>
    <s v="WONOGIRI"/>
    <s v="JSO"/>
    <s v="REG"/>
    <s v="AO"/>
    <s v="NEW SALES"/>
    <m/>
    <s v="MIE - SEND SURVEY"/>
    <s v="RBS-Regional 3"/>
    <d v="2026-10-01T13:57:21"/>
    <d v="2026-10-02T10:00:06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m/>
    <m/>
    <m/>
    <e v="#NUM!"/>
    <e v="#NUM!"/>
    <x v="0"/>
    <x v="6"/>
  </r>
  <r>
    <n v="48"/>
    <n v="1002617289"/>
    <n v="3"/>
    <x v="5"/>
    <n v="5"/>
    <s v="SIDOARJO"/>
    <s v="JOMBANG"/>
    <s v="MOJ"/>
    <s v="REG"/>
    <s v="AO"/>
    <s v="NEW SALES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1"/>
    <x v="13"/>
  </r>
  <r>
    <n v="49"/>
    <n v="1002616829"/>
    <n v="3"/>
    <x v="5"/>
    <n v="5"/>
    <s v="SIDOARJO"/>
    <s v="MOJOKERTO"/>
    <s v="MRT"/>
    <s v="REG"/>
    <s v="AO"/>
    <s v="NEW SALES"/>
    <m/>
    <s v="8 | OSS - PONR"/>
    <s v="RBS-Regional 3"/>
    <d v="2026-10-01T07:52:22"/>
    <d v="2026-10-01T18:24:44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ACT_COM"/>
    <s v="MOJOKERTO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m/>
    <m/>
    <m/>
    <e v="#NUM!"/>
    <e v="#NUM!"/>
    <x v="0"/>
    <x v="13"/>
  </r>
  <r>
    <n v="50"/>
    <n v="1002617823"/>
    <n v="3"/>
    <x v="5"/>
    <n v="5"/>
    <s v="SIDOARJO"/>
    <s v="INNER - JATIM TIMUR"/>
    <s v="KRN"/>
    <s v="REG"/>
    <s v="AO"/>
    <s v="NEW SALES"/>
    <s v="1P INET"/>
    <s v="OSS - PROVISIONING START"/>
    <s v="RBS-Regional 3"/>
    <d v="2026-10-01T13:16:35"/>
    <d v="2026-10-01T16:20:30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m/>
    <s v="PRE_PI"/>
    <s v="KRIAN"/>
    <s v="NO ADDON"/>
    <m/>
    <s v="Provisioning Start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  <x v="14"/>
  </r>
  <r>
    <n v="51"/>
    <n v="1002616839"/>
    <n v="3"/>
    <x v="5"/>
    <n v="5"/>
    <s v="SIDOARJO"/>
    <s v="INNER - JATIM TIMUR"/>
    <s v="SDN"/>
    <s v="REG"/>
    <s v="AO"/>
    <s v="NEW SALES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1"/>
    <x v="14"/>
  </r>
  <r>
    <n v="52"/>
    <n v="1002617312"/>
    <n v="3"/>
    <x v="5"/>
    <n v="5"/>
    <s v="SIDOARJO"/>
    <s v="INNER - JATIM TIMUR"/>
    <s v="SDN"/>
    <s v="REG"/>
    <s v="AO"/>
    <s v="NEW SALES"/>
    <s v="1P INET"/>
    <s v="7 | OSS - PROVISIONING ISSUED"/>
    <s v="RBS-Regional 3"/>
    <d v="2026-10-01T10:20:40"/>
    <d v="2026-10-02T13:24:1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I"/>
    <s v="SIDOARJO"/>
    <s v="NETMONK"/>
    <m/>
    <s v="Provisioning Issu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m/>
    <m/>
    <m/>
    <e v="#NUM!"/>
    <e v="#NUM!"/>
    <x v="0"/>
    <x v="14"/>
  </r>
  <r>
    <n v="53"/>
    <n v="1002617556"/>
    <n v="3"/>
    <x v="5"/>
    <n v="5"/>
    <s v="SIDOARJO"/>
    <s v="INNER - JATIM TIMUR"/>
    <s v="SDA"/>
    <s v="REG"/>
    <s v="AO"/>
    <s v="NEW SALES"/>
    <s v="1P INET"/>
    <s v="8 | OSS - PONR"/>
    <s v="RBS-Regional 3"/>
    <d v="2026-10-01T11:17:34"/>
    <d v="2026-10-02T10:04:50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ACT_COM"/>
    <s v="SIDOARJO"/>
    <s v="NO ADDON"/>
    <m/>
    <s v="PONR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m/>
    <m/>
    <m/>
    <e v="#NUM!"/>
    <e v="#NUM!"/>
    <x v="0"/>
    <x v="14"/>
  </r>
  <r>
    <n v="54"/>
    <n v="1002617423"/>
    <n v="3"/>
    <x v="5"/>
    <n v="5"/>
    <s v="SIDOARJO"/>
    <s v="INNER - JATIM TIMUR"/>
    <s v="SDA"/>
    <s v="REG"/>
    <s v="AO"/>
    <s v="NEW SALES"/>
    <s v="1P INET"/>
    <s v="7 | OSS - PROVISIONING ISSUED"/>
    <s v="RBS-Regional 3"/>
    <d v="2026-10-01T10:43:39"/>
    <d v="2026-10-02T08:09:24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m/>
    <s v="PI"/>
    <s v="SIDOARJO"/>
    <s v="OCA"/>
    <m/>
    <s v="Provisioning Issued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0"/>
    <x v="14"/>
  </r>
  <r>
    <n v="55"/>
    <n v="1002618024"/>
    <n v="3"/>
    <x v="5"/>
    <n v="5"/>
    <s v="PASURUAN"/>
    <s v="PASURUAN"/>
    <s v="BNL"/>
    <s v="REG"/>
    <s v="AO"/>
    <s v="NEW SALES"/>
    <m/>
    <s v="8 | OSS - PONR"/>
    <s v="RBS-Regional 3"/>
    <d v="2026-10-01T14:09:07"/>
    <d v="2026-10-02T12:49:37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ACT_COM"/>
    <s v="BANGIL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m/>
    <m/>
    <m/>
    <e v="#NUM!"/>
    <e v="#NUM!"/>
    <x v="0"/>
    <x v="15"/>
  </r>
  <r>
    <n v="56"/>
    <n v="1002617383"/>
    <n v="3"/>
    <x v="3"/>
    <n v="5"/>
    <s v="SBY SELATAN"/>
    <s v="KETINTANG"/>
    <s v="TPO"/>
    <s v="REG"/>
    <s v="AO"/>
    <s v="NEW SALES"/>
    <s v="1P INET"/>
    <s v="OSS - PROVISIONING START"/>
    <s v="RBS-Regional 3"/>
    <d v="2026-10-01T10:35:40"/>
    <d v="2026-10-02T08:14:43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m/>
    <s v="PRE_PI"/>
    <s v="TROPODO"/>
    <s v="NO ADDON"/>
    <m/>
    <s v="Provisioning Start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m/>
    <m/>
    <m/>
    <e v="#NUM!"/>
    <e v="#NUM!"/>
    <x v="0"/>
    <x v="12"/>
  </r>
  <r>
    <n v="57"/>
    <n v="1002617708"/>
    <n v="3"/>
    <x v="3"/>
    <n v="5"/>
    <s v="SBY SELATAN"/>
    <s v="KETINTANG"/>
    <s v="TPO"/>
    <s v="REG"/>
    <s v="AO"/>
    <s v="NEW SALES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1"/>
    <x v="12"/>
  </r>
  <r>
    <n v="58"/>
    <n v="1002617838"/>
    <n v="3"/>
    <x v="4"/>
    <n v="4"/>
    <s v="KUDUS"/>
    <s v="KUDUS"/>
    <s v="DMA"/>
    <s v="REG"/>
    <s v="AO"/>
    <s v="NEW SALES"/>
    <m/>
    <s v="MYCX - SEND OPEN PAPERLESS"/>
    <s v="RBS-Regional 3"/>
    <d v="2026-10-01T13:24:57"/>
    <d v="2026-10-01T13:28:15"/>
    <n v="69402365"/>
    <m/>
    <n v="141456115553"/>
    <s v="WISMA MUTIARA DEMAK"/>
    <s v="ODP-DMA-FB/146"/>
    <m/>
    <m/>
    <m/>
    <m/>
    <n v="110.633223053436"/>
    <n v="-6.9019571696067601"/>
    <s v="|MC60142|/JAMAL MUHLIS/081325316050/wismamutiara781@gmail.com /Permintaan PSB HSI BISNIS 1S INET 100MBPS PAKET WINBACK1/WISMA MUTIARA DEMAK"/>
    <s v="Sales Profesional"/>
    <m/>
    <m/>
    <m/>
    <m/>
    <m/>
    <m/>
    <m/>
    <m/>
    <m/>
    <m/>
    <m/>
    <d v="2026-01-10T13:40:38"/>
    <m/>
    <m/>
    <s v="INPROGRESS_SC"/>
    <s v="DEMAK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6"/>
  </r>
  <r>
    <n v="59"/>
    <n v="1002617515"/>
    <n v="3"/>
    <x v="6"/>
    <n v="4"/>
    <s v="SEMARANG"/>
    <s v="SALATIGA"/>
    <s v="SLI"/>
    <s v="REG"/>
    <s v="AO"/>
    <s v="NEW SALES"/>
    <s v="1P INET"/>
    <s v="7 | OSS - PROVISIONING ISSUED"/>
    <s v="RBS-Regional 3"/>
    <d v="2026-10-01T11:05:40"/>
    <d v="2026-10-02T08:13:58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I"/>
    <s v="X"/>
    <s v="NO ADDON"/>
    <m/>
    <s v="Provisioning Issu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m/>
    <m/>
    <m/>
    <e v="#NUM!"/>
    <e v="#NUM!"/>
    <x v="0"/>
    <x v="6"/>
  </r>
  <r>
    <n v="60"/>
    <n v="1002617361"/>
    <n v="3"/>
    <x v="4"/>
    <n v="4"/>
    <s v="KUDUS"/>
    <s v="KUDUS"/>
    <s v="KUD"/>
    <s v="REG"/>
    <s v="AO"/>
    <s v="NEW SALES"/>
    <s v="1P INET"/>
    <s v="MIE - SEND SURVEY"/>
    <s v="RBS-Regional 3"/>
    <d v="2026-10-01T10:31:39"/>
    <d v="2026-10-01T10:34:01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m/>
    <s v="SURVEY_NEW_MANJA"/>
    <s v="X"/>
    <s v="NO ADDON"/>
    <m/>
    <s v="MIE - SEND SURVEY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0"/>
    <x v="6"/>
  </r>
  <r>
    <n v="61"/>
    <n v="1002618429"/>
    <n v="3"/>
    <x v="4"/>
    <n v="4"/>
    <s v="KUDUS"/>
    <s v="PATI"/>
    <s v="PAT"/>
    <s v="REG"/>
    <s v="AO"/>
    <s v="NEW SALES"/>
    <m/>
    <s v="MIE - SEND SURVEY"/>
    <s v="RBS-Regional 3"/>
    <d v="2026-10-01T15:46:58"/>
    <d v="2026-10-02T11:20:01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m/>
    <m/>
    <m/>
    <e v="#NUM!"/>
    <e v="#NUM!"/>
    <x v="0"/>
    <x v="6"/>
  </r>
  <r>
    <n v="62"/>
    <n v="1002617076"/>
    <n v="3"/>
    <x v="6"/>
    <n v="4"/>
    <s v="SEMARANG"/>
    <s v="KENDAL"/>
    <s v="KDL"/>
    <s v="REG"/>
    <s v="AO"/>
    <s v="NEW SALES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1"/>
    <x v="6"/>
  </r>
  <r>
    <n v="63"/>
    <n v="1002618091"/>
    <n v="3"/>
    <x v="6"/>
    <n v="4"/>
    <s v="SEMARANG"/>
    <s v="INNER - SEMARANG JATENG UTARA"/>
    <s v="SMT"/>
    <s v="REG"/>
    <s v="AO"/>
    <s v="NEW SALES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1"/>
    <x v="6"/>
  </r>
  <r>
    <n v="64"/>
    <n v="1002617233"/>
    <n v="3"/>
    <x v="6"/>
    <n v="4"/>
    <s v="SEMARANG"/>
    <s v="INNER - SEMARANG JATENG UTARA"/>
    <s v="SMT"/>
    <s v="REG"/>
    <s v="AO"/>
    <s v="NEW SALES"/>
    <s v="1P INET"/>
    <s v="7 | OSS - PROVISIONING ISSUED"/>
    <s v="RBS-Regional 3"/>
    <d v="2026-10-01T10:01:41"/>
    <d v="2026-10-02T08:15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I"/>
    <s v="SEMARANG TUGU"/>
    <s v="NO ADDON"/>
    <m/>
    <s v="Provisioning Issued"/>
    <s v="HSI Bisnis Promo Hari Pelanggan Nasional PSB 70% - 50 Mbps"/>
    <s v="INDIBIZ"/>
    <m/>
    <m/>
    <d v="2026-10-02T08:00:00"/>
    <s v="2026-10-02 08:00:00 | telp :085800548037  alt ;  manja : pagi / siang 02/10/2026 hub sebelum ke lokasi "/>
    <m/>
    <m/>
    <m/>
    <e v="#NUM!"/>
    <e v="#NUM!"/>
    <x v="0"/>
    <x v="6"/>
  </r>
  <r>
    <n v="65"/>
    <n v="1002618755"/>
    <n v="3"/>
    <x v="6"/>
    <n v="4"/>
    <s v="SEMARANG"/>
    <s v="INNER - SEMARANG JATENG UTARA"/>
    <s v="JHR"/>
    <s v="REG"/>
    <s v="AO"/>
    <s v="NEW SALES"/>
    <s v="1P INET"/>
    <s v="8 | OSS - PONR"/>
    <s v="RBS-Regional 3"/>
    <d v="2026-10-01T17:46:34"/>
    <d v="2026-10-02T12:50:0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ACT_COM"/>
    <s v="JOHAR"/>
    <s v="NO ADDON"/>
    <m/>
    <s v="PONR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m/>
    <m/>
    <m/>
    <e v="#NUM!"/>
    <e v="#NUM!"/>
    <x v="0"/>
    <x v="6"/>
  </r>
  <r>
    <n v="66"/>
    <n v="1002618750"/>
    <n v="3"/>
    <x v="2"/>
    <n v="4"/>
    <s v="PURWOKERTO"/>
    <s v="PURWOKERTO"/>
    <s v="PWT"/>
    <s v="REG"/>
    <s v="AO"/>
    <s v="NEW SALES"/>
    <s v="1P INET"/>
    <s v="MIE - SEND SURVEY"/>
    <s v="RBS-Regional 3"/>
    <d v="2026-10-01T17:40:40"/>
    <d v="2026-10-01T17:42:0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m/>
    <s v="SURVEY_NEW_MANJA"/>
    <s v="X"/>
    <s v="NO ADDON"/>
    <m/>
    <s v="MIE - SEND SURVEY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0"/>
    <x v="6"/>
  </r>
  <r>
    <n v="67"/>
    <n v="1002617282"/>
    <n v="3"/>
    <x v="2"/>
    <n v="4"/>
    <s v="PURWOKERTO"/>
    <s v="PURWOKERTO"/>
    <s v="PWT"/>
    <s v="REG"/>
    <s v="AO"/>
    <s v="NEW SALES"/>
    <m/>
    <s v="MIE - SEND SURVEY"/>
    <s v="RBS-Regional 3"/>
    <d v="2026-10-01T10:18:08"/>
    <d v="2026-10-01T14:52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0"/>
    <x v="6"/>
  </r>
  <r>
    <n v="68"/>
    <n v="1002616994"/>
    <n v="3"/>
    <x v="2"/>
    <n v="4"/>
    <s v="PURWOKERTO"/>
    <s v="BANJARNEGARA"/>
    <s v="BJR"/>
    <s v="REG"/>
    <s v="AO"/>
    <s v="NEW SALES"/>
    <m/>
    <s v="CC - HD1A - INPROGRESS UNCONTACTED"/>
    <s v="RBS-Regional 3"/>
    <d v="2026-10-01T09:07:32"/>
    <d v="2026-10-02T11:23:26"/>
    <n v="69402039"/>
    <m/>
    <n v="146372102975"/>
    <s v="Kopi Jjb Ratamba"/>
    <s v="ODP-BJR-FAE/052"/>
    <m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m/>
    <m/>
    <m/>
    <d v="2026-01-10T09:25:42"/>
    <m/>
    <m/>
    <s v="FCC"/>
    <s v="X"/>
    <s v="NO ADDON"/>
    <m/>
    <s v="UNCONTACTED : Mail Box - Memo Putri Arviyanti 40971304|MYDITA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m/>
    <m/>
    <m/>
    <m/>
    <m/>
    <e v="#NUM!"/>
    <e v="#NUM!"/>
    <x v="0"/>
    <x v="6"/>
  </r>
  <r>
    <n v="69"/>
    <n v="1002618109"/>
    <n v="3"/>
    <x v="2"/>
    <n v="4"/>
    <s v="PURWOKERTO"/>
    <s v="BANJARNEGARA"/>
    <s v="KLP"/>
    <s v="REG"/>
    <s v="AO"/>
    <s v="NEW SALES"/>
    <s v="1P INET"/>
    <s v="OSS - PROVISIONING START"/>
    <s v="RBS-Regional 3"/>
    <d v="2026-10-01T14:28:35"/>
    <d v="2026-10-02T11:18:32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PRE_PI"/>
    <s v="KLAMPOK"/>
    <s v="NO ADDON"/>
    <m/>
    <s v="Provisioning Start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0"/>
    <x v="6"/>
  </r>
  <r>
    <n v="70"/>
    <n v="1002617796"/>
    <n v="3"/>
    <x v="2"/>
    <n v="4"/>
    <s v="MAGELANG"/>
    <s v="WONOSOBO"/>
    <s v="WOS"/>
    <s v="REG"/>
    <s v="AO"/>
    <s v="NEW SALES"/>
    <s v="1P INET"/>
    <s v="OSS - PROVISIONING DESAIN"/>
    <s v="RBS-Regional 3"/>
    <d v="2026-10-01T13:07:34"/>
    <d v="2026-10-02T13:24:13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RE_PI"/>
    <s v="X"/>
    <s v="OCA"/>
    <m/>
    <s v="Provisioning Design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m/>
    <m/>
    <m/>
    <e v="#NUM!"/>
    <e v="#NUM!"/>
    <x v="0"/>
    <x v="6"/>
  </r>
  <r>
    <n v="71"/>
    <n v="1002618398"/>
    <n v="3"/>
    <x v="6"/>
    <n v="4"/>
    <s v="PEKALONGAN"/>
    <s v="PEMALANG"/>
    <s v="RDD"/>
    <s v="REG"/>
    <s v="AO"/>
    <s v="NEW SALES"/>
    <s v="1P INET"/>
    <s v="MIE - SEND SURVEY"/>
    <s v="RBS-Regional 3"/>
    <d v="2026-10-01T15:38:34"/>
    <d v="2026-10-01T15:40:03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SURVEY_NEW_MANJA"/>
    <s v="RANDUDONGKAL"/>
    <s v="NO ADDON"/>
    <m/>
    <s v="MIE - SEND SURVEY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m/>
    <m/>
    <m/>
    <e v="#NUM!"/>
    <e v="#NUM!"/>
    <x v="0"/>
    <x v="6"/>
  </r>
  <r>
    <n v="72"/>
    <n v="1002617123"/>
    <n v="3"/>
    <x v="2"/>
    <n v="4"/>
    <s v="PURWOKERTO"/>
    <s v="PURBALINGGA"/>
    <s v="BBT"/>
    <s v="REG"/>
    <s v="AO"/>
    <s v="NEW SALES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1"/>
    <x v="6"/>
  </r>
  <r>
    <n v="73"/>
    <n v="1002618704"/>
    <n v="3"/>
    <x v="6"/>
    <n v="4"/>
    <s v="PEKALONGAN"/>
    <s v="BREBES"/>
    <s v="BRB"/>
    <s v="REG"/>
    <s v="AO"/>
    <s v="NEW SALES"/>
    <s v="1P INET"/>
    <s v="MIE - SEND SURVEY"/>
    <s v="RBS-Regional 3"/>
    <d v="2026-10-01T17:14:40"/>
    <d v="2026-10-01T17:16:01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SURVEY_NEW_MANJA"/>
    <s v="X"/>
    <s v="NO ADDON"/>
    <m/>
    <s v="MIE - SEND SURVEY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m/>
    <m/>
    <m/>
    <e v="#NUM!"/>
    <e v="#NUM!"/>
    <x v="0"/>
    <x v="6"/>
  </r>
  <r>
    <n v="74"/>
    <n v="1002618417"/>
    <n v="3"/>
    <x v="6"/>
    <n v="4"/>
    <s v="PEKALONGAN"/>
    <s v="BREBES"/>
    <s v="BMU"/>
    <s v="REG"/>
    <s v="AO"/>
    <s v="NEW SALES"/>
    <m/>
    <s v="CC - HD1A - INPROGRESS UNCONTACTED"/>
    <s v="RBS-Regional 3"/>
    <d v="2026-10-01T15:44:25"/>
    <d v="2026-10-02T12:20:24"/>
    <n v="69402558"/>
    <m/>
    <n v="146281108645"/>
    <s v="SMK MUHAMMADIYAH 1 PAGUYANGAN"/>
    <s v="ODP-BMU-FG/013"/>
    <m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m/>
    <m/>
    <m/>
    <d v="2026-01-10T16:39:58"/>
    <m/>
    <m/>
    <s v="FCC"/>
    <s v="BUMIAYU"/>
    <s v="NO ADDON"/>
    <m/>
    <s v="UNCONTACTED : Line Busy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6"/>
  </r>
  <r>
    <n v="75"/>
    <n v="1002618251"/>
    <n v="3"/>
    <x v="6"/>
    <n v="4"/>
    <s v="PEKALONGAN"/>
    <s v="BREBES"/>
    <s v="BMU"/>
    <s v="REG"/>
    <s v="AO"/>
    <s v="NEW SALES"/>
    <m/>
    <s v="CC - HD1A - INPROGRESS UNCONTACTED"/>
    <s v="RBS-Regional 3"/>
    <d v="2026-10-01T15:07:39"/>
    <d v="2026-10-02T12:19:45"/>
    <n v="69402491"/>
    <m/>
    <n v="146281108643"/>
    <s v="SMK MUHAMMADIYAH 1 PAGUYANGAN"/>
    <s v="ODP-BMU-FG/013"/>
    <m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m/>
    <m/>
    <m/>
    <d v="2026-01-10T15:10:59"/>
    <m/>
    <m/>
    <s v="FCC"/>
    <s v="BUMIAYU"/>
    <s v="NO ADDON"/>
    <m/>
    <s v="UNCONTACTED : Line Busy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6"/>
  </r>
  <r>
    <n v="76"/>
    <n v="1002618002"/>
    <n v="3"/>
    <x v="6"/>
    <n v="4"/>
    <s v="PEKALONGAN"/>
    <s v="TEGAL"/>
    <s v="MGN"/>
    <s v="REG"/>
    <s v="AO"/>
    <s v="NEW SALES"/>
    <m/>
    <s v="MIE - SEND SURVEY"/>
    <s v="RBS-Regional 4"/>
    <d v="2026-10-01T14:04:27"/>
    <d v="2026-10-01T17:06:11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  <x v="6"/>
  </r>
  <r>
    <n v="77"/>
    <n v="1002617834"/>
    <n v="3"/>
    <x v="6"/>
    <n v="4"/>
    <s v="PEKALONGAN"/>
    <s v="TEGAL"/>
    <s v="MGN"/>
    <s v="REG"/>
    <s v="AO"/>
    <s v="NEW SALES"/>
    <m/>
    <s v="MIE - SEND SURVEY"/>
    <s v="RBS-Regional 4"/>
    <d v="2026-10-01T13:23:04"/>
    <d v="2026-10-01T17:04:02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  <x v="6"/>
  </r>
  <r>
    <n v="78"/>
    <n v="1002618011"/>
    <n v="3"/>
    <x v="6"/>
    <n v="4"/>
    <s v="PEKALONGAN"/>
    <s v="SLAWI"/>
    <s v="BLU"/>
    <s v="REG"/>
    <s v="AO"/>
    <s v="NEW SALES"/>
    <s v="1P INET"/>
    <s v="7 | OSS - PROVISIONING ISSUED"/>
    <s v="RBS-Regional 3"/>
    <d v="2026-10-01T14:04:34"/>
    <d v="2026-10-02T11:13:21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PI"/>
    <s v="X"/>
    <s v="NO ADDON"/>
    <m/>
    <s v="Provisioning Issued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0"/>
    <x v="6"/>
  </r>
  <r>
    <n v="79"/>
    <n v="1002617816"/>
    <n v="3"/>
    <x v="3"/>
    <n v="5"/>
    <s v="SBY UTARA"/>
    <s v="GRESIK"/>
    <s v="CRM"/>
    <s v="REG"/>
    <s v="AO"/>
    <s v="NEW SALES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1"/>
    <x v="16"/>
  </r>
  <r>
    <n v="80"/>
    <n v="1002617352"/>
    <n v="3"/>
    <x v="3"/>
    <n v="5"/>
    <s v="SBY UTARA"/>
    <s v="GRESIK"/>
    <s v="BWN"/>
    <s v="REG"/>
    <s v="AO"/>
    <s v="NEW SALES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1"/>
    <x v="16"/>
  </r>
  <r>
    <n v="81"/>
    <n v="1002618083"/>
    <n v="3"/>
    <x v="3"/>
    <n v="5"/>
    <s v="SBY UTARA"/>
    <s v="LAMONGAN"/>
    <s v="BBA"/>
    <s v="REG"/>
    <s v="AO"/>
    <s v="NEW SALES"/>
    <m/>
    <s v="MIE - SEND SURVEY"/>
    <s v="RBS-Regional 3"/>
    <d v="2026-10-01T14:22:50"/>
    <d v="2026-10-01T16:20:07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0"/>
    <x v="16"/>
  </r>
  <r>
    <n v="82"/>
    <n v="1002617657"/>
    <n v="3"/>
    <x v="3"/>
    <n v="5"/>
    <s v="SBY UTARA"/>
    <s v="LAMONGAN"/>
    <s v="BDG"/>
    <s v="REG"/>
    <s v="AO"/>
    <s v="NEW SALES"/>
    <s v="1P INET"/>
    <s v="OSS - FALLOUT"/>
    <s v="RBS-Regional 3"/>
    <d v="2026-10-01T11:47:34"/>
    <d v="2026-10-02T12:13:5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FO_WFM"/>
    <s v="X"/>
    <s v="NO ADDON"/>
    <m/>
    <s v="Provisioning Failed|WFM|INF009616724|TOF_-6.869492500000001,112.3479201_kendala otb penuh, perlu tambah jaringan karena dilok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0"/>
    <x v="16"/>
  </r>
  <r>
    <n v="83"/>
    <n v="1002616866"/>
    <n v="3"/>
    <x v="1"/>
    <n v="5"/>
    <s v="MADIUN"/>
    <s v="BOJONEGORO"/>
    <s v="PAD"/>
    <s v="REG"/>
    <s v="AO"/>
    <s v="NEW SALES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1"/>
    <x v="17"/>
  </r>
  <r>
    <n v="84"/>
    <n v="1002617935"/>
    <n v="3"/>
    <x v="1"/>
    <n v="5"/>
    <s v="MADIUN"/>
    <s v="BOJONEGORO"/>
    <s v="SMJ"/>
    <s v="REG"/>
    <s v="AO"/>
    <s v="NEW SALES"/>
    <s v="1P INET"/>
    <s v="MIE - SEND SURVEY"/>
    <s v="RBS-Regional 3"/>
    <d v="2026-10-01T13:47:35"/>
    <d v="2026-10-01T13:50:01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SURVEY_NEW_MANJA"/>
    <s v="PADANGAN"/>
    <s v="NETMONK"/>
    <m/>
    <s v="MIE - SEND SURVEY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0"/>
    <x v="17"/>
  </r>
  <r>
    <n v="85"/>
    <n v="1002618689"/>
    <n v="3"/>
    <x v="1"/>
    <n v="5"/>
    <s v="MADIUN"/>
    <s v="BOJONEGORO"/>
    <s v="SMJ"/>
    <s v="REG"/>
    <s v="AO"/>
    <s v="NEW SALES"/>
    <s v="1P INET"/>
    <s v="MIE - SEND SURVEY"/>
    <s v="RBS-Regional 3"/>
    <d v="2026-10-01T17:05:34"/>
    <d v="2026-10-01T17:08:01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SURVEY_NEW_MANJA"/>
    <s v="PADANGAN"/>
    <s v="NETMONK"/>
    <m/>
    <s v="MIE - SEND SURVEY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0"/>
    <x v="17"/>
  </r>
  <r>
    <n v="86"/>
    <n v="1002618507"/>
    <n v="3"/>
    <x v="1"/>
    <n v="5"/>
    <s v="MADIUN"/>
    <s v="TUBAN"/>
    <s v="BCR"/>
    <s v="REG"/>
    <s v="AO"/>
    <s v="NEW SALES"/>
    <s v="1P INET"/>
    <s v="MIE - SEND SURVEY"/>
    <s v="RBS-Regional 3"/>
    <d v="2026-10-01T16:07:39"/>
    <d v="2026-10-01T16:10:01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SURVEY_NEW_MANJA"/>
    <s v="JATIROGO BANCAR"/>
    <s v="NO ADDON"/>
    <m/>
    <s v="MIE - SEND SURVEY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0"/>
    <x v="17"/>
  </r>
  <r>
    <n v="87"/>
    <n v="1002617098"/>
    <n v="3"/>
    <x v="1"/>
    <n v="5"/>
    <s v="MADIUN"/>
    <s v="TUBAN"/>
    <s v="JTR"/>
    <s v="REG"/>
    <s v="AO"/>
    <s v="NEW SALES"/>
    <s v="1P INET"/>
    <s v="OSS - PROVISIONING START"/>
    <s v="RBS-Regional 3"/>
    <d v="2026-10-01T09:31:42"/>
    <d v="2026-10-02T08:14:47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m/>
    <s v="PRE_PI"/>
    <s v="JATIROGO BANCAR"/>
    <s v="NO ADDON"/>
    <m/>
    <s v="Provisioning Start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  <x v="17"/>
  </r>
  <r>
    <n v="88"/>
    <n v="1002616902"/>
    <n v="3"/>
    <x v="1"/>
    <n v="5"/>
    <s v="MADIUN"/>
    <s v="TUBAN"/>
    <s v="RGL"/>
    <s v="REG"/>
    <s v="AO"/>
    <s v="NEW SALES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1"/>
    <x v="17"/>
  </r>
  <r>
    <n v="89"/>
    <n v="1002617187"/>
    <n v="3"/>
    <x v="0"/>
    <n v="5"/>
    <s v="KUPANG"/>
    <s v="ATAMBUA"/>
    <s v="ATB"/>
    <s v="REG"/>
    <s v="AO"/>
    <s v="NEW SALES"/>
    <s v="1P INET"/>
    <s v="8 | OSS - PONR"/>
    <s v="RBS-Regional 3"/>
    <d v="2026-10-01T09:50:35"/>
    <d v="2026-10-02T12:25:03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ACT_COM"/>
    <s v="X"/>
    <s v="NO ADDON"/>
    <m/>
    <s v="PONR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m/>
    <m/>
    <m/>
    <e v="#NUM!"/>
    <e v="#NUM!"/>
    <x v="0"/>
    <x v="18"/>
  </r>
  <r>
    <n v="90"/>
    <n v="1002617177"/>
    <n v="3"/>
    <x v="0"/>
    <n v="5"/>
    <s v="KUPANG"/>
    <s v="KUPANG"/>
    <s v="OSP"/>
    <s v="REG"/>
    <s v="AO"/>
    <s v="NEW SALES"/>
    <m/>
    <s v="OSS - PROVISIONING START"/>
    <s v="RBS-Regional 4"/>
    <d v="2026-10-01T09:49:48"/>
    <d v="2026-10-02T11:12:38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m/>
    <s v="PRE_PI"/>
    <s v="KUPANG"/>
    <s v="NO ADDON"/>
    <m/>
    <s v="Provisioning Star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0"/>
    <x v="19"/>
  </r>
  <r>
    <n v="91"/>
    <n v="1002617257"/>
    <n v="3"/>
    <x v="0"/>
    <n v="5"/>
    <s v="KUPANG"/>
    <s v="KUPANG"/>
    <s v="OSP"/>
    <s v="REG"/>
    <s v="AO"/>
    <s v="NEW SALES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0"/>
    <x v="19"/>
  </r>
  <r>
    <n v="92"/>
    <n v="1002617806"/>
    <n v="3"/>
    <x v="0"/>
    <n v="5"/>
    <s v="KUPANG"/>
    <s v="KUPANG"/>
    <s v="KPN"/>
    <s v="REG"/>
    <s v="AO"/>
    <s v="NEW SALES"/>
    <s v="1P INET"/>
    <s v="OSS - PROVISIONING DESAIN"/>
    <s v="RBS-Regional 3"/>
    <d v="2026-10-01T13:10:39"/>
    <d v="2026-10-02T13:23:1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RE_PI"/>
    <s v="KUPANG"/>
    <s v="NO ADDON"/>
    <m/>
    <s v="Provisioning Design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m/>
    <m/>
    <m/>
    <e v="#NUM!"/>
    <e v="#NUM!"/>
    <x v="0"/>
    <x v="19"/>
  </r>
  <r>
    <n v="93"/>
    <n v="1002618763"/>
    <n v="3"/>
    <x v="0"/>
    <n v="5"/>
    <s v="KUPANG"/>
    <s v="KUPANG"/>
    <s v="KPN"/>
    <s v="REG"/>
    <s v="AO"/>
    <s v="NEW SALES"/>
    <s v="1P INET"/>
    <s v="7 | OSS - PROVISIONING ISSUED"/>
    <s v="RBS-Regional 3"/>
    <d v="2026-10-01T17:50:39"/>
    <d v="2026-10-02T09:33:35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I"/>
    <s v="KUPANG"/>
    <s v="NO ADDON"/>
    <m/>
    <s v="Provisioning Issu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m/>
    <m/>
    <m/>
    <e v="#NUM!"/>
    <e v="#NUM!"/>
    <x v="0"/>
    <x v="19"/>
  </r>
  <r>
    <n v="94"/>
    <n v="1002618758"/>
    <n v="3"/>
    <x v="5"/>
    <n v="5"/>
    <s v="JEMBER"/>
    <s v="BANYUWANGI"/>
    <s v="PSG"/>
    <s v="REG"/>
    <s v="AO"/>
    <s v="NEW SALES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1"/>
    <x v="20"/>
  </r>
  <r>
    <n v="95"/>
    <n v="1002618623"/>
    <n v="3"/>
    <x v="5"/>
    <n v="5"/>
    <s v="JEMBER"/>
    <s v="SITUBONDO"/>
    <s v="MLD"/>
    <s v="REG"/>
    <s v="AO"/>
    <s v="NEW SALES"/>
    <s v="1P INET"/>
    <s v="MIE - SEND SURVEY"/>
    <s v="RBS-Regional 3"/>
    <d v="2026-10-01T16:43:40"/>
    <d v="2026-10-01T16:46:21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SURVEY_NEW_MANJA"/>
    <s v="SITUBONDO"/>
    <s v="NO ADDON"/>
    <m/>
    <s v="MIE - SEND SURVEY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m/>
    <m/>
    <m/>
    <e v="#NUM!"/>
    <e v="#NUM!"/>
    <x v="0"/>
    <x v="20"/>
  </r>
  <r>
    <n v="96"/>
    <n v="1002617166"/>
    <n v="3"/>
    <x v="5"/>
    <n v="5"/>
    <s v="JEMBER"/>
    <s v="JEMBER"/>
    <s v="ABL"/>
    <s v="REG"/>
    <s v="AO"/>
    <s v="NEW SALES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1"/>
    <x v="21"/>
  </r>
  <r>
    <n v="97"/>
    <n v="1002617727"/>
    <n v="3"/>
    <x v="5"/>
    <n v="5"/>
    <s v="JEMBER"/>
    <s v="JEMBER"/>
    <s v="JER"/>
    <s v="REG"/>
    <s v="AO"/>
    <s v="NEW SALES"/>
    <s v="1P INET"/>
    <s v="8 | OSS - PONR"/>
    <s v="RBS-Regional 3"/>
    <d v="2026-10-01T12:28:35"/>
    <d v="2026-10-02T12:58:1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ACT_COM"/>
    <s v="JEMBER"/>
    <s v="NO ADDON"/>
    <m/>
    <s v="PONR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m/>
    <m/>
    <m/>
    <e v="#NUM!"/>
    <e v="#NUM!"/>
    <x v="0"/>
    <x v="21"/>
  </r>
  <r>
    <n v="98"/>
    <n v="1002617896"/>
    <n v="3"/>
    <x v="5"/>
    <n v="5"/>
    <s v="PASURUAN"/>
    <s v="LUMAJANG"/>
    <s v="PII"/>
    <s v="REG"/>
    <s v="AO"/>
    <s v="NEW SALES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1"/>
    <x v="22"/>
  </r>
  <r>
    <n v="99"/>
    <n v="1002617892"/>
    <n v="3"/>
    <x v="0"/>
    <n v="5"/>
    <s v="KUPANG"/>
    <s v="ENDE"/>
    <s v="END"/>
    <s v="REG"/>
    <s v="AO"/>
    <s v="NEW SALES"/>
    <s v="1P INET"/>
    <s v="8 | OSS - PONR"/>
    <s v="RBS-Regional 3"/>
    <d v="2026-10-01T13:37:40"/>
    <d v="2026-10-02T09:47:24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ACT_COM"/>
    <s v="ENDE"/>
    <s v="NO ADDON"/>
    <m/>
    <s v="PONR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m/>
    <m/>
    <m/>
    <e v="#NUM!"/>
    <e v="#NUM!"/>
    <x v="0"/>
    <x v="23"/>
  </r>
  <r>
    <n v="100"/>
    <n v="1002618764"/>
    <n v="3"/>
    <x v="0"/>
    <n v="5"/>
    <s v="KUPANG"/>
    <s v="ENDE"/>
    <s v="END"/>
    <s v="REG"/>
    <s v="AO"/>
    <s v="NEW SALES"/>
    <s v="1P INET"/>
    <s v="MIE - SEND SURVEY"/>
    <s v="RBS-Regional 3"/>
    <d v="2026-10-01T17:52:36"/>
    <d v="2026-10-01T17:54:06"/>
    <n v="69402663"/>
    <m/>
    <n v="172506789383"/>
    <s v="APOTIK AS-SIDIQ FARMA"/>
    <s v="ODP-END-FC/08 FC/D01/08.01"/>
    <s v="WO065523626"/>
    <m/>
    <m/>
    <m/>
    <n v="121.6441032"/>
    <n v="-8.8523017999999993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SURVEY_NEW_MANJA"/>
    <s v="ENDE"/>
    <s v="NO ADDON"/>
    <m/>
    <s v="MIE - SEND SURVEY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m/>
    <m/>
    <m/>
    <e v="#NUM!"/>
    <e v="#NUM!"/>
    <x v="0"/>
    <x v="23"/>
  </r>
  <r>
    <n v="101"/>
    <n v="1002617761"/>
    <n v="3"/>
    <x v="0"/>
    <n v="5"/>
    <s v="KUPANG"/>
    <s v="LABOAN BAJO"/>
    <s v="RTE"/>
    <s v="REG"/>
    <s v="AO"/>
    <s v="NEW SALES"/>
    <s v="1P INET"/>
    <s v="8 | OSS - PONR"/>
    <s v="RBS-Regional 3"/>
    <d v="2026-10-01T12:46:43"/>
    <d v="2026-10-02T13:07:02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ACT_COM"/>
    <s v="X"/>
    <s v="NO ADDON"/>
    <m/>
    <s v="PONR"/>
    <s v="HSI Bisnis Promo Hari Pelanggan Nasional PSB 70% - 50 Mbps"/>
    <s v="INDIBIZ"/>
    <m/>
    <m/>
    <d v="2026-10-02T11:00:00"/>
    <s v="2026-10-02 11:00:00 | telp :081228493330 alt ;  manja : pagi / siang 02/10/2026 hub sebelum ke lokasi"/>
    <m/>
    <m/>
    <m/>
    <e v="#NUM!"/>
    <e v="#NUM!"/>
    <x v="0"/>
    <x v="24"/>
  </r>
  <r>
    <n v="102"/>
    <n v="1002617688"/>
    <n v="3"/>
    <x v="7"/>
    <n v="5"/>
    <s v="SINGARJA"/>
    <s v="TABANAN"/>
    <s v="BTR"/>
    <s v="REG"/>
    <s v="AO"/>
    <s v="NEW SALES"/>
    <m/>
    <s v="8 | OSS - PONR"/>
    <s v="RBS-Regional 3"/>
    <d v="2026-10-01T12:05:21"/>
    <d v="2026-10-02T11:19:08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ACT_COM"/>
    <s v="TABANAN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m/>
    <m/>
    <m/>
    <e v="#NUM!"/>
    <e v="#NUM!"/>
    <x v="0"/>
    <x v="25"/>
  </r>
  <r>
    <n v="103"/>
    <n v="1002617698"/>
    <n v="3"/>
    <x v="7"/>
    <n v="5"/>
    <s v="SINGARJA"/>
    <s v="TABANAN"/>
    <s v="BTR"/>
    <s v="REG"/>
    <s v="AO"/>
    <s v="NEW SALES"/>
    <m/>
    <s v="8 | OSS - PONR"/>
    <s v="RBS-Regional 3"/>
    <d v="2026-10-01T12:09:19"/>
    <d v="2026-10-02T09:52:24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ACT_COM"/>
    <s v="TABANAN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m/>
    <m/>
    <m/>
    <e v="#NUM!"/>
    <e v="#NUM!"/>
    <x v="0"/>
    <x v="25"/>
  </r>
  <r>
    <n v="104"/>
    <n v="1002617925"/>
    <n v="3"/>
    <x v="7"/>
    <n v="5"/>
    <s v="DENPASAR"/>
    <s v="UBUNG"/>
    <s v="UBN"/>
    <s v="REG"/>
    <s v="AO"/>
    <s v="NEW SALES"/>
    <m/>
    <s v="OSS - PROVISIONING START"/>
    <s v="RBS-Regional 3"/>
    <d v="2026-10-01T13:48:55"/>
    <d v="2026-10-02T11:42:44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m/>
    <s v="PRE_PI"/>
    <s v="UBUNG"/>
    <s v="NETMONK"/>
    <m/>
    <s v="Provisioning Start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0"/>
    <x v="26"/>
  </r>
  <r>
    <n v="105"/>
    <n v="1002616976"/>
    <n v="3"/>
    <x v="7"/>
    <n v="5"/>
    <s v="DENPASAR"/>
    <s v="UBUNG"/>
    <s v="UBN"/>
    <s v="REG"/>
    <s v="AO"/>
    <s v="NEW SALES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1"/>
    <x v="26"/>
  </r>
  <r>
    <n v="106"/>
    <n v="1002616933"/>
    <n v="3"/>
    <x v="7"/>
    <n v="5"/>
    <s v="DENPASAR"/>
    <s v="UBUNG"/>
    <s v="UBN"/>
    <s v="REG"/>
    <s v="AO"/>
    <s v="NEW SALES"/>
    <m/>
    <s v="7 | OSS - PROVISIONING ISSUED"/>
    <s v="RBS-Regional 3"/>
    <d v="2026-10-01T08:46:21"/>
    <d v="2026-10-01T08:52:57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m/>
    <s v="PI"/>
    <s v="UBUNG"/>
    <s v="OCA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0"/>
    <x v="26"/>
  </r>
  <r>
    <n v="107"/>
    <n v="1002617750"/>
    <n v="3"/>
    <x v="7"/>
    <n v="5"/>
    <s v="SINGARJA"/>
    <s v="SINGARAJA"/>
    <s v="KNT"/>
    <s v="REG"/>
    <s v="AO"/>
    <s v="NEW SALES"/>
    <m/>
    <s v="MIE - SEND SURVEY"/>
    <s v="RBS-Regional 3"/>
    <d v="2026-10-01T12:43:31"/>
    <d v="2026-10-01T15:36:07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SURVEY_NEW_MANJA"/>
    <s v="X"/>
    <s v="NETMONK"/>
    <m/>
    <s v="MIE - SEND SURVEY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m/>
    <m/>
    <m/>
    <e v="#NUM!"/>
    <e v="#NUM!"/>
    <x v="0"/>
    <x v="2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2"/>
    <x v="2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18762"/>
    <n v="3"/>
    <x v="0"/>
    <n v="5"/>
    <s v="MATARAM"/>
    <s v="LOMBOK BARAT TENGAH"/>
    <s v="PRY"/>
    <s v="REG"/>
    <s v="AO"/>
    <x v="0"/>
    <s v="1P INET"/>
    <s v="MIE - SEND SURVEY"/>
    <s v="RBS-Regional 3"/>
    <d v="2026-10-01T17:49:39"/>
    <d v="2026-10-01T17:52:06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SURVEY_NEW_MANJA"/>
    <s v="LOMBOK TENGAH"/>
    <s v="NO ADDON"/>
    <m/>
    <s v="MIE - SEND SURVEY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m/>
    <m/>
    <m/>
    <e v="#NUM!"/>
    <e v="#NUM!"/>
    <x v="0"/>
  </r>
  <r>
    <n v="2"/>
    <n v="1002617134"/>
    <n v="3"/>
    <x v="0"/>
    <n v="5"/>
    <s v="MATARAM"/>
    <s v="LOMBOK TIMUR UTARA"/>
    <s v="SEL"/>
    <s v="REG"/>
    <s v="AO"/>
    <x v="0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1"/>
  </r>
  <r>
    <n v="3"/>
    <n v="1002617999"/>
    <n v="3"/>
    <x v="0"/>
    <n v="5"/>
    <s v="MATARAM"/>
    <s v="LOMBOK TIMUR UTARA"/>
    <s v="SEL"/>
    <s v="REG"/>
    <s v="AO"/>
    <x v="0"/>
    <s v="1P INET"/>
    <s v="MIE - SEND SURVEY"/>
    <s v="RBS-Regional 3"/>
    <d v="2026-10-01T14:01:40"/>
    <d v="2026-10-01T14:04:07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SURVEY_NEW_MANJA"/>
    <s v="LOMBOK TIMUR"/>
    <s v="NO ADDON"/>
    <m/>
    <s v="MIE - SEND SURVEY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m/>
    <m/>
    <m/>
    <e v="#NUM!"/>
    <e v="#NUM!"/>
    <x v="0"/>
  </r>
  <r>
    <n v="4"/>
    <n v="1002618749"/>
    <n v="3"/>
    <x v="0"/>
    <n v="5"/>
    <s v="MATARAM"/>
    <s v="LOMBOK TIMUR UTARA"/>
    <s v="SGG"/>
    <s v="REG"/>
    <s v="AO"/>
    <x v="0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1"/>
  </r>
  <r>
    <n v="5"/>
    <n v="1002618712"/>
    <n v="3"/>
    <x v="0"/>
    <n v="5"/>
    <s v="MATARAM"/>
    <s v="BIMA"/>
    <s v="SAP"/>
    <s v="REG"/>
    <s v="AO"/>
    <x v="0"/>
    <m/>
    <s v="7 | OSS - PROVISIONING ISSUED"/>
    <s v="RBS-Regional 3"/>
    <d v="2026-10-01T17:19:59"/>
    <d v="2026-10-02T13:23:48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PI"/>
    <s v="BIMA BARAT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m/>
    <m/>
    <m/>
    <e v="#NUM!"/>
    <e v="#NUM!"/>
    <x v="0"/>
  </r>
  <r>
    <n v="6"/>
    <n v="1002616820"/>
    <n v="3"/>
    <x v="0"/>
    <n v="5"/>
    <s v="MATARAM"/>
    <s v="BIMA"/>
    <s v="SIL"/>
    <s v="REG"/>
    <s v="AO"/>
    <x v="0"/>
    <s v="1P INET"/>
    <s v="8 | OSS - PONR"/>
    <s v="RBS-Regional 3"/>
    <d v="2026-10-01T07:23:39"/>
    <d v="2026-10-02T12:45:19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ACT_COM"/>
    <s v="BIMA BARAT"/>
    <s v="NETMONK"/>
    <m/>
    <s v="PONR"/>
    <s v="HSI Bisnis Bundling Netmonk PSB 70% - 200 Mbps"/>
    <s v="INDIBIZ"/>
    <m/>
    <m/>
    <d v="2026-10-02T08:00:00"/>
    <s v="2026-10-02 08:00:00 | M Janji : (02/OKTOBER/2026) jam Pasang : 09:00 Note : hubungi pelanggan jika ingin kelokasi"/>
    <m/>
    <m/>
    <m/>
    <e v="#NUM!"/>
    <e v="#NUM!"/>
    <x v="0"/>
  </r>
  <r>
    <n v="7"/>
    <n v="1002616833"/>
    <n v="3"/>
    <x v="0"/>
    <n v="5"/>
    <s v="MATARAM"/>
    <s v="SUMBAWA"/>
    <s v="SBW"/>
    <s v="REG"/>
    <s v="AO"/>
    <x v="0"/>
    <s v="1P INET"/>
    <s v="7 | OSS - PROVISIONING ISSUED"/>
    <s v="RBS-Regional 3"/>
    <d v="2026-10-01T07:53:41"/>
    <d v="2026-10-01T16:07:51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m/>
    <s v="PI"/>
    <s v="X"/>
    <s v="OCA"/>
    <m/>
    <s v="Provisioning Issued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0"/>
  </r>
  <r>
    <n v="8"/>
    <n v="1002617985"/>
    <n v="3"/>
    <x v="0"/>
    <n v="5"/>
    <s v="MATARAM"/>
    <s v="SUMBAWA"/>
    <s v="ALA"/>
    <s v="REG"/>
    <s v="AO"/>
    <x v="0"/>
    <s v="1P INET"/>
    <s v="7 | OSS - PROVISIONING ISSUED"/>
    <s v="RBS-Regional 3"/>
    <d v="2026-10-01T13:58:40"/>
    <d v="2026-10-02T13:23:31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I"/>
    <s v="SUMBAWA TIMUR"/>
    <s v="NO ADDON"/>
    <m/>
    <s v="Provisioning Issu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m/>
    <m/>
    <m/>
    <e v="#NUM!"/>
    <e v="#NUM!"/>
    <x v="0"/>
  </r>
  <r>
    <n v="9"/>
    <n v="1002618464"/>
    <n v="3"/>
    <x v="1"/>
    <n v="5"/>
    <s v="MALANG"/>
    <s v="KEPANJEN"/>
    <s v="KLJ"/>
    <s v="REG"/>
    <s v="AO"/>
    <x v="0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</r>
  <r>
    <n v="10"/>
    <n v="1002616858"/>
    <n v="3"/>
    <x v="1"/>
    <n v="5"/>
    <s v="MALANG"/>
    <s v="KEPANJEN"/>
    <s v="KLJ"/>
    <s v="REG"/>
    <s v="AO"/>
    <x v="0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1"/>
  </r>
  <r>
    <n v="11"/>
    <n v="1002617199"/>
    <n v="3"/>
    <x v="1"/>
    <n v="5"/>
    <s v="MALANG"/>
    <s v="BATU"/>
    <s v="TMP"/>
    <s v="REG"/>
    <s v="AO"/>
    <x v="0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1"/>
  </r>
  <r>
    <n v="12"/>
    <n v="1002618310"/>
    <n v="3"/>
    <x v="1"/>
    <n v="5"/>
    <s v="MALANG"/>
    <s v="BATU"/>
    <s v="BLB"/>
    <s v="REG"/>
    <s v="AO"/>
    <x v="0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1"/>
  </r>
  <r>
    <n v="13"/>
    <n v="1002618740"/>
    <n v="3"/>
    <x v="1"/>
    <n v="5"/>
    <s v="KEDIRI"/>
    <s v="BLITAR"/>
    <s v="WGI"/>
    <s v="REG"/>
    <s v="AO"/>
    <x v="0"/>
    <s v="1P INET"/>
    <s v="8 | OSS - PONR"/>
    <s v="RBS-Regional 3"/>
    <d v="2026-10-01T17:34:35"/>
    <d v="2026-10-02T12:20:54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ACT_COM"/>
    <s v="WLINGI"/>
    <s v="OCA"/>
    <m/>
    <s v="PONR"/>
    <s v="HSI Bisnis Bundling OCA Breach Checker Promo 2026 PSB 70% - 50 Mbps"/>
    <s v="INDIBIZ"/>
    <m/>
    <m/>
    <d v="2026-10-02T15:00:00"/>
    <s v="2026-10-02 15:00:00 | telp :085755252087 alt ;  manja : pagi / siang 02/10/2026 hub sebelum ke lokasi"/>
    <m/>
    <m/>
    <m/>
    <e v="#NUM!"/>
    <e v="#NUM!"/>
    <x v="0"/>
  </r>
  <r>
    <n v="14"/>
    <n v="1002617286"/>
    <n v="3"/>
    <x v="1"/>
    <n v="5"/>
    <s v="KEDIRI"/>
    <s v="TULUNGAGUNG"/>
    <s v="TUL"/>
    <s v="REG"/>
    <s v="AO"/>
    <x v="0"/>
    <s v="1P INET"/>
    <s v="MIA - INVALID SURVEY"/>
    <s v="RBS-Regional 3"/>
    <d v="2026-10-01T10:13:41"/>
    <d v="2026-10-01T10:58:59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SURVEY_NEW_MANJA"/>
    <s v="TULUNGAGUNG"/>
    <s v="NETMONK"/>
    <m/>
    <s v="MIE - INVALID SURVEY - Double Input"/>
    <s v="HSI Bisnis Bundling Netmonk Promo H2 2026 PSB 70% - 50 Mbps"/>
    <s v="INDIBIZ"/>
    <m/>
    <m/>
    <d v="2026-10-02T08:00:00"/>
    <s v="2026-10-02 08:00:00 | Jam Pemasangan : 08:00 - 12.00 Tanggal Pemasangan :02/10/2026 Info Tambahan : Hubungi pelanggan sebelum datang ke lokasi "/>
    <m/>
    <m/>
    <m/>
    <e v="#NUM!"/>
    <e v="#NUM!"/>
    <x v="0"/>
  </r>
  <r>
    <n v="15"/>
    <n v="1002617592"/>
    <n v="3"/>
    <x v="2"/>
    <n v="4"/>
    <s v="MAGELANG"/>
    <s v="MAGELANG"/>
    <s v="MGE"/>
    <s v="REG"/>
    <s v="AO"/>
    <x v="0"/>
    <s v="1P INET"/>
    <s v="MIE - SEND SURVEY"/>
    <s v="RBS-Regional 3"/>
    <d v="2026-10-01T11:26:34"/>
    <d v="2026-10-01T11:28:07"/>
    <n v="69402247"/>
    <m/>
    <n v="146137148301"/>
    <s v="PT KEM WOOD GRACE INDUSTRY(RUANG ROTARI)"/>
    <s v="ODP-MGE-FV/104 FV/D09/104.01"/>
    <s v="WO065477316"/>
    <m/>
    <m/>
    <m/>
    <n v="110.25965598392"/>
    <n v="-7.3734311367481498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SURVEY_NEW_MANJA"/>
    <s v="X"/>
    <s v="NO ADDON"/>
    <m/>
    <s v="MIE - SEND SURVEY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m/>
    <m/>
    <m/>
    <e v="#NUM!"/>
    <e v="#NUM!"/>
    <x v="0"/>
  </r>
  <r>
    <n v="16"/>
    <n v="1002618470"/>
    <n v="3"/>
    <x v="1"/>
    <n v="5"/>
    <s v="KEDIRI"/>
    <s v="KEDIRI"/>
    <s v="PAE"/>
    <s v="REG"/>
    <s v="AO"/>
    <x v="0"/>
    <s v="1P INET"/>
    <s v="MIE - SEND SURVEY"/>
    <s v="RBS-Regional 3"/>
    <d v="2026-10-01T15:55:39"/>
    <d v="2026-10-01T15:58:06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SURVEY_NEW_MANJA"/>
    <s v="PARE"/>
    <s v="NO ADDON"/>
    <m/>
    <s v="MIE - SEND SURVEY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m/>
    <m/>
    <m/>
    <e v="#NUM!"/>
    <e v="#NUM!"/>
    <x v="0"/>
  </r>
  <r>
    <n v="17"/>
    <n v="1002617351"/>
    <n v="3"/>
    <x v="1"/>
    <n v="5"/>
    <s v="KEDIRI"/>
    <s v="KEDIRI"/>
    <s v="MJT"/>
    <s v="REG"/>
    <s v="AO"/>
    <x v="0"/>
    <s v="1P INET"/>
    <s v="OSS - PROVISIONING START"/>
    <s v="RBS-Regional 3"/>
    <d v="2026-10-01T10:29:40"/>
    <d v="2026-10-02T11:38:36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RE_PI"/>
    <s v="NGADILUWIH"/>
    <s v="NO ADDON"/>
    <m/>
    <s v="Provisioning Start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m/>
    <m/>
    <m/>
    <e v="#NUM!"/>
    <e v="#NUM!"/>
    <x v="0"/>
  </r>
  <r>
    <n v="18"/>
    <n v="1002617644"/>
    <n v="3"/>
    <x v="1"/>
    <n v="5"/>
    <s v="KEDIRI"/>
    <s v="KEDIRI"/>
    <s v="MJT"/>
    <s v="REG"/>
    <s v="AO"/>
    <x v="0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1"/>
  </r>
  <r>
    <n v="19"/>
    <n v="1002618759"/>
    <n v="3"/>
    <x v="1"/>
    <n v="5"/>
    <s v="KEDIRI"/>
    <s v="KEDIRI"/>
    <s v="MJT"/>
    <s v="REG"/>
    <s v="AO"/>
    <x v="0"/>
    <s v="1P INET"/>
    <s v="MIE - SEND SURVEY"/>
    <s v="RBS-Regional 3"/>
    <d v="2026-10-01T17:49:34"/>
    <d v="2026-10-01T17:52:01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SURVEY_NEW_MANJA"/>
    <s v="NGADILUWIH"/>
    <s v="NO ADDON"/>
    <m/>
    <s v="MIE - SEND SURVEY"/>
    <s v="HSI Bisnis Promo Hari Pelanggan Nasional PSB 70% - 300 Mbps"/>
    <s v="INDIBIZ"/>
    <m/>
    <m/>
    <d v="2026-10-02T15:00:00"/>
    <s v="2026-10-02 15:00:00 | telp :085704475116 alt ;  manja : pagi / siang 02/10/2026 hub sebelum ke lokasi "/>
    <m/>
    <m/>
    <m/>
    <e v="#NUM!"/>
    <e v="#NUM!"/>
    <x v="0"/>
  </r>
  <r>
    <n v="20"/>
    <n v="1002617598"/>
    <n v="3"/>
    <x v="1"/>
    <n v="5"/>
    <s v="MADIUN"/>
    <s v="NGAWI"/>
    <s v="KRJ"/>
    <s v="REG"/>
    <s v="AO"/>
    <x v="0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1"/>
  </r>
  <r>
    <n v="21"/>
    <n v="1002618105"/>
    <n v="3"/>
    <x v="1"/>
    <n v="5"/>
    <s v="MADIUN"/>
    <s v="PONOROGO"/>
    <s v="PON"/>
    <s v="REG"/>
    <s v="AO"/>
    <x v="0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1"/>
  </r>
  <r>
    <n v="22"/>
    <n v="1002617775"/>
    <n v="3"/>
    <x v="2"/>
    <n v="4"/>
    <s v="YOGYAKARTA"/>
    <s v="INNER - YOGYA JATENG SELATAN"/>
    <s v="KBU"/>
    <s v="REG"/>
    <s v="AO"/>
    <x v="0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1"/>
  </r>
  <r>
    <n v="23"/>
    <n v="1002618747"/>
    <n v="3"/>
    <x v="2"/>
    <n v="4"/>
    <s v="YOGYAKARTA"/>
    <s v="BANTUL"/>
    <s v="BTL"/>
    <s v="REG"/>
    <s v="AO"/>
    <x v="0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1"/>
  </r>
  <r>
    <n v="24"/>
    <n v="1002617109"/>
    <n v="3"/>
    <x v="2"/>
    <n v="4"/>
    <s v="YOGYAKARTA"/>
    <s v="SLEMAN"/>
    <s v="GOD"/>
    <s v="REG"/>
    <s v="AO"/>
    <x v="0"/>
    <s v="1P INET"/>
    <s v="8 | OSS - PONR"/>
    <s v="RBS-Regional 3"/>
    <d v="2026-10-01T09:34:39"/>
    <d v="2026-10-02T13:16:30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ACT_COM"/>
    <s v="X"/>
    <s v="NO ADDON"/>
    <m/>
    <s v="PONR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m/>
    <m/>
    <m/>
    <e v="#NUM!"/>
    <e v="#NUM!"/>
    <x v="0"/>
  </r>
  <r>
    <n v="25"/>
    <n v="1002617805"/>
    <n v="3"/>
    <x v="3"/>
    <n v="5"/>
    <s v="MADURA"/>
    <s v="PAMEKASAN"/>
    <s v="PME"/>
    <s v="REG"/>
    <s v="AO"/>
    <x v="0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1"/>
  </r>
  <r>
    <n v="26"/>
    <n v="1002618796"/>
    <n v="3"/>
    <x v="3"/>
    <n v="5"/>
    <s v="MADURA"/>
    <s v="PAMEKASAN"/>
    <s v="PME"/>
    <s v="REG"/>
    <s v="AO"/>
    <x v="0"/>
    <s v="1P INET"/>
    <s v="MIE - SEND SURVEY"/>
    <s v="RBS-Regional 3"/>
    <d v="2026-10-01T18:38:39"/>
    <d v="2026-10-01T18:40:01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SURVEY_NEW_MANJA"/>
    <s v="PAMEKASAN"/>
    <s v="NETMONK"/>
    <m/>
    <s v="MIE - SEND SURVEY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m/>
    <m/>
    <m/>
    <e v="#NUM!"/>
    <e v="#NUM!"/>
    <x v="0"/>
  </r>
  <r>
    <n v="27"/>
    <n v="1002617619"/>
    <n v="3"/>
    <x v="3"/>
    <n v="5"/>
    <s v="MADURA"/>
    <s v="PAMEKASAN"/>
    <s v="AJA"/>
    <s v="REG"/>
    <s v="AO"/>
    <x v="0"/>
    <m/>
    <s v="MIA - INVALID SURVEY"/>
    <s v="RBS-Regional 3"/>
    <d v="2026-10-01T11:36:55"/>
    <d v="2026-10-02T09:44:51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0"/>
  </r>
  <r>
    <n v="28"/>
    <n v="1002617733"/>
    <n v="3"/>
    <x v="3"/>
    <n v="5"/>
    <s v="SBY UTARA"/>
    <s v="KENJERAN"/>
    <s v="KBL"/>
    <s v="REG"/>
    <s v="AO"/>
    <x v="0"/>
    <s v="1P INET"/>
    <s v="MIA - INVALID SURVEY"/>
    <s v="RBS-Regional 3"/>
    <d v="2026-10-01T12:31:39"/>
    <d v="2026-10-02T09:43:49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m/>
    <s v="SURVEY_NEW_MANJA"/>
    <s v="KEBALEN"/>
    <s v="NO ADDON"/>
    <m/>
    <s v="MIE - INVALID SURVEY - Kendala Jalur/Rute Tarikan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0"/>
  </r>
  <r>
    <n v="29"/>
    <n v="1002618449"/>
    <n v="3"/>
    <x v="3"/>
    <n v="5"/>
    <s v="SBY UTARA"/>
    <s v="KENJERAN"/>
    <s v="KBL"/>
    <s v="REG"/>
    <s v="AO"/>
    <x v="0"/>
    <s v="1P INET"/>
    <s v="MIE - SEND SURVEY"/>
    <s v="RBS-Regional 3"/>
    <d v="2026-10-01T15:50:34"/>
    <d v="2026-10-01T15:52:0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SURVEY_NEW_MANJA"/>
    <s v="KEBALEN"/>
    <s v="NO ADDON"/>
    <m/>
    <s v="MIE - SEND SURVEY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m/>
    <m/>
    <m/>
    <e v="#NUM!"/>
    <e v="#NUM!"/>
    <x v="0"/>
  </r>
  <r>
    <n v="30"/>
    <n v="1002618774"/>
    <n v="3"/>
    <x v="3"/>
    <n v="5"/>
    <s v="SBY UTARA"/>
    <s v="KENJERAN"/>
    <s v="KJR"/>
    <s v="REG"/>
    <s v="AO"/>
    <x v="0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1"/>
  </r>
  <r>
    <n v="31"/>
    <n v="1002617724"/>
    <n v="3"/>
    <x v="3"/>
    <n v="5"/>
    <s v="SBY SELATAN"/>
    <s v="KETINTANG"/>
    <s v="IJK"/>
    <s v="REG"/>
    <s v="AO"/>
    <x v="0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1"/>
  </r>
  <r>
    <n v="32"/>
    <n v="1002618255"/>
    <n v="3"/>
    <x v="3"/>
    <n v="5"/>
    <s v="SBY SELATAN"/>
    <s v="KETINTANG"/>
    <s v="IJK"/>
    <s v="REG"/>
    <s v="AO"/>
    <x v="0"/>
    <m/>
    <s v="MIE - SEND SURVEY"/>
    <s v="RBS-Regional 3"/>
    <d v="2026-10-01T15:08:33"/>
    <d v="2026-10-01T17:12:0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SURVEY_NEW_MANJA"/>
    <s v="WARU INJOKO"/>
    <s v="NO ADDON"/>
    <m/>
    <s v="MIE - SEND SURVEY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m/>
    <m/>
    <m/>
    <e v="#NUM!"/>
    <e v="#NUM!"/>
    <x v="0"/>
  </r>
  <r>
    <n v="33"/>
    <n v="1002617848"/>
    <n v="3"/>
    <x v="3"/>
    <n v="5"/>
    <s v="SBY UTARA"/>
    <s v="TANDES"/>
    <s v="KRP"/>
    <s v="REG"/>
    <s v="AO"/>
    <x v="0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1"/>
  </r>
  <r>
    <n v="34"/>
    <n v="1002618729"/>
    <n v="3"/>
    <x v="3"/>
    <n v="5"/>
    <s v="SBY UTARA"/>
    <s v="MANYAR"/>
    <s v="MGO"/>
    <s v="REG"/>
    <s v="AO"/>
    <x v="0"/>
    <s v="1P INET"/>
    <s v="8 | OSS - PONR"/>
    <s v="RBS-Regional 3"/>
    <d v="2026-10-01T17:28:34"/>
    <d v="2026-10-02T13:18:34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ACT_COM"/>
    <s v="MERGOYOSO"/>
    <s v="NO ADDON"/>
    <m/>
    <s v="PONR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m/>
    <m/>
    <m/>
    <e v="#NUM!"/>
    <e v="#NUM!"/>
    <x v="0"/>
  </r>
  <r>
    <n v="35"/>
    <n v="1002616819"/>
    <n v="3"/>
    <x v="3"/>
    <n v="5"/>
    <s v="SBY UTARA"/>
    <s v="MANYAR"/>
    <s v="MGO"/>
    <s v="REG"/>
    <s v="AO"/>
    <x v="0"/>
    <s v="1P INET"/>
    <s v="100 | REVOKE COMPLETED"/>
    <s v="RBS-Regional 3"/>
    <d v="2026-10-01T07:17:34"/>
    <d v="2026-10-02T13:01:23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Revoke Completed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0"/>
  </r>
  <r>
    <n v="36"/>
    <n v="1002618465"/>
    <n v="3"/>
    <x v="3"/>
    <n v="5"/>
    <s v="SBY UTARA"/>
    <s v="MANYAR"/>
    <s v="MGO"/>
    <s v="REG"/>
    <s v="AO"/>
    <x v="0"/>
    <s v="2P INET + VOICE"/>
    <s v="MIE - SEND SURVEY"/>
    <s v="RBS-Regional 3"/>
    <d v="2026-10-01T15:52:40"/>
    <d v="2026-10-01T15:54:01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SURVEY_NEW_MANJA"/>
    <s v="MERGOYOSO"/>
    <s v="NO ADDON"/>
    <m/>
    <s v="MIE - SEND SURVEY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m/>
    <m/>
    <m/>
    <e v="#NUM!"/>
    <e v="#NUM!"/>
    <x v="0"/>
  </r>
  <r>
    <n v="37"/>
    <n v="1002618123"/>
    <n v="3"/>
    <x v="3"/>
    <n v="5"/>
    <s v="SBY SELATAN"/>
    <s v="MANYAR"/>
    <s v="MYR"/>
    <s v="REG"/>
    <s v="AO"/>
    <x v="0"/>
    <m/>
    <s v="MIE - SEND SURVEY"/>
    <s v="RBS-Regional 3"/>
    <d v="2026-10-01T14:33:24"/>
    <d v="2026-10-01T17:28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SURVEY_NEW_MANJA"/>
    <s v="MANYA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m/>
    <m/>
    <m/>
    <e v="#NUM!"/>
    <e v="#NUM!"/>
    <x v="0"/>
  </r>
  <r>
    <n v="38"/>
    <n v="1002618719"/>
    <n v="3"/>
    <x v="3"/>
    <n v="5"/>
    <s v="SBY SELATAN"/>
    <s v="MANYAR"/>
    <s v="MYR"/>
    <s v="REG"/>
    <s v="AO"/>
    <x v="0"/>
    <m/>
    <s v="MIE - SEND SURVEY"/>
    <s v="RBS-Regional 3"/>
    <d v="2026-10-01T17:24:30"/>
    <d v="2026-10-02T10:38:01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SURVEY_NEW_MANJA"/>
    <s v="MANYAR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m/>
    <m/>
    <m/>
    <e v="#NUM!"/>
    <e v="#NUM!"/>
    <x v="0"/>
  </r>
  <r>
    <n v="39"/>
    <n v="1002618820"/>
    <n v="3"/>
    <x v="3"/>
    <n v="5"/>
    <s v="SBY SELATAN"/>
    <s v="KETINTANG"/>
    <s v="RKT"/>
    <s v="REG"/>
    <s v="AO"/>
    <x v="0"/>
    <s v="1P INET"/>
    <s v="MIE - SEND SURVEY"/>
    <s v="RBS-Regional 3"/>
    <d v="2026-10-01T19:37:39"/>
    <d v="2026-10-01T19:40:01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SURVEY_NEW_MANJA"/>
    <s v="RUNGKUT"/>
    <s v="NO ADDON"/>
    <m/>
    <s v="MIE - SEND SURVEY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m/>
    <m/>
    <m/>
    <e v="#NUM!"/>
    <e v="#NUM!"/>
    <x v="0"/>
  </r>
  <r>
    <n v="40"/>
    <n v="1002617446"/>
    <n v="3"/>
    <x v="4"/>
    <n v="4"/>
    <s v="KUDUS"/>
    <s v="BLORA"/>
    <s v="BLO"/>
    <s v="REG"/>
    <s v="AO"/>
    <x v="0"/>
    <s v="1P INET"/>
    <s v="8 | OSS - PONR"/>
    <s v="RBS-Regional 3"/>
    <d v="2026-10-01T10:47:39"/>
    <d v="2026-10-02T11:23:13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ACT_COM"/>
    <s v="X"/>
    <s v="NO ADDON"/>
    <m/>
    <s v="PONR"/>
    <s v="HSI Bisnis PSB 70% - 50 Mbps"/>
    <s v="INDIBIZ"/>
    <m/>
    <m/>
    <d v="2026-10-02T08:00:00"/>
    <s v="2026-10-02 08:00:00 | Jam pemasangan : 12.00 Info Tambahan : Hubungi pelanggan dulu sebelum ke lokasi terimakasih  "/>
    <m/>
    <m/>
    <m/>
    <e v="#NUM!"/>
    <e v="#NUM!"/>
    <x v="0"/>
  </r>
  <r>
    <n v="41"/>
    <n v="1002618761"/>
    <n v="3"/>
    <x v="4"/>
    <n v="4"/>
    <s v="KUDUS"/>
    <s v="BLORA"/>
    <s v="BLO"/>
    <s v="REG"/>
    <s v="AO"/>
    <x v="0"/>
    <s v="1P INET"/>
    <s v="MIE - SEND SURVEY"/>
    <s v="RBS-Regional 3"/>
    <d v="2026-10-01T17:49:39"/>
    <d v="2026-10-01T17:52:01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SURVEY_NEW_MANJA"/>
    <s v="X"/>
    <s v="NO ADDON"/>
    <m/>
    <s v="MIE - SEND SURVEY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m/>
    <m/>
    <m/>
    <e v="#NUM!"/>
    <e v="#NUM!"/>
    <x v="0"/>
  </r>
  <r>
    <n v="42"/>
    <n v="1002618342"/>
    <n v="3"/>
    <x v="4"/>
    <n v="4"/>
    <s v="KUDUS"/>
    <s v="PURWODADI"/>
    <s v="PWB"/>
    <s v="REG"/>
    <s v="AO"/>
    <x v="0"/>
    <m/>
    <s v="7 | OSS - PROVISIONING ISSUED"/>
    <s v="RBS-Regional 3"/>
    <d v="2026-10-01T15:27:07"/>
    <d v="2026-10-02T13:11:32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I"/>
    <s v="X"/>
    <s v="NO ADDON"/>
    <m/>
    <s v="Provisioning Issu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m/>
    <m/>
    <m/>
    <e v="#NUM!"/>
    <e v="#NUM!"/>
    <x v="0"/>
  </r>
  <r>
    <n v="43"/>
    <n v="1002618094"/>
    <n v="3"/>
    <x v="4"/>
    <n v="4"/>
    <s v="KUDUS"/>
    <s v="PURWODADI"/>
    <s v="PWB"/>
    <s v="REG"/>
    <s v="AO"/>
    <x v="0"/>
    <m/>
    <s v="MIE - SEND SURVEY"/>
    <s v="RBS-Regional 3"/>
    <d v="2026-10-01T14:26:10"/>
    <d v="2026-10-01T16:48:2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SURVEY_NEW_MANJA"/>
    <s v="X"/>
    <s v="NO ADDON"/>
    <m/>
    <s v="MIE - SEND SURVEY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m/>
    <m/>
    <m/>
    <e v="#NUM!"/>
    <e v="#NUM!"/>
    <x v="0"/>
  </r>
  <r>
    <n v="44"/>
    <n v="1002617580"/>
    <n v="3"/>
    <x v="4"/>
    <n v="4"/>
    <s v="SOLO"/>
    <s v="SRAGEN"/>
    <s v="SRG"/>
    <s v="REG"/>
    <s v="AO"/>
    <x v="0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1"/>
  </r>
  <r>
    <n v="45"/>
    <n v="1002617638"/>
    <n v="3"/>
    <x v="4"/>
    <n v="4"/>
    <s v="SOLO"/>
    <s v="INNER - SOLO JATENG TIMUR"/>
    <s v="KRT"/>
    <s v="REG"/>
    <s v="AO"/>
    <x v="0"/>
    <s v="2P INET + VOICE"/>
    <s v="OSS - PROVISIONING START"/>
    <s v="RBS-Regional 3"/>
    <d v="2026-10-01T11:40:40"/>
    <d v="2026-10-02T08:14:5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m/>
    <s v="PRE_PI"/>
    <s v="X"/>
    <s v="NO ADDON"/>
    <m/>
    <s v="Provisioning Start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0"/>
  </r>
  <r>
    <n v="46"/>
    <n v="1002617694"/>
    <n v="3"/>
    <x v="4"/>
    <n v="4"/>
    <s v="SOLO"/>
    <s v="INNER - SOLO JATENG TIMUR"/>
    <s v="KRT"/>
    <s v="REG"/>
    <s v="AO"/>
    <x v="0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1"/>
  </r>
  <r>
    <n v="47"/>
    <n v="1002617973"/>
    <n v="3"/>
    <x v="4"/>
    <n v="4"/>
    <s v="SOLO"/>
    <s v="WONOGIRI"/>
    <s v="JSO"/>
    <s v="REG"/>
    <s v="AO"/>
    <x v="0"/>
    <m/>
    <s v="MIE - SEND SURVEY"/>
    <s v="RBS-Regional 3"/>
    <d v="2026-10-01T13:57:21"/>
    <d v="2026-10-02T10:00:06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m/>
    <m/>
    <m/>
    <e v="#NUM!"/>
    <e v="#NUM!"/>
    <x v="0"/>
  </r>
  <r>
    <n v="48"/>
    <n v="1002617289"/>
    <n v="3"/>
    <x v="5"/>
    <n v="5"/>
    <s v="SIDOARJO"/>
    <s v="JOMBANG"/>
    <s v="MOJ"/>
    <s v="REG"/>
    <s v="AO"/>
    <x v="0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1"/>
  </r>
  <r>
    <n v="49"/>
    <n v="1002616829"/>
    <n v="3"/>
    <x v="5"/>
    <n v="5"/>
    <s v="SIDOARJO"/>
    <s v="MOJOKERTO"/>
    <s v="MRT"/>
    <s v="REG"/>
    <s v="AO"/>
    <x v="0"/>
    <m/>
    <s v="8 | OSS - PONR"/>
    <s v="RBS-Regional 3"/>
    <d v="2026-10-01T07:52:22"/>
    <d v="2026-10-01T18:24:44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ACT_COM"/>
    <s v="MOJOKERTO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m/>
    <m/>
    <m/>
    <e v="#NUM!"/>
    <e v="#NUM!"/>
    <x v="0"/>
  </r>
  <r>
    <n v="50"/>
    <n v="1002617823"/>
    <n v="3"/>
    <x v="5"/>
    <n v="5"/>
    <s v="SIDOARJO"/>
    <s v="INNER - JATIM TIMUR"/>
    <s v="KRN"/>
    <s v="REG"/>
    <s v="AO"/>
    <x v="0"/>
    <s v="1P INET"/>
    <s v="OSS - PROVISIONING START"/>
    <s v="RBS-Regional 3"/>
    <d v="2026-10-01T13:16:35"/>
    <d v="2026-10-01T16:20:30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m/>
    <s v="PRE_PI"/>
    <s v="KRIAN"/>
    <s v="NO ADDON"/>
    <m/>
    <s v="Provisioning Start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</r>
  <r>
    <n v="51"/>
    <n v="1002616839"/>
    <n v="3"/>
    <x v="5"/>
    <n v="5"/>
    <s v="SIDOARJO"/>
    <s v="INNER - JATIM TIMUR"/>
    <s v="SDN"/>
    <s v="REG"/>
    <s v="AO"/>
    <x v="0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1"/>
  </r>
  <r>
    <n v="52"/>
    <n v="1002617312"/>
    <n v="3"/>
    <x v="5"/>
    <n v="5"/>
    <s v="SIDOARJO"/>
    <s v="INNER - JATIM TIMUR"/>
    <s v="SDN"/>
    <s v="REG"/>
    <s v="AO"/>
    <x v="0"/>
    <s v="1P INET"/>
    <s v="7 | OSS - PROVISIONING ISSUED"/>
    <s v="RBS-Regional 3"/>
    <d v="2026-10-01T10:20:40"/>
    <d v="2026-10-02T13:24:1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I"/>
    <s v="SIDOARJO"/>
    <s v="NETMONK"/>
    <m/>
    <s v="Provisioning Issu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m/>
    <m/>
    <m/>
    <e v="#NUM!"/>
    <e v="#NUM!"/>
    <x v="0"/>
  </r>
  <r>
    <n v="53"/>
    <n v="1002617556"/>
    <n v="3"/>
    <x v="5"/>
    <n v="5"/>
    <s v="SIDOARJO"/>
    <s v="INNER - JATIM TIMUR"/>
    <s v="SDA"/>
    <s v="REG"/>
    <s v="AO"/>
    <x v="0"/>
    <s v="1P INET"/>
    <s v="8 | OSS - PONR"/>
    <s v="RBS-Regional 3"/>
    <d v="2026-10-01T11:17:34"/>
    <d v="2026-10-02T10:04:50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ACT_COM"/>
    <s v="SIDOARJO"/>
    <s v="NO ADDON"/>
    <m/>
    <s v="PONR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m/>
    <m/>
    <m/>
    <e v="#NUM!"/>
    <e v="#NUM!"/>
    <x v="0"/>
  </r>
  <r>
    <n v="54"/>
    <n v="1002617423"/>
    <n v="3"/>
    <x v="5"/>
    <n v="5"/>
    <s v="SIDOARJO"/>
    <s v="INNER - JATIM TIMUR"/>
    <s v="SDA"/>
    <s v="REG"/>
    <s v="AO"/>
    <x v="0"/>
    <s v="1P INET"/>
    <s v="7 | OSS - PROVISIONING ISSUED"/>
    <s v="RBS-Regional 3"/>
    <d v="2026-10-01T10:43:39"/>
    <d v="2026-10-02T08:09:24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m/>
    <s v="PI"/>
    <s v="SIDOARJO"/>
    <s v="OCA"/>
    <m/>
    <s v="Provisioning Issued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0"/>
  </r>
  <r>
    <n v="55"/>
    <n v="1002618024"/>
    <n v="3"/>
    <x v="5"/>
    <n v="5"/>
    <s v="PASURUAN"/>
    <s v="PASURUAN"/>
    <s v="BNL"/>
    <s v="REG"/>
    <s v="AO"/>
    <x v="0"/>
    <m/>
    <s v="8 | OSS - PONR"/>
    <s v="RBS-Regional 3"/>
    <d v="2026-10-01T14:09:07"/>
    <d v="2026-10-02T12:49:37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ACT_COM"/>
    <s v="BANGIL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m/>
    <m/>
    <m/>
    <e v="#NUM!"/>
    <e v="#NUM!"/>
    <x v="0"/>
  </r>
  <r>
    <n v="56"/>
    <n v="1002617383"/>
    <n v="3"/>
    <x v="3"/>
    <n v="5"/>
    <s v="SBY SELATAN"/>
    <s v="KETINTANG"/>
    <s v="TPO"/>
    <s v="REG"/>
    <s v="AO"/>
    <x v="0"/>
    <s v="1P INET"/>
    <s v="OSS - PROVISIONING START"/>
    <s v="RBS-Regional 3"/>
    <d v="2026-10-01T10:35:40"/>
    <d v="2026-10-02T08:14:43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m/>
    <s v="PRE_PI"/>
    <s v="TROPODO"/>
    <s v="NO ADDON"/>
    <m/>
    <s v="Provisioning Start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m/>
    <m/>
    <m/>
    <e v="#NUM!"/>
    <e v="#NUM!"/>
    <x v="0"/>
  </r>
  <r>
    <n v="57"/>
    <n v="1002617708"/>
    <n v="3"/>
    <x v="3"/>
    <n v="5"/>
    <s v="SBY SELATAN"/>
    <s v="KETINTANG"/>
    <s v="TPO"/>
    <s v="REG"/>
    <s v="AO"/>
    <x v="0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1"/>
  </r>
  <r>
    <n v="58"/>
    <n v="1002617838"/>
    <n v="3"/>
    <x v="4"/>
    <n v="4"/>
    <s v="KUDUS"/>
    <s v="KUDUS"/>
    <s v="DMA"/>
    <s v="REG"/>
    <s v="AO"/>
    <x v="0"/>
    <m/>
    <s v="MYCX - SEND OPEN PAPERLESS"/>
    <s v="RBS-Regional 3"/>
    <d v="2026-10-01T13:24:57"/>
    <d v="2026-10-01T13:28:15"/>
    <n v="69402365"/>
    <m/>
    <n v="141456115553"/>
    <s v="WISMA MUTIARA DEMAK"/>
    <s v="ODP-DMA-FB/146"/>
    <m/>
    <m/>
    <m/>
    <m/>
    <n v="110.633223053436"/>
    <n v="-6.9019571696067601"/>
    <s v="|MC60142|/JAMAL MUHLIS/081325316050/wismamutiara781@gmail.com /Permintaan PSB HSI BISNIS 1S INET 100MBPS PAKET WINBACK1/WISMA MUTIARA DEMAK"/>
    <s v="Sales Profesional"/>
    <m/>
    <m/>
    <m/>
    <m/>
    <m/>
    <m/>
    <m/>
    <m/>
    <m/>
    <m/>
    <m/>
    <d v="2026-01-10T13:40:38"/>
    <m/>
    <m/>
    <s v="INPROGRESS_SC"/>
    <s v="DEMAK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9"/>
    <n v="1002617515"/>
    <n v="3"/>
    <x v="6"/>
    <n v="4"/>
    <s v="SEMARANG"/>
    <s v="SALATIGA"/>
    <s v="SLI"/>
    <s v="REG"/>
    <s v="AO"/>
    <x v="0"/>
    <s v="1P INET"/>
    <s v="7 | OSS - PROVISIONING ISSUED"/>
    <s v="RBS-Regional 3"/>
    <d v="2026-10-01T11:05:40"/>
    <d v="2026-10-02T08:13:58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I"/>
    <s v="X"/>
    <s v="NO ADDON"/>
    <m/>
    <s v="Provisioning Issu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m/>
    <m/>
    <m/>
    <e v="#NUM!"/>
    <e v="#NUM!"/>
    <x v="0"/>
  </r>
  <r>
    <n v="60"/>
    <n v="1002617361"/>
    <n v="3"/>
    <x v="4"/>
    <n v="4"/>
    <s v="KUDUS"/>
    <s v="KUDUS"/>
    <s v="KUD"/>
    <s v="REG"/>
    <s v="AO"/>
    <x v="0"/>
    <s v="1P INET"/>
    <s v="MIE - SEND SURVEY"/>
    <s v="RBS-Regional 3"/>
    <d v="2026-10-01T10:31:39"/>
    <d v="2026-10-01T10:34:01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m/>
    <s v="SURVEY_NEW_MANJA"/>
    <s v="X"/>
    <s v="NO ADDON"/>
    <m/>
    <s v="MIE - SEND SURVEY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0"/>
  </r>
  <r>
    <n v="61"/>
    <n v="1002618429"/>
    <n v="3"/>
    <x v="4"/>
    <n v="4"/>
    <s v="KUDUS"/>
    <s v="PATI"/>
    <s v="PAT"/>
    <s v="REG"/>
    <s v="AO"/>
    <x v="0"/>
    <m/>
    <s v="MIE - SEND SURVEY"/>
    <s v="RBS-Regional 3"/>
    <d v="2026-10-01T15:46:58"/>
    <d v="2026-10-02T11:20:01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m/>
    <m/>
    <m/>
    <e v="#NUM!"/>
    <e v="#NUM!"/>
    <x v="0"/>
  </r>
  <r>
    <n v="62"/>
    <n v="1002617076"/>
    <n v="3"/>
    <x v="6"/>
    <n v="4"/>
    <s v="SEMARANG"/>
    <s v="KENDAL"/>
    <s v="KDL"/>
    <s v="REG"/>
    <s v="AO"/>
    <x v="0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1"/>
  </r>
  <r>
    <n v="63"/>
    <n v="1002618091"/>
    <n v="3"/>
    <x v="6"/>
    <n v="4"/>
    <s v="SEMARANG"/>
    <s v="INNER - SEMARANG JATENG UTARA"/>
    <s v="SMT"/>
    <s v="REG"/>
    <s v="AO"/>
    <x v="0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1"/>
  </r>
  <r>
    <n v="64"/>
    <n v="1002617233"/>
    <n v="3"/>
    <x v="6"/>
    <n v="4"/>
    <s v="SEMARANG"/>
    <s v="INNER - SEMARANG JATENG UTARA"/>
    <s v="SMT"/>
    <s v="REG"/>
    <s v="AO"/>
    <x v="0"/>
    <s v="1P INET"/>
    <s v="7 | OSS - PROVISIONING ISSUED"/>
    <s v="RBS-Regional 3"/>
    <d v="2026-10-01T10:01:41"/>
    <d v="2026-10-02T08:15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I"/>
    <s v="SEMARANG TUGU"/>
    <s v="NO ADDON"/>
    <m/>
    <s v="Provisioning Issued"/>
    <s v="HSI Bisnis Promo Hari Pelanggan Nasional PSB 70% - 50 Mbps"/>
    <s v="INDIBIZ"/>
    <m/>
    <m/>
    <d v="2026-10-02T08:00:00"/>
    <s v="2026-10-02 08:00:00 | telp :085800548037  alt ;  manja : pagi / siang 02/10/2026 hub sebelum ke lokasi "/>
    <m/>
    <m/>
    <m/>
    <e v="#NUM!"/>
    <e v="#NUM!"/>
    <x v="0"/>
  </r>
  <r>
    <n v="65"/>
    <n v="1002618755"/>
    <n v="3"/>
    <x v="6"/>
    <n v="4"/>
    <s v="SEMARANG"/>
    <s v="INNER - SEMARANG JATENG UTARA"/>
    <s v="JHR"/>
    <s v="REG"/>
    <s v="AO"/>
    <x v="0"/>
    <s v="1P INET"/>
    <s v="8 | OSS - PONR"/>
    <s v="RBS-Regional 3"/>
    <d v="2026-10-01T17:46:34"/>
    <d v="2026-10-02T12:50:0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ACT_COM"/>
    <s v="JOHAR"/>
    <s v="NO ADDON"/>
    <m/>
    <s v="PONR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m/>
    <m/>
    <m/>
    <e v="#NUM!"/>
    <e v="#NUM!"/>
    <x v="0"/>
  </r>
  <r>
    <n v="66"/>
    <n v="1002618750"/>
    <n v="3"/>
    <x v="2"/>
    <n v="4"/>
    <s v="PURWOKERTO"/>
    <s v="PURWOKERTO"/>
    <s v="PWT"/>
    <s v="REG"/>
    <s v="AO"/>
    <x v="0"/>
    <s v="1P INET"/>
    <s v="MIE - SEND SURVEY"/>
    <s v="RBS-Regional 3"/>
    <d v="2026-10-01T17:40:40"/>
    <d v="2026-10-01T17:42:0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m/>
    <s v="SURVEY_NEW_MANJA"/>
    <s v="X"/>
    <s v="NO ADDON"/>
    <m/>
    <s v="MIE - SEND SURVEY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0"/>
  </r>
  <r>
    <n v="67"/>
    <n v="1002617282"/>
    <n v="3"/>
    <x v="2"/>
    <n v="4"/>
    <s v="PURWOKERTO"/>
    <s v="PURWOKERTO"/>
    <s v="PWT"/>
    <s v="REG"/>
    <s v="AO"/>
    <x v="0"/>
    <m/>
    <s v="MIE - SEND SURVEY"/>
    <s v="RBS-Regional 3"/>
    <d v="2026-10-01T10:18:08"/>
    <d v="2026-10-01T14:52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0"/>
  </r>
  <r>
    <n v="68"/>
    <n v="1002616994"/>
    <n v="3"/>
    <x v="2"/>
    <n v="4"/>
    <s v="PURWOKERTO"/>
    <s v="BANJARNEGARA"/>
    <s v="BJR"/>
    <s v="REG"/>
    <s v="AO"/>
    <x v="0"/>
    <m/>
    <s v="CC - HD1A - INPROGRESS UNCONTACTED"/>
    <s v="RBS-Regional 3"/>
    <d v="2026-10-01T09:07:32"/>
    <d v="2026-10-02T11:23:26"/>
    <n v="69402039"/>
    <m/>
    <n v="146372102975"/>
    <s v="Kopi Jjb Ratamba"/>
    <s v="ODP-BJR-FAE/052"/>
    <m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m/>
    <m/>
    <m/>
    <d v="2026-01-10T09:25:42"/>
    <m/>
    <m/>
    <s v="FCC"/>
    <s v="X"/>
    <s v="NO ADDON"/>
    <m/>
    <s v="UNCONTACTED : Mail Box - Memo Putri Arviyanti 40971304|MYDITA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m/>
    <m/>
    <m/>
    <m/>
    <m/>
    <e v="#NUM!"/>
    <e v="#NUM!"/>
    <x v="0"/>
  </r>
  <r>
    <n v="69"/>
    <n v="1002618109"/>
    <n v="3"/>
    <x v="2"/>
    <n v="4"/>
    <s v="PURWOKERTO"/>
    <s v="BANJARNEGARA"/>
    <s v="KLP"/>
    <s v="REG"/>
    <s v="AO"/>
    <x v="0"/>
    <s v="1P INET"/>
    <s v="OSS - PROVISIONING START"/>
    <s v="RBS-Regional 3"/>
    <d v="2026-10-01T14:28:35"/>
    <d v="2026-10-02T11:18:32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PRE_PI"/>
    <s v="KLAMPOK"/>
    <s v="NO ADDON"/>
    <m/>
    <s v="Provisioning Start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0"/>
  </r>
  <r>
    <n v="70"/>
    <n v="1002617796"/>
    <n v="3"/>
    <x v="2"/>
    <n v="4"/>
    <s v="MAGELANG"/>
    <s v="WONOSOBO"/>
    <s v="WOS"/>
    <s v="REG"/>
    <s v="AO"/>
    <x v="0"/>
    <s v="1P INET"/>
    <s v="OSS - PROVISIONING DESAIN"/>
    <s v="RBS-Regional 3"/>
    <d v="2026-10-01T13:07:34"/>
    <d v="2026-10-02T13:24:13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RE_PI"/>
    <s v="X"/>
    <s v="OCA"/>
    <m/>
    <s v="Provisioning Design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m/>
    <m/>
    <m/>
    <e v="#NUM!"/>
    <e v="#NUM!"/>
    <x v="0"/>
  </r>
  <r>
    <n v="71"/>
    <n v="1002618398"/>
    <n v="3"/>
    <x v="6"/>
    <n v="4"/>
    <s v="PEKALONGAN"/>
    <s v="PEMALANG"/>
    <s v="RDD"/>
    <s v="REG"/>
    <s v="AO"/>
    <x v="0"/>
    <s v="1P INET"/>
    <s v="MIE - SEND SURVEY"/>
    <s v="RBS-Regional 3"/>
    <d v="2026-10-01T15:38:34"/>
    <d v="2026-10-01T15:40:03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SURVEY_NEW_MANJA"/>
    <s v="RANDUDONGKAL"/>
    <s v="NO ADDON"/>
    <m/>
    <s v="MIE - SEND SURVEY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m/>
    <m/>
    <m/>
    <e v="#NUM!"/>
    <e v="#NUM!"/>
    <x v="0"/>
  </r>
  <r>
    <n v="72"/>
    <n v="1002617123"/>
    <n v="3"/>
    <x v="2"/>
    <n v="4"/>
    <s v="PURWOKERTO"/>
    <s v="PURBALINGGA"/>
    <s v="BBT"/>
    <s v="REG"/>
    <s v="AO"/>
    <x v="0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1"/>
  </r>
  <r>
    <n v="73"/>
    <n v="1002618704"/>
    <n v="3"/>
    <x v="6"/>
    <n v="4"/>
    <s v="PEKALONGAN"/>
    <s v="BREBES"/>
    <s v="BRB"/>
    <s v="REG"/>
    <s v="AO"/>
    <x v="0"/>
    <s v="1P INET"/>
    <s v="MIE - SEND SURVEY"/>
    <s v="RBS-Regional 3"/>
    <d v="2026-10-01T17:14:40"/>
    <d v="2026-10-01T17:16:01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SURVEY_NEW_MANJA"/>
    <s v="X"/>
    <s v="NO ADDON"/>
    <m/>
    <s v="MIE - SEND SURVEY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m/>
    <m/>
    <m/>
    <e v="#NUM!"/>
    <e v="#NUM!"/>
    <x v="0"/>
  </r>
  <r>
    <n v="74"/>
    <n v="1002618417"/>
    <n v="3"/>
    <x v="6"/>
    <n v="4"/>
    <s v="PEKALONGAN"/>
    <s v="BREBES"/>
    <s v="BMU"/>
    <s v="REG"/>
    <s v="AO"/>
    <x v="0"/>
    <m/>
    <s v="CC - HD1A - INPROGRESS UNCONTACTED"/>
    <s v="RBS-Regional 3"/>
    <d v="2026-10-01T15:44:25"/>
    <d v="2026-10-02T12:20:24"/>
    <n v="69402558"/>
    <m/>
    <n v="146281108645"/>
    <s v="SMK MUHAMMADIYAH 1 PAGUYANGAN"/>
    <s v="ODP-BMU-FG/013"/>
    <m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m/>
    <m/>
    <m/>
    <d v="2026-01-10T16:39:58"/>
    <m/>
    <m/>
    <s v="FCC"/>
    <s v="BUMIAYU"/>
    <s v="NO ADDON"/>
    <m/>
    <s v="UNCONTACTED : Line Busy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5"/>
    <n v="1002618251"/>
    <n v="3"/>
    <x v="6"/>
    <n v="4"/>
    <s v="PEKALONGAN"/>
    <s v="BREBES"/>
    <s v="BMU"/>
    <s v="REG"/>
    <s v="AO"/>
    <x v="0"/>
    <m/>
    <s v="CC - HD1A - INPROGRESS UNCONTACTED"/>
    <s v="RBS-Regional 3"/>
    <d v="2026-10-01T15:07:39"/>
    <d v="2026-10-02T12:19:45"/>
    <n v="69402491"/>
    <m/>
    <n v="146281108643"/>
    <s v="SMK MUHAMMADIYAH 1 PAGUYANGAN"/>
    <s v="ODP-BMU-FG/013"/>
    <m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m/>
    <m/>
    <m/>
    <d v="2026-01-10T15:10:59"/>
    <m/>
    <m/>
    <s v="FCC"/>
    <s v="BUMIAYU"/>
    <s v="NO ADDON"/>
    <m/>
    <s v="UNCONTACTED : Line Busy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6"/>
    <n v="1002618002"/>
    <n v="3"/>
    <x v="6"/>
    <n v="4"/>
    <s v="PEKALONGAN"/>
    <s v="TEGAL"/>
    <s v="MGN"/>
    <s v="REG"/>
    <s v="AO"/>
    <x v="0"/>
    <m/>
    <s v="MIE - SEND SURVEY"/>
    <s v="RBS-Regional 4"/>
    <d v="2026-10-01T14:04:27"/>
    <d v="2026-10-01T17:06:11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</r>
  <r>
    <n v="77"/>
    <n v="1002617834"/>
    <n v="3"/>
    <x v="6"/>
    <n v="4"/>
    <s v="PEKALONGAN"/>
    <s v="TEGAL"/>
    <s v="MGN"/>
    <s v="REG"/>
    <s v="AO"/>
    <x v="0"/>
    <m/>
    <s v="MIE - SEND SURVEY"/>
    <s v="RBS-Regional 4"/>
    <d v="2026-10-01T13:23:04"/>
    <d v="2026-10-01T17:04:02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</r>
  <r>
    <n v="78"/>
    <n v="1002618011"/>
    <n v="3"/>
    <x v="6"/>
    <n v="4"/>
    <s v="PEKALONGAN"/>
    <s v="SLAWI"/>
    <s v="BLU"/>
    <s v="REG"/>
    <s v="AO"/>
    <x v="0"/>
    <s v="1P INET"/>
    <s v="7 | OSS - PROVISIONING ISSUED"/>
    <s v="RBS-Regional 3"/>
    <d v="2026-10-01T14:04:34"/>
    <d v="2026-10-02T11:13:21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PI"/>
    <s v="X"/>
    <s v="NO ADDON"/>
    <m/>
    <s v="Provisioning Issued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0"/>
  </r>
  <r>
    <n v="79"/>
    <n v="1002617816"/>
    <n v="3"/>
    <x v="3"/>
    <n v="5"/>
    <s v="SBY UTARA"/>
    <s v="GRESIK"/>
    <s v="CRM"/>
    <s v="REG"/>
    <s v="AO"/>
    <x v="0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1"/>
  </r>
  <r>
    <n v="80"/>
    <n v="1002617352"/>
    <n v="3"/>
    <x v="3"/>
    <n v="5"/>
    <s v="SBY UTARA"/>
    <s v="GRESIK"/>
    <s v="BWN"/>
    <s v="REG"/>
    <s v="AO"/>
    <x v="0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1"/>
  </r>
  <r>
    <n v="81"/>
    <n v="1002618083"/>
    <n v="3"/>
    <x v="3"/>
    <n v="5"/>
    <s v="SBY UTARA"/>
    <s v="LAMONGAN"/>
    <s v="BBA"/>
    <s v="REG"/>
    <s v="AO"/>
    <x v="0"/>
    <m/>
    <s v="MIE - SEND SURVEY"/>
    <s v="RBS-Regional 3"/>
    <d v="2026-10-01T14:22:50"/>
    <d v="2026-10-01T16:20:07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0"/>
  </r>
  <r>
    <n v="82"/>
    <n v="1002617657"/>
    <n v="3"/>
    <x v="3"/>
    <n v="5"/>
    <s v="SBY UTARA"/>
    <s v="LAMONGAN"/>
    <s v="BDG"/>
    <s v="REG"/>
    <s v="AO"/>
    <x v="0"/>
    <s v="1P INET"/>
    <s v="OSS - FALLOUT"/>
    <s v="RBS-Regional 3"/>
    <d v="2026-10-01T11:47:34"/>
    <d v="2026-10-02T12:13:5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FO_WFM"/>
    <s v="X"/>
    <s v="NO ADDON"/>
    <m/>
    <s v="Provisioning Failed|WFM|INF009616724|TOF_-6.869492500000001,112.3479201_kendala otb penuh, perlu tambah jaringan karena dilok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0"/>
  </r>
  <r>
    <n v="83"/>
    <n v="1002616866"/>
    <n v="3"/>
    <x v="1"/>
    <n v="5"/>
    <s v="MADIUN"/>
    <s v="BOJONEGORO"/>
    <s v="PAD"/>
    <s v="REG"/>
    <s v="AO"/>
    <x v="0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1"/>
  </r>
  <r>
    <n v="84"/>
    <n v="1002617935"/>
    <n v="3"/>
    <x v="1"/>
    <n v="5"/>
    <s v="MADIUN"/>
    <s v="BOJONEGORO"/>
    <s v="SMJ"/>
    <s v="REG"/>
    <s v="AO"/>
    <x v="0"/>
    <s v="1P INET"/>
    <s v="MIE - SEND SURVEY"/>
    <s v="RBS-Regional 3"/>
    <d v="2026-10-01T13:47:35"/>
    <d v="2026-10-01T13:50:01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SURVEY_NEW_MANJA"/>
    <s v="PADANGAN"/>
    <s v="NETMONK"/>
    <m/>
    <s v="MIE - SEND SURVEY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0"/>
  </r>
  <r>
    <n v="85"/>
    <n v="1002618689"/>
    <n v="3"/>
    <x v="1"/>
    <n v="5"/>
    <s v="MADIUN"/>
    <s v="BOJONEGORO"/>
    <s v="SMJ"/>
    <s v="REG"/>
    <s v="AO"/>
    <x v="0"/>
    <s v="1P INET"/>
    <s v="MIE - SEND SURVEY"/>
    <s v="RBS-Regional 3"/>
    <d v="2026-10-01T17:05:34"/>
    <d v="2026-10-01T17:08:01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SURVEY_NEW_MANJA"/>
    <s v="PADANGAN"/>
    <s v="NETMONK"/>
    <m/>
    <s v="MIE - SEND SURVEY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0"/>
  </r>
  <r>
    <n v="86"/>
    <n v="1002618507"/>
    <n v="3"/>
    <x v="1"/>
    <n v="5"/>
    <s v="MADIUN"/>
    <s v="TUBAN"/>
    <s v="BCR"/>
    <s v="REG"/>
    <s v="AO"/>
    <x v="0"/>
    <s v="1P INET"/>
    <s v="MIE - SEND SURVEY"/>
    <s v="RBS-Regional 3"/>
    <d v="2026-10-01T16:07:39"/>
    <d v="2026-10-01T16:10:01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SURVEY_NEW_MANJA"/>
    <s v="JATIROGO BANCAR"/>
    <s v="NO ADDON"/>
    <m/>
    <s v="MIE - SEND SURVEY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0"/>
  </r>
  <r>
    <n v="87"/>
    <n v="1002617098"/>
    <n v="3"/>
    <x v="1"/>
    <n v="5"/>
    <s v="MADIUN"/>
    <s v="TUBAN"/>
    <s v="JTR"/>
    <s v="REG"/>
    <s v="AO"/>
    <x v="0"/>
    <s v="1P INET"/>
    <s v="OSS - PROVISIONING START"/>
    <s v="RBS-Regional 3"/>
    <d v="2026-10-01T09:31:42"/>
    <d v="2026-10-02T08:14:47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m/>
    <s v="PRE_PI"/>
    <s v="JATIROGO BANCAR"/>
    <s v="NO ADDON"/>
    <m/>
    <s v="Provisioning Start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</r>
  <r>
    <n v="88"/>
    <n v="1002616902"/>
    <n v="3"/>
    <x v="1"/>
    <n v="5"/>
    <s v="MADIUN"/>
    <s v="TUBAN"/>
    <s v="RGL"/>
    <s v="REG"/>
    <s v="AO"/>
    <x v="0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1"/>
  </r>
  <r>
    <n v="89"/>
    <n v="1002617187"/>
    <n v="3"/>
    <x v="0"/>
    <n v="5"/>
    <s v="KUPANG"/>
    <s v="ATAMBUA"/>
    <s v="ATB"/>
    <s v="REG"/>
    <s v="AO"/>
    <x v="0"/>
    <s v="1P INET"/>
    <s v="8 | OSS - PONR"/>
    <s v="RBS-Regional 3"/>
    <d v="2026-10-01T09:50:35"/>
    <d v="2026-10-02T12:25:03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ACT_COM"/>
    <s v="X"/>
    <s v="NO ADDON"/>
    <m/>
    <s v="PONR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m/>
    <m/>
    <m/>
    <e v="#NUM!"/>
    <e v="#NUM!"/>
    <x v="0"/>
  </r>
  <r>
    <n v="90"/>
    <n v="1002617177"/>
    <n v="3"/>
    <x v="0"/>
    <n v="5"/>
    <s v="KUPANG"/>
    <s v="KUPANG"/>
    <s v="OSP"/>
    <s v="REG"/>
    <s v="AO"/>
    <x v="0"/>
    <m/>
    <s v="OSS - PROVISIONING START"/>
    <s v="RBS-Regional 4"/>
    <d v="2026-10-01T09:49:48"/>
    <d v="2026-10-02T11:12:38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m/>
    <s v="PRE_PI"/>
    <s v="KUPANG"/>
    <s v="NO ADDON"/>
    <m/>
    <s v="Provisioning Star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0"/>
  </r>
  <r>
    <n v="91"/>
    <n v="1002617257"/>
    <n v="3"/>
    <x v="0"/>
    <n v="5"/>
    <s v="KUPANG"/>
    <s v="KUPANG"/>
    <s v="OSP"/>
    <s v="REG"/>
    <s v="AO"/>
    <x v="0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0"/>
  </r>
  <r>
    <n v="92"/>
    <n v="1002617806"/>
    <n v="3"/>
    <x v="0"/>
    <n v="5"/>
    <s v="KUPANG"/>
    <s v="KUPANG"/>
    <s v="KPN"/>
    <s v="REG"/>
    <s v="AO"/>
    <x v="0"/>
    <s v="1P INET"/>
    <s v="OSS - PROVISIONING DESAIN"/>
    <s v="RBS-Regional 3"/>
    <d v="2026-10-01T13:10:39"/>
    <d v="2026-10-02T13:23:1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RE_PI"/>
    <s v="KUPANG"/>
    <s v="NO ADDON"/>
    <m/>
    <s v="Provisioning Design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m/>
    <m/>
    <m/>
    <e v="#NUM!"/>
    <e v="#NUM!"/>
    <x v="0"/>
  </r>
  <r>
    <n v="93"/>
    <n v="1002618763"/>
    <n v="3"/>
    <x v="0"/>
    <n v="5"/>
    <s v="KUPANG"/>
    <s v="KUPANG"/>
    <s v="KPN"/>
    <s v="REG"/>
    <s v="AO"/>
    <x v="0"/>
    <s v="1P INET"/>
    <s v="7 | OSS - PROVISIONING ISSUED"/>
    <s v="RBS-Regional 3"/>
    <d v="2026-10-01T17:50:39"/>
    <d v="2026-10-02T09:33:35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I"/>
    <s v="KUPANG"/>
    <s v="NO ADDON"/>
    <m/>
    <s v="Provisioning Issu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m/>
    <m/>
    <m/>
    <e v="#NUM!"/>
    <e v="#NUM!"/>
    <x v="0"/>
  </r>
  <r>
    <n v="94"/>
    <n v="1002618758"/>
    <n v="3"/>
    <x v="5"/>
    <n v="5"/>
    <s v="JEMBER"/>
    <s v="BANYUWANGI"/>
    <s v="PSG"/>
    <s v="REG"/>
    <s v="AO"/>
    <x v="0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1"/>
  </r>
  <r>
    <n v="95"/>
    <n v="1002618623"/>
    <n v="3"/>
    <x v="5"/>
    <n v="5"/>
    <s v="JEMBER"/>
    <s v="SITUBONDO"/>
    <s v="MLD"/>
    <s v="REG"/>
    <s v="AO"/>
    <x v="0"/>
    <s v="1P INET"/>
    <s v="MIE - SEND SURVEY"/>
    <s v="RBS-Regional 3"/>
    <d v="2026-10-01T16:43:40"/>
    <d v="2026-10-01T16:46:21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SURVEY_NEW_MANJA"/>
    <s v="SITUBONDO"/>
    <s v="NO ADDON"/>
    <m/>
    <s v="MIE - SEND SURVEY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m/>
    <m/>
    <m/>
    <e v="#NUM!"/>
    <e v="#NUM!"/>
    <x v="0"/>
  </r>
  <r>
    <n v="96"/>
    <n v="1002617166"/>
    <n v="3"/>
    <x v="5"/>
    <n v="5"/>
    <s v="JEMBER"/>
    <s v="JEMBER"/>
    <s v="ABL"/>
    <s v="REG"/>
    <s v="AO"/>
    <x v="0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1"/>
  </r>
  <r>
    <n v="97"/>
    <n v="1002617727"/>
    <n v="3"/>
    <x v="5"/>
    <n v="5"/>
    <s v="JEMBER"/>
    <s v="JEMBER"/>
    <s v="JER"/>
    <s v="REG"/>
    <s v="AO"/>
    <x v="0"/>
    <s v="1P INET"/>
    <s v="8 | OSS - PONR"/>
    <s v="RBS-Regional 3"/>
    <d v="2026-10-01T12:28:35"/>
    <d v="2026-10-02T12:58:1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ACT_COM"/>
    <s v="JEMBER"/>
    <s v="NO ADDON"/>
    <m/>
    <s v="PONR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m/>
    <m/>
    <m/>
    <e v="#NUM!"/>
    <e v="#NUM!"/>
    <x v="0"/>
  </r>
  <r>
    <n v="98"/>
    <n v="1002617896"/>
    <n v="3"/>
    <x v="5"/>
    <n v="5"/>
    <s v="PASURUAN"/>
    <s v="LUMAJANG"/>
    <s v="PII"/>
    <s v="REG"/>
    <s v="AO"/>
    <x v="0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1"/>
  </r>
  <r>
    <n v="99"/>
    <n v="1002617892"/>
    <n v="3"/>
    <x v="0"/>
    <n v="5"/>
    <s v="KUPANG"/>
    <s v="ENDE"/>
    <s v="END"/>
    <s v="REG"/>
    <s v="AO"/>
    <x v="0"/>
    <s v="1P INET"/>
    <s v="8 | OSS - PONR"/>
    <s v="RBS-Regional 3"/>
    <d v="2026-10-01T13:37:40"/>
    <d v="2026-10-02T09:47:24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ACT_COM"/>
    <s v="ENDE"/>
    <s v="NO ADDON"/>
    <m/>
    <s v="PONR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m/>
    <m/>
    <m/>
    <e v="#NUM!"/>
    <e v="#NUM!"/>
    <x v="0"/>
  </r>
  <r>
    <n v="100"/>
    <n v="1002618764"/>
    <n v="3"/>
    <x v="0"/>
    <n v="5"/>
    <s v="KUPANG"/>
    <s v="ENDE"/>
    <s v="END"/>
    <s v="REG"/>
    <s v="AO"/>
    <x v="0"/>
    <s v="1P INET"/>
    <s v="MIE - SEND SURVEY"/>
    <s v="RBS-Regional 3"/>
    <d v="2026-10-01T17:52:36"/>
    <d v="2026-10-01T17:54:06"/>
    <n v="69402663"/>
    <m/>
    <n v="172506789383"/>
    <s v="APOTIK AS-SIDIQ FARMA"/>
    <s v="ODP-END-FC/08 FC/D01/08.01"/>
    <s v="WO065523626"/>
    <m/>
    <m/>
    <m/>
    <n v="121.6441032"/>
    <n v="-8.8523017999999993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SURVEY_NEW_MANJA"/>
    <s v="ENDE"/>
    <s v="NO ADDON"/>
    <m/>
    <s v="MIE - SEND SURVEY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m/>
    <m/>
    <m/>
    <e v="#NUM!"/>
    <e v="#NUM!"/>
    <x v="0"/>
  </r>
  <r>
    <n v="101"/>
    <n v="1002617761"/>
    <n v="3"/>
    <x v="0"/>
    <n v="5"/>
    <s v="KUPANG"/>
    <s v="LABOAN BAJO"/>
    <s v="RTE"/>
    <s v="REG"/>
    <s v="AO"/>
    <x v="0"/>
    <s v="1P INET"/>
    <s v="8 | OSS - PONR"/>
    <s v="RBS-Regional 3"/>
    <d v="2026-10-01T12:46:43"/>
    <d v="2026-10-02T13:07:02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ACT_COM"/>
    <s v="X"/>
    <s v="NO ADDON"/>
    <m/>
    <s v="PONR"/>
    <s v="HSI Bisnis Promo Hari Pelanggan Nasional PSB 70% - 50 Mbps"/>
    <s v="INDIBIZ"/>
    <m/>
    <m/>
    <d v="2026-10-02T11:00:00"/>
    <s v="2026-10-02 11:00:00 | telp :081228493330 alt ;  manja : pagi / siang 02/10/2026 hub sebelum ke lokasi"/>
    <m/>
    <m/>
    <m/>
    <e v="#NUM!"/>
    <e v="#NUM!"/>
    <x v="0"/>
  </r>
  <r>
    <n v="102"/>
    <n v="1002617688"/>
    <n v="3"/>
    <x v="7"/>
    <n v="5"/>
    <s v="SINGARJA"/>
    <s v="TABANAN"/>
    <s v="BTR"/>
    <s v="REG"/>
    <s v="AO"/>
    <x v="0"/>
    <m/>
    <s v="8 | OSS - PONR"/>
    <s v="RBS-Regional 3"/>
    <d v="2026-10-01T12:05:21"/>
    <d v="2026-10-02T11:19:08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ACT_COM"/>
    <s v="TABANAN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m/>
    <m/>
    <m/>
    <e v="#NUM!"/>
    <e v="#NUM!"/>
    <x v="0"/>
  </r>
  <r>
    <n v="103"/>
    <n v="1002617698"/>
    <n v="3"/>
    <x v="7"/>
    <n v="5"/>
    <s v="SINGARJA"/>
    <s v="TABANAN"/>
    <s v="BTR"/>
    <s v="REG"/>
    <s v="AO"/>
    <x v="0"/>
    <m/>
    <s v="8 | OSS - PONR"/>
    <s v="RBS-Regional 3"/>
    <d v="2026-10-01T12:09:19"/>
    <d v="2026-10-02T09:52:24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ACT_COM"/>
    <s v="TABANAN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m/>
    <m/>
    <m/>
    <e v="#NUM!"/>
    <e v="#NUM!"/>
    <x v="0"/>
  </r>
  <r>
    <n v="104"/>
    <n v="1002617925"/>
    <n v="3"/>
    <x v="7"/>
    <n v="5"/>
    <s v="DENPASAR"/>
    <s v="UBUNG"/>
    <s v="UBN"/>
    <s v="REG"/>
    <s v="AO"/>
    <x v="0"/>
    <m/>
    <s v="OSS - PROVISIONING START"/>
    <s v="RBS-Regional 3"/>
    <d v="2026-10-01T13:48:55"/>
    <d v="2026-10-02T11:42:44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m/>
    <s v="PRE_PI"/>
    <s v="UBUNG"/>
    <s v="NETMONK"/>
    <m/>
    <s v="Provisioning Start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0"/>
  </r>
  <r>
    <n v="105"/>
    <n v="1002616976"/>
    <n v="3"/>
    <x v="7"/>
    <n v="5"/>
    <s v="DENPASAR"/>
    <s v="UBUNG"/>
    <s v="UBN"/>
    <s v="REG"/>
    <s v="AO"/>
    <x v="0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1"/>
  </r>
  <r>
    <n v="106"/>
    <n v="1002616933"/>
    <n v="3"/>
    <x v="7"/>
    <n v="5"/>
    <s v="DENPASAR"/>
    <s v="UBUNG"/>
    <s v="UBN"/>
    <s v="REG"/>
    <s v="AO"/>
    <x v="0"/>
    <m/>
    <s v="7 | OSS - PROVISIONING ISSUED"/>
    <s v="RBS-Regional 3"/>
    <d v="2026-10-01T08:46:21"/>
    <d v="2026-10-01T08:52:57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m/>
    <s v="PI"/>
    <s v="UBUNG"/>
    <s v="OCA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0"/>
  </r>
  <r>
    <n v="107"/>
    <n v="1002617750"/>
    <n v="3"/>
    <x v="7"/>
    <n v="5"/>
    <s v="SINGARJA"/>
    <s v="SINGARAJA"/>
    <s v="KNT"/>
    <s v="REG"/>
    <s v="AO"/>
    <x v="0"/>
    <m/>
    <s v="MIE - SEND SURVEY"/>
    <s v="RBS-Regional 3"/>
    <d v="2026-10-01T12:43:31"/>
    <d v="2026-10-01T15:36:07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SURVEY_NEW_MANJA"/>
    <s v="X"/>
    <s v="NETMONK"/>
    <m/>
    <s v="MIE - SEND SURVEY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109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D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m="1" x="3"/>
        <item x="0"/>
        <item x="2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3">
    <i>
      <x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103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D51" firstHeaderRow="1" firstDataRow="2" firstDataCol="1"/>
  <pivotFields count="61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m="1" x="3"/>
        <item x="0"/>
        <item x="2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6"/>
        <item x="28"/>
        <item m="1" x="43"/>
        <item m="1" x="94"/>
        <item m="1" x="52"/>
        <item m="1" x="56"/>
        <item m="1" x="45"/>
        <item x="2"/>
        <item m="1" x="35"/>
        <item m="1" x="42"/>
        <item x="22"/>
        <item m="1" x="49"/>
        <item m="1" x="44"/>
        <item m="1" x="62"/>
        <item m="1" x="30"/>
        <item m="1" x="46"/>
        <item m="1" x="48"/>
        <item m="1" x="47"/>
        <item x="4"/>
        <item m="1" x="57"/>
        <item x="16"/>
        <item x="1"/>
        <item m="1" x="36"/>
        <item m="1" x="95"/>
        <item x="15"/>
        <item m="1" x="51"/>
        <item x="21"/>
        <item x="23"/>
        <item m="1" x="38"/>
        <item x="13"/>
        <item x="26"/>
        <item x="17"/>
        <item x="7"/>
        <item x="20"/>
        <item m="1" x="40"/>
        <item x="18"/>
        <item m="1" x="37"/>
        <item m="1" x="58"/>
        <item x="8"/>
        <item x="19"/>
        <item x="27"/>
        <item m="1" x="53"/>
        <item m="1" x="54"/>
        <item m="1" x="34"/>
        <item m="1" x="50"/>
        <item x="5"/>
        <item m="1" x="32"/>
        <item m="1" x="41"/>
        <item x="25"/>
        <item m="1" x="31"/>
        <item x="9"/>
        <item x="24"/>
        <item m="1" x="55"/>
        <item m="1" x="39"/>
        <item m="1" x="33"/>
        <item x="14"/>
        <item x="0"/>
        <item x="10"/>
        <item x="12"/>
        <item x="11"/>
        <item x="3"/>
        <item m="1" x="29"/>
        <item t="default"/>
      </items>
    </pivotField>
  </pivotFields>
  <rowFields count="2">
    <field x="3"/>
    <field x="60"/>
  </rowFields>
  <rowItems count="33">
    <i>
      <x/>
    </i>
    <i r="1">
      <x v="79"/>
    </i>
    <i r="1">
      <x v="89"/>
    </i>
    <i r="1">
      <x v="97"/>
    </i>
    <i>
      <x v="1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100"/>
    </i>
    <i r="1">
      <x v="105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3">
    <i>
      <x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4.5"/>
  <cols>
    <col min="2" max="2" width="15.453125" customWidth="1"/>
    <col min="3" max="3" width="17.81640625" customWidth="1"/>
    <col min="4" max="4" width="13.26953125" customWidth="1"/>
    <col min="5" max="5" width="9.1796875" customWidth="1"/>
    <col min="6" max="6" width="8.54296875" customWidth="1"/>
    <col min="7" max="7" width="9.7265625" customWidth="1"/>
    <col min="8" max="8" width="9" customWidth="1"/>
    <col min="9" max="9" width="8.453125" customWidth="1"/>
    <col min="10" max="10" width="11.7265625" customWidth="1"/>
    <col min="11" max="11" width="7.54296875" customWidth="1"/>
    <col min="12" max="12" width="9.81640625" customWidth="1"/>
    <col min="13" max="13" width="6.81640625" customWidth="1"/>
    <col min="14" max="14" width="7.54296875" customWidth="1"/>
    <col min="15" max="15" width="7.453125" customWidth="1"/>
    <col min="17" max="17" width="10.54296875" customWidth="1"/>
    <col min="20" max="20" width="8.81640625" customWidth="1"/>
    <col min="22" max="22" width="11.1796875" customWidth="1"/>
    <col min="23" max="23" width="9.1796875" customWidth="1"/>
    <col min="24" max="24" width="11.453125" customWidth="1"/>
    <col min="30" max="30" width="11.54296875" customWidth="1"/>
  </cols>
  <sheetData>
    <row r="1" spans="2:34">
      <c r="B1" s="178" t="s">
        <v>0</v>
      </c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</row>
    <row r="2" spans="2:34"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</row>
    <row r="3" spans="2:34" ht="14.5" customHeight="1"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</row>
    <row r="4" spans="2:34">
      <c r="B4" s="178"/>
      <c r="C4" s="178"/>
      <c r="D4" s="178"/>
      <c r="E4" s="178"/>
      <c r="F4" s="178"/>
      <c r="G4" s="178"/>
      <c r="H4" s="178"/>
      <c r="I4" s="178"/>
      <c r="J4" s="178"/>
      <c r="K4" s="178"/>
      <c r="L4" s="178"/>
      <c r="M4" s="178"/>
      <c r="N4" s="178"/>
      <c r="O4" s="178"/>
      <c r="P4" s="178"/>
      <c r="Q4" s="178"/>
    </row>
    <row r="6" spans="2:34">
      <c r="B6" s="160" t="s">
        <v>1</v>
      </c>
      <c r="C6" s="158" t="s">
        <v>2</v>
      </c>
      <c r="D6" s="158" t="s">
        <v>3</v>
      </c>
      <c r="E6" s="158" t="s">
        <v>4</v>
      </c>
      <c r="F6" s="158" t="s">
        <v>5</v>
      </c>
      <c r="G6" s="158" t="s">
        <v>6</v>
      </c>
      <c r="H6" s="158" t="s">
        <v>7</v>
      </c>
      <c r="I6" s="158" t="s">
        <v>8</v>
      </c>
      <c r="J6" s="158" t="s">
        <v>9</v>
      </c>
      <c r="K6" s="158" t="s">
        <v>10</v>
      </c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 t="s">
        <v>11</v>
      </c>
      <c r="Z6" s="158" t="s">
        <v>12</v>
      </c>
      <c r="AA6" s="158"/>
      <c r="AB6" s="158"/>
      <c r="AC6" s="158"/>
      <c r="AD6" s="158" t="s">
        <v>13</v>
      </c>
      <c r="AE6" s="158" t="s">
        <v>14</v>
      </c>
      <c r="AF6" s="158" t="s">
        <v>15</v>
      </c>
      <c r="AG6" s="158" t="s">
        <v>16</v>
      </c>
      <c r="AH6" s="158" t="s">
        <v>17</v>
      </c>
    </row>
    <row r="7" spans="2:34">
      <c r="B7" s="160"/>
      <c r="C7" s="158"/>
      <c r="D7" s="158"/>
      <c r="E7" s="158"/>
      <c r="F7" s="158"/>
      <c r="G7" s="158"/>
      <c r="H7" s="158"/>
      <c r="I7" s="158"/>
      <c r="J7" s="158"/>
      <c r="K7" s="158" t="s">
        <v>2</v>
      </c>
      <c r="L7" s="158" t="s">
        <v>18</v>
      </c>
      <c r="M7" s="158"/>
      <c r="N7" s="158"/>
      <c r="O7" s="158" t="s">
        <v>19</v>
      </c>
      <c r="P7" s="158" t="s">
        <v>20</v>
      </c>
      <c r="Q7" s="158"/>
      <c r="R7" s="158"/>
      <c r="S7" s="158"/>
      <c r="T7" s="158"/>
      <c r="U7" s="158"/>
      <c r="V7" s="158"/>
      <c r="W7" s="158" t="s">
        <v>21</v>
      </c>
      <c r="X7" s="158" t="s">
        <v>22</v>
      </c>
      <c r="Y7" s="158"/>
      <c r="Z7" s="158"/>
      <c r="AA7" s="158"/>
      <c r="AB7" s="158"/>
      <c r="AC7" s="158"/>
      <c r="AD7" s="158"/>
      <c r="AE7" s="158"/>
      <c r="AF7" s="158"/>
      <c r="AG7" s="158"/>
      <c r="AH7" s="158"/>
    </row>
    <row r="8" spans="2:34">
      <c r="B8" s="160"/>
      <c r="C8" s="158"/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 t="s">
        <v>23</v>
      </c>
      <c r="Q8" s="158"/>
      <c r="R8" s="158"/>
      <c r="S8" s="158"/>
      <c r="T8" s="158" t="s">
        <v>24</v>
      </c>
      <c r="U8" s="158" t="s">
        <v>25</v>
      </c>
      <c r="V8" s="158" t="s">
        <v>26</v>
      </c>
      <c r="W8" s="158"/>
      <c r="X8" s="158"/>
      <c r="Y8" s="158"/>
      <c r="Z8" s="158"/>
      <c r="AA8" s="158"/>
      <c r="AB8" s="158"/>
      <c r="AC8" s="158"/>
      <c r="AD8" s="158"/>
      <c r="AE8" s="158"/>
      <c r="AF8" s="158"/>
      <c r="AG8" s="158"/>
      <c r="AH8" s="158"/>
    </row>
    <row r="9" spans="2:34" ht="29">
      <c r="B9" s="160"/>
      <c r="C9" s="158"/>
      <c r="D9" s="158"/>
      <c r="E9" s="158"/>
      <c r="F9" s="158"/>
      <c r="G9" s="158"/>
      <c r="H9" s="158"/>
      <c r="I9" s="158"/>
      <c r="J9" s="158"/>
      <c r="K9" s="13"/>
      <c r="L9" s="13" t="s">
        <v>27</v>
      </c>
      <c r="M9" s="13" t="s">
        <v>28</v>
      </c>
      <c r="N9" s="13" t="s">
        <v>29</v>
      </c>
      <c r="O9" s="158"/>
      <c r="P9" s="13" t="s">
        <v>30</v>
      </c>
      <c r="Q9" s="13" t="s">
        <v>31</v>
      </c>
      <c r="R9" s="13" t="s">
        <v>32</v>
      </c>
      <c r="S9" s="13" t="s">
        <v>33</v>
      </c>
      <c r="T9" s="158"/>
      <c r="U9" s="158"/>
      <c r="V9" s="158"/>
      <c r="W9" s="158"/>
      <c r="X9" s="158"/>
      <c r="Y9" s="158"/>
      <c r="Z9" s="13" t="s">
        <v>30</v>
      </c>
      <c r="AA9" s="13" t="s">
        <v>31</v>
      </c>
      <c r="AB9" s="13" t="s">
        <v>32</v>
      </c>
      <c r="AC9" s="13" t="s">
        <v>33</v>
      </c>
      <c r="AD9" s="158"/>
      <c r="AE9" s="158"/>
      <c r="AF9" s="158"/>
      <c r="AG9" s="158"/>
      <c r="AH9" s="158"/>
    </row>
    <row r="10" spans="2:34" ht="21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1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1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1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1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1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1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1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1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5">
      <c r="B20" s="106" t="str">
        <f ca="1">"PROVISIONING INDIBIZ TR3 JBN HARIAN "&amp;TEXT(TODAY(),"YYYY-MM-DD ")&amp;TEXT(NOW(),"HH:MM")&amp;" WIB"</f>
        <v>PROVISIONING INDIBIZ TR3 JBN HARIAN 2026-10-02 14:18 WIB</v>
      </c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5">
      <c r="B21" s="144" t="s">
        <v>66</v>
      </c>
      <c r="C21" s="144"/>
      <c r="D21" s="144"/>
      <c r="E21" s="144"/>
      <c r="F21" s="144"/>
      <c r="G21" s="144"/>
      <c r="H21" s="144"/>
      <c r="I21" s="144"/>
      <c r="J21" s="144"/>
      <c r="K21" s="144"/>
      <c r="L21" s="144"/>
      <c r="M21" s="144"/>
      <c r="N21" s="144"/>
      <c r="O21" s="144"/>
      <c r="P21" s="144"/>
      <c r="Q21" s="144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5" customHeight="1">
      <c r="B23" s="166" t="s">
        <v>1</v>
      </c>
      <c r="C23" s="167" t="s">
        <v>3</v>
      </c>
      <c r="D23" s="167" t="s">
        <v>67</v>
      </c>
      <c r="E23" s="174" t="s">
        <v>7</v>
      </c>
      <c r="F23" s="159" t="s">
        <v>8</v>
      </c>
      <c r="G23" s="159" t="s">
        <v>9</v>
      </c>
      <c r="H23" s="170" t="s">
        <v>10</v>
      </c>
      <c r="I23" s="171"/>
      <c r="J23" s="171"/>
      <c r="K23" s="172"/>
      <c r="L23" s="159" t="s">
        <v>68</v>
      </c>
      <c r="M23" s="173" t="s">
        <v>11</v>
      </c>
      <c r="N23" s="174" t="s">
        <v>12</v>
      </c>
      <c r="O23" s="174"/>
      <c r="P23" s="174" t="s">
        <v>13</v>
      </c>
      <c r="Q23" s="174" t="s">
        <v>14</v>
      </c>
    </row>
    <row r="24" spans="2:34" ht="15.65" customHeight="1">
      <c r="B24" s="166"/>
      <c r="C24" s="167"/>
      <c r="D24" s="167"/>
      <c r="E24" s="174"/>
      <c r="F24" s="159"/>
      <c r="G24" s="159"/>
      <c r="H24" s="159" t="s">
        <v>2</v>
      </c>
      <c r="I24" s="159" t="s">
        <v>18</v>
      </c>
      <c r="J24" s="159" t="s">
        <v>20</v>
      </c>
      <c r="K24" s="159" t="s">
        <v>22</v>
      </c>
      <c r="L24" s="159"/>
      <c r="M24" s="173"/>
      <c r="N24" s="174"/>
      <c r="O24" s="174"/>
      <c r="P24" s="174"/>
      <c r="Q24" s="174"/>
    </row>
    <row r="25" spans="2:34" ht="14.5" customHeight="1">
      <c r="B25" s="166"/>
      <c r="C25" s="167"/>
      <c r="D25" s="167"/>
      <c r="E25" s="174"/>
      <c r="F25" s="159"/>
      <c r="G25" s="159"/>
      <c r="H25" s="159"/>
      <c r="I25" s="159"/>
      <c r="J25" s="159"/>
      <c r="K25" s="159"/>
      <c r="L25" s="159"/>
      <c r="M25" s="173"/>
      <c r="N25" s="174"/>
      <c r="O25" s="174"/>
      <c r="P25" s="174"/>
      <c r="Q25" s="174"/>
    </row>
    <row r="26" spans="2:34" ht="29.15" customHeight="1">
      <c r="B26" s="166"/>
      <c r="C26" s="167"/>
      <c r="D26" s="167"/>
      <c r="E26" s="174"/>
      <c r="F26" s="159"/>
      <c r="G26" s="159"/>
      <c r="H26" s="159"/>
      <c r="I26" s="159"/>
      <c r="J26" s="159"/>
      <c r="K26" s="159"/>
      <c r="L26" s="159"/>
      <c r="M26" s="173"/>
      <c r="N26" s="43" t="s">
        <v>30</v>
      </c>
      <c r="O26" s="43" t="s">
        <v>69</v>
      </c>
      <c r="P26" s="174"/>
      <c r="Q26" s="174"/>
    </row>
    <row r="27" spans="2:34" ht="15.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5">
      <c r="B34" s="47" t="s">
        <v>71</v>
      </c>
      <c r="C34" s="175" t="s">
        <v>72</v>
      </c>
      <c r="D34" s="176"/>
    </row>
    <row r="35" spans="2:18" ht="15.5">
      <c r="B35" s="48"/>
      <c r="C35" s="177" t="s">
        <v>73</v>
      </c>
      <c r="D35" s="177"/>
    </row>
    <row r="36" spans="2:18">
      <c r="B36" s="49"/>
      <c r="C36" s="177" t="s">
        <v>74</v>
      </c>
      <c r="D36" s="177"/>
    </row>
    <row r="37" spans="2:18">
      <c r="B37" s="50"/>
      <c r="C37" s="177" t="s">
        <v>75</v>
      </c>
      <c r="D37" s="177"/>
    </row>
    <row r="38" spans="2:18">
      <c r="B38" s="51"/>
      <c r="C38" s="168" t="s">
        <v>76</v>
      </c>
      <c r="D38" s="169"/>
    </row>
    <row r="39" spans="2:18">
      <c r="C39" s="1"/>
      <c r="D39" s="1"/>
    </row>
    <row r="40" spans="2:18" ht="18.5">
      <c r="B40" s="106" t="str">
        <f ca="1">"PROVISIONING INDIBIZ TR3 JBN BY TELDA MTD "&amp;TEXT(TODAY(),"YYYY-MM-DD ")&amp;TEXT(NOW(),"HH:MM")&amp;" WIB"</f>
        <v>PROVISIONING INDIBIZ TR3 JBN BY TELDA MTD 2026-10-02 14:18 WIB</v>
      </c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106"/>
      <c r="N40" s="106"/>
      <c r="O40" s="106"/>
      <c r="P40" s="106"/>
      <c r="Q40" s="106"/>
    </row>
    <row r="41" spans="2:18" ht="15.5">
      <c r="B41" s="144" t="s">
        <v>77</v>
      </c>
      <c r="C41" s="144"/>
      <c r="D41" s="144"/>
      <c r="E41" s="144"/>
      <c r="F41" s="144"/>
      <c r="G41" s="144"/>
      <c r="H41" s="144"/>
      <c r="I41" s="144"/>
      <c r="J41" s="144"/>
      <c r="K41" s="144"/>
      <c r="L41" s="144"/>
      <c r="M41" s="144"/>
      <c r="N41" s="144"/>
      <c r="O41" s="144"/>
      <c r="P41" s="144"/>
      <c r="Q41" s="144"/>
    </row>
    <row r="43" spans="2:18" ht="15.65" customHeight="1">
      <c r="B43" s="166" t="s">
        <v>1</v>
      </c>
      <c r="C43" s="166" t="s">
        <v>78</v>
      </c>
      <c r="D43" s="167" t="s">
        <v>3</v>
      </c>
      <c r="E43" s="167" t="s">
        <v>67</v>
      </c>
      <c r="F43" s="174" t="s">
        <v>7</v>
      </c>
      <c r="G43" s="159" t="s">
        <v>8</v>
      </c>
      <c r="H43" s="159" t="s">
        <v>9</v>
      </c>
      <c r="I43" s="170" t="s">
        <v>10</v>
      </c>
      <c r="J43" s="171"/>
      <c r="K43" s="171"/>
      <c r="L43" s="172"/>
      <c r="M43" s="159" t="s">
        <v>68</v>
      </c>
      <c r="N43" s="173" t="s">
        <v>11</v>
      </c>
      <c r="O43" s="174" t="s">
        <v>12</v>
      </c>
      <c r="P43" s="174"/>
      <c r="Q43" s="174" t="s">
        <v>13</v>
      </c>
      <c r="R43" s="174" t="s">
        <v>14</v>
      </c>
    </row>
    <row r="44" spans="2:18" ht="14.5" customHeight="1">
      <c r="B44" s="166"/>
      <c r="C44" s="166"/>
      <c r="D44" s="167"/>
      <c r="E44" s="167"/>
      <c r="F44" s="174"/>
      <c r="G44" s="159"/>
      <c r="H44" s="159"/>
      <c r="I44" s="159" t="s">
        <v>2</v>
      </c>
      <c r="J44" s="159" t="s">
        <v>18</v>
      </c>
      <c r="K44" s="159" t="s">
        <v>20</v>
      </c>
      <c r="L44" s="159" t="s">
        <v>22</v>
      </c>
      <c r="M44" s="159"/>
      <c r="N44" s="173"/>
      <c r="O44" s="174"/>
      <c r="P44" s="174"/>
      <c r="Q44" s="174"/>
      <c r="R44" s="174"/>
    </row>
    <row r="45" spans="2:18" ht="14.5" customHeight="1">
      <c r="B45" s="166"/>
      <c r="C45" s="166"/>
      <c r="D45" s="167"/>
      <c r="E45" s="167"/>
      <c r="F45" s="174"/>
      <c r="G45" s="159"/>
      <c r="H45" s="159"/>
      <c r="I45" s="159"/>
      <c r="J45" s="159"/>
      <c r="K45" s="159"/>
      <c r="L45" s="159"/>
      <c r="M45" s="159"/>
      <c r="N45" s="173"/>
      <c r="O45" s="174"/>
      <c r="P45" s="174"/>
      <c r="Q45" s="174"/>
      <c r="R45" s="174"/>
    </row>
    <row r="46" spans="2:18" ht="46.5">
      <c r="B46" s="166"/>
      <c r="C46" s="166"/>
      <c r="D46" s="167"/>
      <c r="E46" s="167"/>
      <c r="F46" s="174"/>
      <c r="G46" s="159"/>
      <c r="H46" s="159"/>
      <c r="I46" s="159"/>
      <c r="J46" s="159"/>
      <c r="K46" s="159"/>
      <c r="L46" s="159"/>
      <c r="M46" s="159"/>
      <c r="N46" s="173"/>
      <c r="O46" s="43" t="s">
        <v>30</v>
      </c>
      <c r="P46" s="43" t="s">
        <v>69</v>
      </c>
      <c r="Q46" s="174"/>
      <c r="R46" s="174"/>
    </row>
    <row r="47" spans="2:18">
      <c r="B47" s="163" t="s">
        <v>34</v>
      </c>
      <c r="C47" s="52" t="s">
        <v>79</v>
      </c>
      <c r="D47" s="53">
        <f>'LOOKUP  telda'!E7</f>
        <v>0</v>
      </c>
      <c r="E47" s="53">
        <f>'LOOKUP  telda'!F7+'LOOKUP  telda'!G7+'LOOKUP  telda'!H7</f>
        <v>0</v>
      </c>
      <c r="F47" s="53">
        <f>'LOOKUP  telda'!I7</f>
        <v>0</v>
      </c>
      <c r="G47" s="53">
        <f>'LOOKUP  telda'!J7</f>
        <v>0</v>
      </c>
      <c r="H47" s="53">
        <f>'LOOKUP  telda'!K7</f>
        <v>0</v>
      </c>
      <c r="I47" s="53">
        <f>'LOOKUP  telda'!L7</f>
        <v>0</v>
      </c>
      <c r="J47" s="53">
        <f>'LOOKUP  telda'!P7</f>
        <v>0</v>
      </c>
      <c r="K47" s="53">
        <f>'LOOKUP  telda'!X7</f>
        <v>0</v>
      </c>
      <c r="L47" s="53">
        <f>'LOOKUP  telda'!Y7</f>
        <v>0</v>
      </c>
      <c r="M47" s="53">
        <f>SUM('DATA MTD'!I47:L47)</f>
        <v>0</v>
      </c>
      <c r="N47" s="53">
        <f>'LOOKUP  telda'!Z7</f>
        <v>0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0</v>
      </c>
    </row>
    <row r="48" spans="2:18">
      <c r="B48" s="164"/>
      <c r="C48" s="52" t="s">
        <v>80</v>
      </c>
      <c r="D48" s="53">
        <f>'LOOKUP  telda'!E8</f>
        <v>0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0</v>
      </c>
      <c r="M48" s="53">
        <f>SUM('DATA MTD'!I48:L48)</f>
        <v>0</v>
      </c>
      <c r="N48" s="53">
        <f>'LOOKUP  telda'!Z8</f>
        <v>0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64"/>
      <c r="C49" s="52" t="s">
        <v>81</v>
      </c>
      <c r="D49" s="53">
        <f>'LOOKUP  telda'!E9</f>
        <v>0</v>
      </c>
      <c r="E49" s="53">
        <f>'LOOKUP  telda'!F9+'LOOKUP  telda'!G9+'LOOKUP  telda'!H9</f>
        <v>0</v>
      </c>
      <c r="F49" s="53">
        <f>'LOOKUP  telda'!I9</f>
        <v>0</v>
      </c>
      <c r="G49" s="53">
        <f>'LOOKUP  telda'!J9</f>
        <v>0</v>
      </c>
      <c r="H49" s="53">
        <f>'LOOKUP  telda'!K9</f>
        <v>0</v>
      </c>
      <c r="I49" s="53">
        <f>'LOOKUP  telda'!L9</f>
        <v>0</v>
      </c>
      <c r="J49" s="53">
        <f>'LOOKUP  telda'!P9</f>
        <v>0</v>
      </c>
      <c r="K49" s="53">
        <f>'LOOKUP  telda'!X9</f>
        <v>0</v>
      </c>
      <c r="L49" s="53">
        <f>'LOOKUP  telda'!Y9</f>
        <v>0</v>
      </c>
      <c r="M49" s="53">
        <f>SUM('DATA MTD'!I49:L49)</f>
        <v>0</v>
      </c>
      <c r="N49" s="53">
        <f>'LOOKUP  telda'!Z9</f>
        <v>0</v>
      </c>
      <c r="O49" s="53">
        <f>'LOOKUP  telda'!AA9</f>
        <v>0</v>
      </c>
      <c r="P49" s="53">
        <f>'LOOKUP  telda'!AE9-'LOOKUP  telda'!AA9</f>
        <v>0</v>
      </c>
      <c r="Q49" s="53">
        <f t="shared" si="4"/>
        <v>0</v>
      </c>
      <c r="R49" s="53">
        <f>'LOOKUP  telda'!AF9</f>
        <v>0</v>
      </c>
    </row>
    <row r="50" spans="2:18">
      <c r="B50" s="164"/>
      <c r="C50" s="52" t="s">
        <v>82</v>
      </c>
      <c r="D50" s="53">
        <f>'LOOKUP  telda'!E10</f>
        <v>0</v>
      </c>
      <c r="E50" s="53">
        <f>'LOOKUP  telda'!F10+'LOOKUP  telda'!G10+'LOOKUP  telda'!H10</f>
        <v>0</v>
      </c>
      <c r="F50" s="53">
        <f>'LOOKUP  telda'!I10</f>
        <v>0</v>
      </c>
      <c r="G50" s="53">
        <f>'LOOKUP  telda'!J10</f>
        <v>0</v>
      </c>
      <c r="H50" s="53">
        <f>'LOOKUP  telda'!K10</f>
        <v>0</v>
      </c>
      <c r="I50" s="53">
        <f>'LOOKUP  telda'!L10</f>
        <v>0</v>
      </c>
      <c r="J50" s="53">
        <f>'LOOKUP  telda'!P10</f>
        <v>0</v>
      </c>
      <c r="K50" s="53">
        <f>'LOOKUP  telda'!X10</f>
        <v>0</v>
      </c>
      <c r="L50" s="53">
        <f>'LOOKUP  telda'!Y10</f>
        <v>0</v>
      </c>
      <c r="M50" s="53">
        <f>SUM('DATA MTD'!I50:L50)</f>
        <v>0</v>
      </c>
      <c r="N50" s="53">
        <f>'LOOKUP  telda'!Z10</f>
        <v>0</v>
      </c>
      <c r="O50" s="53">
        <f>'LOOKUP  telda'!AA10</f>
        <v>0</v>
      </c>
      <c r="P50" s="53">
        <f>'LOOKUP  telda'!AE10-'LOOKUP  telda'!AA10</f>
        <v>0</v>
      </c>
      <c r="Q50" s="53">
        <f t="shared" si="4"/>
        <v>0</v>
      </c>
      <c r="R50" s="53">
        <f>'LOOKUP  telda'!AF10</f>
        <v>0</v>
      </c>
    </row>
    <row r="51" spans="2:18">
      <c r="B51" s="164"/>
      <c r="C51" s="52" t="s">
        <v>83</v>
      </c>
      <c r="D51" s="53">
        <f>'LOOKUP  telda'!E11</f>
        <v>0</v>
      </c>
      <c r="E51" s="53">
        <f>'LOOKUP  telda'!F11+'LOOKUP  telda'!G11+'LOOKUP  telda'!H11</f>
        <v>0</v>
      </c>
      <c r="F51" s="53">
        <f>'LOOKUP  telda'!I11</f>
        <v>0</v>
      </c>
      <c r="G51" s="53">
        <f>'LOOKUP  telda'!J11</f>
        <v>0</v>
      </c>
      <c r="H51" s="53">
        <f>'LOOKUP  telda'!K11</f>
        <v>0</v>
      </c>
      <c r="I51" s="53">
        <f>'LOOKUP  telda'!L11</f>
        <v>0</v>
      </c>
      <c r="J51" s="53">
        <f>'LOOKUP  telda'!P11</f>
        <v>0</v>
      </c>
      <c r="K51" s="53">
        <f>'LOOKUP  telda'!X11</f>
        <v>0</v>
      </c>
      <c r="L51" s="53">
        <f>'LOOKUP  telda'!Y11</f>
        <v>0</v>
      </c>
      <c r="M51" s="53">
        <f>SUM('DATA MTD'!I51:L51)</f>
        <v>0</v>
      </c>
      <c r="N51" s="53">
        <f>'LOOKUP  telda'!Z11</f>
        <v>0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0</v>
      </c>
    </row>
    <row r="52" spans="2:18">
      <c r="B52" s="164"/>
      <c r="C52" s="52" t="s">
        <v>84</v>
      </c>
      <c r="D52" s="53">
        <f>'LOOKUP  telda'!E12</f>
        <v>0</v>
      </c>
      <c r="E52" s="53">
        <f>'LOOKUP  telda'!F12+'LOOKUP  telda'!G12+'LOOKUP  telda'!H12</f>
        <v>0</v>
      </c>
      <c r="F52" s="53">
        <f>'LOOKUP  telda'!I12</f>
        <v>0</v>
      </c>
      <c r="G52" s="53">
        <f>'LOOKUP  telda'!J12</f>
        <v>0</v>
      </c>
      <c r="H52" s="53">
        <f>'LOOKUP  telda'!K12</f>
        <v>0</v>
      </c>
      <c r="I52" s="53">
        <f>'LOOKUP  telda'!L12</f>
        <v>0</v>
      </c>
      <c r="J52" s="53">
        <f>'LOOKUP  telda'!P12</f>
        <v>0</v>
      </c>
      <c r="K52" s="53">
        <f>'LOOKUP  telda'!X12</f>
        <v>0</v>
      </c>
      <c r="L52" s="53">
        <f>'LOOKUP  telda'!Y12</f>
        <v>0</v>
      </c>
      <c r="M52" s="53">
        <f>SUM('DATA MTD'!I52:L52)</f>
        <v>0</v>
      </c>
      <c r="N52" s="53">
        <f>'LOOKUP  telda'!Z12</f>
        <v>0</v>
      </c>
      <c r="O52" s="53">
        <f>'LOOKUP  telda'!AA12</f>
        <v>0</v>
      </c>
      <c r="P52" s="53">
        <f>'LOOKUP  telda'!AE12-'LOOKUP  telda'!AA12</f>
        <v>0</v>
      </c>
      <c r="Q52" s="53">
        <f t="shared" si="4"/>
        <v>0</v>
      </c>
      <c r="R52" s="53">
        <f>'LOOKUP  telda'!AF12</f>
        <v>0</v>
      </c>
    </row>
    <row r="53" spans="2:18">
      <c r="B53" s="164"/>
      <c r="C53" s="52" t="s">
        <v>85</v>
      </c>
      <c r="D53" s="53">
        <f>'LOOKUP  telda'!E13</f>
        <v>0</v>
      </c>
      <c r="E53" s="53">
        <f>'LOOKUP  telda'!F13+'LOOKUP  telda'!G13+'LOOKUP  telda'!H13</f>
        <v>0</v>
      </c>
      <c r="F53" s="53">
        <f>'LOOKUP  telda'!I13</f>
        <v>0</v>
      </c>
      <c r="G53" s="53">
        <f>'LOOKUP  telda'!J13</f>
        <v>0</v>
      </c>
      <c r="H53" s="53">
        <f>'LOOKUP  telda'!K13</f>
        <v>0</v>
      </c>
      <c r="I53" s="53">
        <f>'LOOKUP  telda'!L13</f>
        <v>0</v>
      </c>
      <c r="J53" s="53">
        <f>'LOOKUP  telda'!P13</f>
        <v>0</v>
      </c>
      <c r="K53" s="53">
        <f>'LOOKUP  telda'!X13</f>
        <v>0</v>
      </c>
      <c r="L53" s="53">
        <f>'LOOKUP  telda'!Y13</f>
        <v>0</v>
      </c>
      <c r="M53" s="53">
        <f>SUM('DATA MTD'!I53:L53)</f>
        <v>0</v>
      </c>
      <c r="N53" s="53">
        <f>'LOOKUP  telda'!Z13</f>
        <v>0</v>
      </c>
      <c r="O53" s="53">
        <f>'LOOKUP  telda'!AA13</f>
        <v>0</v>
      </c>
      <c r="P53" s="53">
        <f>'LOOKUP  telda'!AE13-'LOOKUP  telda'!AA13</f>
        <v>0</v>
      </c>
      <c r="Q53" s="53">
        <f t="shared" si="4"/>
        <v>0</v>
      </c>
      <c r="R53" s="53">
        <f>'LOOKUP  telda'!AF13</f>
        <v>0</v>
      </c>
    </row>
    <row r="54" spans="2:18">
      <c r="B54" s="165"/>
      <c r="C54" s="52" t="s">
        <v>86</v>
      </c>
      <c r="D54" s="53">
        <f>'LOOKUP  telda'!E14</f>
        <v>0</v>
      </c>
      <c r="E54" s="53">
        <f>'LOOKUP  telda'!F14+'LOOKUP  telda'!G14+'LOOKUP  telda'!H14</f>
        <v>0</v>
      </c>
      <c r="F54" s="53">
        <f>'LOOKUP  telda'!I14</f>
        <v>0</v>
      </c>
      <c r="G54" s="53">
        <f>'LOOKUP  telda'!J14</f>
        <v>0</v>
      </c>
      <c r="H54" s="53">
        <f>'LOOKUP  telda'!K14</f>
        <v>0</v>
      </c>
      <c r="I54" s="53">
        <f>'LOOKUP  telda'!L14</f>
        <v>0</v>
      </c>
      <c r="J54" s="53">
        <f>'LOOKUP  telda'!P14</f>
        <v>0</v>
      </c>
      <c r="K54" s="53">
        <f>'LOOKUP  telda'!X14</f>
        <v>0</v>
      </c>
      <c r="L54" s="53">
        <f>'LOOKUP  telda'!Y14</f>
        <v>0</v>
      </c>
      <c r="M54" s="53">
        <f>SUM('DATA MTD'!I54:L54)</f>
        <v>0</v>
      </c>
      <c r="N54" s="53">
        <f>'LOOKUP  telda'!Z14</f>
        <v>0</v>
      </c>
      <c r="O54" s="53">
        <f>'LOOKUP  telda'!AA14</f>
        <v>0</v>
      </c>
      <c r="P54" s="53">
        <f>'LOOKUP  telda'!AE14-'LOOKUP  telda'!AA14</f>
        <v>0</v>
      </c>
      <c r="Q54" s="53">
        <f t="shared" si="4"/>
        <v>0</v>
      </c>
      <c r="R54" s="53">
        <f>'LOOKUP  telda'!AF14</f>
        <v>0</v>
      </c>
    </row>
    <row r="55" spans="2:18">
      <c r="B55" s="163" t="s">
        <v>38</v>
      </c>
      <c r="C55" s="52" t="s">
        <v>87</v>
      </c>
      <c r="D55" s="53" t="e">
        <f>'LOOKUP  telda'!#REF!</f>
        <v>#REF!</v>
      </c>
      <c r="E55" s="53" t="e">
        <f>'LOOKUP  telda'!#REF!+'LOOKUP  telda'!#REF!+'LOOKUP  telda'!#REF!</f>
        <v>#REF!</v>
      </c>
      <c r="F55" s="53" t="e">
        <f>'LOOKUP  telda'!#REF!</f>
        <v>#REF!</v>
      </c>
      <c r="G55" s="53" t="e">
        <f>'LOOKUP  telda'!#REF!</f>
        <v>#REF!</v>
      </c>
      <c r="H55" s="53" t="e">
        <f>'LOOKUP  telda'!#REF!</f>
        <v>#REF!</v>
      </c>
      <c r="I55" s="53" t="e">
        <f>'LOOKUP  telda'!#REF!</f>
        <v>#REF!</v>
      </c>
      <c r="J55" s="53" t="e">
        <f>'LOOKUP  telda'!#REF!</f>
        <v>#REF!</v>
      </c>
      <c r="K55" s="53" t="e">
        <f>'LOOKUP  telda'!#REF!</f>
        <v>#REF!</v>
      </c>
      <c r="L55" s="53" t="e">
        <f>'LOOKUP  telda'!#REF!</f>
        <v>#REF!</v>
      </c>
      <c r="M55" s="53" t="e">
        <f>SUM('DATA MTD'!I55:L55)</f>
        <v>#REF!</v>
      </c>
      <c r="N55" s="53" t="e">
        <f>'LOOKUP  telda'!#REF!</f>
        <v>#REF!</v>
      </c>
      <c r="O55" s="53" t="e">
        <f>'LOOKUP  telda'!#REF!</f>
        <v>#REF!</v>
      </c>
      <c r="P55" s="53" t="e">
        <f>'LOOKUP  telda'!#REF!-'LOOKUP  telda'!#REF!</f>
        <v>#REF!</v>
      </c>
      <c r="Q55" s="53" t="e">
        <f t="shared" si="4"/>
        <v>#REF!</v>
      </c>
      <c r="R55" s="53" t="e">
        <f>'LOOKUP  telda'!#REF!</f>
        <v>#REF!</v>
      </c>
    </row>
    <row r="56" spans="2:18">
      <c r="B56" s="164"/>
      <c r="C56" s="52" t="s">
        <v>88</v>
      </c>
      <c r="D56" s="53">
        <f>'LOOKUP  telda'!E15</f>
        <v>0</v>
      </c>
      <c r="E56" s="53">
        <f>'LOOKUP  telda'!F15+'LOOKUP  telda'!G15+'LOOKUP  telda'!H15</f>
        <v>0</v>
      </c>
      <c r="F56" s="53">
        <f>'LOOKUP  telda'!I15</f>
        <v>0</v>
      </c>
      <c r="G56" s="53">
        <f>'LOOKUP  telda'!J15</f>
        <v>0</v>
      </c>
      <c r="H56" s="53">
        <f>'LOOKUP  telda'!K15</f>
        <v>0</v>
      </c>
      <c r="I56" s="53">
        <f>'LOOKUP  telda'!L15</f>
        <v>0</v>
      </c>
      <c r="J56" s="53">
        <f>'LOOKUP  telda'!P15</f>
        <v>0</v>
      </c>
      <c r="K56" s="53">
        <f>'LOOKUP  telda'!X15</f>
        <v>0</v>
      </c>
      <c r="L56" s="53">
        <f>'LOOKUP  telda'!Y15</f>
        <v>0</v>
      </c>
      <c r="M56" s="53">
        <f>SUM('DATA MTD'!I56:L56)</f>
        <v>0</v>
      </c>
      <c r="N56" s="53">
        <f>'LOOKUP  telda'!Z15</f>
        <v>0</v>
      </c>
      <c r="O56" s="53">
        <f>'LOOKUP  telda'!AA15</f>
        <v>0</v>
      </c>
      <c r="P56" s="53">
        <f>'LOOKUP  telda'!AE15-'LOOKUP  telda'!AA15</f>
        <v>0</v>
      </c>
      <c r="Q56" s="53">
        <f t="shared" si="4"/>
        <v>0</v>
      </c>
      <c r="R56" s="53">
        <f>'LOOKUP  telda'!AF15</f>
        <v>0</v>
      </c>
    </row>
    <row r="57" spans="2:18">
      <c r="B57" s="164"/>
      <c r="C57" s="52" t="s">
        <v>89</v>
      </c>
      <c r="D57" s="53">
        <f>'LOOKUP  telda'!E16</f>
        <v>0</v>
      </c>
      <c r="E57" s="53">
        <f>'LOOKUP  telda'!F16+'LOOKUP  telda'!G16+'LOOKUP  telda'!H16</f>
        <v>0</v>
      </c>
      <c r="F57" s="53">
        <f>'LOOKUP  telda'!I16</f>
        <v>0</v>
      </c>
      <c r="G57" s="53">
        <f>'LOOKUP  telda'!J16</f>
        <v>0</v>
      </c>
      <c r="H57" s="53">
        <f>'LOOKUP  telda'!K16</f>
        <v>0</v>
      </c>
      <c r="I57" s="53">
        <f>'LOOKUP  telda'!L16</f>
        <v>0</v>
      </c>
      <c r="J57" s="53">
        <f>'LOOKUP  telda'!P16</f>
        <v>0</v>
      </c>
      <c r="K57" s="53">
        <f>'LOOKUP  telda'!X16</f>
        <v>0</v>
      </c>
      <c r="L57" s="53">
        <f>'LOOKUP  telda'!Y16</f>
        <v>0</v>
      </c>
      <c r="M57" s="53">
        <f>SUM('DATA MTD'!I57:L57)</f>
        <v>0</v>
      </c>
      <c r="N57" s="53">
        <f>'LOOKUP  telda'!Z16</f>
        <v>0</v>
      </c>
      <c r="O57" s="53">
        <f>'LOOKUP  telda'!AA16</f>
        <v>0</v>
      </c>
      <c r="P57" s="53">
        <f>'LOOKUP  telda'!AE16-'LOOKUP  telda'!AA16</f>
        <v>0</v>
      </c>
      <c r="Q57" s="53">
        <f t="shared" si="4"/>
        <v>0</v>
      </c>
      <c r="R57" s="53">
        <f>'LOOKUP  telda'!AF16</f>
        <v>0</v>
      </c>
    </row>
    <row r="58" spans="2:18">
      <c r="B58" s="164"/>
      <c r="C58" s="52" t="s">
        <v>90</v>
      </c>
      <c r="D58" s="53">
        <f>'LOOKUP  telda'!E17</f>
        <v>0</v>
      </c>
      <c r="E58" s="53">
        <f>'LOOKUP  telda'!F17+'LOOKUP  telda'!G17+'LOOKUP  telda'!H17</f>
        <v>0</v>
      </c>
      <c r="F58" s="53">
        <f>'LOOKUP  telda'!I17</f>
        <v>0</v>
      </c>
      <c r="G58" s="53">
        <f>'LOOKUP  telda'!J17</f>
        <v>0</v>
      </c>
      <c r="H58" s="53">
        <f>'LOOKUP  telda'!K17</f>
        <v>0</v>
      </c>
      <c r="I58" s="53">
        <f>'LOOKUP  telda'!L17</f>
        <v>0</v>
      </c>
      <c r="J58" s="53">
        <f>'LOOKUP  telda'!P17</f>
        <v>0</v>
      </c>
      <c r="K58" s="53">
        <f>'LOOKUP  telda'!X17</f>
        <v>0</v>
      </c>
      <c r="L58" s="53">
        <f>'LOOKUP  telda'!Y17</f>
        <v>0</v>
      </c>
      <c r="M58" s="53">
        <f>SUM('DATA MTD'!I58:L58)</f>
        <v>0</v>
      </c>
      <c r="N58" s="53">
        <f>'LOOKUP  telda'!Z17</f>
        <v>0</v>
      </c>
      <c r="O58" s="53">
        <f>'LOOKUP  telda'!AA17</f>
        <v>0</v>
      </c>
      <c r="P58" s="53">
        <f>'LOOKUP  telda'!AE17-'LOOKUP  telda'!AA17</f>
        <v>0</v>
      </c>
      <c r="Q58" s="53">
        <f t="shared" si="4"/>
        <v>0</v>
      </c>
      <c r="R58" s="53">
        <f>'LOOKUP  telda'!AF17</f>
        <v>0</v>
      </c>
    </row>
    <row r="59" spans="2:18">
      <c r="B59" s="164"/>
      <c r="C59" s="52" t="s">
        <v>91</v>
      </c>
      <c r="D59" s="53">
        <f>'LOOKUP  telda'!E18</f>
        <v>0</v>
      </c>
      <c r="E59" s="53">
        <f>'LOOKUP  telda'!F18+'LOOKUP  telda'!G18+'LOOKUP  telda'!H18</f>
        <v>0</v>
      </c>
      <c r="F59" s="53">
        <f>'LOOKUP  telda'!I18</f>
        <v>0</v>
      </c>
      <c r="G59" s="53">
        <f>'LOOKUP  telda'!J18</f>
        <v>0</v>
      </c>
      <c r="H59" s="53">
        <f>'LOOKUP  telda'!K18</f>
        <v>0</v>
      </c>
      <c r="I59" s="53">
        <f>'LOOKUP  telda'!L18</f>
        <v>0</v>
      </c>
      <c r="J59" s="53">
        <f>'LOOKUP  telda'!P18</f>
        <v>0</v>
      </c>
      <c r="K59" s="53">
        <f>'LOOKUP  telda'!X18</f>
        <v>0</v>
      </c>
      <c r="L59" s="53">
        <f>'LOOKUP  telda'!Y18</f>
        <v>0</v>
      </c>
      <c r="M59" s="53">
        <f>SUM('DATA MTD'!I59:L59)</f>
        <v>0</v>
      </c>
      <c r="N59" s="53">
        <f>'LOOKUP  telda'!Z18</f>
        <v>0</v>
      </c>
      <c r="O59" s="53">
        <f>'LOOKUP  telda'!AA18</f>
        <v>0</v>
      </c>
      <c r="P59" s="53">
        <f>'LOOKUP  telda'!AE18-'LOOKUP  telda'!AA18</f>
        <v>0</v>
      </c>
      <c r="Q59" s="53">
        <f t="shared" si="4"/>
        <v>0</v>
      </c>
      <c r="R59" s="53">
        <f>'LOOKUP  telda'!AF18</f>
        <v>0</v>
      </c>
    </row>
    <row r="60" spans="2:18">
      <c r="B60" s="164"/>
      <c r="C60" s="52" t="s">
        <v>92</v>
      </c>
      <c r="D60" s="53">
        <f>'LOOKUP  telda'!E19</f>
        <v>0</v>
      </c>
      <c r="E60" s="53">
        <f>'LOOKUP  telda'!F19+'LOOKUP  telda'!G19+'LOOKUP  telda'!H19</f>
        <v>0</v>
      </c>
      <c r="F60" s="53">
        <f>'LOOKUP  telda'!I19</f>
        <v>0</v>
      </c>
      <c r="G60" s="53">
        <f>'LOOKUP  telda'!J19</f>
        <v>0</v>
      </c>
      <c r="H60" s="53">
        <f>'LOOKUP  telda'!K19</f>
        <v>0</v>
      </c>
      <c r="I60" s="53">
        <f>'LOOKUP  telda'!L19</f>
        <v>0</v>
      </c>
      <c r="J60" s="53">
        <f>'LOOKUP  telda'!P19</f>
        <v>0</v>
      </c>
      <c r="K60" s="53">
        <f>'LOOKUP  telda'!X19</f>
        <v>0</v>
      </c>
      <c r="L60" s="53">
        <f>'LOOKUP  telda'!Y19</f>
        <v>0</v>
      </c>
      <c r="M60" s="53">
        <f>SUM('DATA MTD'!I60:L60)</f>
        <v>0</v>
      </c>
      <c r="N60" s="53">
        <f>'LOOKUP  telda'!Z19</f>
        <v>0</v>
      </c>
      <c r="O60" s="53">
        <f>'LOOKUP  telda'!AA19</f>
        <v>0</v>
      </c>
      <c r="P60" s="53">
        <f>'LOOKUP  telda'!AE19-'LOOKUP  telda'!AA19</f>
        <v>0</v>
      </c>
      <c r="Q60" s="53">
        <f t="shared" si="4"/>
        <v>0</v>
      </c>
      <c r="R60" s="53">
        <f>'LOOKUP  telda'!AF19</f>
        <v>0</v>
      </c>
    </row>
    <row r="61" spans="2:18">
      <c r="B61" s="164"/>
      <c r="C61" s="52" t="s">
        <v>93</v>
      </c>
      <c r="D61" s="53">
        <f>'LOOKUP  telda'!E20</f>
        <v>0</v>
      </c>
      <c r="E61" s="53">
        <f>'LOOKUP  telda'!F20+'LOOKUP  telda'!G20+'LOOKUP  telda'!H20</f>
        <v>0</v>
      </c>
      <c r="F61" s="53">
        <f>'LOOKUP  telda'!I20</f>
        <v>0</v>
      </c>
      <c r="G61" s="53">
        <f>'LOOKUP  telda'!J20</f>
        <v>0</v>
      </c>
      <c r="H61" s="53">
        <f>'LOOKUP  telda'!K20</f>
        <v>0</v>
      </c>
      <c r="I61" s="53">
        <f>'LOOKUP  telda'!L20</f>
        <v>0</v>
      </c>
      <c r="J61" s="53">
        <f>'LOOKUP  telda'!P20</f>
        <v>0</v>
      </c>
      <c r="K61" s="53">
        <f>'LOOKUP  telda'!X20</f>
        <v>0</v>
      </c>
      <c r="L61" s="53">
        <f>'LOOKUP  telda'!Y20</f>
        <v>0</v>
      </c>
      <c r="M61" s="53">
        <f>SUM('DATA MTD'!I61:L61)</f>
        <v>0</v>
      </c>
      <c r="N61" s="53">
        <f>'LOOKUP  telda'!Z20</f>
        <v>0</v>
      </c>
      <c r="O61" s="53">
        <f>'LOOKUP  telda'!AA20</f>
        <v>0</v>
      </c>
      <c r="P61" s="53">
        <f>'LOOKUP  telda'!AE20-'LOOKUP  telda'!AA20</f>
        <v>0</v>
      </c>
      <c r="Q61" s="53">
        <f t="shared" si="4"/>
        <v>0</v>
      </c>
      <c r="R61" s="53">
        <f>'LOOKUP  telda'!AF20</f>
        <v>0</v>
      </c>
    </row>
    <row r="62" spans="2:18">
      <c r="B62" s="164"/>
      <c r="C62" s="52" t="s">
        <v>94</v>
      </c>
      <c r="D62" s="53">
        <f>'LOOKUP  telda'!E21</f>
        <v>0</v>
      </c>
      <c r="E62" s="53">
        <f>'LOOKUP  telda'!F21+'LOOKUP  telda'!G21+'LOOKUP  telda'!H21</f>
        <v>0</v>
      </c>
      <c r="F62" s="53">
        <f>'LOOKUP  telda'!I21</f>
        <v>0</v>
      </c>
      <c r="G62" s="53">
        <f>'LOOKUP  telda'!J21</f>
        <v>0</v>
      </c>
      <c r="H62" s="53">
        <f>'LOOKUP  telda'!K21</f>
        <v>0</v>
      </c>
      <c r="I62" s="53">
        <f>'LOOKUP  telda'!L21</f>
        <v>0</v>
      </c>
      <c r="J62" s="53">
        <f>'LOOKUP  telda'!P21</f>
        <v>0</v>
      </c>
      <c r="K62" s="53">
        <f>'LOOKUP  telda'!X21</f>
        <v>0</v>
      </c>
      <c r="L62" s="53">
        <f>'LOOKUP  telda'!Y21</f>
        <v>0</v>
      </c>
      <c r="M62" s="53">
        <f>SUM('DATA MTD'!I62:L62)</f>
        <v>0</v>
      </c>
      <c r="N62" s="53">
        <f>'LOOKUP  telda'!Z21</f>
        <v>0</v>
      </c>
      <c r="O62" s="53">
        <f>'LOOKUP  telda'!AA21</f>
        <v>0</v>
      </c>
      <c r="P62" s="53">
        <f>'LOOKUP  telda'!AE21-'LOOKUP  telda'!AA21</f>
        <v>0</v>
      </c>
      <c r="Q62" s="53">
        <f t="shared" si="4"/>
        <v>0</v>
      </c>
      <c r="R62" s="53">
        <f>'LOOKUP  telda'!AF21</f>
        <v>0</v>
      </c>
    </row>
    <row r="63" spans="2:18">
      <c r="B63" s="164"/>
      <c r="C63" s="52" t="s">
        <v>95</v>
      </c>
      <c r="D63" s="53">
        <f>'LOOKUP  telda'!E22</f>
        <v>0</v>
      </c>
      <c r="E63" s="53">
        <f>'LOOKUP  telda'!F22+'LOOKUP  telda'!G22+'LOOKUP  telda'!H22</f>
        <v>0</v>
      </c>
      <c r="F63" s="53">
        <f>'LOOKUP  telda'!I22</f>
        <v>0</v>
      </c>
      <c r="G63" s="53">
        <f>'LOOKUP  telda'!J22</f>
        <v>0</v>
      </c>
      <c r="H63" s="53">
        <f>'LOOKUP  telda'!K22</f>
        <v>0</v>
      </c>
      <c r="I63" s="53">
        <f>'LOOKUP  telda'!L22</f>
        <v>0</v>
      </c>
      <c r="J63" s="53">
        <f>'LOOKUP  telda'!P22</f>
        <v>0</v>
      </c>
      <c r="K63" s="53">
        <f>'LOOKUP  telda'!X22</f>
        <v>0</v>
      </c>
      <c r="L63" s="53">
        <f>'LOOKUP  telda'!Y22</f>
        <v>0</v>
      </c>
      <c r="M63" s="53">
        <f>SUM('DATA MTD'!I63:L63)</f>
        <v>0</v>
      </c>
      <c r="N63" s="53">
        <f>'LOOKUP  telda'!Z22</f>
        <v>0</v>
      </c>
      <c r="O63" s="53">
        <f>'LOOKUP  telda'!AA22</f>
        <v>0</v>
      </c>
      <c r="P63" s="53">
        <f>'LOOKUP  telda'!AE22-'LOOKUP  telda'!AA22</f>
        <v>0</v>
      </c>
      <c r="Q63" s="53">
        <f t="shared" si="4"/>
        <v>0</v>
      </c>
      <c r="R63" s="53">
        <f>'LOOKUP  telda'!AF22</f>
        <v>0</v>
      </c>
    </row>
    <row r="64" spans="2:18">
      <c r="B64" s="164"/>
      <c r="C64" s="52" t="s">
        <v>96</v>
      </c>
      <c r="D64" s="53">
        <f>'LOOKUP  telda'!E23</f>
        <v>0</v>
      </c>
      <c r="E64" s="53">
        <f>'LOOKUP  telda'!F23+'LOOKUP  telda'!G23+'LOOKUP  telda'!H23</f>
        <v>0</v>
      </c>
      <c r="F64" s="53">
        <f>'LOOKUP  telda'!I23</f>
        <v>0</v>
      </c>
      <c r="G64" s="53">
        <f>'LOOKUP  telda'!J23</f>
        <v>0</v>
      </c>
      <c r="H64" s="53">
        <f>'LOOKUP  telda'!K23</f>
        <v>0</v>
      </c>
      <c r="I64" s="53">
        <f>'LOOKUP  telda'!L23</f>
        <v>0</v>
      </c>
      <c r="J64" s="53">
        <f>'LOOKUP  telda'!P23</f>
        <v>0</v>
      </c>
      <c r="K64" s="53">
        <f>'LOOKUP  telda'!X23</f>
        <v>0</v>
      </c>
      <c r="L64" s="53">
        <f>'LOOKUP  telda'!Y23</f>
        <v>0</v>
      </c>
      <c r="M64" s="53">
        <f>SUM('DATA MTD'!I64:L64)</f>
        <v>0</v>
      </c>
      <c r="N64" s="53">
        <f>'LOOKUP  telda'!Z23</f>
        <v>0</v>
      </c>
      <c r="O64" s="53">
        <f>'LOOKUP  telda'!AA23</f>
        <v>0</v>
      </c>
      <c r="P64" s="53">
        <f>'LOOKUP  telda'!AE23-'LOOKUP  telda'!AA23</f>
        <v>0</v>
      </c>
      <c r="Q64" s="53">
        <f t="shared" si="4"/>
        <v>0</v>
      </c>
      <c r="R64" s="53">
        <f>'LOOKUP  telda'!AF23</f>
        <v>0</v>
      </c>
    </row>
    <row r="65" spans="2:18">
      <c r="B65" s="164"/>
      <c r="C65" s="52" t="s">
        <v>97</v>
      </c>
      <c r="D65" s="53">
        <f>'LOOKUP  telda'!E24</f>
        <v>0</v>
      </c>
      <c r="E65" s="53">
        <f>'LOOKUP  telda'!F24+'LOOKUP  telda'!G24+'LOOKUP  telda'!H24</f>
        <v>0</v>
      </c>
      <c r="F65" s="53">
        <f>'LOOKUP  telda'!I24</f>
        <v>0</v>
      </c>
      <c r="G65" s="53">
        <f>'LOOKUP  telda'!J24</f>
        <v>0</v>
      </c>
      <c r="H65" s="53">
        <f>'LOOKUP  telda'!K24</f>
        <v>0</v>
      </c>
      <c r="I65" s="53">
        <f>'LOOKUP  telda'!L24</f>
        <v>0</v>
      </c>
      <c r="J65" s="53">
        <f>'LOOKUP  telda'!P24</f>
        <v>0</v>
      </c>
      <c r="K65" s="53">
        <f>'LOOKUP  telda'!X24</f>
        <v>0</v>
      </c>
      <c r="L65" s="53">
        <f>'LOOKUP  telda'!Y24</f>
        <v>0</v>
      </c>
      <c r="M65" s="53">
        <f>SUM('DATA MTD'!I65:L65)</f>
        <v>0</v>
      </c>
      <c r="N65" s="53">
        <f>'LOOKUP  telda'!Z24</f>
        <v>0</v>
      </c>
      <c r="O65" s="53">
        <f>'LOOKUP  telda'!AA24</f>
        <v>0</v>
      </c>
      <c r="P65" s="53">
        <f>'LOOKUP  telda'!AE24-'LOOKUP  telda'!AA24</f>
        <v>0</v>
      </c>
      <c r="Q65" s="53">
        <f t="shared" si="4"/>
        <v>0</v>
      </c>
      <c r="R65" s="53">
        <f>'LOOKUP  telda'!AF24</f>
        <v>0</v>
      </c>
    </row>
    <row r="66" spans="2:18">
      <c r="B66" s="165"/>
      <c r="C66" s="52" t="s">
        <v>98</v>
      </c>
      <c r="D66" s="53">
        <f>'LOOKUP  telda'!E25</f>
        <v>0</v>
      </c>
      <c r="E66" s="53">
        <f>'LOOKUP  telda'!F25+'LOOKUP  telda'!G25+'LOOKUP  telda'!H25</f>
        <v>0</v>
      </c>
      <c r="F66" s="53">
        <f>'LOOKUP  telda'!I25</f>
        <v>0</v>
      </c>
      <c r="G66" s="53">
        <f>'LOOKUP  telda'!J25</f>
        <v>0</v>
      </c>
      <c r="H66" s="53">
        <f>'LOOKUP  telda'!K25</f>
        <v>0</v>
      </c>
      <c r="I66" s="53">
        <f>'LOOKUP  telda'!L25</f>
        <v>0</v>
      </c>
      <c r="J66" s="53">
        <f>'LOOKUP  telda'!P25</f>
        <v>0</v>
      </c>
      <c r="K66" s="53">
        <f>'LOOKUP  telda'!X25</f>
        <v>0</v>
      </c>
      <c r="L66" s="53">
        <f>'LOOKUP  telda'!Y25</f>
        <v>0</v>
      </c>
      <c r="M66" s="53">
        <f>SUM('DATA MTD'!I66:L66)</f>
        <v>0</v>
      </c>
      <c r="N66" s="53">
        <f>'LOOKUP  telda'!Z25</f>
        <v>0</v>
      </c>
      <c r="O66" s="53">
        <f>'LOOKUP  telda'!AA25</f>
        <v>0</v>
      </c>
      <c r="P66" s="53">
        <f>'LOOKUP  telda'!AE25-'LOOKUP  telda'!AA25</f>
        <v>0</v>
      </c>
      <c r="Q66" s="53">
        <f t="shared" si="4"/>
        <v>0</v>
      </c>
      <c r="R66" s="53">
        <f>'LOOKUP  telda'!AF25</f>
        <v>0</v>
      </c>
    </row>
    <row r="67" spans="2:18">
      <c r="B67" s="163" t="s">
        <v>42</v>
      </c>
      <c r="C67" s="52" t="s">
        <v>99</v>
      </c>
      <c r="D67" s="53">
        <f>'LOOKUP  telda'!E26</f>
        <v>0</v>
      </c>
      <c r="E67" s="53">
        <f>'LOOKUP  telda'!F26+'LOOKUP  telda'!G26+'LOOKUP  telda'!H26</f>
        <v>0</v>
      </c>
      <c r="F67" s="53">
        <f>'LOOKUP  telda'!I26</f>
        <v>0</v>
      </c>
      <c r="G67" s="53">
        <f>'LOOKUP  telda'!J26</f>
        <v>0</v>
      </c>
      <c r="H67" s="53">
        <f>'LOOKUP  telda'!K26</f>
        <v>0</v>
      </c>
      <c r="I67" s="53">
        <f>'LOOKUP  telda'!L26</f>
        <v>0</v>
      </c>
      <c r="J67" s="53">
        <f>'LOOKUP  telda'!P26</f>
        <v>0</v>
      </c>
      <c r="K67" s="53">
        <f>'LOOKUP  telda'!X26</f>
        <v>0</v>
      </c>
      <c r="L67" s="53">
        <f>'LOOKUP  telda'!Y26</f>
        <v>0</v>
      </c>
      <c r="M67" s="53">
        <f>SUM('DATA MTD'!I67:L67)</f>
        <v>0</v>
      </c>
      <c r="N67" s="53">
        <f>'LOOKUP  telda'!Z26</f>
        <v>0</v>
      </c>
      <c r="O67" s="53">
        <f>'LOOKUP  telda'!AA26</f>
        <v>0</v>
      </c>
      <c r="P67" s="53">
        <f>'LOOKUP  telda'!AE26-'LOOKUP  telda'!AA26</f>
        <v>0</v>
      </c>
      <c r="Q67" s="53">
        <f t="shared" si="4"/>
        <v>0</v>
      </c>
      <c r="R67" s="53">
        <f>'LOOKUP  telda'!AF26</f>
        <v>0</v>
      </c>
    </row>
    <row r="68" spans="2:18">
      <c r="B68" s="164"/>
      <c r="C68" s="52" t="s">
        <v>100</v>
      </c>
      <c r="D68" s="53">
        <f>'LOOKUP  telda'!E27</f>
        <v>0</v>
      </c>
      <c r="E68" s="53">
        <f>'LOOKUP  telda'!F27+'LOOKUP  telda'!G27+'LOOKUP  telda'!H27</f>
        <v>0</v>
      </c>
      <c r="F68" s="53">
        <f>'LOOKUP  telda'!I27</f>
        <v>0</v>
      </c>
      <c r="G68" s="53">
        <f>'LOOKUP  telda'!J27</f>
        <v>0</v>
      </c>
      <c r="H68" s="53">
        <f>'LOOKUP  telda'!K27</f>
        <v>0</v>
      </c>
      <c r="I68" s="53">
        <f>'LOOKUP  telda'!L27</f>
        <v>0</v>
      </c>
      <c r="J68" s="53">
        <f>'LOOKUP  telda'!P27</f>
        <v>0</v>
      </c>
      <c r="K68" s="53">
        <f>'LOOKUP  telda'!X27</f>
        <v>0</v>
      </c>
      <c r="L68" s="53">
        <f>'LOOKUP  telda'!Y27</f>
        <v>0</v>
      </c>
      <c r="M68" s="53">
        <f>SUM('DATA MTD'!I68:L68)</f>
        <v>0</v>
      </c>
      <c r="N68" s="53">
        <f>'LOOKUP  telda'!Z27</f>
        <v>0</v>
      </c>
      <c r="O68" s="53">
        <f>'LOOKUP  telda'!AA27</f>
        <v>0</v>
      </c>
      <c r="P68" s="53">
        <f>'LOOKUP  telda'!AE27-'LOOKUP  telda'!AA27</f>
        <v>0</v>
      </c>
      <c r="Q68" s="53">
        <f t="shared" si="4"/>
        <v>0</v>
      </c>
      <c r="R68" s="53">
        <f>'LOOKUP  telda'!AF27</f>
        <v>0</v>
      </c>
    </row>
    <row r="69" spans="2:18" ht="29">
      <c r="B69" s="164"/>
      <c r="C69" s="52" t="s">
        <v>101</v>
      </c>
      <c r="D69" s="53">
        <f>'LOOKUP  telda'!E28</f>
        <v>0</v>
      </c>
      <c r="E69" s="53">
        <f>'LOOKUP  telda'!F28+'LOOKUP  telda'!G28+'LOOKUP  telda'!H28</f>
        <v>0</v>
      </c>
      <c r="F69" s="53">
        <f>'LOOKUP  telda'!I28</f>
        <v>0</v>
      </c>
      <c r="G69" s="53">
        <f>'LOOKUP  telda'!J28</f>
        <v>0</v>
      </c>
      <c r="H69" s="53">
        <f>'LOOKUP  telda'!K28</f>
        <v>0</v>
      </c>
      <c r="I69" s="53">
        <f>'LOOKUP  telda'!L28</f>
        <v>0</v>
      </c>
      <c r="J69" s="53">
        <f>'LOOKUP  telda'!P28</f>
        <v>0</v>
      </c>
      <c r="K69" s="53">
        <f>'LOOKUP  telda'!X28</f>
        <v>0</v>
      </c>
      <c r="L69" s="53">
        <f>'LOOKUP  telda'!Y28</f>
        <v>0</v>
      </c>
      <c r="M69" s="53">
        <f>SUM('DATA MTD'!I69:L69)</f>
        <v>0</v>
      </c>
      <c r="N69" s="53">
        <f>'LOOKUP  telda'!Z28</f>
        <v>0</v>
      </c>
      <c r="O69" s="53">
        <f>'LOOKUP  telda'!AA28</f>
        <v>0</v>
      </c>
      <c r="P69" s="53">
        <f>'LOOKUP  telda'!AE28-'LOOKUP  telda'!AA28</f>
        <v>0</v>
      </c>
      <c r="Q69" s="53">
        <f t="shared" si="4"/>
        <v>0</v>
      </c>
      <c r="R69" s="53">
        <f>'LOOKUP  telda'!AF28</f>
        <v>0</v>
      </c>
    </row>
    <row r="70" spans="2:18">
      <c r="B70" s="164"/>
      <c r="C70" s="52" t="s">
        <v>102</v>
      </c>
      <c r="D70" s="53">
        <f>'LOOKUP  telda'!E29</f>
        <v>0</v>
      </c>
      <c r="E70" s="53">
        <f>'LOOKUP  telda'!F29+'LOOKUP  telda'!G29+'LOOKUP  telda'!H29</f>
        <v>0</v>
      </c>
      <c r="F70" s="53">
        <f>'LOOKUP  telda'!I29</f>
        <v>0</v>
      </c>
      <c r="G70" s="53">
        <f>'LOOKUP  telda'!J29</f>
        <v>0</v>
      </c>
      <c r="H70" s="53">
        <f>'LOOKUP  telda'!K29</f>
        <v>0</v>
      </c>
      <c r="I70" s="53">
        <f>'LOOKUP  telda'!L29</f>
        <v>0</v>
      </c>
      <c r="J70" s="53">
        <f>'LOOKUP  telda'!P29</f>
        <v>0</v>
      </c>
      <c r="K70" s="53">
        <f>'LOOKUP  telda'!X29</f>
        <v>0</v>
      </c>
      <c r="L70" s="53">
        <f>'LOOKUP  telda'!Y29</f>
        <v>0</v>
      </c>
      <c r="M70" s="53">
        <f>SUM('DATA MTD'!I70:L70)</f>
        <v>0</v>
      </c>
      <c r="N70" s="53">
        <f>'LOOKUP  telda'!Z29</f>
        <v>0</v>
      </c>
      <c r="O70" s="53">
        <f>'LOOKUP  telda'!AA29</f>
        <v>0</v>
      </c>
      <c r="P70" s="53">
        <f>'LOOKUP  telda'!AE29-'LOOKUP  telda'!AA29</f>
        <v>0</v>
      </c>
      <c r="Q70" s="53">
        <f t="shared" si="4"/>
        <v>0</v>
      </c>
      <c r="R70" s="53">
        <f>'LOOKUP  telda'!AF29</f>
        <v>0</v>
      </c>
    </row>
    <row r="71" spans="2:18">
      <c r="B71" s="164"/>
      <c r="C71" s="52" t="s">
        <v>103</v>
      </c>
      <c r="D71" s="53">
        <f>'LOOKUP  telda'!E30</f>
        <v>0</v>
      </c>
      <c r="E71" s="53">
        <f>'LOOKUP  telda'!F30+'LOOKUP  telda'!G30+'LOOKUP  telda'!H30</f>
        <v>0</v>
      </c>
      <c r="F71" s="53">
        <f>'LOOKUP  telda'!I30</f>
        <v>0</v>
      </c>
      <c r="G71" s="53">
        <f>'LOOKUP  telda'!J30</f>
        <v>0</v>
      </c>
      <c r="H71" s="53">
        <f>'LOOKUP  telda'!K30</f>
        <v>0</v>
      </c>
      <c r="I71" s="53">
        <f>'LOOKUP  telda'!L30</f>
        <v>0</v>
      </c>
      <c r="J71" s="53">
        <f>'LOOKUP  telda'!P30</f>
        <v>0</v>
      </c>
      <c r="K71" s="53">
        <f>'LOOKUP  telda'!X30</f>
        <v>0</v>
      </c>
      <c r="L71" s="53">
        <f>'LOOKUP  telda'!Y30</f>
        <v>0</v>
      </c>
      <c r="M71" s="53">
        <f>SUM('DATA MTD'!I71:L71)</f>
        <v>0</v>
      </c>
      <c r="N71" s="53">
        <f>'LOOKUP  telda'!Z30</f>
        <v>0</v>
      </c>
      <c r="O71" s="53">
        <f>'LOOKUP  telda'!AA30</f>
        <v>0</v>
      </c>
      <c r="P71" s="53">
        <f>'LOOKUP  telda'!AE30-'LOOKUP  telda'!AA30</f>
        <v>0</v>
      </c>
      <c r="Q71" s="53">
        <f t="shared" si="4"/>
        <v>0</v>
      </c>
      <c r="R71" s="53">
        <f>'LOOKUP  telda'!AF30</f>
        <v>0</v>
      </c>
    </row>
    <row r="72" spans="2:18">
      <c r="B72" s="164"/>
      <c r="C72" s="52" t="s">
        <v>104</v>
      </c>
      <c r="D72" s="53">
        <f>'LOOKUP  telda'!E31</f>
        <v>0</v>
      </c>
      <c r="E72" s="53">
        <f>'LOOKUP  telda'!F31+'LOOKUP  telda'!G31+'LOOKUP  telda'!H31</f>
        <v>0</v>
      </c>
      <c r="F72" s="53">
        <f>'LOOKUP  telda'!I31</f>
        <v>0</v>
      </c>
      <c r="G72" s="53">
        <f>'LOOKUP  telda'!J31</f>
        <v>0</v>
      </c>
      <c r="H72" s="53">
        <f>'LOOKUP  telda'!K31</f>
        <v>0</v>
      </c>
      <c r="I72" s="53">
        <f>'LOOKUP  telda'!L31</f>
        <v>0</v>
      </c>
      <c r="J72" s="53">
        <f>'LOOKUP  telda'!P31</f>
        <v>0</v>
      </c>
      <c r="K72" s="53">
        <f>'LOOKUP  telda'!X31</f>
        <v>0</v>
      </c>
      <c r="L72" s="53">
        <f>'LOOKUP  telda'!Y31</f>
        <v>0</v>
      </c>
      <c r="M72" s="53">
        <f>SUM('DATA MTD'!I72:L72)</f>
        <v>0</v>
      </c>
      <c r="N72" s="53">
        <f>'LOOKUP  telda'!Z31</f>
        <v>0</v>
      </c>
      <c r="O72" s="53">
        <f>'LOOKUP  telda'!AA31</f>
        <v>0</v>
      </c>
      <c r="P72" s="53">
        <f>'LOOKUP  telda'!AE31-'LOOKUP  telda'!AA31</f>
        <v>0</v>
      </c>
      <c r="Q72" s="53">
        <f t="shared" si="4"/>
        <v>0</v>
      </c>
      <c r="R72" s="53">
        <f>'LOOKUP  telda'!AF31</f>
        <v>0</v>
      </c>
    </row>
    <row r="73" spans="2:18">
      <c r="B73" s="164"/>
      <c r="C73" s="52" t="s">
        <v>105</v>
      </c>
      <c r="D73" s="53">
        <f>'LOOKUP  telda'!E32</f>
        <v>0</v>
      </c>
      <c r="E73" s="53">
        <f>'LOOKUP  telda'!F32+'LOOKUP  telda'!G32+'LOOKUP  telda'!H32</f>
        <v>0</v>
      </c>
      <c r="F73" s="53">
        <f>'LOOKUP  telda'!I32</f>
        <v>0</v>
      </c>
      <c r="G73" s="53">
        <f>'LOOKUP  telda'!J32</f>
        <v>0</v>
      </c>
      <c r="H73" s="53">
        <f>'LOOKUP  telda'!K32</f>
        <v>0</v>
      </c>
      <c r="I73" s="53">
        <f>'LOOKUP  telda'!L32</f>
        <v>0</v>
      </c>
      <c r="J73" s="53">
        <f>'LOOKUP  telda'!P32</f>
        <v>0</v>
      </c>
      <c r="K73" s="53">
        <f>'LOOKUP  telda'!X32</f>
        <v>0</v>
      </c>
      <c r="L73" s="53">
        <f>'LOOKUP  telda'!Y32</f>
        <v>0</v>
      </c>
      <c r="M73" s="53">
        <f>SUM('DATA MTD'!I73:L73)</f>
        <v>0</v>
      </c>
      <c r="N73" s="53">
        <f>'LOOKUP  telda'!Z32</f>
        <v>0</v>
      </c>
      <c r="O73" s="53">
        <f>'LOOKUP  telda'!AA32</f>
        <v>0</v>
      </c>
      <c r="P73" s="53">
        <f>'LOOKUP  telda'!AE32-'LOOKUP  telda'!AA32</f>
        <v>0</v>
      </c>
      <c r="Q73" s="53">
        <f t="shared" si="4"/>
        <v>0</v>
      </c>
      <c r="R73" s="53">
        <f>'LOOKUP  telda'!AF32</f>
        <v>0</v>
      </c>
    </row>
    <row r="74" spans="2:18">
      <c r="B74" s="164"/>
      <c r="C74" s="52" t="s">
        <v>106</v>
      </c>
      <c r="D74" s="53">
        <f>'LOOKUP  telda'!E33</f>
        <v>0</v>
      </c>
      <c r="E74" s="53">
        <f>'LOOKUP  telda'!F33+'LOOKUP  telda'!G33+'LOOKUP  telda'!H33</f>
        <v>0</v>
      </c>
      <c r="F74" s="53">
        <f>'LOOKUP  telda'!I33</f>
        <v>0</v>
      </c>
      <c r="G74" s="53">
        <f>'LOOKUP  telda'!J33</f>
        <v>0</v>
      </c>
      <c r="H74" s="53">
        <f>'LOOKUP  telda'!K33</f>
        <v>0</v>
      </c>
      <c r="I74" s="53">
        <f>'LOOKUP  telda'!L33</f>
        <v>0</v>
      </c>
      <c r="J74" s="53">
        <f>'LOOKUP  telda'!P33</f>
        <v>0</v>
      </c>
      <c r="K74" s="53">
        <f>'LOOKUP  telda'!X33</f>
        <v>0</v>
      </c>
      <c r="L74" s="53">
        <f>'LOOKUP  telda'!Y33</f>
        <v>0</v>
      </c>
      <c r="M74" s="53">
        <f>SUM('DATA MTD'!I74:L74)</f>
        <v>0</v>
      </c>
      <c r="N74" s="53">
        <f>'LOOKUP  telda'!Z33</f>
        <v>0</v>
      </c>
      <c r="O74" s="53">
        <f>'LOOKUP  telda'!AA33</f>
        <v>0</v>
      </c>
      <c r="P74" s="53">
        <f>'LOOKUP  telda'!AE33-'LOOKUP  telda'!AA33</f>
        <v>0</v>
      </c>
      <c r="Q74" s="53">
        <f t="shared" si="4"/>
        <v>0</v>
      </c>
      <c r="R74" s="53">
        <f>'LOOKUP  telda'!AF33</f>
        <v>0</v>
      </c>
    </row>
    <row r="75" spans="2:18">
      <c r="B75" s="164"/>
      <c r="C75" s="52" t="s">
        <v>107</v>
      </c>
      <c r="D75" s="53">
        <f>'LOOKUP  telda'!E34</f>
        <v>0</v>
      </c>
      <c r="E75" s="53">
        <f>'LOOKUP  telda'!F34+'LOOKUP  telda'!G34+'LOOKUP  telda'!H34</f>
        <v>0</v>
      </c>
      <c r="F75" s="53">
        <f>'LOOKUP  telda'!I34</f>
        <v>0</v>
      </c>
      <c r="G75" s="53">
        <f>'LOOKUP  telda'!J34</f>
        <v>0</v>
      </c>
      <c r="H75" s="53">
        <f>'LOOKUP  telda'!K34</f>
        <v>0</v>
      </c>
      <c r="I75" s="53">
        <f>'LOOKUP  telda'!L34</f>
        <v>0</v>
      </c>
      <c r="J75" s="53">
        <f>'LOOKUP  telda'!P34</f>
        <v>0</v>
      </c>
      <c r="K75" s="53">
        <f>'LOOKUP  telda'!X34</f>
        <v>0</v>
      </c>
      <c r="L75" s="53">
        <f>'LOOKUP  telda'!Y34</f>
        <v>0</v>
      </c>
      <c r="M75" s="53">
        <f>SUM('DATA MTD'!I75:L75)</f>
        <v>0</v>
      </c>
      <c r="N75" s="53">
        <f>'LOOKUP  telda'!Z34</f>
        <v>0</v>
      </c>
      <c r="O75" s="53">
        <f>'LOOKUP  telda'!AA34</f>
        <v>0</v>
      </c>
      <c r="P75" s="53">
        <f>'LOOKUP  telda'!AE34-'LOOKUP  telda'!AA34</f>
        <v>0</v>
      </c>
      <c r="Q75" s="53">
        <f t="shared" si="4"/>
        <v>0</v>
      </c>
      <c r="R75" s="53">
        <f>'LOOKUP  telda'!AF34</f>
        <v>0</v>
      </c>
    </row>
    <row r="76" spans="2:18">
      <c r="B76" s="165"/>
      <c r="C76" s="52" t="s">
        <v>108</v>
      </c>
      <c r="D76" s="53">
        <f>'LOOKUP  telda'!E35</f>
        <v>0</v>
      </c>
      <c r="E76" s="53">
        <f>'LOOKUP  telda'!F35+'LOOKUP  telda'!G35+'LOOKUP  telda'!H35</f>
        <v>0</v>
      </c>
      <c r="F76" s="53">
        <f>'LOOKUP  telda'!I35</f>
        <v>0</v>
      </c>
      <c r="G76" s="53">
        <f>'LOOKUP  telda'!J35</f>
        <v>0</v>
      </c>
      <c r="H76" s="53">
        <f>'LOOKUP  telda'!K35</f>
        <v>0</v>
      </c>
      <c r="I76" s="53">
        <f>'LOOKUP  telda'!L35</f>
        <v>0</v>
      </c>
      <c r="J76" s="53">
        <f>'LOOKUP  telda'!P35</f>
        <v>0</v>
      </c>
      <c r="K76" s="53">
        <f>'LOOKUP  telda'!X35</f>
        <v>0</v>
      </c>
      <c r="L76" s="53">
        <f>'LOOKUP  telda'!Y35</f>
        <v>0</v>
      </c>
      <c r="M76" s="53">
        <f>SUM('DATA MTD'!I76:L76)</f>
        <v>0</v>
      </c>
      <c r="N76" s="53">
        <f>'LOOKUP  telda'!Z35</f>
        <v>0</v>
      </c>
      <c r="O76" s="53">
        <f>'LOOKUP  telda'!AA35</f>
        <v>0</v>
      </c>
      <c r="P76" s="53">
        <f>'LOOKUP  telda'!AE35-'LOOKUP  telda'!AA35</f>
        <v>0</v>
      </c>
      <c r="Q76" s="53">
        <f t="shared" si="4"/>
        <v>0</v>
      </c>
      <c r="R76" s="53">
        <f>'LOOKUP  telda'!AF35</f>
        <v>0</v>
      </c>
    </row>
    <row r="77" spans="2:18">
      <c r="B77" s="163" t="s">
        <v>70</v>
      </c>
      <c r="C77" s="52" t="s">
        <v>109</v>
      </c>
      <c r="D77" s="53">
        <f>'LOOKUP  telda'!E36</f>
        <v>0</v>
      </c>
      <c r="E77" s="53">
        <f>'LOOKUP  telda'!F36+'LOOKUP  telda'!G36+'LOOKUP  telda'!H36</f>
        <v>0</v>
      </c>
      <c r="F77" s="53">
        <f>'LOOKUP  telda'!I36</f>
        <v>0</v>
      </c>
      <c r="G77" s="53">
        <f>'LOOKUP  telda'!J36</f>
        <v>0</v>
      </c>
      <c r="H77" s="53">
        <f>'LOOKUP  telda'!K36</f>
        <v>0</v>
      </c>
      <c r="I77" s="53">
        <f>'LOOKUP  telda'!L36</f>
        <v>0</v>
      </c>
      <c r="J77" s="53">
        <f>'LOOKUP  telda'!P36</f>
        <v>0</v>
      </c>
      <c r="K77" s="53">
        <f>'LOOKUP  telda'!X36</f>
        <v>0</v>
      </c>
      <c r="L77" s="53">
        <f>'LOOKUP  telda'!Y36</f>
        <v>0</v>
      </c>
      <c r="M77" s="53">
        <f>SUM('DATA MTD'!I77:L77)</f>
        <v>0</v>
      </c>
      <c r="N77" s="53">
        <f>'LOOKUP  telda'!Z36</f>
        <v>0</v>
      </c>
      <c r="O77" s="53">
        <f>'LOOKUP  telda'!AA36</f>
        <v>0</v>
      </c>
      <c r="P77" s="53">
        <f>'LOOKUP  telda'!AE36-'LOOKUP  telda'!AA36</f>
        <v>0</v>
      </c>
      <c r="Q77" s="53">
        <f t="shared" si="4"/>
        <v>0</v>
      </c>
      <c r="R77" s="53">
        <f>'LOOKUP  telda'!AF36</f>
        <v>0</v>
      </c>
    </row>
    <row r="78" spans="2:18">
      <c r="B78" s="164"/>
      <c r="C78" s="52" t="s">
        <v>110</v>
      </c>
      <c r="D78" s="53">
        <f>'LOOKUP  telda'!E37</f>
        <v>0</v>
      </c>
      <c r="E78" s="53">
        <f>'LOOKUP  telda'!F37+'LOOKUP  telda'!G37+'LOOKUP  telda'!H37</f>
        <v>0</v>
      </c>
      <c r="F78" s="53">
        <f>'LOOKUP  telda'!I37</f>
        <v>0</v>
      </c>
      <c r="G78" s="53">
        <f>'LOOKUP  telda'!J37</f>
        <v>0</v>
      </c>
      <c r="H78" s="53">
        <f>'LOOKUP  telda'!K37</f>
        <v>0</v>
      </c>
      <c r="I78" s="53">
        <f>'LOOKUP  telda'!L37</f>
        <v>0</v>
      </c>
      <c r="J78" s="53">
        <f>'LOOKUP  telda'!P37</f>
        <v>0</v>
      </c>
      <c r="K78" s="53">
        <f>'LOOKUP  telda'!X37</f>
        <v>0</v>
      </c>
      <c r="L78" s="53">
        <f>'LOOKUP  telda'!Y37</f>
        <v>0</v>
      </c>
      <c r="M78" s="53">
        <f>SUM('DATA MTD'!I78:L78)</f>
        <v>0</v>
      </c>
      <c r="N78" s="53">
        <f>'LOOKUP  telda'!Z37</f>
        <v>0</v>
      </c>
      <c r="O78" s="53">
        <f>'LOOKUP  telda'!AA37</f>
        <v>0</v>
      </c>
      <c r="P78" s="53">
        <f>'LOOKUP  telda'!AE37-'LOOKUP  telda'!AA37</f>
        <v>0</v>
      </c>
      <c r="Q78" s="53">
        <f t="shared" si="4"/>
        <v>0</v>
      </c>
      <c r="R78" s="53">
        <f>'LOOKUP  telda'!AF37</f>
        <v>0</v>
      </c>
    </row>
    <row r="79" spans="2:18">
      <c r="B79" s="164"/>
      <c r="C79" s="52" t="s">
        <v>111</v>
      </c>
      <c r="D79" s="53">
        <f>'LOOKUP  telda'!E38</f>
        <v>0</v>
      </c>
      <c r="E79" s="53">
        <f>'LOOKUP  telda'!F38+'LOOKUP  telda'!G38+'LOOKUP  telda'!H38</f>
        <v>0</v>
      </c>
      <c r="F79" s="53">
        <f>'LOOKUP  telda'!I38</f>
        <v>0</v>
      </c>
      <c r="G79" s="53">
        <f>'LOOKUP  telda'!J38</f>
        <v>0</v>
      </c>
      <c r="H79" s="53">
        <f>'LOOKUP  telda'!K38</f>
        <v>0</v>
      </c>
      <c r="I79" s="53">
        <f>'LOOKUP  telda'!L38</f>
        <v>0</v>
      </c>
      <c r="J79" s="53">
        <f>'LOOKUP  telda'!P38</f>
        <v>0</v>
      </c>
      <c r="K79" s="53">
        <f>'LOOKUP  telda'!X38</f>
        <v>0</v>
      </c>
      <c r="L79" s="53">
        <f>'LOOKUP  telda'!Y38</f>
        <v>0</v>
      </c>
      <c r="M79" s="53">
        <f>SUM('DATA MTD'!I79:L79)</f>
        <v>0</v>
      </c>
      <c r="N79" s="53">
        <f>'LOOKUP  telda'!Z38</f>
        <v>0</v>
      </c>
      <c r="O79" s="53">
        <f>'LOOKUP  telda'!AA38</f>
        <v>0</v>
      </c>
      <c r="P79" s="53">
        <f>'LOOKUP  telda'!AE38-'LOOKUP  telda'!AA38</f>
        <v>0</v>
      </c>
      <c r="Q79" s="53">
        <f t="shared" si="4"/>
        <v>0</v>
      </c>
      <c r="R79" s="53">
        <f>'LOOKUP  telda'!AF38</f>
        <v>0</v>
      </c>
    </row>
    <row r="80" spans="2:18" ht="29">
      <c r="B80" s="164"/>
      <c r="C80" s="52" t="s">
        <v>112</v>
      </c>
      <c r="D80" s="53">
        <f>'LOOKUP  telda'!E39</f>
        <v>0</v>
      </c>
      <c r="E80" s="53">
        <f>'LOOKUP  telda'!F39+'LOOKUP  telda'!G39+'LOOKUP  telda'!H39</f>
        <v>0</v>
      </c>
      <c r="F80" s="53">
        <f>'LOOKUP  telda'!I39</f>
        <v>0</v>
      </c>
      <c r="G80" s="53">
        <f>'LOOKUP  telda'!J39</f>
        <v>0</v>
      </c>
      <c r="H80" s="53">
        <f>'LOOKUP  telda'!K39</f>
        <v>0</v>
      </c>
      <c r="I80" s="53">
        <f>'LOOKUP  telda'!L39</f>
        <v>0</v>
      </c>
      <c r="J80" s="53">
        <f>'LOOKUP  telda'!P39</f>
        <v>0</v>
      </c>
      <c r="K80" s="53">
        <f>'LOOKUP  telda'!X39</f>
        <v>0</v>
      </c>
      <c r="L80" s="53">
        <f>'LOOKUP  telda'!Y39</f>
        <v>0</v>
      </c>
      <c r="M80" s="53">
        <f>SUM('DATA MTD'!I80:L80)</f>
        <v>0</v>
      </c>
      <c r="N80" s="53">
        <f>'LOOKUP  telda'!Z39</f>
        <v>0</v>
      </c>
      <c r="O80" s="53">
        <f>'LOOKUP  telda'!AA39</f>
        <v>0</v>
      </c>
      <c r="P80" s="53">
        <f>'LOOKUP  telda'!AE39-'LOOKUP  telda'!AA39</f>
        <v>0</v>
      </c>
      <c r="Q80" s="53">
        <f t="shared" si="4"/>
        <v>0</v>
      </c>
      <c r="R80" s="53">
        <f>'LOOKUP  telda'!AF39</f>
        <v>0</v>
      </c>
    </row>
    <row r="81" spans="2:18">
      <c r="B81" s="164"/>
      <c r="C81" s="52" t="s">
        <v>113</v>
      </c>
      <c r="D81" s="53">
        <f>'LOOKUP  telda'!E40</f>
        <v>0</v>
      </c>
      <c r="E81" s="53">
        <f>'LOOKUP  telda'!F40+'LOOKUP  telda'!G40+'LOOKUP  telda'!H40</f>
        <v>0</v>
      </c>
      <c r="F81" s="53">
        <f>'LOOKUP  telda'!I40</f>
        <v>0</v>
      </c>
      <c r="G81" s="53">
        <f>'LOOKUP  telda'!J40</f>
        <v>0</v>
      </c>
      <c r="H81" s="53">
        <f>'LOOKUP  telda'!K40</f>
        <v>0</v>
      </c>
      <c r="I81" s="53">
        <f>'LOOKUP  telda'!L40</f>
        <v>0</v>
      </c>
      <c r="J81" s="53">
        <f>'LOOKUP  telda'!P40</f>
        <v>0</v>
      </c>
      <c r="K81" s="53">
        <f>'LOOKUP  telda'!X40</f>
        <v>0</v>
      </c>
      <c r="L81" s="53">
        <f>'LOOKUP  telda'!Y40</f>
        <v>0</v>
      </c>
      <c r="M81" s="53">
        <f>SUM('DATA MTD'!I81:L81)</f>
        <v>0</v>
      </c>
      <c r="N81" s="53">
        <f>'LOOKUP  telda'!Z40</f>
        <v>0</v>
      </c>
      <c r="O81" s="53">
        <f>'LOOKUP  telda'!AA40</f>
        <v>0</v>
      </c>
      <c r="P81" s="53">
        <f>'LOOKUP  telda'!AE40-'LOOKUP  telda'!AA40</f>
        <v>0</v>
      </c>
      <c r="Q81" s="53">
        <f t="shared" si="4"/>
        <v>0</v>
      </c>
      <c r="R81" s="53">
        <f>'LOOKUP  telda'!AF40</f>
        <v>0</v>
      </c>
    </row>
    <row r="82" spans="2:18">
      <c r="B82" s="164"/>
      <c r="C82" s="52" t="s">
        <v>114</v>
      </c>
      <c r="D82" s="53">
        <f>'LOOKUP  telda'!E41</f>
        <v>0</v>
      </c>
      <c r="E82" s="53">
        <f>'LOOKUP  telda'!F41+'LOOKUP  telda'!G41+'LOOKUP  telda'!H41</f>
        <v>0</v>
      </c>
      <c r="F82" s="53">
        <f>'LOOKUP  telda'!I41</f>
        <v>0</v>
      </c>
      <c r="G82" s="53">
        <f>'LOOKUP  telda'!J41</f>
        <v>0</v>
      </c>
      <c r="H82" s="53">
        <f>'LOOKUP  telda'!K41</f>
        <v>0</v>
      </c>
      <c r="I82" s="53">
        <f>'LOOKUP  telda'!L41</f>
        <v>0</v>
      </c>
      <c r="J82" s="53">
        <f>'LOOKUP  telda'!P41</f>
        <v>0</v>
      </c>
      <c r="K82" s="53">
        <f>'LOOKUP  telda'!X41</f>
        <v>0</v>
      </c>
      <c r="L82" s="53">
        <f>'LOOKUP  telda'!Y41</f>
        <v>0</v>
      </c>
      <c r="M82" s="53">
        <f>SUM('DATA MTD'!I82:L82)</f>
        <v>0</v>
      </c>
      <c r="N82" s="53">
        <f>'LOOKUP  telda'!Z41</f>
        <v>0</v>
      </c>
      <c r="O82" s="53">
        <f>'LOOKUP  telda'!AA41</f>
        <v>0</v>
      </c>
      <c r="P82" s="53">
        <f>'LOOKUP  telda'!AE41-'LOOKUP  telda'!AA41</f>
        <v>0</v>
      </c>
      <c r="Q82" s="53">
        <f t="shared" si="4"/>
        <v>0</v>
      </c>
      <c r="R82" s="53">
        <f>'LOOKUP  telda'!AF41</f>
        <v>0</v>
      </c>
    </row>
    <row r="83" spans="2:18" ht="29">
      <c r="B83" s="164"/>
      <c r="C83" s="52" t="s">
        <v>115</v>
      </c>
      <c r="D83" s="53">
        <f>'LOOKUP  telda'!E42</f>
        <v>0</v>
      </c>
      <c r="E83" s="53">
        <f>'LOOKUP  telda'!F42+'LOOKUP  telda'!G42+'LOOKUP  telda'!H42</f>
        <v>0</v>
      </c>
      <c r="F83" s="53">
        <f>'LOOKUP  telda'!I42</f>
        <v>0</v>
      </c>
      <c r="G83" s="53">
        <f>'LOOKUP  telda'!J42</f>
        <v>0</v>
      </c>
      <c r="H83" s="53">
        <f>'LOOKUP  telda'!K42</f>
        <v>0</v>
      </c>
      <c r="I83" s="53">
        <f>'LOOKUP  telda'!L42</f>
        <v>0</v>
      </c>
      <c r="J83" s="53">
        <f>'LOOKUP  telda'!P42</f>
        <v>0</v>
      </c>
      <c r="K83" s="53">
        <f>'LOOKUP  telda'!X42</f>
        <v>0</v>
      </c>
      <c r="L83" s="53">
        <f>'LOOKUP  telda'!Y42</f>
        <v>0</v>
      </c>
      <c r="M83" s="53">
        <f>SUM('DATA MTD'!I83:L83)</f>
        <v>0</v>
      </c>
      <c r="N83" s="53">
        <f>'LOOKUP  telda'!Z42</f>
        <v>0</v>
      </c>
      <c r="O83" s="53">
        <f>'LOOKUP  telda'!AA42</f>
        <v>0</v>
      </c>
      <c r="P83" s="53">
        <f>'LOOKUP  telda'!AE42-'LOOKUP  telda'!AA42</f>
        <v>0</v>
      </c>
      <c r="Q83" s="53">
        <f t="shared" si="4"/>
        <v>0</v>
      </c>
      <c r="R83" s="53">
        <f>'LOOKUP  telda'!AF42</f>
        <v>0</v>
      </c>
    </row>
    <row r="84" spans="2:18" ht="29">
      <c r="B84" s="164"/>
      <c r="C84" s="52" t="s">
        <v>116</v>
      </c>
      <c r="D84" s="53">
        <f>'LOOKUP  telda'!E43</f>
        <v>0</v>
      </c>
      <c r="E84" s="53">
        <f>'LOOKUP  telda'!F43+'LOOKUP  telda'!G43+'LOOKUP  telda'!H43</f>
        <v>0</v>
      </c>
      <c r="F84" s="53">
        <f>'LOOKUP  telda'!I43</f>
        <v>0</v>
      </c>
      <c r="G84" s="53">
        <f>'LOOKUP  telda'!J43</f>
        <v>0</v>
      </c>
      <c r="H84" s="53">
        <f>'LOOKUP  telda'!K43</f>
        <v>0</v>
      </c>
      <c r="I84" s="53">
        <f>'LOOKUP  telda'!L43</f>
        <v>0</v>
      </c>
      <c r="J84" s="53">
        <f>'LOOKUP  telda'!P43</f>
        <v>0</v>
      </c>
      <c r="K84" s="53">
        <f>'LOOKUP  telda'!X43</f>
        <v>0</v>
      </c>
      <c r="L84" s="53">
        <f>'LOOKUP  telda'!Y43</f>
        <v>0</v>
      </c>
      <c r="M84" s="53">
        <f>SUM('DATA MTD'!I84:L84)</f>
        <v>0</v>
      </c>
      <c r="N84" s="53">
        <f>'LOOKUP  telda'!Z43</f>
        <v>0</v>
      </c>
      <c r="O84" s="53">
        <f>'LOOKUP  telda'!AA43</f>
        <v>0</v>
      </c>
      <c r="P84" s="53">
        <f>'LOOKUP  telda'!AE43-'LOOKUP  telda'!AA43</f>
        <v>0</v>
      </c>
      <c r="Q84" s="53">
        <f t="shared" si="4"/>
        <v>0</v>
      </c>
      <c r="R84" s="53">
        <f>'LOOKUP  telda'!AF43</f>
        <v>0</v>
      </c>
    </row>
    <row r="85" spans="2:18">
      <c r="B85" s="164"/>
      <c r="C85" s="52" t="s">
        <v>117</v>
      </c>
      <c r="D85" s="53">
        <f>'LOOKUP  telda'!E44</f>
        <v>0</v>
      </c>
      <c r="E85" s="53">
        <f>'LOOKUP  telda'!F44+'LOOKUP  telda'!G44+'LOOKUP  telda'!H44</f>
        <v>0</v>
      </c>
      <c r="F85" s="53">
        <f>'LOOKUP  telda'!I44</f>
        <v>0</v>
      </c>
      <c r="G85" s="53">
        <f>'LOOKUP  telda'!J44</f>
        <v>0</v>
      </c>
      <c r="H85" s="53">
        <f>'LOOKUP  telda'!K44</f>
        <v>0</v>
      </c>
      <c r="I85" s="53">
        <f>'LOOKUP  telda'!L44</f>
        <v>0</v>
      </c>
      <c r="J85" s="53">
        <f>'LOOKUP  telda'!P44</f>
        <v>0</v>
      </c>
      <c r="K85" s="53">
        <f>'LOOKUP  telda'!X44</f>
        <v>0</v>
      </c>
      <c r="L85" s="53">
        <f>'LOOKUP  telda'!Y44</f>
        <v>0</v>
      </c>
      <c r="M85" s="53">
        <f>SUM('DATA MTD'!I85:L85)</f>
        <v>0</v>
      </c>
      <c r="N85" s="53">
        <f>'LOOKUP  telda'!Z44</f>
        <v>0</v>
      </c>
      <c r="O85" s="53">
        <f>'LOOKUP  telda'!AA44</f>
        <v>0</v>
      </c>
      <c r="P85" s="53">
        <f>'LOOKUP  telda'!AE44-'LOOKUP  telda'!AA44</f>
        <v>0</v>
      </c>
      <c r="Q85" s="53">
        <f t="shared" si="4"/>
        <v>0</v>
      </c>
      <c r="R85" s="53">
        <f>'LOOKUP  telda'!AF44</f>
        <v>0</v>
      </c>
    </row>
    <row r="86" spans="2:18">
      <c r="B86" s="164"/>
      <c r="C86" s="52" t="s">
        <v>118</v>
      </c>
      <c r="D86" s="53">
        <f>'LOOKUP  telda'!E45</f>
        <v>0</v>
      </c>
      <c r="E86" s="53">
        <f>'LOOKUP  telda'!F45+'LOOKUP  telda'!G45+'LOOKUP  telda'!H45</f>
        <v>0</v>
      </c>
      <c r="F86" s="53">
        <f>'LOOKUP  telda'!I45</f>
        <v>0</v>
      </c>
      <c r="G86" s="53">
        <f>'LOOKUP  telda'!J45</f>
        <v>0</v>
      </c>
      <c r="H86" s="53">
        <f>'LOOKUP  telda'!K45</f>
        <v>0</v>
      </c>
      <c r="I86" s="53">
        <f>'LOOKUP  telda'!L45</f>
        <v>0</v>
      </c>
      <c r="J86" s="53">
        <f>'LOOKUP  telda'!P45</f>
        <v>0</v>
      </c>
      <c r="K86" s="53">
        <f>'LOOKUP  telda'!X45</f>
        <v>0</v>
      </c>
      <c r="L86" s="53">
        <f>'LOOKUP  telda'!Y45</f>
        <v>0</v>
      </c>
      <c r="M86" s="53">
        <f>SUM('DATA MTD'!I86:L86)</f>
        <v>0</v>
      </c>
      <c r="N86" s="53">
        <f>'LOOKUP  telda'!Z45</f>
        <v>0</v>
      </c>
      <c r="O86" s="53">
        <f>'LOOKUP  telda'!AA45</f>
        <v>0</v>
      </c>
      <c r="P86" s="53">
        <f>'LOOKUP  telda'!AE45-'LOOKUP  telda'!AA45</f>
        <v>0</v>
      </c>
      <c r="Q86" s="53">
        <f t="shared" si="4"/>
        <v>0</v>
      </c>
      <c r="R86" s="53">
        <f>'LOOKUP  telda'!AF45</f>
        <v>0</v>
      </c>
    </row>
    <row r="87" spans="2:18">
      <c r="B87" s="164"/>
      <c r="C87" s="52" t="s">
        <v>119</v>
      </c>
      <c r="D87" s="53">
        <f>'LOOKUP  telda'!E46</f>
        <v>0</v>
      </c>
      <c r="E87" s="53">
        <f>'LOOKUP  telda'!F46+'LOOKUP  telda'!G46+'LOOKUP  telda'!H46</f>
        <v>0</v>
      </c>
      <c r="F87" s="53">
        <f>'LOOKUP  telda'!I46</f>
        <v>0</v>
      </c>
      <c r="G87" s="53">
        <f>'LOOKUP  telda'!J46</f>
        <v>0</v>
      </c>
      <c r="H87" s="53">
        <f>'LOOKUP  telda'!K46</f>
        <v>0</v>
      </c>
      <c r="I87" s="53">
        <f>'LOOKUP  telda'!L46</f>
        <v>0</v>
      </c>
      <c r="J87" s="53">
        <f>'LOOKUP  telda'!P46</f>
        <v>0</v>
      </c>
      <c r="K87" s="53">
        <f>'LOOKUP  telda'!X46</f>
        <v>0</v>
      </c>
      <c r="L87" s="53">
        <f>'LOOKUP  telda'!Y46</f>
        <v>0</v>
      </c>
      <c r="M87" s="53">
        <f>SUM('DATA MTD'!I87:L87)</f>
        <v>0</v>
      </c>
      <c r="N87" s="53">
        <f>'LOOKUP  telda'!Z46</f>
        <v>0</v>
      </c>
      <c r="O87" s="53">
        <f>'LOOKUP  telda'!AA46</f>
        <v>0</v>
      </c>
      <c r="P87" s="53">
        <f>'LOOKUP  telda'!AE46-'LOOKUP  telda'!AA46</f>
        <v>0</v>
      </c>
      <c r="Q87" s="53">
        <f t="shared" si="4"/>
        <v>0</v>
      </c>
      <c r="R87" s="53">
        <f>'LOOKUP  telda'!AF46</f>
        <v>0</v>
      </c>
    </row>
    <row r="88" spans="2:18">
      <c r="B88" s="165"/>
      <c r="C88" s="52" t="s">
        <v>120</v>
      </c>
      <c r="D88" s="53">
        <f>'LOOKUP  telda'!E47</f>
        <v>0</v>
      </c>
      <c r="E88" s="53">
        <f>'LOOKUP  telda'!F47+'LOOKUP  telda'!G47+'LOOKUP  telda'!H47</f>
        <v>0</v>
      </c>
      <c r="F88" s="53">
        <f>'LOOKUP  telda'!I47</f>
        <v>0</v>
      </c>
      <c r="G88" s="53">
        <f>'LOOKUP  telda'!J47</f>
        <v>0</v>
      </c>
      <c r="H88" s="53">
        <f>'LOOKUP  telda'!K47</f>
        <v>0</v>
      </c>
      <c r="I88" s="53">
        <f>'LOOKUP  telda'!L47</f>
        <v>0</v>
      </c>
      <c r="J88" s="53">
        <f>'LOOKUP  telda'!P47</f>
        <v>0</v>
      </c>
      <c r="K88" s="53">
        <f>'LOOKUP  telda'!X47</f>
        <v>0</v>
      </c>
      <c r="L88" s="53">
        <f>'LOOKUP  telda'!Y47</f>
        <v>0</v>
      </c>
      <c r="M88" s="53">
        <f>SUM('DATA MTD'!I88:L88)</f>
        <v>0</v>
      </c>
      <c r="N88" s="53">
        <f>'LOOKUP  telda'!Z47</f>
        <v>0</v>
      </c>
      <c r="O88" s="53">
        <f>'LOOKUP  telda'!AA47</f>
        <v>0</v>
      </c>
      <c r="P88" s="53">
        <f>'LOOKUP  telda'!AE47-'LOOKUP  telda'!AA47</f>
        <v>0</v>
      </c>
      <c r="Q88" s="53">
        <f t="shared" si="4"/>
        <v>0</v>
      </c>
      <c r="R88" s="53">
        <f>'LOOKUP  telda'!AF47</f>
        <v>0</v>
      </c>
    </row>
    <row r="89" spans="2:18">
      <c r="B89" s="163" t="s">
        <v>55</v>
      </c>
      <c r="C89" s="52" t="s">
        <v>121</v>
      </c>
      <c r="D89" s="53">
        <f>'LOOKUP  telda'!E48</f>
        <v>0</v>
      </c>
      <c r="E89" s="53">
        <f>'LOOKUP  telda'!F48+'LOOKUP  telda'!G48+'LOOKUP  telda'!H48</f>
        <v>0</v>
      </c>
      <c r="F89" s="53">
        <f>'LOOKUP  telda'!I48</f>
        <v>0</v>
      </c>
      <c r="G89" s="53">
        <f>'LOOKUP  telda'!J48</f>
        <v>0</v>
      </c>
      <c r="H89" s="53">
        <f>'LOOKUP  telda'!K48</f>
        <v>0</v>
      </c>
      <c r="I89" s="53">
        <f>'LOOKUP  telda'!L48</f>
        <v>0</v>
      </c>
      <c r="J89" s="53">
        <f>'LOOKUP  telda'!P48</f>
        <v>0</v>
      </c>
      <c r="K89" s="53">
        <f>'LOOKUP  telda'!X48</f>
        <v>0</v>
      </c>
      <c r="L89" s="53">
        <f>'LOOKUP  telda'!Y48</f>
        <v>0</v>
      </c>
      <c r="M89" s="53">
        <f>SUM('DATA MTD'!I89:L89)</f>
        <v>0</v>
      </c>
      <c r="N89" s="53">
        <f>'LOOKUP  telda'!Z48</f>
        <v>0</v>
      </c>
      <c r="O89" s="53">
        <f>'LOOKUP  telda'!AA48</f>
        <v>0</v>
      </c>
      <c r="P89" s="53">
        <f>'LOOKUP  telda'!AE48-'LOOKUP  telda'!AA48</f>
        <v>0</v>
      </c>
      <c r="Q89" s="53">
        <f t="shared" si="4"/>
        <v>0</v>
      </c>
      <c r="R89" s="53">
        <f>'LOOKUP  telda'!AF48</f>
        <v>0</v>
      </c>
    </row>
    <row r="90" spans="2:18">
      <c r="B90" s="164"/>
      <c r="C90" s="52" t="s">
        <v>122</v>
      </c>
      <c r="D90" s="53">
        <f>'LOOKUP  telda'!E49</f>
        <v>0</v>
      </c>
      <c r="E90" s="53">
        <f>'LOOKUP  telda'!F49+'LOOKUP  telda'!G49+'LOOKUP  telda'!H49</f>
        <v>0</v>
      </c>
      <c r="F90" s="53">
        <f>'LOOKUP  telda'!I49</f>
        <v>0</v>
      </c>
      <c r="G90" s="53">
        <f>'LOOKUP  telda'!J49</f>
        <v>0</v>
      </c>
      <c r="H90" s="53">
        <f>'LOOKUP  telda'!K49</f>
        <v>0</v>
      </c>
      <c r="I90" s="53">
        <f>'LOOKUP  telda'!L49</f>
        <v>0</v>
      </c>
      <c r="J90" s="53">
        <f>'LOOKUP  telda'!P49</f>
        <v>0</v>
      </c>
      <c r="K90" s="53">
        <f>'LOOKUP  telda'!X49</f>
        <v>0</v>
      </c>
      <c r="L90" s="53">
        <f>'LOOKUP  telda'!Y49</f>
        <v>0</v>
      </c>
      <c r="M90" s="53">
        <f>SUM('DATA MTD'!I90:L90)</f>
        <v>0</v>
      </c>
      <c r="N90" s="53">
        <f>'LOOKUP  telda'!Z49</f>
        <v>0</v>
      </c>
      <c r="O90" s="53">
        <f>'LOOKUP  telda'!AA49</f>
        <v>0</v>
      </c>
      <c r="P90" s="53">
        <f>'LOOKUP  telda'!AE49-'LOOKUP  telda'!AA49</f>
        <v>0</v>
      </c>
      <c r="Q90" s="53">
        <f t="shared" si="4"/>
        <v>0</v>
      </c>
      <c r="R90" s="53">
        <f>'LOOKUP  telda'!AF49</f>
        <v>0</v>
      </c>
    </row>
    <row r="91" spans="2:18">
      <c r="B91" s="164"/>
      <c r="C91" s="52" t="s">
        <v>123</v>
      </c>
      <c r="D91" s="53">
        <f>'LOOKUP  telda'!E50</f>
        <v>0</v>
      </c>
      <c r="E91" s="53">
        <f>'LOOKUP  telda'!F50+'LOOKUP  telda'!G50+'LOOKUP  telda'!H50</f>
        <v>0</v>
      </c>
      <c r="F91" s="53">
        <f>'LOOKUP  telda'!I50</f>
        <v>0</v>
      </c>
      <c r="G91" s="53">
        <f>'LOOKUP  telda'!J50</f>
        <v>0</v>
      </c>
      <c r="H91" s="53">
        <f>'LOOKUP  telda'!K50</f>
        <v>0</v>
      </c>
      <c r="I91" s="53">
        <f>'LOOKUP  telda'!L50</f>
        <v>0</v>
      </c>
      <c r="J91" s="53">
        <f>'LOOKUP  telda'!P50</f>
        <v>0</v>
      </c>
      <c r="K91" s="53">
        <f>'LOOKUP  telda'!X50</f>
        <v>0</v>
      </c>
      <c r="L91" s="53">
        <f>'LOOKUP  telda'!Y50</f>
        <v>0</v>
      </c>
      <c r="M91" s="53">
        <f>SUM('DATA MTD'!I91:L91)</f>
        <v>0</v>
      </c>
      <c r="N91" s="53">
        <f>'LOOKUP  telda'!Z50</f>
        <v>0</v>
      </c>
      <c r="O91" s="53">
        <f>'LOOKUP  telda'!AA50</f>
        <v>0</v>
      </c>
      <c r="P91" s="53">
        <f>'LOOKUP  telda'!AE50-'LOOKUP  telda'!AA50</f>
        <v>0</v>
      </c>
      <c r="Q91" s="53">
        <f t="shared" si="4"/>
        <v>0</v>
      </c>
      <c r="R91" s="53">
        <f>'LOOKUP  telda'!AF50</f>
        <v>0</v>
      </c>
    </row>
    <row r="92" spans="2:18">
      <c r="B92" s="164"/>
      <c r="C92" s="52" t="s">
        <v>124</v>
      </c>
      <c r="D92" s="53">
        <f>'LOOKUP  telda'!E51</f>
        <v>0</v>
      </c>
      <c r="E92" s="53">
        <f>'LOOKUP  telda'!F51+'LOOKUP  telda'!G51+'LOOKUP  telda'!H51</f>
        <v>0</v>
      </c>
      <c r="F92" s="53">
        <f>'LOOKUP  telda'!I51</f>
        <v>0</v>
      </c>
      <c r="G92" s="53">
        <f>'LOOKUP  telda'!J51</f>
        <v>0</v>
      </c>
      <c r="H92" s="53">
        <f>'LOOKUP  telda'!K51</f>
        <v>0</v>
      </c>
      <c r="I92" s="53">
        <f>'LOOKUP  telda'!L51</f>
        <v>0</v>
      </c>
      <c r="J92" s="53">
        <f>'LOOKUP  telda'!P51</f>
        <v>0</v>
      </c>
      <c r="K92" s="53">
        <f>'LOOKUP  telda'!X51</f>
        <v>0</v>
      </c>
      <c r="L92" s="53">
        <f>'LOOKUP  telda'!Y51</f>
        <v>0</v>
      </c>
      <c r="M92" s="53">
        <f>SUM('DATA MTD'!I92:L92)</f>
        <v>0</v>
      </c>
      <c r="N92" s="53">
        <f>'LOOKUP  telda'!Z51</f>
        <v>0</v>
      </c>
      <c r="O92" s="53">
        <f>'LOOKUP  telda'!AA51</f>
        <v>0</v>
      </c>
      <c r="P92" s="53">
        <f>'LOOKUP  telda'!AE51-'LOOKUP  telda'!AA51</f>
        <v>0</v>
      </c>
      <c r="Q92" s="53">
        <f t="shared" si="4"/>
        <v>0</v>
      </c>
      <c r="R92" s="53">
        <f>'LOOKUP  telda'!AF51</f>
        <v>0</v>
      </c>
    </row>
    <row r="93" spans="2:18">
      <c r="B93" s="164"/>
      <c r="C93" s="52" t="s">
        <v>125</v>
      </c>
      <c r="D93" s="53">
        <f>'LOOKUP  telda'!E52</f>
        <v>0</v>
      </c>
      <c r="E93" s="53">
        <f>'LOOKUP  telda'!F52+'LOOKUP  telda'!G52+'LOOKUP  telda'!H52</f>
        <v>0</v>
      </c>
      <c r="F93" s="53">
        <f>'LOOKUP  telda'!I52</f>
        <v>0</v>
      </c>
      <c r="G93" s="53">
        <f>'LOOKUP  telda'!J52</f>
        <v>0</v>
      </c>
      <c r="H93" s="53">
        <f>'LOOKUP  telda'!K52</f>
        <v>0</v>
      </c>
      <c r="I93" s="53">
        <f>'LOOKUP  telda'!L52</f>
        <v>0</v>
      </c>
      <c r="J93" s="53">
        <f>'LOOKUP  telda'!P52</f>
        <v>0</v>
      </c>
      <c r="K93" s="53">
        <f>'LOOKUP  telda'!X52</f>
        <v>0</v>
      </c>
      <c r="L93" s="53">
        <f>'LOOKUP  telda'!Y52</f>
        <v>0</v>
      </c>
      <c r="M93" s="53">
        <f>SUM('DATA MTD'!I93:L93)</f>
        <v>0</v>
      </c>
      <c r="N93" s="53">
        <f>'LOOKUP  telda'!Z52</f>
        <v>0</v>
      </c>
      <c r="O93" s="53">
        <f>'LOOKUP  telda'!AA52</f>
        <v>0</v>
      </c>
      <c r="P93" s="53">
        <f>'LOOKUP  telda'!AE52-'LOOKUP  telda'!AA52</f>
        <v>0</v>
      </c>
      <c r="Q93" s="53">
        <f t="shared" si="4"/>
        <v>0</v>
      </c>
      <c r="R93" s="53">
        <f>'LOOKUP  telda'!AF52</f>
        <v>0</v>
      </c>
    </row>
    <row r="94" spans="2:18">
      <c r="B94" s="164"/>
      <c r="C94" s="52" t="s">
        <v>126</v>
      </c>
      <c r="D94" s="53">
        <f>'LOOKUP  telda'!E53</f>
        <v>0</v>
      </c>
      <c r="E94" s="53">
        <f>'LOOKUP  telda'!F53+'LOOKUP  telda'!G53+'LOOKUP  telda'!H53</f>
        <v>0</v>
      </c>
      <c r="F94" s="53">
        <f>'LOOKUP  telda'!I53</f>
        <v>0</v>
      </c>
      <c r="G94" s="53">
        <f>'LOOKUP  telda'!J53</f>
        <v>0</v>
      </c>
      <c r="H94" s="53">
        <f>'LOOKUP  telda'!K53</f>
        <v>0</v>
      </c>
      <c r="I94" s="53">
        <f>'LOOKUP  telda'!L53</f>
        <v>0</v>
      </c>
      <c r="J94" s="53">
        <f>'LOOKUP  telda'!P53</f>
        <v>0</v>
      </c>
      <c r="K94" s="53">
        <f>'LOOKUP  telda'!X53</f>
        <v>0</v>
      </c>
      <c r="L94" s="53">
        <f>'LOOKUP  telda'!Y53</f>
        <v>0</v>
      </c>
      <c r="M94" s="53">
        <f>SUM('DATA MTD'!I94:L94)</f>
        <v>0</v>
      </c>
      <c r="N94" s="53">
        <f>'LOOKUP  telda'!Z53</f>
        <v>0</v>
      </c>
      <c r="O94" s="53">
        <f>'LOOKUP  telda'!AA53</f>
        <v>0</v>
      </c>
      <c r="P94" s="53">
        <f>'LOOKUP  telda'!AE53-'LOOKUP  telda'!AA53</f>
        <v>0</v>
      </c>
      <c r="Q94" s="53">
        <f t="shared" si="4"/>
        <v>0</v>
      </c>
      <c r="R94" s="53">
        <f>'LOOKUP  telda'!AF53</f>
        <v>0</v>
      </c>
    </row>
    <row r="95" spans="2:18">
      <c r="B95" s="164"/>
      <c r="C95" s="52" t="s">
        <v>127</v>
      </c>
      <c r="D95" s="53">
        <f>'LOOKUP  telda'!E54</f>
        <v>0</v>
      </c>
      <c r="E95" s="53">
        <f>'LOOKUP  telda'!F54+'LOOKUP  telda'!G54+'LOOKUP  telda'!H54</f>
        <v>0</v>
      </c>
      <c r="F95" s="53">
        <f>'LOOKUP  telda'!I54</f>
        <v>0</v>
      </c>
      <c r="G95" s="53">
        <f>'LOOKUP  telda'!J54</f>
        <v>0</v>
      </c>
      <c r="H95" s="53">
        <f>'LOOKUP  telda'!K54</f>
        <v>0</v>
      </c>
      <c r="I95" s="53">
        <f>'LOOKUP  telda'!L54</f>
        <v>0</v>
      </c>
      <c r="J95" s="53">
        <f>'LOOKUP  telda'!P54</f>
        <v>0</v>
      </c>
      <c r="K95" s="53">
        <f>'LOOKUP  telda'!X54</f>
        <v>0</v>
      </c>
      <c r="L95" s="53">
        <f>'LOOKUP  telda'!Y54</f>
        <v>0</v>
      </c>
      <c r="M95" s="53">
        <f>SUM('DATA MTD'!I95:L95)</f>
        <v>0</v>
      </c>
      <c r="N95" s="53">
        <f>'LOOKUP  telda'!Z54</f>
        <v>0</v>
      </c>
      <c r="O95" s="53">
        <f>'LOOKUP  telda'!AA54</f>
        <v>0</v>
      </c>
      <c r="P95" s="53">
        <f>'LOOKUP  telda'!AE54-'LOOKUP  telda'!AA54</f>
        <v>0</v>
      </c>
      <c r="Q95" s="53">
        <f t="shared" si="4"/>
        <v>0</v>
      </c>
      <c r="R95" s="53">
        <f>'LOOKUP  telda'!AF54</f>
        <v>0</v>
      </c>
    </row>
    <row r="96" spans="2:18">
      <c r="B96" s="165"/>
      <c r="C96" s="52" t="s">
        <v>128</v>
      </c>
      <c r="D96" s="53">
        <f>'LOOKUP  telda'!E55</f>
        <v>0</v>
      </c>
      <c r="E96" s="53">
        <f>'LOOKUP  telda'!F55+'LOOKUP  telda'!G55+'LOOKUP  telda'!H55</f>
        <v>0</v>
      </c>
      <c r="F96" s="53">
        <f>'LOOKUP  telda'!I55</f>
        <v>0</v>
      </c>
      <c r="G96" s="53">
        <f>'LOOKUP  telda'!J55</f>
        <v>0</v>
      </c>
      <c r="H96" s="53">
        <f>'LOOKUP  telda'!K55</f>
        <v>0</v>
      </c>
      <c r="I96" s="53">
        <f>'LOOKUP  telda'!L55</f>
        <v>0</v>
      </c>
      <c r="J96" s="53">
        <f>'LOOKUP  telda'!P55</f>
        <v>0</v>
      </c>
      <c r="K96" s="53">
        <f>'LOOKUP  telda'!X55</f>
        <v>0</v>
      </c>
      <c r="L96" s="53">
        <f>'LOOKUP  telda'!Y55</f>
        <v>0</v>
      </c>
      <c r="M96" s="53">
        <f>SUM('DATA MTD'!I96:L96)</f>
        <v>0</v>
      </c>
      <c r="N96" s="53">
        <f>'LOOKUP  telda'!Z55</f>
        <v>0</v>
      </c>
      <c r="O96" s="53">
        <f>'LOOKUP  telda'!AA55</f>
        <v>0</v>
      </c>
      <c r="P96" s="53">
        <f>'LOOKUP  telda'!AE55-'LOOKUP  telda'!AA55</f>
        <v>0</v>
      </c>
      <c r="Q96" s="53">
        <f t="shared" si="4"/>
        <v>0</v>
      </c>
      <c r="R96" s="53">
        <f>'LOOKUP  telda'!AF55</f>
        <v>0</v>
      </c>
    </row>
    <row r="97" spans="2:18" ht="15.5">
      <c r="B97" s="161" t="s">
        <v>62</v>
      </c>
      <c r="C97" s="162"/>
      <c r="D97" s="56" t="e">
        <f>SUM(D47:D96)</f>
        <v>#REF!</v>
      </c>
      <c r="E97" s="56" t="e">
        <f t="shared" ref="E97:R97" si="5">SUM(E47:E96)</f>
        <v>#REF!</v>
      </c>
      <c r="F97" s="56" t="e">
        <f t="shared" si="5"/>
        <v>#REF!</v>
      </c>
      <c r="G97" s="56" t="e">
        <f t="shared" si="5"/>
        <v>#REF!</v>
      </c>
      <c r="H97" s="56" t="e">
        <f t="shared" si="5"/>
        <v>#REF!</v>
      </c>
      <c r="I97" s="56" t="e">
        <f t="shared" si="5"/>
        <v>#REF!</v>
      </c>
      <c r="J97" s="56" t="e">
        <f t="shared" si="5"/>
        <v>#REF!</v>
      </c>
      <c r="K97" s="56" t="e">
        <f t="shared" si="5"/>
        <v>#REF!</v>
      </c>
      <c r="L97" s="56" t="e">
        <f t="shared" si="5"/>
        <v>#REF!</v>
      </c>
      <c r="M97" s="56" t="e">
        <f t="shared" si="5"/>
        <v>#REF!</v>
      </c>
      <c r="N97" s="56" t="e">
        <f t="shared" si="5"/>
        <v>#REF!</v>
      </c>
      <c r="O97" s="56" t="e">
        <f t="shared" si="5"/>
        <v>#REF!</v>
      </c>
      <c r="P97" s="56" t="e">
        <f t="shared" si="5"/>
        <v>#REF!</v>
      </c>
      <c r="Q97" s="56" t="e">
        <f t="shared" si="5"/>
        <v>#REF!</v>
      </c>
      <c r="R97" s="56" t="e">
        <f t="shared" si="5"/>
        <v>#REF!</v>
      </c>
    </row>
  </sheetData>
  <mergeCells count="76"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  <mergeCell ref="AD6:AD9"/>
    <mergeCell ref="AE6:AE9"/>
    <mergeCell ref="AF6:AF9"/>
    <mergeCell ref="AG6:AG9"/>
    <mergeCell ref="AH6:AH9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M23:M26"/>
    <mergeCell ref="M43:M46"/>
    <mergeCell ref="E43:E46"/>
    <mergeCell ref="F43:F46"/>
    <mergeCell ref="G43:G46"/>
    <mergeCell ref="H43:H46"/>
    <mergeCell ref="I44:I46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</mergeCells>
  <conditionalFormatting sqref="C47:R96">
    <cfRule type="expression" dxfId="2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B1" zoomScale="70" zoomScaleNormal="70" workbookViewId="0">
      <selection activeCell="S10" sqref="S10"/>
    </sheetView>
  </sheetViews>
  <sheetFormatPr defaultColWidth="9" defaultRowHeight="14.5"/>
  <cols>
    <col min="2" max="2" width="22.81640625" style="19" customWidth="1"/>
    <col min="3" max="3" width="21" customWidth="1"/>
    <col min="4" max="4" width="13.26953125" customWidth="1"/>
    <col min="5" max="5" width="16" customWidth="1"/>
    <col min="6" max="6" width="13.54296875" customWidth="1"/>
    <col min="7" max="7" width="9.7265625" customWidth="1"/>
    <col min="8" max="8" width="10.81640625" customWidth="1"/>
    <col min="9" max="9" width="9" customWidth="1"/>
    <col min="10" max="10" width="12.7265625" customWidth="1"/>
    <col min="11" max="11" width="10.453125" customWidth="1"/>
    <col min="12" max="12" width="11.1796875" customWidth="1"/>
    <col min="13" max="13" width="12.26953125" customWidth="1"/>
    <col min="14" max="14" width="10.81640625" customWidth="1"/>
    <col min="15" max="15" width="13.1796875" customWidth="1"/>
    <col min="16" max="16" width="13.453125" customWidth="1"/>
    <col min="17" max="17" width="12" customWidth="1"/>
    <col min="18" max="18" width="13.1796875" customWidth="1"/>
    <col min="19" max="19" width="13.54296875" customWidth="1"/>
    <col min="20" max="20" width="9.1796875" customWidth="1"/>
    <col min="21" max="21" width="11.453125" customWidth="1"/>
    <col min="22" max="22" width="20" customWidth="1"/>
    <col min="27" max="27" width="11.54296875" customWidth="1"/>
  </cols>
  <sheetData>
    <row r="2" spans="3:31" ht="18.5">
      <c r="C2" s="106" t="str">
        <f ca="1">"PROVISIONING NEW SALES INDIBIZ TR3 JBN MTD  "&amp;TEXT(TODAY()-1,"YYYY-MM-DD ")</f>
        <v xml:space="preserve">PROVISIONING NEW SALES INDIBIZ TR3 JBN MTD  2026-10-01 </v>
      </c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5">
      <c r="C3" s="106" t="str">
        <f ca="1">"PERIODE ORDER &amp; PS : 2026-01-01 to  "&amp;TEXT(TODAY()-1,"YYYY-MM-DD ")</f>
        <v xml:space="preserve">PERIODE ORDER &amp; PS : 2026-01-01 to  2026-10-01 </v>
      </c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80" t="s">
        <v>586</v>
      </c>
      <c r="D4" s="180"/>
      <c r="E4" s="180"/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0"/>
      <c r="Q4" s="180"/>
      <c r="R4" s="180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5" customHeight="1">
      <c r="C6" s="181" t="s">
        <v>1</v>
      </c>
      <c r="D6" s="108" t="s">
        <v>129</v>
      </c>
      <c r="E6" s="108" t="s">
        <v>67</v>
      </c>
      <c r="F6" s="111" t="s">
        <v>12</v>
      </c>
      <c r="G6" s="112"/>
      <c r="H6" s="113"/>
      <c r="I6" s="120" t="s">
        <v>14</v>
      </c>
      <c r="J6" s="123" t="s">
        <v>8</v>
      </c>
      <c r="K6" s="123" t="s">
        <v>9</v>
      </c>
      <c r="L6" s="127" t="s">
        <v>10</v>
      </c>
      <c r="M6" s="128"/>
      <c r="N6" s="128"/>
      <c r="O6" s="129"/>
      <c r="P6" s="136" t="s">
        <v>11</v>
      </c>
      <c r="Q6" s="101" t="s">
        <v>130</v>
      </c>
      <c r="R6" s="101" t="s">
        <v>131</v>
      </c>
      <c r="S6" s="101" t="s">
        <v>132</v>
      </c>
    </row>
    <row r="7" spans="3:31" ht="15.65" customHeight="1">
      <c r="C7" s="182"/>
      <c r="D7" s="109"/>
      <c r="E7" s="109"/>
      <c r="F7" s="114"/>
      <c r="G7" s="115"/>
      <c r="H7" s="116"/>
      <c r="I7" s="121"/>
      <c r="J7" s="124"/>
      <c r="K7" s="124"/>
      <c r="L7" s="130"/>
      <c r="M7" s="131"/>
      <c r="N7" s="131"/>
      <c r="O7" s="132"/>
      <c r="P7" s="137"/>
      <c r="Q7" s="102"/>
      <c r="R7" s="102"/>
      <c r="S7" s="102"/>
    </row>
    <row r="8" spans="3:31" ht="14.5" customHeight="1">
      <c r="C8" s="182"/>
      <c r="D8" s="109"/>
      <c r="E8" s="109"/>
      <c r="F8" s="117"/>
      <c r="G8" s="118"/>
      <c r="H8" s="119"/>
      <c r="I8" s="121"/>
      <c r="J8" s="124"/>
      <c r="K8" s="124"/>
      <c r="L8" s="133"/>
      <c r="M8" s="134"/>
      <c r="N8" s="134"/>
      <c r="O8" s="135"/>
      <c r="P8" s="137"/>
      <c r="Q8" s="102"/>
      <c r="R8" s="102"/>
      <c r="S8" s="102"/>
    </row>
    <row r="9" spans="3:31" ht="49.5" customHeight="1">
      <c r="C9" s="183"/>
      <c r="D9" s="110"/>
      <c r="E9" s="110"/>
      <c r="F9" s="22" t="s">
        <v>133</v>
      </c>
      <c r="G9" s="22" t="s">
        <v>30</v>
      </c>
      <c r="H9" s="22" t="s">
        <v>69</v>
      </c>
      <c r="I9" s="122"/>
      <c r="J9" s="125"/>
      <c r="K9" s="125"/>
      <c r="L9" s="37" t="s">
        <v>2</v>
      </c>
      <c r="M9" s="37" t="s">
        <v>18</v>
      </c>
      <c r="N9" s="37" t="s">
        <v>20</v>
      </c>
      <c r="O9" s="37" t="s">
        <v>22</v>
      </c>
      <c r="P9" s="138"/>
      <c r="Q9" s="103"/>
      <c r="R9" s="103"/>
      <c r="S9" s="103"/>
      <c r="X9">
        <f>205/216</f>
        <v>0.94907407407407407</v>
      </c>
    </row>
    <row r="10" spans="3:31" ht="15.5">
      <c r="C10" s="23" t="s">
        <v>34</v>
      </c>
      <c r="D10" s="24">
        <f>'COPY DATA XPRO'!E63</f>
        <v>6</v>
      </c>
      <c r="E10" s="24">
        <f>'COPY DATA XPRO'!F63+'COPY DATA XPRO'!G63+'COPY DATA XPRO'!H63</f>
        <v>0</v>
      </c>
      <c r="F10" s="24">
        <f>'COPY DATA XPRO'!I63</f>
        <v>0</v>
      </c>
      <c r="G10" s="24">
        <f>'COPY DATA XPRO'!AA63</f>
        <v>0</v>
      </c>
      <c r="H10" s="24">
        <f>'COPY DATA XPRO'!AE63-HARIAN!G10</f>
        <v>0</v>
      </c>
      <c r="I10" s="24">
        <f>'COPY DATA XPRO'!AF63</f>
        <v>0</v>
      </c>
      <c r="J10" s="24">
        <f>'COPY DATA XPRO'!J63</f>
        <v>1</v>
      </c>
      <c r="K10" s="24">
        <f>'COPY DATA XPRO'!K63</f>
        <v>0</v>
      </c>
      <c r="L10" s="24">
        <f>'COPY DATA XPRO'!L63</f>
        <v>1</v>
      </c>
      <c r="M10" s="24">
        <f>'COPY DATA XPRO'!P63</f>
        <v>1</v>
      </c>
      <c r="N10" s="24">
        <f>'COPY DATA XPRO'!X63</f>
        <v>0</v>
      </c>
      <c r="O10" s="24">
        <f>'COPY DATA XPRO'!Y63</f>
        <v>2</v>
      </c>
      <c r="P10" s="24">
        <f>'COPY DATA XPRO'!Z63</f>
        <v>1</v>
      </c>
      <c r="Q10" s="40">
        <f t="shared" ref="Q10:R15" si="0">T10</f>
        <v>0.16666666666666666</v>
      </c>
      <c r="R10" s="40">
        <f>U10</f>
        <v>0.25</v>
      </c>
      <c r="S10" s="40">
        <f>VLOOKUP(C10,Sheet3!$A$19:$G$81,7,FALSE)</f>
        <v>1</v>
      </c>
      <c r="T10" s="8">
        <f t="shared" ref="T10:T15" si="1">P10/(D10-F10-K10-I10)</f>
        <v>0.16666666666666666</v>
      </c>
      <c r="U10" s="8">
        <f>P10/(M10+N10+O10+P10)</f>
        <v>0.25</v>
      </c>
    </row>
    <row r="11" spans="3:31" ht="15.5">
      <c r="C11" s="23" t="s">
        <v>38</v>
      </c>
      <c r="D11" s="24">
        <f>'COPY DATA XPRO'!E64</f>
        <v>18</v>
      </c>
      <c r="E11" s="24">
        <f>'COPY DATA XPRO'!F64+'COPY DATA XPRO'!G64+'COPY DATA XPRO'!H64</f>
        <v>0</v>
      </c>
      <c r="F11" s="24">
        <f>'COPY DATA XPRO'!I64</f>
        <v>0</v>
      </c>
      <c r="G11" s="24">
        <f>'COPY DATA XPRO'!AA64</f>
        <v>0</v>
      </c>
      <c r="H11" s="24">
        <f>'COPY DATA XPRO'!AE64-HARIAN!G11</f>
        <v>0</v>
      </c>
      <c r="I11" s="24">
        <f>'COPY DATA XPRO'!AF64</f>
        <v>0</v>
      </c>
      <c r="J11" s="24">
        <f>'COPY DATA XPRO'!J64</f>
        <v>6</v>
      </c>
      <c r="K11" s="24">
        <f>'COPY DATA XPRO'!K64</f>
        <v>0</v>
      </c>
      <c r="L11" s="24">
        <f>'COPY DATA XPRO'!L64</f>
        <v>2</v>
      </c>
      <c r="M11" s="24">
        <f>'COPY DATA XPRO'!P64</f>
        <v>0</v>
      </c>
      <c r="N11" s="24">
        <f>'COPY DATA XPRO'!X64</f>
        <v>0</v>
      </c>
      <c r="O11" s="24">
        <f>'COPY DATA XPRO'!Y64</f>
        <v>1</v>
      </c>
      <c r="P11" s="24">
        <f>'COPY DATA XPRO'!Z64</f>
        <v>7</v>
      </c>
      <c r="Q11" s="40">
        <f t="shared" si="0"/>
        <v>0.3888888888888889</v>
      </c>
      <c r="R11" s="40">
        <f t="shared" si="0"/>
        <v>0.875</v>
      </c>
      <c r="S11" s="40">
        <f>VLOOKUP(C11,Sheet3!$A$19:$G$81,7,FALSE)</f>
        <v>1</v>
      </c>
      <c r="T11" s="8">
        <f t="shared" si="1"/>
        <v>0.3888888888888889</v>
      </c>
      <c r="U11" s="8">
        <f t="shared" ref="U11:U15" si="2">P11/(M11+N11+O11+P11)</f>
        <v>0.875</v>
      </c>
    </row>
    <row r="12" spans="3:31" ht="15.5">
      <c r="C12" s="23" t="s">
        <v>42</v>
      </c>
      <c r="D12" s="24">
        <f>'COPY DATA XPRO'!E65</f>
        <v>13</v>
      </c>
      <c r="E12" s="24">
        <f>'COPY DATA XPRO'!F65+'COPY DATA XPRO'!G65+'COPY DATA XPRO'!H65</f>
        <v>0</v>
      </c>
      <c r="F12" s="24">
        <f>'COPY DATA XPRO'!I65</f>
        <v>0</v>
      </c>
      <c r="G12" s="24">
        <f>'COPY DATA XPRO'!AA65</f>
        <v>0</v>
      </c>
      <c r="H12" s="24">
        <f>'COPY DATA XPRO'!AE65-HARIAN!G12</f>
        <v>0</v>
      </c>
      <c r="I12" s="24">
        <f>'COPY DATA XPRO'!AF65</f>
        <v>0</v>
      </c>
      <c r="J12" s="24">
        <f>'COPY DATA XPRO'!J65</f>
        <v>1</v>
      </c>
      <c r="K12" s="24">
        <f>'COPY DATA XPRO'!K65</f>
        <v>0</v>
      </c>
      <c r="L12" s="24">
        <f>'COPY DATA XPRO'!L65</f>
        <v>1</v>
      </c>
      <c r="M12" s="24">
        <f>'COPY DATA XPRO'!P65</f>
        <v>2</v>
      </c>
      <c r="N12" s="24">
        <f>'COPY DATA XPRO'!X65</f>
        <v>0</v>
      </c>
      <c r="O12" s="24">
        <f>'COPY DATA XPRO'!Y65</f>
        <v>4</v>
      </c>
      <c r="P12" s="24">
        <f>'COPY DATA XPRO'!Z65</f>
        <v>4</v>
      </c>
      <c r="Q12" s="40">
        <f t="shared" si="0"/>
        <v>0.30769230769230771</v>
      </c>
      <c r="R12" s="40">
        <f t="shared" si="0"/>
        <v>0.4</v>
      </c>
      <c r="S12" s="40">
        <f>VLOOKUP(C12,Sheet3!$A$19:$G$81,7,FALSE)</f>
        <v>1</v>
      </c>
      <c r="T12" s="8">
        <f t="shared" si="1"/>
        <v>0.30769230769230771</v>
      </c>
      <c r="U12" s="8">
        <f t="shared" si="2"/>
        <v>0.4</v>
      </c>
    </row>
    <row r="13" spans="3:31" ht="15.5">
      <c r="C13" s="23" t="s">
        <v>45</v>
      </c>
      <c r="D13" s="24">
        <f>'COPY DATA XPRO'!E66</f>
        <v>16</v>
      </c>
      <c r="E13" s="24">
        <f>'COPY DATA XPRO'!F66+'COPY DATA XPRO'!G66+'COPY DATA XPRO'!H66</f>
        <v>0</v>
      </c>
      <c r="F13" s="24">
        <f>'COPY DATA XPRO'!I66</f>
        <v>0</v>
      </c>
      <c r="G13" s="24">
        <f>'COPY DATA XPRO'!AA66</f>
        <v>0</v>
      </c>
      <c r="H13" s="24">
        <f>'COPY DATA XPRO'!AE66-HARIAN!G13</f>
        <v>0</v>
      </c>
      <c r="I13" s="24">
        <f>'COPY DATA XPRO'!AF66</f>
        <v>0</v>
      </c>
      <c r="J13" s="24">
        <f>'COPY DATA XPRO'!J66</f>
        <v>3</v>
      </c>
      <c r="K13" s="24">
        <f>'COPY DATA XPRO'!K66</f>
        <v>1</v>
      </c>
      <c r="L13" s="24">
        <f>'COPY DATA XPRO'!L66</f>
        <v>2</v>
      </c>
      <c r="M13" s="24">
        <f>'COPY DATA XPRO'!P66</f>
        <v>4</v>
      </c>
      <c r="N13" s="24">
        <f>'COPY DATA XPRO'!X66</f>
        <v>0</v>
      </c>
      <c r="O13" s="24">
        <f>'COPY DATA XPRO'!Y66</f>
        <v>4</v>
      </c>
      <c r="P13" s="24">
        <f>'COPY DATA XPRO'!Z66</f>
        <v>1</v>
      </c>
      <c r="Q13" s="40">
        <f t="shared" si="0"/>
        <v>6.6666666666666666E-2</v>
      </c>
      <c r="R13" s="40">
        <f t="shared" si="0"/>
        <v>0.1111111111111111</v>
      </c>
      <c r="S13" s="40">
        <f>VLOOKUP(C13,Sheet3!$A$19:$G$81,7,FALSE)</f>
        <v>1</v>
      </c>
      <c r="T13" s="8">
        <f t="shared" si="1"/>
        <v>6.6666666666666666E-2</v>
      </c>
      <c r="U13" s="8">
        <f t="shared" si="2"/>
        <v>0.1111111111111111</v>
      </c>
    </row>
    <row r="14" spans="3:31" ht="15.5">
      <c r="C14" s="23" t="s">
        <v>55</v>
      </c>
      <c r="D14" s="24">
        <f>'COPY DATA XPRO'!E69</f>
        <v>21</v>
      </c>
      <c r="E14" s="24">
        <f>'COPY DATA XPRO'!F69+'COPY DATA XPRO'!G69+'COPY DATA XPRO'!H69</f>
        <v>0</v>
      </c>
      <c r="F14" s="24">
        <f>'COPY DATA XPRO'!I69</f>
        <v>0</v>
      </c>
      <c r="G14" s="24">
        <f>'COPY DATA XPRO'!AA69</f>
        <v>0</v>
      </c>
      <c r="H14" s="24">
        <f>'COPY DATA XPRO'!AE69-HARIAN!G14</f>
        <v>0</v>
      </c>
      <c r="I14" s="24">
        <f>'COPY DATA XPRO'!AF69</f>
        <v>1</v>
      </c>
      <c r="J14" s="24">
        <f>'COPY DATA XPRO'!J69</f>
        <v>10</v>
      </c>
      <c r="K14" s="24">
        <f>'COPY DATA XPRO'!K69</f>
        <v>0</v>
      </c>
      <c r="L14" s="24">
        <f>'COPY DATA XPRO'!L69</f>
        <v>1</v>
      </c>
      <c r="M14" s="24">
        <f>'COPY DATA XPRO'!P69</f>
        <v>0</v>
      </c>
      <c r="N14" s="24">
        <f>'COPY DATA XPRO'!X69</f>
        <v>1</v>
      </c>
      <c r="O14" s="24">
        <f>'COPY DATA XPRO'!Y69</f>
        <v>1</v>
      </c>
      <c r="P14" s="24">
        <f>'COPY DATA XPRO'!Z69</f>
        <v>6</v>
      </c>
      <c r="Q14" s="40">
        <f t="shared" si="0"/>
        <v>0.3</v>
      </c>
      <c r="R14" s="40">
        <f t="shared" si="0"/>
        <v>0.75</v>
      </c>
      <c r="S14" s="40">
        <f>VLOOKUP(C14,Sheet3!$A$19:$G$81,7,FALSE)</f>
        <v>1</v>
      </c>
      <c r="T14" s="8">
        <f t="shared" si="1"/>
        <v>0.3</v>
      </c>
      <c r="U14" s="8">
        <f t="shared" si="2"/>
        <v>0.75</v>
      </c>
    </row>
    <row r="15" spans="3:31" ht="15.5">
      <c r="C15" s="25" t="s">
        <v>62</v>
      </c>
      <c r="D15" s="26">
        <f>SUM(D10:D14)</f>
        <v>74</v>
      </c>
      <c r="E15" s="26">
        <f>SUM(E10:E14)</f>
        <v>0</v>
      </c>
      <c r="F15" s="26">
        <f>SUM(F10:F14)</f>
        <v>0</v>
      </c>
      <c r="G15" s="26">
        <f t="shared" ref="G15:P15" si="3">SUM(G10:G14)</f>
        <v>0</v>
      </c>
      <c r="H15" s="26">
        <f t="shared" si="3"/>
        <v>0</v>
      </c>
      <c r="I15" s="26">
        <f t="shared" si="3"/>
        <v>1</v>
      </c>
      <c r="J15" s="26">
        <f t="shared" si="3"/>
        <v>21</v>
      </c>
      <c r="K15" s="26">
        <f t="shared" si="3"/>
        <v>1</v>
      </c>
      <c r="L15" s="26">
        <f t="shared" si="3"/>
        <v>7</v>
      </c>
      <c r="M15" s="26">
        <f t="shared" si="3"/>
        <v>7</v>
      </c>
      <c r="N15" s="26">
        <f t="shared" si="3"/>
        <v>1</v>
      </c>
      <c r="O15" s="26">
        <f t="shared" si="3"/>
        <v>12</v>
      </c>
      <c r="P15" s="26">
        <f t="shared" si="3"/>
        <v>19</v>
      </c>
      <c r="Q15" s="41">
        <f t="shared" si="0"/>
        <v>0.2638888888888889</v>
      </c>
      <c r="R15" s="41">
        <f>U15</f>
        <v>0.48717948717948717</v>
      </c>
      <c r="S15" s="41">
        <f>Sheet3!G10</f>
        <v>1</v>
      </c>
      <c r="T15" s="8">
        <f t="shared" si="1"/>
        <v>0.2638888888888889</v>
      </c>
      <c r="U15" s="8">
        <f t="shared" si="2"/>
        <v>0.48717948717948717</v>
      </c>
    </row>
    <row r="16" spans="3:31" ht="16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5">
      <c r="C17" s="28" t="s">
        <v>71</v>
      </c>
      <c r="D17" s="104" t="s">
        <v>72</v>
      </c>
      <c r="E17" s="105"/>
      <c r="G17" s="60" t="s">
        <v>134</v>
      </c>
      <c r="H17" s="61"/>
      <c r="I17" s="61"/>
      <c r="J17" s="61"/>
      <c r="K17" s="61"/>
      <c r="L17" s="60" t="s">
        <v>529</v>
      </c>
      <c r="M17" s="61"/>
      <c r="N17" s="61"/>
    </row>
    <row r="18" spans="2:22" ht="15.5">
      <c r="C18" s="29"/>
      <c r="D18" s="139" t="s">
        <v>73</v>
      </c>
      <c r="E18" s="140"/>
      <c r="G18" s="61" t="s">
        <v>135</v>
      </c>
      <c r="H18" s="61"/>
      <c r="I18" s="61"/>
      <c r="J18" s="61"/>
      <c r="K18" s="61"/>
      <c r="L18" s="61" t="s">
        <v>530</v>
      </c>
      <c r="M18" s="61"/>
      <c r="N18" s="61"/>
    </row>
    <row r="19" spans="2:22">
      <c r="C19" s="30"/>
      <c r="D19" s="139" t="s">
        <v>74</v>
      </c>
      <c r="E19" s="140"/>
      <c r="G19" s="61" t="s">
        <v>136</v>
      </c>
      <c r="H19" s="61"/>
      <c r="I19" s="61"/>
      <c r="J19" s="61"/>
      <c r="K19" s="61"/>
      <c r="L19" s="61" t="s">
        <v>531</v>
      </c>
      <c r="M19" s="61"/>
      <c r="N19" s="61"/>
    </row>
    <row r="20" spans="2:22">
      <c r="C20" s="31"/>
      <c r="D20" s="139" t="s">
        <v>75</v>
      </c>
      <c r="E20" s="140"/>
      <c r="G20" s="61" t="s">
        <v>137</v>
      </c>
      <c r="H20" s="61"/>
      <c r="I20" s="61"/>
      <c r="J20" s="61"/>
      <c r="K20" s="61"/>
      <c r="L20" s="61" t="s">
        <v>532</v>
      </c>
      <c r="M20" s="61"/>
      <c r="N20" s="61"/>
    </row>
    <row r="21" spans="2:22">
      <c r="C21" s="32"/>
      <c r="D21" s="139" t="s">
        <v>76</v>
      </c>
      <c r="E21" s="140"/>
      <c r="G21" s="61" t="s">
        <v>533</v>
      </c>
      <c r="H21" s="61"/>
      <c r="I21" s="61"/>
      <c r="J21" s="61"/>
      <c r="K21" s="61"/>
      <c r="L21" s="61"/>
      <c r="M21" s="61"/>
      <c r="N21" s="61"/>
    </row>
    <row r="22" spans="2:22" ht="15" thickBot="1">
      <c r="C22" s="33"/>
      <c r="D22" s="141" t="s">
        <v>138</v>
      </c>
      <c r="E22" s="142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79" t="str">
        <f ca="1">C2</f>
        <v xml:space="preserve">PROVISIONING NEW SALES INDIBIZ TR3 JBN MTD  2026-10-01 </v>
      </c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34"/>
    </row>
    <row r="25" spans="2:22">
      <c r="B25" s="179" t="str">
        <f ca="1">C3</f>
        <v xml:space="preserve">PERIODE ORDER &amp; PS : 2026-01-01 to  2026-10-01 </v>
      </c>
      <c r="C25" s="179"/>
      <c r="D25" s="179"/>
      <c r="E25" s="179"/>
      <c r="F25" s="179"/>
      <c r="G25" s="179"/>
      <c r="H25" s="179"/>
      <c r="I25" s="179"/>
      <c r="J25" s="179"/>
      <c r="K25" s="179"/>
      <c r="L25" s="179"/>
      <c r="M25" s="179"/>
      <c r="N25" s="179"/>
      <c r="O25" s="179"/>
      <c r="P25" s="179"/>
      <c r="Q25" s="179"/>
      <c r="R25" s="179"/>
      <c r="S25" s="34"/>
    </row>
    <row r="26" spans="2:22" ht="18.5">
      <c r="B26" s="143" t="str">
        <f>C4</f>
        <v>Last update proses : 06-03-2026 15:19:48 WIB (Source: ETL XPRO)</v>
      </c>
      <c r="C26" s="143"/>
      <c r="D26" s="143"/>
      <c r="E26" s="143"/>
      <c r="F26" s="143"/>
      <c r="G26" s="143"/>
      <c r="H26" s="143"/>
      <c r="I26" s="143"/>
      <c r="J26" s="143"/>
      <c r="K26" s="143"/>
      <c r="L26" s="143"/>
      <c r="M26" s="143"/>
      <c r="N26" s="143"/>
      <c r="O26" s="143"/>
      <c r="P26" s="143"/>
      <c r="Q26" s="143"/>
      <c r="R26" s="143"/>
      <c r="S26" s="35"/>
    </row>
    <row r="27" spans="2:22" ht="15.5">
      <c r="B27" s="144"/>
      <c r="C27" s="144"/>
      <c r="D27" s="144"/>
      <c r="E27" s="144"/>
      <c r="F27" s="144"/>
      <c r="G27" s="144"/>
      <c r="H27" s="144"/>
      <c r="I27" s="144"/>
      <c r="J27" s="144"/>
      <c r="K27" s="144"/>
      <c r="L27" s="144"/>
      <c r="M27" s="144"/>
      <c r="N27" s="144"/>
      <c r="O27" s="144"/>
      <c r="P27" s="144"/>
      <c r="Q27" s="144"/>
      <c r="R27" s="144"/>
      <c r="S27" s="36"/>
    </row>
    <row r="29" spans="2:22" ht="15.65" customHeight="1">
      <c r="B29" s="146" t="s">
        <v>1</v>
      </c>
      <c r="C29" s="145" t="s">
        <v>78</v>
      </c>
      <c r="D29" s="146" t="s">
        <v>129</v>
      </c>
      <c r="E29" s="146" t="s">
        <v>67</v>
      </c>
      <c r="F29" s="189" t="s">
        <v>12</v>
      </c>
      <c r="G29" s="189"/>
      <c r="H29" s="189"/>
      <c r="I29" s="189" t="s">
        <v>14</v>
      </c>
      <c r="J29" s="148" t="s">
        <v>8</v>
      </c>
      <c r="K29" s="148" t="s">
        <v>9</v>
      </c>
      <c r="L29" s="148" t="s">
        <v>10</v>
      </c>
      <c r="M29" s="148"/>
      <c r="N29" s="148"/>
      <c r="O29" s="148"/>
      <c r="P29" s="151" t="s">
        <v>11</v>
      </c>
      <c r="Q29" s="152" t="s">
        <v>130</v>
      </c>
      <c r="R29" s="152" t="s">
        <v>131</v>
      </c>
      <c r="S29" s="152" t="s">
        <v>132</v>
      </c>
    </row>
    <row r="30" spans="2:22" ht="14.5" customHeight="1">
      <c r="B30" s="146"/>
      <c r="C30" s="145"/>
      <c r="D30" s="146"/>
      <c r="E30" s="146"/>
      <c r="F30" s="189"/>
      <c r="G30" s="189"/>
      <c r="H30" s="189"/>
      <c r="I30" s="189"/>
      <c r="J30" s="148"/>
      <c r="K30" s="148"/>
      <c r="L30" s="148"/>
      <c r="M30" s="148"/>
      <c r="N30" s="148"/>
      <c r="O30" s="148"/>
      <c r="P30" s="151"/>
      <c r="Q30" s="152"/>
      <c r="R30" s="152"/>
      <c r="S30" s="152"/>
    </row>
    <row r="31" spans="2:22" ht="14.5" customHeight="1">
      <c r="B31" s="146"/>
      <c r="C31" s="145"/>
      <c r="D31" s="146"/>
      <c r="E31" s="146"/>
      <c r="F31" s="189"/>
      <c r="G31" s="189"/>
      <c r="H31" s="189"/>
      <c r="I31" s="189"/>
      <c r="J31" s="148"/>
      <c r="K31" s="148"/>
      <c r="L31" s="148"/>
      <c r="M31" s="148"/>
      <c r="N31" s="148"/>
      <c r="O31" s="148"/>
      <c r="P31" s="151"/>
      <c r="Q31" s="152"/>
      <c r="R31" s="152"/>
      <c r="S31" s="152"/>
    </row>
    <row r="32" spans="2:22" ht="31">
      <c r="B32" s="146"/>
      <c r="C32" s="145"/>
      <c r="D32" s="146"/>
      <c r="E32" s="146"/>
      <c r="F32" s="22" t="s">
        <v>133</v>
      </c>
      <c r="G32" s="22" t="s">
        <v>30</v>
      </c>
      <c r="H32" s="22" t="s">
        <v>69</v>
      </c>
      <c r="I32" s="189"/>
      <c r="J32" s="148"/>
      <c r="K32" s="148"/>
      <c r="L32" s="37" t="s">
        <v>2</v>
      </c>
      <c r="M32" s="37" t="s">
        <v>18</v>
      </c>
      <c r="N32" s="37" t="s">
        <v>20</v>
      </c>
      <c r="O32" s="37" t="s">
        <v>22</v>
      </c>
      <c r="P32" s="151"/>
      <c r="Q32" s="152"/>
      <c r="R32" s="152"/>
      <c r="S32" s="152"/>
      <c r="V32" s="87" t="s">
        <v>796</v>
      </c>
    </row>
    <row r="33" spans="2:22" ht="15.5">
      <c r="B33" s="184" t="s">
        <v>34</v>
      </c>
      <c r="C33" s="64" t="s">
        <v>79</v>
      </c>
      <c r="D33" s="65">
        <f>'LOOKUP  telda'!E7</f>
        <v>0</v>
      </c>
      <c r="E33" s="65">
        <f>'LOOKUP  telda'!F7+'LOOKUP  telda'!G7+'LOOKUP  telda'!H7</f>
        <v>0</v>
      </c>
      <c r="F33" s="65">
        <f>'LOOKUP  telda'!I7</f>
        <v>0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0</v>
      </c>
      <c r="J33" s="65">
        <f>'LOOKUP  telda'!J7</f>
        <v>0</v>
      </c>
      <c r="K33" s="65">
        <f>'LOOKUP  telda'!K7</f>
        <v>0</v>
      </c>
      <c r="L33" s="65">
        <f>'LOOKUP  telda'!L7</f>
        <v>0</v>
      </c>
      <c r="M33" s="65">
        <f>'LOOKUP  telda'!P7</f>
        <v>0</v>
      </c>
      <c r="N33" s="65">
        <f>'LOOKUP  telda'!X7</f>
        <v>0</v>
      </c>
      <c r="O33" s="65">
        <f>'LOOKUP  telda'!Y7</f>
        <v>0</v>
      </c>
      <c r="P33" s="65">
        <f>'LOOKUP  telda'!Z7</f>
        <v>0</v>
      </c>
      <c r="Q33" s="40">
        <f>T33</f>
        <v>0</v>
      </c>
      <c r="R33" s="40">
        <f>U33</f>
        <v>0</v>
      </c>
      <c r="S33" s="40" t="e">
        <f>VLOOKUP(C33,Sheet3!$A$19:$G$81,7,FALSE)</f>
        <v>#N/A</v>
      </c>
      <c r="T33" s="8">
        <f>IFERROR(P33/(D33-F33-K33-I33),0)</f>
        <v>0</v>
      </c>
      <c r="U33" s="8">
        <f>IFERROR(P33/(M33+N33+O33+P33),0)</f>
        <v>0</v>
      </c>
      <c r="V33" t="str">
        <f>VLOOKUP(C33,Sheet5!$A$2:$J$270,8,FALSE)</f>
        <v>GIANYAR</v>
      </c>
    </row>
    <row r="34" spans="2:22" ht="15.5">
      <c r="B34" s="184"/>
      <c r="C34" s="64" t="s">
        <v>80</v>
      </c>
      <c r="D34" s="65">
        <f>'LOOKUP  telda'!E8</f>
        <v>0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0</v>
      </c>
      <c r="P34" s="65">
        <f>'LOOKUP  telda'!Z8</f>
        <v>0</v>
      </c>
      <c r="Q34" s="40">
        <f t="shared" ref="Q34:Q82" si="4">T34</f>
        <v>0</v>
      </c>
      <c r="R34" s="40">
        <f t="shared" ref="R34:R82" si="5">U34</f>
        <v>0</v>
      </c>
      <c r="S34" s="40" t="e">
        <f>VLOOKUP(C34,Sheet3!$A$19:$G$81,7,FALSE)</f>
        <v>#N/A</v>
      </c>
      <c r="T34" s="8">
        <f t="shared" ref="T34:T82" si="6">IFERROR(P34/(D34-F34-K34-I34),0)</f>
        <v>0</v>
      </c>
      <c r="U34" s="8">
        <f t="shared" ref="U34:U82" si="7">IFERROR(P34/(M34+N34+O34+P34),0)</f>
        <v>0</v>
      </c>
      <c r="V34" t="str">
        <f>VLOOKUP(C34,Sheet5!$A$2:$J$270,8,FALSE)</f>
        <v>TABANAN</v>
      </c>
    </row>
    <row r="35" spans="2:22" ht="15.5">
      <c r="B35" s="184"/>
      <c r="C35" s="64" t="s">
        <v>81</v>
      </c>
      <c r="D35" s="65">
        <f>'LOOKUP  telda'!E9</f>
        <v>0</v>
      </c>
      <c r="E35" s="65">
        <f>'LOOKUP  telda'!F9+'LOOKUP  telda'!G9+'LOOKUP  telda'!H9</f>
        <v>0</v>
      </c>
      <c r="F35" s="65">
        <f>'LOOKUP  telda'!I9</f>
        <v>0</v>
      </c>
      <c r="G35" s="65">
        <f>'LOOKUP  telda'!AA9</f>
        <v>0</v>
      </c>
      <c r="H35" s="65">
        <f>'LOOKUP  telda'!AE9-'LOOKUP  telda'!AA9</f>
        <v>0</v>
      </c>
      <c r="I35" s="65">
        <f>'LOOKUP  telda'!AF9</f>
        <v>0</v>
      </c>
      <c r="J35" s="65">
        <f>'LOOKUP  telda'!J9</f>
        <v>0</v>
      </c>
      <c r="K35" s="65">
        <f>'LOOKUP  telda'!K9</f>
        <v>0</v>
      </c>
      <c r="L35" s="65">
        <f>'LOOKUP  telda'!L9</f>
        <v>0</v>
      </c>
      <c r="M35" s="65">
        <f>'LOOKUP  telda'!P9</f>
        <v>0</v>
      </c>
      <c r="N35" s="65">
        <f>'LOOKUP  telda'!X9</f>
        <v>0</v>
      </c>
      <c r="O35" s="65">
        <f>'LOOKUP  telda'!Y9</f>
        <v>0</v>
      </c>
      <c r="P35" s="65">
        <f>'LOOKUP  telda'!Z9</f>
        <v>0</v>
      </c>
      <c r="Q35" s="40">
        <f t="shared" si="4"/>
        <v>0</v>
      </c>
      <c r="R35" s="40">
        <f t="shared" si="5"/>
        <v>0</v>
      </c>
      <c r="S35" s="40" t="e">
        <f>VLOOKUP(C35,Sheet3!$A$19:$G$81,7,FALSE)</f>
        <v>#N/A</v>
      </c>
      <c r="T35" s="8">
        <f t="shared" si="6"/>
        <v>0</v>
      </c>
      <c r="U35" s="8">
        <f t="shared" si="7"/>
        <v>0</v>
      </c>
      <c r="V35" t="str">
        <f>VLOOKUP(C35,Sheet5!$A$2:$J$270,8,FALSE)</f>
        <v>JIMBARAN</v>
      </c>
    </row>
    <row r="36" spans="2:22" ht="15.5">
      <c r="B36" s="184"/>
      <c r="C36" s="64" t="s">
        <v>82</v>
      </c>
      <c r="D36" s="65">
        <f>'LOOKUP  telda'!E10</f>
        <v>0</v>
      </c>
      <c r="E36" s="65">
        <f>'LOOKUP  telda'!F10+'LOOKUP  telda'!G10+'LOOKUP  telda'!H10</f>
        <v>0</v>
      </c>
      <c r="F36" s="65">
        <f>'LOOKUP  telda'!I10</f>
        <v>0</v>
      </c>
      <c r="G36" s="65">
        <f>'LOOKUP  telda'!AA10</f>
        <v>0</v>
      </c>
      <c r="H36" s="65">
        <f>'LOOKUP  telda'!AE10-'LOOKUP  telda'!AA10</f>
        <v>0</v>
      </c>
      <c r="I36" s="65">
        <f>'LOOKUP  telda'!AF10</f>
        <v>0</v>
      </c>
      <c r="J36" s="65">
        <f>'LOOKUP  telda'!J10</f>
        <v>0</v>
      </c>
      <c r="K36" s="65">
        <f>'LOOKUP  telda'!K10</f>
        <v>0</v>
      </c>
      <c r="L36" s="65">
        <f>'LOOKUP  telda'!L10</f>
        <v>0</v>
      </c>
      <c r="M36" s="65">
        <f>'LOOKUP  telda'!P10</f>
        <v>0</v>
      </c>
      <c r="N36" s="65">
        <f>'LOOKUP  telda'!X10</f>
        <v>0</v>
      </c>
      <c r="O36" s="65">
        <f>'LOOKUP  telda'!Y10</f>
        <v>0</v>
      </c>
      <c r="P36" s="65">
        <f>'LOOKUP  telda'!Z10</f>
        <v>0</v>
      </c>
      <c r="Q36" s="40">
        <f t="shared" si="4"/>
        <v>0</v>
      </c>
      <c r="R36" s="40">
        <f t="shared" si="5"/>
        <v>0</v>
      </c>
      <c r="S36" s="40" t="e">
        <f>VLOOKUP(C36,Sheet3!$A$19:$G$81,7,FALSE)</f>
        <v>#N/A</v>
      </c>
      <c r="T36" s="8">
        <f t="shared" si="6"/>
        <v>0</v>
      </c>
      <c r="U36" s="8">
        <f t="shared" si="7"/>
        <v>0</v>
      </c>
      <c r="V36" t="str">
        <f>VLOOKUP(C36,Sheet5!$A$2:$J$270,8,FALSE)</f>
        <v>KLUNGKUNG</v>
      </c>
    </row>
    <row r="37" spans="2:22" ht="15.5">
      <c r="B37" s="184"/>
      <c r="C37" s="64" t="s">
        <v>83</v>
      </c>
      <c r="D37" s="65">
        <f>'LOOKUP  telda'!E11</f>
        <v>0</v>
      </c>
      <c r="E37" s="65">
        <f>'LOOKUP  telda'!F11+'LOOKUP  telda'!G11+'LOOKUP  telda'!H11</f>
        <v>0</v>
      </c>
      <c r="F37" s="65">
        <f>'LOOKUP  telda'!I11</f>
        <v>0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0</v>
      </c>
      <c r="J37" s="65">
        <f>'LOOKUP  telda'!J11</f>
        <v>0</v>
      </c>
      <c r="K37" s="65">
        <f>'LOOKUP  telda'!K11</f>
        <v>0</v>
      </c>
      <c r="L37" s="65">
        <f>'LOOKUP  telda'!L11</f>
        <v>0</v>
      </c>
      <c r="M37" s="65">
        <f>'LOOKUP  telda'!P11</f>
        <v>0</v>
      </c>
      <c r="N37" s="65">
        <f>'LOOKUP  telda'!X11</f>
        <v>0</v>
      </c>
      <c r="O37" s="65">
        <f>'LOOKUP  telda'!Y11</f>
        <v>0</v>
      </c>
      <c r="P37" s="65">
        <f>'LOOKUP  telda'!Z11</f>
        <v>0</v>
      </c>
      <c r="Q37" s="40">
        <f t="shared" si="4"/>
        <v>0</v>
      </c>
      <c r="R37" s="40">
        <f t="shared" si="5"/>
        <v>0</v>
      </c>
      <c r="S37" s="40" t="e">
        <f>VLOOKUP(C37,Sheet3!$A$19:$G$81,7,FALSE)</f>
        <v>#N/A</v>
      </c>
      <c r="T37" s="8">
        <f t="shared" si="6"/>
        <v>0</v>
      </c>
      <c r="U37" s="8">
        <f t="shared" si="7"/>
        <v>0</v>
      </c>
      <c r="V37" t="str">
        <f>VLOOKUP(C37,Sheet5!$A$2:$J$270,8,FALSE)</f>
        <v>SANUR</v>
      </c>
    </row>
    <row r="38" spans="2:22" ht="15.5">
      <c r="B38" s="184"/>
      <c r="C38" s="64" t="s">
        <v>84</v>
      </c>
      <c r="D38" s="65">
        <f>'LOOKUP  telda'!E12</f>
        <v>0</v>
      </c>
      <c r="E38" s="65">
        <f>'LOOKUP  telda'!F12+'LOOKUP  telda'!G12+'LOOKUP  telda'!H12</f>
        <v>0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0</v>
      </c>
      <c r="I38" s="65">
        <f>'LOOKUP  telda'!AF12</f>
        <v>0</v>
      </c>
      <c r="J38" s="65">
        <f>'LOOKUP  telda'!J12</f>
        <v>0</v>
      </c>
      <c r="K38" s="65">
        <f>'LOOKUP  telda'!K12</f>
        <v>0</v>
      </c>
      <c r="L38" s="65">
        <f>'LOOKUP  telda'!L12</f>
        <v>0</v>
      </c>
      <c r="M38" s="65">
        <f>'LOOKUP  telda'!P12</f>
        <v>0</v>
      </c>
      <c r="N38" s="65">
        <f>'LOOKUP  telda'!X12</f>
        <v>0</v>
      </c>
      <c r="O38" s="65">
        <f>'LOOKUP  telda'!Y12</f>
        <v>0</v>
      </c>
      <c r="P38" s="65">
        <f>'LOOKUP  telda'!Z12</f>
        <v>0</v>
      </c>
      <c r="Q38" s="40">
        <f t="shared" si="4"/>
        <v>0</v>
      </c>
      <c r="R38" s="40">
        <f t="shared" si="5"/>
        <v>0</v>
      </c>
      <c r="S38" s="40">
        <f>VLOOKUP(C38,Sheet3!$A$19:$G$81,7,FALSE)</f>
        <v>1</v>
      </c>
      <c r="T38" s="8">
        <f t="shared" si="6"/>
        <v>0</v>
      </c>
      <c r="U38" s="8">
        <f t="shared" si="7"/>
        <v>0</v>
      </c>
      <c r="V38" t="str">
        <f>VLOOKUP(C38,Sheet5!$A$2:$J$270,8,FALSE)</f>
        <v>SINGARAJA</v>
      </c>
    </row>
    <row r="39" spans="2:22" ht="15.5">
      <c r="B39" s="184"/>
      <c r="C39" s="64" t="s">
        <v>85</v>
      </c>
      <c r="D39" s="65">
        <f>'LOOKUP  telda'!E13</f>
        <v>0</v>
      </c>
      <c r="E39" s="65">
        <f>'LOOKUP  telda'!F13+'LOOKUP  telda'!G13+'LOOKUP  telda'!H13</f>
        <v>0</v>
      </c>
      <c r="F39" s="65">
        <f>'LOOKUP  telda'!I13</f>
        <v>0</v>
      </c>
      <c r="G39" s="65">
        <f>'LOOKUP  telda'!AA13</f>
        <v>0</v>
      </c>
      <c r="H39" s="65">
        <f>'LOOKUP  telda'!AE13-'LOOKUP  telda'!AA13</f>
        <v>0</v>
      </c>
      <c r="I39" s="65">
        <f>'LOOKUP  telda'!AF13</f>
        <v>0</v>
      </c>
      <c r="J39" s="65">
        <f>'LOOKUP  telda'!J13</f>
        <v>0</v>
      </c>
      <c r="K39" s="65">
        <f>'LOOKUP  telda'!K13</f>
        <v>0</v>
      </c>
      <c r="L39" s="65">
        <f>'LOOKUP  telda'!L13</f>
        <v>0</v>
      </c>
      <c r="M39" s="65">
        <f>'LOOKUP  telda'!P13</f>
        <v>0</v>
      </c>
      <c r="N39" s="65">
        <f>'LOOKUP  telda'!X13</f>
        <v>0</v>
      </c>
      <c r="O39" s="65">
        <f>'LOOKUP  telda'!Y13</f>
        <v>0</v>
      </c>
      <c r="P39" s="65">
        <f>'LOOKUP  telda'!Z13</f>
        <v>0</v>
      </c>
      <c r="Q39" s="40">
        <f t="shared" si="4"/>
        <v>0</v>
      </c>
      <c r="R39" s="40">
        <f t="shared" si="5"/>
        <v>0</v>
      </c>
      <c r="S39" s="40">
        <f>VLOOKUP(C39,Sheet3!$A$19:$G$81,7,FALSE)</f>
        <v>1</v>
      </c>
      <c r="T39" s="8">
        <f t="shared" si="6"/>
        <v>0</v>
      </c>
      <c r="U39" s="8">
        <f t="shared" si="7"/>
        <v>0</v>
      </c>
      <c r="V39" t="str">
        <f>VLOOKUP(C39,Sheet5!$A$2:$J$270,8,FALSE)</f>
        <v>TABANAN</v>
      </c>
    </row>
    <row r="40" spans="2:22" ht="15.5">
      <c r="B40" s="184"/>
      <c r="C40" s="64" t="s">
        <v>86</v>
      </c>
      <c r="D40" s="65">
        <f>'LOOKUP  telda'!E14</f>
        <v>0</v>
      </c>
      <c r="E40" s="65">
        <f>'LOOKUP  telda'!F14+'LOOKUP  telda'!G14+'LOOKUP  telda'!H14</f>
        <v>0</v>
      </c>
      <c r="F40" s="65">
        <f>'LOOKUP  telda'!I14</f>
        <v>0</v>
      </c>
      <c r="G40" s="65">
        <f>'LOOKUP  telda'!AA14</f>
        <v>0</v>
      </c>
      <c r="H40" s="65">
        <f>'LOOKUP  telda'!AE14-'LOOKUP  telda'!AA14</f>
        <v>0</v>
      </c>
      <c r="I40" s="65">
        <f>'LOOKUP  telda'!AF14</f>
        <v>0</v>
      </c>
      <c r="J40" s="65">
        <f>'LOOKUP  telda'!J14</f>
        <v>0</v>
      </c>
      <c r="K40" s="65">
        <f>'LOOKUP  telda'!K14</f>
        <v>0</v>
      </c>
      <c r="L40" s="65">
        <f>'LOOKUP  telda'!L14</f>
        <v>0</v>
      </c>
      <c r="M40" s="65">
        <f>'LOOKUP  telda'!P14</f>
        <v>0</v>
      </c>
      <c r="N40" s="65">
        <f>'LOOKUP  telda'!X14</f>
        <v>0</v>
      </c>
      <c r="O40" s="65">
        <f>'LOOKUP  telda'!Y14</f>
        <v>0</v>
      </c>
      <c r="P40" s="65">
        <f>'LOOKUP  telda'!Z14</f>
        <v>0</v>
      </c>
      <c r="Q40" s="40">
        <f t="shared" si="4"/>
        <v>0</v>
      </c>
      <c r="R40" s="40">
        <f t="shared" si="5"/>
        <v>0</v>
      </c>
      <c r="S40" s="40">
        <f>VLOOKUP(C40,Sheet3!$A$19:$G$81,7,FALSE)</f>
        <v>1</v>
      </c>
      <c r="T40" s="8">
        <f t="shared" si="6"/>
        <v>0</v>
      </c>
      <c r="U40" s="8">
        <f t="shared" si="7"/>
        <v>0</v>
      </c>
      <c r="V40" t="str">
        <f>VLOOKUP(C40,Sheet5!$A$2:$J$270,8,FALSE)</f>
        <v>UBUNG</v>
      </c>
    </row>
    <row r="41" spans="2:22" ht="15.5">
      <c r="B41" s="185" t="s">
        <v>38</v>
      </c>
      <c r="C41" s="66" t="s">
        <v>87</v>
      </c>
      <c r="D41" s="67">
        <f>'LOOKUP  telda'!E15</f>
        <v>0</v>
      </c>
      <c r="E41" s="67">
        <f>'LOOKUP  telda'!F15+'LOOKUP  telda'!G15+'LOOKUP  telda'!H15</f>
        <v>0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0</v>
      </c>
      <c r="I41" s="67">
        <f>'LOOKUP  telda'!AF15</f>
        <v>0</v>
      </c>
      <c r="J41" s="67">
        <f>'LOOKUP  telda'!J15</f>
        <v>0</v>
      </c>
      <c r="K41" s="67">
        <f>'LOOKUP  telda'!K15</f>
        <v>0</v>
      </c>
      <c r="L41" s="67">
        <f>'LOOKUP  telda'!L15</f>
        <v>0</v>
      </c>
      <c r="M41" s="67">
        <f>'LOOKUP  telda'!P15</f>
        <v>0</v>
      </c>
      <c r="N41" s="67">
        <f>'LOOKUP  telda'!X15</f>
        <v>0</v>
      </c>
      <c r="O41" s="67">
        <f>'LOOKUP  telda'!Y15</f>
        <v>0</v>
      </c>
      <c r="P41" s="67">
        <f>'LOOKUP  telda'!Z15</f>
        <v>0</v>
      </c>
      <c r="Q41" s="40">
        <f t="shared" si="4"/>
        <v>0</v>
      </c>
      <c r="R41" s="40">
        <f t="shared" si="5"/>
        <v>0</v>
      </c>
      <c r="S41" s="40">
        <f>VLOOKUP(C41,Sheet3!$A$19:$G$81,7,FALSE)</f>
        <v>1</v>
      </c>
      <c r="T41" s="8">
        <f t="shared" si="6"/>
        <v>0</v>
      </c>
      <c r="U41" s="8">
        <f t="shared" si="7"/>
        <v>0</v>
      </c>
      <c r="V41" t="str">
        <f>VLOOKUP(C41,Sheet5!$A$2:$J$270,8,FALSE)</f>
        <v>BATU</v>
      </c>
    </row>
    <row r="42" spans="2:22" ht="15.5">
      <c r="B42" s="185"/>
      <c r="C42" s="66" t="s">
        <v>88</v>
      </c>
      <c r="D42" s="67">
        <f>'LOOKUP  telda'!E16</f>
        <v>0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0</v>
      </c>
      <c r="J42" s="67">
        <f>'LOOKUP  telda'!J16</f>
        <v>0</v>
      </c>
      <c r="K42" s="67">
        <f>'LOOKUP  telda'!K16</f>
        <v>0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0</v>
      </c>
      <c r="P42" s="67">
        <f>'LOOKUP  telda'!Z16</f>
        <v>0</v>
      </c>
      <c r="Q42" s="40">
        <f t="shared" si="4"/>
        <v>0</v>
      </c>
      <c r="R42" s="40">
        <f t="shared" si="5"/>
        <v>0</v>
      </c>
      <c r="S42" s="40">
        <f>VLOOKUP(C42,Sheet3!$A$19:$G$81,7,FALSE)</f>
        <v>1</v>
      </c>
      <c r="T42" s="8">
        <f t="shared" si="6"/>
        <v>0</v>
      </c>
      <c r="U42" s="8">
        <f t="shared" si="7"/>
        <v>0</v>
      </c>
      <c r="V42" t="str">
        <f>VLOOKUP(C42,Sheet5!$A$2:$J$270,8,FALSE)</f>
        <v>BLITAR</v>
      </c>
    </row>
    <row r="43" spans="2:22" ht="15.5">
      <c r="B43" s="185"/>
      <c r="C43" s="66" t="s">
        <v>89</v>
      </c>
      <c r="D43" s="67">
        <f>'LOOKUP  telda'!E17</f>
        <v>0</v>
      </c>
      <c r="E43" s="67">
        <f>'LOOKUP  telda'!F17+'LOOKUP  telda'!G17+'LOOKUP  telda'!H17</f>
        <v>0</v>
      </c>
      <c r="F43" s="67">
        <f>'LOOKUP  telda'!I17</f>
        <v>0</v>
      </c>
      <c r="G43" s="67">
        <f>'LOOKUP  telda'!AA17</f>
        <v>0</v>
      </c>
      <c r="H43" s="67">
        <f>'LOOKUP  telda'!AE17-'LOOKUP  telda'!AA17</f>
        <v>0</v>
      </c>
      <c r="I43" s="67">
        <f>'LOOKUP  telda'!AF17</f>
        <v>0</v>
      </c>
      <c r="J43" s="67">
        <f>'LOOKUP  telda'!J17</f>
        <v>0</v>
      </c>
      <c r="K43" s="67">
        <f>'LOOKUP  telda'!K17</f>
        <v>0</v>
      </c>
      <c r="L43" s="67">
        <f>'LOOKUP  telda'!L17</f>
        <v>0</v>
      </c>
      <c r="M43" s="67">
        <f>'LOOKUP  telda'!P17</f>
        <v>0</v>
      </c>
      <c r="N43" s="67">
        <f>'LOOKUP  telda'!X17</f>
        <v>0</v>
      </c>
      <c r="O43" s="67">
        <f>'LOOKUP  telda'!Y17</f>
        <v>0</v>
      </c>
      <c r="P43" s="67">
        <f>'LOOKUP  telda'!Z17</f>
        <v>0</v>
      </c>
      <c r="Q43" s="40">
        <f t="shared" si="4"/>
        <v>0</v>
      </c>
      <c r="R43" s="40">
        <f t="shared" si="5"/>
        <v>0</v>
      </c>
      <c r="S43" s="40">
        <f>VLOOKUP(C43,Sheet3!$A$19:$G$81,7,FALSE)</f>
        <v>1</v>
      </c>
      <c r="T43" s="8">
        <f t="shared" si="6"/>
        <v>0</v>
      </c>
      <c r="U43" s="8">
        <f t="shared" si="7"/>
        <v>0</v>
      </c>
      <c r="V43" t="str">
        <f>VLOOKUP(C43,Sheet5!$A$2:$J$270,8,FALSE)</f>
        <v>BOJONEGORO</v>
      </c>
    </row>
    <row r="44" spans="2:22" ht="15.5">
      <c r="B44" s="185"/>
      <c r="C44" s="66" t="s">
        <v>90</v>
      </c>
      <c r="D44" s="67">
        <f>'LOOKUP  telda'!E18</f>
        <v>0</v>
      </c>
      <c r="E44" s="67">
        <f>'LOOKUP  telda'!F18+'LOOKUP  telda'!G18+'LOOKUP  telda'!H18</f>
        <v>0</v>
      </c>
      <c r="F44" s="67">
        <f>'LOOKUP  telda'!I18</f>
        <v>0</v>
      </c>
      <c r="G44" s="67">
        <f>'LOOKUP  telda'!AA18</f>
        <v>0</v>
      </c>
      <c r="H44" s="67">
        <f>'LOOKUP  telda'!AE18-'LOOKUP  telda'!AA18</f>
        <v>0</v>
      </c>
      <c r="I44" s="67">
        <f>'LOOKUP  telda'!AF18</f>
        <v>0</v>
      </c>
      <c r="J44" s="67">
        <f>'LOOKUP  telda'!J18</f>
        <v>0</v>
      </c>
      <c r="K44" s="67">
        <f>'LOOKUP  telda'!K18</f>
        <v>0</v>
      </c>
      <c r="L44" s="67">
        <f>'LOOKUP  telda'!L18</f>
        <v>0</v>
      </c>
      <c r="M44" s="67">
        <f>'LOOKUP  telda'!P18</f>
        <v>0</v>
      </c>
      <c r="N44" s="67">
        <f>'LOOKUP  telda'!X18</f>
        <v>0</v>
      </c>
      <c r="O44" s="67">
        <f>'LOOKUP  telda'!Y18</f>
        <v>0</v>
      </c>
      <c r="P44" s="67">
        <f>'LOOKUP  telda'!Z18</f>
        <v>0</v>
      </c>
      <c r="Q44" s="40">
        <f t="shared" si="4"/>
        <v>0</v>
      </c>
      <c r="R44" s="40">
        <f t="shared" si="5"/>
        <v>0</v>
      </c>
      <c r="S44" s="40">
        <f>VLOOKUP(C44,Sheet3!$A$19:$G$81,7,FALSE)</f>
        <v>1</v>
      </c>
      <c r="T44" s="8">
        <f t="shared" si="6"/>
        <v>0</v>
      </c>
      <c r="U44" s="8">
        <f t="shared" si="7"/>
        <v>0</v>
      </c>
      <c r="V44" t="str">
        <f>VLOOKUP(C44,Sheet5!$A$2:$J$270,8,FALSE)</f>
        <v>KEDIRI</v>
      </c>
    </row>
    <row r="45" spans="2:22" ht="15.5">
      <c r="B45" s="185"/>
      <c r="C45" s="66" t="s">
        <v>91</v>
      </c>
      <c r="D45" s="67">
        <f>'LOOKUP  telda'!E19</f>
        <v>0</v>
      </c>
      <c r="E45" s="67">
        <f>'LOOKUP  telda'!F19+'LOOKUP  telda'!G19+'LOOKUP  telda'!H19</f>
        <v>0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0</v>
      </c>
      <c r="I45" s="67">
        <f>'LOOKUP  telda'!AF19</f>
        <v>0</v>
      </c>
      <c r="J45" s="67">
        <f>'LOOKUP  telda'!J19</f>
        <v>0</v>
      </c>
      <c r="K45" s="67">
        <f>'LOOKUP  telda'!K19</f>
        <v>0</v>
      </c>
      <c r="L45" s="67">
        <f>'LOOKUP  telda'!L19</f>
        <v>0</v>
      </c>
      <c r="M45" s="67">
        <f>'LOOKUP  telda'!P19</f>
        <v>0</v>
      </c>
      <c r="N45" s="67">
        <f>'LOOKUP  telda'!X19</f>
        <v>0</v>
      </c>
      <c r="O45" s="67">
        <f>'LOOKUP  telda'!Y19</f>
        <v>0</v>
      </c>
      <c r="P45" s="67">
        <f>'LOOKUP  telda'!Z19</f>
        <v>0</v>
      </c>
      <c r="Q45" s="40">
        <f t="shared" si="4"/>
        <v>0</v>
      </c>
      <c r="R45" s="40">
        <f t="shared" si="5"/>
        <v>0</v>
      </c>
      <c r="S45" s="40" t="e">
        <f>VLOOKUP(C45,Sheet3!$A$19:$G$81,7,FALSE)</f>
        <v>#N/A</v>
      </c>
      <c r="T45" s="8">
        <f t="shared" si="6"/>
        <v>0</v>
      </c>
      <c r="U45" s="8">
        <f t="shared" si="7"/>
        <v>0</v>
      </c>
      <c r="V45" t="str">
        <f>VLOOKUP(C45,Sheet5!$A$2:$J$270,8,FALSE)</f>
        <v>MALANG</v>
      </c>
    </row>
    <row r="46" spans="2:22" ht="15.5">
      <c r="B46" s="185"/>
      <c r="C46" s="66" t="s">
        <v>92</v>
      </c>
      <c r="D46" s="67">
        <f>'LOOKUP  telda'!E20</f>
        <v>0</v>
      </c>
      <c r="E46" s="67">
        <f>'LOOKUP  telda'!F20+'LOOKUP  telda'!G20+'LOOKUP  telda'!H20</f>
        <v>0</v>
      </c>
      <c r="F46" s="67">
        <f>'LOOKUP  telda'!I20</f>
        <v>0</v>
      </c>
      <c r="G46" s="67">
        <f>'LOOKUP  telda'!AA20</f>
        <v>0</v>
      </c>
      <c r="H46" s="67">
        <f>'LOOKUP  telda'!AE20-'LOOKUP  telda'!AA20</f>
        <v>0</v>
      </c>
      <c r="I46" s="67">
        <f>'LOOKUP  telda'!AF20</f>
        <v>0</v>
      </c>
      <c r="J46" s="67">
        <f>'LOOKUP  telda'!J20</f>
        <v>0</v>
      </c>
      <c r="K46" s="67">
        <f>'LOOKUP  telda'!K20</f>
        <v>0</v>
      </c>
      <c r="L46" s="67">
        <f>'LOOKUP  telda'!L20</f>
        <v>0</v>
      </c>
      <c r="M46" s="67">
        <f>'LOOKUP  telda'!P20</f>
        <v>0</v>
      </c>
      <c r="N46" s="67">
        <f>'LOOKUP  telda'!X20</f>
        <v>0</v>
      </c>
      <c r="O46" s="67">
        <f>'LOOKUP  telda'!Y20</f>
        <v>0</v>
      </c>
      <c r="P46" s="67">
        <f>'LOOKUP  telda'!Z20</f>
        <v>0</v>
      </c>
      <c r="Q46" s="40">
        <f t="shared" si="4"/>
        <v>0</v>
      </c>
      <c r="R46" s="40">
        <f t="shared" si="5"/>
        <v>0</v>
      </c>
      <c r="S46" s="40">
        <f>VLOOKUP(C46,Sheet3!$A$19:$G$81,7,FALSE)</f>
        <v>1</v>
      </c>
      <c r="T46" s="8">
        <f t="shared" si="6"/>
        <v>0</v>
      </c>
      <c r="U46" s="8">
        <f t="shared" si="7"/>
        <v>0</v>
      </c>
      <c r="V46" t="str">
        <f>VLOOKUP(C46,Sheet5!$A$2:$J$270,8,FALSE)</f>
        <v>MADIUN</v>
      </c>
    </row>
    <row r="47" spans="2:22" ht="15.5">
      <c r="B47" s="185"/>
      <c r="C47" s="66" t="s">
        <v>93</v>
      </c>
      <c r="D47" s="67">
        <f>'LOOKUP  telda'!E21</f>
        <v>0</v>
      </c>
      <c r="E47" s="67">
        <f>'LOOKUP  telda'!F21+'LOOKUP  telda'!G21+'LOOKUP  telda'!H21</f>
        <v>0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0</v>
      </c>
      <c r="I47" s="67">
        <f>'LOOKUP  telda'!AF21</f>
        <v>0</v>
      </c>
      <c r="J47" s="67">
        <f>'LOOKUP  telda'!J21</f>
        <v>0</v>
      </c>
      <c r="K47" s="67">
        <f>'LOOKUP  telda'!K21</f>
        <v>0</v>
      </c>
      <c r="L47" s="67">
        <f>'LOOKUP  telda'!L21</f>
        <v>0</v>
      </c>
      <c r="M47" s="67">
        <f>'LOOKUP  telda'!P21</f>
        <v>0</v>
      </c>
      <c r="N47" s="67">
        <f>'LOOKUP  telda'!X21</f>
        <v>0</v>
      </c>
      <c r="O47" s="67">
        <f>'LOOKUP  telda'!Y21</f>
        <v>0</v>
      </c>
      <c r="P47" s="67">
        <f>'LOOKUP  telda'!Z21</f>
        <v>0</v>
      </c>
      <c r="Q47" s="40">
        <f t="shared" si="4"/>
        <v>0</v>
      </c>
      <c r="R47" s="40">
        <f t="shared" si="5"/>
        <v>0</v>
      </c>
      <c r="S47" s="40" t="e">
        <f>VLOOKUP(C47,Sheet3!$A$19:$G$81,7,FALSE)</f>
        <v>#N/A</v>
      </c>
      <c r="T47" s="8">
        <f t="shared" si="6"/>
        <v>0</v>
      </c>
      <c r="U47" s="8">
        <f t="shared" si="7"/>
        <v>0</v>
      </c>
      <c r="V47" t="str">
        <f>VLOOKUP(C47,Sheet5!$A$2:$J$270,8,FALSE)</f>
        <v>NGANJUK</v>
      </c>
    </row>
    <row r="48" spans="2:22" ht="15.5">
      <c r="B48" s="185"/>
      <c r="C48" s="66" t="s">
        <v>94</v>
      </c>
      <c r="D48" s="67">
        <f>'LOOKUP  telda'!E22</f>
        <v>0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0</v>
      </c>
      <c r="H48" s="67">
        <f>'LOOKUP  telda'!AE22-'LOOKUP  telda'!AA22</f>
        <v>0</v>
      </c>
      <c r="I48" s="67">
        <f>'LOOKUP  telda'!AF22</f>
        <v>0</v>
      </c>
      <c r="J48" s="67">
        <f>'LOOKUP  telda'!J22</f>
        <v>0</v>
      </c>
      <c r="K48" s="67">
        <f>'LOOKUP  telda'!K22</f>
        <v>0</v>
      </c>
      <c r="L48" s="67">
        <f>'LOOKUP  telda'!L22</f>
        <v>0</v>
      </c>
      <c r="M48" s="67">
        <f>'LOOKUP  telda'!P22</f>
        <v>0</v>
      </c>
      <c r="N48" s="67">
        <f>'LOOKUP  telda'!X22</f>
        <v>0</v>
      </c>
      <c r="O48" s="67">
        <f>'LOOKUP  telda'!Y22</f>
        <v>0</v>
      </c>
      <c r="P48" s="67">
        <f>'LOOKUP  telda'!Z22</f>
        <v>0</v>
      </c>
      <c r="Q48" s="40">
        <f t="shared" si="4"/>
        <v>0</v>
      </c>
      <c r="R48" s="40">
        <f t="shared" si="5"/>
        <v>0</v>
      </c>
      <c r="S48" s="40" t="e">
        <f>VLOOKUP(C48,Sheet3!$A$19:$G$81,7,FALSE)</f>
        <v>#N/A</v>
      </c>
      <c r="T48" s="8">
        <f t="shared" si="6"/>
        <v>0</v>
      </c>
      <c r="U48" s="8">
        <f t="shared" si="7"/>
        <v>0</v>
      </c>
      <c r="V48" t="str">
        <f>VLOOKUP(C48,Sheet5!$A$2:$J$270,8,FALSE)</f>
        <v>MADIUN</v>
      </c>
    </row>
    <row r="49" spans="2:22" ht="15.5">
      <c r="B49" s="185"/>
      <c r="C49" s="66" t="s">
        <v>95</v>
      </c>
      <c r="D49" s="67">
        <f>'LOOKUP  telda'!E23</f>
        <v>0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0</v>
      </c>
      <c r="I49" s="67">
        <f>'LOOKUP  telda'!AF23</f>
        <v>0</v>
      </c>
      <c r="J49" s="67">
        <f>'LOOKUP  telda'!J23</f>
        <v>0</v>
      </c>
      <c r="K49" s="67">
        <f>'LOOKUP  telda'!K23</f>
        <v>0</v>
      </c>
      <c r="L49" s="67">
        <f>'LOOKUP  telda'!L23</f>
        <v>0</v>
      </c>
      <c r="M49" s="67">
        <f>'LOOKUP  telda'!P23</f>
        <v>0</v>
      </c>
      <c r="N49" s="67">
        <f>'LOOKUP  telda'!X23</f>
        <v>0</v>
      </c>
      <c r="O49" s="67">
        <f>'LOOKUP  telda'!Y23</f>
        <v>0</v>
      </c>
      <c r="P49" s="67">
        <f>'LOOKUP  telda'!Z23</f>
        <v>0</v>
      </c>
      <c r="Q49" s="40">
        <f t="shared" si="4"/>
        <v>0</v>
      </c>
      <c r="R49" s="40">
        <f t="shared" si="5"/>
        <v>0</v>
      </c>
      <c r="S49" s="40">
        <f>VLOOKUP(C49,Sheet3!$A$19:$G$81,7,FALSE)</f>
        <v>1</v>
      </c>
      <c r="T49" s="8">
        <f t="shared" si="6"/>
        <v>0</v>
      </c>
      <c r="U49" s="8">
        <f t="shared" si="7"/>
        <v>0</v>
      </c>
      <c r="V49" t="str">
        <f>VLOOKUP(C49,Sheet5!$A$2:$J$270,8,FALSE)</f>
        <v>PONOROGO</v>
      </c>
    </row>
    <row r="50" spans="2:22" ht="15.5">
      <c r="B50" s="185"/>
      <c r="C50" s="66" t="s">
        <v>96</v>
      </c>
      <c r="D50" s="67">
        <f>'LOOKUP  telda'!E24</f>
        <v>0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0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0</v>
      </c>
      <c r="Q50" s="40">
        <f t="shared" si="4"/>
        <v>0</v>
      </c>
      <c r="R50" s="40">
        <f t="shared" si="5"/>
        <v>0</v>
      </c>
      <c r="S50" s="40" t="e">
        <f>VLOOKUP(C50,Sheet3!$A$19:$G$81,7,FALSE)</f>
        <v>#N/A</v>
      </c>
      <c r="T50" s="8">
        <f t="shared" si="6"/>
        <v>0</v>
      </c>
      <c r="U50" s="8">
        <f t="shared" si="7"/>
        <v>0</v>
      </c>
      <c r="V50" t="str">
        <f>VLOOKUP(C50,Sheet5!$A$2:$J$270,8,FALSE)</f>
        <v>PONOROGO</v>
      </c>
    </row>
    <row r="51" spans="2:22" ht="15.5">
      <c r="B51" s="185"/>
      <c r="C51" s="66" t="s">
        <v>97</v>
      </c>
      <c r="D51" s="67">
        <f>'LOOKUP  telda'!E25</f>
        <v>0</v>
      </c>
      <c r="E51" s="67">
        <f>'LOOKUP  telda'!F25+'LOOKUP  telda'!G25+'LOOKUP  telda'!H25</f>
        <v>0</v>
      </c>
      <c r="F51" s="67">
        <f>'LOOKUP  telda'!I25</f>
        <v>0</v>
      </c>
      <c r="G51" s="67">
        <f>'LOOKUP  telda'!AA25</f>
        <v>0</v>
      </c>
      <c r="H51" s="67">
        <f>'LOOKUP  telda'!AE25-'LOOKUP  telda'!AA25</f>
        <v>0</v>
      </c>
      <c r="I51" s="67">
        <f>'LOOKUP  telda'!AF25</f>
        <v>0</v>
      </c>
      <c r="J51" s="67">
        <f>'LOOKUP  telda'!J25</f>
        <v>0</v>
      </c>
      <c r="K51" s="67">
        <f>'LOOKUP  telda'!K25</f>
        <v>0</v>
      </c>
      <c r="L51" s="67">
        <f>'LOOKUP  telda'!L25</f>
        <v>0</v>
      </c>
      <c r="M51" s="67">
        <f>'LOOKUP  telda'!P25</f>
        <v>0</v>
      </c>
      <c r="N51" s="67">
        <f>'LOOKUP  telda'!X25</f>
        <v>0</v>
      </c>
      <c r="O51" s="67">
        <f>'LOOKUP  telda'!Y25</f>
        <v>0</v>
      </c>
      <c r="P51" s="67">
        <f>'LOOKUP  telda'!Z25</f>
        <v>0</v>
      </c>
      <c r="Q51" s="40">
        <f t="shared" si="4"/>
        <v>0</v>
      </c>
      <c r="R51" s="40">
        <f t="shared" si="5"/>
        <v>0</v>
      </c>
      <c r="S51" s="40" t="e">
        <f>VLOOKUP(C51,Sheet3!$A$19:$G$81,7,FALSE)</f>
        <v>#N/A</v>
      </c>
      <c r="T51" s="8">
        <f t="shared" si="6"/>
        <v>0</v>
      </c>
      <c r="U51" s="8">
        <f t="shared" si="7"/>
        <v>0</v>
      </c>
      <c r="V51" t="str">
        <f>VLOOKUP(C51,Sheet5!$A$2:$J$270,8,FALSE)</f>
        <v>BOJONEGORO</v>
      </c>
    </row>
    <row r="52" spans="2:22" ht="15.5">
      <c r="B52" s="185"/>
      <c r="C52" s="66" t="s">
        <v>98</v>
      </c>
      <c r="D52" s="67">
        <f>'LOOKUP  telda'!E26</f>
        <v>0</v>
      </c>
      <c r="E52" s="67">
        <f>'LOOKUP  telda'!F26+'LOOKUP  telda'!G26+'LOOKUP  telda'!H26</f>
        <v>0</v>
      </c>
      <c r="F52" s="67">
        <f>'LOOKUP  telda'!I26</f>
        <v>0</v>
      </c>
      <c r="G52" s="67">
        <f>'LOOKUP  telda'!AA26</f>
        <v>0</v>
      </c>
      <c r="H52" s="67">
        <f>'LOOKUP  telda'!AE26-'LOOKUP  telda'!AA26</f>
        <v>0</v>
      </c>
      <c r="I52" s="67">
        <f>'LOOKUP  telda'!AF26</f>
        <v>0</v>
      </c>
      <c r="J52" s="67">
        <f>'LOOKUP  telda'!J26</f>
        <v>0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0</v>
      </c>
      <c r="P52" s="67">
        <f>'LOOKUP  telda'!Z26</f>
        <v>0</v>
      </c>
      <c r="Q52" s="40">
        <f t="shared" si="4"/>
        <v>0</v>
      </c>
      <c r="R52" s="40">
        <f t="shared" si="5"/>
        <v>0</v>
      </c>
      <c r="S52" s="40" t="e">
        <f>VLOOKUP(C52,Sheet3!$A$19:$G$81,7,FALSE)</f>
        <v>#N/A</v>
      </c>
      <c r="T52" s="8">
        <f t="shared" si="6"/>
        <v>0</v>
      </c>
      <c r="U52" s="8">
        <f t="shared" si="7"/>
        <v>0</v>
      </c>
      <c r="V52" t="str">
        <f>VLOOKUP(C52,Sheet5!$A$2:$J$270,8,FALSE)</f>
        <v>BLITAR</v>
      </c>
    </row>
    <row r="53" spans="2:22" ht="15.5">
      <c r="B53" s="186" t="s">
        <v>42</v>
      </c>
      <c r="C53" s="62" t="s">
        <v>99</v>
      </c>
      <c r="D53" s="63">
        <f>'LOOKUP  telda'!E27</f>
        <v>0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0</v>
      </c>
      <c r="H53" s="63">
        <f>'LOOKUP  telda'!AE27-'LOOKUP  telda'!AA27</f>
        <v>0</v>
      </c>
      <c r="I53" s="63">
        <f>'LOOKUP  telda'!AF27</f>
        <v>0</v>
      </c>
      <c r="J53" s="63">
        <f>'LOOKUP  telda'!J27</f>
        <v>0</v>
      </c>
      <c r="K53" s="63">
        <f>'LOOKUP  telda'!K27</f>
        <v>0</v>
      </c>
      <c r="L53" s="63">
        <f>'LOOKUP  telda'!L27</f>
        <v>0</v>
      </c>
      <c r="M53" s="63">
        <f>'LOOKUP  telda'!P27</f>
        <v>0</v>
      </c>
      <c r="N53" s="63">
        <f>'LOOKUP  telda'!X27</f>
        <v>0</v>
      </c>
      <c r="O53" s="63">
        <f>'LOOKUP  telda'!Y27</f>
        <v>0</v>
      </c>
      <c r="P53" s="63">
        <f>'LOOKUP  telda'!Z27</f>
        <v>0</v>
      </c>
      <c r="Q53" s="40">
        <f t="shared" si="4"/>
        <v>0</v>
      </c>
      <c r="R53" s="40">
        <f t="shared" si="5"/>
        <v>0</v>
      </c>
      <c r="S53" s="40">
        <f>VLOOKUP(C53,Sheet3!$A$19:$G$81,7,FALSE)</f>
        <v>1</v>
      </c>
      <c r="T53" s="8">
        <f t="shared" si="6"/>
        <v>0</v>
      </c>
      <c r="U53" s="8">
        <f t="shared" si="7"/>
        <v>0</v>
      </c>
      <c r="V53" t="str">
        <f>VLOOKUP(C53,Sheet5!$A$2:$J$270,8,FALSE)</f>
        <v>BANYUWANGI</v>
      </c>
    </row>
    <row r="54" spans="2:22" ht="15.5">
      <c r="B54" s="186"/>
      <c r="C54" s="62" t="s">
        <v>100</v>
      </c>
      <c r="D54" s="63">
        <f>'LOOKUP  telda'!E28</f>
        <v>0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0</v>
      </c>
      <c r="I54" s="63">
        <f>'LOOKUP  telda'!AF28</f>
        <v>0</v>
      </c>
      <c r="J54" s="63">
        <f>'LOOKUP  telda'!J28</f>
        <v>0</v>
      </c>
      <c r="K54" s="63">
        <f>'LOOKUP  telda'!K28</f>
        <v>0</v>
      </c>
      <c r="L54" s="63">
        <f>'LOOKUP  telda'!L28</f>
        <v>0</v>
      </c>
      <c r="M54" s="63">
        <f>'LOOKUP  telda'!P28</f>
        <v>0</v>
      </c>
      <c r="N54" s="63">
        <f>'LOOKUP  telda'!X28</f>
        <v>0</v>
      </c>
      <c r="O54" s="63">
        <f>'LOOKUP  telda'!Y28</f>
        <v>0</v>
      </c>
      <c r="P54" s="63">
        <f>'LOOKUP  telda'!Z28</f>
        <v>0</v>
      </c>
      <c r="Q54" s="40">
        <f t="shared" si="4"/>
        <v>0</v>
      </c>
      <c r="R54" s="40">
        <f t="shared" si="5"/>
        <v>0</v>
      </c>
      <c r="S54" s="40" t="e">
        <f>VLOOKUP(C54,Sheet3!$A$19:$G$81,7,FALSE)</f>
        <v>#N/A</v>
      </c>
      <c r="T54" s="8">
        <f t="shared" si="6"/>
        <v>0</v>
      </c>
      <c r="U54" s="8">
        <f t="shared" si="7"/>
        <v>0</v>
      </c>
      <c r="V54" t="str">
        <f>VLOOKUP(C54,Sheet5!$A$2:$J$270,8,FALSE)</f>
        <v>JEMBER</v>
      </c>
    </row>
    <row r="55" spans="2:22" ht="34.5" customHeight="1">
      <c r="B55" s="186"/>
      <c r="C55" s="62" t="s">
        <v>101</v>
      </c>
      <c r="D55" s="63">
        <f>'LOOKUP  telda'!E29</f>
        <v>0</v>
      </c>
      <c r="E55" s="63">
        <f>'LOOKUP  telda'!F29+'LOOKUP  telda'!G29+'LOOKUP  telda'!H29</f>
        <v>0</v>
      </c>
      <c r="F55" s="63">
        <f>'LOOKUP  telda'!I29</f>
        <v>0</v>
      </c>
      <c r="G55" s="63">
        <f>'LOOKUP  telda'!AA29</f>
        <v>0</v>
      </c>
      <c r="H55" s="63">
        <f>'LOOKUP  telda'!AE29-'LOOKUP  telda'!AA29</f>
        <v>0</v>
      </c>
      <c r="I55" s="63">
        <f>'LOOKUP  telda'!AF29</f>
        <v>0</v>
      </c>
      <c r="J55" s="63">
        <f>'LOOKUP  telda'!J29</f>
        <v>0</v>
      </c>
      <c r="K55" s="63">
        <f>'LOOKUP  telda'!K29</f>
        <v>0</v>
      </c>
      <c r="L55" s="63">
        <f>'LOOKUP  telda'!L29</f>
        <v>0</v>
      </c>
      <c r="M55" s="63">
        <f>'LOOKUP  telda'!P29</f>
        <v>0</v>
      </c>
      <c r="N55" s="63">
        <f>'LOOKUP  telda'!X29</f>
        <v>0</v>
      </c>
      <c r="O55" s="63">
        <f>'LOOKUP  telda'!Y29</f>
        <v>0</v>
      </c>
      <c r="P55" s="63">
        <f>'LOOKUP  telda'!Z29</f>
        <v>0</v>
      </c>
      <c r="Q55" s="40">
        <f t="shared" si="4"/>
        <v>0</v>
      </c>
      <c r="R55" s="40">
        <f t="shared" si="5"/>
        <v>0</v>
      </c>
      <c r="S55" s="40" t="e">
        <f>VLOOKUP(C55,Sheet3!$A$19:$G$81,7,FALSE)</f>
        <v>#N/A</v>
      </c>
      <c r="T55" s="8">
        <f t="shared" si="6"/>
        <v>0</v>
      </c>
      <c r="U55" s="8">
        <f t="shared" si="7"/>
        <v>0</v>
      </c>
      <c r="V55" t="str">
        <f>VLOOKUP(C55,Sheet5!$A$2:$J$270,8,FALSE)</f>
        <v>SIDOARJO</v>
      </c>
    </row>
    <row r="56" spans="2:22" ht="15.5">
      <c r="B56" s="186"/>
      <c r="C56" s="62" t="s">
        <v>102</v>
      </c>
      <c r="D56" s="63">
        <f>'LOOKUP  telda'!E30</f>
        <v>0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0</v>
      </c>
      <c r="I56" s="63">
        <f>'LOOKUP  telda'!AF30</f>
        <v>0</v>
      </c>
      <c r="J56" s="63">
        <f>'LOOKUP  telda'!J30</f>
        <v>0</v>
      </c>
      <c r="K56" s="63">
        <f>'LOOKUP  telda'!K30</f>
        <v>0</v>
      </c>
      <c r="L56" s="63">
        <f>'LOOKUP  telda'!L30</f>
        <v>0</v>
      </c>
      <c r="M56" s="63">
        <f>'LOOKUP  telda'!P30</f>
        <v>0</v>
      </c>
      <c r="N56" s="63">
        <f>'LOOKUP  telda'!X30</f>
        <v>0</v>
      </c>
      <c r="O56" s="63">
        <f>'LOOKUP  telda'!Y30</f>
        <v>0</v>
      </c>
      <c r="P56" s="63">
        <f>'LOOKUP  telda'!Z30</f>
        <v>0</v>
      </c>
      <c r="Q56" s="40">
        <f t="shared" si="4"/>
        <v>0</v>
      </c>
      <c r="R56" s="40">
        <f t="shared" si="5"/>
        <v>0</v>
      </c>
      <c r="S56" s="40">
        <f>VLOOKUP(C56,Sheet3!$A$19:$G$81,7,FALSE)</f>
        <v>1</v>
      </c>
      <c r="T56" s="8">
        <f t="shared" si="6"/>
        <v>0</v>
      </c>
      <c r="U56" s="8">
        <f t="shared" si="7"/>
        <v>0</v>
      </c>
      <c r="V56" t="str">
        <f>VLOOKUP(C56,Sheet5!$A$2:$J$270,8,FALSE)</f>
        <v>JEMBER</v>
      </c>
    </row>
    <row r="57" spans="2:22" ht="15.5">
      <c r="B57" s="186"/>
      <c r="C57" s="62" t="s">
        <v>103</v>
      </c>
      <c r="D57" s="63">
        <f>'LOOKUP  telda'!E31</f>
        <v>0</v>
      </c>
      <c r="E57" s="63">
        <f>'LOOKUP  telda'!F31+'LOOKUP  telda'!G31+'LOOKUP  telda'!H31</f>
        <v>0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0</v>
      </c>
      <c r="I57" s="63">
        <f>'LOOKUP  telda'!AF31</f>
        <v>0</v>
      </c>
      <c r="J57" s="63">
        <f>'LOOKUP  telda'!J31</f>
        <v>0</v>
      </c>
      <c r="K57" s="63">
        <f>'LOOKUP  telda'!K31</f>
        <v>0</v>
      </c>
      <c r="L57" s="63">
        <f>'LOOKUP  telda'!L31</f>
        <v>0</v>
      </c>
      <c r="M57" s="63">
        <f>'LOOKUP  telda'!P31</f>
        <v>0</v>
      </c>
      <c r="N57" s="63">
        <f>'LOOKUP  telda'!X31</f>
        <v>0</v>
      </c>
      <c r="O57" s="63">
        <f>'LOOKUP  telda'!Y31</f>
        <v>0</v>
      </c>
      <c r="P57" s="63">
        <f>'LOOKUP  telda'!Z31</f>
        <v>0</v>
      </c>
      <c r="Q57" s="40">
        <f t="shared" si="4"/>
        <v>0</v>
      </c>
      <c r="R57" s="40">
        <f t="shared" si="5"/>
        <v>0</v>
      </c>
      <c r="S57" s="40" t="e">
        <f>VLOOKUP(C57,Sheet3!$A$19:$G$81,7,FALSE)</f>
        <v>#N/A</v>
      </c>
      <c r="T57" s="8">
        <f t="shared" si="6"/>
        <v>0</v>
      </c>
      <c r="U57" s="8">
        <f t="shared" si="7"/>
        <v>0</v>
      </c>
      <c r="V57" t="str">
        <f>VLOOKUP(C57,Sheet5!$A$2:$J$270,8,FALSE)</f>
        <v>MOJOKERTO</v>
      </c>
    </row>
    <row r="58" spans="2:22" ht="15.5">
      <c r="B58" s="186"/>
      <c r="C58" s="62" t="s">
        <v>104</v>
      </c>
      <c r="D58" s="63">
        <f>'LOOKUP  telda'!E32</f>
        <v>0</v>
      </c>
      <c r="E58" s="63">
        <f>'LOOKUP  telda'!F32+'LOOKUP  telda'!G32+'LOOKUP  telda'!H32</f>
        <v>0</v>
      </c>
      <c r="F58" s="63">
        <f>'LOOKUP  telda'!I32</f>
        <v>0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0</v>
      </c>
      <c r="J58" s="63">
        <f>'LOOKUP  telda'!J32</f>
        <v>0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0</v>
      </c>
      <c r="O58" s="63">
        <f>'LOOKUP  telda'!Y32</f>
        <v>0</v>
      </c>
      <c r="P58" s="63">
        <f>'LOOKUP  telda'!Z32</f>
        <v>0</v>
      </c>
      <c r="Q58" s="40">
        <f t="shared" si="4"/>
        <v>0</v>
      </c>
      <c r="R58" s="40">
        <f t="shared" si="5"/>
        <v>0</v>
      </c>
      <c r="S58" s="40" t="e">
        <f>VLOOKUP(C58,Sheet3!$A$19:$G$81,7,FALSE)</f>
        <v>#N/A</v>
      </c>
      <c r="T58" s="8">
        <f t="shared" si="6"/>
        <v>0</v>
      </c>
      <c r="U58" s="8">
        <f t="shared" si="7"/>
        <v>0</v>
      </c>
      <c r="V58" t="str">
        <f>VLOOKUP(C58,Sheet5!$A$2:$J$270,8,FALSE)</f>
        <v>PROBOLINGGO</v>
      </c>
    </row>
    <row r="59" spans="2:22" ht="15.5">
      <c r="B59" s="186"/>
      <c r="C59" s="62" t="s">
        <v>105</v>
      </c>
      <c r="D59" s="63">
        <f>'LOOKUP  telda'!E33</f>
        <v>0</v>
      </c>
      <c r="E59" s="63">
        <f>'LOOKUP  telda'!F33+'LOOKUP  telda'!G33+'LOOKUP  telda'!H33</f>
        <v>0</v>
      </c>
      <c r="F59" s="63">
        <f>'LOOKUP  telda'!I33</f>
        <v>0</v>
      </c>
      <c r="G59" s="63">
        <f>'LOOKUP  telda'!AA33</f>
        <v>0</v>
      </c>
      <c r="H59" s="63">
        <f>'LOOKUP  telda'!AE33-'LOOKUP  telda'!AA33</f>
        <v>0</v>
      </c>
      <c r="I59" s="63">
        <f>'LOOKUP  telda'!AF33</f>
        <v>0</v>
      </c>
      <c r="J59" s="63">
        <f>'LOOKUP  telda'!J33</f>
        <v>0</v>
      </c>
      <c r="K59" s="63">
        <f>'LOOKUP  telda'!K33</f>
        <v>0</v>
      </c>
      <c r="L59" s="63">
        <f>'LOOKUP  telda'!L33</f>
        <v>0</v>
      </c>
      <c r="M59" s="63">
        <f>'LOOKUP  telda'!P33</f>
        <v>0</v>
      </c>
      <c r="N59" s="63">
        <f>'LOOKUP  telda'!X33</f>
        <v>0</v>
      </c>
      <c r="O59" s="63">
        <f>'LOOKUP  telda'!Y33</f>
        <v>0</v>
      </c>
      <c r="P59" s="63">
        <f>'LOOKUP  telda'!Z33</f>
        <v>0</v>
      </c>
      <c r="Q59" s="40">
        <f t="shared" si="4"/>
        <v>0</v>
      </c>
      <c r="R59" s="40">
        <f t="shared" si="5"/>
        <v>0</v>
      </c>
      <c r="S59" s="40">
        <f>VLOOKUP(C59,Sheet3!$A$19:$G$81,7,FALSE)</f>
        <v>1</v>
      </c>
      <c r="T59" s="8">
        <f t="shared" si="6"/>
        <v>0</v>
      </c>
      <c r="U59" s="8">
        <f t="shared" si="7"/>
        <v>0</v>
      </c>
      <c r="V59" t="str">
        <f>VLOOKUP(C59,Sheet5!$A$2:$J$270,8,FALSE)</f>
        <v>MOJOKERTO</v>
      </c>
    </row>
    <row r="60" spans="2:22" ht="15.5">
      <c r="B60" s="186"/>
      <c r="C60" s="62" t="s">
        <v>106</v>
      </c>
      <c r="D60" s="63">
        <f>'LOOKUP  telda'!E34</f>
        <v>0</v>
      </c>
      <c r="E60" s="63">
        <f>'LOOKUP  telda'!F34+'LOOKUP  telda'!G34+'LOOKUP  telda'!H34</f>
        <v>0</v>
      </c>
      <c r="F60" s="63">
        <f>'LOOKUP  telda'!I34</f>
        <v>0</v>
      </c>
      <c r="G60" s="63">
        <f>'LOOKUP  telda'!AA34</f>
        <v>0</v>
      </c>
      <c r="H60" s="63">
        <f>'LOOKUP  telda'!AE34-'LOOKUP  telda'!AA34</f>
        <v>0</v>
      </c>
      <c r="I60" s="63">
        <f>'LOOKUP  telda'!AF34</f>
        <v>0</v>
      </c>
      <c r="J60" s="63">
        <f>'LOOKUP  telda'!J34</f>
        <v>0</v>
      </c>
      <c r="K60" s="63">
        <f>'LOOKUP  telda'!K34</f>
        <v>0</v>
      </c>
      <c r="L60" s="63">
        <f>'LOOKUP  telda'!L34</f>
        <v>0</v>
      </c>
      <c r="M60" s="63">
        <f>'LOOKUP  telda'!P34</f>
        <v>0</v>
      </c>
      <c r="N60" s="63">
        <f>'LOOKUP  telda'!X34</f>
        <v>0</v>
      </c>
      <c r="O60" s="63">
        <f>'LOOKUP  telda'!Y34</f>
        <v>0</v>
      </c>
      <c r="P60" s="63">
        <f>'LOOKUP  telda'!Z34</f>
        <v>0</v>
      </c>
      <c r="Q60" s="40">
        <f t="shared" si="4"/>
        <v>0</v>
      </c>
      <c r="R60" s="40">
        <f t="shared" si="5"/>
        <v>0</v>
      </c>
      <c r="S60" s="40">
        <f>VLOOKUP(C60,Sheet3!$A$19:$G$81,7,FALSE)</f>
        <v>1</v>
      </c>
      <c r="T60" s="8">
        <f t="shared" si="6"/>
        <v>0</v>
      </c>
      <c r="U60" s="8">
        <f t="shared" si="7"/>
        <v>0</v>
      </c>
      <c r="V60" t="str">
        <f>VLOOKUP(C60,Sheet5!$A$2:$J$270,8,FALSE)</f>
        <v>PASURUAN</v>
      </c>
    </row>
    <row r="61" spans="2:22" ht="15.5">
      <c r="B61" s="186"/>
      <c r="C61" s="62" t="s">
        <v>107</v>
      </c>
      <c r="D61" s="63">
        <f>'LOOKUP  telda'!E35</f>
        <v>0</v>
      </c>
      <c r="E61" s="63">
        <f>'LOOKUP  telda'!F35+'LOOKUP  telda'!G35+'LOOKUP  telda'!H35</f>
        <v>0</v>
      </c>
      <c r="F61" s="63">
        <f>'LOOKUP  telda'!I35</f>
        <v>0</v>
      </c>
      <c r="G61" s="63">
        <f>'LOOKUP  telda'!AA35</f>
        <v>0</v>
      </c>
      <c r="H61" s="63">
        <f>'LOOKUP  telda'!AE35-'LOOKUP  telda'!AA35</f>
        <v>0</v>
      </c>
      <c r="I61" s="63">
        <f>'LOOKUP  telda'!AF35</f>
        <v>0</v>
      </c>
      <c r="J61" s="63">
        <f>'LOOKUP  telda'!J35</f>
        <v>0</v>
      </c>
      <c r="K61" s="63">
        <f>'LOOKUP  telda'!K35</f>
        <v>0</v>
      </c>
      <c r="L61" s="63">
        <f>'LOOKUP  telda'!L35</f>
        <v>0</v>
      </c>
      <c r="M61" s="63">
        <f>'LOOKUP  telda'!P35</f>
        <v>0</v>
      </c>
      <c r="N61" s="63">
        <f>'LOOKUP  telda'!X35</f>
        <v>0</v>
      </c>
      <c r="O61" s="63">
        <f>'LOOKUP  telda'!Y35</f>
        <v>0</v>
      </c>
      <c r="P61" s="63">
        <f>'LOOKUP  telda'!Z35</f>
        <v>0</v>
      </c>
      <c r="Q61" s="40">
        <f t="shared" si="4"/>
        <v>0</v>
      </c>
      <c r="R61" s="40">
        <f t="shared" si="5"/>
        <v>0</v>
      </c>
      <c r="S61" s="40">
        <f>VLOOKUP(C61,Sheet3!$A$19:$G$81,7,FALSE)</f>
        <v>1</v>
      </c>
      <c r="T61" s="8">
        <f t="shared" si="6"/>
        <v>0</v>
      </c>
      <c r="U61" s="8">
        <f t="shared" si="7"/>
        <v>0</v>
      </c>
      <c r="V61" t="str">
        <f>VLOOKUP(C61,Sheet5!$A$2:$J$270,8,FALSE)</f>
        <v>PROBOLINGGO</v>
      </c>
    </row>
    <row r="62" spans="2:22" ht="15.5">
      <c r="B62" s="186"/>
      <c r="C62" s="62" t="s">
        <v>108</v>
      </c>
      <c r="D62" s="63">
        <f>'LOOKUP  telda'!E36</f>
        <v>0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0</v>
      </c>
      <c r="J62" s="63">
        <f>'LOOKUP  telda'!J36</f>
        <v>0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0</v>
      </c>
      <c r="O62" s="63">
        <f>'LOOKUP  telda'!Y36</f>
        <v>0</v>
      </c>
      <c r="P62" s="63">
        <f>'LOOKUP  telda'!Z36</f>
        <v>0</v>
      </c>
      <c r="Q62" s="40">
        <f t="shared" si="4"/>
        <v>0</v>
      </c>
      <c r="R62" s="40">
        <f t="shared" si="5"/>
        <v>0</v>
      </c>
      <c r="S62" s="40" t="e">
        <f>VLOOKUP(C62,Sheet3!$A$19:$G$81,7,FALSE)</f>
        <v>#N/A</v>
      </c>
      <c r="T62" s="8">
        <f t="shared" si="6"/>
        <v>0</v>
      </c>
      <c r="U62" s="8">
        <f t="shared" si="7"/>
        <v>0</v>
      </c>
      <c r="V62" t="str">
        <f>VLOOKUP(C62,Sheet5!$A$2:$J$270,8,FALSE)</f>
        <v>BANYUWANGI</v>
      </c>
    </row>
    <row r="63" spans="2:22" ht="15.5">
      <c r="B63" s="187" t="s">
        <v>70</v>
      </c>
      <c r="C63" s="68" t="s">
        <v>109</v>
      </c>
      <c r="D63" s="69">
        <f>'LOOKUP  telda'!E37</f>
        <v>0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0</v>
      </c>
      <c r="I63" s="69">
        <f>'LOOKUP  telda'!AF37</f>
        <v>0</v>
      </c>
      <c r="J63" s="69">
        <f>'LOOKUP  telda'!J37</f>
        <v>0</v>
      </c>
      <c r="K63" s="69">
        <f>'LOOKUP  telda'!K37</f>
        <v>0</v>
      </c>
      <c r="L63" s="69">
        <f>'LOOKUP  telda'!L37</f>
        <v>0</v>
      </c>
      <c r="M63" s="69">
        <f>'LOOKUP  telda'!P37</f>
        <v>0</v>
      </c>
      <c r="N63" s="69">
        <f>'LOOKUP  telda'!X37</f>
        <v>0</v>
      </c>
      <c r="O63" s="69">
        <f>'LOOKUP  telda'!Y37</f>
        <v>0</v>
      </c>
      <c r="P63" s="69">
        <f>'LOOKUP  telda'!Z37</f>
        <v>0</v>
      </c>
      <c r="Q63" s="40">
        <f t="shared" si="4"/>
        <v>0</v>
      </c>
      <c r="R63" s="40">
        <f t="shared" si="5"/>
        <v>0</v>
      </c>
      <c r="S63" s="40">
        <f>VLOOKUP(C63,Sheet3!$A$19:$G$81,7,FALSE)</f>
        <v>1</v>
      </c>
      <c r="T63" s="8">
        <f t="shared" si="6"/>
        <v>0</v>
      </c>
      <c r="U63" s="8">
        <f t="shared" si="7"/>
        <v>0</v>
      </c>
      <c r="V63" t="str">
        <f>VLOOKUP(C63,Sheet5!$A$2:$J$270,8,FALSE)</f>
        <v>ATAMBUA</v>
      </c>
    </row>
    <row r="64" spans="2:22" ht="15.5">
      <c r="B64" s="187"/>
      <c r="C64" s="68" t="s">
        <v>110</v>
      </c>
      <c r="D64" s="69">
        <f>'LOOKUP  telda'!E38</f>
        <v>0</v>
      </c>
      <c r="E64" s="69">
        <f>'LOOKUP  telda'!F38+'LOOKUP  telda'!G38+'LOOKUP  telda'!H38</f>
        <v>0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0</v>
      </c>
      <c r="J64" s="69">
        <f>'LOOKUP  telda'!J38</f>
        <v>0</v>
      </c>
      <c r="K64" s="69">
        <f>'LOOKUP  telda'!K38</f>
        <v>0</v>
      </c>
      <c r="L64" s="69">
        <f>'LOOKUP  telda'!L38</f>
        <v>0</v>
      </c>
      <c r="M64" s="69">
        <f>'LOOKUP  telda'!P38</f>
        <v>0</v>
      </c>
      <c r="N64" s="69">
        <f>'LOOKUP  telda'!X38</f>
        <v>0</v>
      </c>
      <c r="O64" s="69">
        <f>'LOOKUP  telda'!Y38</f>
        <v>0</v>
      </c>
      <c r="P64" s="69">
        <f>'LOOKUP  telda'!Z38</f>
        <v>0</v>
      </c>
      <c r="Q64" s="40">
        <f t="shared" si="4"/>
        <v>0</v>
      </c>
      <c r="R64" s="40">
        <f t="shared" si="5"/>
        <v>0</v>
      </c>
      <c r="S64" s="40">
        <f>VLOOKUP(C64,Sheet3!$A$19:$G$81,7,FALSE)</f>
        <v>1</v>
      </c>
      <c r="T64" s="8">
        <f t="shared" si="6"/>
        <v>0</v>
      </c>
      <c r="U64" s="8">
        <f t="shared" si="7"/>
        <v>0</v>
      </c>
      <c r="V64" t="str">
        <f>VLOOKUP(C64,Sheet5!$A$2:$J$270,8,FALSE)</f>
        <v>BIMA</v>
      </c>
    </row>
    <row r="65" spans="2:22" ht="15.5">
      <c r="B65" s="187"/>
      <c r="C65" s="68" t="s">
        <v>111</v>
      </c>
      <c r="D65" s="69">
        <f>'LOOKUP  telda'!E39</f>
        <v>0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0</v>
      </c>
      <c r="K65" s="69">
        <f>'LOOKUP  telda'!K39</f>
        <v>0</v>
      </c>
      <c r="L65" s="69">
        <f>'LOOKUP  telda'!L39</f>
        <v>0</v>
      </c>
      <c r="M65" s="69">
        <f>'LOOKUP  telda'!P39</f>
        <v>0</v>
      </c>
      <c r="N65" s="69">
        <f>'LOOKUP  telda'!X39</f>
        <v>0</v>
      </c>
      <c r="O65" s="69">
        <f>'LOOKUP  telda'!Y39</f>
        <v>0</v>
      </c>
      <c r="P65" s="69">
        <f>'LOOKUP  telda'!Z39</f>
        <v>0</v>
      </c>
      <c r="Q65" s="40">
        <f t="shared" si="4"/>
        <v>0</v>
      </c>
      <c r="R65" s="40">
        <f t="shared" si="5"/>
        <v>0</v>
      </c>
      <c r="S65" s="40">
        <f>VLOOKUP(C65,Sheet3!$A$19:$G$81,7,FALSE)</f>
        <v>1</v>
      </c>
      <c r="T65" s="8">
        <f t="shared" si="6"/>
        <v>0</v>
      </c>
      <c r="U65" s="8">
        <f t="shared" si="7"/>
        <v>0</v>
      </c>
      <c r="V65" t="str">
        <f>VLOOKUP(C65,Sheet5!$A$2:$J$270,8,FALSE)</f>
        <v>ENDE</v>
      </c>
    </row>
    <row r="66" spans="2:22" ht="29">
      <c r="B66" s="187"/>
      <c r="C66" s="68" t="s">
        <v>112</v>
      </c>
      <c r="D66" s="69">
        <f>'LOOKUP  telda'!E40</f>
        <v>0</v>
      </c>
      <c r="E66" s="69">
        <f>'LOOKUP  telda'!F40+'LOOKUP  telda'!G40+'LOOKUP  telda'!H40</f>
        <v>0</v>
      </c>
      <c r="F66" s="69">
        <f>'LOOKUP  telda'!I40</f>
        <v>0</v>
      </c>
      <c r="G66" s="69">
        <f>'LOOKUP  telda'!AA40</f>
        <v>0</v>
      </c>
      <c r="H66" s="69">
        <f>'LOOKUP  telda'!AE40-'LOOKUP  telda'!AA40</f>
        <v>0</v>
      </c>
      <c r="I66" s="69">
        <f>'LOOKUP  telda'!AF40</f>
        <v>0</v>
      </c>
      <c r="J66" s="69">
        <f>'LOOKUP  telda'!J40</f>
        <v>0</v>
      </c>
      <c r="K66" s="69">
        <f>'LOOKUP  telda'!K40</f>
        <v>0</v>
      </c>
      <c r="L66" s="69">
        <f>'LOOKUP  telda'!L40</f>
        <v>0</v>
      </c>
      <c r="M66" s="69">
        <f>'LOOKUP  telda'!P40</f>
        <v>0</v>
      </c>
      <c r="N66" s="69">
        <f>'LOOKUP  telda'!X40</f>
        <v>0</v>
      </c>
      <c r="O66" s="69">
        <f>'LOOKUP  telda'!Y40</f>
        <v>0</v>
      </c>
      <c r="P66" s="69">
        <f>'LOOKUP  telda'!Z40</f>
        <v>0</v>
      </c>
      <c r="Q66" s="40">
        <f t="shared" si="4"/>
        <v>0</v>
      </c>
      <c r="R66" s="40">
        <f t="shared" si="5"/>
        <v>0</v>
      </c>
      <c r="S66" s="40" t="e">
        <f>VLOOKUP(C66,Sheet3!$A$19:$G$81,7,FALSE)</f>
        <v>#N/A</v>
      </c>
      <c r="T66" s="8">
        <f t="shared" si="6"/>
        <v>0</v>
      </c>
      <c r="U66" s="8">
        <f t="shared" si="7"/>
        <v>0</v>
      </c>
      <c r="V66" t="str">
        <f>VLOOKUP(C66,Sheet5!$A$2:$J$270,8,FALSE)</f>
        <v>MATARAM</v>
      </c>
    </row>
    <row r="67" spans="2:22" ht="15.5">
      <c r="B67" s="187"/>
      <c r="C67" s="68" t="s">
        <v>113</v>
      </c>
      <c r="D67" s="69">
        <f>'LOOKUP  telda'!E41</f>
        <v>0</v>
      </c>
      <c r="E67" s="69">
        <f>'LOOKUP  telda'!F41+'LOOKUP  telda'!G41+'LOOKUP  telda'!H41</f>
        <v>0</v>
      </c>
      <c r="F67" s="69">
        <f>'LOOKUP  telda'!I41</f>
        <v>0</v>
      </c>
      <c r="G67" s="69">
        <f>'LOOKUP  telda'!AA41</f>
        <v>0</v>
      </c>
      <c r="H67" s="69">
        <f>'LOOKUP  telda'!AE41-'LOOKUP  telda'!AA41</f>
        <v>0</v>
      </c>
      <c r="I67" s="69">
        <f>'LOOKUP  telda'!AF41</f>
        <v>0</v>
      </c>
      <c r="J67" s="69">
        <f>'LOOKUP  telda'!J41</f>
        <v>0</v>
      </c>
      <c r="K67" s="69">
        <f>'LOOKUP  telda'!K41</f>
        <v>0</v>
      </c>
      <c r="L67" s="69">
        <f>'LOOKUP  telda'!L41</f>
        <v>0</v>
      </c>
      <c r="M67" s="69">
        <f>'LOOKUP  telda'!P41</f>
        <v>0</v>
      </c>
      <c r="N67" s="69">
        <f>'LOOKUP  telda'!X41</f>
        <v>0</v>
      </c>
      <c r="O67" s="69">
        <f>'LOOKUP  telda'!Y41</f>
        <v>0</v>
      </c>
      <c r="P67" s="69">
        <f>'LOOKUP  telda'!Z41</f>
        <v>0</v>
      </c>
      <c r="Q67" s="40">
        <f t="shared" si="4"/>
        <v>0</v>
      </c>
      <c r="R67" s="40">
        <f t="shared" si="5"/>
        <v>0</v>
      </c>
      <c r="S67" s="40">
        <f>VLOOKUP(C67,Sheet3!$A$19:$G$81,7,FALSE)</f>
        <v>1</v>
      </c>
      <c r="T67" s="8">
        <f t="shared" si="6"/>
        <v>0</v>
      </c>
      <c r="U67" s="8">
        <f t="shared" si="7"/>
        <v>0</v>
      </c>
      <c r="V67" t="str">
        <f>VLOOKUP(C67,Sheet5!$A$2:$J$270,8,FALSE)</f>
        <v>KUPANG</v>
      </c>
    </row>
    <row r="68" spans="2:22" ht="15.5">
      <c r="B68" s="187"/>
      <c r="C68" s="68" t="s">
        <v>114</v>
      </c>
      <c r="D68" s="69">
        <f>'LOOKUP  telda'!E42</f>
        <v>0</v>
      </c>
      <c r="E68" s="69">
        <f>'LOOKUP  telda'!F42+'LOOKUP  telda'!G42+'LOOKUP  telda'!H42</f>
        <v>0</v>
      </c>
      <c r="F68" s="69">
        <f>'LOOKUP  telda'!I42</f>
        <v>0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0</v>
      </c>
      <c r="K68" s="69">
        <f>'LOOKUP  telda'!K42</f>
        <v>0</v>
      </c>
      <c r="L68" s="69">
        <f>'LOOKUP  telda'!L42</f>
        <v>0</v>
      </c>
      <c r="M68" s="69">
        <f>'LOOKUP  telda'!P42</f>
        <v>0</v>
      </c>
      <c r="N68" s="69">
        <f>'LOOKUP  telda'!X42</f>
        <v>0</v>
      </c>
      <c r="O68" s="69">
        <f>'LOOKUP  telda'!Y42</f>
        <v>0</v>
      </c>
      <c r="P68" s="69">
        <f>'LOOKUP  telda'!Z42</f>
        <v>0</v>
      </c>
      <c r="Q68" s="40">
        <f t="shared" si="4"/>
        <v>0</v>
      </c>
      <c r="R68" s="40">
        <f t="shared" si="5"/>
        <v>0</v>
      </c>
      <c r="S68" s="40">
        <f>VLOOKUP(C68,Sheet3!$A$19:$G$81,7,FALSE)</f>
        <v>1</v>
      </c>
      <c r="T68" s="8">
        <f t="shared" si="6"/>
        <v>0</v>
      </c>
      <c r="U68" s="8">
        <f t="shared" si="7"/>
        <v>0</v>
      </c>
      <c r="V68" t="str">
        <f>VLOOKUP(C68,Sheet5!$A$2:$J$270,8,FALSE)</f>
        <v>LABOAN BAJO</v>
      </c>
    </row>
    <row r="69" spans="2:22" ht="29">
      <c r="B69" s="187"/>
      <c r="C69" s="68" t="s">
        <v>115</v>
      </c>
      <c r="D69" s="69">
        <f>'LOOKUP  telda'!E43</f>
        <v>0</v>
      </c>
      <c r="E69" s="69">
        <f>'LOOKUP  telda'!F43+'LOOKUP  telda'!G43+'LOOKUP  telda'!H43</f>
        <v>0</v>
      </c>
      <c r="F69" s="69">
        <f>'LOOKUP  telda'!I43</f>
        <v>0</v>
      </c>
      <c r="G69" s="69">
        <f>'LOOKUP  telda'!AA43</f>
        <v>0</v>
      </c>
      <c r="H69" s="69">
        <f>'LOOKUP  telda'!AE43-'LOOKUP  telda'!AA43</f>
        <v>0</v>
      </c>
      <c r="I69" s="69">
        <f>'LOOKUP  telda'!AF43</f>
        <v>0</v>
      </c>
      <c r="J69" s="69">
        <f>'LOOKUP  telda'!J43</f>
        <v>0</v>
      </c>
      <c r="K69" s="69">
        <f>'LOOKUP  telda'!K43</f>
        <v>0</v>
      </c>
      <c r="L69" s="69">
        <f>'LOOKUP  telda'!L43</f>
        <v>0</v>
      </c>
      <c r="M69" s="69">
        <f>'LOOKUP  telda'!P43</f>
        <v>0</v>
      </c>
      <c r="N69" s="69">
        <f>'LOOKUP  telda'!X43</f>
        <v>0</v>
      </c>
      <c r="O69" s="69">
        <f>'LOOKUP  telda'!Y43</f>
        <v>0</v>
      </c>
      <c r="P69" s="69">
        <f>'LOOKUP  telda'!Z43</f>
        <v>0</v>
      </c>
      <c r="Q69" s="40">
        <f t="shared" si="4"/>
        <v>0</v>
      </c>
      <c r="R69" s="40">
        <f t="shared" si="5"/>
        <v>0</v>
      </c>
      <c r="S69" s="40" t="e">
        <f>VLOOKUP(C69,Sheet3!$A$19:$G$81,7,FALSE)</f>
        <v>#N/A</v>
      </c>
      <c r="T69" s="8">
        <f t="shared" si="6"/>
        <v>0</v>
      </c>
      <c r="U69" s="8">
        <f t="shared" si="7"/>
        <v>0</v>
      </c>
      <c r="V69" t="str">
        <f>VLOOKUP(C69,Sheet5!$A$2:$J$270,8,FALSE)</f>
        <v>SELONG</v>
      </c>
    </row>
    <row r="70" spans="2:22" ht="15.5">
      <c r="B70" s="187"/>
      <c r="C70" s="68" t="s">
        <v>116</v>
      </c>
      <c r="D70" s="69">
        <f>'LOOKUP  telda'!E44</f>
        <v>0</v>
      </c>
      <c r="E70" s="69">
        <f>'LOOKUP  telda'!F44+'LOOKUP  telda'!G44+'LOOKUP  telda'!H44</f>
        <v>0</v>
      </c>
      <c r="F70" s="69">
        <f>'LOOKUP  telda'!I44</f>
        <v>0</v>
      </c>
      <c r="G70" s="69">
        <f>'LOOKUP  telda'!AA44</f>
        <v>0</v>
      </c>
      <c r="H70" s="69">
        <f>'LOOKUP  telda'!AE44-'LOOKUP  telda'!AA44</f>
        <v>0</v>
      </c>
      <c r="I70" s="69">
        <f>'LOOKUP  telda'!AF44</f>
        <v>0</v>
      </c>
      <c r="J70" s="69">
        <f>'LOOKUP  telda'!J44</f>
        <v>0</v>
      </c>
      <c r="K70" s="69">
        <f>'LOOKUP  telda'!K44</f>
        <v>0</v>
      </c>
      <c r="L70" s="69">
        <f>'LOOKUP  telda'!L44</f>
        <v>0</v>
      </c>
      <c r="M70" s="69">
        <f>'LOOKUP  telda'!P44</f>
        <v>0</v>
      </c>
      <c r="N70" s="69">
        <f>'LOOKUP  telda'!X44</f>
        <v>0</v>
      </c>
      <c r="O70" s="69">
        <f>'LOOKUP  telda'!Y44</f>
        <v>0</v>
      </c>
      <c r="P70" s="69">
        <f>'LOOKUP  telda'!Z44</f>
        <v>0</v>
      </c>
      <c r="Q70" s="40">
        <f t="shared" si="4"/>
        <v>0</v>
      </c>
      <c r="R70" s="40">
        <f t="shared" si="5"/>
        <v>0</v>
      </c>
      <c r="S70" s="40" t="e">
        <f>VLOOKUP(C70,Sheet3!$A$19:$G$81,7,FALSE)</f>
        <v>#N/A</v>
      </c>
      <c r="T70" s="8">
        <f t="shared" si="6"/>
        <v>0</v>
      </c>
      <c r="U70" s="8">
        <f t="shared" si="7"/>
        <v>0</v>
      </c>
      <c r="V70" t="str">
        <f>VLOOKUP(C70,Sheet5!$A$2:$J$270,8,FALSE)</f>
        <v>SELONG</v>
      </c>
    </row>
    <row r="71" spans="2:22" ht="15.5">
      <c r="B71" s="187"/>
      <c r="C71" s="68" t="s">
        <v>117</v>
      </c>
      <c r="D71" s="69">
        <f>'LOOKUP  telda'!E45</f>
        <v>0</v>
      </c>
      <c r="E71" s="69">
        <f>'LOOKUP  telda'!F45+'LOOKUP  telda'!G45+'LOOKUP  telda'!H45</f>
        <v>0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0</v>
      </c>
      <c r="K71" s="69">
        <f>'LOOKUP  telda'!K45</f>
        <v>0</v>
      </c>
      <c r="L71" s="69">
        <f>'LOOKUP  telda'!L45</f>
        <v>0</v>
      </c>
      <c r="M71" s="69">
        <f>'LOOKUP  telda'!P45</f>
        <v>0</v>
      </c>
      <c r="N71" s="69">
        <f>'LOOKUP  telda'!X45</f>
        <v>0</v>
      </c>
      <c r="O71" s="69">
        <f>'LOOKUP  telda'!Y45</f>
        <v>0</v>
      </c>
      <c r="P71" s="69">
        <f>'LOOKUP  telda'!Z45</f>
        <v>0</v>
      </c>
      <c r="Q71" s="40">
        <f t="shared" si="4"/>
        <v>0</v>
      </c>
      <c r="R71" s="40">
        <f t="shared" si="5"/>
        <v>0</v>
      </c>
      <c r="S71" s="40" t="e">
        <f>VLOOKUP(C71,Sheet3!$A$19:$G$81,7,FALSE)</f>
        <v>#N/A</v>
      </c>
      <c r="T71" s="8">
        <f t="shared" si="6"/>
        <v>0</v>
      </c>
      <c r="U71" s="8">
        <f t="shared" si="7"/>
        <v>0</v>
      </c>
      <c r="V71" t="str">
        <f>VLOOKUP(C71,Sheet5!$A$2:$J$270,8,FALSE)</f>
        <v>MAUMERE</v>
      </c>
    </row>
    <row r="72" spans="2:22" ht="15.5">
      <c r="B72" s="187"/>
      <c r="C72" s="68" t="s">
        <v>118</v>
      </c>
      <c r="D72" s="69">
        <f>'LOOKUP  telda'!E46</f>
        <v>0</v>
      </c>
      <c r="E72" s="69">
        <f>'LOOKUP  telda'!F46+'LOOKUP  telda'!G46+'LOOKUP  telda'!H46</f>
        <v>0</v>
      </c>
      <c r="F72" s="69">
        <f>'LOOKUP  telda'!I46</f>
        <v>0</v>
      </c>
      <c r="G72" s="69">
        <f>'LOOKUP  telda'!AA46</f>
        <v>0</v>
      </c>
      <c r="H72" s="69">
        <f>'LOOKUP  telda'!AE46-'LOOKUP  telda'!AA46</f>
        <v>0</v>
      </c>
      <c r="I72" s="69">
        <f>'LOOKUP  telda'!AF46</f>
        <v>0</v>
      </c>
      <c r="J72" s="69">
        <f>'LOOKUP  telda'!J46</f>
        <v>0</v>
      </c>
      <c r="K72" s="69">
        <f>'LOOKUP  telda'!K46</f>
        <v>0</v>
      </c>
      <c r="L72" s="69">
        <f>'LOOKUP  telda'!L46</f>
        <v>0</v>
      </c>
      <c r="M72" s="69">
        <f>'LOOKUP  telda'!P46</f>
        <v>0</v>
      </c>
      <c r="N72" s="69">
        <f>'LOOKUP  telda'!X46</f>
        <v>0</v>
      </c>
      <c r="O72" s="69">
        <f>'LOOKUP  telda'!Y46</f>
        <v>0</v>
      </c>
      <c r="P72" s="69">
        <f>'LOOKUP  telda'!Z46</f>
        <v>0</v>
      </c>
      <c r="Q72" s="40">
        <f t="shared" si="4"/>
        <v>0</v>
      </c>
      <c r="R72" s="40">
        <f t="shared" si="5"/>
        <v>0</v>
      </c>
      <c r="S72" s="40">
        <f>VLOOKUP(C72,Sheet3!$A$19:$G$81,7,FALSE)</f>
        <v>1</v>
      </c>
      <c r="T72" s="8">
        <f t="shared" si="6"/>
        <v>0</v>
      </c>
      <c r="U72" s="8">
        <f t="shared" si="7"/>
        <v>0</v>
      </c>
      <c r="V72" t="str">
        <f>VLOOKUP(C72,Sheet5!$A$2:$J$270,8,FALSE)</f>
        <v>SUMBAWA</v>
      </c>
    </row>
    <row r="73" spans="2:22" ht="15.5">
      <c r="B73" s="187"/>
      <c r="C73" s="68" t="s">
        <v>119</v>
      </c>
      <c r="D73" s="69">
        <f>'LOOKUP  telda'!E47</f>
        <v>0</v>
      </c>
      <c r="E73" s="69">
        <f>'LOOKUP  telda'!F47+'LOOKUP  telda'!G47+'LOOKUP  telda'!H47</f>
        <v>0</v>
      </c>
      <c r="F73" s="69">
        <f>'LOOKUP  telda'!I47</f>
        <v>0</v>
      </c>
      <c r="G73" s="69">
        <f>'LOOKUP  telda'!AA47</f>
        <v>0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0</v>
      </c>
      <c r="N73" s="69">
        <f>'LOOKUP  telda'!X47</f>
        <v>0</v>
      </c>
      <c r="O73" s="69">
        <f>'LOOKUP  telda'!Y47</f>
        <v>0</v>
      </c>
      <c r="P73" s="69">
        <f>'LOOKUP  telda'!Z47</f>
        <v>0</v>
      </c>
      <c r="Q73" s="40">
        <f t="shared" si="4"/>
        <v>0</v>
      </c>
      <c r="R73" s="40">
        <f t="shared" si="5"/>
        <v>0</v>
      </c>
      <c r="S73" s="40" t="e">
        <f>VLOOKUP(C73,Sheet3!$A$19:$G$81,7,FALSE)</f>
        <v>#N/A</v>
      </c>
      <c r="T73" s="8">
        <f t="shared" si="6"/>
        <v>0</v>
      </c>
      <c r="U73" s="8">
        <f t="shared" si="7"/>
        <v>0</v>
      </c>
      <c r="V73" t="str">
        <f>VLOOKUP(C73,Sheet5!$A$2:$J$270,8,FALSE)</f>
        <v>WAINGAPU</v>
      </c>
    </row>
    <row r="74" spans="2:22" ht="15.5">
      <c r="B74" s="187"/>
      <c r="C74" s="68" t="s">
        <v>120</v>
      </c>
      <c r="D74" s="69">
        <f>'LOOKUP  telda'!E48</f>
        <v>0</v>
      </c>
      <c r="E74" s="69">
        <f>'LOOKUP  telda'!F48+'LOOKUP  telda'!G48+'LOOKUP  telda'!H48</f>
        <v>0</v>
      </c>
      <c r="F74" s="69">
        <f>'LOOKUP  telda'!I48</f>
        <v>0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0</v>
      </c>
      <c r="K74" s="69">
        <f>'LOOKUP  telda'!K48</f>
        <v>0</v>
      </c>
      <c r="L74" s="69">
        <f>'LOOKUP  telda'!L48</f>
        <v>0</v>
      </c>
      <c r="M74" s="69">
        <f>'LOOKUP  telda'!P48</f>
        <v>0</v>
      </c>
      <c r="N74" s="69">
        <f>'LOOKUP  telda'!X48</f>
        <v>0</v>
      </c>
      <c r="O74" s="69">
        <f>'LOOKUP  telda'!Y48</f>
        <v>0</v>
      </c>
      <c r="P74" s="69">
        <f>'LOOKUP  telda'!Z48</f>
        <v>0</v>
      </c>
      <c r="Q74" s="40">
        <f t="shared" si="4"/>
        <v>0</v>
      </c>
      <c r="R74" s="40">
        <f t="shared" si="5"/>
        <v>0</v>
      </c>
      <c r="S74" s="40" t="e">
        <f>VLOOKUP(C74,Sheet3!$A$19:$G$81,7,FALSE)</f>
        <v>#N/A</v>
      </c>
      <c r="T74" s="8">
        <f t="shared" si="6"/>
        <v>0</v>
      </c>
      <c r="U74" s="8">
        <f t="shared" si="7"/>
        <v>0</v>
      </c>
      <c r="V74" t="str">
        <f>VLOOKUP(C74,Sheet5!$A$2:$J$270,8,FALSE)</f>
        <v>WAINGAPU</v>
      </c>
    </row>
    <row r="75" spans="2:22" ht="15.5">
      <c r="B75" s="188" t="s">
        <v>55</v>
      </c>
      <c r="C75" s="70" t="s">
        <v>121</v>
      </c>
      <c r="D75" s="99">
        <f>'LOOKUP  telda'!E49</f>
        <v>0</v>
      </c>
      <c r="E75" s="99">
        <f>'LOOKUP  telda'!F49+'LOOKUP  telda'!G49+'LOOKUP  telda'!H49</f>
        <v>0</v>
      </c>
      <c r="F75" s="99">
        <f>'LOOKUP  telda'!I49</f>
        <v>0</v>
      </c>
      <c r="G75" s="99">
        <f>'LOOKUP  telda'!AA49</f>
        <v>0</v>
      </c>
      <c r="H75" s="99">
        <f>'LOOKUP  telda'!AE49-'LOOKUP  telda'!AA49</f>
        <v>0</v>
      </c>
      <c r="I75" s="99">
        <f>'LOOKUP  telda'!AF49</f>
        <v>0</v>
      </c>
      <c r="J75" s="99">
        <f>'LOOKUP  telda'!J49</f>
        <v>0</v>
      </c>
      <c r="K75" s="99">
        <f>'LOOKUP  telda'!K49</f>
        <v>0</v>
      </c>
      <c r="L75" s="99">
        <f>'LOOKUP  telda'!L49</f>
        <v>0</v>
      </c>
      <c r="M75" s="99">
        <f>'LOOKUP  telda'!P49</f>
        <v>0</v>
      </c>
      <c r="N75" s="99">
        <f>'LOOKUP  telda'!X49</f>
        <v>0</v>
      </c>
      <c r="O75" s="99">
        <f>'LOOKUP  telda'!Y49</f>
        <v>0</v>
      </c>
      <c r="P75" s="99">
        <f>'LOOKUP  telda'!Z49</f>
        <v>0</v>
      </c>
      <c r="Q75" s="40">
        <f t="shared" si="4"/>
        <v>0</v>
      </c>
      <c r="R75" s="40">
        <f t="shared" si="5"/>
        <v>0</v>
      </c>
      <c r="S75" s="40" t="e">
        <f>VLOOKUP(C75,Sheet3!$A$19:$G$81,7,FALSE)</f>
        <v>#N/A</v>
      </c>
      <c r="T75" s="8">
        <f t="shared" si="6"/>
        <v>0</v>
      </c>
      <c r="U75" s="8">
        <f t="shared" si="7"/>
        <v>0</v>
      </c>
      <c r="V75" t="str">
        <f>VLOOKUP(C75,Sheet5!$A$2:$J$270,8,FALSE)</f>
        <v>MADURA</v>
      </c>
    </row>
    <row r="76" spans="2:22" ht="15.5">
      <c r="B76" s="188"/>
      <c r="C76" s="70" t="s">
        <v>122</v>
      </c>
      <c r="D76" s="99">
        <f>'LOOKUP  telda'!E50</f>
        <v>0</v>
      </c>
      <c r="E76" s="99">
        <f>'LOOKUP  telda'!F50+'LOOKUP  telda'!G50+'LOOKUP  telda'!H50</f>
        <v>0</v>
      </c>
      <c r="F76" s="99">
        <f>'LOOKUP  telda'!I50</f>
        <v>0</v>
      </c>
      <c r="G76" s="99">
        <f>'LOOKUP  telda'!AA50</f>
        <v>0</v>
      </c>
      <c r="H76" s="99">
        <f>'LOOKUP  telda'!AE50-'LOOKUP  telda'!AA50</f>
        <v>0</v>
      </c>
      <c r="I76" s="99">
        <f>'LOOKUP  telda'!AF50</f>
        <v>0</v>
      </c>
      <c r="J76" s="99">
        <f>'LOOKUP  telda'!J50</f>
        <v>0</v>
      </c>
      <c r="K76" s="99">
        <f>'LOOKUP  telda'!K50</f>
        <v>0</v>
      </c>
      <c r="L76" s="99">
        <f>'LOOKUP  telda'!L50</f>
        <v>0</v>
      </c>
      <c r="M76" s="99">
        <f>'LOOKUP  telda'!P50</f>
        <v>0</v>
      </c>
      <c r="N76" s="99">
        <f>'LOOKUP  telda'!X50</f>
        <v>0</v>
      </c>
      <c r="O76" s="99">
        <f>'LOOKUP  telda'!Y50</f>
        <v>0</v>
      </c>
      <c r="P76" s="99">
        <f>'LOOKUP  telda'!Z50</f>
        <v>0</v>
      </c>
      <c r="Q76" s="40">
        <f t="shared" si="4"/>
        <v>0</v>
      </c>
      <c r="R76" s="40">
        <f t="shared" si="5"/>
        <v>0</v>
      </c>
      <c r="S76" s="40">
        <f>VLOOKUP(C76,Sheet3!$A$19:$G$81,7,FALSE)</f>
        <v>1</v>
      </c>
      <c r="T76" s="8">
        <f t="shared" si="6"/>
        <v>0</v>
      </c>
      <c r="U76" s="8">
        <f t="shared" si="7"/>
        <v>0</v>
      </c>
      <c r="V76" t="str">
        <f>VLOOKUP(C76,Sheet5!$A$2:$J$270,8,FALSE)</f>
        <v>GRESIK</v>
      </c>
    </row>
    <row r="77" spans="2:22" ht="15.5">
      <c r="B77" s="188"/>
      <c r="C77" s="70" t="s">
        <v>123</v>
      </c>
      <c r="D77" s="99">
        <f>'LOOKUP  telda'!E51</f>
        <v>0</v>
      </c>
      <c r="E77" s="99">
        <f>'LOOKUP  telda'!F51+'LOOKUP  telda'!G51+'LOOKUP  telda'!H51</f>
        <v>0</v>
      </c>
      <c r="F77" s="99">
        <f>'LOOKUP  telda'!I51</f>
        <v>0</v>
      </c>
      <c r="G77" s="99">
        <f>'LOOKUP  telda'!AA51</f>
        <v>0</v>
      </c>
      <c r="H77" s="99">
        <f>'LOOKUP  telda'!AE51-'LOOKUP  telda'!AA51</f>
        <v>0</v>
      </c>
      <c r="I77" s="99">
        <f>'LOOKUP  telda'!AF51</f>
        <v>0</v>
      </c>
      <c r="J77" s="99">
        <f>'LOOKUP  telda'!J51</f>
        <v>0</v>
      </c>
      <c r="K77" s="99">
        <f>'LOOKUP  telda'!K51</f>
        <v>0</v>
      </c>
      <c r="L77" s="99">
        <f>'LOOKUP  telda'!L51</f>
        <v>0</v>
      </c>
      <c r="M77" s="99">
        <f>'LOOKUP  telda'!P51</f>
        <v>0</v>
      </c>
      <c r="N77" s="99">
        <f>'LOOKUP  telda'!X51</f>
        <v>0</v>
      </c>
      <c r="O77" s="99">
        <f>'LOOKUP  telda'!Y51</f>
        <v>0</v>
      </c>
      <c r="P77" s="99">
        <f>'LOOKUP  telda'!Z51</f>
        <v>0</v>
      </c>
      <c r="Q77" s="40">
        <f t="shared" si="4"/>
        <v>0</v>
      </c>
      <c r="R77" s="40">
        <f t="shared" si="5"/>
        <v>0</v>
      </c>
      <c r="S77" s="40" t="e">
        <f>VLOOKUP(C77,Sheet3!$A$19:$G$81,7,FALSE)</f>
        <v>#N/A</v>
      </c>
      <c r="T77" s="8">
        <f t="shared" si="6"/>
        <v>0</v>
      </c>
      <c r="U77" s="8">
        <f t="shared" si="7"/>
        <v>0</v>
      </c>
      <c r="V77" t="str">
        <f>VLOOKUP(C77,Sheet5!$A$2:$J$270,8,FALSE)</f>
        <v>SURABAYA UTARA</v>
      </c>
    </row>
    <row r="78" spans="2:22" ht="15.5">
      <c r="B78" s="188"/>
      <c r="C78" s="70" t="s">
        <v>124</v>
      </c>
      <c r="D78" s="99">
        <f>'LOOKUP  telda'!E52</f>
        <v>0</v>
      </c>
      <c r="E78" s="99">
        <f>'LOOKUP  telda'!F52+'LOOKUP  telda'!G52+'LOOKUP  telda'!H52</f>
        <v>0</v>
      </c>
      <c r="F78" s="99">
        <f>'LOOKUP  telda'!I52</f>
        <v>0</v>
      </c>
      <c r="G78" s="99">
        <f>'LOOKUP  telda'!AA52</f>
        <v>0</v>
      </c>
      <c r="H78" s="99">
        <f>'LOOKUP  telda'!AE52-'LOOKUP  telda'!AA52</f>
        <v>0</v>
      </c>
      <c r="I78" s="99">
        <f>'LOOKUP  telda'!AF52</f>
        <v>0</v>
      </c>
      <c r="J78" s="99">
        <f>'LOOKUP  telda'!J52</f>
        <v>0</v>
      </c>
      <c r="K78" s="99">
        <f>'LOOKUP  telda'!K52</f>
        <v>0</v>
      </c>
      <c r="L78" s="99">
        <f>'LOOKUP  telda'!L52</f>
        <v>0</v>
      </c>
      <c r="M78" s="99">
        <f>'LOOKUP  telda'!P52</f>
        <v>0</v>
      </c>
      <c r="N78" s="99">
        <f>'LOOKUP  telda'!X52</f>
        <v>0</v>
      </c>
      <c r="O78" s="99">
        <f>'LOOKUP  telda'!Y52</f>
        <v>0</v>
      </c>
      <c r="P78" s="99">
        <f>'LOOKUP  telda'!Z52</f>
        <v>0</v>
      </c>
      <c r="Q78" s="40">
        <f t="shared" si="4"/>
        <v>0</v>
      </c>
      <c r="R78" s="40">
        <f t="shared" si="5"/>
        <v>0</v>
      </c>
      <c r="S78" s="40" t="e">
        <f>VLOOKUP(C78,Sheet3!$A$19:$G$81,7,FALSE)</f>
        <v>#N/A</v>
      </c>
      <c r="T78" s="8">
        <f t="shared" si="6"/>
        <v>0</v>
      </c>
      <c r="U78" s="8">
        <f t="shared" si="7"/>
        <v>0</v>
      </c>
      <c r="V78" t="str">
        <f>VLOOKUP(C78,Sheet5!$A$2:$J$270,8,FALSE)</f>
        <v>SURABAYA SELATAN</v>
      </c>
    </row>
    <row r="79" spans="2:22" ht="15.5">
      <c r="B79" s="188"/>
      <c r="C79" s="70" t="s">
        <v>125</v>
      </c>
      <c r="D79" s="99">
        <f>'LOOKUP  telda'!E53</f>
        <v>0</v>
      </c>
      <c r="E79" s="99">
        <f>'LOOKUP  telda'!F53+'LOOKUP  telda'!G53+'LOOKUP  telda'!H53</f>
        <v>0</v>
      </c>
      <c r="F79" s="99">
        <f>'LOOKUP  telda'!I53</f>
        <v>0</v>
      </c>
      <c r="G79" s="99">
        <f>'LOOKUP  telda'!AA53</f>
        <v>0</v>
      </c>
      <c r="H79" s="99">
        <f>'LOOKUP  telda'!AE53-'LOOKUP  telda'!AA53</f>
        <v>0</v>
      </c>
      <c r="I79" s="99">
        <f>'LOOKUP  telda'!AF53</f>
        <v>0</v>
      </c>
      <c r="J79" s="99">
        <f>'LOOKUP  telda'!J53</f>
        <v>0</v>
      </c>
      <c r="K79" s="99">
        <f>'LOOKUP  telda'!K53</f>
        <v>0</v>
      </c>
      <c r="L79" s="99">
        <f>'LOOKUP  telda'!L53</f>
        <v>0</v>
      </c>
      <c r="M79" s="99">
        <f>'LOOKUP  telda'!P53</f>
        <v>0</v>
      </c>
      <c r="N79" s="99">
        <f>'LOOKUP  telda'!X53</f>
        <v>0</v>
      </c>
      <c r="O79" s="99">
        <f>'LOOKUP  telda'!Y53</f>
        <v>0</v>
      </c>
      <c r="P79" s="99">
        <f>'LOOKUP  telda'!Z53</f>
        <v>0</v>
      </c>
      <c r="Q79" s="40">
        <f t="shared" si="4"/>
        <v>0</v>
      </c>
      <c r="R79" s="40">
        <f t="shared" si="5"/>
        <v>0</v>
      </c>
      <c r="S79" s="40" t="e">
        <f>VLOOKUP(C79,Sheet3!$A$19:$G$81,7,FALSE)</f>
        <v>#N/A</v>
      </c>
      <c r="T79" s="8">
        <f t="shared" si="6"/>
        <v>0</v>
      </c>
      <c r="U79" s="8">
        <f t="shared" si="7"/>
        <v>0</v>
      </c>
      <c r="V79" t="str">
        <f>VLOOKUP(C79,Sheet5!$A$2:$J$270,8,FALSE)</f>
        <v>GRESIK</v>
      </c>
    </row>
    <row r="80" spans="2:22" ht="15.5">
      <c r="B80" s="188"/>
      <c r="C80" s="70" t="s">
        <v>126</v>
      </c>
      <c r="D80" s="99">
        <f>'LOOKUP  telda'!E54</f>
        <v>0</v>
      </c>
      <c r="E80" s="99">
        <f>'LOOKUP  telda'!F54+'LOOKUP  telda'!G54+'LOOKUP  telda'!H54</f>
        <v>0</v>
      </c>
      <c r="F80" s="99">
        <f>'LOOKUP  telda'!I54</f>
        <v>0</v>
      </c>
      <c r="G80" s="99">
        <f>'LOOKUP  telda'!AA54</f>
        <v>0</v>
      </c>
      <c r="H80" s="99">
        <f>'LOOKUP  telda'!AE54-'LOOKUP  telda'!AA54</f>
        <v>0</v>
      </c>
      <c r="I80" s="99">
        <f>'LOOKUP  telda'!AF54</f>
        <v>0</v>
      </c>
      <c r="J80" s="99">
        <f>'LOOKUP  telda'!J54</f>
        <v>0</v>
      </c>
      <c r="K80" s="99">
        <f>'LOOKUP  telda'!K54</f>
        <v>0</v>
      </c>
      <c r="L80" s="99">
        <f>'LOOKUP  telda'!L54</f>
        <v>0</v>
      </c>
      <c r="M80" s="99">
        <f>'LOOKUP  telda'!P54</f>
        <v>0</v>
      </c>
      <c r="N80" s="99">
        <f>'LOOKUP  telda'!X54</f>
        <v>0</v>
      </c>
      <c r="O80" s="99">
        <f>'LOOKUP  telda'!Y54</f>
        <v>0</v>
      </c>
      <c r="P80" s="99">
        <f>'LOOKUP  telda'!Z54</f>
        <v>0</v>
      </c>
      <c r="Q80" s="40">
        <f t="shared" si="4"/>
        <v>0</v>
      </c>
      <c r="R80" s="40">
        <f t="shared" si="5"/>
        <v>0</v>
      </c>
      <c r="S80" s="40" t="e">
        <f>VLOOKUP(C80,Sheet3!$A$19:$G$81,7,FALSE)</f>
        <v>#N/A</v>
      </c>
      <c r="T80" s="8">
        <f t="shared" si="6"/>
        <v>0</v>
      </c>
      <c r="U80" s="8">
        <f t="shared" si="7"/>
        <v>0</v>
      </c>
      <c r="V80" t="str">
        <f>VLOOKUP(C80,Sheet5!$A$2:$J$270,8,FALSE)</f>
        <v>SURABAYA SELATAN</v>
      </c>
    </row>
    <row r="81" spans="2:22" ht="15.5">
      <c r="B81" s="188"/>
      <c r="C81" s="70" t="s">
        <v>127</v>
      </c>
      <c r="D81" s="99">
        <f>'LOOKUP  telda'!E55</f>
        <v>0</v>
      </c>
      <c r="E81" s="99">
        <f>'LOOKUP  telda'!F55+'LOOKUP  telda'!G55+'LOOKUP  telda'!H55</f>
        <v>0</v>
      </c>
      <c r="F81" s="99">
        <f>'LOOKUP  telda'!I55</f>
        <v>0</v>
      </c>
      <c r="G81" s="99">
        <f>'LOOKUP  telda'!AA55</f>
        <v>0</v>
      </c>
      <c r="H81" s="99">
        <f>'LOOKUP  telda'!AE55-'LOOKUP  telda'!AA55</f>
        <v>0</v>
      </c>
      <c r="I81" s="99">
        <f>'LOOKUP  telda'!AF55</f>
        <v>0</v>
      </c>
      <c r="J81" s="99">
        <f>'LOOKUP  telda'!J55</f>
        <v>0</v>
      </c>
      <c r="K81" s="99">
        <f>'LOOKUP  telda'!K55</f>
        <v>0</v>
      </c>
      <c r="L81" s="99">
        <f>'LOOKUP  telda'!L55</f>
        <v>0</v>
      </c>
      <c r="M81" s="99">
        <f>'LOOKUP  telda'!P55</f>
        <v>0</v>
      </c>
      <c r="N81" s="99">
        <f>'LOOKUP  telda'!X55</f>
        <v>0</v>
      </c>
      <c r="O81" s="99">
        <f>'LOOKUP  telda'!Y55</f>
        <v>0</v>
      </c>
      <c r="P81" s="99">
        <f>'LOOKUP  telda'!Z55</f>
        <v>0</v>
      </c>
      <c r="Q81" s="40">
        <f t="shared" si="4"/>
        <v>0</v>
      </c>
      <c r="R81" s="40">
        <f t="shared" si="5"/>
        <v>0</v>
      </c>
      <c r="S81" s="40" t="e">
        <f>VLOOKUP(C81,Sheet3!$A$19:$G$81,7,FALSE)</f>
        <v>#N/A</v>
      </c>
      <c r="T81" s="8">
        <f t="shared" si="6"/>
        <v>0</v>
      </c>
      <c r="U81" s="8">
        <f t="shared" si="7"/>
        <v>0</v>
      </c>
      <c r="V81" t="str">
        <f>VLOOKUP(C81,Sheet5!$A$2:$J$270,8,FALSE)</f>
        <v>MADURA</v>
      </c>
    </row>
    <row r="82" spans="2:22" ht="15.5">
      <c r="B82" s="188"/>
      <c r="C82" s="70" t="s">
        <v>128</v>
      </c>
      <c r="D82" s="99">
        <f>'LOOKUP  telda'!E56</f>
        <v>0</v>
      </c>
      <c r="E82" s="99">
        <f>'LOOKUP  telda'!F56+'LOOKUP  telda'!G56+'LOOKUP  telda'!H56</f>
        <v>0</v>
      </c>
      <c r="F82" s="99">
        <f>'LOOKUP  telda'!I56</f>
        <v>0</v>
      </c>
      <c r="G82" s="99">
        <f>'LOOKUP  telda'!AA56</f>
        <v>0</v>
      </c>
      <c r="H82" s="99">
        <f>'LOOKUP  telda'!AE56-'LOOKUP  telda'!AA56</f>
        <v>0</v>
      </c>
      <c r="I82" s="99">
        <f>'LOOKUP  telda'!AF56</f>
        <v>0</v>
      </c>
      <c r="J82" s="99">
        <f>'LOOKUP  telda'!J56</f>
        <v>0</v>
      </c>
      <c r="K82" s="99">
        <f>'LOOKUP  telda'!K56</f>
        <v>0</v>
      </c>
      <c r="L82" s="99">
        <f>'LOOKUP  telda'!L56</f>
        <v>0</v>
      </c>
      <c r="M82" s="99">
        <f>'LOOKUP  telda'!P56</f>
        <v>0</v>
      </c>
      <c r="N82" s="99">
        <f>'LOOKUP  telda'!X56</f>
        <v>0</v>
      </c>
      <c r="O82" s="99">
        <f>'LOOKUP  telda'!Y56</f>
        <v>0</v>
      </c>
      <c r="P82" s="99">
        <f>'LOOKUP  telda'!Z56</f>
        <v>0</v>
      </c>
      <c r="Q82" s="40">
        <f t="shared" si="4"/>
        <v>0</v>
      </c>
      <c r="R82" s="40">
        <f t="shared" si="5"/>
        <v>0</v>
      </c>
      <c r="S82" s="40" t="e">
        <f>VLOOKUP(C82,Sheet3!$A$19:$G$81,7,FALSE)</f>
        <v>#N/A</v>
      </c>
      <c r="T82" s="8">
        <f t="shared" si="6"/>
        <v>0</v>
      </c>
      <c r="U82" s="8">
        <f t="shared" si="7"/>
        <v>0</v>
      </c>
      <c r="V82" t="str">
        <f>VLOOKUP(C82,Sheet5!$A$2:$J$270,8,FALSE)</f>
        <v>SURABAYA UTARA</v>
      </c>
    </row>
    <row r="83" spans="2:22" ht="15.5">
      <c r="B83" s="149" t="s">
        <v>62</v>
      </c>
      <c r="C83" s="149"/>
      <c r="D83" s="26">
        <f>SUM(D33:D82)</f>
        <v>0</v>
      </c>
      <c r="E83" s="26">
        <f>SUM(E33:E82)</f>
        <v>0</v>
      </c>
      <c r="F83" s="26">
        <f>SUM(F33:F82)</f>
        <v>0</v>
      </c>
      <c r="G83" s="26">
        <f t="shared" ref="G83:P83" si="8">SUM(G33:G82)</f>
        <v>0</v>
      </c>
      <c r="H83" s="26">
        <f t="shared" si="8"/>
        <v>0</v>
      </c>
      <c r="I83" s="26">
        <f t="shared" si="8"/>
        <v>0</v>
      </c>
      <c r="J83" s="26">
        <f t="shared" si="8"/>
        <v>0</v>
      </c>
      <c r="K83" s="26">
        <f t="shared" si="8"/>
        <v>0</v>
      </c>
      <c r="L83" s="26">
        <f t="shared" si="8"/>
        <v>0</v>
      </c>
      <c r="M83" s="26">
        <f t="shared" si="8"/>
        <v>0</v>
      </c>
      <c r="N83" s="26">
        <f t="shared" si="8"/>
        <v>0</v>
      </c>
      <c r="O83" s="26">
        <f t="shared" si="8"/>
        <v>0</v>
      </c>
      <c r="P83" s="26">
        <f t="shared" si="8"/>
        <v>0</v>
      </c>
      <c r="Q83" s="41" t="e">
        <f>T83</f>
        <v>#DIV/0!</v>
      </c>
      <c r="R83" s="41" t="e">
        <f>U83</f>
        <v>#DIV/0!</v>
      </c>
      <c r="S83" s="41">
        <f>S15</f>
        <v>1</v>
      </c>
      <c r="T83" s="8" t="e">
        <f>P83/(D83-F83-K83-I83)</f>
        <v>#DIV/0!</v>
      </c>
      <c r="U83" s="8" t="e">
        <f>P83/(M83+N83+O83+P83)</f>
        <v>#DIV/0!</v>
      </c>
      <c r="V83" t="e">
        <f>VLOOKUP(C83,Sheet5!$A$2:$J$270,8,FALSE)</f>
        <v>#N/A</v>
      </c>
    </row>
  </sheetData>
  <mergeCells count="44"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  <mergeCell ref="B83:C83"/>
    <mergeCell ref="B29:B32"/>
    <mergeCell ref="B33:B40"/>
    <mergeCell ref="B41:B52"/>
    <mergeCell ref="B53:B62"/>
    <mergeCell ref="B63:B74"/>
    <mergeCell ref="B75:B82"/>
    <mergeCell ref="C29:C32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R29:R32"/>
    <mergeCell ref="D22:E22"/>
    <mergeCell ref="B24:R24"/>
    <mergeCell ref="B26:R26"/>
    <mergeCell ref="D21:E21"/>
    <mergeCell ref="B25:R25"/>
  </mergeCells>
  <conditionalFormatting sqref="Q33:Q82">
    <cfRule type="cellIs" dxfId="19" priority="11" operator="lessThan">
      <formula>0.8</formula>
    </cfRule>
    <cfRule type="cellIs" dxfId="18" priority="12" operator="greaterThanOrEqual">
      <formula>0.8</formula>
    </cfRule>
  </conditionalFormatting>
  <conditionalFormatting sqref="Q10:R14">
    <cfRule type="cellIs" dxfId="17" priority="27" operator="lessThan">
      <formula>0.8</formula>
    </cfRule>
    <cfRule type="cellIs" dxfId="16" priority="28" operator="greaterThanOrEqual">
      <formula>0.8</formula>
    </cfRule>
  </conditionalFormatting>
  <conditionalFormatting sqref="R33:R82">
    <cfRule type="cellIs" dxfId="15" priority="1" operator="lessThan">
      <formula>0.88</formula>
    </cfRule>
    <cfRule type="cellIs" dxfId="14" priority="2" operator="greaterThanOrEqual">
      <formula>0.88</formula>
    </cfRule>
  </conditionalFormatting>
  <conditionalFormatting sqref="S10:S14">
    <cfRule type="cellIs" dxfId="13" priority="5" operator="lessThan">
      <formula>0.85</formula>
    </cfRule>
    <cfRule type="cellIs" dxfId="12" priority="6" operator="greaterThanOrEqual">
      <formula>0.85</formula>
    </cfRule>
  </conditionalFormatting>
  <conditionalFormatting sqref="S33:S82">
    <cfRule type="cellIs" dxfId="11" priority="3" operator="lessThan">
      <formula>0.85</formula>
    </cfRule>
    <cfRule type="cellIs" dxfId="10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activeCell="H10" sqref="H10"/>
    </sheetView>
  </sheetViews>
  <sheetFormatPr defaultRowHeight="14.5"/>
  <cols>
    <col min="1" max="1" width="19.54296875" customWidth="1"/>
    <col min="3" max="3" width="15.453125" customWidth="1"/>
    <col min="4" max="4" width="15.1796875" customWidth="1"/>
    <col min="5" max="5" width="14" customWidth="1"/>
    <col min="6" max="6" width="16.54296875" customWidth="1"/>
    <col min="7" max="7" width="11.453125" customWidth="1"/>
    <col min="8" max="8" width="23.1796875" customWidth="1"/>
  </cols>
  <sheetData>
    <row r="1" spans="1:8">
      <c r="A1" s="126" t="str">
        <f ca="1">LAPORAN!C1</f>
        <v xml:space="preserve">PROVISIONING NEW SALES INDIBIZ TR3 JBN MTD H-1  2026-10-01 </v>
      </c>
      <c r="B1" s="126"/>
      <c r="C1" s="126"/>
      <c r="D1" s="126"/>
      <c r="E1" s="126"/>
      <c r="F1" s="126"/>
      <c r="G1" s="126"/>
      <c r="H1" s="126"/>
    </row>
    <row r="2" spans="1:8">
      <c r="A2" s="126" t="str">
        <f ca="1">LAPORAN!C2</f>
        <v xml:space="preserve">PERIODE ORDER &amp; PS : 2026-10-01 to  2026-10-01 </v>
      </c>
      <c r="B2" s="126"/>
      <c r="C2" s="126"/>
      <c r="D2" s="126"/>
      <c r="E2" s="126"/>
      <c r="F2" s="126"/>
      <c r="G2" s="126"/>
      <c r="H2" s="126"/>
    </row>
    <row r="3" spans="1:8">
      <c r="A3" s="126" t="str">
        <f>LAPORAN!C3</f>
        <v>Last update proses : 02-10-2026 13:34:05 WIB (Source: ETL XPRO)</v>
      </c>
      <c r="B3" s="126"/>
      <c r="C3" s="126"/>
      <c r="D3" s="126"/>
      <c r="E3" s="126"/>
      <c r="F3" s="126"/>
      <c r="G3" s="126"/>
      <c r="H3" s="126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534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6</v>
      </c>
      <c r="C6" s="4">
        <f>HARIAN!I10</f>
        <v>0</v>
      </c>
      <c r="D6" s="4">
        <f>HARIAN!P10</f>
        <v>1</v>
      </c>
      <c r="E6" s="77">
        <f t="shared" ref="E6:E11" si="0">C6/B6</f>
        <v>0</v>
      </c>
      <c r="F6" s="78">
        <f>HARIAN!Q10</f>
        <v>0.16666666666666666</v>
      </c>
      <c r="G6" s="78">
        <f>HARIAN!R10</f>
        <v>0.25</v>
      </c>
      <c r="H6" s="78">
        <f>HARIAN!S10</f>
        <v>1</v>
      </c>
    </row>
    <row r="7" spans="1:8">
      <c r="A7" s="76" t="str">
        <f>HARIAN!C11</f>
        <v>JATIM BARAT</v>
      </c>
      <c r="B7" s="4">
        <f>HARIAN!D11</f>
        <v>18</v>
      </c>
      <c r="C7" s="4">
        <f>HARIAN!I11</f>
        <v>0</v>
      </c>
      <c r="D7" s="4">
        <f>HARIAN!P11</f>
        <v>7</v>
      </c>
      <c r="E7" s="77">
        <f t="shared" si="0"/>
        <v>0</v>
      </c>
      <c r="F7" s="78">
        <f>HARIAN!Q11</f>
        <v>0.3888888888888889</v>
      </c>
      <c r="G7" s="78">
        <f>HARIAN!R11</f>
        <v>0.875</v>
      </c>
      <c r="H7" s="78">
        <f>HARIAN!S11</f>
        <v>1</v>
      </c>
    </row>
    <row r="8" spans="1:8">
      <c r="A8" s="76" t="str">
        <f>HARIAN!C12</f>
        <v>JATIM TIMUR</v>
      </c>
      <c r="B8" s="4">
        <f>HARIAN!D12</f>
        <v>13</v>
      </c>
      <c r="C8" s="4">
        <f>HARIAN!I12</f>
        <v>0</v>
      </c>
      <c r="D8" s="4">
        <f>HARIAN!P12</f>
        <v>4</v>
      </c>
      <c r="E8" s="77">
        <f t="shared" si="0"/>
        <v>0</v>
      </c>
      <c r="F8" s="78">
        <f>HARIAN!Q12</f>
        <v>0.30769230769230771</v>
      </c>
      <c r="G8" s="78">
        <f>HARIAN!R12</f>
        <v>0.4</v>
      </c>
      <c r="H8" s="78">
        <f>HARIAN!S12</f>
        <v>1</v>
      </c>
    </row>
    <row r="9" spans="1:8">
      <c r="A9" s="76" t="str">
        <f>HARIAN!C13</f>
        <v>NUSA TENGGARA</v>
      </c>
      <c r="B9" s="4">
        <f>HARIAN!D13</f>
        <v>16</v>
      </c>
      <c r="C9" s="4">
        <f>HARIAN!I13</f>
        <v>0</v>
      </c>
      <c r="D9" s="4">
        <f>HARIAN!P13</f>
        <v>1</v>
      </c>
      <c r="E9" s="77">
        <f t="shared" si="0"/>
        <v>0</v>
      </c>
      <c r="F9" s="78">
        <f>HARIAN!Q13</f>
        <v>6.6666666666666666E-2</v>
      </c>
      <c r="G9" s="78">
        <f>HARIAN!R13</f>
        <v>0.1111111111111111</v>
      </c>
      <c r="H9" s="78">
        <f>HARIAN!S13</f>
        <v>1</v>
      </c>
    </row>
    <row r="10" spans="1:8">
      <c r="A10" s="76" t="str">
        <f>HARIAN!C14</f>
        <v>SURAMADU</v>
      </c>
      <c r="B10" s="4">
        <f>HARIAN!D14</f>
        <v>21</v>
      </c>
      <c r="C10" s="4">
        <f>HARIAN!I14</f>
        <v>1</v>
      </c>
      <c r="D10" s="4">
        <f>HARIAN!P14</f>
        <v>6</v>
      </c>
      <c r="E10" s="77">
        <f t="shared" si="0"/>
        <v>4.7619047619047616E-2</v>
      </c>
      <c r="F10" s="78">
        <f>HARIAN!Q14</f>
        <v>0.3</v>
      </c>
      <c r="G10" s="78">
        <f>HARIAN!R14</f>
        <v>0.75</v>
      </c>
      <c r="H10" s="78">
        <f>HARIAN!S14</f>
        <v>1</v>
      </c>
    </row>
    <row r="11" spans="1:8">
      <c r="A11" s="79" t="str">
        <f>HARIAN!C15</f>
        <v>TOTAL</v>
      </c>
      <c r="B11" s="80">
        <f>HARIAN!D15</f>
        <v>74</v>
      </c>
      <c r="C11" s="80">
        <f>HARIAN!I15</f>
        <v>1</v>
      </c>
      <c r="D11" s="80">
        <f>HARIAN!P15</f>
        <v>19</v>
      </c>
      <c r="E11" s="81">
        <f t="shared" si="0"/>
        <v>1.3513513513513514E-2</v>
      </c>
      <c r="F11" s="82">
        <f>HARIAN!Q15</f>
        <v>0.2638888888888889</v>
      </c>
      <c r="G11" s="82">
        <f>HARIAN!R15</f>
        <v>0.48717948717948717</v>
      </c>
      <c r="H11" s="82">
        <f>HARIAN!S15</f>
        <v>1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abSelected="1" topLeftCell="C1" zoomScale="90" zoomScaleNormal="90" workbookViewId="0">
      <selection activeCell="C3" sqref="C3:R3"/>
    </sheetView>
  </sheetViews>
  <sheetFormatPr defaultRowHeight="14.5"/>
  <cols>
    <col min="2" max="2" width="12.81640625" bestFit="1" customWidth="1"/>
    <col min="3" max="3" width="19.26953125" bestFit="1" customWidth="1"/>
    <col min="14" max="14" width="9.54296875" bestFit="1" customWidth="1"/>
    <col min="16" max="16" width="11.7265625" customWidth="1"/>
    <col min="17" max="17" width="13" customWidth="1"/>
    <col min="18" max="18" width="13.453125" customWidth="1"/>
    <col min="19" max="19" width="14.453125" customWidth="1"/>
  </cols>
  <sheetData>
    <row r="1" spans="3:19" ht="18.5">
      <c r="C1" s="106" t="str">
        <f ca="1">"PROVISIONING NEW SALES INDIBIZ TR3 JBN MTD H-1  "&amp;TEXT(TODAY()-1,"YYYY-MM-DD ")</f>
        <v xml:space="preserve">PROVISIONING NEW SALES INDIBIZ TR3 JBN MTD H-1  2026-10-01 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20"/>
    </row>
    <row r="2" spans="3:19" ht="18.5">
      <c r="C2" s="106" t="str">
        <f ca="1">"PERIODE ORDER &amp; PS : 2026-10-01 to  "&amp;TEXT(TODAY()-1,"YYYY-MM-DD ")</f>
        <v xml:space="preserve">PERIODE ORDER &amp; PS : 2026-10-01 to  2026-10-01 </v>
      </c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20"/>
    </row>
    <row r="3" spans="3:19" ht="15.5">
      <c r="C3" s="107" t="s">
        <v>1415</v>
      </c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93"/>
    </row>
    <row r="5" spans="3:19" ht="15" customHeight="1">
      <c r="C5" s="108" t="s">
        <v>1</v>
      </c>
      <c r="D5" s="108" t="s">
        <v>129</v>
      </c>
      <c r="E5" s="108" t="s">
        <v>67</v>
      </c>
      <c r="F5" s="111" t="s">
        <v>12</v>
      </c>
      <c r="G5" s="112"/>
      <c r="H5" s="113"/>
      <c r="I5" s="120" t="s">
        <v>14</v>
      </c>
      <c r="J5" s="123" t="s">
        <v>8</v>
      </c>
      <c r="K5" s="123" t="s">
        <v>9</v>
      </c>
      <c r="L5" s="127" t="s">
        <v>10</v>
      </c>
      <c r="M5" s="128"/>
      <c r="N5" s="128"/>
      <c r="O5" s="129"/>
      <c r="P5" s="136" t="s">
        <v>11</v>
      </c>
      <c r="Q5" s="101" t="s">
        <v>130</v>
      </c>
      <c r="R5" s="101" t="s">
        <v>806</v>
      </c>
      <c r="S5" s="101" t="s">
        <v>807</v>
      </c>
    </row>
    <row r="6" spans="3:19" ht="6.75" customHeight="1">
      <c r="C6" s="109"/>
      <c r="D6" s="109"/>
      <c r="E6" s="109"/>
      <c r="F6" s="114"/>
      <c r="G6" s="115"/>
      <c r="H6" s="116"/>
      <c r="I6" s="121"/>
      <c r="J6" s="124"/>
      <c r="K6" s="124"/>
      <c r="L6" s="130"/>
      <c r="M6" s="131"/>
      <c r="N6" s="131"/>
      <c r="O6" s="132"/>
      <c r="P6" s="137"/>
      <c r="Q6" s="102"/>
      <c r="R6" s="102"/>
      <c r="S6" s="102"/>
    </row>
    <row r="7" spans="3:19" ht="4.5" customHeight="1">
      <c r="C7" s="109"/>
      <c r="D7" s="109"/>
      <c r="E7" s="109"/>
      <c r="F7" s="117"/>
      <c r="G7" s="118"/>
      <c r="H7" s="119"/>
      <c r="I7" s="121"/>
      <c r="J7" s="124"/>
      <c r="K7" s="124"/>
      <c r="L7" s="133"/>
      <c r="M7" s="134"/>
      <c r="N7" s="134"/>
      <c r="O7" s="135"/>
      <c r="P7" s="137"/>
      <c r="Q7" s="102"/>
      <c r="R7" s="102"/>
      <c r="S7" s="102"/>
    </row>
    <row r="8" spans="3:19" ht="45" customHeight="1">
      <c r="C8" s="110"/>
      <c r="D8" s="110"/>
      <c r="E8" s="110"/>
      <c r="F8" s="22" t="s">
        <v>133</v>
      </c>
      <c r="G8" s="22" t="s">
        <v>30</v>
      </c>
      <c r="H8" s="22" t="s">
        <v>69</v>
      </c>
      <c r="I8" s="122"/>
      <c r="J8" s="125"/>
      <c r="K8" s="125"/>
      <c r="L8" s="37" t="s">
        <v>2</v>
      </c>
      <c r="M8" s="37" t="s">
        <v>18</v>
      </c>
      <c r="N8" s="37" t="s">
        <v>20</v>
      </c>
      <c r="O8" s="37" t="s">
        <v>22</v>
      </c>
      <c r="P8" s="138"/>
      <c r="Q8" s="103"/>
      <c r="R8" s="103"/>
      <c r="S8" s="103"/>
    </row>
    <row r="9" spans="3:19" ht="15.5">
      <c r="C9" s="23" t="s">
        <v>34</v>
      </c>
      <c r="D9" s="24">
        <f>HARIAN!D10</f>
        <v>6</v>
      </c>
      <c r="E9" s="24">
        <f>HARIAN!E10</f>
        <v>0</v>
      </c>
      <c r="F9" s="24">
        <f>HARIAN!F10</f>
        <v>0</v>
      </c>
      <c r="G9" s="24">
        <f>HARIAN!G10</f>
        <v>0</v>
      </c>
      <c r="H9" s="24">
        <f>HARIAN!H10</f>
        <v>0</v>
      </c>
      <c r="I9" s="24">
        <f>HARIAN!I10</f>
        <v>0</v>
      </c>
      <c r="J9" s="24">
        <f>HARIAN!J10</f>
        <v>1</v>
      </c>
      <c r="K9" s="24">
        <f>HARIAN!K10</f>
        <v>0</v>
      </c>
      <c r="L9" s="24">
        <f>HARIAN!L10</f>
        <v>1</v>
      </c>
      <c r="M9" s="24">
        <f>HARIAN!M10</f>
        <v>1</v>
      </c>
      <c r="N9" s="24">
        <f>HARIAN!N10</f>
        <v>0</v>
      </c>
      <c r="O9" s="24">
        <f>HARIAN!O10</f>
        <v>2</v>
      </c>
      <c r="P9" s="24">
        <f>HARIAN!P10</f>
        <v>1</v>
      </c>
      <c r="Q9" s="40">
        <f>HARIAN!Q10</f>
        <v>0.16666666666666666</v>
      </c>
      <c r="R9" s="40">
        <f>HARIAN!R10</f>
        <v>0.25</v>
      </c>
      <c r="S9" s="40">
        <f>HARIAN!S10</f>
        <v>1</v>
      </c>
    </row>
    <row r="10" spans="3:19" ht="15.5">
      <c r="C10" s="23" t="s">
        <v>38</v>
      </c>
      <c r="D10" s="24">
        <f>HARIAN!D11</f>
        <v>18</v>
      </c>
      <c r="E10" s="24">
        <f>HARIAN!E11</f>
        <v>0</v>
      </c>
      <c r="F10" s="24">
        <f>HARIAN!F11</f>
        <v>0</v>
      </c>
      <c r="G10" s="24">
        <f>HARIAN!G11</f>
        <v>0</v>
      </c>
      <c r="H10" s="24">
        <f>HARIAN!H11</f>
        <v>0</v>
      </c>
      <c r="I10" s="24">
        <f>HARIAN!I11</f>
        <v>0</v>
      </c>
      <c r="J10" s="24">
        <f>HARIAN!J11</f>
        <v>6</v>
      </c>
      <c r="K10" s="24">
        <f>HARIAN!K11</f>
        <v>0</v>
      </c>
      <c r="L10" s="24">
        <f>HARIAN!L11</f>
        <v>2</v>
      </c>
      <c r="M10" s="24">
        <f>HARIAN!M11</f>
        <v>0</v>
      </c>
      <c r="N10" s="24">
        <f>HARIAN!N11</f>
        <v>0</v>
      </c>
      <c r="O10" s="24">
        <f>HARIAN!O11</f>
        <v>1</v>
      </c>
      <c r="P10" s="24">
        <f>HARIAN!P11</f>
        <v>7</v>
      </c>
      <c r="Q10" s="40">
        <f>HARIAN!Q11</f>
        <v>0.3888888888888889</v>
      </c>
      <c r="R10" s="40">
        <f>HARIAN!R11</f>
        <v>0.875</v>
      </c>
      <c r="S10" s="40">
        <f>HARIAN!S11</f>
        <v>1</v>
      </c>
    </row>
    <row r="11" spans="3:19" ht="15.5">
      <c r="C11" s="23" t="s">
        <v>42</v>
      </c>
      <c r="D11" s="24">
        <f>HARIAN!D12</f>
        <v>13</v>
      </c>
      <c r="E11" s="24">
        <f>HARIAN!E12</f>
        <v>0</v>
      </c>
      <c r="F11" s="24">
        <f>HARIAN!F12</f>
        <v>0</v>
      </c>
      <c r="G11" s="24">
        <f>HARIAN!G12</f>
        <v>0</v>
      </c>
      <c r="H11" s="24">
        <f>HARIAN!H12</f>
        <v>0</v>
      </c>
      <c r="I11" s="24">
        <f>HARIAN!I12</f>
        <v>0</v>
      </c>
      <c r="J11" s="24">
        <f>HARIAN!J12</f>
        <v>1</v>
      </c>
      <c r="K11" s="24">
        <f>HARIAN!K12</f>
        <v>0</v>
      </c>
      <c r="L11" s="24">
        <f>HARIAN!L12</f>
        <v>1</v>
      </c>
      <c r="M11" s="24">
        <f>HARIAN!M12</f>
        <v>2</v>
      </c>
      <c r="N11" s="24">
        <f>HARIAN!N12</f>
        <v>0</v>
      </c>
      <c r="O11" s="24">
        <f>HARIAN!O12</f>
        <v>4</v>
      </c>
      <c r="P11" s="24">
        <f>HARIAN!P12</f>
        <v>4</v>
      </c>
      <c r="Q11" s="40">
        <f>HARIAN!Q12</f>
        <v>0.30769230769230771</v>
      </c>
      <c r="R11" s="40">
        <f>HARIAN!R12</f>
        <v>0.4</v>
      </c>
      <c r="S11" s="40">
        <f>HARIAN!S12</f>
        <v>1</v>
      </c>
    </row>
    <row r="12" spans="3:19" ht="15.5">
      <c r="C12" s="23" t="s">
        <v>45</v>
      </c>
      <c r="D12" s="24">
        <f>HARIAN!D13</f>
        <v>16</v>
      </c>
      <c r="E12" s="24">
        <f>HARIAN!E13</f>
        <v>0</v>
      </c>
      <c r="F12" s="24">
        <f>HARIAN!F13</f>
        <v>0</v>
      </c>
      <c r="G12" s="24">
        <f>HARIAN!G13</f>
        <v>0</v>
      </c>
      <c r="H12" s="24">
        <f>HARIAN!H13</f>
        <v>0</v>
      </c>
      <c r="I12" s="24">
        <f>HARIAN!I13</f>
        <v>0</v>
      </c>
      <c r="J12" s="24">
        <f>HARIAN!J13</f>
        <v>3</v>
      </c>
      <c r="K12" s="24">
        <f>HARIAN!K13</f>
        <v>1</v>
      </c>
      <c r="L12" s="24">
        <f>HARIAN!L13</f>
        <v>2</v>
      </c>
      <c r="M12" s="24">
        <f>HARIAN!M13</f>
        <v>4</v>
      </c>
      <c r="N12" s="24">
        <f>HARIAN!N13</f>
        <v>0</v>
      </c>
      <c r="O12" s="24">
        <f>HARIAN!O13</f>
        <v>4</v>
      </c>
      <c r="P12" s="24">
        <f>HARIAN!P13</f>
        <v>1</v>
      </c>
      <c r="Q12" s="40">
        <f>HARIAN!Q13</f>
        <v>6.6666666666666666E-2</v>
      </c>
      <c r="R12" s="40">
        <f>HARIAN!R13</f>
        <v>0.1111111111111111</v>
      </c>
      <c r="S12" s="40">
        <f>HARIAN!S13</f>
        <v>1</v>
      </c>
    </row>
    <row r="13" spans="3:19" ht="15.5">
      <c r="C13" s="23" t="s">
        <v>55</v>
      </c>
      <c r="D13" s="24">
        <f>HARIAN!D14</f>
        <v>21</v>
      </c>
      <c r="E13" s="24">
        <f>HARIAN!E14</f>
        <v>0</v>
      </c>
      <c r="F13" s="24">
        <f>HARIAN!F14</f>
        <v>0</v>
      </c>
      <c r="G13" s="24">
        <f>HARIAN!G14</f>
        <v>0</v>
      </c>
      <c r="H13" s="24">
        <f>HARIAN!H14</f>
        <v>0</v>
      </c>
      <c r="I13" s="24">
        <f>HARIAN!I14</f>
        <v>1</v>
      </c>
      <c r="J13" s="24">
        <f>HARIAN!J14</f>
        <v>10</v>
      </c>
      <c r="K13" s="24">
        <f>HARIAN!K14</f>
        <v>0</v>
      </c>
      <c r="L13" s="24">
        <f>HARIAN!L14</f>
        <v>1</v>
      </c>
      <c r="M13" s="24">
        <f>HARIAN!M14</f>
        <v>0</v>
      </c>
      <c r="N13" s="24">
        <f>HARIAN!N14</f>
        <v>1</v>
      </c>
      <c r="O13" s="24">
        <f>HARIAN!O14</f>
        <v>1</v>
      </c>
      <c r="P13" s="24">
        <f>HARIAN!P14</f>
        <v>6</v>
      </c>
      <c r="Q13" s="40">
        <f>HARIAN!Q14</f>
        <v>0.3</v>
      </c>
      <c r="R13" s="40">
        <f>HARIAN!R14</f>
        <v>0.75</v>
      </c>
      <c r="S13" s="40">
        <f>HARIAN!S14</f>
        <v>1</v>
      </c>
    </row>
    <row r="14" spans="3:19" ht="15.5">
      <c r="C14" s="25" t="s">
        <v>62</v>
      </c>
      <c r="D14" s="26">
        <f>SUM(D9:D13)</f>
        <v>74</v>
      </c>
      <c r="E14" s="26">
        <f>SUM(E9:E13)</f>
        <v>0</v>
      </c>
      <c r="F14" s="26">
        <f>SUM(F9:F13)</f>
        <v>0</v>
      </c>
      <c r="G14" s="26">
        <f t="shared" ref="G14:P14" si="0">SUM(G9:G13)</f>
        <v>0</v>
      </c>
      <c r="H14" s="26">
        <f t="shared" si="0"/>
        <v>0</v>
      </c>
      <c r="I14" s="26">
        <f t="shared" si="0"/>
        <v>1</v>
      </c>
      <c r="J14" s="26">
        <f t="shared" si="0"/>
        <v>21</v>
      </c>
      <c r="K14" s="26">
        <f t="shared" si="0"/>
        <v>1</v>
      </c>
      <c r="L14" s="26">
        <f t="shared" si="0"/>
        <v>7</v>
      </c>
      <c r="M14" s="26">
        <f t="shared" si="0"/>
        <v>7</v>
      </c>
      <c r="N14" s="26">
        <f t="shared" si="0"/>
        <v>1</v>
      </c>
      <c r="O14" s="26">
        <f t="shared" si="0"/>
        <v>12</v>
      </c>
      <c r="P14" s="26">
        <f t="shared" si="0"/>
        <v>19</v>
      </c>
      <c r="Q14" s="41">
        <f>HARIAN!Q15</f>
        <v>0.2638888888888889</v>
      </c>
      <c r="R14" s="41">
        <f>HARIAN!R15</f>
        <v>0.48717948717948717</v>
      </c>
      <c r="S14" s="41">
        <f>HARIAN!S15</f>
        <v>1</v>
      </c>
    </row>
    <row r="15" spans="3:19" ht="16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5">
      <c r="C16" s="28" t="s">
        <v>71</v>
      </c>
      <c r="D16" s="104" t="s">
        <v>72</v>
      </c>
      <c r="E16" s="105"/>
      <c r="G16" s="60" t="s">
        <v>134</v>
      </c>
      <c r="H16" s="61"/>
      <c r="I16" s="61"/>
      <c r="J16" s="61"/>
      <c r="K16" s="61"/>
      <c r="L16" s="60" t="s">
        <v>529</v>
      </c>
      <c r="M16" s="61"/>
      <c r="N16" s="61"/>
    </row>
    <row r="17" spans="2:21" ht="15.5">
      <c r="C17" s="29"/>
      <c r="D17" s="139" t="s">
        <v>73</v>
      </c>
      <c r="E17" s="140"/>
      <c r="G17" s="61" t="s">
        <v>135</v>
      </c>
      <c r="H17" s="61"/>
      <c r="I17" s="61"/>
      <c r="J17" s="61"/>
      <c r="K17" s="61"/>
      <c r="L17" s="61" t="s">
        <v>530</v>
      </c>
      <c r="M17" s="61"/>
      <c r="N17" s="61"/>
    </row>
    <row r="18" spans="2:21">
      <c r="C18" s="30"/>
      <c r="D18" s="139" t="s">
        <v>74</v>
      </c>
      <c r="E18" s="140"/>
      <c r="G18" s="61" t="s">
        <v>136</v>
      </c>
      <c r="H18" s="61"/>
      <c r="I18" s="61"/>
      <c r="J18" s="61"/>
      <c r="K18" s="61"/>
      <c r="L18" s="61" t="s">
        <v>531</v>
      </c>
      <c r="M18" s="61"/>
      <c r="N18" s="61"/>
    </row>
    <row r="19" spans="2:21">
      <c r="C19" s="31"/>
      <c r="D19" s="139" t="s">
        <v>75</v>
      </c>
      <c r="E19" s="140"/>
      <c r="G19" s="61" t="s">
        <v>137</v>
      </c>
      <c r="H19" s="61"/>
      <c r="I19" s="61"/>
      <c r="J19" s="61"/>
      <c r="K19" s="61"/>
      <c r="L19" s="61" t="s">
        <v>532</v>
      </c>
      <c r="M19" s="61"/>
      <c r="N19" s="61"/>
    </row>
    <row r="20" spans="2:21">
      <c r="C20" s="32"/>
      <c r="D20" s="139" t="s">
        <v>76</v>
      </c>
      <c r="E20" s="140"/>
      <c r="G20" s="61" t="s">
        <v>533</v>
      </c>
      <c r="H20" s="61"/>
      <c r="I20" s="61"/>
      <c r="J20" s="61"/>
      <c r="K20" s="61"/>
      <c r="L20" s="61"/>
      <c r="M20" s="61"/>
      <c r="N20" s="61"/>
    </row>
    <row r="21" spans="2:21" ht="15" thickBot="1">
      <c r="C21" s="33"/>
      <c r="D21" s="141" t="s">
        <v>138</v>
      </c>
      <c r="E21" s="142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26" t="str">
        <f ca="1">C1</f>
        <v xml:space="preserve">PROVISIONING NEW SALES INDIBIZ TR3 JBN MTD H-1  2026-10-01 </v>
      </c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83"/>
    </row>
    <row r="24" spans="2:21">
      <c r="B24" s="126" t="str">
        <f ca="1">C2</f>
        <v xml:space="preserve">PERIODE ORDER &amp; PS : 2026-10-01 to  2026-10-01 </v>
      </c>
      <c r="C24" s="126"/>
      <c r="D24" s="126"/>
      <c r="E24" s="126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83"/>
    </row>
    <row r="25" spans="2:21" ht="18.5">
      <c r="B25" s="143" t="str">
        <f>C3</f>
        <v>Last update proses : 02-10-2026 13:34:05 WIB (Source: ETL XPRO)</v>
      </c>
      <c r="C25" s="143"/>
      <c r="D25" s="143"/>
      <c r="E25" s="143"/>
      <c r="F25" s="143"/>
      <c r="G25" s="143"/>
      <c r="H25" s="143"/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35"/>
    </row>
    <row r="26" spans="2:21" ht="6.75" customHeight="1">
      <c r="B26" s="144"/>
      <c r="C26" s="144"/>
      <c r="D26" s="144"/>
      <c r="E26" s="144"/>
      <c r="F26" s="144"/>
      <c r="G26" s="144"/>
      <c r="H26" s="144"/>
      <c r="I26" s="144"/>
      <c r="J26" s="144"/>
      <c r="K26" s="144"/>
      <c r="L26" s="144"/>
      <c r="M26" s="144"/>
      <c r="N26" s="144"/>
      <c r="O26" s="144"/>
      <c r="P26" s="144"/>
      <c r="Q26" s="144"/>
      <c r="R26" s="144"/>
      <c r="S26" s="36"/>
    </row>
    <row r="27" spans="2:21" ht="9" customHeight="1"/>
    <row r="28" spans="2:21" ht="15" customHeight="1">
      <c r="B28" s="145" t="s">
        <v>1</v>
      </c>
      <c r="C28" s="145" t="s">
        <v>78</v>
      </c>
      <c r="D28" s="145" t="s">
        <v>129</v>
      </c>
      <c r="E28" s="146" t="s">
        <v>67</v>
      </c>
      <c r="F28" s="147" t="s">
        <v>12</v>
      </c>
      <c r="G28" s="147"/>
      <c r="H28" s="147"/>
      <c r="I28" s="147" t="s">
        <v>14</v>
      </c>
      <c r="J28" s="148" t="s">
        <v>8</v>
      </c>
      <c r="K28" s="148" t="s">
        <v>9</v>
      </c>
      <c r="L28" s="150" t="s">
        <v>10</v>
      </c>
      <c r="M28" s="150"/>
      <c r="N28" s="150"/>
      <c r="O28" s="150"/>
      <c r="P28" s="151" t="s">
        <v>11</v>
      </c>
      <c r="Q28" s="152" t="s">
        <v>130</v>
      </c>
      <c r="R28" s="101" t="s">
        <v>806</v>
      </c>
      <c r="S28" s="101" t="s">
        <v>807</v>
      </c>
    </row>
    <row r="29" spans="2:21" ht="15" customHeight="1">
      <c r="B29" s="145"/>
      <c r="C29" s="145"/>
      <c r="D29" s="145"/>
      <c r="E29" s="146"/>
      <c r="F29" s="147"/>
      <c r="G29" s="147"/>
      <c r="H29" s="147"/>
      <c r="I29" s="147"/>
      <c r="J29" s="148"/>
      <c r="K29" s="148"/>
      <c r="L29" s="150"/>
      <c r="M29" s="150"/>
      <c r="N29" s="150"/>
      <c r="O29" s="150"/>
      <c r="P29" s="151"/>
      <c r="Q29" s="152"/>
      <c r="R29" s="102"/>
      <c r="S29" s="102"/>
    </row>
    <row r="30" spans="2:21" ht="15" customHeight="1">
      <c r="B30" s="145"/>
      <c r="C30" s="145"/>
      <c r="D30" s="145"/>
      <c r="E30" s="146"/>
      <c r="F30" s="147"/>
      <c r="G30" s="147"/>
      <c r="H30" s="147"/>
      <c r="I30" s="147"/>
      <c r="J30" s="148"/>
      <c r="K30" s="148"/>
      <c r="L30" s="150"/>
      <c r="M30" s="150"/>
      <c r="N30" s="150"/>
      <c r="O30" s="150"/>
      <c r="P30" s="151"/>
      <c r="Q30" s="152"/>
      <c r="R30" s="102"/>
      <c r="S30" s="102"/>
    </row>
    <row r="31" spans="2:21" s="19" customFormat="1" ht="48" customHeight="1">
      <c r="B31" s="145"/>
      <c r="C31" s="145"/>
      <c r="D31" s="145"/>
      <c r="E31" s="146"/>
      <c r="F31" s="22" t="s">
        <v>133</v>
      </c>
      <c r="G31" s="22" t="s">
        <v>30</v>
      </c>
      <c r="H31" s="22" t="s">
        <v>69</v>
      </c>
      <c r="I31" s="147"/>
      <c r="J31" s="148"/>
      <c r="K31" s="148"/>
      <c r="L31" s="37" t="s">
        <v>2</v>
      </c>
      <c r="M31" s="37" t="s">
        <v>18</v>
      </c>
      <c r="N31" s="37" t="s">
        <v>20</v>
      </c>
      <c r="O31" s="37" t="s">
        <v>22</v>
      </c>
      <c r="P31" s="151"/>
      <c r="Q31" s="152"/>
      <c r="R31" s="103"/>
      <c r="S31" s="103"/>
    </row>
    <row r="32" spans="2:21" ht="15.5">
      <c r="B32" s="153" t="s">
        <v>34</v>
      </c>
      <c r="C32" s="88" t="s">
        <v>79</v>
      </c>
      <c r="D32" s="65">
        <f>HARIAN!D33</f>
        <v>0</v>
      </c>
      <c r="E32" s="65">
        <f>HARIAN!E33</f>
        <v>0</v>
      </c>
      <c r="F32" s="65">
        <f>HARIAN!F33</f>
        <v>0</v>
      </c>
      <c r="G32" s="65">
        <f>HARIAN!G33</f>
        <v>0</v>
      </c>
      <c r="H32" s="65">
        <f>HARIAN!H33</f>
        <v>0</v>
      </c>
      <c r="I32" s="65">
        <f>HARIAN!I33</f>
        <v>0</v>
      </c>
      <c r="J32" s="65">
        <f>HARIAN!J33</f>
        <v>0</v>
      </c>
      <c r="K32" s="65">
        <f>HARIAN!K33</f>
        <v>0</v>
      </c>
      <c r="L32" s="65">
        <f>HARIAN!L33</f>
        <v>0</v>
      </c>
      <c r="M32" s="65">
        <f>HARIAN!M33</f>
        <v>0</v>
      </c>
      <c r="N32" s="65">
        <f>HARIAN!N33</f>
        <v>0</v>
      </c>
      <c r="O32" s="65">
        <f>HARIAN!O33</f>
        <v>0</v>
      </c>
      <c r="P32" s="65">
        <f>HARIAN!P33</f>
        <v>0</v>
      </c>
      <c r="Q32" s="40" t="e">
        <f>T32</f>
        <v>#DIV/0!</v>
      </c>
      <c r="R32" s="40" t="e">
        <f t="shared" ref="R32:R67" si="1">U32</f>
        <v>#DIV/0!</v>
      </c>
      <c r="S32" s="40" t="e">
        <f>VLOOKUP(C32,Sheet3!$A$19:$G$81,7,FALSE)</f>
        <v>#N/A</v>
      </c>
      <c r="T32" s="10" t="e">
        <f>P32/(D32-F32-K32-I32)</f>
        <v>#DIV/0!</v>
      </c>
      <c r="U32" s="10" t="e">
        <f>P32/(M32+N32+O32+P32)</f>
        <v>#DIV/0!</v>
      </c>
    </row>
    <row r="33" spans="2:21" ht="15.5">
      <c r="B33" s="153"/>
      <c r="C33" s="88" t="s">
        <v>85</v>
      </c>
      <c r="D33" s="65">
        <f>HARIAN!D34+HARIAN!D39</f>
        <v>0</v>
      </c>
      <c r="E33" s="65">
        <f>HARIAN!E34+HARIAN!E39</f>
        <v>0</v>
      </c>
      <c r="F33" s="65">
        <f>HARIAN!F34+HARIAN!F39</f>
        <v>0</v>
      </c>
      <c r="G33" s="65">
        <f>HARIAN!G34+HARIAN!G39</f>
        <v>0</v>
      </c>
      <c r="H33" s="65">
        <f>HARIAN!H34+HARIAN!H39</f>
        <v>0</v>
      </c>
      <c r="I33" s="65">
        <f>HARIAN!I34+HARIAN!I39</f>
        <v>0</v>
      </c>
      <c r="J33" s="65">
        <f>HARIAN!J34+HARIAN!J39</f>
        <v>0</v>
      </c>
      <c r="K33" s="65">
        <f>HARIAN!K34+HARIAN!K39</f>
        <v>0</v>
      </c>
      <c r="L33" s="65">
        <f>HARIAN!L34+HARIAN!L39</f>
        <v>0</v>
      </c>
      <c r="M33" s="65">
        <f>HARIAN!M34+HARIAN!M39</f>
        <v>0</v>
      </c>
      <c r="N33" s="65">
        <f>HARIAN!N34+HARIAN!N39</f>
        <v>0</v>
      </c>
      <c r="O33" s="65">
        <f>HARIAN!O34+HARIAN!O39</f>
        <v>0</v>
      </c>
      <c r="P33" s="65">
        <f>HARIAN!P34+HARIAN!P39</f>
        <v>0</v>
      </c>
      <c r="Q33" s="40" t="e">
        <f t="shared" ref="Q33:Q67" si="2">T33</f>
        <v>#DIV/0!</v>
      </c>
      <c r="R33" s="40" t="e">
        <f t="shared" si="1"/>
        <v>#DIV/0!</v>
      </c>
      <c r="S33" s="40">
        <f>VLOOKUP(C33,Sheet3!$A$19:$G$81,7,FALSE)</f>
        <v>1</v>
      </c>
      <c r="T33" s="10" t="e">
        <f t="shared" ref="T33:T67" si="3">P33/(D33-F33-K33-I33)</f>
        <v>#DIV/0!</v>
      </c>
      <c r="U33" s="10" t="e">
        <f t="shared" ref="U33:U67" si="4">P33/(M33+N33+O33+P33)</f>
        <v>#DIV/0!</v>
      </c>
    </row>
    <row r="34" spans="2:21" ht="15.5">
      <c r="B34" s="153"/>
      <c r="C34" s="88" t="s">
        <v>81</v>
      </c>
      <c r="D34" s="65">
        <f>HARIAN!D35</f>
        <v>0</v>
      </c>
      <c r="E34" s="65">
        <f>HARIAN!E35</f>
        <v>0</v>
      </c>
      <c r="F34" s="65">
        <f>HARIAN!F35</f>
        <v>0</v>
      </c>
      <c r="G34" s="65">
        <f>HARIAN!G35</f>
        <v>0</v>
      </c>
      <c r="H34" s="65">
        <f>HARIAN!H35</f>
        <v>0</v>
      </c>
      <c r="I34" s="65">
        <f>HARIAN!I35</f>
        <v>0</v>
      </c>
      <c r="J34" s="65">
        <f>HARIAN!J35</f>
        <v>0</v>
      </c>
      <c r="K34" s="65">
        <f>HARIAN!K35</f>
        <v>0</v>
      </c>
      <c r="L34" s="65">
        <f>HARIAN!L35</f>
        <v>0</v>
      </c>
      <c r="M34" s="65">
        <f>HARIAN!M35</f>
        <v>0</v>
      </c>
      <c r="N34" s="65">
        <f>HARIAN!N35</f>
        <v>0</v>
      </c>
      <c r="O34" s="65">
        <f>HARIAN!O35</f>
        <v>0</v>
      </c>
      <c r="P34" s="65">
        <f>HARIAN!P35</f>
        <v>0</v>
      </c>
      <c r="Q34" s="40" t="e">
        <f t="shared" si="2"/>
        <v>#DIV/0!</v>
      </c>
      <c r="R34" s="40" t="e">
        <f t="shared" si="1"/>
        <v>#DIV/0!</v>
      </c>
      <c r="S34" s="40" t="e">
        <f>VLOOKUP(C34,Sheet3!$A$19:$G$81,7,FALSE)</f>
        <v>#N/A</v>
      </c>
      <c r="T34" s="10" t="e">
        <f t="shared" si="3"/>
        <v>#DIV/0!</v>
      </c>
      <c r="U34" s="10" t="e">
        <f t="shared" si="4"/>
        <v>#DIV/0!</v>
      </c>
    </row>
    <row r="35" spans="2:21" ht="15.5">
      <c r="B35" s="153"/>
      <c r="C35" s="88" t="s">
        <v>82</v>
      </c>
      <c r="D35" s="65">
        <f>HARIAN!D36</f>
        <v>0</v>
      </c>
      <c r="E35" s="65">
        <f>HARIAN!E36</f>
        <v>0</v>
      </c>
      <c r="F35" s="65">
        <f>HARIAN!F36</f>
        <v>0</v>
      </c>
      <c r="G35" s="65">
        <f>HARIAN!G36</f>
        <v>0</v>
      </c>
      <c r="H35" s="65">
        <f>HARIAN!H36</f>
        <v>0</v>
      </c>
      <c r="I35" s="65">
        <f>HARIAN!I36</f>
        <v>0</v>
      </c>
      <c r="J35" s="65">
        <f>HARIAN!J36</f>
        <v>0</v>
      </c>
      <c r="K35" s="65">
        <f>HARIAN!K36</f>
        <v>0</v>
      </c>
      <c r="L35" s="65">
        <f>HARIAN!L36</f>
        <v>0</v>
      </c>
      <c r="M35" s="65">
        <f>HARIAN!M36</f>
        <v>0</v>
      </c>
      <c r="N35" s="65">
        <f>HARIAN!N36</f>
        <v>0</v>
      </c>
      <c r="O35" s="65">
        <f>HARIAN!O36</f>
        <v>0</v>
      </c>
      <c r="P35" s="65">
        <f>HARIAN!P36</f>
        <v>0</v>
      </c>
      <c r="Q35" s="40" t="e">
        <f t="shared" si="2"/>
        <v>#DIV/0!</v>
      </c>
      <c r="R35" s="40" t="e">
        <f t="shared" si="1"/>
        <v>#DIV/0!</v>
      </c>
      <c r="S35" s="40" t="e">
        <f>VLOOKUP(C35,Sheet3!$A$19:$G$81,7,FALSE)</f>
        <v>#N/A</v>
      </c>
      <c r="T35" s="10" t="e">
        <f t="shared" si="3"/>
        <v>#DIV/0!</v>
      </c>
      <c r="U35" s="10" t="e">
        <f t="shared" si="4"/>
        <v>#DIV/0!</v>
      </c>
    </row>
    <row r="36" spans="2:21" ht="15.5">
      <c r="B36" s="153"/>
      <c r="C36" s="88" t="s">
        <v>83</v>
      </c>
      <c r="D36" s="65">
        <f>HARIAN!D37</f>
        <v>0</v>
      </c>
      <c r="E36" s="65">
        <f>HARIAN!E37</f>
        <v>0</v>
      </c>
      <c r="F36" s="65">
        <f>HARIAN!F37</f>
        <v>0</v>
      </c>
      <c r="G36" s="65">
        <f>HARIAN!G37</f>
        <v>0</v>
      </c>
      <c r="H36" s="65">
        <f>HARIAN!H37</f>
        <v>0</v>
      </c>
      <c r="I36" s="65">
        <f>HARIAN!I37</f>
        <v>0</v>
      </c>
      <c r="J36" s="65">
        <f>HARIAN!J37</f>
        <v>0</v>
      </c>
      <c r="K36" s="65">
        <f>HARIAN!K37</f>
        <v>0</v>
      </c>
      <c r="L36" s="65">
        <f>HARIAN!L37</f>
        <v>0</v>
      </c>
      <c r="M36" s="65">
        <f>HARIAN!M37</f>
        <v>0</v>
      </c>
      <c r="N36" s="65">
        <f>HARIAN!N37</f>
        <v>0</v>
      </c>
      <c r="O36" s="65">
        <f>HARIAN!O37</f>
        <v>0</v>
      </c>
      <c r="P36" s="65">
        <f>HARIAN!P37</f>
        <v>0</v>
      </c>
      <c r="Q36" s="40" t="e">
        <f t="shared" si="2"/>
        <v>#DIV/0!</v>
      </c>
      <c r="R36" s="40" t="e">
        <f t="shared" si="1"/>
        <v>#DIV/0!</v>
      </c>
      <c r="S36" s="40" t="e">
        <f>VLOOKUP(C36,Sheet3!$A$19:$G$81,7,FALSE)</f>
        <v>#N/A</v>
      </c>
      <c r="T36" s="10" t="e">
        <f t="shared" si="3"/>
        <v>#DIV/0!</v>
      </c>
      <c r="U36" s="10" t="e">
        <f t="shared" si="4"/>
        <v>#DIV/0!</v>
      </c>
    </row>
    <row r="37" spans="2:21" ht="15.5">
      <c r="B37" s="153"/>
      <c r="C37" s="88" t="s">
        <v>84</v>
      </c>
      <c r="D37" s="65">
        <f>HARIAN!D38</f>
        <v>0</v>
      </c>
      <c r="E37" s="65">
        <f>HARIAN!E38</f>
        <v>0</v>
      </c>
      <c r="F37" s="65">
        <f>HARIAN!F38</f>
        <v>0</v>
      </c>
      <c r="G37" s="65">
        <f>HARIAN!G38</f>
        <v>0</v>
      </c>
      <c r="H37" s="65">
        <f>HARIAN!H38</f>
        <v>0</v>
      </c>
      <c r="I37" s="65">
        <f>HARIAN!I38</f>
        <v>0</v>
      </c>
      <c r="J37" s="65">
        <f>HARIAN!J38</f>
        <v>0</v>
      </c>
      <c r="K37" s="65">
        <f>HARIAN!K38</f>
        <v>0</v>
      </c>
      <c r="L37" s="65">
        <f>HARIAN!L38</f>
        <v>0</v>
      </c>
      <c r="M37" s="65">
        <f>HARIAN!M38</f>
        <v>0</v>
      </c>
      <c r="N37" s="65">
        <f>HARIAN!N38</f>
        <v>0</v>
      </c>
      <c r="O37" s="65">
        <f>HARIAN!O38</f>
        <v>0</v>
      </c>
      <c r="P37" s="65">
        <f>HARIAN!P38</f>
        <v>0</v>
      </c>
      <c r="Q37" s="40" t="e">
        <f t="shared" si="2"/>
        <v>#DIV/0!</v>
      </c>
      <c r="R37" s="40" t="e">
        <f t="shared" si="1"/>
        <v>#DIV/0!</v>
      </c>
      <c r="S37" s="40">
        <f>VLOOKUP(C37,Sheet3!$A$19:$G$81,7,FALSE)</f>
        <v>1</v>
      </c>
      <c r="T37" s="10" t="e">
        <f t="shared" si="3"/>
        <v>#DIV/0!</v>
      </c>
      <c r="U37" s="10" t="e">
        <f t="shared" si="4"/>
        <v>#DIV/0!</v>
      </c>
    </row>
    <row r="38" spans="2:21" ht="15.5">
      <c r="B38" s="153"/>
      <c r="C38" s="88" t="s">
        <v>86</v>
      </c>
      <c r="D38" s="65">
        <f>HARIAN!D40</f>
        <v>0</v>
      </c>
      <c r="E38" s="65">
        <f>HARIAN!E40</f>
        <v>0</v>
      </c>
      <c r="F38" s="65">
        <f>HARIAN!F40</f>
        <v>0</v>
      </c>
      <c r="G38" s="65">
        <f>HARIAN!G40</f>
        <v>0</v>
      </c>
      <c r="H38" s="65">
        <f>HARIAN!H40</f>
        <v>0</v>
      </c>
      <c r="I38" s="65">
        <f>HARIAN!I40</f>
        <v>0</v>
      </c>
      <c r="J38" s="65">
        <f>HARIAN!J40</f>
        <v>0</v>
      </c>
      <c r="K38" s="65">
        <f>HARIAN!K40</f>
        <v>0</v>
      </c>
      <c r="L38" s="65">
        <f>HARIAN!L40</f>
        <v>0</v>
      </c>
      <c r="M38" s="65">
        <f>HARIAN!M40</f>
        <v>0</v>
      </c>
      <c r="N38" s="65">
        <f>HARIAN!N40</f>
        <v>0</v>
      </c>
      <c r="O38" s="65">
        <f>HARIAN!O40</f>
        <v>0</v>
      </c>
      <c r="P38" s="65">
        <f>HARIAN!P40</f>
        <v>0</v>
      </c>
      <c r="Q38" s="40" t="e">
        <f t="shared" si="2"/>
        <v>#DIV/0!</v>
      </c>
      <c r="R38" s="40" t="e">
        <f t="shared" si="1"/>
        <v>#DIV/0!</v>
      </c>
      <c r="S38" s="40">
        <f>VLOOKUP(C38,Sheet3!$A$19:$G$81,7,FALSE)</f>
        <v>1</v>
      </c>
      <c r="T38" s="10" t="e">
        <f t="shared" si="3"/>
        <v>#DIV/0!</v>
      </c>
      <c r="U38" s="10" t="e">
        <f t="shared" si="4"/>
        <v>#DIV/0!</v>
      </c>
    </row>
    <row r="39" spans="2:21" ht="15.5">
      <c r="B39" s="154" t="s">
        <v>38</v>
      </c>
      <c r="C39" s="89" t="s">
        <v>87</v>
      </c>
      <c r="D39" s="67">
        <f>HARIAN!D41</f>
        <v>0</v>
      </c>
      <c r="E39" s="67">
        <f>HARIAN!E41</f>
        <v>0</v>
      </c>
      <c r="F39" s="67">
        <f>HARIAN!F41</f>
        <v>0</v>
      </c>
      <c r="G39" s="67">
        <f>HARIAN!G41</f>
        <v>0</v>
      </c>
      <c r="H39" s="67">
        <f>HARIAN!H41</f>
        <v>0</v>
      </c>
      <c r="I39" s="67">
        <f>HARIAN!I41</f>
        <v>0</v>
      </c>
      <c r="J39" s="67">
        <f>HARIAN!J41</f>
        <v>0</v>
      </c>
      <c r="K39" s="67">
        <f>HARIAN!K41</f>
        <v>0</v>
      </c>
      <c r="L39" s="67">
        <f>HARIAN!L41</f>
        <v>0</v>
      </c>
      <c r="M39" s="67">
        <f>HARIAN!M41</f>
        <v>0</v>
      </c>
      <c r="N39" s="67">
        <f>HARIAN!N41</f>
        <v>0</v>
      </c>
      <c r="O39" s="67">
        <f>HARIAN!O41</f>
        <v>0</v>
      </c>
      <c r="P39" s="67">
        <f>HARIAN!P41</f>
        <v>0</v>
      </c>
      <c r="Q39" s="40" t="e">
        <f t="shared" si="2"/>
        <v>#DIV/0!</v>
      </c>
      <c r="R39" s="40" t="e">
        <f t="shared" si="1"/>
        <v>#DIV/0!</v>
      </c>
      <c r="S39" s="40">
        <f>VLOOKUP(C39,Sheet3!$A$19:$G$81,7,FALSE)</f>
        <v>1</v>
      </c>
      <c r="T39" s="10" t="e">
        <f t="shared" ref="T39" si="5">P39/(D39-F39-K39-I39)</f>
        <v>#DIV/0!</v>
      </c>
      <c r="U39" s="10" t="e">
        <f t="shared" ref="U39" si="6">P39/(M39+N39+O39+P39)</f>
        <v>#DIV/0!</v>
      </c>
    </row>
    <row r="40" spans="2:21" ht="15.5">
      <c r="B40" s="154"/>
      <c r="C40" s="89" t="s">
        <v>88</v>
      </c>
      <c r="D40" s="67">
        <f>HARIAN!D42+HARIAN!D52</f>
        <v>0</v>
      </c>
      <c r="E40" s="67">
        <f>HARIAN!E42+HARIAN!E52</f>
        <v>0</v>
      </c>
      <c r="F40" s="67">
        <f>HARIAN!F42+HARIAN!F52</f>
        <v>0</v>
      </c>
      <c r="G40" s="67">
        <f>HARIAN!G42+HARIAN!G52</f>
        <v>0</v>
      </c>
      <c r="H40" s="67">
        <f>HARIAN!H42+HARIAN!H52</f>
        <v>0</v>
      </c>
      <c r="I40" s="67">
        <f>HARIAN!I42+HARIAN!I52</f>
        <v>0</v>
      </c>
      <c r="J40" s="67">
        <f>HARIAN!J42+HARIAN!J52</f>
        <v>0</v>
      </c>
      <c r="K40" s="67">
        <f>HARIAN!K42+HARIAN!K52</f>
        <v>0</v>
      </c>
      <c r="L40" s="67">
        <f>HARIAN!L42+HARIAN!L52</f>
        <v>0</v>
      </c>
      <c r="M40" s="67">
        <f>HARIAN!M42+HARIAN!M52</f>
        <v>0</v>
      </c>
      <c r="N40" s="67">
        <f>HARIAN!N42+HARIAN!N52</f>
        <v>0</v>
      </c>
      <c r="O40" s="67">
        <f>HARIAN!O42+HARIAN!O52</f>
        <v>0</v>
      </c>
      <c r="P40" s="67">
        <f>HARIAN!P42+HARIAN!P52</f>
        <v>0</v>
      </c>
      <c r="Q40" s="40" t="e">
        <f t="shared" si="2"/>
        <v>#DIV/0!</v>
      </c>
      <c r="R40" s="40" t="e">
        <f t="shared" si="1"/>
        <v>#DIV/0!</v>
      </c>
      <c r="S40" s="40">
        <f>VLOOKUP(C40,Sheet3!$A$19:$G$81,7,FALSE)</f>
        <v>1</v>
      </c>
      <c r="T40" s="10" t="e">
        <f t="shared" si="3"/>
        <v>#DIV/0!</v>
      </c>
      <c r="U40" s="10" t="e">
        <f t="shared" si="4"/>
        <v>#DIV/0!</v>
      </c>
    </row>
    <row r="41" spans="2:21" ht="15.5">
      <c r="B41" s="154"/>
      <c r="C41" s="89" t="s">
        <v>89</v>
      </c>
      <c r="D41" s="67">
        <f>HARIAN!D43+HARIAN!D51</f>
        <v>0</v>
      </c>
      <c r="E41" s="67">
        <f>HARIAN!E43+HARIAN!E51</f>
        <v>0</v>
      </c>
      <c r="F41" s="67">
        <f>HARIAN!F43+HARIAN!F51</f>
        <v>0</v>
      </c>
      <c r="G41" s="67">
        <f>HARIAN!G43+HARIAN!G51</f>
        <v>0</v>
      </c>
      <c r="H41" s="67">
        <f>HARIAN!H43+HARIAN!H51</f>
        <v>0</v>
      </c>
      <c r="I41" s="67">
        <f>HARIAN!I43+HARIAN!I51</f>
        <v>0</v>
      </c>
      <c r="J41" s="67">
        <f>HARIAN!J43+HARIAN!J51</f>
        <v>0</v>
      </c>
      <c r="K41" s="67">
        <f>HARIAN!K43+HARIAN!K51</f>
        <v>0</v>
      </c>
      <c r="L41" s="67">
        <f>HARIAN!L43+HARIAN!L51</f>
        <v>0</v>
      </c>
      <c r="M41" s="67">
        <f>HARIAN!M43+HARIAN!M51</f>
        <v>0</v>
      </c>
      <c r="N41" s="67">
        <f>HARIAN!N43+HARIAN!N51</f>
        <v>0</v>
      </c>
      <c r="O41" s="67">
        <f>HARIAN!O43+HARIAN!O51</f>
        <v>0</v>
      </c>
      <c r="P41" s="67">
        <f>HARIAN!P43+HARIAN!P51</f>
        <v>0</v>
      </c>
      <c r="Q41" s="40" t="e">
        <f t="shared" si="2"/>
        <v>#DIV/0!</v>
      </c>
      <c r="R41" s="40" t="e">
        <f t="shared" si="1"/>
        <v>#DIV/0!</v>
      </c>
      <c r="S41" s="40">
        <f>VLOOKUP(C41,Sheet3!$A$19:$G$81,7,FALSE)</f>
        <v>1</v>
      </c>
      <c r="T41" s="10" t="e">
        <f t="shared" si="3"/>
        <v>#DIV/0!</v>
      </c>
      <c r="U41" s="10" t="e">
        <f t="shared" si="4"/>
        <v>#DIV/0!</v>
      </c>
    </row>
    <row r="42" spans="2:21" ht="15.5">
      <c r="B42" s="154"/>
      <c r="C42" s="89" t="s">
        <v>90</v>
      </c>
      <c r="D42" s="67">
        <f>HARIAN!D44</f>
        <v>0</v>
      </c>
      <c r="E42" s="67">
        <f>HARIAN!E44</f>
        <v>0</v>
      </c>
      <c r="F42" s="67">
        <f>HARIAN!F44</f>
        <v>0</v>
      </c>
      <c r="G42" s="67">
        <f>HARIAN!G44</f>
        <v>0</v>
      </c>
      <c r="H42" s="67">
        <f>HARIAN!H44</f>
        <v>0</v>
      </c>
      <c r="I42" s="67">
        <f>HARIAN!I44</f>
        <v>0</v>
      </c>
      <c r="J42" s="67">
        <f>HARIAN!J44</f>
        <v>0</v>
      </c>
      <c r="K42" s="67">
        <f>HARIAN!K44</f>
        <v>0</v>
      </c>
      <c r="L42" s="67">
        <f>HARIAN!L44</f>
        <v>0</v>
      </c>
      <c r="M42" s="67">
        <f>HARIAN!M44</f>
        <v>0</v>
      </c>
      <c r="N42" s="67">
        <f>HARIAN!N44</f>
        <v>0</v>
      </c>
      <c r="O42" s="67">
        <f>HARIAN!O44</f>
        <v>0</v>
      </c>
      <c r="P42" s="67">
        <f>HARIAN!P44</f>
        <v>0</v>
      </c>
      <c r="Q42" s="40" t="e">
        <f t="shared" si="2"/>
        <v>#DIV/0!</v>
      </c>
      <c r="R42" s="40" t="e">
        <f t="shared" si="1"/>
        <v>#DIV/0!</v>
      </c>
      <c r="S42" s="40">
        <f>VLOOKUP(C42,Sheet3!$A$19:$G$81,7,FALSE)</f>
        <v>1</v>
      </c>
      <c r="T42" s="10" t="e">
        <f t="shared" si="3"/>
        <v>#DIV/0!</v>
      </c>
      <c r="U42" s="10" t="e">
        <f t="shared" si="4"/>
        <v>#DIV/0!</v>
      </c>
    </row>
    <row r="43" spans="2:21" ht="15.5">
      <c r="B43" s="154"/>
      <c r="C43" s="89" t="s">
        <v>247</v>
      </c>
      <c r="D43" s="67">
        <f>HARIAN!D45</f>
        <v>0</v>
      </c>
      <c r="E43" s="67">
        <f>HARIAN!E45</f>
        <v>0</v>
      </c>
      <c r="F43" s="67">
        <f>HARIAN!F45</f>
        <v>0</v>
      </c>
      <c r="G43" s="67">
        <f>HARIAN!G45</f>
        <v>0</v>
      </c>
      <c r="H43" s="67">
        <f>HARIAN!H45</f>
        <v>0</v>
      </c>
      <c r="I43" s="67">
        <f>HARIAN!I45</f>
        <v>0</v>
      </c>
      <c r="J43" s="67">
        <f>HARIAN!J45</f>
        <v>0</v>
      </c>
      <c r="K43" s="67">
        <f>HARIAN!K45</f>
        <v>0</v>
      </c>
      <c r="L43" s="67">
        <f>HARIAN!L45</f>
        <v>0</v>
      </c>
      <c r="M43" s="67">
        <f>HARIAN!M45</f>
        <v>0</v>
      </c>
      <c r="N43" s="67">
        <f>HARIAN!N45</f>
        <v>0</v>
      </c>
      <c r="O43" s="67">
        <f>HARIAN!O45</f>
        <v>0</v>
      </c>
      <c r="P43" s="67">
        <f>HARIAN!P45</f>
        <v>0</v>
      </c>
      <c r="Q43" s="40" t="e">
        <f t="shared" si="2"/>
        <v>#DIV/0!</v>
      </c>
      <c r="R43" s="40" t="e">
        <f t="shared" si="1"/>
        <v>#DIV/0!</v>
      </c>
      <c r="S43" s="40">
        <f>VLOOKUP(C43,Sheet3!$A$19:$G$81,7,FALSE)</f>
        <v>1</v>
      </c>
      <c r="T43" s="10" t="e">
        <f t="shared" si="3"/>
        <v>#DIV/0!</v>
      </c>
      <c r="U43" s="10" t="e">
        <f t="shared" si="4"/>
        <v>#DIV/0!</v>
      </c>
    </row>
    <row r="44" spans="2:21" ht="15.5">
      <c r="B44" s="154"/>
      <c r="C44" s="89" t="s">
        <v>92</v>
      </c>
      <c r="D44" s="67">
        <f>HARIAN!D46</f>
        <v>0</v>
      </c>
      <c r="E44" s="67">
        <f>HARIAN!E46</f>
        <v>0</v>
      </c>
      <c r="F44" s="67">
        <f>HARIAN!F46</f>
        <v>0</v>
      </c>
      <c r="G44" s="67">
        <f>HARIAN!G46</f>
        <v>0</v>
      </c>
      <c r="H44" s="67">
        <f>HARIAN!H46</f>
        <v>0</v>
      </c>
      <c r="I44" s="67">
        <f>HARIAN!I46</f>
        <v>0</v>
      </c>
      <c r="J44" s="67">
        <f>HARIAN!J46</f>
        <v>0</v>
      </c>
      <c r="K44" s="67">
        <f>HARIAN!K46</f>
        <v>0</v>
      </c>
      <c r="L44" s="67">
        <f>HARIAN!L46</f>
        <v>0</v>
      </c>
      <c r="M44" s="67">
        <f>HARIAN!M46</f>
        <v>0</v>
      </c>
      <c r="N44" s="67">
        <f>HARIAN!N46</f>
        <v>0</v>
      </c>
      <c r="O44" s="67">
        <f>HARIAN!O46</f>
        <v>0</v>
      </c>
      <c r="P44" s="67">
        <f>HARIAN!P46</f>
        <v>0</v>
      </c>
      <c r="Q44" s="40" t="e">
        <f t="shared" si="2"/>
        <v>#DIV/0!</v>
      </c>
      <c r="R44" s="40" t="e">
        <f t="shared" si="1"/>
        <v>#DIV/0!</v>
      </c>
      <c r="S44" s="40">
        <f>VLOOKUP(C44,Sheet3!$A$19:$G$81,7,FALSE)</f>
        <v>1</v>
      </c>
      <c r="T44" s="10" t="e">
        <f t="shared" si="3"/>
        <v>#DIV/0!</v>
      </c>
      <c r="U44" s="10" t="e">
        <f t="shared" si="4"/>
        <v>#DIV/0!</v>
      </c>
    </row>
    <row r="45" spans="2:21" ht="15.5">
      <c r="B45" s="154"/>
      <c r="C45" s="89" t="s">
        <v>93</v>
      </c>
      <c r="D45" s="67">
        <f>HARIAN!D47</f>
        <v>0</v>
      </c>
      <c r="E45" s="67">
        <f>HARIAN!E47</f>
        <v>0</v>
      </c>
      <c r="F45" s="67">
        <f>HARIAN!F47</f>
        <v>0</v>
      </c>
      <c r="G45" s="67">
        <f>HARIAN!G47</f>
        <v>0</v>
      </c>
      <c r="H45" s="67">
        <f>HARIAN!H47</f>
        <v>0</v>
      </c>
      <c r="I45" s="67">
        <f>HARIAN!I47</f>
        <v>0</v>
      </c>
      <c r="J45" s="67">
        <f>HARIAN!J47</f>
        <v>0</v>
      </c>
      <c r="K45" s="67">
        <f>HARIAN!K47</f>
        <v>0</v>
      </c>
      <c r="L45" s="67">
        <f>HARIAN!L47</f>
        <v>0</v>
      </c>
      <c r="M45" s="67">
        <f>HARIAN!M47</f>
        <v>0</v>
      </c>
      <c r="N45" s="67">
        <f>HARIAN!N47</f>
        <v>0</v>
      </c>
      <c r="O45" s="67">
        <f>HARIAN!O47</f>
        <v>0</v>
      </c>
      <c r="P45" s="67">
        <f>HARIAN!P47</f>
        <v>0</v>
      </c>
      <c r="Q45" s="40" t="e">
        <f t="shared" si="2"/>
        <v>#DIV/0!</v>
      </c>
      <c r="R45" s="40" t="e">
        <f t="shared" si="1"/>
        <v>#DIV/0!</v>
      </c>
      <c r="S45" s="40" t="e">
        <f>VLOOKUP(C45,Sheet3!$A$19:$G$81,7,FALSE)</f>
        <v>#N/A</v>
      </c>
      <c r="T45" s="10" t="e">
        <f t="shared" si="3"/>
        <v>#DIV/0!</v>
      </c>
      <c r="U45" s="10" t="e">
        <f t="shared" si="4"/>
        <v>#DIV/0!</v>
      </c>
    </row>
    <row r="46" spans="2:21" ht="15.5">
      <c r="B46" s="154"/>
      <c r="C46" s="89" t="s">
        <v>92</v>
      </c>
      <c r="D46" s="67">
        <f>HARIAN!D48</f>
        <v>0</v>
      </c>
      <c r="E46" s="67">
        <f>HARIAN!E48</f>
        <v>0</v>
      </c>
      <c r="F46" s="67">
        <f>HARIAN!F48</f>
        <v>0</v>
      </c>
      <c r="G46" s="67">
        <f>HARIAN!G48</f>
        <v>0</v>
      </c>
      <c r="H46" s="67">
        <f>HARIAN!H48</f>
        <v>0</v>
      </c>
      <c r="I46" s="67">
        <f>HARIAN!I48</f>
        <v>0</v>
      </c>
      <c r="J46" s="67">
        <f>HARIAN!J48</f>
        <v>0</v>
      </c>
      <c r="K46" s="67">
        <f>HARIAN!K48</f>
        <v>0</v>
      </c>
      <c r="L46" s="67">
        <f>HARIAN!L48</f>
        <v>0</v>
      </c>
      <c r="M46" s="67">
        <f>HARIAN!M48</f>
        <v>0</v>
      </c>
      <c r="N46" s="67">
        <f>HARIAN!N48</f>
        <v>0</v>
      </c>
      <c r="O46" s="67">
        <f>HARIAN!O48</f>
        <v>0</v>
      </c>
      <c r="P46" s="67">
        <f>HARIAN!P48</f>
        <v>0</v>
      </c>
      <c r="Q46" s="40" t="e">
        <f t="shared" si="2"/>
        <v>#DIV/0!</v>
      </c>
      <c r="R46" s="40" t="e">
        <f t="shared" si="1"/>
        <v>#DIV/0!</v>
      </c>
      <c r="S46" s="40">
        <f>VLOOKUP(C46,Sheet3!$A$19:$G$81,7,FALSE)</f>
        <v>1</v>
      </c>
      <c r="T46" s="10" t="e">
        <f t="shared" si="3"/>
        <v>#DIV/0!</v>
      </c>
      <c r="U46" s="10" t="e">
        <f t="shared" si="4"/>
        <v>#DIV/0!</v>
      </c>
    </row>
    <row r="47" spans="2:21" ht="15.5">
      <c r="B47" s="154"/>
      <c r="C47" s="89" t="s">
        <v>95</v>
      </c>
      <c r="D47" s="67">
        <f>HARIAN!D49+HARIAN!D50</f>
        <v>0</v>
      </c>
      <c r="E47" s="67">
        <f>HARIAN!E49+HARIAN!E50</f>
        <v>0</v>
      </c>
      <c r="F47" s="67">
        <f>HARIAN!F49+HARIAN!F50</f>
        <v>0</v>
      </c>
      <c r="G47" s="67">
        <f>HARIAN!G49+HARIAN!G50</f>
        <v>0</v>
      </c>
      <c r="H47" s="67">
        <f>HARIAN!H49+HARIAN!H50</f>
        <v>0</v>
      </c>
      <c r="I47" s="67">
        <f>HARIAN!I49+HARIAN!I50</f>
        <v>0</v>
      </c>
      <c r="J47" s="67">
        <f>HARIAN!J49+HARIAN!J50</f>
        <v>0</v>
      </c>
      <c r="K47" s="67">
        <f>HARIAN!K49+HARIAN!K50</f>
        <v>0</v>
      </c>
      <c r="L47" s="67">
        <f>HARIAN!L49+HARIAN!L50</f>
        <v>0</v>
      </c>
      <c r="M47" s="67">
        <f>HARIAN!M49+HARIAN!M50</f>
        <v>0</v>
      </c>
      <c r="N47" s="67">
        <f>HARIAN!N49+HARIAN!N50</f>
        <v>0</v>
      </c>
      <c r="O47" s="67">
        <f>HARIAN!O49+HARIAN!O50</f>
        <v>0</v>
      </c>
      <c r="P47" s="67">
        <f>HARIAN!P49+HARIAN!P50</f>
        <v>0</v>
      </c>
      <c r="Q47" s="40" t="e">
        <f t="shared" si="2"/>
        <v>#DIV/0!</v>
      </c>
      <c r="R47" s="40" t="e">
        <f t="shared" si="1"/>
        <v>#DIV/0!</v>
      </c>
      <c r="S47" s="40">
        <f>VLOOKUP(C47,Sheet3!$A$19:$G$81,7,FALSE)</f>
        <v>1</v>
      </c>
      <c r="T47" s="10" t="e">
        <f t="shared" si="3"/>
        <v>#DIV/0!</v>
      </c>
      <c r="U47" s="10" t="e">
        <f t="shared" si="4"/>
        <v>#DIV/0!</v>
      </c>
    </row>
    <row r="48" spans="2:21" ht="15.5">
      <c r="B48" s="155" t="s">
        <v>42</v>
      </c>
      <c r="C48" s="90" t="s">
        <v>99</v>
      </c>
      <c r="D48" s="63">
        <f>HARIAN!D53+HARIAN!D62</f>
        <v>0</v>
      </c>
      <c r="E48" s="63">
        <f>HARIAN!E53+HARIAN!E62</f>
        <v>0</v>
      </c>
      <c r="F48" s="63">
        <f>HARIAN!F53+HARIAN!F62</f>
        <v>0</v>
      </c>
      <c r="G48" s="63">
        <f>HARIAN!G53+HARIAN!G62</f>
        <v>0</v>
      </c>
      <c r="H48" s="63">
        <f>HARIAN!H53+HARIAN!H62</f>
        <v>0</v>
      </c>
      <c r="I48" s="63">
        <f>HARIAN!I53+HARIAN!I62</f>
        <v>0</v>
      </c>
      <c r="J48" s="63">
        <f>HARIAN!J53+HARIAN!J62</f>
        <v>0</v>
      </c>
      <c r="K48" s="63">
        <f>HARIAN!K53+HARIAN!K62</f>
        <v>0</v>
      </c>
      <c r="L48" s="63">
        <f>HARIAN!L53+HARIAN!L62</f>
        <v>0</v>
      </c>
      <c r="M48" s="63">
        <f>HARIAN!M53+HARIAN!M62</f>
        <v>0</v>
      </c>
      <c r="N48" s="63">
        <f>HARIAN!N53+HARIAN!N62</f>
        <v>0</v>
      </c>
      <c r="O48" s="63">
        <f>HARIAN!O53+HARIAN!O62</f>
        <v>0</v>
      </c>
      <c r="P48" s="63">
        <f>HARIAN!P53+HARIAN!P62</f>
        <v>0</v>
      </c>
      <c r="Q48" s="40" t="e">
        <f t="shared" si="2"/>
        <v>#DIV/0!</v>
      </c>
      <c r="R48" s="40" t="e">
        <f t="shared" si="1"/>
        <v>#DIV/0!</v>
      </c>
      <c r="S48" s="40">
        <f>VLOOKUP(C48,Sheet3!$A$19:$G$81,7,FALSE)</f>
        <v>1</v>
      </c>
      <c r="T48" s="10" t="e">
        <f t="shared" si="3"/>
        <v>#DIV/0!</v>
      </c>
      <c r="U48" s="10" t="e">
        <f t="shared" si="4"/>
        <v>#DIV/0!</v>
      </c>
    </row>
    <row r="49" spans="2:21" ht="15.5">
      <c r="B49" s="155"/>
      <c r="C49" s="90" t="s">
        <v>102</v>
      </c>
      <c r="D49" s="63">
        <f>HARIAN!D54+HARIAN!D56</f>
        <v>0</v>
      </c>
      <c r="E49" s="63">
        <f>HARIAN!E54+HARIAN!E56</f>
        <v>0</v>
      </c>
      <c r="F49" s="63">
        <f>HARIAN!F54+HARIAN!F56</f>
        <v>0</v>
      </c>
      <c r="G49" s="63">
        <f>HARIAN!G54+HARIAN!G56</f>
        <v>0</v>
      </c>
      <c r="H49" s="63">
        <f>HARIAN!H54+HARIAN!H56</f>
        <v>0</v>
      </c>
      <c r="I49" s="63">
        <f>HARIAN!I54+HARIAN!I56</f>
        <v>0</v>
      </c>
      <c r="J49" s="63">
        <f>HARIAN!J54+HARIAN!J56</f>
        <v>0</v>
      </c>
      <c r="K49" s="63">
        <f>HARIAN!K54+HARIAN!K56</f>
        <v>0</v>
      </c>
      <c r="L49" s="63">
        <f>HARIAN!L54+HARIAN!L56</f>
        <v>0</v>
      </c>
      <c r="M49" s="63">
        <f>HARIAN!M54+HARIAN!M56</f>
        <v>0</v>
      </c>
      <c r="N49" s="63">
        <f>HARIAN!N54+HARIAN!N56</f>
        <v>0</v>
      </c>
      <c r="O49" s="63">
        <f>HARIAN!O54+HARIAN!O56</f>
        <v>0</v>
      </c>
      <c r="P49" s="63">
        <f>HARIAN!P54+HARIAN!P56</f>
        <v>0</v>
      </c>
      <c r="Q49" s="40" t="e">
        <f t="shared" si="2"/>
        <v>#DIV/0!</v>
      </c>
      <c r="R49" s="40" t="e">
        <f t="shared" si="1"/>
        <v>#DIV/0!</v>
      </c>
      <c r="S49" s="40">
        <f>VLOOKUP(C49,Sheet3!$A$19:$G$81,7,FALSE)</f>
        <v>1</v>
      </c>
      <c r="T49" s="10" t="e">
        <f t="shared" si="3"/>
        <v>#DIV/0!</v>
      </c>
      <c r="U49" s="10" t="e">
        <f t="shared" si="4"/>
        <v>#DIV/0!</v>
      </c>
    </row>
    <row r="50" spans="2:21" ht="15.5">
      <c r="B50" s="155"/>
      <c r="C50" s="90" t="s">
        <v>232</v>
      </c>
      <c r="D50" s="63">
        <f>HARIAN!D55</f>
        <v>0</v>
      </c>
      <c r="E50" s="63">
        <f>HARIAN!E55</f>
        <v>0</v>
      </c>
      <c r="F50" s="63">
        <f>HARIAN!F55</f>
        <v>0</v>
      </c>
      <c r="G50" s="63">
        <f>HARIAN!G55</f>
        <v>0</v>
      </c>
      <c r="H50" s="63">
        <f>HARIAN!H55</f>
        <v>0</v>
      </c>
      <c r="I50" s="63">
        <f>HARIAN!I55</f>
        <v>0</v>
      </c>
      <c r="J50" s="63">
        <f>HARIAN!J55</f>
        <v>0</v>
      </c>
      <c r="K50" s="63">
        <f>HARIAN!K55</f>
        <v>0</v>
      </c>
      <c r="L50" s="63">
        <f>HARIAN!L55</f>
        <v>0</v>
      </c>
      <c r="M50" s="63">
        <f>HARIAN!M55</f>
        <v>0</v>
      </c>
      <c r="N50" s="63">
        <f>HARIAN!N55</f>
        <v>0</v>
      </c>
      <c r="O50" s="63">
        <f>HARIAN!O55</f>
        <v>0</v>
      </c>
      <c r="P50" s="63">
        <f>HARIAN!P55</f>
        <v>0</v>
      </c>
      <c r="Q50" s="40" t="e">
        <f t="shared" si="2"/>
        <v>#DIV/0!</v>
      </c>
      <c r="R50" s="40" t="e">
        <f t="shared" si="1"/>
        <v>#DIV/0!</v>
      </c>
      <c r="S50" s="40">
        <f>VLOOKUP(C50,Sheet3!$A$19:$G$81,7,FALSE)</f>
        <v>1</v>
      </c>
      <c r="T50" s="10" t="e">
        <f t="shared" si="3"/>
        <v>#DIV/0!</v>
      </c>
      <c r="U50" s="10" t="e">
        <f t="shared" si="4"/>
        <v>#DIV/0!</v>
      </c>
    </row>
    <row r="51" spans="2:21" ht="15.5">
      <c r="B51" s="155"/>
      <c r="C51" s="90" t="s">
        <v>105</v>
      </c>
      <c r="D51" s="63">
        <f>HARIAN!D57+HARIAN!D59</f>
        <v>0</v>
      </c>
      <c r="E51" s="63">
        <f>HARIAN!E57+HARIAN!E59</f>
        <v>0</v>
      </c>
      <c r="F51" s="63">
        <f>HARIAN!F57+HARIAN!F59</f>
        <v>0</v>
      </c>
      <c r="G51" s="63">
        <f>HARIAN!G57+HARIAN!G59</f>
        <v>0</v>
      </c>
      <c r="H51" s="63">
        <f>HARIAN!H57+HARIAN!H59</f>
        <v>0</v>
      </c>
      <c r="I51" s="63">
        <f>HARIAN!I57+HARIAN!I59</f>
        <v>0</v>
      </c>
      <c r="J51" s="63">
        <f>HARIAN!J57+HARIAN!J59</f>
        <v>0</v>
      </c>
      <c r="K51" s="63">
        <f>HARIAN!K57+HARIAN!K59</f>
        <v>0</v>
      </c>
      <c r="L51" s="63">
        <f>HARIAN!L57+HARIAN!L59</f>
        <v>0</v>
      </c>
      <c r="M51" s="63">
        <f>HARIAN!M57+HARIAN!M59</f>
        <v>0</v>
      </c>
      <c r="N51" s="63">
        <f>HARIAN!N57+HARIAN!N59</f>
        <v>0</v>
      </c>
      <c r="O51" s="63">
        <f>HARIAN!O57+HARIAN!O59</f>
        <v>0</v>
      </c>
      <c r="P51" s="63">
        <f>HARIAN!P57+HARIAN!P59</f>
        <v>0</v>
      </c>
      <c r="Q51" s="40" t="e">
        <f t="shared" si="2"/>
        <v>#DIV/0!</v>
      </c>
      <c r="R51" s="40" t="e">
        <f t="shared" si="1"/>
        <v>#DIV/0!</v>
      </c>
      <c r="S51" s="40">
        <f>VLOOKUP(C51,Sheet3!$A$19:$G$81,7,FALSE)</f>
        <v>1</v>
      </c>
      <c r="T51" s="10" t="e">
        <f t="shared" si="3"/>
        <v>#DIV/0!</v>
      </c>
      <c r="U51" s="10" t="e">
        <f t="shared" si="4"/>
        <v>#DIV/0!</v>
      </c>
    </row>
    <row r="52" spans="2:21" ht="15.5">
      <c r="B52" s="155"/>
      <c r="C52" s="90" t="s">
        <v>106</v>
      </c>
      <c r="D52" s="63">
        <f>HARIAN!D60</f>
        <v>0</v>
      </c>
      <c r="E52" s="63">
        <f>HARIAN!E60</f>
        <v>0</v>
      </c>
      <c r="F52" s="63">
        <f>HARIAN!F60</f>
        <v>0</v>
      </c>
      <c r="G52" s="63">
        <f>HARIAN!G60</f>
        <v>0</v>
      </c>
      <c r="H52" s="63">
        <f>HARIAN!H60</f>
        <v>0</v>
      </c>
      <c r="I52" s="63">
        <f>HARIAN!I60</f>
        <v>0</v>
      </c>
      <c r="J52" s="63">
        <f>HARIAN!J60</f>
        <v>0</v>
      </c>
      <c r="K52" s="63">
        <f>HARIAN!K60</f>
        <v>0</v>
      </c>
      <c r="L52" s="63">
        <f>HARIAN!L60</f>
        <v>0</v>
      </c>
      <c r="M52" s="63">
        <f>HARIAN!M60</f>
        <v>0</v>
      </c>
      <c r="N52" s="63">
        <f>HARIAN!N60</f>
        <v>0</v>
      </c>
      <c r="O52" s="63">
        <f>HARIAN!O60</f>
        <v>0</v>
      </c>
      <c r="P52" s="63">
        <f>HARIAN!P60</f>
        <v>0</v>
      </c>
      <c r="Q52" s="40" t="e">
        <f t="shared" si="2"/>
        <v>#DIV/0!</v>
      </c>
      <c r="R52" s="40" t="e">
        <f t="shared" si="1"/>
        <v>#DIV/0!</v>
      </c>
      <c r="S52" s="40">
        <f>VLOOKUP(C52,Sheet3!$A$19:$G$81,7,FALSE)</f>
        <v>1</v>
      </c>
      <c r="T52" s="10" t="e">
        <f t="shared" si="3"/>
        <v>#DIV/0!</v>
      </c>
      <c r="U52" s="10" t="e">
        <f t="shared" si="4"/>
        <v>#DIV/0!</v>
      </c>
    </row>
    <row r="53" spans="2:21" ht="15.5">
      <c r="B53" s="155"/>
      <c r="C53" s="90" t="s">
        <v>107</v>
      </c>
      <c r="D53" s="63">
        <f>HARIAN!D61+HARIAN!D58</f>
        <v>0</v>
      </c>
      <c r="E53" s="63">
        <f>HARIAN!E61+HARIAN!E58</f>
        <v>0</v>
      </c>
      <c r="F53" s="63">
        <f>HARIAN!F61+HARIAN!F58</f>
        <v>0</v>
      </c>
      <c r="G53" s="63">
        <f>HARIAN!G61+HARIAN!G58</f>
        <v>0</v>
      </c>
      <c r="H53" s="63">
        <f>HARIAN!H61+HARIAN!H58</f>
        <v>0</v>
      </c>
      <c r="I53" s="63">
        <f>HARIAN!I61+HARIAN!I58</f>
        <v>0</v>
      </c>
      <c r="J53" s="63">
        <f>HARIAN!J61+HARIAN!J58</f>
        <v>0</v>
      </c>
      <c r="K53" s="63">
        <f>HARIAN!K61+HARIAN!K58</f>
        <v>0</v>
      </c>
      <c r="L53" s="63">
        <f>HARIAN!L61+HARIAN!L58</f>
        <v>0</v>
      </c>
      <c r="M53" s="63">
        <f>HARIAN!M61+HARIAN!M58</f>
        <v>0</v>
      </c>
      <c r="N53" s="63">
        <f>HARIAN!N61+HARIAN!N58</f>
        <v>0</v>
      </c>
      <c r="O53" s="63">
        <f>HARIAN!O61+HARIAN!O58</f>
        <v>0</v>
      </c>
      <c r="P53" s="63">
        <f>HARIAN!P61+HARIAN!P58</f>
        <v>0</v>
      </c>
      <c r="Q53" s="40" t="e">
        <f t="shared" si="2"/>
        <v>#DIV/0!</v>
      </c>
      <c r="R53" s="40" t="e">
        <f t="shared" si="1"/>
        <v>#DIV/0!</v>
      </c>
      <c r="S53" s="40">
        <f>VLOOKUP(C53,Sheet3!$A$19:$G$81,7,FALSE)</f>
        <v>1</v>
      </c>
      <c r="T53" s="10" t="e">
        <f t="shared" si="3"/>
        <v>#DIV/0!</v>
      </c>
      <c r="U53" s="10" t="e">
        <f t="shared" si="4"/>
        <v>#DIV/0!</v>
      </c>
    </row>
    <row r="54" spans="2:21" ht="15.5">
      <c r="B54" s="156" t="s">
        <v>70</v>
      </c>
      <c r="C54" s="91" t="s">
        <v>109</v>
      </c>
      <c r="D54" s="69">
        <f>HARIAN!D63</f>
        <v>0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0</v>
      </c>
      <c r="I54" s="69">
        <f>HARIAN!I63</f>
        <v>0</v>
      </c>
      <c r="J54" s="69">
        <f>HARIAN!J63</f>
        <v>0</v>
      </c>
      <c r="K54" s="69">
        <f>HARIAN!K63</f>
        <v>0</v>
      </c>
      <c r="L54" s="69">
        <f>HARIAN!L63</f>
        <v>0</v>
      </c>
      <c r="M54" s="69">
        <f>HARIAN!M63</f>
        <v>0</v>
      </c>
      <c r="N54" s="69">
        <f>HARIAN!N63</f>
        <v>0</v>
      </c>
      <c r="O54" s="69">
        <f>HARIAN!O63</f>
        <v>0</v>
      </c>
      <c r="P54" s="69">
        <f>HARIAN!P63</f>
        <v>0</v>
      </c>
      <c r="Q54" s="40" t="e">
        <f t="shared" si="2"/>
        <v>#DIV/0!</v>
      </c>
      <c r="R54" s="40" t="e">
        <f t="shared" si="1"/>
        <v>#DIV/0!</v>
      </c>
      <c r="S54" s="40">
        <f>VLOOKUP(C54,Sheet3!$A$19:$G$81,7,FALSE)</f>
        <v>1</v>
      </c>
      <c r="T54" s="10" t="e">
        <f t="shared" si="3"/>
        <v>#DIV/0!</v>
      </c>
      <c r="U54" s="10" t="e">
        <f t="shared" si="4"/>
        <v>#DIV/0!</v>
      </c>
    </row>
    <row r="55" spans="2:21" ht="15.5">
      <c r="B55" s="156"/>
      <c r="C55" s="91" t="s">
        <v>110</v>
      </c>
      <c r="D55" s="69">
        <f>HARIAN!D64</f>
        <v>0</v>
      </c>
      <c r="E55" s="69">
        <f>HARIAN!E64</f>
        <v>0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0</v>
      </c>
      <c r="J55" s="69">
        <f>HARIAN!J64</f>
        <v>0</v>
      </c>
      <c r="K55" s="69">
        <f>HARIAN!K64</f>
        <v>0</v>
      </c>
      <c r="L55" s="69">
        <f>HARIAN!L64</f>
        <v>0</v>
      </c>
      <c r="M55" s="69">
        <f>HARIAN!M64</f>
        <v>0</v>
      </c>
      <c r="N55" s="69">
        <f>HARIAN!N64</f>
        <v>0</v>
      </c>
      <c r="O55" s="69">
        <f>HARIAN!O64</f>
        <v>0</v>
      </c>
      <c r="P55" s="69">
        <f>HARIAN!P64</f>
        <v>0</v>
      </c>
      <c r="Q55" s="40" t="e">
        <f t="shared" si="2"/>
        <v>#DIV/0!</v>
      </c>
      <c r="R55" s="40" t="e">
        <f t="shared" si="1"/>
        <v>#DIV/0!</v>
      </c>
      <c r="S55" s="40">
        <f>VLOOKUP(C55,Sheet3!$A$19:$G$81,7,FALSE)</f>
        <v>1</v>
      </c>
      <c r="T55" s="10" t="e">
        <f t="shared" si="3"/>
        <v>#DIV/0!</v>
      </c>
      <c r="U55" s="10" t="e">
        <f t="shared" si="4"/>
        <v>#DIV/0!</v>
      </c>
    </row>
    <row r="56" spans="2:21" ht="15.5">
      <c r="B56" s="156"/>
      <c r="C56" s="91" t="s">
        <v>111</v>
      </c>
      <c r="D56" s="69">
        <f>HARIAN!D65</f>
        <v>0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0</v>
      </c>
      <c r="K56" s="69">
        <f>HARIAN!K65</f>
        <v>0</v>
      </c>
      <c r="L56" s="69">
        <f>HARIAN!L65</f>
        <v>0</v>
      </c>
      <c r="M56" s="69">
        <f>HARIAN!M65</f>
        <v>0</v>
      </c>
      <c r="N56" s="69">
        <f>HARIAN!N65</f>
        <v>0</v>
      </c>
      <c r="O56" s="69">
        <f>HARIAN!O65</f>
        <v>0</v>
      </c>
      <c r="P56" s="69">
        <f>HARIAN!P65</f>
        <v>0</v>
      </c>
      <c r="Q56" s="40" t="e">
        <f t="shared" si="2"/>
        <v>#DIV/0!</v>
      </c>
      <c r="R56" s="40" t="e">
        <f t="shared" si="1"/>
        <v>#DIV/0!</v>
      </c>
      <c r="S56" s="40">
        <f>VLOOKUP(C56,Sheet3!$A$19:$G$81,7,FALSE)</f>
        <v>1</v>
      </c>
      <c r="T56" s="10" t="e">
        <f t="shared" si="3"/>
        <v>#DIV/0!</v>
      </c>
      <c r="U56" s="10" t="e">
        <f t="shared" si="4"/>
        <v>#DIV/0!</v>
      </c>
    </row>
    <row r="57" spans="2:21" ht="15.5">
      <c r="B57" s="156"/>
      <c r="C57" s="91" t="s">
        <v>210</v>
      </c>
      <c r="D57" s="69">
        <f>HARIAN!D66</f>
        <v>0</v>
      </c>
      <c r="E57" s="69">
        <f>HARIAN!E66</f>
        <v>0</v>
      </c>
      <c r="F57" s="69">
        <f>HARIAN!F66</f>
        <v>0</v>
      </c>
      <c r="G57" s="69">
        <f>HARIAN!G66</f>
        <v>0</v>
      </c>
      <c r="H57" s="69">
        <f>HARIAN!H66</f>
        <v>0</v>
      </c>
      <c r="I57" s="69">
        <f>HARIAN!I66</f>
        <v>0</v>
      </c>
      <c r="J57" s="69">
        <f>HARIAN!J66</f>
        <v>0</v>
      </c>
      <c r="K57" s="69">
        <f>HARIAN!K66</f>
        <v>0</v>
      </c>
      <c r="L57" s="69">
        <f>HARIAN!L66</f>
        <v>0</v>
      </c>
      <c r="M57" s="69">
        <f>HARIAN!M66</f>
        <v>0</v>
      </c>
      <c r="N57" s="69">
        <f>HARIAN!N66</f>
        <v>0</v>
      </c>
      <c r="O57" s="69">
        <f>HARIAN!O66</f>
        <v>0</v>
      </c>
      <c r="P57" s="69">
        <f>HARIAN!P66</f>
        <v>0</v>
      </c>
      <c r="Q57" s="40" t="e">
        <f t="shared" si="2"/>
        <v>#DIV/0!</v>
      </c>
      <c r="R57" s="40" t="e">
        <f t="shared" si="1"/>
        <v>#DIV/0!</v>
      </c>
      <c r="S57" s="40" t="e">
        <f>VLOOKUP(C57,Sheet3!$A$19:$G$81,7,FALSE)</f>
        <v>#N/A</v>
      </c>
      <c r="T57" s="10" t="e">
        <f t="shared" si="3"/>
        <v>#DIV/0!</v>
      </c>
      <c r="U57" s="10" t="e">
        <f t="shared" si="4"/>
        <v>#DIV/0!</v>
      </c>
    </row>
    <row r="58" spans="2:21" ht="15.5">
      <c r="B58" s="156"/>
      <c r="C58" s="91" t="s">
        <v>113</v>
      </c>
      <c r="D58" s="69">
        <f>HARIAN!D67</f>
        <v>0</v>
      </c>
      <c r="E58" s="69">
        <f>HARIAN!E67</f>
        <v>0</v>
      </c>
      <c r="F58" s="69">
        <f>HARIAN!F67</f>
        <v>0</v>
      </c>
      <c r="G58" s="69">
        <f>HARIAN!G67</f>
        <v>0</v>
      </c>
      <c r="H58" s="69">
        <f>HARIAN!H67</f>
        <v>0</v>
      </c>
      <c r="I58" s="69">
        <f>HARIAN!I67</f>
        <v>0</v>
      </c>
      <c r="J58" s="69">
        <f>HARIAN!J67</f>
        <v>0</v>
      </c>
      <c r="K58" s="69">
        <f>HARIAN!K67</f>
        <v>0</v>
      </c>
      <c r="L58" s="69">
        <f>HARIAN!L67</f>
        <v>0</v>
      </c>
      <c r="M58" s="69">
        <f>HARIAN!M67</f>
        <v>0</v>
      </c>
      <c r="N58" s="69">
        <f>HARIAN!N67</f>
        <v>0</v>
      </c>
      <c r="O58" s="69">
        <f>HARIAN!O67</f>
        <v>0</v>
      </c>
      <c r="P58" s="69">
        <f>HARIAN!P67</f>
        <v>0</v>
      </c>
      <c r="Q58" s="40" t="e">
        <f t="shared" si="2"/>
        <v>#DIV/0!</v>
      </c>
      <c r="R58" s="40" t="e">
        <f t="shared" si="1"/>
        <v>#DIV/0!</v>
      </c>
      <c r="S58" s="40">
        <f>VLOOKUP(C58,Sheet3!$A$19:$G$81,7,FALSE)</f>
        <v>1</v>
      </c>
      <c r="T58" s="10" t="e">
        <f t="shared" si="3"/>
        <v>#DIV/0!</v>
      </c>
      <c r="U58" s="10" t="e">
        <f t="shared" si="4"/>
        <v>#DIV/0!</v>
      </c>
    </row>
    <row r="59" spans="2:21" ht="15.5">
      <c r="B59" s="156"/>
      <c r="C59" s="91" t="s">
        <v>114</v>
      </c>
      <c r="D59" s="69">
        <f>HARIAN!D68</f>
        <v>0</v>
      </c>
      <c r="E59" s="69">
        <f>HARIAN!E68</f>
        <v>0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0</v>
      </c>
      <c r="K59" s="69">
        <f>HARIAN!K68</f>
        <v>0</v>
      </c>
      <c r="L59" s="69">
        <f>HARIAN!L68</f>
        <v>0</v>
      </c>
      <c r="M59" s="69">
        <f>HARIAN!M68</f>
        <v>0</v>
      </c>
      <c r="N59" s="69">
        <f>HARIAN!N68</f>
        <v>0</v>
      </c>
      <c r="O59" s="69">
        <f>HARIAN!O68</f>
        <v>0</v>
      </c>
      <c r="P59" s="69">
        <f>HARIAN!P68</f>
        <v>0</v>
      </c>
      <c r="Q59" s="40" t="e">
        <f t="shared" si="2"/>
        <v>#DIV/0!</v>
      </c>
      <c r="R59" s="40" t="e">
        <f t="shared" si="1"/>
        <v>#DIV/0!</v>
      </c>
      <c r="S59" s="40">
        <f>VLOOKUP(C59,Sheet3!$A$19:$G$81,7,FALSE)</f>
        <v>1</v>
      </c>
      <c r="T59" s="10" t="e">
        <f t="shared" si="3"/>
        <v>#DIV/0!</v>
      </c>
      <c r="U59" s="10" t="e">
        <f t="shared" si="4"/>
        <v>#DIV/0!</v>
      </c>
    </row>
    <row r="60" spans="2:21" ht="15.5">
      <c r="B60" s="156"/>
      <c r="C60" s="91" t="s">
        <v>755</v>
      </c>
      <c r="D60" s="69">
        <f>HARIAN!D69+HARIAN!D70</f>
        <v>0</v>
      </c>
      <c r="E60" s="69">
        <f>HARIAN!E69+HARIAN!E70</f>
        <v>0</v>
      </c>
      <c r="F60" s="69">
        <f>HARIAN!F69+HARIAN!F70</f>
        <v>0</v>
      </c>
      <c r="G60" s="69">
        <f>HARIAN!G69+HARIAN!G70</f>
        <v>0</v>
      </c>
      <c r="H60" s="69">
        <f>HARIAN!H69+HARIAN!H70</f>
        <v>0</v>
      </c>
      <c r="I60" s="69">
        <f>HARIAN!I69+HARIAN!I70</f>
        <v>0</v>
      </c>
      <c r="J60" s="69">
        <f>HARIAN!J69+HARIAN!J70</f>
        <v>0</v>
      </c>
      <c r="K60" s="69">
        <f>HARIAN!K69+HARIAN!K70</f>
        <v>0</v>
      </c>
      <c r="L60" s="69">
        <f>HARIAN!L69+HARIAN!L70</f>
        <v>0</v>
      </c>
      <c r="M60" s="69">
        <f>HARIAN!M69+HARIAN!M70</f>
        <v>0</v>
      </c>
      <c r="N60" s="69">
        <f>HARIAN!N69+HARIAN!N70</f>
        <v>0</v>
      </c>
      <c r="O60" s="69">
        <f>HARIAN!O69+HARIAN!O70</f>
        <v>0</v>
      </c>
      <c r="P60" s="69">
        <f>HARIAN!P69+HARIAN!P70</f>
        <v>0</v>
      </c>
      <c r="Q60" s="40" t="e">
        <f t="shared" si="2"/>
        <v>#DIV/0!</v>
      </c>
      <c r="R60" s="40" t="e">
        <f t="shared" si="1"/>
        <v>#DIV/0!</v>
      </c>
      <c r="S60" s="40">
        <f>VLOOKUP(C60,Sheet3!$A$19:$G$81,7,FALSE)</f>
        <v>1</v>
      </c>
      <c r="T60" s="10" t="e">
        <f t="shared" si="3"/>
        <v>#DIV/0!</v>
      </c>
      <c r="U60" s="10" t="e">
        <f t="shared" si="4"/>
        <v>#DIV/0!</v>
      </c>
    </row>
    <row r="61" spans="2:21" ht="15.5">
      <c r="B61" s="156"/>
      <c r="C61" s="91" t="s">
        <v>117</v>
      </c>
      <c r="D61" s="69">
        <f>HARIAN!D71</f>
        <v>0</v>
      </c>
      <c r="E61" s="69">
        <f>HARIAN!E71</f>
        <v>0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0</v>
      </c>
      <c r="K61" s="69">
        <f>HARIAN!K71</f>
        <v>0</v>
      </c>
      <c r="L61" s="69">
        <f>HARIAN!L71</f>
        <v>0</v>
      </c>
      <c r="M61" s="69">
        <f>HARIAN!M71</f>
        <v>0</v>
      </c>
      <c r="N61" s="69">
        <f>HARIAN!N71</f>
        <v>0</v>
      </c>
      <c r="O61" s="69">
        <f>HARIAN!O71</f>
        <v>0</v>
      </c>
      <c r="P61" s="69">
        <f>HARIAN!P71</f>
        <v>0</v>
      </c>
      <c r="Q61" s="40" t="e">
        <f t="shared" si="2"/>
        <v>#DIV/0!</v>
      </c>
      <c r="R61" s="40" t="e">
        <f t="shared" si="1"/>
        <v>#DIV/0!</v>
      </c>
      <c r="S61" s="40" t="e">
        <f>VLOOKUP(C61,Sheet3!$A$19:$G$81,7,FALSE)</f>
        <v>#N/A</v>
      </c>
      <c r="T61" s="10" t="e">
        <f t="shared" si="3"/>
        <v>#DIV/0!</v>
      </c>
      <c r="U61" s="10" t="e">
        <f t="shared" si="4"/>
        <v>#DIV/0!</v>
      </c>
    </row>
    <row r="62" spans="2:21" ht="15.5">
      <c r="B62" s="156"/>
      <c r="C62" s="91" t="s">
        <v>118</v>
      </c>
      <c r="D62" s="69">
        <f>HARIAN!D72</f>
        <v>0</v>
      </c>
      <c r="E62" s="69">
        <f>HARIAN!E72</f>
        <v>0</v>
      </c>
      <c r="F62" s="69">
        <f>HARIAN!F72</f>
        <v>0</v>
      </c>
      <c r="G62" s="69">
        <f>HARIAN!G72</f>
        <v>0</v>
      </c>
      <c r="H62" s="69">
        <f>HARIAN!H72</f>
        <v>0</v>
      </c>
      <c r="I62" s="69">
        <f>HARIAN!I72</f>
        <v>0</v>
      </c>
      <c r="J62" s="69">
        <f>HARIAN!J72</f>
        <v>0</v>
      </c>
      <c r="K62" s="69">
        <f>HARIAN!K72</f>
        <v>0</v>
      </c>
      <c r="L62" s="69">
        <f>HARIAN!L72</f>
        <v>0</v>
      </c>
      <c r="M62" s="69">
        <f>HARIAN!M72</f>
        <v>0</v>
      </c>
      <c r="N62" s="69">
        <f>HARIAN!N72</f>
        <v>0</v>
      </c>
      <c r="O62" s="69">
        <f>HARIAN!O72</f>
        <v>0</v>
      </c>
      <c r="P62" s="69">
        <f>HARIAN!P72</f>
        <v>0</v>
      </c>
      <c r="Q62" s="40" t="e">
        <f t="shared" si="2"/>
        <v>#DIV/0!</v>
      </c>
      <c r="R62" s="40" t="e">
        <f t="shared" si="1"/>
        <v>#DIV/0!</v>
      </c>
      <c r="S62" s="40">
        <f>VLOOKUP(C62,Sheet3!$A$19:$G$81,7,FALSE)</f>
        <v>1</v>
      </c>
      <c r="T62" s="10" t="e">
        <f t="shared" si="3"/>
        <v>#DIV/0!</v>
      </c>
      <c r="U62" s="10" t="e">
        <f t="shared" si="4"/>
        <v>#DIV/0!</v>
      </c>
    </row>
    <row r="63" spans="2:21" ht="15.5">
      <c r="B63" s="156"/>
      <c r="C63" s="91" t="s">
        <v>120</v>
      </c>
      <c r="D63" s="69">
        <f>HARIAN!D73+HARIAN!D74</f>
        <v>0</v>
      </c>
      <c r="E63" s="69">
        <f>HARIAN!E73+HARIAN!E74</f>
        <v>0</v>
      </c>
      <c r="F63" s="69">
        <f>HARIAN!F73+HARIAN!F74</f>
        <v>0</v>
      </c>
      <c r="G63" s="69">
        <f>HARIAN!G73+HARIAN!G74</f>
        <v>0</v>
      </c>
      <c r="H63" s="69">
        <f>HARIAN!H73+HARIAN!H74</f>
        <v>0</v>
      </c>
      <c r="I63" s="69">
        <f>HARIAN!I73+HARIAN!I74</f>
        <v>0</v>
      </c>
      <c r="J63" s="69">
        <f>HARIAN!J73+HARIAN!J74</f>
        <v>0</v>
      </c>
      <c r="K63" s="69">
        <f>HARIAN!K73+HARIAN!K74</f>
        <v>0</v>
      </c>
      <c r="L63" s="69">
        <f>HARIAN!L73+HARIAN!L74</f>
        <v>0</v>
      </c>
      <c r="M63" s="69">
        <f>HARIAN!M73+HARIAN!M74</f>
        <v>0</v>
      </c>
      <c r="N63" s="69">
        <f>HARIAN!N73+HARIAN!N74</f>
        <v>0</v>
      </c>
      <c r="O63" s="69">
        <f>HARIAN!O73+HARIAN!O74</f>
        <v>0</v>
      </c>
      <c r="P63" s="69">
        <f>HARIAN!P73+HARIAN!P74</f>
        <v>0</v>
      </c>
      <c r="Q63" s="40" t="e">
        <f t="shared" si="2"/>
        <v>#DIV/0!</v>
      </c>
      <c r="R63" s="40" t="e">
        <f t="shared" si="1"/>
        <v>#DIV/0!</v>
      </c>
      <c r="S63" s="40" t="e">
        <f>VLOOKUP(C63,Sheet3!$A$19:$G$81,7,FALSE)</f>
        <v>#N/A</v>
      </c>
      <c r="T63" s="10" t="e">
        <f t="shared" si="3"/>
        <v>#DIV/0!</v>
      </c>
      <c r="U63" s="10" t="e">
        <f t="shared" si="4"/>
        <v>#DIV/0!</v>
      </c>
    </row>
    <row r="64" spans="2:21" ht="15.5">
      <c r="B64" s="157" t="s">
        <v>55</v>
      </c>
      <c r="C64" s="92" t="s">
        <v>227</v>
      </c>
      <c r="D64" s="71">
        <f>HARIAN!D75+HARIAN!D81</f>
        <v>0</v>
      </c>
      <c r="E64" s="71">
        <f>HARIAN!E75+HARIAN!E81</f>
        <v>0</v>
      </c>
      <c r="F64" s="71">
        <f>HARIAN!F75+HARIAN!F81</f>
        <v>0</v>
      </c>
      <c r="G64" s="71">
        <f>HARIAN!G75+HARIAN!G81</f>
        <v>0</v>
      </c>
      <c r="H64" s="71">
        <f>HARIAN!H75+HARIAN!H81</f>
        <v>0</v>
      </c>
      <c r="I64" s="71">
        <f>HARIAN!I75+HARIAN!I81</f>
        <v>0</v>
      </c>
      <c r="J64" s="71">
        <f>HARIAN!J75+HARIAN!J81</f>
        <v>0</v>
      </c>
      <c r="K64" s="71">
        <f>HARIAN!K75+HARIAN!K81</f>
        <v>0</v>
      </c>
      <c r="L64" s="71">
        <f>HARIAN!L75+HARIAN!L81</f>
        <v>0</v>
      </c>
      <c r="M64" s="71">
        <f>HARIAN!M75+HARIAN!M81</f>
        <v>0</v>
      </c>
      <c r="N64" s="71">
        <f>HARIAN!N75+HARIAN!N81</f>
        <v>0</v>
      </c>
      <c r="O64" s="71">
        <f>HARIAN!O75+HARIAN!O81</f>
        <v>0</v>
      </c>
      <c r="P64" s="71">
        <f>HARIAN!P75+HARIAN!P81</f>
        <v>0</v>
      </c>
      <c r="Q64" s="40" t="e">
        <f t="shared" si="2"/>
        <v>#DIV/0!</v>
      </c>
      <c r="R64" s="40" t="e">
        <f t="shared" si="1"/>
        <v>#DIV/0!</v>
      </c>
      <c r="S64" s="40">
        <f>VLOOKUP(C64,Sheet3!$A$19:$G$81,7,FALSE)</f>
        <v>1</v>
      </c>
      <c r="T64" s="10" t="e">
        <f t="shared" si="3"/>
        <v>#DIV/0!</v>
      </c>
      <c r="U64" s="10" t="e">
        <f t="shared" si="4"/>
        <v>#DIV/0!</v>
      </c>
    </row>
    <row r="65" spans="2:21" ht="15.5">
      <c r="B65" s="157"/>
      <c r="C65" s="92" t="s">
        <v>122</v>
      </c>
      <c r="D65" s="71">
        <f>HARIAN!D76+HARIAN!D79</f>
        <v>0</v>
      </c>
      <c r="E65" s="71">
        <f>HARIAN!E76+HARIAN!E79</f>
        <v>0</v>
      </c>
      <c r="F65" s="71">
        <f>HARIAN!F76+HARIAN!F79</f>
        <v>0</v>
      </c>
      <c r="G65" s="71">
        <f>HARIAN!G76+HARIAN!G79</f>
        <v>0</v>
      </c>
      <c r="H65" s="71">
        <f>HARIAN!H76+HARIAN!H79</f>
        <v>0</v>
      </c>
      <c r="I65" s="71">
        <f>HARIAN!I76+HARIAN!I79</f>
        <v>0</v>
      </c>
      <c r="J65" s="71">
        <f>HARIAN!J76+HARIAN!J79</f>
        <v>0</v>
      </c>
      <c r="K65" s="71">
        <f>HARIAN!K76+HARIAN!K79</f>
        <v>0</v>
      </c>
      <c r="L65" s="71">
        <f>HARIAN!L76+HARIAN!L79</f>
        <v>0</v>
      </c>
      <c r="M65" s="71">
        <f>HARIAN!M76+HARIAN!M79</f>
        <v>0</v>
      </c>
      <c r="N65" s="71">
        <f>HARIAN!N76+HARIAN!N79</f>
        <v>0</v>
      </c>
      <c r="O65" s="71">
        <f>HARIAN!O76+HARIAN!O79</f>
        <v>0</v>
      </c>
      <c r="P65" s="71">
        <f>HARIAN!P76+HARIAN!P79</f>
        <v>0</v>
      </c>
      <c r="Q65" s="40" t="e">
        <f t="shared" si="2"/>
        <v>#DIV/0!</v>
      </c>
      <c r="R65" s="40" t="e">
        <f t="shared" si="1"/>
        <v>#DIV/0!</v>
      </c>
      <c r="S65" s="40">
        <f>VLOOKUP(C65,Sheet3!$A$19:$G$81,7,FALSE)</f>
        <v>1</v>
      </c>
      <c r="T65" s="10" t="e">
        <f t="shared" si="3"/>
        <v>#DIV/0!</v>
      </c>
      <c r="U65" s="10" t="e">
        <f t="shared" si="4"/>
        <v>#DIV/0!</v>
      </c>
    </row>
    <row r="66" spans="2:21" ht="15.5">
      <c r="B66" s="157"/>
      <c r="C66" s="92" t="s">
        <v>637</v>
      </c>
      <c r="D66" s="71">
        <f>HARIAN!D77+HARIAN!D82</f>
        <v>0</v>
      </c>
      <c r="E66" s="71">
        <f>HARIAN!E77+HARIAN!E82</f>
        <v>0</v>
      </c>
      <c r="F66" s="71">
        <f>HARIAN!F77+HARIAN!F82</f>
        <v>0</v>
      </c>
      <c r="G66" s="71">
        <f>HARIAN!G77+HARIAN!G82</f>
        <v>0</v>
      </c>
      <c r="H66" s="71">
        <f>HARIAN!H77+HARIAN!H82</f>
        <v>0</v>
      </c>
      <c r="I66" s="71">
        <f>HARIAN!I77+HARIAN!I82</f>
        <v>0</v>
      </c>
      <c r="J66" s="71">
        <f>HARIAN!J77+HARIAN!J82</f>
        <v>0</v>
      </c>
      <c r="K66" s="71">
        <f>HARIAN!K77+HARIAN!K82</f>
        <v>0</v>
      </c>
      <c r="L66" s="71">
        <f>HARIAN!L77+HARIAN!L82</f>
        <v>0</v>
      </c>
      <c r="M66" s="71">
        <f>HARIAN!M77+HARIAN!M82</f>
        <v>0</v>
      </c>
      <c r="N66" s="71">
        <f>HARIAN!N77+HARIAN!N82</f>
        <v>0</v>
      </c>
      <c r="O66" s="71">
        <f>HARIAN!O77+HARIAN!O82</f>
        <v>0</v>
      </c>
      <c r="P66" s="71">
        <f>HARIAN!P77+HARIAN!P82</f>
        <v>0</v>
      </c>
      <c r="Q66" s="40" t="e">
        <f t="shared" si="2"/>
        <v>#DIV/0!</v>
      </c>
      <c r="R66" s="40" t="e">
        <f t="shared" si="1"/>
        <v>#DIV/0!</v>
      </c>
      <c r="S66" s="40">
        <f>VLOOKUP(C66,Sheet3!$A$19:$G$81,7,FALSE)</f>
        <v>1</v>
      </c>
      <c r="T66" s="10" t="e">
        <f t="shared" si="3"/>
        <v>#DIV/0!</v>
      </c>
      <c r="U66" s="10" t="e">
        <f t="shared" si="4"/>
        <v>#DIV/0!</v>
      </c>
    </row>
    <row r="67" spans="2:21" ht="15.5">
      <c r="B67" s="157"/>
      <c r="C67" s="92" t="s">
        <v>640</v>
      </c>
      <c r="D67" s="71">
        <f>HARIAN!D78+HARIAN!D80</f>
        <v>0</v>
      </c>
      <c r="E67" s="71">
        <f>HARIAN!E78+HARIAN!E80</f>
        <v>0</v>
      </c>
      <c r="F67" s="71">
        <f>HARIAN!F78+HARIAN!F80</f>
        <v>0</v>
      </c>
      <c r="G67" s="71">
        <f>HARIAN!G78+HARIAN!G80</f>
        <v>0</v>
      </c>
      <c r="H67" s="71">
        <f>HARIAN!H78+HARIAN!H80</f>
        <v>0</v>
      </c>
      <c r="I67" s="71">
        <f>HARIAN!I78+HARIAN!I80</f>
        <v>0</v>
      </c>
      <c r="J67" s="71">
        <f>HARIAN!J78+HARIAN!J80</f>
        <v>0</v>
      </c>
      <c r="K67" s="71">
        <f>HARIAN!K78+HARIAN!K80</f>
        <v>0</v>
      </c>
      <c r="L67" s="71">
        <f>HARIAN!L78+HARIAN!L80</f>
        <v>0</v>
      </c>
      <c r="M67" s="71">
        <f>HARIAN!M78+HARIAN!M80</f>
        <v>0</v>
      </c>
      <c r="N67" s="71">
        <f>HARIAN!N78+HARIAN!N80</f>
        <v>0</v>
      </c>
      <c r="O67" s="71">
        <f>HARIAN!O78+HARIAN!O80</f>
        <v>0</v>
      </c>
      <c r="P67" s="71">
        <f>HARIAN!P78+HARIAN!P80</f>
        <v>0</v>
      </c>
      <c r="Q67" s="40" t="e">
        <f t="shared" si="2"/>
        <v>#DIV/0!</v>
      </c>
      <c r="R67" s="40" t="e">
        <f t="shared" si="1"/>
        <v>#DIV/0!</v>
      </c>
      <c r="S67" s="40">
        <f>VLOOKUP(C67,Sheet3!$A$19:$G$81,7,FALSE)</f>
        <v>1</v>
      </c>
      <c r="T67" s="10" t="e">
        <f t="shared" si="3"/>
        <v>#DIV/0!</v>
      </c>
      <c r="U67" s="10" t="e">
        <f t="shared" si="4"/>
        <v>#DIV/0!</v>
      </c>
    </row>
    <row r="68" spans="2:21" ht="15.5">
      <c r="B68" s="149" t="s">
        <v>62</v>
      </c>
      <c r="C68" s="149"/>
      <c r="D68" s="26">
        <f t="shared" ref="D68:P68" si="7">SUM(D32:D67)</f>
        <v>0</v>
      </c>
      <c r="E68" s="26">
        <f t="shared" si="7"/>
        <v>0</v>
      </c>
      <c r="F68" s="26">
        <f t="shared" si="7"/>
        <v>0</v>
      </c>
      <c r="G68" s="26">
        <f t="shared" si="7"/>
        <v>0</v>
      </c>
      <c r="H68" s="26">
        <f t="shared" si="7"/>
        <v>0</v>
      </c>
      <c r="I68" s="26">
        <f t="shared" si="7"/>
        <v>0</v>
      </c>
      <c r="J68" s="26">
        <f t="shared" si="7"/>
        <v>0</v>
      </c>
      <c r="K68" s="26">
        <f t="shared" si="7"/>
        <v>0</v>
      </c>
      <c r="L68" s="26">
        <f t="shared" si="7"/>
        <v>0</v>
      </c>
      <c r="M68" s="26">
        <f t="shared" si="7"/>
        <v>0</v>
      </c>
      <c r="N68" s="26">
        <f t="shared" si="7"/>
        <v>0</v>
      </c>
      <c r="O68" s="26">
        <f t="shared" si="7"/>
        <v>0</v>
      </c>
      <c r="P68" s="26">
        <f t="shared" si="7"/>
        <v>0</v>
      </c>
      <c r="Q68" s="41">
        <f>Q14</f>
        <v>0.2638888888888889</v>
      </c>
      <c r="R68" s="41">
        <f>R14</f>
        <v>0.48717948717948717</v>
      </c>
      <c r="S68" s="41">
        <f>S14</f>
        <v>1</v>
      </c>
    </row>
  </sheetData>
  <mergeCells count="44"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</mergeCells>
  <conditionalFormatting sqref="Q9:Q13">
    <cfRule type="cellIs" dxfId="9" priority="1" operator="lessThan">
      <formula>0.8</formula>
    </cfRule>
    <cfRule type="cellIs" dxfId="8" priority="2" operator="greaterThanOrEqual">
      <formula>0.8</formula>
    </cfRule>
  </conditionalFormatting>
  <conditionalFormatting sqref="Q32:Q67">
    <cfRule type="cellIs" dxfId="7" priority="19" operator="lessThan">
      <formula>0.8</formula>
    </cfRule>
    <cfRule type="cellIs" dxfId="6" priority="20" operator="greaterThanOrEqual">
      <formula>0.8</formula>
    </cfRule>
  </conditionalFormatting>
  <conditionalFormatting sqref="R9:S13 R32:S67">
    <cfRule type="cellIs" dxfId="5" priority="17" operator="lessThan">
      <formula>0.92</formula>
    </cfRule>
    <cfRule type="cellIs" dxfId="4" priority="18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C1:N13"/>
  <sheetViews>
    <sheetView zoomScale="85" zoomScaleNormal="85" workbookViewId="0">
      <selection activeCell="C2" sqref="C2:N2"/>
    </sheetView>
  </sheetViews>
  <sheetFormatPr defaultRowHeight="14.5"/>
  <cols>
    <col min="2" max="2" width="12.81640625" bestFit="1" customWidth="1"/>
    <col min="3" max="3" width="19.26953125" bestFit="1" customWidth="1"/>
    <col min="4" max="4" width="19.26953125" customWidth="1"/>
    <col min="7" max="7" width="11.54296875" customWidth="1"/>
    <col min="9" max="9" width="10" customWidth="1"/>
    <col min="10" max="10" width="9.81640625" customWidth="1"/>
    <col min="12" max="12" width="14.453125" customWidth="1"/>
    <col min="13" max="13" width="14.54296875" customWidth="1"/>
    <col min="14" max="14" width="15.7265625" customWidth="1"/>
  </cols>
  <sheetData>
    <row r="1" spans="3:14">
      <c r="C1" s="190" t="s">
        <v>809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</row>
    <row r="2" spans="3:14">
      <c r="C2" s="139" t="str">
        <f ca="1">LAPORAN!C2</f>
        <v xml:space="preserve">PERIODE ORDER &amp; PS : 2026-10-01 to  2026-10-01 </v>
      </c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</row>
    <row r="3" spans="3:14">
      <c r="C3" s="139" t="str">
        <f>LAPORAN!C3</f>
        <v>Last update proses : 02-10-2026 13:34:05 WIB (Source: ETL XPRO)</v>
      </c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</row>
    <row r="5" spans="3:14" ht="46.5">
      <c r="C5" s="74" t="s">
        <v>1</v>
      </c>
      <c r="D5" s="74" t="s">
        <v>818</v>
      </c>
      <c r="E5" s="37" t="s">
        <v>8</v>
      </c>
      <c r="F5" s="37" t="s">
        <v>9</v>
      </c>
      <c r="G5" s="37" t="s">
        <v>2</v>
      </c>
      <c r="H5" s="37" t="s">
        <v>18</v>
      </c>
      <c r="I5" s="37" t="s">
        <v>21</v>
      </c>
      <c r="J5" s="37" t="s">
        <v>808</v>
      </c>
      <c r="K5" s="75" t="s">
        <v>218</v>
      </c>
      <c r="L5" s="72" t="s">
        <v>130</v>
      </c>
      <c r="M5" s="72" t="s">
        <v>806</v>
      </c>
      <c r="N5" s="72" t="s">
        <v>807</v>
      </c>
    </row>
    <row r="6" spans="3:14" ht="15.5">
      <c r="C6" s="76" t="str">
        <f>[1]LAPORAN!C9</f>
        <v>BALI</v>
      </c>
      <c r="D6" s="4">
        <f>LAPORAN!D9</f>
        <v>6</v>
      </c>
      <c r="E6" s="94">
        <f>LAPORAN!J9</f>
        <v>1</v>
      </c>
      <c r="F6" s="94">
        <f>LAPORAN!K9</f>
        <v>0</v>
      </c>
      <c r="G6" s="94">
        <f>LAPORAN!L9</f>
        <v>1</v>
      </c>
      <c r="H6" s="94">
        <f>LAPORAN!M9</f>
        <v>1</v>
      </c>
      <c r="I6" s="94">
        <f>LAPORAN!N9</f>
        <v>0</v>
      </c>
      <c r="J6" s="94">
        <f>LAPORAN!O9</f>
        <v>2</v>
      </c>
      <c r="K6" s="94">
        <f>LAPORAN!P9</f>
        <v>1</v>
      </c>
      <c r="L6" s="40">
        <f>LAPORAN!Q9</f>
        <v>0.16666666666666666</v>
      </c>
      <c r="M6" s="40">
        <f>LAPORAN!R9</f>
        <v>0.25</v>
      </c>
      <c r="N6" s="40">
        <f>LAPORAN!S9</f>
        <v>1</v>
      </c>
    </row>
    <row r="7" spans="3:14" ht="15.5">
      <c r="C7" s="76" t="str">
        <f>[1]LAPORAN!C10</f>
        <v>JATIM BARAT</v>
      </c>
      <c r="D7" s="4">
        <f>LAPORAN!D10</f>
        <v>18</v>
      </c>
      <c r="E7" s="94">
        <f>LAPORAN!J10</f>
        <v>6</v>
      </c>
      <c r="F7" s="94">
        <f>LAPORAN!K10</f>
        <v>0</v>
      </c>
      <c r="G7" s="94">
        <f>LAPORAN!L10</f>
        <v>2</v>
      </c>
      <c r="H7" s="94">
        <f>LAPORAN!M10</f>
        <v>0</v>
      </c>
      <c r="I7" s="94">
        <f>LAPORAN!N10</f>
        <v>0</v>
      </c>
      <c r="J7" s="94">
        <f>LAPORAN!O10</f>
        <v>1</v>
      </c>
      <c r="K7" s="94">
        <f>LAPORAN!P10</f>
        <v>7</v>
      </c>
      <c r="L7" s="40">
        <f>LAPORAN!Q10</f>
        <v>0.3888888888888889</v>
      </c>
      <c r="M7" s="40">
        <f>LAPORAN!R10</f>
        <v>0.875</v>
      </c>
      <c r="N7" s="40">
        <f>LAPORAN!S10</f>
        <v>1</v>
      </c>
    </row>
    <row r="8" spans="3:14" ht="15.5">
      <c r="C8" s="76" t="str">
        <f>[1]LAPORAN!C11</f>
        <v>JATIM TIMUR</v>
      </c>
      <c r="D8" s="4">
        <f>LAPORAN!D11</f>
        <v>13</v>
      </c>
      <c r="E8" s="94">
        <f>LAPORAN!J11</f>
        <v>1</v>
      </c>
      <c r="F8" s="94">
        <f>LAPORAN!K11</f>
        <v>0</v>
      </c>
      <c r="G8" s="94">
        <f>LAPORAN!L11</f>
        <v>1</v>
      </c>
      <c r="H8" s="94">
        <f>LAPORAN!M11</f>
        <v>2</v>
      </c>
      <c r="I8" s="94">
        <f>LAPORAN!N11</f>
        <v>0</v>
      </c>
      <c r="J8" s="94">
        <f>LAPORAN!O11</f>
        <v>4</v>
      </c>
      <c r="K8" s="94">
        <f>LAPORAN!P11</f>
        <v>4</v>
      </c>
      <c r="L8" s="40">
        <f>LAPORAN!Q11</f>
        <v>0.30769230769230771</v>
      </c>
      <c r="M8" s="40">
        <f>LAPORAN!R11</f>
        <v>0.4</v>
      </c>
      <c r="N8" s="40">
        <f>LAPORAN!S11</f>
        <v>1</v>
      </c>
    </row>
    <row r="9" spans="3:14" ht="15.5">
      <c r="C9" s="76" t="str">
        <f>[1]LAPORAN!C12</f>
        <v>NUSA TENGGARA</v>
      </c>
      <c r="D9" s="4">
        <f>LAPORAN!D12</f>
        <v>16</v>
      </c>
      <c r="E9" s="94">
        <f>LAPORAN!J12</f>
        <v>3</v>
      </c>
      <c r="F9" s="94">
        <f>LAPORAN!K12</f>
        <v>1</v>
      </c>
      <c r="G9" s="94">
        <f>LAPORAN!L12</f>
        <v>2</v>
      </c>
      <c r="H9" s="94">
        <f>LAPORAN!M12</f>
        <v>4</v>
      </c>
      <c r="I9" s="94">
        <f>LAPORAN!N12</f>
        <v>0</v>
      </c>
      <c r="J9" s="94">
        <f>LAPORAN!O12</f>
        <v>4</v>
      </c>
      <c r="K9" s="94">
        <f>LAPORAN!P12</f>
        <v>1</v>
      </c>
      <c r="L9" s="40">
        <f>LAPORAN!Q12</f>
        <v>6.6666666666666666E-2</v>
      </c>
      <c r="M9" s="40">
        <f>LAPORAN!R12</f>
        <v>0.1111111111111111</v>
      </c>
      <c r="N9" s="40">
        <f>LAPORAN!S12</f>
        <v>1</v>
      </c>
    </row>
    <row r="10" spans="3:14" ht="15.5">
      <c r="C10" s="76" t="str">
        <f>[1]LAPORAN!C13</f>
        <v>SURAMADU</v>
      </c>
      <c r="D10" s="4">
        <f>LAPORAN!D13</f>
        <v>21</v>
      </c>
      <c r="E10" s="94">
        <f>LAPORAN!J13</f>
        <v>10</v>
      </c>
      <c r="F10" s="94">
        <f>LAPORAN!K13</f>
        <v>0</v>
      </c>
      <c r="G10" s="94">
        <f>LAPORAN!L13</f>
        <v>1</v>
      </c>
      <c r="H10" s="94">
        <f>LAPORAN!M13</f>
        <v>0</v>
      </c>
      <c r="I10" s="94">
        <f>LAPORAN!N13</f>
        <v>1</v>
      </c>
      <c r="J10" s="94">
        <f>LAPORAN!O13</f>
        <v>1</v>
      </c>
      <c r="K10" s="94">
        <f>LAPORAN!P13</f>
        <v>6</v>
      </c>
      <c r="L10" s="40">
        <f>LAPORAN!Q13</f>
        <v>0.3</v>
      </c>
      <c r="M10" s="40">
        <f>LAPORAN!R13</f>
        <v>0.75</v>
      </c>
      <c r="N10" s="40">
        <f>LAPORAN!S13</f>
        <v>1</v>
      </c>
    </row>
    <row r="11" spans="3:14" ht="15.5">
      <c r="C11" s="95" t="str">
        <f>[1]LAPORAN!C14</f>
        <v>TOTAL</v>
      </c>
      <c r="D11" s="98">
        <f>LAPORAN!D14</f>
        <v>74</v>
      </c>
      <c r="E11" s="96">
        <f>LAPORAN!J14</f>
        <v>21</v>
      </c>
      <c r="F11" s="96">
        <f>LAPORAN!K14</f>
        <v>1</v>
      </c>
      <c r="G11" s="96">
        <f>LAPORAN!L14</f>
        <v>7</v>
      </c>
      <c r="H11" s="96">
        <f>LAPORAN!M14</f>
        <v>7</v>
      </c>
      <c r="I11" s="96">
        <f>LAPORAN!N14</f>
        <v>1</v>
      </c>
      <c r="J11" s="96">
        <f>LAPORAN!O14</f>
        <v>12</v>
      </c>
      <c r="K11" s="96">
        <f>LAPORAN!P14</f>
        <v>19</v>
      </c>
      <c r="L11" s="97">
        <f>LAPORAN!Q14</f>
        <v>0.2638888888888889</v>
      </c>
      <c r="M11" s="97">
        <f>LAPORAN!R14</f>
        <v>0.48717948717948717</v>
      </c>
      <c r="N11" s="97">
        <f>LAPORAN!S14</f>
        <v>1</v>
      </c>
    </row>
    <row r="13" spans="3:14">
      <c r="H13" s="61"/>
    </row>
  </sheetData>
  <mergeCells count="3">
    <mergeCell ref="C1:N1"/>
    <mergeCell ref="C2:N2"/>
    <mergeCell ref="C3:N3"/>
  </mergeCells>
  <conditionalFormatting sqref="L6:L10">
    <cfRule type="cellIs" dxfId="3" priority="3" operator="lessThan">
      <formula>0.8</formula>
    </cfRule>
    <cfRule type="cellIs" dxfId="2" priority="4" operator="greaterThanOrEqual">
      <formula>0.8</formula>
    </cfRule>
  </conditionalFormatting>
  <conditionalFormatting sqref="M6:N10">
    <cfRule type="cellIs" dxfId="1" priority="7" operator="lessThan">
      <formula>0.94</formula>
    </cfRule>
    <cfRule type="cellIs" dxfId="0" priority="8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4"/>
  <sheetViews>
    <sheetView showGridLines="0" topLeftCell="A29" zoomScale="60" zoomScaleNormal="60" workbookViewId="0">
      <selection activeCell="O45" sqref="O45"/>
    </sheetView>
  </sheetViews>
  <sheetFormatPr defaultColWidth="9" defaultRowHeight="14.5"/>
  <cols>
    <col min="2" max="2" width="15.54296875" customWidth="1"/>
    <col min="3" max="3" width="30.54296875" customWidth="1"/>
    <col min="13" max="13" width="9.45312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60" t="s">
        <v>1</v>
      </c>
      <c r="D3" s="158" t="s">
        <v>2</v>
      </c>
      <c r="E3" s="158" t="s">
        <v>3</v>
      </c>
      <c r="F3" s="158" t="s">
        <v>4</v>
      </c>
      <c r="G3" s="158" t="s">
        <v>5</v>
      </c>
      <c r="H3" s="158" t="s">
        <v>6</v>
      </c>
      <c r="I3" s="158" t="s">
        <v>7</v>
      </c>
      <c r="J3" s="158" t="s">
        <v>8</v>
      </c>
      <c r="K3" s="158" t="s">
        <v>9</v>
      </c>
      <c r="L3" s="158" t="s">
        <v>10</v>
      </c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 t="s">
        <v>11</v>
      </c>
      <c r="AA3" s="158" t="s">
        <v>12</v>
      </c>
      <c r="AB3" s="158"/>
      <c r="AC3" s="158"/>
      <c r="AD3" s="158"/>
      <c r="AE3" s="158" t="s">
        <v>13</v>
      </c>
      <c r="AF3" s="158" t="s">
        <v>14</v>
      </c>
      <c r="AG3" s="158" t="s">
        <v>15</v>
      </c>
      <c r="AH3" s="158" t="s">
        <v>16</v>
      </c>
      <c r="AI3" s="158" t="s">
        <v>17</v>
      </c>
    </row>
    <row r="4" spans="2:35">
      <c r="C4" s="160"/>
      <c r="D4" s="158"/>
      <c r="E4" s="158"/>
      <c r="F4" s="158"/>
      <c r="G4" s="158"/>
      <c r="H4" s="158"/>
      <c r="I4" s="158"/>
      <c r="J4" s="158"/>
      <c r="K4" s="158"/>
      <c r="L4" s="158" t="s">
        <v>2</v>
      </c>
      <c r="M4" s="158" t="s">
        <v>18</v>
      </c>
      <c r="N4" s="158"/>
      <c r="O4" s="158"/>
      <c r="P4" s="158" t="s">
        <v>19</v>
      </c>
      <c r="Q4" s="158" t="s">
        <v>20</v>
      </c>
      <c r="R4" s="158"/>
      <c r="S4" s="158"/>
      <c r="T4" s="158"/>
      <c r="U4" s="158"/>
      <c r="V4" s="158"/>
      <c r="W4" s="158"/>
      <c r="X4" s="158" t="s">
        <v>21</v>
      </c>
      <c r="Y4" s="158" t="s">
        <v>22</v>
      </c>
      <c r="Z4" s="158"/>
      <c r="AA4" s="158"/>
      <c r="AB4" s="158"/>
      <c r="AC4" s="158"/>
      <c r="AD4" s="158"/>
      <c r="AE4" s="158"/>
      <c r="AF4" s="158"/>
      <c r="AG4" s="158"/>
      <c r="AH4" s="158"/>
      <c r="AI4" s="158"/>
    </row>
    <row r="5" spans="2:35" ht="15.65" customHeight="1">
      <c r="C5" s="160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 t="s">
        <v>23</v>
      </c>
      <c r="R5" s="158"/>
      <c r="S5" s="158"/>
      <c r="T5" s="158"/>
      <c r="U5" s="158" t="s">
        <v>24</v>
      </c>
      <c r="V5" s="158" t="s">
        <v>25</v>
      </c>
      <c r="W5" s="158" t="s">
        <v>26</v>
      </c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8"/>
      <c r="AI5" s="158"/>
    </row>
    <row r="6" spans="2:35" ht="29">
      <c r="C6" s="160"/>
      <c r="D6" s="158"/>
      <c r="E6" s="158"/>
      <c r="F6" s="158"/>
      <c r="G6" s="158"/>
      <c r="H6" s="158"/>
      <c r="I6" s="158"/>
      <c r="J6" s="158"/>
      <c r="K6" s="158"/>
      <c r="L6" s="13"/>
      <c r="M6" s="13" t="s">
        <v>27</v>
      </c>
      <c r="N6" s="13" t="s">
        <v>28</v>
      </c>
      <c r="O6" s="13" t="s">
        <v>29</v>
      </c>
      <c r="P6" s="158"/>
      <c r="Q6" s="13" t="s">
        <v>30</v>
      </c>
      <c r="R6" s="13" t="s">
        <v>31</v>
      </c>
      <c r="S6" s="13" t="s">
        <v>32</v>
      </c>
      <c r="T6" s="13" t="s">
        <v>33</v>
      </c>
      <c r="U6" s="158"/>
      <c r="V6" s="158"/>
      <c r="W6" s="158"/>
      <c r="X6" s="158"/>
      <c r="Y6" s="158"/>
      <c r="Z6" s="158"/>
      <c r="AA6" s="13" t="s">
        <v>30</v>
      </c>
      <c r="AB6" s="13" t="s">
        <v>31</v>
      </c>
      <c r="AC6" s="13" t="s">
        <v>32</v>
      </c>
      <c r="AD6" s="13" t="s">
        <v>33</v>
      </c>
      <c r="AE6" s="158"/>
      <c r="AF6" s="158"/>
      <c r="AG6" s="158"/>
      <c r="AH6" s="158"/>
      <c r="AI6" s="158"/>
    </row>
    <row r="7" spans="2:35" ht="14.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0</v>
      </c>
      <c r="F7">
        <f>IFERROR(VLOOKUP(C7,'COPY DATA XPRO'!$C$7:$AI$58,4,FALSE),0)</f>
        <v>0</v>
      </c>
      <c r="G7">
        <f>IFERROR(VLOOKUP(C7,'COPY DATA XPRO'!$C$7:$AI$58,5,FALSE),0)</f>
        <v>0</v>
      </c>
      <c r="H7">
        <f>IFERROR(VLOOKUP(C7,'COPY DATA XPRO'!$C$7:$AI$58,6,FALSE),0)</f>
        <v>0</v>
      </c>
      <c r="I7">
        <f>IFERROR(VLOOKUP(C7,'COPY DATA XPRO'!$C$7:$AI$58,7,FALSE),0)</f>
        <v>0</v>
      </c>
      <c r="J7">
        <f>IFERROR(VLOOKUP(C7,'COPY DATA XPRO'!$C$7:$AI$58,8,FALSE),0)</f>
        <v>0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0</v>
      </c>
      <c r="N7">
        <f>IFERROR(VLOOKUP(C7,'COPY DATA XPRO'!$C$7:$AI$58,12,FALSE),0)</f>
        <v>0</v>
      </c>
      <c r="O7">
        <f>IFERROR(VLOOKUP(C7,'COPY DATA XPRO'!$C$7:$AI$58,13,FALSE),0)</f>
        <v>0</v>
      </c>
      <c r="P7">
        <f>IFERROR(VLOOKUP(C7,'COPY DATA XPRO'!$C$7:$AI$58,14,FALSE),0)</f>
        <v>0</v>
      </c>
      <c r="Q7">
        <f>IFERROR(VLOOKUP(C7,'COPY DATA XPRO'!$C$7:$AI$58,15,FALSE),0)</f>
        <v>0</v>
      </c>
      <c r="R7">
        <f>IFERROR(VLOOKUP(C7,'COPY DATA XPRO'!$C$7:$AI$58,16,FALSE),0)</f>
        <v>0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0</v>
      </c>
      <c r="Y7">
        <f>IFERROR(VLOOKUP(C7,'COPY DATA XPRO'!$C$7:$AI$58,23,FALSE),0)</f>
        <v>0</v>
      </c>
      <c r="Z7">
        <f>IFERROR(VLOOKUP(C7,'COPY DATA XPRO'!$C$7:$AI$58,24,FALSE),0)</f>
        <v>0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0</v>
      </c>
      <c r="AG7">
        <f>IFERROR(VLOOKUP(C7,'COPY DATA XPRO'!$C$7:$AI$58,31,FALSE),0)</f>
        <v>0</v>
      </c>
      <c r="AH7">
        <f>IFERROR(VLOOKUP(C7,'COPY DATA XPRO'!$C$7:$AI$58,32,FALSE),0)</f>
        <v>0</v>
      </c>
      <c r="AI7">
        <f>IFERROR(VLOOKUP(C7,'COPY DATA XPRO'!$C$7:$AI$58,33,FALSE),0)</f>
        <v>0</v>
      </c>
    </row>
    <row r="8" spans="2:35">
      <c r="C8" t="s">
        <v>80</v>
      </c>
      <c r="D8">
        <f>IFERROR(VLOOKUP(C8,'COPY DATA XPRO'!$C$7:$AI$58, 2, FALSE), 0)</f>
        <v>0</v>
      </c>
      <c r="E8">
        <f>IFERROR(VLOOKUP(C8,'COPY DATA XPRO'!$C$7:$AI$58,3,FALSE),0)</f>
        <v>0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0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0</v>
      </c>
      <c r="AH8">
        <f>IFERROR(VLOOKUP(C8,'COPY DATA XPRO'!$C$7:$AI$58,32,FALSE),0)</f>
        <v>0</v>
      </c>
      <c r="AI8">
        <f>IFERROR(VLOOKUP(C8,'COPY DATA XPRO'!$C$7:$AI$58,33,FALSE),0)</f>
        <v>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0</v>
      </c>
      <c r="F9">
        <f>IFERROR(VLOOKUP(C9,'COPY DATA XPRO'!$C$7:$AI$58,4,FALSE),0)</f>
        <v>0</v>
      </c>
      <c r="G9">
        <f>IFERROR(VLOOKUP(C9,'COPY DATA XPRO'!$C$7:$AI$58,5,FALSE),0)</f>
        <v>0</v>
      </c>
      <c r="H9">
        <f>IFERROR(VLOOKUP(C9,'COPY DATA XPRO'!$C$7:$AI$58,6,FALSE),0)</f>
        <v>0</v>
      </c>
      <c r="I9">
        <f>IFERROR(VLOOKUP(C9,'COPY DATA XPRO'!$C$7:$AI$58,7,FALSE),0)</f>
        <v>0</v>
      </c>
      <c r="J9">
        <f>IFERROR(VLOOKUP(C9,'COPY DATA XPRO'!$C$7:$AI$58,8,FALSE),0)</f>
        <v>0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0</v>
      </c>
      <c r="N9">
        <f>IFERROR(VLOOKUP(C9,'COPY DATA XPRO'!$C$7:$AI$58,12,FALSE),0)</f>
        <v>0</v>
      </c>
      <c r="O9">
        <f>IFERROR(VLOOKUP(C9,'COPY DATA XPRO'!$C$7:$AI$58,13,FALSE),0)</f>
        <v>0</v>
      </c>
      <c r="P9">
        <f>IFERROR(VLOOKUP(C9,'COPY DATA XPRO'!$C$7:$AI$58,14,FALSE),0)</f>
        <v>0</v>
      </c>
      <c r="Q9">
        <f>IFERROR(VLOOKUP(C9,'COPY DATA XPRO'!$C$7:$AI$58,15,FALSE),0)</f>
        <v>0</v>
      </c>
      <c r="R9">
        <f>IFERROR(VLOOKUP(C9,'COPY DATA XPRO'!$C$7:$AI$58,16,FALSE),0)</f>
        <v>0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0</v>
      </c>
      <c r="Y9">
        <f>IFERROR(VLOOKUP(C9,'COPY DATA XPRO'!$C$7:$AI$58,23,FALSE),0)</f>
        <v>0</v>
      </c>
      <c r="Z9">
        <f>IFERROR(VLOOKUP(C9,'COPY DATA XPRO'!$C$7:$AI$58,24,FALSE),0)</f>
        <v>0</v>
      </c>
      <c r="AA9">
        <f>IFERROR(VLOOKUP(C9,'COPY DATA XPRO'!$C$7:$AI$58,25,FALSE),0)</f>
        <v>0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0</v>
      </c>
      <c r="AF9">
        <f>IFERROR(VLOOKUP(C9,'COPY DATA XPRO'!$C$7:$AI$58,30,FALSE),0)</f>
        <v>0</v>
      </c>
      <c r="AG9">
        <f>IFERROR(VLOOKUP(C9,'COPY DATA XPRO'!$C$7:$AI$58,31,FALSE),0)</f>
        <v>0</v>
      </c>
      <c r="AH9">
        <f>IFERROR(VLOOKUP(C9,'COPY DATA XPRO'!$C$7:$AI$58,32,FALSE),0)</f>
        <v>0</v>
      </c>
      <c r="AI9">
        <f>IFERROR(VLOOKUP(C9,'COPY DATA XPRO'!$C$7:$AI$58,33,FALSE),0)</f>
        <v>0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0</v>
      </c>
      <c r="F10">
        <f>IFERROR(VLOOKUP(C10,'COPY DATA XPRO'!$C$7:$AI$58,4,FALSE),0)</f>
        <v>0</v>
      </c>
      <c r="G10">
        <f>IFERROR(VLOOKUP(C10,'COPY DATA XPRO'!$C$7:$AI$58,5,FALSE),0)</f>
        <v>0</v>
      </c>
      <c r="H10">
        <f>IFERROR(VLOOKUP(C10,'COPY DATA XPRO'!$C$7:$AI$58,6,FALSE),0)</f>
        <v>0</v>
      </c>
      <c r="I10">
        <f>IFERROR(VLOOKUP(C10,'COPY DATA XPRO'!$C$7:$AI$58,7,FALSE),0)</f>
        <v>0</v>
      </c>
      <c r="J10">
        <f>IFERROR(VLOOKUP(C10,'COPY DATA XPRO'!$C$7:$AI$58,8,FALSE),0)</f>
        <v>0</v>
      </c>
      <c r="K10">
        <f>IFERROR(VLOOKUP(C10,'COPY DATA XPRO'!$C$7:$AI$58,9,FALSE),0)</f>
        <v>0</v>
      </c>
      <c r="L10">
        <f>IFERROR(VLOOKUP(C10,'COPY DATA XPRO'!$C$7:$AI$58,10,FALSE),0)</f>
        <v>0</v>
      </c>
      <c r="M10">
        <f>IFERROR(VLOOKUP(C10,'COPY DATA XPRO'!$C$7:$AI$58,11,FALSE),0)</f>
        <v>0</v>
      </c>
      <c r="N10">
        <f>IFERROR(VLOOKUP(C10,'COPY DATA XPRO'!$C$7:$AI$58,12,FALSE),0)</f>
        <v>0</v>
      </c>
      <c r="O10">
        <f>IFERROR(VLOOKUP(C10,'COPY DATA XPRO'!$C$7:$AI$58,13,FALSE),0)</f>
        <v>0</v>
      </c>
      <c r="P10">
        <f>IFERROR(VLOOKUP(C10,'COPY DATA XPRO'!$C$7:$AI$58,14,FALSE),0)</f>
        <v>0</v>
      </c>
      <c r="Q10">
        <f>IFERROR(VLOOKUP(C10,'COPY DATA XPRO'!$C$7:$AI$58,15,FALSE),0)</f>
        <v>0</v>
      </c>
      <c r="R10">
        <f>IFERROR(VLOOKUP(C10,'COPY DATA XPRO'!$C$7:$AI$58,16,FALSE),0)</f>
        <v>0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0</v>
      </c>
      <c r="Y10">
        <f>IFERROR(VLOOKUP(C10,'COPY DATA XPRO'!$C$7:$AI$58,23,FALSE),0)</f>
        <v>0</v>
      </c>
      <c r="Z10">
        <f>IFERROR(VLOOKUP(C10,'COPY DATA XPRO'!$C$7:$AI$58,24,FALSE),0)</f>
        <v>0</v>
      </c>
      <c r="AA10">
        <f>IFERROR(VLOOKUP(C10,'COPY DATA XPRO'!$C$7:$AI$58,25,FALSE),0)</f>
        <v>0</v>
      </c>
      <c r="AB10">
        <f>IFERROR(VLOOKUP(C10,'COPY DATA XPRO'!$C$7:$AI$58,26,FALSE),0)</f>
        <v>0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0</v>
      </c>
      <c r="AF10">
        <f>IFERROR(VLOOKUP(C10,'COPY DATA XPRO'!$C$7:$AI$58,30,FALSE),0)</f>
        <v>0</v>
      </c>
      <c r="AG10">
        <f>IFERROR(VLOOKUP(C10,'COPY DATA XPRO'!$C$7:$AI$58,31,FALSE),0)</f>
        <v>0</v>
      </c>
      <c r="AH10">
        <f>IFERROR(VLOOKUP(C10,'COPY DATA XPRO'!$C$7:$AI$58,32,FALSE),0)</f>
        <v>0</v>
      </c>
      <c r="AI10">
        <f>IFERROR(VLOOKUP(C10,'COPY DATA XPRO'!$C$7:$AI$58,33,FALSE),0)</f>
        <v>0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0</v>
      </c>
      <c r="F11">
        <f>IFERROR(VLOOKUP(C11,'COPY DATA XPRO'!$C$7:$AI$58,4,FALSE),0)</f>
        <v>0</v>
      </c>
      <c r="G11">
        <f>IFERROR(VLOOKUP(C11,'COPY DATA XPRO'!$C$7:$AI$58,5,FALSE),0)</f>
        <v>0</v>
      </c>
      <c r="H11">
        <f>IFERROR(VLOOKUP(C11,'COPY DATA XPRO'!$C$7:$AI$58,6,FALSE),0)</f>
        <v>0</v>
      </c>
      <c r="I11">
        <f>IFERROR(VLOOKUP(C11,'COPY DATA XPRO'!$C$7:$AI$58,7,FALSE),0)</f>
        <v>0</v>
      </c>
      <c r="J11">
        <f>IFERROR(VLOOKUP(C11,'COPY DATA XPRO'!$C$7:$AI$58,8,FALSE),0)</f>
        <v>0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0</v>
      </c>
      <c r="N11">
        <f>IFERROR(VLOOKUP(C11,'COPY DATA XPRO'!$C$7:$AI$58,12,FALSE),0)</f>
        <v>0</v>
      </c>
      <c r="O11">
        <f>IFERROR(VLOOKUP(C11,'COPY DATA XPRO'!$C$7:$AI$58,13,FALSE),0)</f>
        <v>0</v>
      </c>
      <c r="P11">
        <f>IFERROR(VLOOKUP(C11,'COPY DATA XPRO'!$C$7:$AI$58,14,FALSE),0)</f>
        <v>0</v>
      </c>
      <c r="Q11">
        <f>IFERROR(VLOOKUP(C11,'COPY DATA XPRO'!$C$7:$AI$58,15,FALSE),0)</f>
        <v>0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0</v>
      </c>
      <c r="Y11">
        <f>IFERROR(VLOOKUP(C11,'COPY DATA XPRO'!$C$7:$AI$58,23,FALSE),0)</f>
        <v>0</v>
      </c>
      <c r="Z11">
        <f>IFERROR(VLOOKUP(C11,'COPY DATA XPRO'!$C$7:$AI$58,24,FALSE),0)</f>
        <v>0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0</v>
      </c>
      <c r="AG11">
        <f>IFERROR(VLOOKUP(C11,'COPY DATA XPRO'!$C$7:$AI$58,31,FALSE),0)</f>
        <v>0</v>
      </c>
      <c r="AH11">
        <f>IFERROR(VLOOKUP(C11,'COPY DATA XPRO'!$C$7:$AI$58,32,FALSE),0)</f>
        <v>0</v>
      </c>
      <c r="AI11">
        <f>IFERROR(VLOOKUP(C11,'COPY DATA XPRO'!$C$7:$AI$58,33,FALSE),0)</f>
        <v>0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0</v>
      </c>
      <c r="F12">
        <f>IFERROR(VLOOKUP(C12,'COPY DATA XPRO'!$C$7:$AI$58,4,FALSE),0)</f>
        <v>0</v>
      </c>
      <c r="G12">
        <f>IFERROR(VLOOKUP(C12,'COPY DATA XPRO'!$C$7:$AI$58,5,FALSE),0)</f>
        <v>0</v>
      </c>
      <c r="H12">
        <f>IFERROR(VLOOKUP(C12,'COPY DATA XPRO'!$C$7:$AI$58,6,FALSE),0)</f>
        <v>0</v>
      </c>
      <c r="I12">
        <f>IFERROR(VLOOKUP(C12,'COPY DATA XPRO'!$C$7:$AI$58,7,FALSE),0)</f>
        <v>0</v>
      </c>
      <c r="J12">
        <f>IFERROR(VLOOKUP(C12,'COPY DATA XPRO'!$C$7:$AI$58,8,FALSE),0)</f>
        <v>0</v>
      </c>
      <c r="K12">
        <f>IFERROR(VLOOKUP(C12,'COPY DATA XPRO'!$C$7:$AI$58,9,FALSE),0)</f>
        <v>0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0</v>
      </c>
      <c r="O12">
        <f>IFERROR(VLOOKUP(C12,'COPY DATA XPRO'!$C$7:$AI$58,13,FALSE),0)</f>
        <v>0</v>
      </c>
      <c r="P12">
        <f>IFERROR(VLOOKUP(C12,'COPY DATA XPRO'!$C$7:$AI$58,14,FALSE),0)</f>
        <v>0</v>
      </c>
      <c r="Q12">
        <f>IFERROR(VLOOKUP(C12,'COPY DATA XPRO'!$C$7:$AI$58,15,FALSE),0)</f>
        <v>0</v>
      </c>
      <c r="R12">
        <f>IFERROR(VLOOKUP(C12,'COPY DATA XPRO'!$C$7:$AI$58,16,FALSE),0)</f>
        <v>0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0</v>
      </c>
      <c r="Y12">
        <f>IFERROR(VLOOKUP(C12,'COPY DATA XPRO'!$C$7:$AI$58,23,FALSE),0)</f>
        <v>0</v>
      </c>
      <c r="Z12">
        <f>IFERROR(VLOOKUP(C12,'COPY DATA XPRO'!$C$7:$AI$58,24,FALSE),0)</f>
        <v>0</v>
      </c>
      <c r="AA12">
        <f>IFERROR(VLOOKUP(C12,'COPY DATA XPRO'!$C$7:$AI$58,25,FALSE),0)</f>
        <v>0</v>
      </c>
      <c r="AB12">
        <f>IFERROR(VLOOKUP(C12,'COPY DATA XPRO'!$C$7:$AI$58,26,FALSE),0)</f>
        <v>0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0</v>
      </c>
      <c r="AF12">
        <f>IFERROR(VLOOKUP(C12,'COPY DATA XPRO'!$C$7:$AI$58,30,FALSE),0)</f>
        <v>0</v>
      </c>
      <c r="AG12">
        <f>IFERROR(VLOOKUP(C12,'COPY DATA XPRO'!$C$7:$AI$58,31,FALSE),0)</f>
        <v>0</v>
      </c>
      <c r="AH12">
        <f>IFERROR(VLOOKUP(C12,'COPY DATA XPRO'!$C$7:$AI$58,32,FALSE),0)</f>
        <v>0</v>
      </c>
      <c r="AI12">
        <f>IFERROR(VLOOKUP(C12,'COPY DATA XPRO'!$C$7:$AI$58,33,FALSE),0)</f>
        <v>0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0</v>
      </c>
      <c r="F13">
        <f>IFERROR(VLOOKUP(C13,'COPY DATA XPRO'!$C$7:$AI$58,4,FALSE),0)</f>
        <v>0</v>
      </c>
      <c r="G13">
        <f>IFERROR(VLOOKUP(C13,'COPY DATA XPRO'!$C$7:$AI$58,5,FALSE),0)</f>
        <v>0</v>
      </c>
      <c r="H13">
        <f>IFERROR(VLOOKUP(C13,'COPY DATA XPRO'!$C$7:$AI$58,6,FALSE),0)</f>
        <v>0</v>
      </c>
      <c r="I13">
        <f>IFERROR(VLOOKUP(C13,'COPY DATA XPRO'!$C$7:$AI$58,7,FALSE),0)</f>
        <v>0</v>
      </c>
      <c r="J13">
        <f>IFERROR(VLOOKUP(C13,'COPY DATA XPRO'!$C$7:$AI$58,8,FALSE),0)</f>
        <v>0</v>
      </c>
      <c r="K13">
        <f>IFERROR(VLOOKUP(C13,'COPY DATA XPRO'!$C$7:$AI$58,9,FALSE),0)</f>
        <v>0</v>
      </c>
      <c r="L13">
        <f>IFERROR(VLOOKUP(C13,'COPY DATA XPRO'!$C$7:$AI$58,10,FALSE),0)</f>
        <v>0</v>
      </c>
      <c r="M13">
        <f>IFERROR(VLOOKUP(C13,'COPY DATA XPRO'!$C$7:$AI$58,11,FALSE),0)</f>
        <v>0</v>
      </c>
      <c r="N13">
        <f>IFERROR(VLOOKUP(C13,'COPY DATA XPRO'!$C$7:$AI$58,12,FALSE),0)</f>
        <v>0</v>
      </c>
      <c r="O13">
        <f>IFERROR(VLOOKUP(C13,'COPY DATA XPRO'!$C$7:$AI$58,13,FALSE),0)</f>
        <v>0</v>
      </c>
      <c r="P13">
        <f>IFERROR(VLOOKUP(C13,'COPY DATA XPRO'!$C$7:$AI$58,14,FALSE),0)</f>
        <v>0</v>
      </c>
      <c r="Q13">
        <f>IFERROR(VLOOKUP(C13,'COPY DATA XPRO'!$C$7:$AI$58,15,FALSE),0)</f>
        <v>0</v>
      </c>
      <c r="R13">
        <f>IFERROR(VLOOKUP(C13,'COPY DATA XPRO'!$C$7:$AI$58,16,FALSE),0)</f>
        <v>0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0</v>
      </c>
      <c r="Y13">
        <f>IFERROR(VLOOKUP(C13,'COPY DATA XPRO'!$C$7:$AI$58,23,FALSE),0)</f>
        <v>0</v>
      </c>
      <c r="Z13">
        <f>IFERROR(VLOOKUP(C13,'COPY DATA XPRO'!$C$7:$AI$58,24,FALSE),0)</f>
        <v>0</v>
      </c>
      <c r="AA13">
        <f>IFERROR(VLOOKUP(C13,'COPY DATA XPRO'!$C$7:$AI$58,25,FALSE),0)</f>
        <v>0</v>
      </c>
      <c r="AB13">
        <f>IFERROR(VLOOKUP(C13,'COPY DATA XPRO'!$C$7:$AI$58,26,FALSE),0)</f>
        <v>0</v>
      </c>
      <c r="AC13">
        <f>IFERROR(VLOOKUP(C13,'COPY DATA XPRO'!$C$7:$AI$58,27,FALSE),0)</f>
        <v>0</v>
      </c>
      <c r="AD13">
        <f>IFERROR(VLOOKUP(C13,'COPY DATA XPRO'!$C$7:$AI$58,28,FALSE),0)</f>
        <v>0</v>
      </c>
      <c r="AE13">
        <f>IFERROR(VLOOKUP(C13,'COPY DATA XPRO'!$C$7:$AI$58,29,FALSE),0)</f>
        <v>0</v>
      </c>
      <c r="AF13">
        <f>IFERROR(VLOOKUP(C13,'COPY DATA XPRO'!$C$7:$AI$58,30,FALSE),0)</f>
        <v>0</v>
      </c>
      <c r="AG13">
        <f>IFERROR(VLOOKUP(C13,'COPY DATA XPRO'!$C$7:$AI$58,31,FALSE),0)</f>
        <v>0</v>
      </c>
      <c r="AH13">
        <f>IFERROR(VLOOKUP(C13,'COPY DATA XPRO'!$C$7:$AI$58,32,FALSE),0)</f>
        <v>0</v>
      </c>
      <c r="AI13">
        <f>IFERROR(VLOOKUP(C13,'COPY DATA XPRO'!$C$7:$AI$58,33,FALSE),0)</f>
        <v>0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0</v>
      </c>
      <c r="F14">
        <f>IFERROR(VLOOKUP(C14,'COPY DATA XPRO'!$C$7:$AI$58,4,FALSE),0)</f>
        <v>0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0</v>
      </c>
      <c r="J14">
        <f>IFERROR(VLOOKUP(C14,'COPY DATA XPRO'!$C$7:$AI$58,8,FALSE),0)</f>
        <v>0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0</v>
      </c>
      <c r="N14">
        <f>IFERROR(VLOOKUP(C14,'COPY DATA XPRO'!$C$7:$AI$58,12,FALSE),0)</f>
        <v>0</v>
      </c>
      <c r="O14">
        <f>IFERROR(VLOOKUP(C14,'COPY DATA XPRO'!$C$7:$AI$58,13,FALSE),0)</f>
        <v>0</v>
      </c>
      <c r="P14">
        <f>IFERROR(VLOOKUP(C14,'COPY DATA XPRO'!$C$7:$AI$58,14,FALSE),0)</f>
        <v>0</v>
      </c>
      <c r="Q14">
        <f>IFERROR(VLOOKUP(C14,'COPY DATA XPRO'!$C$7:$AI$58,15,FALSE),0)</f>
        <v>0</v>
      </c>
      <c r="R14">
        <f>IFERROR(VLOOKUP(C14,'COPY DATA XPRO'!$C$7:$AI$58,16,FALSE),0)</f>
        <v>0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0</v>
      </c>
      <c r="Y14">
        <f>IFERROR(VLOOKUP(C14,'COPY DATA XPRO'!$C$7:$AI$58,23,FALSE),0)</f>
        <v>0</v>
      </c>
      <c r="Z14">
        <f>IFERROR(VLOOKUP(C14,'COPY DATA XPRO'!$C$7:$AI$58,24,FALSE),0)</f>
        <v>0</v>
      </c>
      <c r="AA14">
        <f>IFERROR(VLOOKUP(C14,'COPY DATA XPRO'!$C$7:$AI$58,25,FALSE),0)</f>
        <v>0</v>
      </c>
      <c r="AB14">
        <f>IFERROR(VLOOKUP(C14,'COPY DATA XPRO'!$C$7:$AI$58,26,FALSE),0)</f>
        <v>0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0</v>
      </c>
      <c r="AF14">
        <f>IFERROR(VLOOKUP(C14,'COPY DATA XPRO'!$C$7:$AI$58,30,FALSE),0)</f>
        <v>0</v>
      </c>
      <c r="AG14">
        <f>IFERROR(VLOOKUP(C14,'COPY DATA XPRO'!$C$7:$AI$58,31,FALSE),0)</f>
        <v>0</v>
      </c>
      <c r="AH14">
        <f>IFERROR(VLOOKUP(C14,'COPY DATA XPRO'!$C$7:$AI$58,32,FALSE),0)</f>
        <v>0</v>
      </c>
      <c r="AI14">
        <f>IFERROR(VLOOKUP(C14,'COPY DATA XPRO'!$C$7:$AI$58,33,FALSE),0)</f>
        <v>0</v>
      </c>
    </row>
    <row r="15" spans="2:35">
      <c r="B15" t="s">
        <v>38</v>
      </c>
      <c r="C15" s="100" t="s">
        <v>87</v>
      </c>
      <c r="D15">
        <f>IFERROR(VLOOKUP(C15,'COPY DATA XPRO'!$C$7:$AI$58,2,FALSE),0)</f>
        <v>0</v>
      </c>
      <c r="E15">
        <f>IFERROR(VLOOKUP(C15,'COPY DATA XPRO'!$C$7:$AI$58,3,FALSE),0)</f>
        <v>0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0</v>
      </c>
      <c r="I15">
        <f>IFERROR(VLOOKUP(C15,'COPY DATA XPRO'!$C$7:$AI$58,7,FALSE),0)</f>
        <v>0</v>
      </c>
      <c r="J15">
        <f>IFERROR(VLOOKUP(C15,'COPY DATA XPRO'!$C$7:$AI$58,8,FALSE),0)</f>
        <v>0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0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0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0</v>
      </c>
      <c r="AE15">
        <f>IFERROR(VLOOKUP(C15,'COPY DATA XPRO'!$C$7:$AI$58,29,FALSE),0)</f>
        <v>0</v>
      </c>
      <c r="AF15">
        <f>IFERROR(VLOOKUP(C15,'COPY DATA XPRO'!$C$7:$AI$58,30,FALSE),0)</f>
        <v>0</v>
      </c>
      <c r="AG15">
        <f>IFERROR(VLOOKUP(C15,'COPY DATA XPRO'!$C$7:$AI$58,31,FALSE),0)</f>
        <v>0</v>
      </c>
      <c r="AH15">
        <f>IFERROR(VLOOKUP(C15,'COPY DATA XPRO'!$C$7:$AI$58,32,FALSE),0)</f>
        <v>0</v>
      </c>
      <c r="AI15">
        <f>IFERROR(VLOOKUP(C15,'COPY DATA XPRO'!$C$7:$AI$58,33,FALSE),0)</f>
        <v>0</v>
      </c>
    </row>
    <row r="16" spans="2:35"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0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0</v>
      </c>
      <c r="K16">
        <f>IFERROR(VLOOKUP(C16,'COPY DATA XPRO'!$C$7:$AI$58,9,FALSE),0)</f>
        <v>0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0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0</v>
      </c>
      <c r="AG16">
        <f>IFERROR(VLOOKUP(C16,'COPY DATA XPRO'!$C$7:$AI$58,31,FALSE),0)</f>
        <v>0</v>
      </c>
      <c r="AH16">
        <f>IFERROR(VLOOKUP(C16,'COPY DATA XPRO'!$C$7:$AI$58,32,FALSE),0)</f>
        <v>0</v>
      </c>
      <c r="AI16">
        <f>IFERROR(VLOOKUP(C16,'COPY DATA XPRO'!$C$7:$AI$58,33,FALSE),0)</f>
        <v>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0</v>
      </c>
      <c r="F17">
        <f>IFERROR(VLOOKUP(C17,'COPY DATA XPRO'!$C$7:$AI$58,4,FALSE),0)</f>
        <v>0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0</v>
      </c>
      <c r="J17">
        <f>IFERROR(VLOOKUP(C17,'COPY DATA XPRO'!$C$7:$AI$58,8,FALSE),0)</f>
        <v>0</v>
      </c>
      <c r="K17">
        <f>IFERROR(VLOOKUP(C17,'COPY DATA XPRO'!$C$7:$AI$58,9,FALSE),0)</f>
        <v>0</v>
      </c>
      <c r="L17">
        <f>IFERROR(VLOOKUP(C17,'COPY DATA XPRO'!$C$7:$AI$58,10,FALSE),0)</f>
        <v>0</v>
      </c>
      <c r="M17">
        <f>IFERROR(VLOOKUP(C17,'COPY DATA XPRO'!$C$7:$AI$58,11,FALSE),0)</f>
        <v>0</v>
      </c>
      <c r="N17">
        <f>IFERROR(VLOOKUP(C17,'COPY DATA XPRO'!$C$7:$AI$58,12,FALSE),0)</f>
        <v>0</v>
      </c>
      <c r="O17">
        <f>IFERROR(VLOOKUP(C17,'COPY DATA XPRO'!$C$7:$AI$58,13,FALSE),0)</f>
        <v>0</v>
      </c>
      <c r="P17">
        <f>IFERROR(VLOOKUP(C17,'COPY DATA XPRO'!$C$7:$AI$58,14,FALSE),0)</f>
        <v>0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0</v>
      </c>
      <c r="Z17">
        <f>IFERROR(VLOOKUP(C17,'COPY DATA XPRO'!$C$7:$AI$58,24,FALSE),0)</f>
        <v>0</v>
      </c>
      <c r="AA17">
        <f>IFERROR(VLOOKUP(C17,'COPY DATA XPRO'!$C$7:$AI$58,25,FALSE),0)</f>
        <v>0</v>
      </c>
      <c r="AB17">
        <f>IFERROR(VLOOKUP(C17,'COPY DATA XPRO'!$C$7:$AI$58,26,FALSE),0)</f>
        <v>0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0</v>
      </c>
      <c r="AF17">
        <f>IFERROR(VLOOKUP(C17,'COPY DATA XPRO'!$C$7:$AI$58,30,FALSE),0)</f>
        <v>0</v>
      </c>
      <c r="AG17">
        <f>IFERROR(VLOOKUP(C17,'COPY DATA XPRO'!$C$7:$AI$58,31,FALSE),0)</f>
        <v>0</v>
      </c>
      <c r="AH17">
        <f>IFERROR(VLOOKUP(C17,'COPY DATA XPRO'!$C$7:$AI$58,32,FALSE),0)</f>
        <v>0</v>
      </c>
      <c r="AI17">
        <f>IFERROR(VLOOKUP(C17,'COPY DATA XPRO'!$C$7:$AI$58,33,FALSE),0)</f>
        <v>0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0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0</v>
      </c>
      <c r="J18">
        <f>IFERROR(VLOOKUP(C18,'COPY DATA XPRO'!$C$7:$AI$58,8,FALSE),0)</f>
        <v>0</v>
      </c>
      <c r="K18">
        <f>IFERROR(VLOOKUP(C18,'COPY DATA XPRO'!$C$7:$AI$58,9,FALSE),0)</f>
        <v>0</v>
      </c>
      <c r="L18">
        <f>IFERROR(VLOOKUP(C18,'COPY DATA XPRO'!$C$7:$AI$58,10,FALSE),0)</f>
        <v>0</v>
      </c>
      <c r="M18">
        <f>IFERROR(VLOOKUP(C18,'COPY DATA XPRO'!$C$7:$AI$58,11,FALSE),0)</f>
        <v>0</v>
      </c>
      <c r="N18">
        <f>IFERROR(VLOOKUP(C18,'COPY DATA XPRO'!$C$7:$AI$58,12,FALSE),0)</f>
        <v>0</v>
      </c>
      <c r="O18">
        <f>IFERROR(VLOOKUP(C18,'COPY DATA XPRO'!$C$7:$AI$58,13,FALSE),0)</f>
        <v>0</v>
      </c>
      <c r="P18">
        <f>IFERROR(VLOOKUP(C18,'COPY DATA XPRO'!$C$7:$AI$58,14,FALSE),0)</f>
        <v>0</v>
      </c>
      <c r="Q18">
        <f>IFERROR(VLOOKUP(C18,'COPY DATA XPRO'!$C$7:$AI$58,15,FALSE),0)</f>
        <v>0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0</v>
      </c>
      <c r="Y18">
        <f>IFERROR(VLOOKUP(C18,'COPY DATA XPRO'!$C$7:$AI$58,23,FALSE),0)</f>
        <v>0</v>
      </c>
      <c r="Z18">
        <f>IFERROR(VLOOKUP(C18,'COPY DATA XPRO'!$C$7:$AI$58,24,FALSE),0)</f>
        <v>0</v>
      </c>
      <c r="AA18">
        <f>IFERROR(VLOOKUP(C18,'COPY DATA XPRO'!$C$7:$AI$58,25,FALSE),0)</f>
        <v>0</v>
      </c>
      <c r="AB18">
        <f>IFERROR(VLOOKUP(C18,'COPY DATA XPRO'!$C$7:$AI$58,26,FALSE),0)</f>
        <v>0</v>
      </c>
      <c r="AC18">
        <f>IFERROR(VLOOKUP(C18,'COPY DATA XPRO'!$C$7:$AI$58,27,FALSE),0)</f>
        <v>0</v>
      </c>
      <c r="AD18">
        <f>IFERROR(VLOOKUP(C18,'COPY DATA XPRO'!$C$7:$AI$58,28,FALSE),0)</f>
        <v>0</v>
      </c>
      <c r="AE18">
        <f>IFERROR(VLOOKUP(C18,'COPY DATA XPRO'!$C$7:$AI$58,29,FALSE),0)</f>
        <v>0</v>
      </c>
      <c r="AF18">
        <f>IFERROR(VLOOKUP(C18,'COPY DATA XPRO'!$C$7:$AI$58,30,FALSE),0)</f>
        <v>0</v>
      </c>
      <c r="AG18">
        <f>IFERROR(VLOOKUP(C18,'COPY DATA XPRO'!$C$7:$AI$58,31,FALSE),0)</f>
        <v>0</v>
      </c>
      <c r="AH18">
        <f>IFERROR(VLOOKUP(C18,'COPY DATA XPRO'!$C$7:$AI$58,32,FALSE),0)</f>
        <v>0</v>
      </c>
      <c r="AI18">
        <f>IFERROR(VLOOKUP(C18,'COPY DATA XPRO'!$C$7:$AI$58,33,FALSE),0)</f>
        <v>0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0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0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0</v>
      </c>
      <c r="O19">
        <f>IFERROR(VLOOKUP(C19,'COPY DATA XPRO'!$C$7:$AI$58,13,FALSE),0)</f>
        <v>0</v>
      </c>
      <c r="P19">
        <f>IFERROR(VLOOKUP(C19,'COPY DATA XPRO'!$C$7:$AI$58,14,FALSE),0)</f>
        <v>0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0</v>
      </c>
      <c r="Z19">
        <f>IFERROR(VLOOKUP(C19,'COPY DATA XPRO'!$C$7:$AI$58,24,FALSE),0)</f>
        <v>0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0</v>
      </c>
      <c r="AE19">
        <f>IFERROR(VLOOKUP(C19,'COPY DATA XPRO'!$C$7:$AI$58,29,FALSE),0)</f>
        <v>0</v>
      </c>
      <c r="AF19">
        <f>IFERROR(VLOOKUP(C19,'COPY DATA XPRO'!$C$7:$AI$58,30,FALSE),0)</f>
        <v>0</v>
      </c>
      <c r="AG19">
        <f>IFERROR(VLOOKUP(C19,'COPY DATA XPRO'!$C$7:$AI$58,31,FALSE),0)</f>
        <v>0</v>
      </c>
      <c r="AH19">
        <f>IFERROR(VLOOKUP(C19,'COPY DATA XPRO'!$C$7:$AI$58,32,FALSE),0)</f>
        <v>0</v>
      </c>
      <c r="AI19">
        <f>IFERROR(VLOOKUP(C19,'COPY DATA XPRO'!$C$7:$AI$58,33,FALSE),0)</f>
        <v>0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0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0</v>
      </c>
      <c r="J20">
        <f>IFERROR(VLOOKUP(C20,'COPY DATA XPRO'!$C$7:$AI$58,8,FALSE),0)</f>
        <v>0</v>
      </c>
      <c r="K20">
        <f>IFERROR(VLOOKUP(C20,'COPY DATA XPRO'!$C$7:$AI$58,9,FALSE),0)</f>
        <v>0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0</v>
      </c>
      <c r="O20">
        <f>IFERROR(VLOOKUP(C20,'COPY DATA XPRO'!$C$7:$AI$58,13,FALSE),0)</f>
        <v>0</v>
      </c>
      <c r="P20">
        <f>IFERROR(VLOOKUP(C20,'COPY DATA XPRO'!$C$7:$AI$58,14,FALSE),0)</f>
        <v>0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0</v>
      </c>
      <c r="Z20">
        <f>IFERROR(VLOOKUP(C20,'COPY DATA XPRO'!$C$7:$AI$58,24,FALSE),0)</f>
        <v>0</v>
      </c>
      <c r="AA20">
        <f>IFERROR(VLOOKUP(C20,'COPY DATA XPRO'!$C$7:$AI$58,25,FALSE),0)</f>
        <v>0</v>
      </c>
      <c r="AB20">
        <f>IFERROR(VLOOKUP(C20,'COPY DATA XPRO'!$C$7:$AI$58,26,FALSE),0)</f>
        <v>0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0</v>
      </c>
      <c r="AF20">
        <f>IFERROR(VLOOKUP(C20,'COPY DATA XPRO'!$C$7:$AI$58,30,FALSE),0)</f>
        <v>0</v>
      </c>
      <c r="AG20">
        <f>IFERROR(VLOOKUP(C20,'COPY DATA XPRO'!$C$7:$AI$58,31,FALSE),0)</f>
        <v>0</v>
      </c>
      <c r="AH20">
        <f>IFERROR(VLOOKUP(C20,'COPY DATA XPRO'!$C$7:$AI$58,32,FALSE),0)</f>
        <v>0</v>
      </c>
      <c r="AI20">
        <f>IFERROR(VLOOKUP(C20,'COPY DATA XPRO'!$C$7:$AI$58,33,FALSE),0)</f>
        <v>0</v>
      </c>
    </row>
    <row r="21" spans="2:35" ht="16" customHeight="1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0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0</v>
      </c>
      <c r="I21">
        <f>IFERROR(VLOOKUP(C21,'COPY DATA XPRO'!$C$7:$AI$58,7,FALSE),0)</f>
        <v>0</v>
      </c>
      <c r="J21">
        <f>IFERROR(VLOOKUP(C21,'COPY DATA XPRO'!$C$7:$AI$58,8,FALSE),0)</f>
        <v>0</v>
      </c>
      <c r="K21">
        <f>IFERROR(VLOOKUP(C21,'COPY DATA XPRO'!$C$7:$AI$58,9,FALSE),0)</f>
        <v>0</v>
      </c>
      <c r="L21">
        <f>IFERROR(VLOOKUP(C21,'COPY DATA XPRO'!$C$7:$AI$58,10,FALSE),0)</f>
        <v>0</v>
      </c>
      <c r="M21">
        <f>IFERROR(VLOOKUP(C21,'COPY DATA XPRO'!$C$7:$AI$58,11,FALSE),0)</f>
        <v>0</v>
      </c>
      <c r="N21">
        <f>IFERROR(VLOOKUP(C21,'COPY DATA XPRO'!$C$7:$AI$58,12,FALSE),0)</f>
        <v>0</v>
      </c>
      <c r="O21">
        <f>IFERROR(VLOOKUP(C21,'COPY DATA XPRO'!$C$7:$AI$58,13,FALSE),0)</f>
        <v>0</v>
      </c>
      <c r="P21">
        <f>IFERROR(VLOOKUP(C21,'COPY DATA XPRO'!$C$7:$AI$58,14,FALSE),0)</f>
        <v>0</v>
      </c>
      <c r="Q21">
        <f>IFERROR(VLOOKUP(C21,'COPY DATA XPRO'!$C$7:$AI$58,15,FALSE),0)</f>
        <v>0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0</v>
      </c>
      <c r="Y21">
        <f>IFERROR(VLOOKUP(C21,'COPY DATA XPRO'!$C$7:$AI$58,23,FALSE),0)</f>
        <v>0</v>
      </c>
      <c r="Z21">
        <f>IFERROR(VLOOKUP(C21,'COPY DATA XPRO'!$C$7:$AI$58,24,FALSE),0)</f>
        <v>0</v>
      </c>
      <c r="AA21">
        <f>IFERROR(VLOOKUP(C21,'COPY DATA XPRO'!$C$7:$AI$58,25,FALSE),0)</f>
        <v>0</v>
      </c>
      <c r="AB21">
        <f>IFERROR(VLOOKUP(C21,'COPY DATA XPRO'!$C$7:$AI$58,26,FALSE),0)</f>
        <v>0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0</v>
      </c>
      <c r="AF21">
        <f>IFERROR(VLOOKUP(C21,'COPY DATA XPRO'!$C$7:$AI$58,30,FALSE),0)</f>
        <v>0</v>
      </c>
      <c r="AG21">
        <f>IFERROR(VLOOKUP(C21,'COPY DATA XPRO'!$C$7:$AI$58,31,FALSE),0)</f>
        <v>0</v>
      </c>
      <c r="AH21">
        <f>IFERROR(VLOOKUP(C21,'COPY DATA XPRO'!$C$7:$AI$58,32,FALSE),0)</f>
        <v>0</v>
      </c>
      <c r="AI21">
        <f>IFERROR(VLOOKUP(C21,'COPY DATA XPRO'!$C$7:$AI$58,33,FALSE),0)</f>
        <v>0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0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0</v>
      </c>
      <c r="K22">
        <f>IFERROR(VLOOKUP(C22,'COPY DATA XPRO'!$C$7:$AI$58,9,FALSE),0)</f>
        <v>0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0</v>
      </c>
      <c r="Z22">
        <f>IFERROR(VLOOKUP(C22,'COPY DATA XPRO'!$C$7:$AI$58,24,FALSE),0)</f>
        <v>0</v>
      </c>
      <c r="AA22">
        <f>IFERROR(VLOOKUP(C22,'COPY DATA XPRO'!$C$7:$AI$58,25,FALSE),0)</f>
        <v>0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0</v>
      </c>
      <c r="AE22">
        <f>IFERROR(VLOOKUP(C22,'COPY DATA XPRO'!$C$7:$AI$58,29,FALSE),0)</f>
        <v>0</v>
      </c>
      <c r="AF22">
        <f>IFERROR(VLOOKUP(C22,'COPY DATA XPRO'!$C$7:$AI$58,30,FALSE),0)</f>
        <v>0</v>
      </c>
      <c r="AG22">
        <f>IFERROR(VLOOKUP(C22,'COPY DATA XPRO'!$C$7:$AI$58,31,FALSE),0)</f>
        <v>0</v>
      </c>
      <c r="AH22">
        <f>IFERROR(VLOOKUP(C22,'COPY DATA XPRO'!$C$7:$AI$58,32,FALSE),0)</f>
        <v>0</v>
      </c>
      <c r="AI22">
        <f>IFERROR(VLOOKUP(C22,'COPY DATA XPRO'!$C$7:$AI$58,33,FALSE),0)</f>
        <v>0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0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0</v>
      </c>
      <c r="K23">
        <f>IFERROR(VLOOKUP(C23,'COPY DATA XPRO'!$C$7:$AI$58,9,FALSE),0)</f>
        <v>0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0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0</v>
      </c>
      <c r="AA23">
        <f>IFERROR(VLOOKUP(C23,'COPY DATA XPRO'!$C$7:$AI$58,25,FALSE),0)</f>
        <v>0</v>
      </c>
      <c r="AB23">
        <f>IFERROR(VLOOKUP(C23,'COPY DATA XPRO'!$C$7:$AI$58,26,FALSE),0)</f>
        <v>0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0</v>
      </c>
      <c r="AF23">
        <f>IFERROR(VLOOKUP(C23,'COPY DATA XPRO'!$C$7:$AI$58,30,FALSE),0)</f>
        <v>0</v>
      </c>
      <c r="AG23">
        <f>IFERROR(VLOOKUP(C23,'COPY DATA XPRO'!$C$7:$AI$58,31,FALSE),0)</f>
        <v>0</v>
      </c>
      <c r="AH23">
        <f>IFERROR(VLOOKUP(C23,'COPY DATA XPRO'!$C$7:$AI$58,32,FALSE),0)</f>
        <v>0</v>
      </c>
      <c r="AI23">
        <f>IFERROR(VLOOKUP(C23,'COPY DATA XPRO'!$C$7:$AI$58,33,FALSE),0)</f>
        <v>0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0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0</v>
      </c>
      <c r="AA24">
        <f>IFERROR(VLOOKUP(C24,'COPY DATA XPRO'!$C$7:$AI$58,25,FALSE),0)</f>
        <v>0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0</v>
      </c>
      <c r="AF24">
        <f>IFERROR(VLOOKUP(C24,'COPY DATA XPRO'!$C$7:$AI$58,30,FALSE),0)</f>
        <v>0</v>
      </c>
      <c r="AG24">
        <f>IFERROR(VLOOKUP(C24,'COPY DATA XPRO'!$C$7:$AI$58,31,FALSE),0)</f>
        <v>0</v>
      </c>
      <c r="AH24">
        <f>IFERROR(VLOOKUP(C24,'COPY DATA XPRO'!$C$7:$AI$58,32,FALSE),0)</f>
        <v>0</v>
      </c>
      <c r="AI24">
        <f>IFERROR(VLOOKUP(C24,'COPY DATA XPRO'!$C$7:$AI$58,33,FALSE),0)</f>
        <v>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0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0</v>
      </c>
      <c r="J25">
        <f>IFERROR(VLOOKUP(C25,'COPY DATA XPRO'!$C$7:$AI$58,8,FALSE),0)</f>
        <v>0</v>
      </c>
      <c r="K25">
        <f>IFERROR(VLOOKUP(C25,'COPY DATA XPRO'!$C$7:$AI$58,9,FALSE),0)</f>
        <v>0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0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0</v>
      </c>
      <c r="Y25">
        <f>IFERROR(VLOOKUP(C25,'COPY DATA XPRO'!$C$7:$AI$58,23,FALSE),0)</f>
        <v>0</v>
      </c>
      <c r="Z25">
        <f>IFERROR(VLOOKUP(C25,'COPY DATA XPRO'!$C$7:$AI$58,24,FALSE),0)</f>
        <v>0</v>
      </c>
      <c r="AA25">
        <f>IFERROR(VLOOKUP(C25,'COPY DATA XPRO'!$C$7:$AI$58,25,FALSE),0)</f>
        <v>0</v>
      </c>
      <c r="AB25">
        <f>IFERROR(VLOOKUP(C25,'COPY DATA XPRO'!$C$7:$AI$58,26,FALSE),0)</f>
        <v>0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0</v>
      </c>
      <c r="AF25">
        <f>IFERROR(VLOOKUP(C25,'COPY DATA XPRO'!$C$7:$AI$58,30,FALSE),0)</f>
        <v>0</v>
      </c>
      <c r="AG25">
        <f>IFERROR(VLOOKUP(C25,'COPY DATA XPRO'!$C$7:$AI$58,31,FALSE),0)</f>
        <v>0</v>
      </c>
      <c r="AH25">
        <f>IFERROR(VLOOKUP(C25,'COPY DATA XPRO'!$C$7:$AI$58,32,FALSE),0)</f>
        <v>0</v>
      </c>
      <c r="AI25">
        <f>IFERROR(VLOOKUP(C25,'COPY DATA XPRO'!$C$7:$AI$58,33,FALSE),0)</f>
        <v>0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0</v>
      </c>
      <c r="F26">
        <f>IFERROR(VLOOKUP(C26,'COPY DATA XPRO'!$C$7:$AI$58,4,FALSE),0)</f>
        <v>0</v>
      </c>
      <c r="G26">
        <f>IFERROR(VLOOKUP(C26,'COPY DATA XPRO'!$C$7:$AI$58,5,FALSE),0)</f>
        <v>0</v>
      </c>
      <c r="H26">
        <f>IFERROR(VLOOKUP(C26,'COPY DATA XPRO'!$C$7:$AI$58,6,FALSE),0)</f>
        <v>0</v>
      </c>
      <c r="I26">
        <f>IFERROR(VLOOKUP(C26,'COPY DATA XPRO'!$C$7:$AI$58,7,FALSE),0)</f>
        <v>0</v>
      </c>
      <c r="J26">
        <f>IFERROR(VLOOKUP(C26,'COPY DATA XPRO'!$C$7:$AI$58,8,FALSE),0)</f>
        <v>0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0</v>
      </c>
      <c r="Z26">
        <f>IFERROR(VLOOKUP(C26,'COPY DATA XPRO'!$C$7:$AI$58,24,FALSE),0)</f>
        <v>0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0</v>
      </c>
      <c r="AE26">
        <f>IFERROR(VLOOKUP(C26,'COPY DATA XPRO'!$C$7:$AI$58,29,FALSE),0)</f>
        <v>0</v>
      </c>
      <c r="AF26">
        <f>IFERROR(VLOOKUP(C26,'COPY DATA XPRO'!$C$7:$AI$58,30,FALSE),0)</f>
        <v>0</v>
      </c>
      <c r="AG26">
        <f>IFERROR(VLOOKUP(C26,'COPY DATA XPRO'!$C$7:$AI$58,31,FALSE),0)</f>
        <v>0</v>
      </c>
      <c r="AH26">
        <f>IFERROR(VLOOKUP(C26,'COPY DATA XPRO'!$C$7:$AI$58,32,FALSE),0)</f>
        <v>0</v>
      </c>
      <c r="AI26">
        <f>IFERROR(VLOOKUP(C26,'COPY DATA XPRO'!$C$7:$AI$58,33,FALSE),0)</f>
        <v>0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0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0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0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0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0</v>
      </c>
      <c r="Y27">
        <f>IFERROR(VLOOKUP(C27,'COPY DATA XPRO'!$C$7:$AI$58,23,FALSE),0)</f>
        <v>0</v>
      </c>
      <c r="Z27">
        <f>IFERROR(VLOOKUP(C27,'COPY DATA XPRO'!$C$7:$AI$58,24,FALSE),0)</f>
        <v>0</v>
      </c>
      <c r="AA27">
        <f>IFERROR(VLOOKUP(C27,'COPY DATA XPRO'!$C$7:$AI$58,25,FALSE),0)</f>
        <v>0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0</v>
      </c>
      <c r="AE27">
        <f>IFERROR(VLOOKUP(C27,'COPY DATA XPRO'!$C$7:$AI$58,29,FALSE),0)</f>
        <v>0</v>
      </c>
      <c r="AF27">
        <f>IFERROR(VLOOKUP(C27,'COPY DATA XPRO'!$C$7:$AI$58,30,FALSE),0)</f>
        <v>0</v>
      </c>
      <c r="AG27">
        <f>IFERROR(VLOOKUP(C27,'COPY DATA XPRO'!$C$7:$AI$58,31,FALSE),0)</f>
        <v>0</v>
      </c>
      <c r="AH27">
        <f>IFERROR(VLOOKUP(C27,'COPY DATA XPRO'!$C$7:$AI$58,32,FALSE),0)</f>
        <v>0</v>
      </c>
      <c r="AI27">
        <f>IFERROR(VLOOKUP(C27,'COPY DATA XPRO'!$C$7:$AI$58,33,FALSE),0)</f>
        <v>0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0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0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0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0</v>
      </c>
      <c r="Q28">
        <f>IFERROR(VLOOKUP(C28,'COPY DATA XPRO'!$C$7:$AI$58,15,FALSE),0)</f>
        <v>0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0</v>
      </c>
      <c r="Y28">
        <f>IFERROR(VLOOKUP(C28,'COPY DATA XPRO'!$C$7:$AI$58,23,FALSE),0)</f>
        <v>0</v>
      </c>
      <c r="Z28">
        <f>IFERROR(VLOOKUP(C28,'COPY DATA XPRO'!$C$7:$AI$58,24,FALSE),0)</f>
        <v>0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0</v>
      </c>
      <c r="AE28">
        <f>IFERROR(VLOOKUP(C28,'COPY DATA XPRO'!$C$7:$AI$58,29,FALSE),0)</f>
        <v>0</v>
      </c>
      <c r="AF28">
        <f>IFERROR(VLOOKUP(C28,'COPY DATA XPRO'!$C$7:$AI$58,30,FALSE),0)</f>
        <v>0</v>
      </c>
      <c r="AG28">
        <f>IFERROR(VLOOKUP(C28,'COPY DATA XPRO'!$C$7:$AI$58,31,FALSE),0)</f>
        <v>0</v>
      </c>
      <c r="AH28">
        <f>IFERROR(VLOOKUP(C28,'COPY DATA XPRO'!$C$7:$AI$58,32,FALSE),0)</f>
        <v>0</v>
      </c>
      <c r="AI28">
        <f>IFERROR(VLOOKUP(C28,'COPY DATA XPRO'!$C$7:$AI$58,33,FALSE),0)</f>
        <v>0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0</v>
      </c>
      <c r="F29">
        <f>IFERROR(VLOOKUP(C29,'COPY DATA XPRO'!$C$7:$AI$58,4,FALSE),0)</f>
        <v>0</v>
      </c>
      <c r="G29">
        <f>IFERROR(VLOOKUP(C29,'COPY DATA XPRO'!$C$7:$AI$58,5,FALSE),0)</f>
        <v>0</v>
      </c>
      <c r="H29">
        <f>IFERROR(VLOOKUP(C29,'COPY DATA XPRO'!$C$7:$AI$58,6,FALSE),0)</f>
        <v>0</v>
      </c>
      <c r="I29">
        <f>IFERROR(VLOOKUP(C29,'COPY DATA XPRO'!$C$7:$AI$58,7,FALSE),0)</f>
        <v>0</v>
      </c>
      <c r="J29">
        <f>IFERROR(VLOOKUP(C29,'COPY DATA XPRO'!$C$7:$AI$58,8,FALSE),0)</f>
        <v>0</v>
      </c>
      <c r="K29">
        <f>IFERROR(VLOOKUP(C29,'COPY DATA XPRO'!$C$7:$AI$58,9,FALSE),0)</f>
        <v>0</v>
      </c>
      <c r="L29">
        <f>IFERROR(VLOOKUP(C29,'COPY DATA XPRO'!$C$7:$AI$58,10,FALSE),0)</f>
        <v>0</v>
      </c>
      <c r="M29">
        <f>IFERROR(VLOOKUP(C29,'COPY DATA XPRO'!$C$7:$AI$58,11,FALSE),0)</f>
        <v>0</v>
      </c>
      <c r="N29">
        <f>IFERROR(VLOOKUP(C29,'COPY DATA XPRO'!$C$7:$AI$58,12,FALSE),0)</f>
        <v>0</v>
      </c>
      <c r="O29">
        <f>IFERROR(VLOOKUP(C29,'COPY DATA XPRO'!$C$7:$AI$58,13,FALSE),0)</f>
        <v>0</v>
      </c>
      <c r="P29">
        <f>IFERROR(VLOOKUP(C29,'COPY DATA XPRO'!$C$7:$AI$58,14,FALSE),0)</f>
        <v>0</v>
      </c>
      <c r="Q29">
        <f>IFERROR(VLOOKUP(C29,'COPY DATA XPRO'!$C$7:$AI$58,15,FALSE),0)</f>
        <v>0</v>
      </c>
      <c r="R29">
        <f>IFERROR(VLOOKUP(C29,'COPY DATA XPRO'!$C$7:$AI$58,16,FALSE),0)</f>
        <v>0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0</v>
      </c>
      <c r="Y29">
        <f>IFERROR(VLOOKUP(C29,'COPY DATA XPRO'!$C$7:$AI$58,23,FALSE),0)</f>
        <v>0</v>
      </c>
      <c r="Z29">
        <f>IFERROR(VLOOKUP(C29,'COPY DATA XPRO'!$C$7:$AI$58,24,FALSE),0)</f>
        <v>0</v>
      </c>
      <c r="AA29">
        <f>IFERROR(VLOOKUP(C29,'COPY DATA XPRO'!$C$7:$AI$58,25,FALSE),0)</f>
        <v>0</v>
      </c>
      <c r="AB29">
        <f>IFERROR(VLOOKUP(C29,'COPY DATA XPRO'!$C$7:$AI$58,26,FALSE),0)</f>
        <v>0</v>
      </c>
      <c r="AC29">
        <f>IFERROR(VLOOKUP(C29,'COPY DATA XPRO'!$C$7:$AI$58,27,FALSE),0)</f>
        <v>0</v>
      </c>
      <c r="AD29">
        <f>IFERROR(VLOOKUP(C29,'COPY DATA XPRO'!$C$7:$AI$58,28,FALSE),0)</f>
        <v>0</v>
      </c>
      <c r="AE29">
        <f>IFERROR(VLOOKUP(C29,'COPY DATA XPRO'!$C$7:$AI$58,29,FALSE),0)</f>
        <v>0</v>
      </c>
      <c r="AF29">
        <f>IFERROR(VLOOKUP(C29,'COPY DATA XPRO'!$C$7:$AI$58,30,FALSE),0)</f>
        <v>0</v>
      </c>
      <c r="AG29">
        <f>IFERROR(VLOOKUP(C29,'COPY DATA XPRO'!$C$7:$AI$58,31,FALSE),0)</f>
        <v>0</v>
      </c>
      <c r="AH29">
        <f>IFERROR(VLOOKUP(C29,'COPY DATA XPRO'!$C$7:$AI$58,32,FALSE),0)</f>
        <v>0</v>
      </c>
      <c r="AI29">
        <f>IFERROR(VLOOKUP(C29,'COPY DATA XPRO'!$C$7:$AI$58,33,FALSE),0)</f>
        <v>0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0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0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0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0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0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0</v>
      </c>
      <c r="AE30">
        <f>IFERROR(VLOOKUP(C30,'COPY DATA XPRO'!$C$7:$AI$58,29,FALSE),0)</f>
        <v>0</v>
      </c>
      <c r="AF30">
        <f>IFERROR(VLOOKUP(C30,'COPY DATA XPRO'!$C$7:$AI$58,30,FALSE),0)</f>
        <v>0</v>
      </c>
      <c r="AG30">
        <f>IFERROR(VLOOKUP(C30,'COPY DATA XPRO'!$C$7:$AI$58,31,FALSE),0)</f>
        <v>0</v>
      </c>
      <c r="AH30">
        <f>IFERROR(VLOOKUP(C30,'COPY DATA XPRO'!$C$7:$AI$58,32,FALSE),0)</f>
        <v>0</v>
      </c>
      <c r="AI30">
        <f>IFERROR(VLOOKUP(C30,'COPY DATA XPRO'!$C$7:$AI$58,33,FALSE),0)</f>
        <v>0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0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0</v>
      </c>
      <c r="I31">
        <f>IFERROR(VLOOKUP(C31,'COPY DATA XPRO'!$C$7:$AI$58,7,FALSE),0)</f>
        <v>0</v>
      </c>
      <c r="J31">
        <f>IFERROR(VLOOKUP(C31,'COPY DATA XPRO'!$C$7:$AI$58,8,FALSE),0)</f>
        <v>0</v>
      </c>
      <c r="K31">
        <f>IFERROR(VLOOKUP(C31,'COPY DATA XPRO'!$C$7:$AI$58,9,FALSE),0)</f>
        <v>0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0</v>
      </c>
      <c r="AA31">
        <f>IFERROR(VLOOKUP(C31,'COPY DATA XPRO'!$C$7:$AI$58,25,FALSE),0)</f>
        <v>0</v>
      </c>
      <c r="AB31">
        <f>IFERROR(VLOOKUP(C31,'COPY DATA XPRO'!$C$7:$AI$58,26,FALSE),0)</f>
        <v>0</v>
      </c>
      <c r="AC31">
        <f>IFERROR(VLOOKUP(C31,'COPY DATA XPRO'!$C$7:$AI$58,27,FALSE),0)</f>
        <v>0</v>
      </c>
      <c r="AD31">
        <f>IFERROR(VLOOKUP(C31,'COPY DATA XPRO'!$C$7:$AI$58,28,FALSE),0)</f>
        <v>0</v>
      </c>
      <c r="AE31">
        <f>IFERROR(VLOOKUP(C31,'COPY DATA XPRO'!$C$7:$AI$58,29,FALSE),0)</f>
        <v>0</v>
      </c>
      <c r="AF31">
        <f>IFERROR(VLOOKUP(C31,'COPY DATA XPRO'!$C$7:$AI$58,30,FALSE),0)</f>
        <v>0</v>
      </c>
      <c r="AG31">
        <f>IFERROR(VLOOKUP(C31,'COPY DATA XPRO'!$C$7:$AI$58,31,FALSE),0)</f>
        <v>0</v>
      </c>
      <c r="AH31">
        <f>IFERROR(VLOOKUP(C31,'COPY DATA XPRO'!$C$7:$AI$58,32,FALSE),0)</f>
        <v>0</v>
      </c>
      <c r="AI31">
        <f>IFERROR(VLOOKUP(C31,'COPY DATA XPRO'!$C$7:$AI$58,33,FALSE),0)</f>
        <v>0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0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0</v>
      </c>
      <c r="J32">
        <f>IFERROR(VLOOKUP(C32,'COPY DATA XPRO'!$C$7:$AI$58,8,FALSE),0)</f>
        <v>0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0</v>
      </c>
      <c r="R32">
        <f>IFERROR(VLOOKUP(C32,'COPY DATA XPRO'!$C$7:$AI$58,16,FALSE),0)</f>
        <v>0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0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0</v>
      </c>
      <c r="Y32">
        <f>IFERROR(VLOOKUP(C32,'COPY DATA XPRO'!$C$7:$AI$58,23,FALSE),0)</f>
        <v>0</v>
      </c>
      <c r="Z32">
        <f>IFERROR(VLOOKUP(C32,'COPY DATA XPRO'!$C$7:$AI$58,24,FALSE),0)</f>
        <v>0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0</v>
      </c>
      <c r="AG32">
        <f>IFERROR(VLOOKUP(C32,'COPY DATA XPRO'!$C$7:$AI$58,31,FALSE),0)</f>
        <v>0</v>
      </c>
      <c r="AH32">
        <f>IFERROR(VLOOKUP(C32,'COPY DATA XPRO'!$C$7:$AI$58,32,FALSE),0)</f>
        <v>0</v>
      </c>
      <c r="AI32">
        <f>IFERROR(VLOOKUP(C32,'COPY DATA XPRO'!$C$7:$AI$58,33,FALSE),0)</f>
        <v>0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0</v>
      </c>
      <c r="F33">
        <f>IFERROR(VLOOKUP(C33,'COPY DATA XPRO'!$C$7:$AI$58,4,FALSE),0)</f>
        <v>0</v>
      </c>
      <c r="G33">
        <f>IFERROR(VLOOKUP(C33,'COPY DATA XPRO'!$C$7:$AI$58,5,FALSE),0)</f>
        <v>0</v>
      </c>
      <c r="H33">
        <f>IFERROR(VLOOKUP(C33,'COPY DATA XPRO'!$C$7:$AI$58,6,FALSE),0)</f>
        <v>0</v>
      </c>
      <c r="I33">
        <f>IFERROR(VLOOKUP(C33,'COPY DATA XPRO'!$C$7:$AI$58,7,FALSE),0)</f>
        <v>0</v>
      </c>
      <c r="J33">
        <f>IFERROR(VLOOKUP(C33,'COPY DATA XPRO'!$C$7:$AI$58,8,FALSE),0)</f>
        <v>0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0</v>
      </c>
      <c r="O33">
        <f>IFERROR(VLOOKUP(C33,'COPY DATA XPRO'!$C$7:$AI$58,13,FALSE),0)</f>
        <v>0</v>
      </c>
      <c r="P33">
        <f>IFERROR(VLOOKUP(C33,'COPY DATA XPRO'!$C$7:$AI$58,14,FALSE),0)</f>
        <v>0</v>
      </c>
      <c r="Q33">
        <f>IFERROR(VLOOKUP(C33,'COPY DATA XPRO'!$C$7:$AI$58,15,FALSE),0)</f>
        <v>0</v>
      </c>
      <c r="R33">
        <f>IFERROR(VLOOKUP(C33,'COPY DATA XPRO'!$C$7:$AI$58,16,FALSE),0)</f>
        <v>0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0</v>
      </c>
      <c r="Y33">
        <f>IFERROR(VLOOKUP(C33,'COPY DATA XPRO'!$C$7:$AI$58,23,FALSE),0)</f>
        <v>0</v>
      </c>
      <c r="Z33">
        <f>IFERROR(VLOOKUP(C33,'COPY DATA XPRO'!$C$7:$AI$58,24,FALSE),0)</f>
        <v>0</v>
      </c>
      <c r="AA33">
        <f>IFERROR(VLOOKUP(C33,'COPY DATA XPRO'!$C$7:$AI$58,25,FALSE),0)</f>
        <v>0</v>
      </c>
      <c r="AB33">
        <f>IFERROR(VLOOKUP(C33,'COPY DATA XPRO'!$C$7:$AI$58,26,FALSE),0)</f>
        <v>0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0</v>
      </c>
      <c r="AF33">
        <f>IFERROR(VLOOKUP(C33,'COPY DATA XPRO'!$C$7:$AI$58,30,FALSE),0)</f>
        <v>0</v>
      </c>
      <c r="AG33">
        <f>IFERROR(VLOOKUP(C33,'COPY DATA XPRO'!$C$7:$AI$58,31,FALSE),0)</f>
        <v>0</v>
      </c>
      <c r="AH33">
        <f>IFERROR(VLOOKUP(C33,'COPY DATA XPRO'!$C$7:$AI$58,32,FALSE),0)</f>
        <v>0</v>
      </c>
      <c r="AI33">
        <f>IFERROR(VLOOKUP(C33,'COPY DATA XPRO'!$C$7:$AI$58,33,FALSE),0)</f>
        <v>0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0</v>
      </c>
      <c r="F34">
        <f>IFERROR(VLOOKUP(C34,'COPY DATA XPRO'!$C$7:$AI$58,4,FALSE),0)</f>
        <v>0</v>
      </c>
      <c r="G34">
        <f>IFERROR(VLOOKUP(C34,'COPY DATA XPRO'!$C$7:$AI$58,5,FALSE),0)</f>
        <v>0</v>
      </c>
      <c r="H34">
        <f>IFERROR(VLOOKUP(C34,'COPY DATA XPRO'!$C$7:$AI$58,6,FALSE),0)</f>
        <v>0</v>
      </c>
      <c r="I34">
        <f>IFERROR(VLOOKUP(C34,'COPY DATA XPRO'!$C$7:$AI$58,7,FALSE),0)</f>
        <v>0</v>
      </c>
      <c r="J34">
        <f>IFERROR(VLOOKUP(C34,'COPY DATA XPRO'!$C$7:$AI$58,8,FALSE),0)</f>
        <v>0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0</v>
      </c>
      <c r="N34">
        <f>IFERROR(VLOOKUP(C34,'COPY DATA XPRO'!$C$7:$AI$58,12,FALSE),0)</f>
        <v>0</v>
      </c>
      <c r="O34">
        <f>IFERROR(VLOOKUP(C34,'COPY DATA XPRO'!$C$7:$AI$58,13,FALSE),0)</f>
        <v>0</v>
      </c>
      <c r="P34">
        <f>IFERROR(VLOOKUP(C34,'COPY DATA XPRO'!$C$7:$AI$58,14,FALSE),0)</f>
        <v>0</v>
      </c>
      <c r="Q34">
        <f>IFERROR(VLOOKUP(C34,'COPY DATA XPRO'!$C$7:$AI$58,15,FALSE),0)</f>
        <v>0</v>
      </c>
      <c r="R34">
        <f>IFERROR(VLOOKUP(C34,'COPY DATA XPRO'!$C$7:$AI$58,16,FALSE),0)</f>
        <v>0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0</v>
      </c>
      <c r="Y34">
        <f>IFERROR(VLOOKUP(C34,'COPY DATA XPRO'!$C$7:$AI$58,23,FALSE),0)</f>
        <v>0</v>
      </c>
      <c r="Z34">
        <f>IFERROR(VLOOKUP(C34,'COPY DATA XPRO'!$C$7:$AI$58,24,FALSE),0)</f>
        <v>0</v>
      </c>
      <c r="AA34">
        <f>IFERROR(VLOOKUP(C34,'COPY DATA XPRO'!$C$7:$AI$58,25,FALSE),0)</f>
        <v>0</v>
      </c>
      <c r="AB34">
        <f>IFERROR(VLOOKUP(C34,'COPY DATA XPRO'!$C$7:$AI$58,26,FALSE),0)</f>
        <v>0</v>
      </c>
      <c r="AC34">
        <f>IFERROR(VLOOKUP(C34,'COPY DATA XPRO'!$C$7:$AI$58,27,FALSE),0)</f>
        <v>0</v>
      </c>
      <c r="AD34">
        <f>IFERROR(VLOOKUP(C34,'COPY DATA XPRO'!$C$7:$AI$58,28,FALSE),0)</f>
        <v>0</v>
      </c>
      <c r="AE34">
        <f>IFERROR(VLOOKUP(C34,'COPY DATA XPRO'!$C$7:$AI$58,29,FALSE),0)</f>
        <v>0</v>
      </c>
      <c r="AF34">
        <f>IFERROR(VLOOKUP(C34,'COPY DATA XPRO'!$C$7:$AI$58,30,FALSE),0)</f>
        <v>0</v>
      </c>
      <c r="AG34">
        <f>IFERROR(VLOOKUP(C34,'COPY DATA XPRO'!$C$7:$AI$58,31,FALSE),0)</f>
        <v>0</v>
      </c>
      <c r="AH34">
        <f>IFERROR(VLOOKUP(C34,'COPY DATA XPRO'!$C$7:$AI$58,32,FALSE),0)</f>
        <v>0</v>
      </c>
      <c r="AI34">
        <f>IFERROR(VLOOKUP(C34,'COPY DATA XPRO'!$C$7:$AI$58,33,FALSE),0)</f>
        <v>0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0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0</v>
      </c>
      <c r="J35">
        <f>IFERROR(VLOOKUP(C35,'COPY DATA XPRO'!$C$7:$AI$58,8,FALSE),0)</f>
        <v>0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0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0</v>
      </c>
      <c r="Q35">
        <f>IFERROR(VLOOKUP(C35,'COPY DATA XPRO'!$C$7:$AI$58,15,FALSE),0)</f>
        <v>0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0</v>
      </c>
      <c r="Y35">
        <f>IFERROR(VLOOKUP(C35,'COPY DATA XPRO'!$C$7:$AI$58,23,FALSE),0)</f>
        <v>0</v>
      </c>
      <c r="Z35">
        <f>IFERROR(VLOOKUP(C35,'COPY DATA XPRO'!$C$7:$AI$58,24,FALSE),0)</f>
        <v>0</v>
      </c>
      <c r="AA35">
        <f>IFERROR(VLOOKUP(C35,'COPY DATA XPRO'!$C$7:$AI$58,25,FALSE),0)</f>
        <v>0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0</v>
      </c>
      <c r="AF35">
        <f>IFERROR(VLOOKUP(C35,'COPY DATA XPRO'!$C$7:$AI$58,30,FALSE),0)</f>
        <v>0</v>
      </c>
      <c r="AG35">
        <f>IFERROR(VLOOKUP(C35,'COPY DATA XPRO'!$C$7:$AI$58,31,FALSE),0)</f>
        <v>0</v>
      </c>
      <c r="AH35">
        <f>IFERROR(VLOOKUP(C35,'COPY DATA XPRO'!$C$7:$AI$58,32,FALSE),0)</f>
        <v>0</v>
      </c>
      <c r="AI35">
        <f>IFERROR(VLOOKUP(C35,'COPY DATA XPRO'!$C$7:$AI$58,33,FALSE),0)</f>
        <v>0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0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0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0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0</v>
      </c>
      <c r="AG36">
        <f>IFERROR(VLOOKUP(C36,'COPY DATA XPRO'!$C$7:$AI$58,31,FALSE),0)</f>
        <v>0</v>
      </c>
      <c r="AH36">
        <f>IFERROR(VLOOKUP(C36,'COPY DATA XPRO'!$C$7:$AI$58,32,FALSE),0)</f>
        <v>0</v>
      </c>
      <c r="AI36">
        <f>IFERROR(VLOOKUP(C36,'COPY DATA XPRO'!$C$7:$AI$58,33,FALSE),0)</f>
        <v>0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0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0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0</v>
      </c>
      <c r="O37">
        <f>IFERROR(VLOOKUP(C37,'COPY DATA XPRO'!$C$7:$AI$58,13,FALSE),0)</f>
        <v>0</v>
      </c>
      <c r="P37">
        <f>IFERROR(VLOOKUP(C37,'COPY DATA XPRO'!$C$7:$AI$58,14,FALSE),0)</f>
        <v>0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0</v>
      </c>
      <c r="Z37">
        <f>IFERROR(VLOOKUP(C37,'COPY DATA XPRO'!$C$7:$AI$58,24,FALSE),0)</f>
        <v>0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0</v>
      </c>
      <c r="AF37">
        <f>IFERROR(VLOOKUP(C37,'COPY DATA XPRO'!$C$7:$AI$58,30,FALSE),0)</f>
        <v>0</v>
      </c>
      <c r="AG37">
        <f>IFERROR(VLOOKUP(C37,'COPY DATA XPRO'!$C$7:$AI$58,31,FALSE),0)</f>
        <v>0</v>
      </c>
      <c r="AH37">
        <f>IFERROR(VLOOKUP(C37,'COPY DATA XPRO'!$C$7:$AI$58,32,FALSE),0)</f>
        <v>0</v>
      </c>
      <c r="AI37">
        <f>IFERROR(VLOOKUP(C37,'COPY DATA XPRO'!$C$7:$AI$58,33,FALSE),0)</f>
        <v>0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0</v>
      </c>
      <c r="F38">
        <f>IFERROR(VLOOKUP(C38,'COPY DATA XPRO'!$C$7:$AI$58,4,FALSE),0)</f>
        <v>0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0</v>
      </c>
      <c r="K38">
        <f>IFERROR(VLOOKUP(C38,'COPY DATA XPRO'!$C$7:$AI$58,9,FALSE),0)</f>
        <v>0</v>
      </c>
      <c r="L38">
        <f>IFERROR(VLOOKUP(C38,'COPY DATA XPRO'!$C$7:$AI$58,10,FALSE),0)</f>
        <v>0</v>
      </c>
      <c r="M38">
        <f>IFERROR(VLOOKUP(C38,'COPY DATA XPRO'!$C$7:$AI$58,11,FALSE),0)</f>
        <v>0</v>
      </c>
      <c r="N38">
        <f>IFERROR(VLOOKUP(C38,'COPY DATA XPRO'!$C$7:$AI$58,12,FALSE),0)</f>
        <v>0</v>
      </c>
      <c r="O38">
        <f>IFERROR(VLOOKUP(C38,'COPY DATA XPRO'!$C$7:$AI$58,13,FALSE),0)</f>
        <v>0</v>
      </c>
      <c r="P38">
        <f>IFERROR(VLOOKUP(C38,'COPY DATA XPRO'!$C$7:$AI$58,14,FALSE),0)</f>
        <v>0</v>
      </c>
      <c r="Q38">
        <f>IFERROR(VLOOKUP(C38,'COPY DATA XPRO'!$C$7:$AI$58,15,FALSE),0)</f>
        <v>0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0</v>
      </c>
      <c r="U38">
        <f>IFERROR(VLOOKUP(C38,'COPY DATA XPRO'!$C$7:$AI$58,19,FALSE),0)</f>
        <v>0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0</v>
      </c>
      <c r="Y38">
        <f>IFERROR(VLOOKUP(C38,'COPY DATA XPRO'!$C$7:$AI$58,23,FALSE),0)</f>
        <v>0</v>
      </c>
      <c r="Z38">
        <f>IFERROR(VLOOKUP(C38,'COPY DATA XPRO'!$C$7:$AI$58,24,FALSE),0)</f>
        <v>0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0</v>
      </c>
      <c r="AG38">
        <f>IFERROR(VLOOKUP(C38,'COPY DATA XPRO'!$C$7:$AI$58,31,FALSE),0)</f>
        <v>0</v>
      </c>
      <c r="AH38">
        <f>IFERROR(VLOOKUP(C38,'COPY DATA XPRO'!$C$7:$AI$58,32,FALSE),0)</f>
        <v>0</v>
      </c>
      <c r="AI38">
        <f>IFERROR(VLOOKUP(C38,'COPY DATA XPRO'!$C$7:$AI$58,33,FALSE),0)</f>
        <v>0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0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0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0</v>
      </c>
      <c r="O39">
        <f>IFERROR(VLOOKUP(C39,'COPY DATA XPRO'!$C$7:$AI$58,13,FALSE),0)</f>
        <v>0</v>
      </c>
      <c r="P39">
        <f>IFERROR(VLOOKUP(C39,'COPY DATA XPRO'!$C$7:$AI$58,14,FALSE),0)</f>
        <v>0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0</v>
      </c>
      <c r="Y39">
        <f>IFERROR(VLOOKUP(C39,'COPY DATA XPRO'!$C$7:$AI$58,23,FALSE),0)</f>
        <v>0</v>
      </c>
      <c r="Z39">
        <f>IFERROR(VLOOKUP(C39,'COPY DATA XPRO'!$C$7:$AI$58,24,FALSE),0)</f>
        <v>0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0</v>
      </c>
      <c r="AH39">
        <f>IFERROR(VLOOKUP(C39,'COPY DATA XPRO'!$C$7:$AI$58,32,FALSE),0)</f>
        <v>0</v>
      </c>
      <c r="AI39">
        <f>IFERROR(VLOOKUP(C39,'COPY DATA XPRO'!$C$7:$AI$58,33,FALSE),0)</f>
        <v>0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0</v>
      </c>
      <c r="F40">
        <f>IFERROR(VLOOKUP(C40,'COPY DATA XPRO'!$C$7:$AI$58,4,FALSE),0)</f>
        <v>0</v>
      </c>
      <c r="G40">
        <f>IFERROR(VLOOKUP(C40,'COPY DATA XPRO'!$C$7:$AI$58,5,FALSE),0)</f>
        <v>0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0</v>
      </c>
      <c r="K40">
        <f>IFERROR(VLOOKUP(C40,'COPY DATA XPRO'!$C$7:$AI$58,9,FALSE),0)</f>
        <v>0</v>
      </c>
      <c r="L40">
        <f>IFERROR(VLOOKUP(C40,'COPY DATA XPRO'!$C$7:$AI$58,10,FALSE),0)</f>
        <v>0</v>
      </c>
      <c r="M40">
        <f>IFERROR(VLOOKUP(C40,'COPY DATA XPRO'!$C$7:$AI$58,11,FALSE),0)</f>
        <v>0</v>
      </c>
      <c r="N40">
        <f>IFERROR(VLOOKUP(C40,'COPY DATA XPRO'!$C$7:$AI$58,12,FALSE),0)</f>
        <v>0</v>
      </c>
      <c r="O40">
        <f>IFERROR(VLOOKUP(C40,'COPY DATA XPRO'!$C$7:$AI$58,13,FALSE),0)</f>
        <v>0</v>
      </c>
      <c r="P40">
        <f>IFERROR(VLOOKUP(C40,'COPY DATA XPRO'!$C$7:$AI$58,14,FALSE),0)</f>
        <v>0</v>
      </c>
      <c r="Q40">
        <f>IFERROR(VLOOKUP(C40,'COPY DATA XPRO'!$C$7:$AI$58,15,FALSE),0)</f>
        <v>0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0</v>
      </c>
      <c r="Y40">
        <f>IFERROR(VLOOKUP(C40,'COPY DATA XPRO'!$C$7:$AI$58,23,FALSE),0)</f>
        <v>0</v>
      </c>
      <c r="Z40">
        <f>IFERROR(VLOOKUP(C40,'COPY DATA XPRO'!$C$7:$AI$58,24,FALSE),0)</f>
        <v>0</v>
      </c>
      <c r="AA40">
        <f>IFERROR(VLOOKUP(C40,'COPY DATA XPRO'!$C$7:$AI$58,25,FALSE),0)</f>
        <v>0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0</v>
      </c>
      <c r="AF40">
        <f>IFERROR(VLOOKUP(C40,'COPY DATA XPRO'!$C$7:$AI$58,30,FALSE),0)</f>
        <v>0</v>
      </c>
      <c r="AG40">
        <f>IFERROR(VLOOKUP(C40,'COPY DATA XPRO'!$C$7:$AI$58,31,FALSE),0)</f>
        <v>0</v>
      </c>
      <c r="AH40">
        <f>IFERROR(VLOOKUP(C40,'COPY DATA XPRO'!$C$7:$AI$58,32,FALSE),0)</f>
        <v>0</v>
      </c>
      <c r="AI40">
        <f>IFERROR(VLOOKUP(C40,'COPY DATA XPRO'!$C$7:$AI$58,33,FALSE),0)</f>
        <v>0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0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0</v>
      </c>
      <c r="I41">
        <f>IFERROR(VLOOKUP(C41,'COPY DATA XPRO'!$C$7:$AI$58,7,FALSE),0)</f>
        <v>0</v>
      </c>
      <c r="J41">
        <f>IFERROR(VLOOKUP(C41,'COPY DATA XPRO'!$C$7:$AI$58,8,FALSE),0)</f>
        <v>0</v>
      </c>
      <c r="K41">
        <f>IFERROR(VLOOKUP(C41,'COPY DATA XPRO'!$C$7:$AI$58,9,FALSE),0)</f>
        <v>0</v>
      </c>
      <c r="L41">
        <f>IFERROR(VLOOKUP(C41,'COPY DATA XPRO'!$C$7:$AI$58,10,FALSE),0)</f>
        <v>0</v>
      </c>
      <c r="M41">
        <f>IFERROR(VLOOKUP(C41,'COPY DATA XPRO'!$C$7:$AI$58,11,FALSE),0)</f>
        <v>0</v>
      </c>
      <c r="N41">
        <f>IFERROR(VLOOKUP(C41,'COPY DATA XPRO'!$C$7:$AI$58,12,FALSE),0)</f>
        <v>0</v>
      </c>
      <c r="O41">
        <f>IFERROR(VLOOKUP(C41,'COPY DATA XPRO'!$C$7:$AI$58,13,FALSE),0)</f>
        <v>0</v>
      </c>
      <c r="P41">
        <f>IFERROR(VLOOKUP(C41,'COPY DATA XPRO'!$C$7:$AI$58,14,FALSE),0)</f>
        <v>0</v>
      </c>
      <c r="Q41">
        <f>IFERROR(VLOOKUP(C41,'COPY DATA XPRO'!$C$7:$AI$58,15,FALSE),0)</f>
        <v>0</v>
      </c>
      <c r="R41">
        <f>IFERROR(VLOOKUP(C41,'COPY DATA XPRO'!$C$7:$AI$58,16,FALSE),0)</f>
        <v>0</v>
      </c>
      <c r="S41">
        <f>IFERROR(VLOOKUP(C41,'COPY DATA XPRO'!$C$7:$AI$58,17,FALSE),0)</f>
        <v>0</v>
      </c>
      <c r="T41">
        <f>IFERROR(VLOOKUP(C41,'COPY DATA XPRO'!$C$7:$AI$58,18,FALSE),0)</f>
        <v>0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0</v>
      </c>
      <c r="Y41">
        <f>IFERROR(VLOOKUP(C41,'COPY DATA XPRO'!$C$7:$AI$58,23,FALSE),0)</f>
        <v>0</v>
      </c>
      <c r="Z41">
        <f>IFERROR(VLOOKUP(C41,'COPY DATA XPRO'!$C$7:$AI$58,24,FALSE),0)</f>
        <v>0</v>
      </c>
      <c r="AA41">
        <f>IFERROR(VLOOKUP(C41,'COPY DATA XPRO'!$C$7:$AI$58,25,FALSE),0)</f>
        <v>0</v>
      </c>
      <c r="AB41">
        <f>IFERROR(VLOOKUP(C41,'COPY DATA XPRO'!$C$7:$AI$58,26,FALSE),0)</f>
        <v>0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0</v>
      </c>
      <c r="AF41">
        <f>IFERROR(VLOOKUP(C41,'COPY DATA XPRO'!$C$7:$AI$58,30,FALSE),0)</f>
        <v>0</v>
      </c>
      <c r="AG41">
        <f>IFERROR(VLOOKUP(C41,'COPY DATA XPRO'!$C$7:$AI$58,31,FALSE),0)</f>
        <v>0</v>
      </c>
      <c r="AH41">
        <f>IFERROR(VLOOKUP(C41,'COPY DATA XPRO'!$C$7:$AI$58,32,FALSE),0)</f>
        <v>0</v>
      </c>
      <c r="AI41">
        <f>IFERROR(VLOOKUP(C41,'COPY DATA XPRO'!$C$7:$AI$58,33,FALSE),0)</f>
        <v>0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0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0</v>
      </c>
      <c r="I42">
        <f>IFERROR(VLOOKUP(C42,'COPY DATA XPRO'!$C$7:$AI$58,7,FALSE),0)</f>
        <v>0</v>
      </c>
      <c r="J42">
        <f>IFERROR(VLOOKUP(C42,'COPY DATA XPRO'!$C$7:$AI$58,8,FALSE),0)</f>
        <v>0</v>
      </c>
      <c r="K42">
        <f>IFERROR(VLOOKUP(C42,'COPY DATA XPRO'!$C$7:$AI$58,9,FALSE),0)</f>
        <v>0</v>
      </c>
      <c r="L42">
        <f>IFERROR(VLOOKUP(C42,'COPY DATA XPRO'!$C$7:$AI$58,10,FALSE),0)</f>
        <v>0</v>
      </c>
      <c r="M42">
        <f>IFERROR(VLOOKUP(C42,'COPY DATA XPRO'!$C$7:$AI$58,11,FALSE),0)</f>
        <v>0</v>
      </c>
      <c r="N42">
        <f>IFERROR(VLOOKUP(C42,'COPY DATA XPRO'!$C$7:$AI$58,12,FALSE),0)</f>
        <v>0</v>
      </c>
      <c r="O42">
        <f>IFERROR(VLOOKUP(C42,'COPY DATA XPRO'!$C$7:$AI$58,13,FALSE),0)</f>
        <v>0</v>
      </c>
      <c r="P42">
        <f>IFERROR(VLOOKUP(C42,'COPY DATA XPRO'!$C$7:$AI$58,14,FALSE),0)</f>
        <v>0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0</v>
      </c>
      <c r="Z42">
        <f>IFERROR(VLOOKUP(C42,'COPY DATA XPRO'!$C$7:$AI$58,24,FALSE),0)</f>
        <v>0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0</v>
      </c>
      <c r="AH42">
        <f>IFERROR(VLOOKUP(C42,'COPY DATA XPRO'!$C$7:$AI$58,32,FALSE),0)</f>
        <v>0</v>
      </c>
      <c r="AI42">
        <f>IFERROR(VLOOKUP(C42,'COPY DATA XPRO'!$C$7:$AI$58,33,FALSE),0)</f>
        <v>0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0</v>
      </c>
      <c r="F43">
        <f>IFERROR(VLOOKUP(C43,'COPY DATA XPRO'!$C$7:$AI$58,4,FALSE),0)</f>
        <v>0</v>
      </c>
      <c r="G43">
        <f>IFERROR(VLOOKUP(C43,'COPY DATA XPRO'!$C$7:$AI$58,5,FALSE),0)</f>
        <v>0</v>
      </c>
      <c r="H43">
        <f>IFERROR(VLOOKUP(C43,'COPY DATA XPRO'!$C$7:$AI$58,6,FALSE),0)</f>
        <v>0</v>
      </c>
      <c r="I43">
        <f>IFERROR(VLOOKUP(C43,'COPY DATA XPRO'!$C$7:$AI$58,7,FALSE),0)</f>
        <v>0</v>
      </c>
      <c r="J43">
        <f>IFERROR(VLOOKUP(C43,'COPY DATA XPRO'!$C$7:$AI$58,8,FALSE),0)</f>
        <v>0</v>
      </c>
      <c r="K43">
        <f>IFERROR(VLOOKUP(C43,'COPY DATA XPRO'!$C$7:$AI$58,9,FALSE),0)</f>
        <v>0</v>
      </c>
      <c r="L43">
        <f>IFERROR(VLOOKUP(C43,'COPY DATA XPRO'!$C$7:$AI$58,10,FALSE),0)</f>
        <v>0</v>
      </c>
      <c r="M43">
        <f>IFERROR(VLOOKUP(C43,'COPY DATA XPRO'!$C$7:$AI$58,11,FALSE),0)</f>
        <v>0</v>
      </c>
      <c r="N43">
        <f>IFERROR(VLOOKUP(C43,'COPY DATA XPRO'!$C$7:$AI$58,12,FALSE),0)</f>
        <v>0</v>
      </c>
      <c r="O43">
        <f>IFERROR(VLOOKUP(C43,'COPY DATA XPRO'!$C$7:$AI$58,13,FALSE),0)</f>
        <v>0</v>
      </c>
      <c r="P43">
        <f>IFERROR(VLOOKUP(C43,'COPY DATA XPRO'!$C$7:$AI$58,14,FALSE),0)</f>
        <v>0</v>
      </c>
      <c r="Q43">
        <f>IFERROR(VLOOKUP(C43,'COPY DATA XPRO'!$C$7:$AI$58,15,FALSE),0)</f>
        <v>0</v>
      </c>
      <c r="R43">
        <f>IFERROR(VLOOKUP(C43,'COPY DATA XPRO'!$C$7:$AI$58,16,FALSE),0)</f>
        <v>0</v>
      </c>
      <c r="S43">
        <f>IFERROR(VLOOKUP(C43,'COPY DATA XPRO'!$C$7:$AI$58,17,FALSE),0)</f>
        <v>0</v>
      </c>
      <c r="T43">
        <f>IFERROR(VLOOKUP(C43,'COPY DATA XPRO'!$C$7:$AI$58,18,FALSE),0)</f>
        <v>0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0</v>
      </c>
      <c r="Y43">
        <f>IFERROR(VLOOKUP(C43,'COPY DATA XPRO'!$C$7:$AI$58,23,FALSE),0)</f>
        <v>0</v>
      </c>
      <c r="Z43">
        <f>IFERROR(VLOOKUP(C43,'COPY DATA XPRO'!$C$7:$AI$58,24,FALSE),0)</f>
        <v>0</v>
      </c>
      <c r="AA43">
        <f>IFERROR(VLOOKUP(C43,'COPY DATA XPRO'!$C$7:$AI$58,25,FALSE),0)</f>
        <v>0</v>
      </c>
      <c r="AB43">
        <f>IFERROR(VLOOKUP(C43,'COPY DATA XPRO'!$C$7:$AI$58,26,FALSE),0)</f>
        <v>0</v>
      </c>
      <c r="AC43">
        <f>IFERROR(VLOOKUP(C43,'COPY DATA XPRO'!$C$7:$AI$58,27,FALSE),0)</f>
        <v>0</v>
      </c>
      <c r="AD43">
        <f>IFERROR(VLOOKUP(C43,'COPY DATA XPRO'!$C$7:$AI$58,28,FALSE),0)</f>
        <v>0</v>
      </c>
      <c r="AE43">
        <f>IFERROR(VLOOKUP(C43,'COPY DATA XPRO'!$C$7:$AI$58,29,FALSE),0)</f>
        <v>0</v>
      </c>
      <c r="AF43">
        <f>IFERROR(VLOOKUP(C43,'COPY DATA XPRO'!$C$7:$AI$58,30,FALSE),0)</f>
        <v>0</v>
      </c>
      <c r="AG43">
        <f>IFERROR(VLOOKUP(C43,'COPY DATA XPRO'!$C$7:$AI$58,31,FALSE),0)</f>
        <v>0</v>
      </c>
      <c r="AH43">
        <f>IFERROR(VLOOKUP(C43,'COPY DATA XPRO'!$C$7:$AI$58,32,FALSE),0)</f>
        <v>0</v>
      </c>
      <c r="AI43">
        <f>IFERROR(VLOOKUP(C43,'COPY DATA XPRO'!$C$7:$AI$58,33,FALSE),0)</f>
        <v>0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0</v>
      </c>
      <c r="F44">
        <f>IFERROR(VLOOKUP(C44,'COPY DATA XPRO'!$C$7:$AI$58,4,FALSE),0)</f>
        <v>0</v>
      </c>
      <c r="G44">
        <f>IFERROR(VLOOKUP(C44,'COPY DATA XPRO'!$C$7:$AI$58,5,FALSE),0)</f>
        <v>0</v>
      </c>
      <c r="H44">
        <f>IFERROR(VLOOKUP(C44,'COPY DATA XPRO'!$C$7:$AI$58,6,FALSE),0)</f>
        <v>0</v>
      </c>
      <c r="I44">
        <f>IFERROR(VLOOKUP(C44,'COPY DATA XPRO'!$C$7:$AI$58,7,FALSE),0)</f>
        <v>0</v>
      </c>
      <c r="J44">
        <f>IFERROR(VLOOKUP(C44,'COPY DATA XPRO'!$C$7:$AI$58,8,FALSE),0)</f>
        <v>0</v>
      </c>
      <c r="K44">
        <f>IFERROR(VLOOKUP(C44,'COPY DATA XPRO'!$C$7:$AI$58,9,FALSE),0)</f>
        <v>0</v>
      </c>
      <c r="L44">
        <f>IFERROR(VLOOKUP(C44,'COPY DATA XPRO'!$C$7:$AI$58,10,FALSE),0)</f>
        <v>0</v>
      </c>
      <c r="M44">
        <f>IFERROR(VLOOKUP(C44,'COPY DATA XPRO'!$C$7:$AI$58,11,FALSE),0)</f>
        <v>0</v>
      </c>
      <c r="N44">
        <f>IFERROR(VLOOKUP(C44,'COPY DATA XPRO'!$C$7:$AI$58,12,FALSE),0)</f>
        <v>0</v>
      </c>
      <c r="O44">
        <f>IFERROR(VLOOKUP(C44,'COPY DATA XPRO'!$C$7:$AI$58,13,FALSE),0)</f>
        <v>0</v>
      </c>
      <c r="P44">
        <f>IFERROR(VLOOKUP(C44,'COPY DATA XPRO'!$C$7:$AI$58,14,FALSE),0)</f>
        <v>0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0</v>
      </c>
      <c r="Z44">
        <f>IFERROR(VLOOKUP(C44,'COPY DATA XPRO'!$C$7:$AI$58,24,FALSE),0)</f>
        <v>0</v>
      </c>
      <c r="AA44">
        <f>IFERROR(VLOOKUP(C44,'COPY DATA XPRO'!$C$7:$AI$58,25,FALSE),0)</f>
        <v>0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0</v>
      </c>
      <c r="AF44">
        <f>IFERROR(VLOOKUP(C44,'COPY DATA XPRO'!$C$7:$AI$58,30,FALSE),0)</f>
        <v>0</v>
      </c>
      <c r="AG44">
        <f>IFERROR(VLOOKUP(C44,'COPY DATA XPRO'!$C$7:$AI$58,31,FALSE),0)</f>
        <v>0</v>
      </c>
      <c r="AH44">
        <f>IFERROR(VLOOKUP(C44,'COPY DATA XPRO'!$C$7:$AI$58,32,FALSE),0)</f>
        <v>0</v>
      </c>
      <c r="AI44">
        <f>IFERROR(VLOOKUP(C44,'COPY DATA XPRO'!$C$7:$AI$58,33,FALSE),0)</f>
        <v>0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0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0</v>
      </c>
      <c r="K45">
        <f>IFERROR(VLOOKUP(C45,'COPY DATA XPRO'!$C$7:$AI$58,9,FALSE),0)</f>
        <v>0</v>
      </c>
      <c r="L45">
        <f>IFERROR(VLOOKUP(C45,'COPY DATA XPRO'!$C$7:$AI$58,10,FALSE),0)</f>
        <v>0</v>
      </c>
      <c r="M45">
        <f>IFERROR(VLOOKUP(C45,'COPY DATA XPRO'!$C$7:$AI$58,11,FALSE),0)</f>
        <v>0</v>
      </c>
      <c r="N45">
        <f>IFERROR(VLOOKUP(C45,'COPY DATA XPRO'!$C$7:$AI$58,12,FALSE),0)</f>
        <v>0</v>
      </c>
      <c r="O45">
        <f>IFERROR(VLOOKUP(C45,'COPY DATA XPRO'!$C$7:$AI$58,13,FALSE),0)</f>
        <v>0</v>
      </c>
      <c r="P45">
        <f>IFERROR(VLOOKUP(C45,'COPY DATA XPRO'!$C$7:$AI$58,14,FALSE),0)</f>
        <v>0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0</v>
      </c>
      <c r="Y45">
        <f>IFERROR(VLOOKUP(C45,'COPY DATA XPRO'!$C$7:$AI$58,23,FALSE),0)</f>
        <v>0</v>
      </c>
      <c r="Z45">
        <f>IFERROR(VLOOKUP(C45,'COPY DATA XPRO'!$C$7:$AI$58,24,FALSE),0)</f>
        <v>0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0</v>
      </c>
      <c r="AH45">
        <f>IFERROR(VLOOKUP(C45,'COPY DATA XPRO'!$C$7:$AI$58,32,FALSE),0)</f>
        <v>0</v>
      </c>
      <c r="AI45">
        <f>IFERROR(VLOOKUP(C45,'COPY DATA XPRO'!$C$7:$AI$58,33,FALSE),0)</f>
        <v>0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0</v>
      </c>
      <c r="F46">
        <f>IFERROR(VLOOKUP(C46,'COPY DATA XPRO'!$C$7:$AI$58,4,FALSE),0)</f>
        <v>0</v>
      </c>
      <c r="G46">
        <f>IFERROR(VLOOKUP(C46,'COPY DATA XPRO'!$C$7:$AI$58,5,FALSE),0)</f>
        <v>0</v>
      </c>
      <c r="H46">
        <f>IFERROR(VLOOKUP(C46,'COPY DATA XPRO'!$C$7:$AI$58,6,FALSE),0)</f>
        <v>0</v>
      </c>
      <c r="I46">
        <f>IFERROR(VLOOKUP(C46,'COPY DATA XPRO'!$C$7:$AI$58,7,FALSE),0)</f>
        <v>0</v>
      </c>
      <c r="J46">
        <f>IFERROR(VLOOKUP(C46,'COPY DATA XPRO'!$C$7:$AI$58,8,FALSE),0)</f>
        <v>0</v>
      </c>
      <c r="K46">
        <f>IFERROR(VLOOKUP(C46,'COPY DATA XPRO'!$C$7:$AI$58,9,FALSE),0)</f>
        <v>0</v>
      </c>
      <c r="L46">
        <f>IFERROR(VLOOKUP(C46,'COPY DATA XPRO'!$C$7:$AI$58,10,FALSE),0)</f>
        <v>0</v>
      </c>
      <c r="M46">
        <f>IFERROR(VLOOKUP(C46,'COPY DATA XPRO'!$C$7:$AI$58,11,FALSE),0)</f>
        <v>0</v>
      </c>
      <c r="N46">
        <f>IFERROR(VLOOKUP(C46,'COPY DATA XPRO'!$C$7:$AI$58,12,FALSE),0)</f>
        <v>0</v>
      </c>
      <c r="O46">
        <f>IFERROR(VLOOKUP(C46,'COPY DATA XPRO'!$C$7:$AI$58,13,FALSE),0)</f>
        <v>0</v>
      </c>
      <c r="P46">
        <f>IFERROR(VLOOKUP(C46,'COPY DATA XPRO'!$C$7:$AI$58,14,FALSE),0)</f>
        <v>0</v>
      </c>
      <c r="Q46">
        <f>IFERROR(VLOOKUP(C46,'COPY DATA XPRO'!$C$7:$AI$58,15,FALSE),0)</f>
        <v>0</v>
      </c>
      <c r="R46">
        <f>IFERROR(VLOOKUP(C46,'COPY DATA XPRO'!$C$7:$AI$58,16,FALSE),0)</f>
        <v>0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0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0</v>
      </c>
      <c r="Y46">
        <f>IFERROR(VLOOKUP(C46,'COPY DATA XPRO'!$C$7:$AI$58,23,FALSE),0)</f>
        <v>0</v>
      </c>
      <c r="Z46">
        <f>IFERROR(VLOOKUP(C46,'COPY DATA XPRO'!$C$7:$AI$58,24,FALSE),0)</f>
        <v>0</v>
      </c>
      <c r="AA46">
        <f>IFERROR(VLOOKUP(C46,'COPY DATA XPRO'!$C$7:$AI$58,25,FALSE),0)</f>
        <v>0</v>
      </c>
      <c r="AB46">
        <f>IFERROR(VLOOKUP(C46,'COPY DATA XPRO'!$C$7:$AI$58,26,FALSE),0)</f>
        <v>0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0</v>
      </c>
      <c r="AF46">
        <f>IFERROR(VLOOKUP(C46,'COPY DATA XPRO'!$C$7:$AI$58,30,FALSE),0)</f>
        <v>0</v>
      </c>
      <c r="AG46">
        <f>IFERROR(VLOOKUP(C46,'COPY DATA XPRO'!$C$7:$AI$58,31,FALSE),0)</f>
        <v>0</v>
      </c>
      <c r="AH46">
        <f>IFERROR(VLOOKUP(C46,'COPY DATA XPRO'!$C$7:$AI$58,32,FALSE),0)</f>
        <v>0</v>
      </c>
      <c r="AI46">
        <f>IFERROR(VLOOKUP(C46,'COPY DATA XPRO'!$C$7:$AI$58,33,FALSE),0)</f>
        <v>0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0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0</v>
      </c>
      <c r="AA47">
        <f>IFERROR(VLOOKUP(C47,'COPY DATA XPRO'!$C$7:$AI$58,25,FALSE),0)</f>
        <v>0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0</v>
      </c>
      <c r="AF47">
        <f>IFERROR(VLOOKUP(C47,'COPY DATA XPRO'!$C$7:$AI$58,30,FALSE),0)</f>
        <v>0</v>
      </c>
      <c r="AG47">
        <f>IFERROR(VLOOKUP(C47,'COPY DATA XPRO'!$C$7:$AI$58,31,FALSE),0)</f>
        <v>0</v>
      </c>
      <c r="AH47">
        <f>IFERROR(VLOOKUP(C47,'COPY DATA XPRO'!$C$7:$AI$58,32,FALSE),0)</f>
        <v>0</v>
      </c>
      <c r="AI47">
        <f>IFERROR(VLOOKUP(C47,'COPY DATA XPRO'!$C$7:$AI$58,33,FALSE),0)</f>
        <v>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0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0</v>
      </c>
      <c r="J48">
        <f>IFERROR(VLOOKUP(C48,'COPY DATA XPRO'!$C$7:$AI$58,8,FALSE),0)</f>
        <v>0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0</v>
      </c>
      <c r="O48">
        <f>IFERROR(VLOOKUP(C48,'COPY DATA XPRO'!$C$7:$AI$58,13,FALSE),0)</f>
        <v>0</v>
      </c>
      <c r="P48">
        <f>IFERROR(VLOOKUP(C48,'COPY DATA XPRO'!$C$7:$AI$58,14,FALSE),0)</f>
        <v>0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0</v>
      </c>
      <c r="Z48">
        <f>IFERROR(VLOOKUP(C48,'COPY DATA XPRO'!$C$7:$AI$58,24,FALSE),0)</f>
        <v>0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0</v>
      </c>
      <c r="AH48">
        <f>IFERROR(VLOOKUP(C48,'COPY DATA XPRO'!$C$7:$AI$58,32,FALSE),0)</f>
        <v>0</v>
      </c>
      <c r="AI48">
        <f>IFERROR(VLOOKUP(C48,'COPY DATA XPRO'!$C$7:$AI$58,33,FALSE),0)</f>
        <v>0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0</v>
      </c>
      <c r="F49">
        <f>IFERROR(VLOOKUP(C49,'COPY DATA XPRO'!$C$7:$AI$58,4,FALSE),0)</f>
        <v>0</v>
      </c>
      <c r="G49">
        <f>IFERROR(VLOOKUP(C49,'COPY DATA XPRO'!$C$7:$AI$58,5,FALSE),0)</f>
        <v>0</v>
      </c>
      <c r="H49">
        <f>IFERROR(VLOOKUP(C49,'COPY DATA XPRO'!$C$7:$AI$58,6,FALSE),0)</f>
        <v>0</v>
      </c>
      <c r="I49">
        <f>IFERROR(VLOOKUP(C49,'COPY DATA XPRO'!$C$7:$AI$58,7,FALSE),0)</f>
        <v>0</v>
      </c>
      <c r="J49">
        <f>IFERROR(VLOOKUP(C49,'COPY DATA XPRO'!$C$7:$AI$58,8,FALSE),0)</f>
        <v>0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0</v>
      </c>
      <c r="N49">
        <f>IFERROR(VLOOKUP(C49,'COPY DATA XPRO'!$C$7:$AI$58,12,FALSE),0)</f>
        <v>0</v>
      </c>
      <c r="O49">
        <f>IFERROR(VLOOKUP(C49,'COPY DATA XPRO'!$C$7:$AI$58,13,FALSE),0)</f>
        <v>0</v>
      </c>
      <c r="P49">
        <f>IFERROR(VLOOKUP(C49,'COPY DATA XPRO'!$C$7:$AI$58,14,FALSE),0)</f>
        <v>0</v>
      </c>
      <c r="Q49">
        <f>IFERROR(VLOOKUP(C49,'COPY DATA XPRO'!$C$7:$AI$58,15,FALSE),0)</f>
        <v>0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0</v>
      </c>
      <c r="Y49">
        <f>IFERROR(VLOOKUP(C49,'COPY DATA XPRO'!$C$7:$AI$58,23,FALSE),0)</f>
        <v>0</v>
      </c>
      <c r="Z49">
        <f>IFERROR(VLOOKUP(C49,'COPY DATA XPRO'!$C$7:$AI$58,24,FALSE),0)</f>
        <v>0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0</v>
      </c>
      <c r="AG49">
        <f>IFERROR(VLOOKUP(C49,'COPY DATA XPRO'!$C$7:$AI$58,31,FALSE),0)</f>
        <v>0</v>
      </c>
      <c r="AH49">
        <f>IFERROR(VLOOKUP(C49,'COPY DATA XPRO'!$C$7:$AI$58,32,FALSE),0)</f>
        <v>0</v>
      </c>
      <c r="AI49">
        <f>IFERROR(VLOOKUP(C49,'COPY DATA XPRO'!$C$7:$AI$58,33,FALSE),0)</f>
        <v>0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0</v>
      </c>
      <c r="F50">
        <f>IFERROR(VLOOKUP(C50,'COPY DATA XPRO'!$C$7:$AI$58,4,FALSE),0)</f>
        <v>0</v>
      </c>
      <c r="G50">
        <f>IFERROR(VLOOKUP(C50,'COPY DATA XPRO'!$C$7:$AI$58,5,FALSE),0)</f>
        <v>0</v>
      </c>
      <c r="H50">
        <f>IFERROR(VLOOKUP(C50,'COPY DATA XPRO'!$C$7:$AI$58,6,FALSE),0)</f>
        <v>0</v>
      </c>
      <c r="I50">
        <f>IFERROR(VLOOKUP(C50,'COPY DATA XPRO'!$C$7:$AI$58,7,FALSE),0)</f>
        <v>0</v>
      </c>
      <c r="J50">
        <f>IFERROR(VLOOKUP(C50,'COPY DATA XPRO'!$C$7:$AI$58,8,FALSE),0)</f>
        <v>0</v>
      </c>
      <c r="K50">
        <f>IFERROR(VLOOKUP(C50,'COPY DATA XPRO'!$C$7:$AI$58,9,FALSE),0)</f>
        <v>0</v>
      </c>
      <c r="L50">
        <f>IFERROR(VLOOKUP(C50,'COPY DATA XPRO'!$C$7:$AI$58,10,FALSE),0)</f>
        <v>0</v>
      </c>
      <c r="M50">
        <f>IFERROR(VLOOKUP(C50,'COPY DATA XPRO'!$C$7:$AI$58,11,FALSE),0)</f>
        <v>0</v>
      </c>
      <c r="N50">
        <f>IFERROR(VLOOKUP(C50,'COPY DATA XPRO'!$C$7:$AI$58,12,FALSE),0)</f>
        <v>0</v>
      </c>
      <c r="O50">
        <f>IFERROR(VLOOKUP(C50,'COPY DATA XPRO'!$C$7:$AI$58,13,FALSE),0)</f>
        <v>0</v>
      </c>
      <c r="P50">
        <f>IFERROR(VLOOKUP(C50,'COPY DATA XPRO'!$C$7:$AI$58,14,FALSE),0)</f>
        <v>0</v>
      </c>
      <c r="Q50">
        <f>IFERROR(VLOOKUP(C50,'COPY DATA XPRO'!$C$7:$AI$58,15,FALSE),0)</f>
        <v>0</v>
      </c>
      <c r="R50">
        <f>IFERROR(VLOOKUP(C50,'COPY DATA XPRO'!$C$7:$AI$58,16,FALSE),0)</f>
        <v>0</v>
      </c>
      <c r="S50">
        <f>IFERROR(VLOOKUP(C50,'COPY DATA XPRO'!$C$7:$AI$58,17,FALSE),0)</f>
        <v>0</v>
      </c>
      <c r="T50">
        <f>IFERROR(VLOOKUP(C50,'COPY DATA XPRO'!$C$7:$AI$58,18,FALSE),0)</f>
        <v>0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0</v>
      </c>
      <c r="Y50">
        <f>IFERROR(VLOOKUP(C50,'COPY DATA XPRO'!$C$7:$AI$58,23,FALSE),0)</f>
        <v>0</v>
      </c>
      <c r="Z50">
        <f>IFERROR(VLOOKUP(C50,'COPY DATA XPRO'!$C$7:$AI$58,24,FALSE),0)</f>
        <v>0</v>
      </c>
      <c r="AA50">
        <f>IFERROR(VLOOKUP(C50,'COPY DATA XPRO'!$C$7:$AI$58,25,FALSE),0)</f>
        <v>0</v>
      </c>
      <c r="AB50">
        <f>IFERROR(VLOOKUP(C50,'COPY DATA XPRO'!$C$7:$AI$58,26,FALSE),0)</f>
        <v>0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0</v>
      </c>
      <c r="AF50">
        <f>IFERROR(VLOOKUP(C50,'COPY DATA XPRO'!$C$7:$AI$58,30,FALSE),0)</f>
        <v>0</v>
      </c>
      <c r="AG50">
        <f>IFERROR(VLOOKUP(C50,'COPY DATA XPRO'!$C$7:$AI$58,31,FALSE),0)</f>
        <v>0</v>
      </c>
      <c r="AH50">
        <f>IFERROR(VLOOKUP(C50,'COPY DATA XPRO'!$C$7:$AI$58,32,FALSE),0)</f>
        <v>0</v>
      </c>
      <c r="AI50">
        <f>IFERROR(VLOOKUP(C50,'COPY DATA XPRO'!$C$7:$AI$58,33,FALSE),0)</f>
        <v>0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0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0</v>
      </c>
      <c r="I51">
        <f>IFERROR(VLOOKUP(C51,'COPY DATA XPRO'!$C$7:$AI$58,7,FALSE),0)</f>
        <v>0</v>
      </c>
      <c r="J51">
        <f>IFERROR(VLOOKUP(C51,'COPY DATA XPRO'!$C$7:$AI$58,8,FALSE),0)</f>
        <v>0</v>
      </c>
      <c r="K51">
        <f>IFERROR(VLOOKUP(C51,'COPY DATA XPRO'!$C$7:$AI$58,9,FALSE),0)</f>
        <v>0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0</v>
      </c>
      <c r="Q51">
        <f>IFERROR(VLOOKUP(C51,'COPY DATA XPRO'!$C$7:$AI$58,15,FALSE),0)</f>
        <v>0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0</v>
      </c>
      <c r="Y51">
        <f>IFERROR(VLOOKUP(C51,'COPY DATA XPRO'!$C$7:$AI$58,23,FALSE),0)</f>
        <v>0</v>
      </c>
      <c r="Z51">
        <f>IFERROR(VLOOKUP(C51,'COPY DATA XPRO'!$C$7:$AI$58,24,FALSE),0)</f>
        <v>0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0</v>
      </c>
      <c r="AG51">
        <f>IFERROR(VLOOKUP(C51,'COPY DATA XPRO'!$C$7:$AI$58,31,FALSE),0)</f>
        <v>0</v>
      </c>
      <c r="AH51">
        <f>IFERROR(VLOOKUP(C51,'COPY DATA XPRO'!$C$7:$AI$58,32,FALSE),0)</f>
        <v>0</v>
      </c>
      <c r="AI51">
        <f>IFERROR(VLOOKUP(C51,'COPY DATA XPRO'!$C$7:$AI$58,33,FALSE),0)</f>
        <v>0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0</v>
      </c>
      <c r="F52">
        <f>IFERROR(VLOOKUP(C52,'COPY DATA XPRO'!$C$7:$AI$58,4,FALSE),0)</f>
        <v>0</v>
      </c>
      <c r="G52">
        <f>IFERROR(VLOOKUP(C52,'COPY DATA XPRO'!$C$7:$AI$58,5,FALSE),0)</f>
        <v>0</v>
      </c>
      <c r="H52">
        <f>IFERROR(VLOOKUP(C52,'COPY DATA XPRO'!$C$7:$AI$58,6,FALSE),0)</f>
        <v>0</v>
      </c>
      <c r="I52">
        <f>IFERROR(VLOOKUP(C52,'COPY DATA XPRO'!$C$7:$AI$58,7,FALSE),0)</f>
        <v>0</v>
      </c>
      <c r="J52">
        <f>IFERROR(VLOOKUP(C52,'COPY DATA XPRO'!$C$7:$AI$58,8,FALSE),0)</f>
        <v>0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0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0</v>
      </c>
      <c r="Q52">
        <f>IFERROR(VLOOKUP(C52,'COPY DATA XPRO'!$C$7:$AI$58,15,FALSE),0)</f>
        <v>0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0</v>
      </c>
      <c r="Y52">
        <f>IFERROR(VLOOKUP(C52,'COPY DATA XPRO'!$C$7:$AI$58,23,FALSE),0)</f>
        <v>0</v>
      </c>
      <c r="Z52">
        <f>IFERROR(VLOOKUP(C52,'COPY DATA XPRO'!$C$7:$AI$58,24,FALSE),0)</f>
        <v>0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0</v>
      </c>
      <c r="AG52">
        <f>IFERROR(VLOOKUP(C52,'COPY DATA XPRO'!$C$7:$AI$58,31,FALSE),0)</f>
        <v>0</v>
      </c>
      <c r="AH52">
        <f>IFERROR(VLOOKUP(C52,'COPY DATA XPRO'!$C$7:$AI$58,32,FALSE),0)</f>
        <v>0</v>
      </c>
      <c r="AI52">
        <f>IFERROR(VLOOKUP(C52,'COPY DATA XPRO'!$C$7:$AI$58,33,FALSE),0)</f>
        <v>0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0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0</v>
      </c>
      <c r="I53">
        <f>IFERROR(VLOOKUP(C53,'COPY DATA XPRO'!$C$7:$AI$58,7,FALSE),0)</f>
        <v>0</v>
      </c>
      <c r="J53">
        <f>IFERROR(VLOOKUP(C53,'COPY DATA XPRO'!$C$7:$AI$58,8,FALSE),0)</f>
        <v>0</v>
      </c>
      <c r="K53">
        <f>IFERROR(VLOOKUP(C53,'COPY DATA XPRO'!$C$7:$AI$58,9,FALSE),0)</f>
        <v>0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0</v>
      </c>
      <c r="Q53">
        <f>IFERROR(VLOOKUP(C53,'COPY DATA XPRO'!$C$7:$AI$58,15,FALSE),0)</f>
        <v>0</v>
      </c>
      <c r="R53">
        <f>IFERROR(VLOOKUP(C53,'COPY DATA XPRO'!$C$7:$AI$58,16,FALSE),0)</f>
        <v>0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0</v>
      </c>
      <c r="Y53">
        <f>IFERROR(VLOOKUP(C53,'COPY DATA XPRO'!$C$7:$AI$58,23,FALSE),0)</f>
        <v>0</v>
      </c>
      <c r="Z53">
        <f>IFERROR(VLOOKUP(C53,'COPY DATA XPRO'!$C$7:$AI$58,24,FALSE),0)</f>
        <v>0</v>
      </c>
      <c r="AA53">
        <f>IFERROR(VLOOKUP(C53,'COPY DATA XPRO'!$C$7:$AI$58,25,FALSE),0)</f>
        <v>0</v>
      </c>
      <c r="AB53">
        <f>IFERROR(VLOOKUP(C53,'COPY DATA XPRO'!$C$7:$AI$58,26,FALSE),0)</f>
        <v>0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0</v>
      </c>
      <c r="AF53">
        <f>IFERROR(VLOOKUP(C53,'COPY DATA XPRO'!$C$7:$AI$58,30,FALSE),0)</f>
        <v>0</v>
      </c>
      <c r="AG53">
        <f>IFERROR(VLOOKUP(C53,'COPY DATA XPRO'!$C$7:$AI$58,31,FALSE),0)</f>
        <v>0</v>
      </c>
      <c r="AH53">
        <f>IFERROR(VLOOKUP(C53,'COPY DATA XPRO'!$C$7:$AI$58,32,FALSE),0)</f>
        <v>0</v>
      </c>
      <c r="AI53">
        <f>IFERROR(VLOOKUP(C53,'COPY DATA XPRO'!$C$7:$AI$58,33,FALSE),0)</f>
        <v>0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0</v>
      </c>
      <c r="F54">
        <f>IFERROR(VLOOKUP(C54,'COPY DATA XPRO'!$C$7:$AI$58,4,FALSE),0)</f>
        <v>0</v>
      </c>
      <c r="G54">
        <f>IFERROR(VLOOKUP(C54,'COPY DATA XPRO'!$C$7:$AI$58,5,FALSE),0)</f>
        <v>0</v>
      </c>
      <c r="H54">
        <f>IFERROR(VLOOKUP(C54,'COPY DATA XPRO'!$C$7:$AI$58,6,FALSE),0)</f>
        <v>0</v>
      </c>
      <c r="I54">
        <f>IFERROR(VLOOKUP(C54,'COPY DATA XPRO'!$C$7:$AI$58,7,FALSE),0)</f>
        <v>0</v>
      </c>
      <c r="J54">
        <f>IFERROR(VLOOKUP(C54,'COPY DATA XPRO'!$C$7:$AI$58,8,FALSE),0)</f>
        <v>0</v>
      </c>
      <c r="K54">
        <f>IFERROR(VLOOKUP(C54,'COPY DATA XPRO'!$C$7:$AI$58,9,FALSE),0)</f>
        <v>0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0</v>
      </c>
      <c r="Q54">
        <f>IFERROR(VLOOKUP(C54,'COPY DATA XPRO'!$C$7:$AI$58,15,FALSE),0)</f>
        <v>0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0</v>
      </c>
      <c r="Y54">
        <f>IFERROR(VLOOKUP(C54,'COPY DATA XPRO'!$C$7:$AI$58,23,FALSE),0)</f>
        <v>0</v>
      </c>
      <c r="Z54">
        <f>IFERROR(VLOOKUP(C54,'COPY DATA XPRO'!$C$7:$AI$58,24,FALSE),0)</f>
        <v>0</v>
      </c>
      <c r="AA54">
        <f>IFERROR(VLOOKUP(C54,'COPY DATA XPRO'!$C$7:$AI$58,25,FALSE),0)</f>
        <v>0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0</v>
      </c>
      <c r="AF54">
        <f>IFERROR(VLOOKUP(C54,'COPY DATA XPRO'!$C$7:$AI$58,30,FALSE),0)</f>
        <v>0</v>
      </c>
      <c r="AG54">
        <f>IFERROR(VLOOKUP(C54,'COPY DATA XPRO'!$C$7:$AI$58,31,FALSE),0)</f>
        <v>0</v>
      </c>
      <c r="AH54">
        <f>IFERROR(VLOOKUP(C54,'COPY DATA XPRO'!$C$7:$AI$58,32,FALSE),0)</f>
        <v>0</v>
      </c>
      <c r="AI54">
        <f>IFERROR(VLOOKUP(C54,'COPY DATA XPRO'!$C$7:$AI$58,33,FALSE),0)</f>
        <v>0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0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0</v>
      </c>
      <c r="I55">
        <f>IFERROR(VLOOKUP(C55,'COPY DATA XPRO'!$C$7:$AI$58,7,FALSE),0)</f>
        <v>0</v>
      </c>
      <c r="J55">
        <f>IFERROR(VLOOKUP(C55,'COPY DATA XPRO'!$C$7:$AI$58,8,FALSE),0)</f>
        <v>0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0</v>
      </c>
      <c r="O55">
        <f>IFERROR(VLOOKUP(C55,'COPY DATA XPRO'!$C$7:$AI$58,13,FALSE),0)</f>
        <v>0</v>
      </c>
      <c r="P55">
        <f>IFERROR(VLOOKUP(C55,'COPY DATA XPRO'!$C$7:$AI$58,14,FALSE),0)</f>
        <v>0</v>
      </c>
      <c r="Q55">
        <f>IFERROR(VLOOKUP(C55,'COPY DATA XPRO'!$C$7:$AI$58,15,FALSE),0)</f>
        <v>0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0</v>
      </c>
      <c r="Y55">
        <f>IFERROR(VLOOKUP(C55,'COPY DATA XPRO'!$C$7:$AI$58,23,FALSE),0)</f>
        <v>0</v>
      </c>
      <c r="Z55">
        <f>IFERROR(VLOOKUP(C55,'COPY DATA XPRO'!$C$7:$AI$58,24,FALSE),0)</f>
        <v>0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0</v>
      </c>
      <c r="AE55">
        <f>IFERROR(VLOOKUP(C55,'COPY DATA XPRO'!$C$7:$AI$58,29,FALSE),0)</f>
        <v>0</v>
      </c>
      <c r="AF55">
        <f>IFERROR(VLOOKUP(C55,'COPY DATA XPRO'!$C$7:$AI$58,30,FALSE),0)</f>
        <v>0</v>
      </c>
      <c r="AG55">
        <f>IFERROR(VLOOKUP(C55,'COPY DATA XPRO'!$C$7:$AI$58,31,FALSE),0)</f>
        <v>0</v>
      </c>
      <c r="AH55">
        <f>IFERROR(VLOOKUP(C55,'COPY DATA XPRO'!$C$7:$AI$58,32,FALSE),0)</f>
        <v>0</v>
      </c>
      <c r="AI55">
        <f>IFERROR(VLOOKUP(C55,'COPY DATA XPRO'!$C$7:$AI$58,33,FALSE),0)</f>
        <v>0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0</v>
      </c>
      <c r="F56">
        <f>IFERROR(VLOOKUP(C56,'COPY DATA XPRO'!$C$7:$AI$58,4,FALSE),0)</f>
        <v>0</v>
      </c>
      <c r="G56">
        <f>IFERROR(VLOOKUP(C56,'COPY DATA XPRO'!$C$7:$AI$58,5,FALSE),0)</f>
        <v>0</v>
      </c>
      <c r="H56">
        <f>IFERROR(VLOOKUP(C56,'COPY DATA XPRO'!$C$7:$AI$58,6,FALSE),0)</f>
        <v>0</v>
      </c>
      <c r="I56">
        <f>IFERROR(VLOOKUP(C56,'COPY DATA XPRO'!$C$7:$AI$58,7,FALSE),0)</f>
        <v>0</v>
      </c>
      <c r="J56">
        <f>IFERROR(VLOOKUP(C56,'COPY DATA XPRO'!$C$7:$AI$58,8,FALSE),0)</f>
        <v>0</v>
      </c>
      <c r="K56">
        <f>IFERROR(VLOOKUP(C56,'COPY DATA XPRO'!$C$7:$AI$58,9,FALSE),0)</f>
        <v>0</v>
      </c>
      <c r="L56">
        <f>IFERROR(VLOOKUP(C56,'COPY DATA XPRO'!$C$7:$AI$58,10,FALSE),0)</f>
        <v>0</v>
      </c>
      <c r="M56">
        <f>IFERROR(VLOOKUP(C56,'COPY DATA XPRO'!$C$7:$AI$58,11,FALSE),0)</f>
        <v>0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0</v>
      </c>
      <c r="Q56">
        <f>IFERROR(VLOOKUP(C56,'COPY DATA XPRO'!$C$7:$AI$58,15,FALSE),0)</f>
        <v>0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0</v>
      </c>
      <c r="Y56">
        <f>IFERROR(VLOOKUP(C56,'COPY DATA XPRO'!$C$7:$AI$58,23,FALSE),0)</f>
        <v>0</v>
      </c>
      <c r="Z56">
        <f>IFERROR(VLOOKUP(C56,'COPY DATA XPRO'!$C$7:$AI$58,24,FALSE),0)</f>
        <v>0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0</v>
      </c>
      <c r="AE56">
        <f>IFERROR(VLOOKUP(C56,'COPY DATA XPRO'!$C$7:$AI$58,29,FALSE),0)</f>
        <v>0</v>
      </c>
      <c r="AF56">
        <f>IFERROR(VLOOKUP(C56,'COPY DATA XPRO'!$C$7:$AI$58,30,FALSE),0)</f>
        <v>0</v>
      </c>
      <c r="AG56">
        <f>IFERROR(VLOOKUP(C56,'COPY DATA XPRO'!$C$7:$AI$58,31,FALSE),0)</f>
        <v>0</v>
      </c>
      <c r="AH56">
        <f>IFERROR(VLOOKUP(C56,'COPY DATA XPRO'!$C$7:$AI$58,32,FALSE),0)</f>
        <v>0</v>
      </c>
      <c r="AI56">
        <f>IFERROR(VLOOKUP(C56,'COPY DATA XPRO'!$C$7:$AI$58,33,FALSE),0)</f>
        <v>0</v>
      </c>
    </row>
    <row r="60" spans="2:35">
      <c r="C60" s="191" t="s">
        <v>140</v>
      </c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1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</row>
    <row r="61" spans="2:35"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</row>
    <row r="62" spans="2:35">
      <c r="C62" s="160" t="s">
        <v>1</v>
      </c>
      <c r="D62" s="158" t="s">
        <v>2</v>
      </c>
      <c r="E62" s="158" t="s">
        <v>3</v>
      </c>
      <c r="F62" s="158" t="s">
        <v>4</v>
      </c>
      <c r="G62" s="158" t="s">
        <v>5</v>
      </c>
      <c r="H62" s="158" t="s">
        <v>6</v>
      </c>
      <c r="I62" s="158" t="s">
        <v>7</v>
      </c>
      <c r="J62" s="158" t="s">
        <v>8</v>
      </c>
      <c r="K62" s="158" t="s">
        <v>9</v>
      </c>
      <c r="L62" s="158" t="s">
        <v>10</v>
      </c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 t="s">
        <v>11</v>
      </c>
      <c r="AA62" s="158" t="s">
        <v>12</v>
      </c>
      <c r="AB62" s="158"/>
      <c r="AC62" s="158"/>
      <c r="AD62" s="158"/>
      <c r="AE62" s="158" t="s">
        <v>13</v>
      </c>
      <c r="AF62" s="158" t="s">
        <v>14</v>
      </c>
      <c r="AG62" s="158" t="s">
        <v>15</v>
      </c>
      <c r="AH62" s="158" t="s">
        <v>16</v>
      </c>
      <c r="AI62" s="158" t="s">
        <v>17</v>
      </c>
    </row>
    <row r="63" spans="2:35">
      <c r="C63" s="160"/>
      <c r="D63" s="158"/>
      <c r="E63" s="158"/>
      <c r="F63" s="158"/>
      <c r="G63" s="158"/>
      <c r="H63" s="158"/>
      <c r="I63" s="158"/>
      <c r="J63" s="158"/>
      <c r="K63" s="158"/>
      <c r="L63" s="158" t="s">
        <v>2</v>
      </c>
      <c r="M63" s="158" t="s">
        <v>18</v>
      </c>
      <c r="N63" s="158"/>
      <c r="O63" s="158"/>
      <c r="P63" s="158" t="s">
        <v>19</v>
      </c>
      <c r="Q63" s="158" t="s">
        <v>20</v>
      </c>
      <c r="R63" s="158"/>
      <c r="S63" s="158"/>
      <c r="T63" s="158"/>
      <c r="U63" s="158"/>
      <c r="V63" s="158"/>
      <c r="W63" s="158"/>
      <c r="X63" s="158" t="s">
        <v>21</v>
      </c>
      <c r="Y63" s="158" t="s">
        <v>22</v>
      </c>
      <c r="Z63" s="158"/>
      <c r="AA63" s="158"/>
      <c r="AB63" s="158"/>
      <c r="AC63" s="158"/>
      <c r="AD63" s="158"/>
      <c r="AE63" s="158"/>
      <c r="AF63" s="158"/>
      <c r="AG63" s="158"/>
      <c r="AH63" s="158"/>
      <c r="AI63" s="158"/>
    </row>
    <row r="64" spans="2:35">
      <c r="C64" s="160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 t="s">
        <v>23</v>
      </c>
      <c r="R64" s="158"/>
      <c r="S64" s="158"/>
      <c r="T64" s="158"/>
      <c r="U64" s="158" t="s">
        <v>24</v>
      </c>
      <c r="V64" s="158" t="s">
        <v>25</v>
      </c>
      <c r="W64" s="158" t="s">
        <v>26</v>
      </c>
      <c r="X64" s="158"/>
      <c r="Y64" s="158"/>
      <c r="Z64" s="158"/>
      <c r="AA64" s="158"/>
      <c r="AB64" s="158"/>
      <c r="AC64" s="158"/>
      <c r="AD64" s="158"/>
      <c r="AE64" s="158"/>
      <c r="AF64" s="158"/>
      <c r="AG64" s="158"/>
      <c r="AH64" s="158"/>
      <c r="AI64" s="158"/>
    </row>
    <row r="65" spans="2:35" ht="29">
      <c r="C65" s="160"/>
      <c r="D65" s="158"/>
      <c r="E65" s="158"/>
      <c r="F65" s="158"/>
      <c r="G65" s="158"/>
      <c r="H65" s="158"/>
      <c r="I65" s="158"/>
      <c r="J65" s="158"/>
      <c r="K65" s="158"/>
      <c r="L65" s="13"/>
      <c r="M65" s="13" t="s">
        <v>27</v>
      </c>
      <c r="N65" s="13" t="s">
        <v>28</v>
      </c>
      <c r="O65" s="13" t="s">
        <v>29</v>
      </c>
      <c r="P65" s="158"/>
      <c r="Q65" s="13" t="s">
        <v>30</v>
      </c>
      <c r="R65" s="13" t="s">
        <v>31</v>
      </c>
      <c r="S65" s="13" t="s">
        <v>32</v>
      </c>
      <c r="T65" s="13" t="s">
        <v>33</v>
      </c>
      <c r="U65" s="158"/>
      <c r="V65" s="158"/>
      <c r="W65" s="158"/>
      <c r="X65" s="158"/>
      <c r="Y65" s="158"/>
      <c r="Z65" s="158"/>
      <c r="AA65" s="13" t="s">
        <v>30</v>
      </c>
      <c r="AB65" s="13" t="s">
        <v>31</v>
      </c>
      <c r="AC65" s="13" t="s">
        <v>32</v>
      </c>
      <c r="AD65" s="13" t="s">
        <v>33</v>
      </c>
      <c r="AE65" s="158"/>
      <c r="AF65" s="158"/>
      <c r="AG65" s="158"/>
      <c r="AH65" s="158"/>
      <c r="AI65" s="158"/>
    </row>
    <row r="66" spans="2:35">
      <c r="B66" t="s">
        <v>34</v>
      </c>
      <c r="C66" t="s">
        <v>79</v>
      </c>
      <c r="D66">
        <v>0</v>
      </c>
      <c r="E66">
        <v>3</v>
      </c>
      <c r="F66">
        <v>1</v>
      </c>
      <c r="G66">
        <v>0</v>
      </c>
      <c r="H66">
        <v>0</v>
      </c>
      <c r="I66">
        <v>0</v>
      </c>
      <c r="J66">
        <v>1</v>
      </c>
      <c r="K66">
        <v>0</v>
      </c>
      <c r="L66">
        <v>0</v>
      </c>
      <c r="M66">
        <v>1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52</v>
      </c>
      <c r="AH66" t="s">
        <v>141</v>
      </c>
      <c r="AI66" t="s">
        <v>141</v>
      </c>
    </row>
    <row r="67" spans="2:35">
      <c r="C67" t="s">
        <v>80</v>
      </c>
      <c r="D67">
        <v>0</v>
      </c>
      <c r="E67">
        <v>4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4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44</v>
      </c>
      <c r="AH67" t="s">
        <v>44</v>
      </c>
      <c r="AI67" t="s">
        <v>44</v>
      </c>
    </row>
    <row r="68" spans="2:35">
      <c r="C68" t="s">
        <v>81</v>
      </c>
      <c r="D68">
        <v>0</v>
      </c>
      <c r="E68">
        <v>4</v>
      </c>
      <c r="F68">
        <v>0</v>
      </c>
      <c r="G68">
        <v>2</v>
      </c>
      <c r="H68">
        <v>0</v>
      </c>
      <c r="I68">
        <v>0</v>
      </c>
      <c r="J68">
        <v>1</v>
      </c>
      <c r="K68">
        <v>0</v>
      </c>
      <c r="L68">
        <v>0</v>
      </c>
      <c r="M68">
        <v>1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142</v>
      </c>
      <c r="AH68" t="s">
        <v>141</v>
      </c>
      <c r="AI68" t="s">
        <v>141</v>
      </c>
    </row>
    <row r="69" spans="2:35">
      <c r="C69" t="s">
        <v>82</v>
      </c>
      <c r="D69">
        <v>0</v>
      </c>
      <c r="E69">
        <v>2</v>
      </c>
      <c r="F69">
        <v>1</v>
      </c>
      <c r="G69">
        <v>0</v>
      </c>
      <c r="H69">
        <v>0</v>
      </c>
      <c r="I69">
        <v>0</v>
      </c>
      <c r="J69">
        <v>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141</v>
      </c>
      <c r="AH69" t="s">
        <v>141</v>
      </c>
      <c r="AI69" t="s">
        <v>141</v>
      </c>
    </row>
    <row r="70" spans="2:35">
      <c r="C70" t="s">
        <v>83</v>
      </c>
      <c r="D70">
        <v>0</v>
      </c>
      <c r="E70">
        <v>3</v>
      </c>
      <c r="F70">
        <v>0</v>
      </c>
      <c r="G70">
        <v>0</v>
      </c>
      <c r="H70">
        <v>1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52</v>
      </c>
      <c r="AH70" t="s">
        <v>141</v>
      </c>
      <c r="AI70" t="s">
        <v>141</v>
      </c>
    </row>
    <row r="71" spans="2:35">
      <c r="C71" t="s">
        <v>86</v>
      </c>
      <c r="D71">
        <v>0</v>
      </c>
      <c r="E71">
        <v>2</v>
      </c>
      <c r="F71">
        <v>0</v>
      </c>
      <c r="G71">
        <v>0</v>
      </c>
      <c r="H71">
        <v>0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141</v>
      </c>
      <c r="AH71" t="s">
        <v>141</v>
      </c>
      <c r="AI71" t="s">
        <v>141</v>
      </c>
    </row>
    <row r="74" spans="2:35">
      <c r="B74" t="s">
        <v>38</v>
      </c>
      <c r="C74" t="s">
        <v>87</v>
      </c>
      <c r="D74">
        <v>0</v>
      </c>
      <c r="E74">
        <v>4</v>
      </c>
      <c r="F74">
        <v>1</v>
      </c>
      <c r="G74">
        <v>0</v>
      </c>
      <c r="H74">
        <v>0</v>
      </c>
      <c r="I74">
        <v>0</v>
      </c>
      <c r="J74">
        <v>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141</v>
      </c>
      <c r="AH74" t="s">
        <v>141</v>
      </c>
      <c r="AI74" t="s">
        <v>141</v>
      </c>
    </row>
    <row r="75" spans="2:35">
      <c r="C75" t="s">
        <v>89</v>
      </c>
      <c r="D75">
        <v>0</v>
      </c>
      <c r="E75">
        <v>1</v>
      </c>
      <c r="F75">
        <v>0</v>
      </c>
      <c r="G75">
        <v>0</v>
      </c>
      <c r="H75">
        <v>0</v>
      </c>
      <c r="I75">
        <v>0</v>
      </c>
      <c r="J75">
        <v>1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90</v>
      </c>
      <c r="D76">
        <v>0</v>
      </c>
      <c r="E76">
        <v>4</v>
      </c>
      <c r="F76">
        <v>0</v>
      </c>
      <c r="G76">
        <v>0</v>
      </c>
      <c r="H76">
        <v>0</v>
      </c>
      <c r="I76">
        <v>0</v>
      </c>
      <c r="J76">
        <v>2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142</v>
      </c>
      <c r="AH76" t="s">
        <v>52</v>
      </c>
      <c r="AI76" t="s">
        <v>44</v>
      </c>
    </row>
    <row r="77" spans="2:35">
      <c r="C77" t="s">
        <v>91</v>
      </c>
      <c r="D77">
        <v>0</v>
      </c>
      <c r="E77">
        <v>9</v>
      </c>
      <c r="F77">
        <v>0</v>
      </c>
      <c r="G77">
        <v>1</v>
      </c>
      <c r="H77">
        <v>0</v>
      </c>
      <c r="I77">
        <v>0</v>
      </c>
      <c r="J77">
        <v>2</v>
      </c>
      <c r="K77">
        <v>0</v>
      </c>
      <c r="L77">
        <v>1</v>
      </c>
      <c r="M77">
        <v>1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3</v>
      </c>
      <c r="U77">
        <v>0</v>
      </c>
      <c r="V77">
        <v>0</v>
      </c>
      <c r="W77">
        <v>0</v>
      </c>
      <c r="X77">
        <v>3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143</v>
      </c>
      <c r="AH77" t="s">
        <v>144</v>
      </c>
      <c r="AI77" t="s">
        <v>54</v>
      </c>
    </row>
    <row r="78" spans="2:35">
      <c r="C78" t="s">
        <v>92</v>
      </c>
      <c r="D78">
        <v>0</v>
      </c>
      <c r="E78">
        <v>1</v>
      </c>
      <c r="F78">
        <v>0</v>
      </c>
      <c r="G78">
        <v>1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141</v>
      </c>
      <c r="AH78" t="s">
        <v>141</v>
      </c>
      <c r="AI78" t="s">
        <v>141</v>
      </c>
    </row>
    <row r="79" spans="2:35">
      <c r="C79" t="s">
        <v>93</v>
      </c>
      <c r="D79">
        <v>0</v>
      </c>
      <c r="E79">
        <v>2</v>
      </c>
      <c r="F79">
        <v>0</v>
      </c>
      <c r="G79">
        <v>1</v>
      </c>
      <c r="H79">
        <v>0</v>
      </c>
      <c r="I79">
        <v>0</v>
      </c>
      <c r="J79">
        <v>1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94</v>
      </c>
      <c r="D80">
        <v>0</v>
      </c>
      <c r="E80">
        <v>1</v>
      </c>
      <c r="F80">
        <v>0</v>
      </c>
      <c r="G80">
        <v>0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98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6" spans="2:35">
      <c r="B86" t="s">
        <v>42</v>
      </c>
      <c r="C86" t="s">
        <v>100</v>
      </c>
      <c r="D86">
        <v>0</v>
      </c>
      <c r="E86">
        <v>2</v>
      </c>
      <c r="F86">
        <v>0</v>
      </c>
      <c r="G86">
        <v>0</v>
      </c>
      <c r="H86">
        <v>0</v>
      </c>
      <c r="I86">
        <v>0</v>
      </c>
      <c r="J86">
        <v>1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145</v>
      </c>
      <c r="AH86" t="s">
        <v>145</v>
      </c>
      <c r="AI86" t="s">
        <v>44</v>
      </c>
    </row>
    <row r="87" spans="2:35">
      <c r="C87" t="s">
        <v>101</v>
      </c>
      <c r="D87">
        <v>0</v>
      </c>
      <c r="E87">
        <v>3</v>
      </c>
      <c r="F87">
        <v>0</v>
      </c>
      <c r="G87">
        <v>0</v>
      </c>
      <c r="H87">
        <v>0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52</v>
      </c>
      <c r="AH87" t="s">
        <v>141</v>
      </c>
      <c r="AI87" t="s">
        <v>141</v>
      </c>
    </row>
    <row r="88" spans="2:35">
      <c r="C88" t="s">
        <v>102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3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141</v>
      </c>
      <c r="AH88" t="s">
        <v>141</v>
      </c>
      <c r="AI88" t="s">
        <v>141</v>
      </c>
    </row>
    <row r="89" spans="2:35">
      <c r="C89" t="s">
        <v>103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104</v>
      </c>
      <c r="D90">
        <v>0</v>
      </c>
      <c r="E90">
        <v>2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105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1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106</v>
      </c>
      <c r="D92">
        <v>0</v>
      </c>
      <c r="E92">
        <v>4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1</v>
      </c>
      <c r="N92">
        <v>0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41</v>
      </c>
      <c r="AH92" t="s">
        <v>142</v>
      </c>
      <c r="AI92" t="s">
        <v>52</v>
      </c>
    </row>
    <row r="93" spans="2:35">
      <c r="C93" t="s">
        <v>107</v>
      </c>
      <c r="D93">
        <v>0</v>
      </c>
      <c r="E93">
        <v>6</v>
      </c>
      <c r="F93">
        <v>2</v>
      </c>
      <c r="G93">
        <v>1</v>
      </c>
      <c r="H93">
        <v>0</v>
      </c>
      <c r="I93">
        <v>0</v>
      </c>
      <c r="J93">
        <v>2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146</v>
      </c>
      <c r="AH93" t="s">
        <v>146</v>
      </c>
      <c r="AI93" t="s">
        <v>44</v>
      </c>
    </row>
    <row r="96" spans="2:35">
      <c r="B96" t="s">
        <v>70</v>
      </c>
      <c r="C96" t="s">
        <v>109</v>
      </c>
      <c r="D96">
        <v>0</v>
      </c>
      <c r="E96">
        <v>2</v>
      </c>
      <c r="F96">
        <v>0</v>
      </c>
      <c r="G96">
        <v>0</v>
      </c>
      <c r="H96">
        <v>0</v>
      </c>
      <c r="I96">
        <v>0</v>
      </c>
      <c r="J96">
        <v>2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t="s">
        <v>141</v>
      </c>
      <c r="AH96" t="s">
        <v>141</v>
      </c>
      <c r="AI96" t="s">
        <v>141</v>
      </c>
    </row>
    <row r="97" spans="2:35">
      <c r="C97" t="s">
        <v>110</v>
      </c>
      <c r="D97">
        <v>0</v>
      </c>
      <c r="E97">
        <v>1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112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113</v>
      </c>
      <c r="D99">
        <v>0</v>
      </c>
      <c r="E99">
        <v>4</v>
      </c>
      <c r="F99">
        <v>0</v>
      </c>
      <c r="G99">
        <v>1</v>
      </c>
      <c r="H99">
        <v>1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142</v>
      </c>
      <c r="AH99" t="s">
        <v>142</v>
      </c>
      <c r="AI99" t="s">
        <v>44</v>
      </c>
    </row>
    <row r="100" spans="2:35">
      <c r="C100" t="s">
        <v>115</v>
      </c>
      <c r="D100">
        <v>0</v>
      </c>
      <c r="E100">
        <v>2</v>
      </c>
      <c r="F100">
        <v>0</v>
      </c>
      <c r="G100">
        <v>0</v>
      </c>
      <c r="H100">
        <v>0</v>
      </c>
      <c r="I100">
        <v>0</v>
      </c>
      <c r="J100">
        <v>2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141</v>
      </c>
      <c r="AH100" t="s">
        <v>141</v>
      </c>
      <c r="AI100" t="s">
        <v>141</v>
      </c>
    </row>
    <row r="101" spans="2:35">
      <c r="C101" t="s">
        <v>116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145</v>
      </c>
      <c r="AH101" t="s">
        <v>141</v>
      </c>
      <c r="AI101" t="s">
        <v>141</v>
      </c>
    </row>
    <row r="102" spans="2:35">
      <c r="C102" t="s">
        <v>118</v>
      </c>
      <c r="D102">
        <v>0</v>
      </c>
      <c r="E102">
        <v>5</v>
      </c>
      <c r="F102">
        <v>0</v>
      </c>
      <c r="G102">
        <v>0</v>
      </c>
      <c r="H102">
        <v>0</v>
      </c>
      <c r="I102">
        <v>0</v>
      </c>
      <c r="J102">
        <v>4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1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54</v>
      </c>
      <c r="AH102" t="s">
        <v>141</v>
      </c>
      <c r="AI102" t="s">
        <v>141</v>
      </c>
    </row>
    <row r="103" spans="2:35">
      <c r="C103" t="s">
        <v>120</v>
      </c>
      <c r="D103">
        <v>0</v>
      </c>
      <c r="E103">
        <v>2</v>
      </c>
      <c r="F103">
        <v>0</v>
      </c>
      <c r="G103">
        <v>0</v>
      </c>
      <c r="H103">
        <v>1</v>
      </c>
      <c r="I103">
        <v>0</v>
      </c>
      <c r="J103">
        <v>1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141</v>
      </c>
      <c r="AH103" t="s">
        <v>141</v>
      </c>
      <c r="AI103" t="s">
        <v>141</v>
      </c>
    </row>
    <row r="108" spans="2:35">
      <c r="B108" t="s">
        <v>55</v>
      </c>
      <c r="C108" t="s">
        <v>122</v>
      </c>
      <c r="D108">
        <v>0</v>
      </c>
      <c r="E108">
        <v>3</v>
      </c>
      <c r="F108">
        <v>0</v>
      </c>
      <c r="G108">
        <v>0</v>
      </c>
      <c r="H108">
        <v>0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141</v>
      </c>
      <c r="AH108" t="s">
        <v>141</v>
      </c>
      <c r="AI108" t="s">
        <v>141</v>
      </c>
    </row>
    <row r="109" spans="2:35">
      <c r="C109" t="s">
        <v>123</v>
      </c>
      <c r="D109">
        <v>0</v>
      </c>
      <c r="E109">
        <v>2</v>
      </c>
      <c r="F109">
        <v>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145</v>
      </c>
      <c r="AH109" t="s">
        <v>141</v>
      </c>
      <c r="AI109" t="s">
        <v>141</v>
      </c>
    </row>
    <row r="110" spans="2:35">
      <c r="C110" t="s">
        <v>124</v>
      </c>
      <c r="D110">
        <v>0</v>
      </c>
      <c r="E110">
        <v>4</v>
      </c>
      <c r="F110">
        <v>0</v>
      </c>
      <c r="G110">
        <v>0</v>
      </c>
      <c r="H110">
        <v>0</v>
      </c>
      <c r="I110">
        <v>0</v>
      </c>
      <c r="J110">
        <v>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141</v>
      </c>
      <c r="AH110" t="s">
        <v>141</v>
      </c>
      <c r="AI110" t="s">
        <v>141</v>
      </c>
    </row>
    <row r="111" spans="2:35">
      <c r="C111" t="s">
        <v>125</v>
      </c>
      <c r="D111">
        <v>0</v>
      </c>
      <c r="E111">
        <v>1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126</v>
      </c>
      <c r="D112">
        <v>0</v>
      </c>
      <c r="E112">
        <v>8</v>
      </c>
      <c r="F112">
        <v>0</v>
      </c>
      <c r="G112">
        <v>0</v>
      </c>
      <c r="H112">
        <v>0</v>
      </c>
      <c r="I112">
        <v>0</v>
      </c>
      <c r="J112">
        <v>2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1</v>
      </c>
      <c r="U112">
        <v>0</v>
      </c>
      <c r="V112">
        <v>0</v>
      </c>
      <c r="W112">
        <v>0</v>
      </c>
      <c r="X112">
        <v>1</v>
      </c>
      <c r="Y112">
        <v>1</v>
      </c>
      <c r="Z112">
        <v>1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145</v>
      </c>
      <c r="AH112" t="s">
        <v>147</v>
      </c>
      <c r="AI112" t="s">
        <v>142</v>
      </c>
    </row>
    <row r="113" spans="3:35">
      <c r="C113" t="s">
        <v>127</v>
      </c>
      <c r="D113">
        <v>0</v>
      </c>
      <c r="E113">
        <v>1</v>
      </c>
      <c r="F113">
        <v>0</v>
      </c>
      <c r="G113">
        <v>0</v>
      </c>
      <c r="H113">
        <v>0</v>
      </c>
      <c r="I113">
        <v>0</v>
      </c>
      <c r="J113">
        <v>1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141</v>
      </c>
      <c r="AH113" t="s">
        <v>141</v>
      </c>
      <c r="AI113" t="s">
        <v>141</v>
      </c>
    </row>
    <row r="114" spans="3:35">
      <c r="C114" t="s">
        <v>128</v>
      </c>
      <c r="D114">
        <v>0</v>
      </c>
      <c r="E114">
        <v>4</v>
      </c>
      <c r="F114">
        <v>0</v>
      </c>
      <c r="G114">
        <v>0</v>
      </c>
      <c r="H114">
        <v>0</v>
      </c>
      <c r="I114">
        <v>0</v>
      </c>
      <c r="J114">
        <v>3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142</v>
      </c>
      <c r="AH114" t="s">
        <v>142</v>
      </c>
      <c r="AI114" t="s">
        <v>44</v>
      </c>
    </row>
  </sheetData>
  <mergeCells count="56">
    <mergeCell ref="AI3:AI6"/>
    <mergeCell ref="AI62:AI65"/>
    <mergeCell ref="AA3:AD5"/>
    <mergeCell ref="C1:AI2"/>
    <mergeCell ref="C60:AI61"/>
    <mergeCell ref="M4:O5"/>
    <mergeCell ref="AA62:AD64"/>
    <mergeCell ref="M63:O64"/>
    <mergeCell ref="AF3:AF6"/>
    <mergeCell ref="AF62:AF65"/>
    <mergeCell ref="AG3:AG6"/>
    <mergeCell ref="AG62:AG65"/>
    <mergeCell ref="AH3:AH6"/>
    <mergeCell ref="AH62:AH65"/>
    <mergeCell ref="Y63:Y65"/>
    <mergeCell ref="Z3:Z6"/>
    <mergeCell ref="Z62:Z65"/>
    <mergeCell ref="AE3:AE6"/>
    <mergeCell ref="AE62:AE65"/>
    <mergeCell ref="J62:J65"/>
    <mergeCell ref="K3:K6"/>
    <mergeCell ref="K62:K65"/>
    <mergeCell ref="L4:L5"/>
    <mergeCell ref="L63:L64"/>
    <mergeCell ref="Q64:T64"/>
    <mergeCell ref="X4:X6"/>
    <mergeCell ref="X63:X65"/>
    <mergeCell ref="Y4:Y6"/>
    <mergeCell ref="C3:C6"/>
    <mergeCell ref="C62:C65"/>
    <mergeCell ref="D3:D6"/>
    <mergeCell ref="D62:D65"/>
    <mergeCell ref="E3:E6"/>
    <mergeCell ref="E62:E65"/>
    <mergeCell ref="F3:F6"/>
    <mergeCell ref="F62:F65"/>
    <mergeCell ref="G3:G6"/>
    <mergeCell ref="G62:G65"/>
    <mergeCell ref="H3:H6"/>
    <mergeCell ref="H62:H65"/>
    <mergeCell ref="I3:I6"/>
    <mergeCell ref="I62:I65"/>
    <mergeCell ref="J3:J6"/>
    <mergeCell ref="L3:Y3"/>
    <mergeCell ref="Q4:W4"/>
    <mergeCell ref="Q5:T5"/>
    <mergeCell ref="L62:Y62"/>
    <mergeCell ref="Q63:W63"/>
    <mergeCell ref="P4:P6"/>
    <mergeCell ref="P63:P65"/>
    <mergeCell ref="U5:U6"/>
    <mergeCell ref="U64:U65"/>
    <mergeCell ref="V5:V6"/>
    <mergeCell ref="V64:V65"/>
    <mergeCell ref="W5:W6"/>
    <mergeCell ref="W64:W65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topLeftCell="A49" zoomScale="60" zoomScaleNormal="60" workbookViewId="0">
      <selection activeCell="AL61" sqref="AL61"/>
    </sheetView>
  </sheetViews>
  <sheetFormatPr defaultColWidth="9" defaultRowHeight="14.5"/>
  <cols>
    <col min="2" max="2" width="15.54296875" customWidth="1"/>
    <col min="3" max="3" width="30.54296875" customWidth="1"/>
    <col min="4" max="32" width="4.81640625" customWidth="1"/>
    <col min="33" max="33" width="7.7265625" customWidth="1"/>
    <col min="34" max="34" width="8.1796875" customWidth="1"/>
    <col min="35" max="35" width="8.5429687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60" t="s">
        <v>1</v>
      </c>
      <c r="D3" s="158" t="s">
        <v>2</v>
      </c>
      <c r="E3" s="158" t="s">
        <v>3</v>
      </c>
      <c r="F3" s="158" t="s">
        <v>4</v>
      </c>
      <c r="G3" s="158" t="s">
        <v>5</v>
      </c>
      <c r="H3" s="158" t="s">
        <v>6</v>
      </c>
      <c r="I3" s="158" t="s">
        <v>7</v>
      </c>
      <c r="J3" s="158" t="s">
        <v>8</v>
      </c>
      <c r="K3" s="158" t="s">
        <v>9</v>
      </c>
      <c r="L3" s="158" t="s">
        <v>10</v>
      </c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 t="s">
        <v>11</v>
      </c>
      <c r="AA3" s="158" t="s">
        <v>12</v>
      </c>
      <c r="AB3" s="158"/>
      <c r="AC3" s="158"/>
      <c r="AD3" s="158"/>
      <c r="AE3" s="158" t="s">
        <v>13</v>
      </c>
      <c r="AF3" s="158" t="s">
        <v>14</v>
      </c>
      <c r="AG3" s="158" t="s">
        <v>15</v>
      </c>
      <c r="AH3" s="158" t="s">
        <v>16</v>
      </c>
      <c r="AI3" s="158" t="s">
        <v>17</v>
      </c>
    </row>
    <row r="4" spans="2:35">
      <c r="C4" s="160"/>
      <c r="D4" s="158"/>
      <c r="E4" s="158"/>
      <c r="F4" s="158"/>
      <c r="G4" s="158"/>
      <c r="H4" s="158"/>
      <c r="I4" s="158"/>
      <c r="J4" s="158"/>
      <c r="K4" s="158"/>
      <c r="L4" s="158" t="s">
        <v>2</v>
      </c>
      <c r="M4" s="158" t="s">
        <v>18</v>
      </c>
      <c r="N4" s="158"/>
      <c r="O4" s="158"/>
      <c r="P4" s="158" t="s">
        <v>19</v>
      </c>
      <c r="Q4" s="158" t="s">
        <v>20</v>
      </c>
      <c r="R4" s="158"/>
      <c r="S4" s="158"/>
      <c r="T4" s="158"/>
      <c r="U4" s="158"/>
      <c r="V4" s="158"/>
      <c r="W4" s="158"/>
      <c r="X4" s="158" t="s">
        <v>21</v>
      </c>
      <c r="Y4" s="158" t="s">
        <v>22</v>
      </c>
      <c r="Z4" s="158"/>
      <c r="AA4" s="158"/>
      <c r="AB4" s="158"/>
      <c r="AC4" s="158"/>
      <c r="AD4" s="158"/>
      <c r="AE4" s="158"/>
      <c r="AF4" s="158"/>
      <c r="AG4" s="158"/>
      <c r="AH4" s="158"/>
      <c r="AI4" s="158"/>
    </row>
    <row r="5" spans="2:35" ht="15.65" customHeight="1">
      <c r="C5" s="160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 t="s">
        <v>23</v>
      </c>
      <c r="R5" s="158"/>
      <c r="S5" s="158"/>
      <c r="T5" s="158"/>
      <c r="U5" s="158" t="s">
        <v>24</v>
      </c>
      <c r="V5" s="158" t="s">
        <v>25</v>
      </c>
      <c r="W5" s="158" t="s">
        <v>26</v>
      </c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8"/>
      <c r="AI5" s="158"/>
    </row>
    <row r="6" spans="2:35" ht="58">
      <c r="C6" s="160"/>
      <c r="D6" s="158"/>
      <c r="E6" s="158"/>
      <c r="F6" s="158"/>
      <c r="G6" s="158"/>
      <c r="H6" s="158"/>
      <c r="I6" s="158"/>
      <c r="J6" s="158"/>
      <c r="K6" s="158"/>
      <c r="L6" s="13"/>
      <c r="M6" s="13" t="s">
        <v>27</v>
      </c>
      <c r="N6" s="13" t="s">
        <v>28</v>
      </c>
      <c r="O6" s="13" t="s">
        <v>29</v>
      </c>
      <c r="P6" s="158"/>
      <c r="Q6" s="13" t="s">
        <v>30</v>
      </c>
      <c r="R6" s="13" t="s">
        <v>31</v>
      </c>
      <c r="S6" s="13" t="s">
        <v>32</v>
      </c>
      <c r="T6" s="13" t="s">
        <v>33</v>
      </c>
      <c r="U6" s="158"/>
      <c r="V6" s="158"/>
      <c r="W6" s="158"/>
      <c r="X6" s="158"/>
      <c r="Y6" s="158"/>
      <c r="Z6" s="158"/>
      <c r="AA6" s="13" t="s">
        <v>30</v>
      </c>
      <c r="AB6" s="13" t="s">
        <v>31</v>
      </c>
      <c r="AC6" s="13" t="s">
        <v>32</v>
      </c>
      <c r="AD6" s="13" t="s">
        <v>33</v>
      </c>
      <c r="AE6" s="158"/>
      <c r="AF6" s="158"/>
      <c r="AG6" s="158"/>
      <c r="AH6" s="158"/>
      <c r="AI6" s="158"/>
    </row>
    <row r="7" spans="2:35" ht="14.5" customHeight="1">
      <c r="B7" t="s">
        <v>34</v>
      </c>
      <c r="C7" t="s">
        <v>79</v>
      </c>
    </row>
    <row r="8" spans="2:35">
      <c r="C8" t="s">
        <v>80</v>
      </c>
    </row>
    <row r="9" spans="2:35">
      <c r="C9" t="s">
        <v>81</v>
      </c>
    </row>
    <row r="10" spans="2:35">
      <c r="C10" t="s">
        <v>82</v>
      </c>
    </row>
    <row r="11" spans="2:35">
      <c r="C11" t="s">
        <v>83</v>
      </c>
    </row>
    <row r="12" spans="2:35">
      <c r="C12" t="s">
        <v>84</v>
      </c>
    </row>
    <row r="13" spans="2:35">
      <c r="C13" t="s">
        <v>85</v>
      </c>
    </row>
    <row r="14" spans="2:35">
      <c r="C14" t="s">
        <v>86</v>
      </c>
    </row>
    <row r="16" spans="2:35">
      <c r="B16" t="s">
        <v>38</v>
      </c>
      <c r="C16" s="100" t="s">
        <v>87</v>
      </c>
    </row>
    <row r="17" spans="2:3">
      <c r="C17" t="s">
        <v>88</v>
      </c>
    </row>
    <row r="18" spans="2:3">
      <c r="C18" t="s">
        <v>89</v>
      </c>
    </row>
    <row r="19" spans="2:3">
      <c r="C19" t="s">
        <v>90</v>
      </c>
    </row>
    <row r="20" spans="2:3">
      <c r="C20" t="s">
        <v>91</v>
      </c>
    </row>
    <row r="21" spans="2:3">
      <c r="C21" t="s">
        <v>92</v>
      </c>
    </row>
    <row r="22" spans="2:3">
      <c r="C22" t="s">
        <v>93</v>
      </c>
    </row>
    <row r="23" spans="2:3">
      <c r="C23" t="s">
        <v>94</v>
      </c>
    </row>
    <row r="24" spans="2:3">
      <c r="C24" t="s">
        <v>95</v>
      </c>
    </row>
    <row r="25" spans="2:3">
      <c r="C25" t="s">
        <v>96</v>
      </c>
    </row>
    <row r="26" spans="2:3">
      <c r="C26" t="s">
        <v>97</v>
      </c>
    </row>
    <row r="27" spans="2:3">
      <c r="C27" t="s">
        <v>98</v>
      </c>
    </row>
    <row r="28" spans="2:3">
      <c r="B28" t="s">
        <v>42</v>
      </c>
      <c r="C28" t="s">
        <v>99</v>
      </c>
    </row>
    <row r="29" spans="2:3">
      <c r="C29" t="s">
        <v>100</v>
      </c>
    </row>
    <row r="30" spans="2:3">
      <c r="C30" t="s">
        <v>101</v>
      </c>
    </row>
    <row r="31" spans="2:3">
      <c r="C31" t="s">
        <v>102</v>
      </c>
    </row>
    <row r="32" spans="2:3">
      <c r="C32" t="s">
        <v>103</v>
      </c>
    </row>
    <row r="33" spans="2:3">
      <c r="C33" t="s">
        <v>104</v>
      </c>
    </row>
    <row r="34" spans="2:3">
      <c r="C34" t="s">
        <v>105</v>
      </c>
    </row>
    <row r="35" spans="2:3">
      <c r="C35" t="s">
        <v>106</v>
      </c>
    </row>
    <row r="36" spans="2:3">
      <c r="C36" t="s">
        <v>107</v>
      </c>
    </row>
    <row r="37" spans="2:3">
      <c r="C37" t="s">
        <v>108</v>
      </c>
    </row>
    <row r="38" spans="2:3">
      <c r="B38" t="s">
        <v>70</v>
      </c>
      <c r="C38" t="s">
        <v>109</v>
      </c>
    </row>
    <row r="39" spans="2:3">
      <c r="C39" t="s">
        <v>110</v>
      </c>
    </row>
    <row r="40" spans="2:3">
      <c r="C40" t="s">
        <v>111</v>
      </c>
    </row>
    <row r="41" spans="2:3">
      <c r="C41" t="s">
        <v>112</v>
      </c>
    </row>
    <row r="42" spans="2:3">
      <c r="C42" t="s">
        <v>113</v>
      </c>
    </row>
    <row r="43" spans="2:3">
      <c r="C43" t="s">
        <v>114</v>
      </c>
    </row>
    <row r="44" spans="2:3">
      <c r="C44" t="s">
        <v>115</v>
      </c>
    </row>
    <row r="45" spans="2:3">
      <c r="C45" t="s">
        <v>116</v>
      </c>
    </row>
    <row r="46" spans="2:3">
      <c r="C46" t="s">
        <v>117</v>
      </c>
    </row>
    <row r="47" spans="2:3">
      <c r="C47" t="s">
        <v>118</v>
      </c>
    </row>
    <row r="48" spans="2:3">
      <c r="C48" t="s">
        <v>119</v>
      </c>
    </row>
    <row r="49" spans="2:35">
      <c r="C49" t="s">
        <v>120</v>
      </c>
    </row>
    <row r="50" spans="2:35">
      <c r="B50" t="s">
        <v>55</v>
      </c>
      <c r="C50" t="s">
        <v>121</v>
      </c>
    </row>
    <row r="51" spans="2:35">
      <c r="C51" t="s">
        <v>122</v>
      </c>
    </row>
    <row r="52" spans="2:35">
      <c r="C52" t="s">
        <v>123</v>
      </c>
    </row>
    <row r="53" spans="2:35">
      <c r="C53" t="s">
        <v>124</v>
      </c>
    </row>
    <row r="54" spans="2:35">
      <c r="C54" t="s">
        <v>125</v>
      </c>
    </row>
    <row r="55" spans="2:35">
      <c r="C55" t="s">
        <v>126</v>
      </c>
    </row>
    <row r="56" spans="2:35">
      <c r="C56" t="s">
        <v>127</v>
      </c>
    </row>
    <row r="57" spans="2:35">
      <c r="C57" t="s">
        <v>128</v>
      </c>
    </row>
    <row r="59" spans="2:35">
      <c r="C59" s="160" t="s">
        <v>1</v>
      </c>
      <c r="D59" s="158" t="s">
        <v>2</v>
      </c>
      <c r="E59" s="158" t="s">
        <v>3</v>
      </c>
      <c r="F59" s="158" t="s">
        <v>4</v>
      </c>
      <c r="G59" s="158" t="s">
        <v>5</v>
      </c>
      <c r="H59" s="158" t="s">
        <v>6</v>
      </c>
      <c r="I59" s="158" t="s">
        <v>7</v>
      </c>
      <c r="J59" s="158" t="s">
        <v>8</v>
      </c>
      <c r="K59" s="158" t="s">
        <v>9</v>
      </c>
      <c r="L59" s="158" t="s">
        <v>10</v>
      </c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 t="s">
        <v>11</v>
      </c>
      <c r="AA59" s="158" t="s">
        <v>12</v>
      </c>
      <c r="AB59" s="158"/>
      <c r="AC59" s="158"/>
      <c r="AD59" s="158"/>
      <c r="AE59" s="158" t="s">
        <v>13</v>
      </c>
      <c r="AF59" s="158" t="s">
        <v>14</v>
      </c>
      <c r="AG59" s="158" t="s">
        <v>15</v>
      </c>
      <c r="AH59" s="158" t="s">
        <v>16</v>
      </c>
      <c r="AI59" s="158" t="s">
        <v>17</v>
      </c>
    </row>
    <row r="60" spans="2:35">
      <c r="C60" s="160"/>
      <c r="D60" s="158"/>
      <c r="E60" s="158"/>
      <c r="F60" s="158"/>
      <c r="G60" s="158"/>
      <c r="H60" s="158"/>
      <c r="I60" s="158"/>
      <c r="J60" s="158"/>
      <c r="K60" s="158"/>
      <c r="L60" s="158" t="s">
        <v>2</v>
      </c>
      <c r="M60" s="158" t="s">
        <v>18</v>
      </c>
      <c r="N60" s="158"/>
      <c r="O60" s="158"/>
      <c r="P60" s="158" t="s">
        <v>19</v>
      </c>
      <c r="Q60" s="158" t="s">
        <v>20</v>
      </c>
      <c r="R60" s="158"/>
      <c r="S60" s="158"/>
      <c r="T60" s="158"/>
      <c r="U60" s="158"/>
      <c r="V60" s="158"/>
      <c r="W60" s="158"/>
      <c r="X60" s="158" t="s">
        <v>21</v>
      </c>
      <c r="Y60" s="158" t="s">
        <v>22</v>
      </c>
      <c r="Z60" s="158"/>
      <c r="AA60" s="158"/>
      <c r="AB60" s="158"/>
      <c r="AC60" s="158"/>
      <c r="AD60" s="158"/>
      <c r="AE60" s="158"/>
      <c r="AF60" s="158"/>
      <c r="AG60" s="158"/>
      <c r="AH60" s="158"/>
      <c r="AI60" s="158"/>
    </row>
    <row r="61" spans="2:35" ht="15" customHeight="1">
      <c r="C61" s="160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 t="s">
        <v>23</v>
      </c>
      <c r="R61" s="158"/>
      <c r="S61" s="158"/>
      <c r="T61" s="158"/>
      <c r="U61" s="158" t="s">
        <v>24</v>
      </c>
      <c r="V61" s="158" t="s">
        <v>25</v>
      </c>
      <c r="W61" s="158" t="s">
        <v>26</v>
      </c>
      <c r="X61" s="158"/>
      <c r="Y61" s="158"/>
      <c r="Z61" s="158"/>
      <c r="AA61" s="158"/>
      <c r="AB61" s="158"/>
      <c r="AC61" s="158"/>
      <c r="AD61" s="158"/>
      <c r="AE61" s="158"/>
      <c r="AF61" s="158"/>
      <c r="AG61" s="158"/>
      <c r="AH61" s="158"/>
      <c r="AI61" s="158"/>
    </row>
    <row r="62" spans="2:35" ht="58.5" thickBot="1">
      <c r="C62" s="160"/>
      <c r="D62" s="158"/>
      <c r="E62" s="158"/>
      <c r="F62" s="158"/>
      <c r="G62" s="158"/>
      <c r="H62" s="158"/>
      <c r="I62" s="158"/>
      <c r="J62" s="158"/>
      <c r="K62" s="158"/>
      <c r="L62" s="13"/>
      <c r="M62" s="13" t="s">
        <v>27</v>
      </c>
      <c r="N62" s="13" t="s">
        <v>28</v>
      </c>
      <c r="O62" s="13" t="s">
        <v>29</v>
      </c>
      <c r="P62" s="158"/>
      <c r="Q62" s="13" t="s">
        <v>30</v>
      </c>
      <c r="R62" s="13" t="s">
        <v>31</v>
      </c>
      <c r="S62" s="13" t="s">
        <v>32</v>
      </c>
      <c r="T62" s="13" t="s">
        <v>33</v>
      </c>
      <c r="U62" s="158"/>
      <c r="V62" s="158"/>
      <c r="W62" s="158"/>
      <c r="X62" s="158"/>
      <c r="Y62" s="158"/>
      <c r="Z62" s="158"/>
      <c r="AA62" s="13" t="s">
        <v>30</v>
      </c>
      <c r="AB62" s="13" t="s">
        <v>31</v>
      </c>
      <c r="AC62" s="13" t="s">
        <v>32</v>
      </c>
      <c r="AD62" s="13" t="s">
        <v>33</v>
      </c>
      <c r="AE62" s="158"/>
      <c r="AF62" s="158"/>
      <c r="AG62" s="158"/>
      <c r="AH62" s="158"/>
      <c r="AI62" s="158"/>
    </row>
    <row r="63" spans="2:35" ht="21.5" thickBot="1">
      <c r="C63" s="11" t="s">
        <v>34</v>
      </c>
      <c r="D63" s="12">
        <v>0</v>
      </c>
      <c r="E63" s="12">
        <v>6</v>
      </c>
      <c r="F63" s="12">
        <v>0</v>
      </c>
      <c r="G63" s="12">
        <v>0</v>
      </c>
      <c r="H63" s="12">
        <v>0</v>
      </c>
      <c r="I63" s="12">
        <v>0</v>
      </c>
      <c r="J63" s="12">
        <v>1</v>
      </c>
      <c r="K63" s="12">
        <v>0</v>
      </c>
      <c r="L63" s="12">
        <v>1</v>
      </c>
      <c r="M63" s="12">
        <v>0</v>
      </c>
      <c r="N63" s="12">
        <v>1</v>
      </c>
      <c r="O63" s="12">
        <v>0</v>
      </c>
      <c r="P63" s="12">
        <v>1</v>
      </c>
      <c r="Q63" s="12">
        <v>0</v>
      </c>
      <c r="R63" s="12">
        <v>0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0</v>
      </c>
      <c r="Y63" s="12">
        <v>2</v>
      </c>
      <c r="Z63" s="12">
        <v>1</v>
      </c>
      <c r="AA63" s="12">
        <v>0</v>
      </c>
      <c r="AB63" s="12">
        <v>0</v>
      </c>
      <c r="AC63" s="12">
        <v>0</v>
      </c>
      <c r="AD63" s="12">
        <v>0</v>
      </c>
      <c r="AE63" s="12">
        <v>0</v>
      </c>
      <c r="AF63" s="12">
        <v>0</v>
      </c>
      <c r="AG63" s="12">
        <v>50</v>
      </c>
      <c r="AH63" s="12">
        <v>0</v>
      </c>
      <c r="AI63" s="12">
        <v>0</v>
      </c>
    </row>
    <row r="64" spans="2:35" ht="21.5" thickBot="1">
      <c r="C64" s="11" t="s">
        <v>38</v>
      </c>
      <c r="D64" s="12">
        <v>0</v>
      </c>
      <c r="E64" s="12">
        <v>18</v>
      </c>
      <c r="F64" s="12">
        <v>0</v>
      </c>
      <c r="G64" s="12">
        <v>0</v>
      </c>
      <c r="H64" s="12">
        <v>0</v>
      </c>
      <c r="I64" s="12">
        <v>0</v>
      </c>
      <c r="J64" s="12">
        <v>6</v>
      </c>
      <c r="K64" s="12">
        <v>0</v>
      </c>
      <c r="L64" s="12">
        <v>2</v>
      </c>
      <c r="M64" s="12">
        <v>0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0</v>
      </c>
      <c r="Y64" s="12">
        <v>1</v>
      </c>
      <c r="Z64" s="12">
        <v>7</v>
      </c>
      <c r="AA64" s="12">
        <v>0</v>
      </c>
      <c r="AB64" s="12">
        <v>0</v>
      </c>
      <c r="AC64" s="12">
        <v>0</v>
      </c>
      <c r="AD64" s="12">
        <v>0</v>
      </c>
      <c r="AE64" s="12">
        <v>0</v>
      </c>
      <c r="AF64" s="12">
        <v>0</v>
      </c>
      <c r="AG64" s="14">
        <v>44.44</v>
      </c>
      <c r="AH64" s="14">
        <v>38.89</v>
      </c>
      <c r="AI64" s="14">
        <v>87.5</v>
      </c>
    </row>
    <row r="65" spans="3:35" ht="21.5" thickBot="1">
      <c r="C65" s="11" t="s">
        <v>42</v>
      </c>
      <c r="D65" s="12">
        <v>0</v>
      </c>
      <c r="E65" s="12">
        <v>13</v>
      </c>
      <c r="F65" s="12">
        <v>0</v>
      </c>
      <c r="G65" s="12">
        <v>0</v>
      </c>
      <c r="H65" s="12">
        <v>0</v>
      </c>
      <c r="I65" s="12">
        <v>0</v>
      </c>
      <c r="J65" s="12">
        <v>1</v>
      </c>
      <c r="K65" s="12">
        <v>0</v>
      </c>
      <c r="L65" s="12">
        <v>1</v>
      </c>
      <c r="M65" s="12">
        <v>2</v>
      </c>
      <c r="N65" s="12">
        <v>0</v>
      </c>
      <c r="O65" s="12">
        <v>0</v>
      </c>
      <c r="P65" s="12">
        <v>2</v>
      </c>
      <c r="Q65" s="12">
        <v>0</v>
      </c>
      <c r="R65" s="12">
        <v>0</v>
      </c>
      <c r="S65" s="12">
        <v>0</v>
      </c>
      <c r="T65" s="12">
        <v>0</v>
      </c>
      <c r="U65" s="12">
        <v>0</v>
      </c>
      <c r="V65" s="12">
        <v>0</v>
      </c>
      <c r="W65" s="12">
        <v>0</v>
      </c>
      <c r="X65" s="12">
        <v>0</v>
      </c>
      <c r="Y65" s="12">
        <v>4</v>
      </c>
      <c r="Z65" s="12">
        <v>4</v>
      </c>
      <c r="AA65" s="12">
        <v>0</v>
      </c>
      <c r="AB65" s="12">
        <v>0</v>
      </c>
      <c r="AC65" s="12">
        <v>0</v>
      </c>
      <c r="AD65" s="12">
        <v>0</v>
      </c>
      <c r="AE65" s="12">
        <v>0</v>
      </c>
      <c r="AF65" s="12">
        <v>0</v>
      </c>
      <c r="AG65" s="14">
        <v>76.92</v>
      </c>
      <c r="AH65" s="14">
        <v>30.77</v>
      </c>
      <c r="AI65" s="14">
        <v>40</v>
      </c>
    </row>
    <row r="66" spans="3:35" ht="21.5" thickBot="1">
      <c r="C66" s="11" t="s">
        <v>45</v>
      </c>
      <c r="D66" s="12">
        <v>0</v>
      </c>
      <c r="E66" s="12">
        <v>16</v>
      </c>
      <c r="F66" s="12">
        <v>0</v>
      </c>
      <c r="G66" s="12">
        <v>0</v>
      </c>
      <c r="H66" s="12">
        <v>0</v>
      </c>
      <c r="I66" s="12">
        <v>0</v>
      </c>
      <c r="J66" s="12">
        <v>3</v>
      </c>
      <c r="K66" s="12">
        <v>1</v>
      </c>
      <c r="L66" s="12">
        <v>2</v>
      </c>
      <c r="M66" s="12">
        <v>3</v>
      </c>
      <c r="N66" s="12">
        <v>1</v>
      </c>
      <c r="O66" s="12">
        <v>0</v>
      </c>
      <c r="P66" s="12">
        <v>4</v>
      </c>
      <c r="Q66" s="12">
        <v>0</v>
      </c>
      <c r="R66" s="12">
        <v>0</v>
      </c>
      <c r="S66" s="12">
        <v>0</v>
      </c>
      <c r="T66" s="12">
        <v>0</v>
      </c>
      <c r="U66" s="12">
        <v>0</v>
      </c>
      <c r="V66" s="12">
        <v>0</v>
      </c>
      <c r="W66" s="12">
        <v>0</v>
      </c>
      <c r="X66" s="12">
        <v>0</v>
      </c>
      <c r="Y66" s="12">
        <v>4</v>
      </c>
      <c r="Z66" s="12">
        <v>1</v>
      </c>
      <c r="AA66" s="12">
        <v>0</v>
      </c>
      <c r="AB66" s="12">
        <v>0</v>
      </c>
      <c r="AC66" s="12">
        <v>0</v>
      </c>
      <c r="AD66" s="12">
        <v>0</v>
      </c>
      <c r="AE66" s="12">
        <v>0</v>
      </c>
      <c r="AF66" s="12">
        <v>0</v>
      </c>
      <c r="AG66" s="14">
        <v>56.25</v>
      </c>
      <c r="AH66" s="14">
        <v>6.67</v>
      </c>
      <c r="AI66" s="14">
        <v>11.11</v>
      </c>
    </row>
    <row r="67" spans="3:35" ht="21.5" thickBot="1">
      <c r="C67" s="11" t="s">
        <v>49</v>
      </c>
      <c r="D67" s="12">
        <v>0</v>
      </c>
      <c r="E67" s="12">
        <v>12</v>
      </c>
      <c r="F67" s="12">
        <v>0</v>
      </c>
      <c r="G67" s="12">
        <v>0</v>
      </c>
      <c r="H67" s="12">
        <v>2</v>
      </c>
      <c r="I67" s="12">
        <v>0</v>
      </c>
      <c r="J67" s="12">
        <v>4</v>
      </c>
      <c r="K67" s="12">
        <v>0</v>
      </c>
      <c r="L67" s="12">
        <v>0</v>
      </c>
      <c r="M67" s="12">
        <v>3</v>
      </c>
      <c r="N67" s="12">
        <v>0</v>
      </c>
      <c r="O67" s="12">
        <v>0</v>
      </c>
      <c r="P67" s="12">
        <v>3</v>
      </c>
      <c r="Q67" s="12">
        <v>0</v>
      </c>
      <c r="R67" s="12">
        <v>0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0</v>
      </c>
      <c r="Y67" s="12">
        <v>1</v>
      </c>
      <c r="Z67" s="12">
        <v>2</v>
      </c>
      <c r="AA67" s="12">
        <v>0</v>
      </c>
      <c r="AB67" s="12">
        <v>0</v>
      </c>
      <c r="AC67" s="12">
        <v>0</v>
      </c>
      <c r="AD67" s="12">
        <v>0</v>
      </c>
      <c r="AE67" s="12">
        <v>0</v>
      </c>
      <c r="AF67" s="12">
        <v>0</v>
      </c>
      <c r="AG67" s="14">
        <v>50</v>
      </c>
      <c r="AH67" s="14">
        <v>16.670000000000002</v>
      </c>
      <c r="AI67" s="14">
        <v>33.33</v>
      </c>
    </row>
    <row r="68" spans="3:35" ht="21.5" thickBot="1">
      <c r="C68" s="11" t="s">
        <v>51</v>
      </c>
      <c r="D68" s="12">
        <v>0</v>
      </c>
      <c r="E68" s="12">
        <v>11</v>
      </c>
      <c r="F68" s="12">
        <v>1</v>
      </c>
      <c r="G68" s="12">
        <v>0</v>
      </c>
      <c r="H68" s="12">
        <v>0</v>
      </c>
      <c r="I68" s="12">
        <v>0</v>
      </c>
      <c r="J68" s="12">
        <v>5</v>
      </c>
      <c r="K68" s="12">
        <v>0</v>
      </c>
      <c r="L68" s="12">
        <v>1</v>
      </c>
      <c r="M68" s="12">
        <v>1</v>
      </c>
      <c r="N68" s="12">
        <v>0</v>
      </c>
      <c r="O68" s="12">
        <v>0</v>
      </c>
      <c r="P68" s="12">
        <v>1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1</v>
      </c>
      <c r="Z68" s="12">
        <v>1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  <c r="AG68" s="14">
        <v>27.27</v>
      </c>
      <c r="AH68" s="14">
        <v>9.09</v>
      </c>
      <c r="AI68" s="14">
        <v>33.33</v>
      </c>
    </row>
    <row r="69" spans="3:35" ht="21.5" thickBot="1">
      <c r="C69" s="11" t="s">
        <v>55</v>
      </c>
      <c r="D69" s="12">
        <v>0</v>
      </c>
      <c r="E69" s="12">
        <v>21</v>
      </c>
      <c r="F69" s="12">
        <v>0</v>
      </c>
      <c r="G69" s="12">
        <v>0</v>
      </c>
      <c r="H69" s="12">
        <v>0</v>
      </c>
      <c r="I69" s="12">
        <v>0</v>
      </c>
      <c r="J69" s="12">
        <v>10</v>
      </c>
      <c r="K69" s="12">
        <v>0</v>
      </c>
      <c r="L69" s="12">
        <v>1</v>
      </c>
      <c r="M69" s="12">
        <v>0</v>
      </c>
      <c r="N69" s="12">
        <v>0</v>
      </c>
      <c r="O69" s="12">
        <v>0</v>
      </c>
      <c r="P69" s="12">
        <v>0</v>
      </c>
      <c r="Q69" s="12">
        <v>0</v>
      </c>
      <c r="R69" s="12">
        <v>1</v>
      </c>
      <c r="S69" s="12">
        <v>0</v>
      </c>
      <c r="T69" s="12">
        <v>0</v>
      </c>
      <c r="U69" s="12">
        <v>0</v>
      </c>
      <c r="V69" s="12">
        <v>0</v>
      </c>
      <c r="W69" s="12">
        <v>0</v>
      </c>
      <c r="X69" s="12">
        <v>1</v>
      </c>
      <c r="Y69" s="12">
        <v>1</v>
      </c>
      <c r="Z69" s="12">
        <v>6</v>
      </c>
      <c r="AA69" s="12">
        <v>0</v>
      </c>
      <c r="AB69" s="12">
        <v>0</v>
      </c>
      <c r="AC69" s="12">
        <v>0</v>
      </c>
      <c r="AD69" s="12">
        <v>0</v>
      </c>
      <c r="AE69" s="12">
        <v>0</v>
      </c>
      <c r="AF69" s="12">
        <v>1</v>
      </c>
      <c r="AG69" s="14">
        <v>38.1</v>
      </c>
      <c r="AH69" s="14">
        <v>30</v>
      </c>
      <c r="AI69" s="14">
        <v>75</v>
      </c>
    </row>
    <row r="70" spans="3:35" ht="21.5" thickBot="1">
      <c r="C70" s="11" t="s">
        <v>59</v>
      </c>
      <c r="D70" s="12">
        <v>0</v>
      </c>
      <c r="E70" s="12">
        <v>10</v>
      </c>
      <c r="F70" s="12">
        <v>0</v>
      </c>
      <c r="G70" s="12">
        <v>0</v>
      </c>
      <c r="H70" s="12">
        <v>1</v>
      </c>
      <c r="I70" s="12">
        <v>0</v>
      </c>
      <c r="J70" s="12">
        <v>3</v>
      </c>
      <c r="K70" s="12">
        <v>0</v>
      </c>
      <c r="L70" s="12">
        <v>2</v>
      </c>
      <c r="M70" s="12">
        <v>0</v>
      </c>
      <c r="N70" s="12">
        <v>0</v>
      </c>
      <c r="O70" s="12">
        <v>0</v>
      </c>
      <c r="P70" s="12">
        <v>0</v>
      </c>
      <c r="Q70" s="12">
        <v>0</v>
      </c>
      <c r="R70" s="12">
        <v>0</v>
      </c>
      <c r="S70" s="12">
        <v>0</v>
      </c>
      <c r="T70" s="12">
        <v>0</v>
      </c>
      <c r="U70" s="12">
        <v>0</v>
      </c>
      <c r="V70" s="12">
        <v>0</v>
      </c>
      <c r="W70" s="12">
        <v>0</v>
      </c>
      <c r="X70" s="12">
        <v>0</v>
      </c>
      <c r="Y70" s="12">
        <v>1</v>
      </c>
      <c r="Z70" s="12">
        <v>2</v>
      </c>
      <c r="AA70" s="12">
        <v>0</v>
      </c>
      <c r="AB70" s="12">
        <v>0</v>
      </c>
      <c r="AC70" s="12">
        <v>0</v>
      </c>
      <c r="AD70" s="12">
        <v>0</v>
      </c>
      <c r="AE70" s="12">
        <v>0</v>
      </c>
      <c r="AF70" s="12">
        <v>0</v>
      </c>
      <c r="AG70" s="14">
        <v>30</v>
      </c>
      <c r="AH70" s="14">
        <v>20</v>
      </c>
      <c r="AI70" s="14">
        <v>66.67</v>
      </c>
    </row>
    <row r="71" spans="3:35" ht="21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3:C6"/>
    <mergeCell ref="C59:C62"/>
    <mergeCell ref="D3:D6"/>
    <mergeCell ref="D59:D62"/>
    <mergeCell ref="E3:E6"/>
    <mergeCell ref="E59:E62"/>
    <mergeCell ref="F3:F6"/>
    <mergeCell ref="F59:F62"/>
    <mergeCell ref="G3:G6"/>
    <mergeCell ref="G59:G62"/>
    <mergeCell ref="H3:H6"/>
    <mergeCell ref="H59:H62"/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topLeftCell="A10" workbookViewId="0">
      <selection activeCell="H18" sqref="H18"/>
    </sheetView>
  </sheetViews>
  <sheetFormatPr defaultColWidth="9" defaultRowHeight="14.5"/>
  <cols>
    <col min="1" max="2" width="15.26953125" bestFit="1" customWidth="1"/>
    <col min="3" max="3" width="6.7265625" bestFit="1" customWidth="1"/>
    <col min="4" max="5" width="10.7265625" bestFit="1" customWidth="1"/>
    <col min="6" max="6" width="11.26953125" customWidth="1"/>
    <col min="7" max="7" width="12.81640625" customWidth="1"/>
    <col min="8" max="9" width="19.7265625" customWidth="1"/>
    <col min="10" max="10" width="11.54296875" customWidth="1"/>
    <col min="11" max="11" width="15.26953125" customWidth="1"/>
    <col min="12" max="12" width="13.26953125" customWidth="1"/>
    <col min="13" max="13" width="23" customWidth="1"/>
    <col min="14" max="14" width="22.1796875" customWidth="1"/>
    <col min="15" max="15" width="13.81640625" customWidth="1"/>
    <col min="16" max="16" width="16.453125" customWidth="1"/>
    <col min="17" max="17" width="16.26953125" customWidth="1"/>
    <col min="18" max="18" width="12.54296875" customWidth="1"/>
    <col min="19" max="20" width="16.1796875" customWidth="1"/>
    <col min="21" max="21" width="17.453125" customWidth="1"/>
    <col min="22" max="22" width="18.81640625" customWidth="1"/>
    <col min="23" max="23" width="14.81640625" customWidth="1"/>
    <col min="24" max="24" width="19.54296875" customWidth="1"/>
    <col min="25" max="25" width="18.1796875" customWidth="1"/>
    <col min="26" max="26" width="29.453125" customWidth="1"/>
    <col min="27" max="27" width="28.26953125" customWidth="1"/>
    <col min="28" max="28" width="17.453125" customWidth="1"/>
    <col min="29" max="29" width="14.81640625" customWidth="1"/>
    <col min="30" max="30" width="15.1796875" customWidth="1"/>
    <col min="31" max="31" width="16.54296875" customWidth="1"/>
    <col min="32" max="32" width="18.26953125" customWidth="1"/>
    <col min="33" max="33" width="15.81640625" customWidth="1"/>
    <col min="34" max="34" width="13.7265625" customWidth="1"/>
    <col min="35" max="35" width="18.54296875" customWidth="1"/>
    <col min="36" max="36" width="17.26953125" customWidth="1"/>
    <col min="37" max="37" width="18" customWidth="1"/>
    <col min="38" max="38" width="20.54296875" customWidth="1"/>
    <col min="39" max="39" width="13.26953125" customWidth="1"/>
    <col min="40" max="40" width="17.26953125" customWidth="1"/>
    <col min="41" max="41" width="17.81640625" customWidth="1"/>
    <col min="42" max="42" width="17" customWidth="1"/>
    <col min="43" max="43" width="15.81640625" customWidth="1"/>
    <col min="44" max="44" width="14" customWidth="1"/>
    <col min="45" max="45" width="18.81640625" customWidth="1"/>
    <col min="46" max="46" width="13.26953125" customWidth="1"/>
    <col min="47" max="47" width="21.81640625" customWidth="1"/>
    <col min="48" max="48" width="13.81640625" customWidth="1"/>
    <col min="49" max="49" width="19.54296875" customWidth="1"/>
    <col min="50" max="50" width="17.7265625" customWidth="1"/>
    <col min="51" max="51" width="5.54296875" customWidth="1"/>
    <col min="52" max="52" width="7.26953125" customWidth="1"/>
    <col min="53" max="53" width="11.269531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528</v>
      </c>
      <c r="D4" t="s">
        <v>154</v>
      </c>
    </row>
    <row r="5" spans="1:7">
      <c r="A5" s="7" t="s">
        <v>34</v>
      </c>
      <c r="B5" s="194">
        <v>1</v>
      </c>
      <c r="C5" s="194">
        <v>5</v>
      </c>
      <c r="D5" s="194">
        <v>6</v>
      </c>
      <c r="G5" s="8">
        <f>B5/(B5+0)</f>
        <v>1</v>
      </c>
    </row>
    <row r="6" spans="1:7">
      <c r="A6" s="7" t="s">
        <v>38</v>
      </c>
      <c r="B6" s="194">
        <v>9</v>
      </c>
      <c r="C6" s="194">
        <v>9</v>
      </c>
      <c r="D6" s="194">
        <v>18</v>
      </c>
      <c r="G6" s="8">
        <f t="shared" ref="G6:G10" si="0">B6/(B6+0)</f>
        <v>1</v>
      </c>
    </row>
    <row r="7" spans="1:7">
      <c r="A7" s="7" t="s">
        <v>42</v>
      </c>
      <c r="B7" s="194">
        <v>5</v>
      </c>
      <c r="C7" s="194">
        <v>8</v>
      </c>
      <c r="D7" s="194">
        <v>13</v>
      </c>
      <c r="G7" s="8">
        <f t="shared" si="0"/>
        <v>1</v>
      </c>
    </row>
    <row r="8" spans="1:7">
      <c r="A8" s="7" t="s">
        <v>45</v>
      </c>
      <c r="B8" s="194">
        <v>2</v>
      </c>
      <c r="C8" s="194">
        <v>14</v>
      </c>
      <c r="D8" s="194">
        <v>16</v>
      </c>
      <c r="G8" s="8">
        <f t="shared" si="0"/>
        <v>1</v>
      </c>
    </row>
    <row r="9" spans="1:7">
      <c r="A9" s="7" t="s">
        <v>55</v>
      </c>
      <c r="B9" s="194">
        <v>7</v>
      </c>
      <c r="C9" s="194">
        <v>14</v>
      </c>
      <c r="D9" s="194">
        <v>21</v>
      </c>
      <c r="G9" s="8">
        <f t="shared" si="0"/>
        <v>1</v>
      </c>
    </row>
    <row r="10" spans="1:7">
      <c r="A10" s="7" t="s">
        <v>154</v>
      </c>
      <c r="B10" s="194">
        <v>24</v>
      </c>
      <c r="C10" s="194">
        <v>50</v>
      </c>
      <c r="D10" s="194">
        <v>74</v>
      </c>
      <c r="G10" s="8">
        <f t="shared" si="0"/>
        <v>1</v>
      </c>
    </row>
    <row r="11" spans="1:7">
      <c r="G11" s="8"/>
    </row>
    <row r="12" spans="1:7">
      <c r="G12" s="8"/>
    </row>
    <row r="17" spans="1:7">
      <c r="A17" s="59" t="s">
        <v>150</v>
      </c>
      <c r="B17" s="59" t="s">
        <v>151</v>
      </c>
    </row>
    <row r="18" spans="1:7">
      <c r="A18" s="59" t="s">
        <v>152</v>
      </c>
      <c r="B18" t="s">
        <v>153</v>
      </c>
      <c r="C18" t="s">
        <v>528</v>
      </c>
      <c r="D18" t="s">
        <v>154</v>
      </c>
    </row>
    <row r="19" spans="1:7">
      <c r="A19" s="7" t="s">
        <v>34</v>
      </c>
      <c r="B19" s="194">
        <v>1</v>
      </c>
      <c r="C19" s="194">
        <v>5</v>
      </c>
      <c r="D19" s="194">
        <v>6</v>
      </c>
      <c r="G19" s="8">
        <v>1</v>
      </c>
    </row>
    <row r="20" spans="1:7">
      <c r="A20" s="9" t="s">
        <v>86</v>
      </c>
      <c r="B20" s="194">
        <v>1</v>
      </c>
      <c r="C20" s="194">
        <v>2</v>
      </c>
      <c r="D20" s="194">
        <v>3</v>
      </c>
      <c r="G20" s="8">
        <v>1</v>
      </c>
    </row>
    <row r="21" spans="1:7">
      <c r="A21" s="9" t="s">
        <v>84</v>
      </c>
      <c r="B21" s="194"/>
      <c r="C21" s="194">
        <v>1</v>
      </c>
      <c r="D21" s="194">
        <v>1</v>
      </c>
      <c r="G21" s="8">
        <v>1</v>
      </c>
    </row>
    <row r="22" spans="1:7">
      <c r="A22" s="9" t="s">
        <v>85</v>
      </c>
      <c r="B22" s="194"/>
      <c r="C22" s="194">
        <v>2</v>
      </c>
      <c r="D22" s="194">
        <v>2</v>
      </c>
      <c r="G22" s="8">
        <v>1</v>
      </c>
    </row>
    <row r="23" spans="1:7">
      <c r="A23" s="7" t="s">
        <v>38</v>
      </c>
      <c r="B23" s="194">
        <v>9</v>
      </c>
      <c r="C23" s="194">
        <v>9</v>
      </c>
      <c r="D23" s="194">
        <v>18</v>
      </c>
      <c r="G23" s="8">
        <v>1</v>
      </c>
    </row>
    <row r="24" spans="1:7">
      <c r="A24" s="9" t="s">
        <v>87</v>
      </c>
      <c r="B24" s="194">
        <v>2</v>
      </c>
      <c r="C24" s="194"/>
      <c r="D24" s="194">
        <v>2</v>
      </c>
      <c r="G24" s="8">
        <v>1</v>
      </c>
    </row>
    <row r="25" spans="1:7">
      <c r="A25" s="9" t="s">
        <v>89</v>
      </c>
      <c r="B25" s="194">
        <v>2</v>
      </c>
      <c r="C25" s="194">
        <v>4</v>
      </c>
      <c r="D25" s="194">
        <v>6</v>
      </c>
      <c r="G25" s="8">
        <v>1</v>
      </c>
    </row>
    <row r="26" spans="1:7">
      <c r="A26" s="9" t="s">
        <v>90</v>
      </c>
      <c r="B26" s="194">
        <v>1</v>
      </c>
      <c r="C26" s="194">
        <v>3</v>
      </c>
      <c r="D26" s="194">
        <v>4</v>
      </c>
      <c r="G26" s="8">
        <v>1</v>
      </c>
    </row>
    <row r="27" spans="1:7">
      <c r="A27" s="9" t="s">
        <v>92</v>
      </c>
      <c r="B27" s="194">
        <v>1</v>
      </c>
      <c r="C27" s="194"/>
      <c r="D27" s="194">
        <v>1</v>
      </c>
      <c r="G27" s="8">
        <v>1</v>
      </c>
    </row>
    <row r="28" spans="1:7">
      <c r="A28" s="9" t="s">
        <v>88</v>
      </c>
      <c r="B28" s="194"/>
      <c r="C28" s="194">
        <v>2</v>
      </c>
      <c r="D28" s="194">
        <v>2</v>
      </c>
      <c r="G28" s="8">
        <v>1</v>
      </c>
    </row>
    <row r="29" spans="1:7">
      <c r="A29" s="9" t="s">
        <v>95</v>
      </c>
      <c r="B29" s="194">
        <v>1</v>
      </c>
      <c r="C29" s="194"/>
      <c r="D29" s="194">
        <v>1</v>
      </c>
      <c r="G29" s="8">
        <v>1</v>
      </c>
    </row>
    <row r="30" spans="1:7">
      <c r="A30" s="9" t="s">
        <v>247</v>
      </c>
      <c r="B30" s="194">
        <v>2</v>
      </c>
      <c r="C30" s="194"/>
      <c r="D30" s="194">
        <v>2</v>
      </c>
      <c r="G30" s="8">
        <v>1</v>
      </c>
    </row>
    <row r="31" spans="1:7">
      <c r="A31" s="7" t="s">
        <v>42</v>
      </c>
      <c r="B31" s="194">
        <v>5</v>
      </c>
      <c r="C31" s="194">
        <v>8</v>
      </c>
      <c r="D31" s="194">
        <v>13</v>
      </c>
      <c r="G31" s="8">
        <v>1</v>
      </c>
    </row>
    <row r="32" spans="1:7">
      <c r="A32" s="9" t="s">
        <v>107</v>
      </c>
      <c r="B32" s="194">
        <v>1</v>
      </c>
      <c r="C32" s="194"/>
      <c r="D32" s="194">
        <v>1</v>
      </c>
      <c r="G32" s="8">
        <v>1</v>
      </c>
    </row>
    <row r="33" spans="1:7">
      <c r="A33" s="9" t="s">
        <v>106</v>
      </c>
      <c r="B33" s="194"/>
      <c r="C33" s="194">
        <v>1</v>
      </c>
      <c r="D33" s="194">
        <v>1</v>
      </c>
      <c r="G33" s="8">
        <v>1</v>
      </c>
    </row>
    <row r="34" spans="1:7">
      <c r="A34" s="9" t="s">
        <v>102</v>
      </c>
      <c r="B34" s="194">
        <v>1</v>
      </c>
      <c r="C34" s="194">
        <v>1</v>
      </c>
      <c r="D34" s="194">
        <v>2</v>
      </c>
      <c r="G34" s="8">
        <v>1</v>
      </c>
    </row>
    <row r="35" spans="1:7">
      <c r="A35" s="9" t="s">
        <v>105</v>
      </c>
      <c r="B35" s="194">
        <v>1</v>
      </c>
      <c r="C35" s="194">
        <v>1</v>
      </c>
      <c r="D35" s="194">
        <v>2</v>
      </c>
      <c r="G35" s="8">
        <v>1</v>
      </c>
    </row>
    <row r="36" spans="1:7">
      <c r="A36" s="9" t="s">
        <v>99</v>
      </c>
      <c r="B36" s="194">
        <v>1</v>
      </c>
      <c r="C36" s="194">
        <v>1</v>
      </c>
      <c r="D36" s="194">
        <v>2</v>
      </c>
      <c r="G36" s="8">
        <v>1</v>
      </c>
    </row>
    <row r="37" spans="1:7">
      <c r="A37" s="9" t="s">
        <v>232</v>
      </c>
      <c r="B37" s="194">
        <v>1</v>
      </c>
      <c r="C37" s="194">
        <v>4</v>
      </c>
      <c r="D37" s="194">
        <v>5</v>
      </c>
      <c r="G37" s="8">
        <v>1</v>
      </c>
    </row>
    <row r="38" spans="1:7">
      <c r="A38" s="7" t="s">
        <v>45</v>
      </c>
      <c r="B38" s="194">
        <v>2</v>
      </c>
      <c r="C38" s="194">
        <v>14</v>
      </c>
      <c r="D38" s="194">
        <v>16</v>
      </c>
      <c r="G38" s="8">
        <v>1</v>
      </c>
    </row>
    <row r="39" spans="1:7">
      <c r="A39" s="9" t="s">
        <v>118</v>
      </c>
      <c r="B39" s="194"/>
      <c r="C39" s="194">
        <v>2</v>
      </c>
      <c r="D39" s="194">
        <v>2</v>
      </c>
      <c r="G39" s="8">
        <v>1</v>
      </c>
    </row>
    <row r="40" spans="1:7">
      <c r="A40" s="9" t="s">
        <v>110</v>
      </c>
      <c r="B40" s="194"/>
      <c r="C40" s="194">
        <v>2</v>
      </c>
      <c r="D40" s="194">
        <v>2</v>
      </c>
      <c r="G40" s="8">
        <v>1</v>
      </c>
    </row>
    <row r="41" spans="1:7">
      <c r="A41" s="9" t="s">
        <v>111</v>
      </c>
      <c r="B41" s="194"/>
      <c r="C41" s="194">
        <v>2</v>
      </c>
      <c r="D41" s="194">
        <v>2</v>
      </c>
      <c r="G41" s="8">
        <v>1</v>
      </c>
    </row>
    <row r="42" spans="1:7">
      <c r="A42" s="9" t="s">
        <v>109</v>
      </c>
      <c r="B42" s="194"/>
      <c r="C42" s="194">
        <v>1</v>
      </c>
      <c r="D42" s="194">
        <v>1</v>
      </c>
      <c r="G42" s="8">
        <v>1</v>
      </c>
    </row>
    <row r="43" spans="1:7">
      <c r="A43" s="9" t="s">
        <v>113</v>
      </c>
      <c r="B43" s="194"/>
      <c r="C43" s="194">
        <v>4</v>
      </c>
      <c r="D43" s="194">
        <v>4</v>
      </c>
      <c r="G43" s="8">
        <v>1</v>
      </c>
    </row>
    <row r="44" spans="1:7">
      <c r="A44" s="9" t="s">
        <v>114</v>
      </c>
      <c r="B44" s="194"/>
      <c r="C44" s="194">
        <v>1</v>
      </c>
      <c r="D44" s="194">
        <v>1</v>
      </c>
      <c r="G44" s="8">
        <v>1</v>
      </c>
    </row>
    <row r="45" spans="1:7">
      <c r="A45" s="9" t="s">
        <v>755</v>
      </c>
      <c r="B45" s="194">
        <v>2</v>
      </c>
      <c r="C45" s="194">
        <v>2</v>
      </c>
      <c r="D45" s="194">
        <v>4</v>
      </c>
      <c r="G45" s="8">
        <v>1</v>
      </c>
    </row>
    <row r="46" spans="1:7">
      <c r="A46" s="7" t="s">
        <v>55</v>
      </c>
      <c r="B46" s="194">
        <v>7</v>
      </c>
      <c r="C46" s="194">
        <v>14</v>
      </c>
      <c r="D46" s="194">
        <v>21</v>
      </c>
      <c r="G46" s="8">
        <v>1</v>
      </c>
    </row>
    <row r="47" spans="1:7">
      <c r="A47" s="9" t="s">
        <v>122</v>
      </c>
      <c r="B47" s="194">
        <v>2</v>
      </c>
      <c r="C47" s="194">
        <v>2</v>
      </c>
      <c r="D47" s="194">
        <v>4</v>
      </c>
      <c r="G47" s="8">
        <v>1</v>
      </c>
    </row>
    <row r="48" spans="1:7">
      <c r="A48" s="9" t="s">
        <v>227</v>
      </c>
      <c r="B48" s="194">
        <v>1</v>
      </c>
      <c r="C48" s="194">
        <v>2</v>
      </c>
      <c r="D48" s="194">
        <v>3</v>
      </c>
      <c r="G48" s="8">
        <v>1</v>
      </c>
    </row>
    <row r="49" spans="1:7">
      <c r="A49" s="9" t="s">
        <v>640</v>
      </c>
      <c r="B49" s="194">
        <v>2</v>
      </c>
      <c r="C49" s="194">
        <v>8</v>
      </c>
      <c r="D49" s="194">
        <v>10</v>
      </c>
      <c r="G49" s="8">
        <v>1</v>
      </c>
    </row>
    <row r="50" spans="1:7">
      <c r="A50" s="9" t="s">
        <v>637</v>
      </c>
      <c r="B50" s="194">
        <v>2</v>
      </c>
      <c r="C50" s="194">
        <v>2</v>
      </c>
      <c r="D50" s="194">
        <v>4</v>
      </c>
      <c r="G50" s="8">
        <v>1</v>
      </c>
    </row>
    <row r="51" spans="1:7">
      <c r="A51" s="7" t="s">
        <v>154</v>
      </c>
      <c r="B51" s="194">
        <v>24</v>
      </c>
      <c r="C51" s="194">
        <v>50</v>
      </c>
      <c r="D51" s="194">
        <v>74</v>
      </c>
      <c r="G51" s="8">
        <v>1</v>
      </c>
    </row>
    <row r="52" spans="1:7">
      <c r="G52" s="8" t="e">
        <f t="shared" ref="G20:G59" si="1">B52/(B52+C52)</f>
        <v>#DIV/0!</v>
      </c>
    </row>
    <row r="53" spans="1:7">
      <c r="G53" s="8" t="e">
        <f t="shared" si="1"/>
        <v>#DIV/0!</v>
      </c>
    </row>
    <row r="54" spans="1:7">
      <c r="G54" s="8" t="e">
        <f t="shared" si="1"/>
        <v>#DIV/0!</v>
      </c>
    </row>
    <row r="55" spans="1:7">
      <c r="G55" s="8" t="e">
        <f t="shared" si="1"/>
        <v>#DIV/0!</v>
      </c>
    </row>
    <row r="56" spans="1:7">
      <c r="G56" s="8" t="e">
        <f t="shared" si="1"/>
        <v>#DIV/0!</v>
      </c>
    </row>
    <row r="57" spans="1:7">
      <c r="G57" s="8" t="e">
        <f t="shared" si="1"/>
        <v>#DIV/0!</v>
      </c>
    </row>
    <row r="58" spans="1:7">
      <c r="G58" s="8" t="e">
        <f t="shared" si="1"/>
        <v>#DIV/0!</v>
      </c>
    </row>
    <row r="59" spans="1:7">
      <c r="G59" s="8" t="e">
        <f t="shared" si="1"/>
        <v>#DIV/0!</v>
      </c>
    </row>
    <row r="60" spans="1:7">
      <c r="G60" s="8" t="e">
        <f t="shared" ref="G60:G78" si="2">B60/(B60+C60)</f>
        <v>#DIV/0!</v>
      </c>
    </row>
    <row r="61" spans="1:7">
      <c r="G61" s="8" t="e">
        <f t="shared" si="2"/>
        <v>#DIV/0!</v>
      </c>
    </row>
    <row r="62" spans="1:7">
      <c r="G62" s="8" t="e">
        <f t="shared" si="2"/>
        <v>#DIV/0!</v>
      </c>
    </row>
    <row r="63" spans="1:7">
      <c r="G63" s="8" t="e">
        <f t="shared" si="2"/>
        <v>#DIV/0!</v>
      </c>
    </row>
    <row r="64" spans="1:7">
      <c r="G64" s="8" t="e">
        <f t="shared" si="2"/>
        <v>#DIV/0!</v>
      </c>
    </row>
    <row r="65" spans="7:7">
      <c r="G65" s="8" t="e">
        <f t="shared" si="2"/>
        <v>#DIV/0!</v>
      </c>
    </row>
    <row r="66" spans="7:7">
      <c r="G66" s="8" t="e">
        <f t="shared" si="2"/>
        <v>#DIV/0!</v>
      </c>
    </row>
    <row r="67" spans="7:7">
      <c r="G67" s="8" t="e">
        <f t="shared" si="2"/>
        <v>#DIV/0!</v>
      </c>
    </row>
    <row r="68" spans="7:7">
      <c r="G68" s="8" t="e">
        <f t="shared" si="2"/>
        <v>#DIV/0!</v>
      </c>
    </row>
    <row r="69" spans="7:7">
      <c r="G69" s="8" t="e">
        <f t="shared" si="2"/>
        <v>#DIV/0!</v>
      </c>
    </row>
    <row r="70" spans="7:7">
      <c r="G70" s="8" t="e">
        <f t="shared" si="2"/>
        <v>#DIV/0!</v>
      </c>
    </row>
    <row r="71" spans="7:7">
      <c r="G71" s="8" t="e">
        <f t="shared" si="2"/>
        <v>#DIV/0!</v>
      </c>
    </row>
    <row r="72" spans="7:7">
      <c r="G72" s="8" t="e">
        <f t="shared" si="2"/>
        <v>#DIV/0!</v>
      </c>
    </row>
    <row r="73" spans="7:7">
      <c r="G73" s="8" t="e">
        <f t="shared" si="2"/>
        <v>#DIV/0!</v>
      </c>
    </row>
    <row r="74" spans="7:7">
      <c r="G74" s="8" t="e">
        <f t="shared" si="2"/>
        <v>#DIV/0!</v>
      </c>
    </row>
    <row r="75" spans="7:7">
      <c r="G75" s="8" t="e">
        <f t="shared" si="2"/>
        <v>#DIV/0!</v>
      </c>
    </row>
    <row r="76" spans="7:7">
      <c r="G76" s="8" t="e">
        <f t="shared" si="2"/>
        <v>#DIV/0!</v>
      </c>
    </row>
    <row r="77" spans="7:7">
      <c r="G77" s="8" t="e">
        <f t="shared" si="2"/>
        <v>#DIV/0!</v>
      </c>
    </row>
    <row r="78" spans="7:7">
      <c r="G78" s="8" t="e">
        <f t="shared" si="2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BI5978"/>
  <sheetViews>
    <sheetView zoomScale="104" workbookViewId="0">
      <selection activeCell="D1" sqref="D1"/>
    </sheetView>
  </sheetViews>
  <sheetFormatPr defaultColWidth="9" defaultRowHeight="14.5"/>
  <cols>
    <col min="1" max="1" width="8.1796875" bestFit="1" customWidth="1"/>
    <col min="2" max="2" width="11.7265625" bestFit="1" customWidth="1"/>
    <col min="3" max="3" width="9.1796875" bestFit="1" customWidth="1"/>
    <col min="4" max="4" width="25.1796875" customWidth="1"/>
    <col min="5" max="5" width="9.1796875" bestFit="1" customWidth="1"/>
    <col min="6" max="6" width="17.81640625" customWidth="1"/>
    <col min="15" max="16" width="14.81640625" bestFit="1" customWidth="1"/>
    <col min="17" max="17" width="9.1796875" bestFit="1" customWidth="1"/>
    <col min="19" max="19" width="11" bestFit="1" customWidth="1"/>
    <col min="42" max="42" width="17" customWidth="1"/>
    <col min="47" max="47" width="13.81640625" customWidth="1"/>
    <col min="53" max="53" width="13.81640625" customWidth="1"/>
    <col min="55" max="55" width="13.81640625" customWidth="1"/>
    <col min="58" max="58" width="10.7265625" bestFit="1" customWidth="1"/>
    <col min="61" max="61" width="29.179687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5" t="s">
        <v>844</v>
      </c>
      <c r="BD1" s="193" t="s">
        <v>845</v>
      </c>
      <c r="BE1" s="193" t="s">
        <v>846</v>
      </c>
      <c r="BF1" s="5" t="s">
        <v>207</v>
      </c>
      <c r="BG1" s="5" t="s">
        <v>208</v>
      </c>
      <c r="BH1" s="5" t="s">
        <v>209</v>
      </c>
      <c r="BI1" s="5" t="s">
        <v>78</v>
      </c>
    </row>
    <row r="2" spans="1:61" hidden="1">
      <c r="A2">
        <v>1</v>
      </c>
      <c r="B2">
        <v>1002618762</v>
      </c>
      <c r="C2">
        <v>3</v>
      </c>
      <c r="D2" t="s">
        <v>45</v>
      </c>
      <c r="E2">
        <v>5</v>
      </c>
      <c r="F2" t="s">
        <v>210</v>
      </c>
      <c r="G2" t="s">
        <v>115</v>
      </c>
      <c r="H2" t="s">
        <v>272</v>
      </c>
      <c r="I2" t="s">
        <v>212</v>
      </c>
      <c r="J2" t="s">
        <v>213</v>
      </c>
      <c r="K2" t="s">
        <v>149</v>
      </c>
      <c r="L2" t="s">
        <v>214</v>
      </c>
      <c r="M2" t="s">
        <v>238</v>
      </c>
      <c r="N2" t="s">
        <v>215</v>
      </c>
      <c r="O2" s="57">
        <v>46296.742812500001</v>
      </c>
      <c r="P2" s="57">
        <v>46296.744513888887</v>
      </c>
      <c r="Q2">
        <v>69402658</v>
      </c>
      <c r="S2">
        <v>172603792347</v>
      </c>
      <c r="T2" t="s">
        <v>954</v>
      </c>
      <c r="U2" t="s">
        <v>955</v>
      </c>
      <c r="V2" t="s">
        <v>956</v>
      </c>
      <c r="Z2">
        <v>116.32773052901</v>
      </c>
      <c r="AA2">
        <v>-8.7849984904067604</v>
      </c>
      <c r="AB2" t="s">
        <v>957</v>
      </c>
      <c r="AC2" t="s">
        <v>216</v>
      </c>
      <c r="AL2" t="s">
        <v>217</v>
      </c>
      <c r="AM2" t="s">
        <v>958</v>
      </c>
      <c r="AN2" t="s">
        <v>6</v>
      </c>
      <c r="AO2" s="57">
        <v>46032.746898148151</v>
      </c>
      <c r="AP2" s="57">
        <v>46298.458333333336</v>
      </c>
      <c r="AR2" t="s">
        <v>239</v>
      </c>
      <c r="AS2" t="s">
        <v>812</v>
      </c>
      <c r="AT2" t="s">
        <v>230</v>
      </c>
      <c r="AV2" t="s">
        <v>238</v>
      </c>
      <c r="AW2" t="s">
        <v>802</v>
      </c>
      <c r="AX2" t="s">
        <v>222</v>
      </c>
      <c r="BA2" s="57">
        <v>46298.458333333336</v>
      </c>
      <c r="BB2" t="s">
        <v>958</v>
      </c>
      <c r="BF2" s="6" t="e">
        <f t="shared" ref="BF2:BF65" si="0">DATE(BC2,BD2,BE2)</f>
        <v>#NUM!</v>
      </c>
      <c r="BG2" t="e">
        <f t="shared" ref="BG2:BG65" si="1">BF2-BA2</f>
        <v>#NUM!</v>
      </c>
      <c r="BH2" t="e">
        <f t="shared" ref="BH2:BH65" si="2">IF(BG2=1,"COMPLY",IF(BG2&lt;1,"COMPLY","NOT COMPLY"))</f>
        <v>#NUM!</v>
      </c>
      <c r="BI2" t="str">
        <f>VLOOKUP(H2,Sheet2!$A$1:$B$270,2,FALSE)</f>
        <v>SELONG</v>
      </c>
    </row>
    <row r="3" spans="1:61" hidden="1">
      <c r="A3">
        <v>2</v>
      </c>
      <c r="B3">
        <v>1002617134</v>
      </c>
      <c r="C3">
        <v>3</v>
      </c>
      <c r="D3" t="s">
        <v>45</v>
      </c>
      <c r="E3">
        <v>5</v>
      </c>
      <c r="F3" t="s">
        <v>210</v>
      </c>
      <c r="G3" t="s">
        <v>116</v>
      </c>
      <c r="H3" t="s">
        <v>356</v>
      </c>
      <c r="I3" t="s">
        <v>212</v>
      </c>
      <c r="J3" t="s">
        <v>213</v>
      </c>
      <c r="K3" t="s">
        <v>149</v>
      </c>
      <c r="L3" t="s">
        <v>214</v>
      </c>
      <c r="M3" t="s">
        <v>76</v>
      </c>
      <c r="N3" t="s">
        <v>215</v>
      </c>
      <c r="O3" s="57">
        <v>46296.40179398148</v>
      </c>
      <c r="P3" s="57">
        <v>46296.862164351849</v>
      </c>
      <c r="Q3">
        <v>69402106</v>
      </c>
      <c r="S3">
        <v>172619203309</v>
      </c>
      <c r="T3" t="s">
        <v>959</v>
      </c>
      <c r="U3" t="s">
        <v>960</v>
      </c>
      <c r="V3" t="s">
        <v>961</v>
      </c>
      <c r="Z3">
        <v>116.47214300930401</v>
      </c>
      <c r="AA3">
        <v>-8.8049368383438704</v>
      </c>
      <c r="AB3" t="s">
        <v>962</v>
      </c>
      <c r="AC3" t="s">
        <v>216</v>
      </c>
      <c r="AL3" t="s">
        <v>217</v>
      </c>
      <c r="AM3" t="s">
        <v>963</v>
      </c>
      <c r="AN3" t="s">
        <v>6</v>
      </c>
      <c r="AO3" s="57">
        <v>46032.413738425923</v>
      </c>
      <c r="AP3" s="57">
        <v>46298.458333333336</v>
      </c>
      <c r="AR3" t="s">
        <v>218</v>
      </c>
      <c r="AS3" t="s">
        <v>827</v>
      </c>
      <c r="AT3" t="s">
        <v>230</v>
      </c>
      <c r="AU3">
        <v>20261001</v>
      </c>
      <c r="AV3" t="s">
        <v>221</v>
      </c>
      <c r="AW3" t="s">
        <v>880</v>
      </c>
      <c r="AX3" t="s">
        <v>222</v>
      </c>
      <c r="BA3" s="57">
        <v>46298.458333333336</v>
      </c>
      <c r="BB3" t="s">
        <v>963</v>
      </c>
      <c r="BC3">
        <v>2026</v>
      </c>
      <c r="BD3">
        <v>10</v>
      </c>
      <c r="BE3">
        <v>1</v>
      </c>
      <c r="BF3" s="6">
        <f t="shared" si="0"/>
        <v>46296</v>
      </c>
      <c r="BG3">
        <f t="shared" si="1"/>
        <v>-2.4583333333357587</v>
      </c>
      <c r="BH3" t="str">
        <f t="shared" si="2"/>
        <v>COMPLY</v>
      </c>
      <c r="BI3" t="str">
        <f>VLOOKUP(H3,Sheet2!$A$1:$B$270,2,FALSE)</f>
        <v>SELONG</v>
      </c>
    </row>
    <row r="4" spans="1:61" hidden="1">
      <c r="A4">
        <v>3</v>
      </c>
      <c r="B4">
        <v>1002617999</v>
      </c>
      <c r="C4">
        <v>3</v>
      </c>
      <c r="D4" t="s">
        <v>45</v>
      </c>
      <c r="E4">
        <v>5</v>
      </c>
      <c r="F4" t="s">
        <v>210</v>
      </c>
      <c r="G4" t="s">
        <v>116</v>
      </c>
      <c r="H4" t="s">
        <v>356</v>
      </c>
      <c r="I4" t="s">
        <v>212</v>
      </c>
      <c r="J4" t="s">
        <v>213</v>
      </c>
      <c r="K4" t="s">
        <v>149</v>
      </c>
      <c r="L4" t="s">
        <v>214</v>
      </c>
      <c r="M4" t="s">
        <v>238</v>
      </c>
      <c r="N4" t="s">
        <v>215</v>
      </c>
      <c r="O4" s="57">
        <v>46296.584490740737</v>
      </c>
      <c r="P4" s="57">
        <v>46296.586192129631</v>
      </c>
      <c r="Q4">
        <v>69402420</v>
      </c>
      <c r="S4">
        <v>172619203547</v>
      </c>
      <c r="T4" t="s">
        <v>964</v>
      </c>
      <c r="U4" t="s">
        <v>932</v>
      </c>
      <c r="V4" t="s">
        <v>965</v>
      </c>
      <c r="Z4">
        <v>116.508950963616</v>
      </c>
      <c r="AA4">
        <v>-8.7742104745551899</v>
      </c>
      <c r="AB4" t="s">
        <v>966</v>
      </c>
      <c r="AC4" t="s">
        <v>216</v>
      </c>
      <c r="AL4" t="s">
        <v>217</v>
      </c>
      <c r="AM4" t="s">
        <v>967</v>
      </c>
      <c r="AN4" t="s">
        <v>6</v>
      </c>
      <c r="AO4" s="57">
        <v>46032.590474537035</v>
      </c>
      <c r="AP4" s="57">
        <v>46298.458333333336</v>
      </c>
      <c r="AR4" t="s">
        <v>239</v>
      </c>
      <c r="AS4" t="s">
        <v>827</v>
      </c>
      <c r="AT4" t="s">
        <v>230</v>
      </c>
      <c r="AV4" t="s">
        <v>238</v>
      </c>
      <c r="AW4" t="s">
        <v>933</v>
      </c>
      <c r="AX4" t="s">
        <v>222</v>
      </c>
      <c r="BA4" s="57">
        <v>46298.458333333336</v>
      </c>
      <c r="BB4" t="s">
        <v>967</v>
      </c>
      <c r="BF4" s="6" t="e">
        <f t="shared" si="0"/>
        <v>#NUM!</v>
      </c>
      <c r="BG4" t="e">
        <f t="shared" si="1"/>
        <v>#NUM!</v>
      </c>
      <c r="BH4" t="e">
        <f t="shared" si="2"/>
        <v>#NUM!</v>
      </c>
      <c r="BI4" t="str">
        <f>VLOOKUP(H4,Sheet2!$A$1:$B$270,2,FALSE)</f>
        <v>SELONG</v>
      </c>
    </row>
    <row r="5" spans="1:61" hidden="1">
      <c r="A5">
        <v>4</v>
      </c>
      <c r="B5">
        <v>1002618749</v>
      </c>
      <c r="C5">
        <v>3</v>
      </c>
      <c r="D5" t="s">
        <v>45</v>
      </c>
      <c r="E5">
        <v>5</v>
      </c>
      <c r="F5" t="s">
        <v>210</v>
      </c>
      <c r="G5" t="s">
        <v>116</v>
      </c>
      <c r="H5" t="s">
        <v>267</v>
      </c>
      <c r="I5" t="s">
        <v>212</v>
      </c>
      <c r="J5" t="s">
        <v>213</v>
      </c>
      <c r="K5" t="s">
        <v>149</v>
      </c>
      <c r="M5" t="s">
        <v>76</v>
      </c>
      <c r="N5" t="s">
        <v>215</v>
      </c>
      <c r="O5" s="57">
        <v>46296.73773148148</v>
      </c>
      <c r="P5" s="57">
        <v>46297.46565972222</v>
      </c>
      <c r="Q5">
        <v>69399006</v>
      </c>
      <c r="S5">
        <v>172604214410</v>
      </c>
      <c r="T5" t="s">
        <v>915</v>
      </c>
      <c r="U5" t="s">
        <v>968</v>
      </c>
      <c r="V5" t="s">
        <v>969</v>
      </c>
      <c r="Z5">
        <v>116.284406241482</v>
      </c>
      <c r="AA5">
        <v>-8.2657515630690597</v>
      </c>
      <c r="AB5" t="s">
        <v>916</v>
      </c>
      <c r="AC5" t="s">
        <v>216</v>
      </c>
      <c r="AL5" t="s">
        <v>217</v>
      </c>
      <c r="AM5" t="s">
        <v>970</v>
      </c>
      <c r="AN5" t="s">
        <v>6</v>
      </c>
      <c r="AO5" s="57">
        <v>46032.746898148151</v>
      </c>
      <c r="AR5" t="s">
        <v>218</v>
      </c>
      <c r="AS5" t="s">
        <v>814</v>
      </c>
      <c r="AT5" t="s">
        <v>342</v>
      </c>
      <c r="AU5">
        <v>20261002</v>
      </c>
      <c r="AV5" t="s">
        <v>221</v>
      </c>
      <c r="AW5" t="s">
        <v>559</v>
      </c>
      <c r="AX5" t="s">
        <v>222</v>
      </c>
      <c r="BA5" s="57">
        <v>46296.291666666664</v>
      </c>
      <c r="BB5" t="s">
        <v>970</v>
      </c>
      <c r="BC5">
        <v>2026</v>
      </c>
      <c r="BD5">
        <v>10</v>
      </c>
      <c r="BE5">
        <v>2</v>
      </c>
      <c r="BF5" s="6">
        <f t="shared" si="0"/>
        <v>46297</v>
      </c>
      <c r="BG5">
        <f t="shared" si="1"/>
        <v>0.70833333333575865</v>
      </c>
      <c r="BH5" t="str">
        <f t="shared" si="2"/>
        <v>COMPLY</v>
      </c>
      <c r="BI5" t="str">
        <f>VLOOKUP(H5,Sheet2!$A$1:$B$270,2,FALSE)</f>
        <v>SELONG</v>
      </c>
    </row>
    <row r="6" spans="1:61" hidden="1">
      <c r="A6">
        <v>5</v>
      </c>
      <c r="B6">
        <v>1002618712</v>
      </c>
      <c r="C6">
        <v>3</v>
      </c>
      <c r="D6" t="s">
        <v>45</v>
      </c>
      <c r="E6">
        <v>5</v>
      </c>
      <c r="F6" t="s">
        <v>210</v>
      </c>
      <c r="G6" t="s">
        <v>110</v>
      </c>
      <c r="H6" t="s">
        <v>443</v>
      </c>
      <c r="I6" t="s">
        <v>212</v>
      </c>
      <c r="J6" t="s">
        <v>213</v>
      </c>
      <c r="K6" t="s">
        <v>149</v>
      </c>
      <c r="M6" t="s">
        <v>224</v>
      </c>
      <c r="N6" t="s">
        <v>215</v>
      </c>
      <c r="O6" s="57">
        <v>46296.722210648149</v>
      </c>
      <c r="P6" s="57">
        <v>46297.558194444442</v>
      </c>
      <c r="Q6">
        <v>69399079</v>
      </c>
      <c r="S6">
        <v>172610305882</v>
      </c>
      <c r="T6" t="s">
        <v>917</v>
      </c>
      <c r="U6" t="s">
        <v>908</v>
      </c>
      <c r="V6" t="s">
        <v>971</v>
      </c>
      <c r="Z6">
        <v>119.010786571083</v>
      </c>
      <c r="AA6">
        <v>-8.5810439764457396</v>
      </c>
      <c r="AB6" t="s">
        <v>918</v>
      </c>
      <c r="AC6" t="s">
        <v>216</v>
      </c>
      <c r="AL6" t="s">
        <v>217</v>
      </c>
      <c r="AM6" t="s">
        <v>972</v>
      </c>
      <c r="AN6" t="s">
        <v>6</v>
      </c>
      <c r="AO6" s="57">
        <v>46032.726099537038</v>
      </c>
      <c r="AR6" t="s">
        <v>18</v>
      </c>
      <c r="AS6" t="s">
        <v>815</v>
      </c>
      <c r="AT6" t="s">
        <v>342</v>
      </c>
      <c r="AV6" t="s">
        <v>226</v>
      </c>
      <c r="AW6" t="s">
        <v>540</v>
      </c>
      <c r="AX6" t="s">
        <v>222</v>
      </c>
      <c r="BA6" s="57">
        <v>46296.291666666664</v>
      </c>
      <c r="BB6" t="s">
        <v>972</v>
      </c>
      <c r="BF6" s="6" t="e">
        <f t="shared" si="0"/>
        <v>#NUM!</v>
      </c>
      <c r="BG6" t="e">
        <f t="shared" si="1"/>
        <v>#NUM!</v>
      </c>
      <c r="BH6" t="e">
        <f t="shared" si="2"/>
        <v>#NUM!</v>
      </c>
      <c r="BI6" t="str">
        <f>VLOOKUP(H6,Sheet2!$A$1:$B$270,2,FALSE)</f>
        <v>BIMA</v>
      </c>
    </row>
    <row r="7" spans="1:61" hidden="1">
      <c r="A7">
        <v>6</v>
      </c>
      <c r="B7">
        <v>1002616820</v>
      </c>
      <c r="C7">
        <v>3</v>
      </c>
      <c r="D7" t="s">
        <v>45</v>
      </c>
      <c r="E7">
        <v>5</v>
      </c>
      <c r="F7" t="s">
        <v>210</v>
      </c>
      <c r="G7" t="s">
        <v>110</v>
      </c>
      <c r="H7" t="s">
        <v>467</v>
      </c>
      <c r="I7" t="s">
        <v>212</v>
      </c>
      <c r="J7" t="s">
        <v>213</v>
      </c>
      <c r="K7" t="s">
        <v>149</v>
      </c>
      <c r="L7" t="s">
        <v>214</v>
      </c>
      <c r="M7" t="s">
        <v>255</v>
      </c>
      <c r="N7" t="s">
        <v>215</v>
      </c>
      <c r="O7" s="57">
        <v>46296.30809027778</v>
      </c>
      <c r="P7" s="57">
        <v>46297.531469907408</v>
      </c>
      <c r="Q7">
        <v>69401995</v>
      </c>
      <c r="S7">
        <v>172617203143</v>
      </c>
      <c r="T7" t="s">
        <v>973</v>
      </c>
      <c r="U7" t="s">
        <v>974</v>
      </c>
      <c r="V7" t="s">
        <v>975</v>
      </c>
      <c r="Z7">
        <v>118.587181</v>
      </c>
      <c r="AA7">
        <v>-8.5123169999999995</v>
      </c>
      <c r="AB7" t="s">
        <v>976</v>
      </c>
      <c r="AC7" t="s">
        <v>235</v>
      </c>
      <c r="AL7" t="s">
        <v>217</v>
      </c>
      <c r="AM7" t="s">
        <v>977</v>
      </c>
      <c r="AN7" t="s">
        <v>6</v>
      </c>
      <c r="AO7" s="57">
        <v>46032.319768518515</v>
      </c>
      <c r="AP7" s="57">
        <v>46297.333333333336</v>
      </c>
      <c r="AR7" t="s">
        <v>256</v>
      </c>
      <c r="AS7" t="s">
        <v>815</v>
      </c>
      <c r="AT7" t="s">
        <v>220</v>
      </c>
      <c r="AV7" t="s">
        <v>257</v>
      </c>
      <c r="AW7" t="s">
        <v>876</v>
      </c>
      <c r="AX7" t="s">
        <v>222</v>
      </c>
      <c r="BA7" s="57">
        <v>46297.333333333336</v>
      </c>
      <c r="BB7" t="s">
        <v>977</v>
      </c>
      <c r="BF7" s="6" t="e">
        <f t="shared" si="0"/>
        <v>#NUM!</v>
      </c>
      <c r="BG7" t="e">
        <f t="shared" si="1"/>
        <v>#NUM!</v>
      </c>
      <c r="BH7" t="e">
        <f t="shared" si="2"/>
        <v>#NUM!</v>
      </c>
      <c r="BI7" t="str">
        <f>VLOOKUP(H7,Sheet2!$A$1:$B$270,2,FALSE)</f>
        <v>BIMA</v>
      </c>
    </row>
    <row r="8" spans="1:61" hidden="1">
      <c r="A8">
        <v>7</v>
      </c>
      <c r="B8">
        <v>1002616833</v>
      </c>
      <c r="C8">
        <v>3</v>
      </c>
      <c r="D8" t="s">
        <v>45</v>
      </c>
      <c r="E8">
        <v>5</v>
      </c>
      <c r="F8" t="s">
        <v>210</v>
      </c>
      <c r="G8" t="s">
        <v>118</v>
      </c>
      <c r="H8" t="s">
        <v>211</v>
      </c>
      <c r="I8" t="s">
        <v>212</v>
      </c>
      <c r="J8" t="s">
        <v>213</v>
      </c>
      <c r="K8" t="s">
        <v>149</v>
      </c>
      <c r="L8" t="s">
        <v>214</v>
      </c>
      <c r="M8" t="s">
        <v>224</v>
      </c>
      <c r="N8" t="s">
        <v>215</v>
      </c>
      <c r="O8" s="57">
        <v>46296.328946759262</v>
      </c>
      <c r="P8" s="57">
        <v>46296.672118055554</v>
      </c>
      <c r="Q8">
        <v>69402001</v>
      </c>
      <c r="S8">
        <v>172606792351</v>
      </c>
      <c r="T8" t="s">
        <v>914</v>
      </c>
      <c r="U8" t="s">
        <v>978</v>
      </c>
      <c r="V8" t="s">
        <v>979</v>
      </c>
      <c r="Z8">
        <v>117.602678015828</v>
      </c>
      <c r="AA8">
        <v>-8.6273268453709395</v>
      </c>
      <c r="AB8" t="s">
        <v>980</v>
      </c>
      <c r="AC8" t="s">
        <v>216</v>
      </c>
      <c r="AL8" t="s">
        <v>217</v>
      </c>
      <c r="AM8" t="s">
        <v>981</v>
      </c>
      <c r="AN8" t="s">
        <v>6</v>
      </c>
      <c r="AO8" s="57">
        <v>46032.330370370371</v>
      </c>
      <c r="AP8" s="57">
        <v>46297.333333333336</v>
      </c>
      <c r="AR8" t="s">
        <v>18</v>
      </c>
      <c r="AS8" t="s">
        <v>219</v>
      </c>
      <c r="AT8" t="s">
        <v>342</v>
      </c>
      <c r="AV8" t="s">
        <v>226</v>
      </c>
      <c r="AW8" t="s">
        <v>982</v>
      </c>
      <c r="AX8" t="s">
        <v>222</v>
      </c>
      <c r="BA8" s="57">
        <v>46297.333333333336</v>
      </c>
      <c r="BB8" t="s">
        <v>981</v>
      </c>
      <c r="BF8" s="6" t="e">
        <f t="shared" si="0"/>
        <v>#NUM!</v>
      </c>
      <c r="BG8" t="e">
        <f t="shared" si="1"/>
        <v>#NUM!</v>
      </c>
      <c r="BH8" t="e">
        <f t="shared" si="2"/>
        <v>#NUM!</v>
      </c>
      <c r="BI8" t="str">
        <f>VLOOKUP(H8,Sheet2!$A$1:$B$270,2,FALSE)</f>
        <v>SUMBAWA</v>
      </c>
    </row>
    <row r="9" spans="1:61" hidden="1">
      <c r="A9">
        <v>8</v>
      </c>
      <c r="B9">
        <v>1002617985</v>
      </c>
      <c r="C9">
        <v>3</v>
      </c>
      <c r="D9" t="s">
        <v>45</v>
      </c>
      <c r="E9">
        <v>5</v>
      </c>
      <c r="F9" t="s">
        <v>210</v>
      </c>
      <c r="G9" t="s">
        <v>118</v>
      </c>
      <c r="H9" t="s">
        <v>476</v>
      </c>
      <c r="I9" t="s">
        <v>212</v>
      </c>
      <c r="J9" t="s">
        <v>213</v>
      </c>
      <c r="K9" t="s">
        <v>149</v>
      </c>
      <c r="L9" t="s">
        <v>214</v>
      </c>
      <c r="M9" t="s">
        <v>224</v>
      </c>
      <c r="N9" t="s">
        <v>215</v>
      </c>
      <c r="O9" s="57">
        <v>46296.582407407404</v>
      </c>
      <c r="P9" s="57">
        <v>46297.557997685188</v>
      </c>
      <c r="Q9">
        <v>69402415</v>
      </c>
      <c r="S9">
        <v>172607203876</v>
      </c>
      <c r="T9" t="s">
        <v>983</v>
      </c>
      <c r="U9" t="s">
        <v>984</v>
      </c>
      <c r="V9" t="s">
        <v>985</v>
      </c>
      <c r="Z9">
        <v>116.84393909611801</v>
      </c>
      <c r="AA9">
        <v>-8.5645946796152597</v>
      </c>
      <c r="AB9" t="s">
        <v>986</v>
      </c>
      <c r="AC9" t="s">
        <v>235</v>
      </c>
      <c r="AL9" t="s">
        <v>217</v>
      </c>
      <c r="AM9" t="s">
        <v>987</v>
      </c>
      <c r="AN9" t="s">
        <v>6</v>
      </c>
      <c r="AO9" s="57">
        <v>46032.590474537035</v>
      </c>
      <c r="AP9" s="57">
        <v>46297.458333333336</v>
      </c>
      <c r="AR9" t="s">
        <v>18</v>
      </c>
      <c r="AS9" t="s">
        <v>813</v>
      </c>
      <c r="AT9" t="s">
        <v>230</v>
      </c>
      <c r="AV9" t="s">
        <v>226</v>
      </c>
      <c r="AW9" t="s">
        <v>933</v>
      </c>
      <c r="AX9" t="s">
        <v>222</v>
      </c>
      <c r="BA9" s="57">
        <v>46297.458333333336</v>
      </c>
      <c r="BB9" t="s">
        <v>987</v>
      </c>
      <c r="BF9" s="6" t="e">
        <f t="shared" si="0"/>
        <v>#NUM!</v>
      </c>
      <c r="BG9" t="e">
        <f t="shared" si="1"/>
        <v>#NUM!</v>
      </c>
      <c r="BH9" t="e">
        <f t="shared" si="2"/>
        <v>#NUM!</v>
      </c>
      <c r="BI9" t="str">
        <f>VLOOKUP(H9,Sheet2!$A$1:$B$270,2,FALSE)</f>
        <v>SUMBAWA</v>
      </c>
    </row>
    <row r="10" spans="1:61" hidden="1">
      <c r="A10">
        <v>9</v>
      </c>
      <c r="B10">
        <v>1002618464</v>
      </c>
      <c r="C10">
        <v>3</v>
      </c>
      <c r="D10" t="s">
        <v>38</v>
      </c>
      <c r="E10">
        <v>5</v>
      </c>
      <c r="F10" t="s">
        <v>247</v>
      </c>
      <c r="G10" t="s">
        <v>91</v>
      </c>
      <c r="H10" t="s">
        <v>386</v>
      </c>
      <c r="I10" t="s">
        <v>212</v>
      </c>
      <c r="J10" t="s">
        <v>213</v>
      </c>
      <c r="K10" t="s">
        <v>149</v>
      </c>
      <c r="L10" t="s">
        <v>214</v>
      </c>
      <c r="M10" t="s">
        <v>76</v>
      </c>
      <c r="N10" t="s">
        <v>215</v>
      </c>
      <c r="O10" s="57">
        <v>46296.661574074074</v>
      </c>
      <c r="P10" s="57">
        <v>46297.5468287037</v>
      </c>
      <c r="Q10">
        <v>69402562</v>
      </c>
      <c r="S10">
        <v>152703903703</v>
      </c>
      <c r="T10" t="s">
        <v>988</v>
      </c>
      <c r="U10" t="s">
        <v>989</v>
      </c>
      <c r="V10" t="s">
        <v>990</v>
      </c>
      <c r="Z10">
        <v>112.61766799999999</v>
      </c>
      <c r="AA10">
        <v>-7.9542149999999996</v>
      </c>
      <c r="AB10" t="s">
        <v>991</v>
      </c>
      <c r="AC10" t="s">
        <v>235</v>
      </c>
      <c r="AL10" t="s">
        <v>217</v>
      </c>
      <c r="AM10" t="s">
        <v>992</v>
      </c>
      <c r="AN10" t="s">
        <v>6</v>
      </c>
      <c r="AO10" s="57">
        <v>46032.694421296299</v>
      </c>
      <c r="AP10" s="57">
        <v>46297.625</v>
      </c>
      <c r="AR10" t="s">
        <v>218</v>
      </c>
      <c r="AS10" t="s">
        <v>549</v>
      </c>
      <c r="AT10" t="s">
        <v>230</v>
      </c>
      <c r="AU10">
        <v>20261002</v>
      </c>
      <c r="AV10" t="s">
        <v>221</v>
      </c>
      <c r="AW10" t="s">
        <v>881</v>
      </c>
      <c r="AX10" t="s">
        <v>222</v>
      </c>
      <c r="BA10" s="57">
        <v>46297.625</v>
      </c>
      <c r="BB10" t="s">
        <v>992</v>
      </c>
      <c r="BC10">
        <v>2026</v>
      </c>
      <c r="BD10">
        <v>10</v>
      </c>
      <c r="BE10">
        <v>2</v>
      </c>
      <c r="BF10" s="6">
        <f t="shared" si="0"/>
        <v>46297</v>
      </c>
      <c r="BG10">
        <f t="shared" si="1"/>
        <v>-0.625</v>
      </c>
      <c r="BH10" t="str">
        <f t="shared" si="2"/>
        <v>COMPLY</v>
      </c>
      <c r="BI10" t="str">
        <f>VLOOKUP(H10,Sheet2!$A$1:$B$270,2,FALSE)</f>
        <v>MALANG</v>
      </c>
    </row>
    <row r="11" spans="1:61" hidden="1">
      <c r="A11">
        <v>10</v>
      </c>
      <c r="B11">
        <v>1002616858</v>
      </c>
      <c r="C11">
        <v>3</v>
      </c>
      <c r="D11" t="s">
        <v>38</v>
      </c>
      <c r="E11">
        <v>5</v>
      </c>
      <c r="F11" t="s">
        <v>247</v>
      </c>
      <c r="G11" t="s">
        <v>91</v>
      </c>
      <c r="H11" t="s">
        <v>386</v>
      </c>
      <c r="I11" t="s">
        <v>212</v>
      </c>
      <c r="J11" t="s">
        <v>213</v>
      </c>
      <c r="K11" t="s">
        <v>149</v>
      </c>
      <c r="L11" t="s">
        <v>214</v>
      </c>
      <c r="M11" t="s">
        <v>76</v>
      </c>
      <c r="N11" t="s">
        <v>215</v>
      </c>
      <c r="O11" s="57">
        <v>46296.345613425925</v>
      </c>
      <c r="P11" s="57">
        <v>46296.652743055558</v>
      </c>
      <c r="Q11">
        <v>69402006</v>
      </c>
      <c r="S11">
        <v>152703256261</v>
      </c>
      <c r="T11" t="s">
        <v>993</v>
      </c>
      <c r="U11" t="s">
        <v>994</v>
      </c>
      <c r="V11" t="s">
        <v>995</v>
      </c>
      <c r="Z11">
        <v>112.583508686236</v>
      </c>
      <c r="AA11">
        <v>-7.9376766752176602</v>
      </c>
      <c r="AB11" t="s">
        <v>996</v>
      </c>
      <c r="AC11" t="s">
        <v>235</v>
      </c>
      <c r="AL11" t="s">
        <v>217</v>
      </c>
      <c r="AM11" t="s">
        <v>977</v>
      </c>
      <c r="AN11" t="s">
        <v>6</v>
      </c>
      <c r="AO11" s="57">
        <v>46032.351168981484</v>
      </c>
      <c r="AP11" s="57">
        <v>46297.333333333336</v>
      </c>
      <c r="AR11" t="s">
        <v>218</v>
      </c>
      <c r="AS11" t="s">
        <v>549</v>
      </c>
      <c r="AT11" t="s">
        <v>230</v>
      </c>
      <c r="AU11">
        <v>20261001</v>
      </c>
      <c r="AV11" t="s">
        <v>221</v>
      </c>
      <c r="AW11" t="s">
        <v>881</v>
      </c>
      <c r="AX11" t="s">
        <v>222</v>
      </c>
      <c r="BA11" s="57">
        <v>46297.333333333336</v>
      </c>
      <c r="BB11" t="s">
        <v>977</v>
      </c>
      <c r="BC11">
        <v>2026</v>
      </c>
      <c r="BD11">
        <v>10</v>
      </c>
      <c r="BE11">
        <v>1</v>
      </c>
      <c r="BF11" s="6">
        <f t="shared" si="0"/>
        <v>46296</v>
      </c>
      <c r="BG11">
        <f t="shared" si="1"/>
        <v>-1.3333333333357587</v>
      </c>
      <c r="BH11" t="str">
        <f t="shared" si="2"/>
        <v>COMPLY</v>
      </c>
      <c r="BI11" t="str">
        <f>VLOOKUP(H11,Sheet2!$A$1:$B$270,2,FALSE)</f>
        <v>MALANG</v>
      </c>
    </row>
    <row r="12" spans="1:61" hidden="1">
      <c r="A12">
        <v>11</v>
      </c>
      <c r="B12">
        <v>1002617199</v>
      </c>
      <c r="C12">
        <v>3</v>
      </c>
      <c r="D12" t="s">
        <v>38</v>
      </c>
      <c r="E12">
        <v>5</v>
      </c>
      <c r="F12" t="s">
        <v>247</v>
      </c>
      <c r="G12" t="s">
        <v>87</v>
      </c>
      <c r="H12" t="s">
        <v>423</v>
      </c>
      <c r="I12" t="s">
        <v>212</v>
      </c>
      <c r="J12" t="s">
        <v>213</v>
      </c>
      <c r="K12" t="s">
        <v>149</v>
      </c>
      <c r="M12" t="s">
        <v>76</v>
      </c>
      <c r="N12" t="s">
        <v>215</v>
      </c>
      <c r="O12" s="57">
        <v>46296.412326388891</v>
      </c>
      <c r="P12" s="57">
        <v>46296.629166666666</v>
      </c>
      <c r="Q12">
        <v>69402128</v>
      </c>
      <c r="S12">
        <v>152717206397</v>
      </c>
      <c r="T12" t="s">
        <v>997</v>
      </c>
      <c r="U12" t="s">
        <v>998</v>
      </c>
      <c r="V12" t="s">
        <v>999</v>
      </c>
      <c r="Z12">
        <v>112.7620486</v>
      </c>
      <c r="AA12">
        <v>-8.0064463999999997</v>
      </c>
      <c r="AB12" t="s">
        <v>1000</v>
      </c>
      <c r="AC12" t="s">
        <v>283</v>
      </c>
      <c r="AL12" t="s">
        <v>217</v>
      </c>
      <c r="AM12" t="s">
        <v>1001</v>
      </c>
      <c r="AN12" t="s">
        <v>6</v>
      </c>
      <c r="AO12" s="57">
        <v>46032.413738425923</v>
      </c>
      <c r="AP12" s="57">
        <v>46297.333333333336</v>
      </c>
      <c r="AR12" t="s">
        <v>218</v>
      </c>
      <c r="AS12" t="s">
        <v>566</v>
      </c>
      <c r="AT12" t="s">
        <v>230</v>
      </c>
      <c r="AU12">
        <v>20261001</v>
      </c>
      <c r="AV12" t="s">
        <v>221</v>
      </c>
      <c r="AW12" t="s">
        <v>540</v>
      </c>
      <c r="AX12" t="s">
        <v>222</v>
      </c>
      <c r="BA12" s="57">
        <v>46297.333333333336</v>
      </c>
      <c r="BB12" t="s">
        <v>1001</v>
      </c>
      <c r="BC12">
        <v>2026</v>
      </c>
      <c r="BD12">
        <v>10</v>
      </c>
      <c r="BE12">
        <v>1</v>
      </c>
      <c r="BF12" s="6">
        <f t="shared" si="0"/>
        <v>46296</v>
      </c>
      <c r="BG12">
        <f t="shared" si="1"/>
        <v>-1.3333333333357587</v>
      </c>
      <c r="BH12" t="str">
        <f t="shared" si="2"/>
        <v>COMPLY</v>
      </c>
      <c r="BI12" t="str">
        <f>VLOOKUP(H12,Sheet2!$A$1:$B$270,2,FALSE)</f>
        <v>BATU</v>
      </c>
    </row>
    <row r="13" spans="1:61" hidden="1">
      <c r="A13">
        <v>12</v>
      </c>
      <c r="B13">
        <v>1002618310</v>
      </c>
      <c r="C13">
        <v>3</v>
      </c>
      <c r="D13" t="s">
        <v>38</v>
      </c>
      <c r="E13">
        <v>5</v>
      </c>
      <c r="F13" t="s">
        <v>247</v>
      </c>
      <c r="G13" t="s">
        <v>87</v>
      </c>
      <c r="H13" t="s">
        <v>248</v>
      </c>
      <c r="I13" t="s">
        <v>212</v>
      </c>
      <c r="J13" t="s">
        <v>213</v>
      </c>
      <c r="K13" t="s">
        <v>149</v>
      </c>
      <c r="M13" t="s">
        <v>76</v>
      </c>
      <c r="N13" t="s">
        <v>215</v>
      </c>
      <c r="O13" s="57">
        <v>46296.640486111108</v>
      </c>
      <c r="P13" s="57">
        <v>46296.736701388887</v>
      </c>
      <c r="Q13">
        <v>69399650</v>
      </c>
      <c r="S13">
        <v>152702232862</v>
      </c>
      <c r="T13" t="s">
        <v>924</v>
      </c>
      <c r="U13" t="s">
        <v>1002</v>
      </c>
      <c r="V13" t="s">
        <v>1003</v>
      </c>
      <c r="Z13">
        <v>112.6462487</v>
      </c>
      <c r="AA13">
        <v>-7.9537868999999999</v>
      </c>
      <c r="AB13" t="s">
        <v>925</v>
      </c>
      <c r="AC13" t="s">
        <v>229</v>
      </c>
      <c r="AL13" t="s">
        <v>217</v>
      </c>
      <c r="AM13" t="s">
        <v>1004</v>
      </c>
      <c r="AN13" t="s">
        <v>6</v>
      </c>
      <c r="AO13" s="57">
        <v>46032.642337962963</v>
      </c>
      <c r="AR13" t="s">
        <v>218</v>
      </c>
      <c r="AS13" t="s">
        <v>850</v>
      </c>
      <c r="AT13" t="s">
        <v>230</v>
      </c>
      <c r="AU13">
        <v>20261001</v>
      </c>
      <c r="AV13" t="s">
        <v>221</v>
      </c>
      <c r="AW13" t="s">
        <v>541</v>
      </c>
      <c r="AX13" t="s">
        <v>222</v>
      </c>
      <c r="BA13" s="57">
        <v>46296.291666666664</v>
      </c>
      <c r="BB13" t="s">
        <v>1004</v>
      </c>
      <c r="BC13">
        <v>2026</v>
      </c>
      <c r="BD13">
        <v>10</v>
      </c>
      <c r="BE13">
        <v>1</v>
      </c>
      <c r="BF13" s="6">
        <f t="shared" si="0"/>
        <v>46296</v>
      </c>
      <c r="BG13">
        <f t="shared" si="1"/>
        <v>-0.29166666666424135</v>
      </c>
      <c r="BH13" t="str">
        <f t="shared" si="2"/>
        <v>COMPLY</v>
      </c>
      <c r="BI13" t="str">
        <f>VLOOKUP(H13,Sheet2!$A$1:$B$270,2,FALSE)</f>
        <v>BATU</v>
      </c>
    </row>
    <row r="14" spans="1:61" hidden="1">
      <c r="A14">
        <v>13</v>
      </c>
      <c r="B14">
        <v>1002618740</v>
      </c>
      <c r="C14">
        <v>3</v>
      </c>
      <c r="D14" t="s">
        <v>38</v>
      </c>
      <c r="E14">
        <v>5</v>
      </c>
      <c r="F14" t="s">
        <v>90</v>
      </c>
      <c r="G14" t="s">
        <v>88</v>
      </c>
      <c r="H14" t="s">
        <v>453</v>
      </c>
      <c r="I14" t="s">
        <v>212</v>
      </c>
      <c r="J14" t="s">
        <v>213</v>
      </c>
      <c r="K14" t="s">
        <v>149</v>
      </c>
      <c r="L14" t="s">
        <v>214</v>
      </c>
      <c r="M14" t="s">
        <v>255</v>
      </c>
      <c r="N14" t="s">
        <v>215</v>
      </c>
      <c r="O14" s="57">
        <v>46296.732349537036</v>
      </c>
      <c r="P14" s="57">
        <v>46297.514513888891</v>
      </c>
      <c r="Q14">
        <v>69402633</v>
      </c>
      <c r="S14">
        <v>152737202990</v>
      </c>
      <c r="T14" t="s">
        <v>1005</v>
      </c>
      <c r="U14" t="s">
        <v>1006</v>
      </c>
      <c r="V14" t="s">
        <v>1007</v>
      </c>
      <c r="Z14">
        <v>112.282687</v>
      </c>
      <c r="AA14">
        <v>-8.1238980000000005</v>
      </c>
      <c r="AB14" t="s">
        <v>1008</v>
      </c>
      <c r="AC14" t="s">
        <v>235</v>
      </c>
      <c r="AL14" t="s">
        <v>217</v>
      </c>
      <c r="AM14" t="s">
        <v>1009</v>
      </c>
      <c r="AN14" t="s">
        <v>6</v>
      </c>
      <c r="AO14" s="57">
        <v>46032.736354166664</v>
      </c>
      <c r="AP14" s="57">
        <v>46297.625</v>
      </c>
      <c r="AR14" t="s">
        <v>256</v>
      </c>
      <c r="AS14" t="s">
        <v>550</v>
      </c>
      <c r="AT14" t="s">
        <v>342</v>
      </c>
      <c r="AV14" t="s">
        <v>257</v>
      </c>
      <c r="AW14" t="s">
        <v>909</v>
      </c>
      <c r="AX14" t="s">
        <v>222</v>
      </c>
      <c r="BA14" s="57">
        <v>46297.625</v>
      </c>
      <c r="BB14" t="s">
        <v>1009</v>
      </c>
      <c r="BF14" s="6" t="e">
        <f t="shared" si="0"/>
        <v>#NUM!</v>
      </c>
      <c r="BG14" t="e">
        <f t="shared" si="1"/>
        <v>#NUM!</v>
      </c>
      <c r="BH14" t="e">
        <f t="shared" si="2"/>
        <v>#NUM!</v>
      </c>
      <c r="BI14" t="str">
        <f>VLOOKUP(H14,Sheet2!$A$1:$B$270,2,FALSE)</f>
        <v>BLITAR</v>
      </c>
    </row>
    <row r="15" spans="1:61" hidden="1">
      <c r="A15">
        <v>14</v>
      </c>
      <c r="B15">
        <v>1002617286</v>
      </c>
      <c r="C15">
        <v>3</v>
      </c>
      <c r="D15" t="s">
        <v>38</v>
      </c>
      <c r="E15">
        <v>5</v>
      </c>
      <c r="F15" t="s">
        <v>90</v>
      </c>
      <c r="G15" t="s">
        <v>98</v>
      </c>
      <c r="H15" t="s">
        <v>294</v>
      </c>
      <c r="I15" t="s">
        <v>212</v>
      </c>
      <c r="J15" t="s">
        <v>213</v>
      </c>
      <c r="K15" t="s">
        <v>149</v>
      </c>
      <c r="L15" t="s">
        <v>214</v>
      </c>
      <c r="M15" t="s">
        <v>279</v>
      </c>
      <c r="N15" t="s">
        <v>215</v>
      </c>
      <c r="O15" s="57">
        <v>46296.426168981481</v>
      </c>
      <c r="P15" s="57">
        <v>46296.457627314812</v>
      </c>
      <c r="Q15">
        <v>69402140</v>
      </c>
      <c r="S15">
        <v>152606246682</v>
      </c>
      <c r="T15" t="s">
        <v>1010</v>
      </c>
      <c r="U15" t="s">
        <v>941</v>
      </c>
      <c r="V15" t="s">
        <v>1011</v>
      </c>
      <c r="Z15">
        <v>111.90527480095599</v>
      </c>
      <c r="AA15">
        <v>-8.0650980588810999</v>
      </c>
      <c r="AB15" t="s">
        <v>1012</v>
      </c>
      <c r="AC15" t="s">
        <v>216</v>
      </c>
      <c r="AL15" t="s">
        <v>217</v>
      </c>
      <c r="AM15" t="s">
        <v>1013</v>
      </c>
      <c r="AN15" t="s">
        <v>6</v>
      </c>
      <c r="AO15" s="57">
        <v>46032.434247685182</v>
      </c>
      <c r="AP15" s="57">
        <v>46297.333333333336</v>
      </c>
      <c r="AR15" t="s">
        <v>239</v>
      </c>
      <c r="AS15" t="s">
        <v>98</v>
      </c>
      <c r="AT15" t="s">
        <v>220</v>
      </c>
      <c r="AV15" t="s">
        <v>1014</v>
      </c>
      <c r="AW15" t="s">
        <v>874</v>
      </c>
      <c r="AX15" t="s">
        <v>222</v>
      </c>
      <c r="BA15" s="57">
        <v>46297.333333333336</v>
      </c>
      <c r="BB15" t="s">
        <v>1013</v>
      </c>
      <c r="BF15" s="6" t="e">
        <f t="shared" si="0"/>
        <v>#NUM!</v>
      </c>
      <c r="BG15" t="e">
        <f t="shared" si="1"/>
        <v>#NUM!</v>
      </c>
      <c r="BH15" t="e">
        <f t="shared" si="2"/>
        <v>#NUM!</v>
      </c>
      <c r="BI15" t="str">
        <f>VLOOKUP(H15,Sheet2!$A$1:$B$270,2,FALSE)</f>
        <v>BLITAR</v>
      </c>
    </row>
    <row r="16" spans="1:61" hidden="1">
      <c r="A16">
        <v>15</v>
      </c>
      <c r="B16">
        <v>1002617592</v>
      </c>
      <c r="C16">
        <v>3</v>
      </c>
      <c r="D16" t="s">
        <v>59</v>
      </c>
      <c r="E16">
        <v>4</v>
      </c>
      <c r="F16" t="s">
        <v>241</v>
      </c>
      <c r="G16" t="s">
        <v>241</v>
      </c>
      <c r="H16" t="s">
        <v>287</v>
      </c>
      <c r="I16" t="s">
        <v>212</v>
      </c>
      <c r="J16" t="s">
        <v>213</v>
      </c>
      <c r="K16" t="s">
        <v>149</v>
      </c>
      <c r="L16" t="s">
        <v>214</v>
      </c>
      <c r="M16" t="s">
        <v>238</v>
      </c>
      <c r="N16" t="s">
        <v>215</v>
      </c>
      <c r="O16" s="57">
        <v>46296.476782407408</v>
      </c>
      <c r="P16" s="57">
        <v>46296.477858796294</v>
      </c>
      <c r="Q16">
        <v>69402247</v>
      </c>
      <c r="S16">
        <v>146137148301</v>
      </c>
      <c r="T16" t="s">
        <v>1015</v>
      </c>
      <c r="U16" t="s">
        <v>1016</v>
      </c>
      <c r="V16" t="s">
        <v>1017</v>
      </c>
      <c r="Z16">
        <v>110.25965598392</v>
      </c>
      <c r="AA16">
        <v>-7.3734311367481498</v>
      </c>
      <c r="AB16" t="s">
        <v>1018</v>
      </c>
      <c r="AC16" t="s">
        <v>235</v>
      </c>
      <c r="AL16" t="s">
        <v>217</v>
      </c>
      <c r="AM16" t="s">
        <v>1019</v>
      </c>
      <c r="AN16" t="s">
        <v>6</v>
      </c>
      <c r="AO16" s="57">
        <v>46032.486342592594</v>
      </c>
      <c r="AP16" s="57">
        <v>46298.625</v>
      </c>
      <c r="AR16" t="s">
        <v>239</v>
      </c>
      <c r="AS16" t="s">
        <v>219</v>
      </c>
      <c r="AT16" t="s">
        <v>230</v>
      </c>
      <c r="AV16" t="s">
        <v>238</v>
      </c>
      <c r="AW16" t="s">
        <v>880</v>
      </c>
      <c r="AX16" t="s">
        <v>222</v>
      </c>
      <c r="BA16" s="57">
        <v>46298.625</v>
      </c>
      <c r="BB16" t="s">
        <v>1019</v>
      </c>
      <c r="BF16" s="6" t="e">
        <f t="shared" si="0"/>
        <v>#NUM!</v>
      </c>
      <c r="BG16" t="e">
        <f t="shared" si="1"/>
        <v>#NUM!</v>
      </c>
      <c r="BH16" t="e">
        <f t="shared" si="2"/>
        <v>#NUM!</v>
      </c>
      <c r="BI16" t="e">
        <f>VLOOKUP(H16,Sheet2!$A$1:$B$270,2,FALSE)</f>
        <v>#N/A</v>
      </c>
    </row>
    <row r="17" spans="1:61" hidden="1">
      <c r="A17">
        <v>16</v>
      </c>
      <c r="B17">
        <v>1002618470</v>
      </c>
      <c r="C17">
        <v>3</v>
      </c>
      <c r="D17" t="s">
        <v>38</v>
      </c>
      <c r="E17">
        <v>5</v>
      </c>
      <c r="F17" t="s">
        <v>90</v>
      </c>
      <c r="G17" t="s">
        <v>90</v>
      </c>
      <c r="H17" t="s">
        <v>344</v>
      </c>
      <c r="I17" t="s">
        <v>212</v>
      </c>
      <c r="J17" t="s">
        <v>213</v>
      </c>
      <c r="K17" t="s">
        <v>149</v>
      </c>
      <c r="L17" t="s">
        <v>214</v>
      </c>
      <c r="M17" t="s">
        <v>238</v>
      </c>
      <c r="N17" t="s">
        <v>215</v>
      </c>
      <c r="O17" s="57">
        <v>46296.663645833331</v>
      </c>
      <c r="P17" s="57">
        <v>46296.665347222224</v>
      </c>
      <c r="Q17">
        <v>69402566</v>
      </c>
      <c r="S17">
        <v>152639219602</v>
      </c>
      <c r="T17" t="s">
        <v>1020</v>
      </c>
      <c r="U17" t="s">
        <v>1021</v>
      </c>
      <c r="V17" t="s">
        <v>1022</v>
      </c>
      <c r="Z17">
        <v>112.193374894559</v>
      </c>
      <c r="AA17">
        <v>-7.7675328725875801</v>
      </c>
      <c r="AB17" t="s">
        <v>1023</v>
      </c>
      <c r="AC17" t="s">
        <v>216</v>
      </c>
      <c r="AL17" t="s">
        <v>217</v>
      </c>
      <c r="AM17" t="s">
        <v>1024</v>
      </c>
      <c r="AN17" t="s">
        <v>6</v>
      </c>
      <c r="AO17" s="57">
        <v>46032.694421296299</v>
      </c>
      <c r="AP17" s="57">
        <v>46297.625</v>
      </c>
      <c r="AR17" t="s">
        <v>239</v>
      </c>
      <c r="AS17" t="s">
        <v>303</v>
      </c>
      <c r="AT17" t="s">
        <v>230</v>
      </c>
      <c r="AV17" t="s">
        <v>238</v>
      </c>
      <c r="AW17" t="s">
        <v>882</v>
      </c>
      <c r="AX17" t="s">
        <v>222</v>
      </c>
      <c r="BA17" s="57">
        <v>46297.625</v>
      </c>
      <c r="BB17" t="s">
        <v>1024</v>
      </c>
      <c r="BF17" s="6" t="e">
        <f t="shared" si="0"/>
        <v>#NUM!</v>
      </c>
      <c r="BG17" t="e">
        <f t="shared" si="1"/>
        <v>#NUM!</v>
      </c>
      <c r="BH17" t="e">
        <f t="shared" si="2"/>
        <v>#NUM!</v>
      </c>
      <c r="BI17" t="str">
        <f>VLOOKUP(H17,Sheet2!$A$1:$B$270,2,FALSE)</f>
        <v>KEDIRI</v>
      </c>
    </row>
    <row r="18" spans="1:61" hidden="1">
      <c r="A18">
        <v>17</v>
      </c>
      <c r="B18">
        <v>1002617351</v>
      </c>
      <c r="C18">
        <v>3</v>
      </c>
      <c r="D18" t="s">
        <v>38</v>
      </c>
      <c r="E18">
        <v>5</v>
      </c>
      <c r="F18" t="s">
        <v>90</v>
      </c>
      <c r="G18" t="s">
        <v>90</v>
      </c>
      <c r="H18" t="s">
        <v>447</v>
      </c>
      <c r="I18" t="s">
        <v>212</v>
      </c>
      <c r="J18" t="s">
        <v>213</v>
      </c>
      <c r="K18" t="s">
        <v>149</v>
      </c>
      <c r="L18" t="s">
        <v>214</v>
      </c>
      <c r="M18" t="s">
        <v>898</v>
      </c>
      <c r="N18" t="s">
        <v>215</v>
      </c>
      <c r="O18" s="57">
        <v>46296.437268518515</v>
      </c>
      <c r="P18" s="57">
        <v>46297.485138888886</v>
      </c>
      <c r="Q18">
        <v>69402173</v>
      </c>
      <c r="S18">
        <v>152640226074</v>
      </c>
      <c r="T18" t="s">
        <v>1025</v>
      </c>
      <c r="U18" t="s">
        <v>1026</v>
      </c>
      <c r="V18" t="s">
        <v>1027</v>
      </c>
      <c r="Z18">
        <v>112.003439962863</v>
      </c>
      <c r="AA18">
        <v>-7.8105309457460201</v>
      </c>
      <c r="AB18" t="s">
        <v>1028</v>
      </c>
      <c r="AC18" t="s">
        <v>216</v>
      </c>
      <c r="AL18" t="s">
        <v>217</v>
      </c>
      <c r="AM18" t="s">
        <v>1029</v>
      </c>
      <c r="AN18" t="s">
        <v>6</v>
      </c>
      <c r="AO18" s="57">
        <v>46032.444687499999</v>
      </c>
      <c r="AP18" s="57">
        <v>46297.458333333336</v>
      </c>
      <c r="AR18" t="s">
        <v>889</v>
      </c>
      <c r="AS18" t="s">
        <v>548</v>
      </c>
      <c r="AT18" t="s">
        <v>230</v>
      </c>
      <c r="AV18" t="s">
        <v>899</v>
      </c>
      <c r="AW18" t="s">
        <v>888</v>
      </c>
      <c r="AX18" t="s">
        <v>222</v>
      </c>
      <c r="BA18" s="57">
        <v>46297.458333333336</v>
      </c>
      <c r="BB18" t="s">
        <v>1029</v>
      </c>
      <c r="BF18" s="6" t="e">
        <f t="shared" si="0"/>
        <v>#NUM!</v>
      </c>
      <c r="BG18" t="e">
        <f t="shared" si="1"/>
        <v>#NUM!</v>
      </c>
      <c r="BH18" t="e">
        <f t="shared" si="2"/>
        <v>#NUM!</v>
      </c>
      <c r="BI18" t="str">
        <f>VLOOKUP(H18,Sheet2!$A$1:$B$270,2,FALSE)</f>
        <v>KEDIRI</v>
      </c>
    </row>
    <row r="19" spans="1:61" hidden="1">
      <c r="A19">
        <v>18</v>
      </c>
      <c r="B19">
        <v>1002617644</v>
      </c>
      <c r="C19">
        <v>3</v>
      </c>
      <c r="D19" t="s">
        <v>38</v>
      </c>
      <c r="E19">
        <v>5</v>
      </c>
      <c r="F19" t="s">
        <v>90</v>
      </c>
      <c r="G19" t="s">
        <v>90</v>
      </c>
      <c r="H19" t="s">
        <v>447</v>
      </c>
      <c r="I19" t="s">
        <v>212</v>
      </c>
      <c r="J19" t="s">
        <v>213</v>
      </c>
      <c r="K19" t="s">
        <v>149</v>
      </c>
      <c r="L19" t="s">
        <v>214</v>
      </c>
      <c r="M19" t="s">
        <v>76</v>
      </c>
      <c r="N19" t="s">
        <v>215</v>
      </c>
      <c r="O19" s="57">
        <v>46296.488587962966</v>
      </c>
      <c r="P19" s="57">
        <v>46296.727766203701</v>
      </c>
      <c r="Q19">
        <v>69402279</v>
      </c>
      <c r="S19">
        <v>152640226086</v>
      </c>
      <c r="T19" t="s">
        <v>1030</v>
      </c>
      <c r="U19" t="s">
        <v>1031</v>
      </c>
      <c r="V19" t="s">
        <v>1032</v>
      </c>
      <c r="Z19">
        <v>111.96737229999999</v>
      </c>
      <c r="AA19">
        <v>-7.7787601000000004</v>
      </c>
      <c r="AB19" t="s">
        <v>1033</v>
      </c>
      <c r="AC19" t="s">
        <v>235</v>
      </c>
      <c r="AL19" t="s">
        <v>217</v>
      </c>
      <c r="AM19" t="s">
        <v>1034</v>
      </c>
      <c r="AN19" t="s">
        <v>6</v>
      </c>
      <c r="AO19" s="57">
        <v>46032.517557870371</v>
      </c>
      <c r="AP19" s="57">
        <v>46297.333333333336</v>
      </c>
      <c r="AR19" t="s">
        <v>218</v>
      </c>
      <c r="AS19" t="s">
        <v>548</v>
      </c>
      <c r="AT19" t="s">
        <v>230</v>
      </c>
      <c r="AU19">
        <v>20261001</v>
      </c>
      <c r="AV19" t="s">
        <v>221</v>
      </c>
      <c r="AW19" t="s">
        <v>880</v>
      </c>
      <c r="AX19" t="s">
        <v>222</v>
      </c>
      <c r="BA19" s="57">
        <v>46297.333333333336</v>
      </c>
      <c r="BB19" t="s">
        <v>1034</v>
      </c>
      <c r="BC19">
        <v>2026</v>
      </c>
      <c r="BD19">
        <v>10</v>
      </c>
      <c r="BE19">
        <v>1</v>
      </c>
      <c r="BF19" s="6">
        <f t="shared" si="0"/>
        <v>46296</v>
      </c>
      <c r="BG19">
        <f t="shared" si="1"/>
        <v>-1.3333333333357587</v>
      </c>
      <c r="BH19" t="str">
        <f t="shared" si="2"/>
        <v>COMPLY</v>
      </c>
      <c r="BI19" t="str">
        <f>VLOOKUP(H19,Sheet2!$A$1:$B$270,2,FALSE)</f>
        <v>KEDIRI</v>
      </c>
    </row>
    <row r="20" spans="1:61" hidden="1">
      <c r="A20">
        <v>19</v>
      </c>
      <c r="B20">
        <v>1002618759</v>
      </c>
      <c r="C20">
        <v>3</v>
      </c>
      <c r="D20" t="s">
        <v>38</v>
      </c>
      <c r="E20">
        <v>5</v>
      </c>
      <c r="F20" t="s">
        <v>90</v>
      </c>
      <c r="G20" t="s">
        <v>90</v>
      </c>
      <c r="H20" t="s">
        <v>447</v>
      </c>
      <c r="I20" t="s">
        <v>212</v>
      </c>
      <c r="J20" t="s">
        <v>213</v>
      </c>
      <c r="K20" t="s">
        <v>149</v>
      </c>
      <c r="L20" t="s">
        <v>214</v>
      </c>
      <c r="M20" t="s">
        <v>238</v>
      </c>
      <c r="N20" t="s">
        <v>215</v>
      </c>
      <c r="O20" s="57">
        <v>46296.742754629631</v>
      </c>
      <c r="P20" s="57">
        <v>46296.744456018518</v>
      </c>
      <c r="Q20">
        <v>69402638</v>
      </c>
      <c r="S20">
        <v>152640226092</v>
      </c>
      <c r="T20" t="s">
        <v>900</v>
      </c>
      <c r="U20" t="s">
        <v>1035</v>
      </c>
      <c r="V20" t="s">
        <v>1036</v>
      </c>
      <c r="Z20">
        <v>111.953227</v>
      </c>
      <c r="AA20">
        <v>-7.7798449999999999</v>
      </c>
      <c r="AB20" t="s">
        <v>1037</v>
      </c>
      <c r="AC20" t="s">
        <v>235</v>
      </c>
      <c r="AL20" t="s">
        <v>217</v>
      </c>
      <c r="AM20" t="s">
        <v>1038</v>
      </c>
      <c r="AN20" t="s">
        <v>6</v>
      </c>
      <c r="AO20" s="57">
        <v>46032.746898148151</v>
      </c>
      <c r="AP20" s="57">
        <v>46297.625</v>
      </c>
      <c r="AR20" t="s">
        <v>239</v>
      </c>
      <c r="AS20" t="s">
        <v>548</v>
      </c>
      <c r="AT20" t="s">
        <v>230</v>
      </c>
      <c r="AV20" t="s">
        <v>238</v>
      </c>
      <c r="AW20" t="s">
        <v>884</v>
      </c>
      <c r="AX20" t="s">
        <v>222</v>
      </c>
      <c r="BA20" s="57">
        <v>46297.625</v>
      </c>
      <c r="BB20" t="s">
        <v>1038</v>
      </c>
      <c r="BF20" s="6" t="e">
        <f t="shared" si="0"/>
        <v>#NUM!</v>
      </c>
      <c r="BG20" t="e">
        <f t="shared" si="1"/>
        <v>#NUM!</v>
      </c>
      <c r="BH20" t="e">
        <f t="shared" si="2"/>
        <v>#NUM!</v>
      </c>
      <c r="BI20" t="str">
        <f>VLOOKUP(H20,Sheet2!$A$1:$B$270,2,FALSE)</f>
        <v>KEDIRI</v>
      </c>
    </row>
    <row r="21" spans="1:61" hidden="1">
      <c r="A21">
        <v>20</v>
      </c>
      <c r="B21">
        <v>1002617598</v>
      </c>
      <c r="C21">
        <v>3</v>
      </c>
      <c r="D21" t="s">
        <v>38</v>
      </c>
      <c r="E21">
        <v>5</v>
      </c>
      <c r="F21" t="s">
        <v>92</v>
      </c>
      <c r="G21" t="s">
        <v>94</v>
      </c>
      <c r="H21" t="s">
        <v>426</v>
      </c>
      <c r="I21" t="s">
        <v>212</v>
      </c>
      <c r="J21" t="s">
        <v>213</v>
      </c>
      <c r="K21" t="s">
        <v>149</v>
      </c>
      <c r="L21" t="s">
        <v>214</v>
      </c>
      <c r="M21" t="s">
        <v>76</v>
      </c>
      <c r="N21" t="s">
        <v>215</v>
      </c>
      <c r="O21" s="57">
        <v>46296.478229166663</v>
      </c>
      <c r="P21" s="57">
        <v>46296.650775462964</v>
      </c>
      <c r="Q21">
        <v>69402248</v>
      </c>
      <c r="S21">
        <v>152636207600</v>
      </c>
      <c r="T21" t="s">
        <v>1039</v>
      </c>
      <c r="U21" t="s">
        <v>1040</v>
      </c>
      <c r="V21" t="s">
        <v>1041</v>
      </c>
      <c r="Z21">
        <v>111.556056590195</v>
      </c>
      <c r="AA21">
        <v>-7.4355288236971404</v>
      </c>
      <c r="AB21" t="s">
        <v>1042</v>
      </c>
      <c r="AC21" t="s">
        <v>235</v>
      </c>
      <c r="AL21" t="s">
        <v>217</v>
      </c>
      <c r="AM21" t="s">
        <v>1043</v>
      </c>
      <c r="AN21" t="s">
        <v>6</v>
      </c>
      <c r="AO21" s="57">
        <v>46032.486342592594</v>
      </c>
      <c r="AP21" s="57">
        <v>46297.333333333336</v>
      </c>
      <c r="AR21" t="s">
        <v>218</v>
      </c>
      <c r="AS21" t="s">
        <v>219</v>
      </c>
      <c r="AT21" t="s">
        <v>230</v>
      </c>
      <c r="AU21">
        <v>20261001</v>
      </c>
      <c r="AV21" t="s">
        <v>221</v>
      </c>
      <c r="AW21" t="s">
        <v>884</v>
      </c>
      <c r="AX21" t="s">
        <v>222</v>
      </c>
      <c r="BA21" s="57">
        <v>46297.333333333336</v>
      </c>
      <c r="BB21" t="s">
        <v>1043</v>
      </c>
      <c r="BC21">
        <v>2026</v>
      </c>
      <c r="BD21">
        <v>10</v>
      </c>
      <c r="BE21">
        <v>1</v>
      </c>
      <c r="BF21" s="6">
        <f t="shared" si="0"/>
        <v>46296</v>
      </c>
      <c r="BG21">
        <f t="shared" si="1"/>
        <v>-1.3333333333357587</v>
      </c>
      <c r="BH21" t="str">
        <f t="shared" si="2"/>
        <v>COMPLY</v>
      </c>
      <c r="BI21" t="str">
        <f>VLOOKUP(H21,Sheet2!$A$1:$B$270,2,FALSE)</f>
        <v>MADIUN</v>
      </c>
    </row>
    <row r="22" spans="1:61" hidden="1">
      <c r="A22">
        <v>21</v>
      </c>
      <c r="B22">
        <v>1002618105</v>
      </c>
      <c r="C22">
        <v>3</v>
      </c>
      <c r="D22" t="s">
        <v>38</v>
      </c>
      <c r="E22">
        <v>5</v>
      </c>
      <c r="F22" t="s">
        <v>92</v>
      </c>
      <c r="G22" t="s">
        <v>95</v>
      </c>
      <c r="H22" t="s">
        <v>243</v>
      </c>
      <c r="I22" t="s">
        <v>212</v>
      </c>
      <c r="J22" t="s">
        <v>213</v>
      </c>
      <c r="K22" t="s">
        <v>149</v>
      </c>
      <c r="M22" t="s">
        <v>76</v>
      </c>
      <c r="N22" t="s">
        <v>215</v>
      </c>
      <c r="O22" s="57">
        <v>46296.603483796294</v>
      </c>
      <c r="P22" s="57">
        <v>46296.9221875</v>
      </c>
      <c r="Q22">
        <v>69401937</v>
      </c>
      <c r="S22">
        <v>152604231180</v>
      </c>
      <c r="T22" t="s">
        <v>943</v>
      </c>
      <c r="U22" t="s">
        <v>1044</v>
      </c>
      <c r="V22" t="s">
        <v>1045</v>
      </c>
      <c r="Z22">
        <v>111.510003</v>
      </c>
      <c r="AA22">
        <v>-7.9310419999999997</v>
      </c>
      <c r="AB22" t="s">
        <v>944</v>
      </c>
      <c r="AC22" t="s">
        <v>216</v>
      </c>
      <c r="AL22" t="s">
        <v>217</v>
      </c>
      <c r="AM22" t="s">
        <v>1046</v>
      </c>
      <c r="AN22" t="s">
        <v>6</v>
      </c>
      <c r="AO22" s="57">
        <v>46032.611296296294</v>
      </c>
      <c r="AR22" t="s">
        <v>218</v>
      </c>
      <c r="AS22" t="s">
        <v>857</v>
      </c>
      <c r="AT22" t="s">
        <v>230</v>
      </c>
      <c r="AU22">
        <v>20261001</v>
      </c>
      <c r="AV22" t="s">
        <v>221</v>
      </c>
      <c r="AW22" t="s">
        <v>540</v>
      </c>
      <c r="AX22" t="s">
        <v>222</v>
      </c>
      <c r="BA22" s="57">
        <v>46296.291666666664</v>
      </c>
      <c r="BB22" t="s">
        <v>1046</v>
      </c>
      <c r="BC22">
        <v>2026</v>
      </c>
      <c r="BD22">
        <v>10</v>
      </c>
      <c r="BE22">
        <v>1</v>
      </c>
      <c r="BF22" s="6">
        <f t="shared" si="0"/>
        <v>46296</v>
      </c>
      <c r="BG22">
        <f t="shared" si="1"/>
        <v>-0.29166666666424135</v>
      </c>
      <c r="BH22" t="str">
        <f t="shared" si="2"/>
        <v>COMPLY</v>
      </c>
      <c r="BI22" t="str">
        <f>VLOOKUP(H22,Sheet2!$A$1:$B$270,2,FALSE)</f>
        <v>PONOROGO</v>
      </c>
    </row>
    <row r="23" spans="1:61" hidden="1">
      <c r="A23">
        <v>22</v>
      </c>
      <c r="B23">
        <v>1002617775</v>
      </c>
      <c r="C23">
        <v>3</v>
      </c>
      <c r="D23" t="s">
        <v>59</v>
      </c>
      <c r="E23">
        <v>4</v>
      </c>
      <c r="F23" t="s">
        <v>544</v>
      </c>
      <c r="G23" t="s">
        <v>564</v>
      </c>
      <c r="H23" t="s">
        <v>804</v>
      </c>
      <c r="I23" t="s">
        <v>212</v>
      </c>
      <c r="J23" t="s">
        <v>213</v>
      </c>
      <c r="K23" t="s">
        <v>149</v>
      </c>
      <c r="M23" t="s">
        <v>76</v>
      </c>
      <c r="N23" t="s">
        <v>215</v>
      </c>
      <c r="O23" s="57">
        <v>46296.539918981478</v>
      </c>
      <c r="P23" s="57">
        <v>46296.659224537034</v>
      </c>
      <c r="Q23">
        <v>69400815</v>
      </c>
      <c r="S23">
        <v>143113104149</v>
      </c>
      <c r="T23" t="s">
        <v>896</v>
      </c>
      <c r="U23" t="s">
        <v>1047</v>
      </c>
      <c r="V23" t="s">
        <v>1048</v>
      </c>
      <c r="Z23">
        <v>110.3636611</v>
      </c>
      <c r="AA23">
        <v>-7.7659193999999996</v>
      </c>
      <c r="AB23" t="s">
        <v>897</v>
      </c>
      <c r="AC23" t="s">
        <v>567</v>
      </c>
      <c r="AL23" t="s">
        <v>217</v>
      </c>
      <c r="AM23" t="s">
        <v>1049</v>
      </c>
      <c r="AN23" t="s">
        <v>6</v>
      </c>
      <c r="AO23" s="57">
        <v>46032.559305555558</v>
      </c>
      <c r="AR23" t="s">
        <v>218</v>
      </c>
      <c r="AS23" t="s">
        <v>219</v>
      </c>
      <c r="AT23" t="s">
        <v>230</v>
      </c>
      <c r="AU23">
        <v>20261001</v>
      </c>
      <c r="AV23" t="s">
        <v>221</v>
      </c>
      <c r="AW23" t="s">
        <v>539</v>
      </c>
      <c r="AX23" t="s">
        <v>222</v>
      </c>
      <c r="BA23" s="57">
        <v>46296.291666666664</v>
      </c>
      <c r="BB23" t="s">
        <v>1049</v>
      </c>
      <c r="BC23">
        <v>2026</v>
      </c>
      <c r="BD23">
        <v>10</v>
      </c>
      <c r="BE23">
        <v>1</v>
      </c>
      <c r="BF23" s="6">
        <f t="shared" si="0"/>
        <v>46296</v>
      </c>
      <c r="BG23">
        <f t="shared" si="1"/>
        <v>-0.29166666666424135</v>
      </c>
      <c r="BH23" t="str">
        <f t="shared" si="2"/>
        <v>COMPLY</v>
      </c>
      <c r="BI23" t="e">
        <f>VLOOKUP(H23,Sheet2!$A$1:$B$270,2,FALSE)</f>
        <v>#N/A</v>
      </c>
    </row>
    <row r="24" spans="1:61" hidden="1">
      <c r="A24">
        <v>23</v>
      </c>
      <c r="B24">
        <v>1002618747</v>
      </c>
      <c r="C24">
        <v>3</v>
      </c>
      <c r="D24" t="s">
        <v>59</v>
      </c>
      <c r="E24">
        <v>4</v>
      </c>
      <c r="F24" t="s">
        <v>544</v>
      </c>
      <c r="G24" t="s">
        <v>798</v>
      </c>
      <c r="H24" t="s">
        <v>801</v>
      </c>
      <c r="I24" t="s">
        <v>212</v>
      </c>
      <c r="J24" t="s">
        <v>213</v>
      </c>
      <c r="K24" t="s">
        <v>149</v>
      </c>
      <c r="L24" t="s">
        <v>214</v>
      </c>
      <c r="M24" t="s">
        <v>76</v>
      </c>
      <c r="N24" t="s">
        <v>215</v>
      </c>
      <c r="O24" s="57">
        <v>46296.735115740739</v>
      </c>
      <c r="P24" s="57">
        <v>46297.495671296296</v>
      </c>
      <c r="Q24">
        <v>69402653</v>
      </c>
      <c r="S24">
        <v>146129129175</v>
      </c>
      <c r="T24" t="s">
        <v>1050</v>
      </c>
      <c r="U24" t="s">
        <v>1051</v>
      </c>
      <c r="V24" t="s">
        <v>1052</v>
      </c>
      <c r="Z24">
        <v>110.388488</v>
      </c>
      <c r="AA24">
        <v>-7.8944103999999999</v>
      </c>
      <c r="AB24" t="s">
        <v>1053</v>
      </c>
      <c r="AC24" t="s">
        <v>235</v>
      </c>
      <c r="AL24" t="s">
        <v>217</v>
      </c>
      <c r="AM24" t="s">
        <v>1054</v>
      </c>
      <c r="AN24" t="s">
        <v>6</v>
      </c>
      <c r="AO24" s="57">
        <v>46032.736354166664</v>
      </c>
      <c r="AP24" s="57">
        <v>46298.333333333336</v>
      </c>
      <c r="AR24" t="s">
        <v>218</v>
      </c>
      <c r="AS24" t="s">
        <v>219</v>
      </c>
      <c r="AT24" t="s">
        <v>230</v>
      </c>
      <c r="AU24">
        <v>20261002</v>
      </c>
      <c r="AV24" t="s">
        <v>221</v>
      </c>
      <c r="AW24" t="s">
        <v>886</v>
      </c>
      <c r="AX24" t="s">
        <v>222</v>
      </c>
      <c r="BA24" s="57">
        <v>46298.333333333336</v>
      </c>
      <c r="BB24" t="s">
        <v>1054</v>
      </c>
      <c r="BC24">
        <v>2026</v>
      </c>
      <c r="BD24">
        <v>10</v>
      </c>
      <c r="BE24">
        <v>2</v>
      </c>
      <c r="BF24" s="6">
        <f t="shared" si="0"/>
        <v>46297</v>
      </c>
      <c r="BG24">
        <f t="shared" si="1"/>
        <v>-1.3333333333357587</v>
      </c>
      <c r="BH24" t="str">
        <f t="shared" si="2"/>
        <v>COMPLY</v>
      </c>
      <c r="BI24" t="e">
        <f>VLOOKUP(H24,Sheet2!$A$1:$B$270,2,FALSE)</f>
        <v>#N/A</v>
      </c>
    </row>
    <row r="25" spans="1:61" hidden="1">
      <c r="A25">
        <v>24</v>
      </c>
      <c r="B25">
        <v>1002617109</v>
      </c>
      <c r="C25">
        <v>3</v>
      </c>
      <c r="D25" t="s">
        <v>59</v>
      </c>
      <c r="E25">
        <v>4</v>
      </c>
      <c r="F25" t="s">
        <v>544</v>
      </c>
      <c r="G25" t="s">
        <v>825</v>
      </c>
      <c r="H25" t="s">
        <v>826</v>
      </c>
      <c r="I25" t="s">
        <v>212</v>
      </c>
      <c r="J25" t="s">
        <v>213</v>
      </c>
      <c r="K25" t="s">
        <v>149</v>
      </c>
      <c r="L25" t="s">
        <v>214</v>
      </c>
      <c r="M25" t="s">
        <v>255</v>
      </c>
      <c r="N25" t="s">
        <v>215</v>
      </c>
      <c r="O25" s="57">
        <v>46296.399062500001</v>
      </c>
      <c r="P25" s="57">
        <v>46297.553124999999</v>
      </c>
      <c r="Q25">
        <v>69402094</v>
      </c>
      <c r="S25">
        <v>146136130327</v>
      </c>
      <c r="T25" t="s">
        <v>1055</v>
      </c>
      <c r="U25" t="s">
        <v>1056</v>
      </c>
      <c r="V25" t="s">
        <v>1057</v>
      </c>
      <c r="Z25">
        <v>110.2913688</v>
      </c>
      <c r="AA25">
        <v>-7.7564986999999999</v>
      </c>
      <c r="AB25" t="s">
        <v>1058</v>
      </c>
      <c r="AC25" t="s">
        <v>235</v>
      </c>
      <c r="AL25" t="s">
        <v>217</v>
      </c>
      <c r="AM25" t="s">
        <v>1059</v>
      </c>
      <c r="AN25" t="s">
        <v>6</v>
      </c>
      <c r="AO25" s="57">
        <v>46032.413738425923</v>
      </c>
      <c r="AP25" s="57">
        <v>46297.333333333336</v>
      </c>
      <c r="AR25" t="s">
        <v>256</v>
      </c>
      <c r="AS25" t="s">
        <v>219</v>
      </c>
      <c r="AT25" t="s">
        <v>230</v>
      </c>
      <c r="AV25" t="s">
        <v>257</v>
      </c>
      <c r="AW25" t="s">
        <v>880</v>
      </c>
      <c r="AX25" t="s">
        <v>222</v>
      </c>
      <c r="BA25" s="57">
        <v>46297.333333333336</v>
      </c>
      <c r="BB25" t="s">
        <v>1059</v>
      </c>
      <c r="BF25" s="6" t="e">
        <f t="shared" si="0"/>
        <v>#NUM!</v>
      </c>
      <c r="BG25" t="e">
        <f t="shared" si="1"/>
        <v>#NUM!</v>
      </c>
      <c r="BH25" t="e">
        <f t="shared" si="2"/>
        <v>#NUM!</v>
      </c>
      <c r="BI25" t="e">
        <f>VLOOKUP(H25,Sheet2!$A$1:$B$270,2,FALSE)</f>
        <v>#N/A</v>
      </c>
    </row>
    <row r="26" spans="1:61" hidden="1">
      <c r="A26">
        <v>25</v>
      </c>
      <c r="B26">
        <v>1002617805</v>
      </c>
      <c r="C26">
        <v>3</v>
      </c>
      <c r="D26" t="s">
        <v>55</v>
      </c>
      <c r="E26">
        <v>5</v>
      </c>
      <c r="F26" t="s">
        <v>227</v>
      </c>
      <c r="G26" t="s">
        <v>127</v>
      </c>
      <c r="H26" t="s">
        <v>228</v>
      </c>
      <c r="I26" t="s">
        <v>212</v>
      </c>
      <c r="J26" t="s">
        <v>213</v>
      </c>
      <c r="K26" t="s">
        <v>149</v>
      </c>
      <c r="L26" t="s">
        <v>214</v>
      </c>
      <c r="M26" t="s">
        <v>76</v>
      </c>
      <c r="N26" t="s">
        <v>215</v>
      </c>
      <c r="O26" s="57">
        <v>46296.549062500002</v>
      </c>
      <c r="P26" s="57">
        <v>46296.781111111108</v>
      </c>
      <c r="Q26">
        <v>69402337</v>
      </c>
      <c r="S26">
        <v>152426927954</v>
      </c>
      <c r="T26" t="s">
        <v>1060</v>
      </c>
      <c r="U26" t="s">
        <v>1061</v>
      </c>
      <c r="V26" t="s">
        <v>1062</v>
      </c>
      <c r="Z26">
        <v>113.49644410000001</v>
      </c>
      <c r="AA26">
        <v>-7.1762366000000002</v>
      </c>
      <c r="AB26" t="s">
        <v>1063</v>
      </c>
      <c r="AC26" t="s">
        <v>216</v>
      </c>
      <c r="AL26" t="s">
        <v>217</v>
      </c>
      <c r="AM26" t="s">
        <v>1064</v>
      </c>
      <c r="AN26" t="s">
        <v>6</v>
      </c>
      <c r="AO26" s="57">
        <v>46032.559305555558</v>
      </c>
      <c r="AP26" s="57">
        <v>46297.458333333336</v>
      </c>
      <c r="AR26" t="s">
        <v>218</v>
      </c>
      <c r="AS26" t="s">
        <v>127</v>
      </c>
      <c r="AT26" t="s">
        <v>220</v>
      </c>
      <c r="AU26">
        <v>20261001</v>
      </c>
      <c r="AV26" t="s">
        <v>221</v>
      </c>
      <c r="AW26" t="s">
        <v>879</v>
      </c>
      <c r="AX26" t="s">
        <v>222</v>
      </c>
      <c r="BA26" s="57">
        <v>46297.458333333336</v>
      </c>
      <c r="BB26" t="s">
        <v>1064</v>
      </c>
      <c r="BC26">
        <v>2026</v>
      </c>
      <c r="BD26">
        <v>10</v>
      </c>
      <c r="BE26">
        <v>1</v>
      </c>
      <c r="BF26" s="6">
        <f t="shared" si="0"/>
        <v>46296</v>
      </c>
      <c r="BG26">
        <f t="shared" si="1"/>
        <v>-1.4583333333357587</v>
      </c>
      <c r="BH26" t="str">
        <f t="shared" si="2"/>
        <v>COMPLY</v>
      </c>
      <c r="BI26" t="str">
        <f>VLOOKUP(H26,Sheet2!$A$1:$B$270,2,FALSE)</f>
        <v>MADURA</v>
      </c>
    </row>
    <row r="27" spans="1:61" hidden="1">
      <c r="A27">
        <v>26</v>
      </c>
      <c r="B27">
        <v>1002618796</v>
      </c>
      <c r="C27">
        <v>3</v>
      </c>
      <c r="D27" t="s">
        <v>55</v>
      </c>
      <c r="E27">
        <v>5</v>
      </c>
      <c r="F27" t="s">
        <v>227</v>
      </c>
      <c r="G27" t="s">
        <v>127</v>
      </c>
      <c r="H27" t="s">
        <v>228</v>
      </c>
      <c r="I27" t="s">
        <v>212</v>
      </c>
      <c r="J27" t="s">
        <v>213</v>
      </c>
      <c r="K27" t="s">
        <v>149</v>
      </c>
      <c r="L27" t="s">
        <v>214</v>
      </c>
      <c r="M27" t="s">
        <v>238</v>
      </c>
      <c r="N27" t="s">
        <v>215</v>
      </c>
      <c r="O27" s="57">
        <v>46296.77684027778</v>
      </c>
      <c r="P27" s="57">
        <v>46296.777789351851</v>
      </c>
      <c r="Q27">
        <v>69402671</v>
      </c>
      <c r="S27">
        <v>152426929004</v>
      </c>
      <c r="T27" t="s">
        <v>919</v>
      </c>
      <c r="U27" t="s">
        <v>1065</v>
      </c>
      <c r="V27" t="s">
        <v>1066</v>
      </c>
      <c r="Z27">
        <v>113.49806908518001</v>
      </c>
      <c r="AA27">
        <v>-7.2094180077046204</v>
      </c>
      <c r="AB27" t="s">
        <v>1067</v>
      </c>
      <c r="AC27" t="s">
        <v>216</v>
      </c>
      <c r="AL27" t="s">
        <v>217</v>
      </c>
      <c r="AM27" t="s">
        <v>1068</v>
      </c>
      <c r="AN27" t="s">
        <v>6</v>
      </c>
      <c r="AO27" s="57">
        <v>46032.777997685182</v>
      </c>
      <c r="AP27" s="57">
        <v>46297.625</v>
      </c>
      <c r="AR27" t="s">
        <v>239</v>
      </c>
      <c r="AS27" t="s">
        <v>127</v>
      </c>
      <c r="AT27" t="s">
        <v>220</v>
      </c>
      <c r="AV27" t="s">
        <v>238</v>
      </c>
      <c r="AW27" t="s">
        <v>835</v>
      </c>
      <c r="AX27" t="s">
        <v>222</v>
      </c>
      <c r="BA27" s="57">
        <v>46297.625</v>
      </c>
      <c r="BB27" t="s">
        <v>1068</v>
      </c>
      <c r="BF27" s="6" t="e">
        <f t="shared" si="0"/>
        <v>#NUM!</v>
      </c>
      <c r="BG27" t="e">
        <f t="shared" si="1"/>
        <v>#NUM!</v>
      </c>
      <c r="BH27" t="e">
        <f t="shared" si="2"/>
        <v>#NUM!</v>
      </c>
      <c r="BI27" t="str">
        <f>VLOOKUP(H27,Sheet2!$A$1:$B$270,2,FALSE)</f>
        <v>MADURA</v>
      </c>
    </row>
    <row r="28" spans="1:61" hidden="1">
      <c r="A28">
        <v>27</v>
      </c>
      <c r="B28">
        <v>1002617619</v>
      </c>
      <c r="C28">
        <v>3</v>
      </c>
      <c r="D28" t="s">
        <v>55</v>
      </c>
      <c r="E28">
        <v>5</v>
      </c>
      <c r="F28" t="s">
        <v>227</v>
      </c>
      <c r="G28" t="s">
        <v>127</v>
      </c>
      <c r="H28" t="s">
        <v>354</v>
      </c>
      <c r="I28" t="s">
        <v>212</v>
      </c>
      <c r="J28" t="s">
        <v>213</v>
      </c>
      <c r="K28" t="s">
        <v>149</v>
      </c>
      <c r="M28" t="s">
        <v>279</v>
      </c>
      <c r="N28" t="s">
        <v>215</v>
      </c>
      <c r="O28" s="57">
        <v>46296.483969907407</v>
      </c>
      <c r="P28" s="57">
        <v>46297.406145833331</v>
      </c>
      <c r="Q28">
        <v>69402269</v>
      </c>
      <c r="S28">
        <v>152454200101</v>
      </c>
      <c r="T28" t="s">
        <v>1069</v>
      </c>
      <c r="U28" t="s">
        <v>1070</v>
      </c>
      <c r="V28" t="s">
        <v>1071</v>
      </c>
      <c r="Z28">
        <v>115.2862231</v>
      </c>
      <c r="AA28">
        <v>-6.8636872000000002</v>
      </c>
      <c r="AB28" t="s">
        <v>1072</v>
      </c>
      <c r="AC28" t="s">
        <v>229</v>
      </c>
      <c r="AL28" t="s">
        <v>217</v>
      </c>
      <c r="AM28" t="s">
        <v>1073</v>
      </c>
      <c r="AN28" t="s">
        <v>6</v>
      </c>
      <c r="AO28" s="57">
        <v>46032.486342592594</v>
      </c>
      <c r="AP28" s="57">
        <v>46297.458333333336</v>
      </c>
      <c r="AR28" t="s">
        <v>239</v>
      </c>
      <c r="AS28" t="s">
        <v>219</v>
      </c>
      <c r="AT28" t="s">
        <v>230</v>
      </c>
      <c r="AV28" t="s">
        <v>799</v>
      </c>
      <c r="AW28" t="s">
        <v>540</v>
      </c>
      <c r="AX28" t="s">
        <v>222</v>
      </c>
      <c r="BA28" s="57">
        <v>46297.458333333336</v>
      </c>
      <c r="BB28" t="s">
        <v>1073</v>
      </c>
      <c r="BF28" s="6" t="e">
        <f t="shared" si="0"/>
        <v>#NUM!</v>
      </c>
      <c r="BG28" t="e">
        <f t="shared" si="1"/>
        <v>#NUM!</v>
      </c>
      <c r="BH28" t="e">
        <f t="shared" si="2"/>
        <v>#NUM!</v>
      </c>
      <c r="BI28" t="str">
        <f>VLOOKUP(H28,Sheet2!$A$1:$B$270,2,FALSE)</f>
        <v>MADURA</v>
      </c>
    </row>
    <row r="29" spans="1:61" hidden="1">
      <c r="A29">
        <v>28</v>
      </c>
      <c r="B29">
        <v>1002617733</v>
      </c>
      <c r="C29">
        <v>3</v>
      </c>
      <c r="D29" t="s">
        <v>55</v>
      </c>
      <c r="E29">
        <v>5</v>
      </c>
      <c r="F29" t="s">
        <v>260</v>
      </c>
      <c r="G29" t="s">
        <v>123</v>
      </c>
      <c r="H29" t="s">
        <v>286</v>
      </c>
      <c r="I29" t="s">
        <v>212</v>
      </c>
      <c r="J29" t="s">
        <v>213</v>
      </c>
      <c r="K29" t="s">
        <v>149</v>
      </c>
      <c r="L29" t="s">
        <v>214</v>
      </c>
      <c r="M29" t="s">
        <v>279</v>
      </c>
      <c r="N29" t="s">
        <v>215</v>
      </c>
      <c r="O29" s="57">
        <v>46296.521979166668</v>
      </c>
      <c r="P29" s="57">
        <v>46297.405428240738</v>
      </c>
      <c r="Q29">
        <v>69402300</v>
      </c>
      <c r="S29">
        <v>152401227868</v>
      </c>
      <c r="T29" t="s">
        <v>1074</v>
      </c>
      <c r="U29" t="s">
        <v>1075</v>
      </c>
      <c r="V29" t="s">
        <v>1076</v>
      </c>
      <c r="Z29">
        <v>112.702551</v>
      </c>
      <c r="AA29">
        <v>-7.229495</v>
      </c>
      <c r="AB29" t="s">
        <v>1077</v>
      </c>
      <c r="AC29" t="s">
        <v>235</v>
      </c>
      <c r="AL29" t="s">
        <v>217</v>
      </c>
      <c r="AM29" t="s">
        <v>1078</v>
      </c>
      <c r="AN29" t="s">
        <v>6</v>
      </c>
      <c r="AO29" s="57">
        <v>46032.559305555558</v>
      </c>
      <c r="AP29" s="57">
        <v>46297.458333333336</v>
      </c>
      <c r="AR29" t="s">
        <v>239</v>
      </c>
      <c r="AS29" t="s">
        <v>270</v>
      </c>
      <c r="AT29" t="s">
        <v>230</v>
      </c>
      <c r="AV29" t="s">
        <v>799</v>
      </c>
      <c r="AW29" t="s">
        <v>880</v>
      </c>
      <c r="AX29" t="s">
        <v>222</v>
      </c>
      <c r="BA29" s="57">
        <v>46297.458333333336</v>
      </c>
      <c r="BB29" t="s">
        <v>1078</v>
      </c>
      <c r="BF29" s="6" t="e">
        <f t="shared" si="0"/>
        <v>#NUM!</v>
      </c>
      <c r="BG29" t="e">
        <f t="shared" si="1"/>
        <v>#NUM!</v>
      </c>
      <c r="BH29" t="e">
        <f t="shared" si="2"/>
        <v>#NUM!</v>
      </c>
      <c r="BI29" t="str">
        <f>VLOOKUP(H29,Sheet2!$A$1:$B$270,2,FALSE)</f>
        <v>SURABAYA UTARA</v>
      </c>
    </row>
    <row r="30" spans="1:61" hidden="1">
      <c r="A30">
        <v>29</v>
      </c>
      <c r="B30">
        <v>1002618449</v>
      </c>
      <c r="C30">
        <v>3</v>
      </c>
      <c r="D30" t="s">
        <v>55</v>
      </c>
      <c r="E30">
        <v>5</v>
      </c>
      <c r="F30" t="s">
        <v>260</v>
      </c>
      <c r="G30" t="s">
        <v>123</v>
      </c>
      <c r="H30" t="s">
        <v>286</v>
      </c>
      <c r="I30" t="s">
        <v>212</v>
      </c>
      <c r="J30" t="s">
        <v>213</v>
      </c>
      <c r="K30" t="s">
        <v>149</v>
      </c>
      <c r="L30" t="s">
        <v>214</v>
      </c>
      <c r="M30" t="s">
        <v>238</v>
      </c>
      <c r="N30" t="s">
        <v>215</v>
      </c>
      <c r="O30" s="57">
        <v>46296.660115740742</v>
      </c>
      <c r="P30" s="57">
        <v>46296.661122685182</v>
      </c>
      <c r="Q30">
        <v>69402539</v>
      </c>
      <c r="S30">
        <v>152401227873</v>
      </c>
      <c r="T30" t="s">
        <v>1079</v>
      </c>
      <c r="U30" t="s">
        <v>830</v>
      </c>
      <c r="V30" t="s">
        <v>1080</v>
      </c>
      <c r="Z30">
        <v>112.7438654</v>
      </c>
      <c r="AA30">
        <v>-7.2420342</v>
      </c>
      <c r="AB30" t="s">
        <v>1081</v>
      </c>
      <c r="AC30" t="s">
        <v>235</v>
      </c>
      <c r="AL30" t="s">
        <v>217</v>
      </c>
      <c r="AM30" t="s">
        <v>1082</v>
      </c>
      <c r="AN30" t="s">
        <v>6</v>
      </c>
      <c r="AO30" s="57">
        <v>46032.694421296299</v>
      </c>
      <c r="AP30" s="57">
        <v>46297.625</v>
      </c>
      <c r="AR30" t="s">
        <v>239</v>
      </c>
      <c r="AS30" t="s">
        <v>270</v>
      </c>
      <c r="AT30" t="s">
        <v>230</v>
      </c>
      <c r="AV30" t="s">
        <v>238</v>
      </c>
      <c r="AW30" t="s">
        <v>882</v>
      </c>
      <c r="AX30" t="s">
        <v>222</v>
      </c>
      <c r="BA30" s="57">
        <v>46297.625</v>
      </c>
      <c r="BB30" t="s">
        <v>1082</v>
      </c>
      <c r="BF30" s="6" t="e">
        <f t="shared" si="0"/>
        <v>#NUM!</v>
      </c>
      <c r="BG30" t="e">
        <f t="shared" si="1"/>
        <v>#NUM!</v>
      </c>
      <c r="BH30" t="e">
        <f t="shared" si="2"/>
        <v>#NUM!</v>
      </c>
      <c r="BI30" t="str">
        <f>VLOOKUP(H30,Sheet2!$A$1:$B$270,2,FALSE)</f>
        <v>SURABAYA UTARA</v>
      </c>
    </row>
    <row r="31" spans="1:61" hidden="1">
      <c r="A31">
        <v>30</v>
      </c>
      <c r="B31">
        <v>1002618774</v>
      </c>
      <c r="C31">
        <v>3</v>
      </c>
      <c r="D31" t="s">
        <v>55</v>
      </c>
      <c r="E31">
        <v>5</v>
      </c>
      <c r="F31" t="s">
        <v>260</v>
      </c>
      <c r="G31" t="s">
        <v>123</v>
      </c>
      <c r="H31" t="s">
        <v>266</v>
      </c>
      <c r="I31" t="s">
        <v>212</v>
      </c>
      <c r="J31" t="s">
        <v>213</v>
      </c>
      <c r="K31" t="s">
        <v>149</v>
      </c>
      <c r="L31" t="s">
        <v>214</v>
      </c>
      <c r="M31" t="s">
        <v>76</v>
      </c>
      <c r="N31" t="s">
        <v>215</v>
      </c>
      <c r="O31" s="57">
        <v>46296.751157407409</v>
      </c>
      <c r="P31" s="57">
        <v>46297.547523148147</v>
      </c>
      <c r="Q31">
        <v>69402640</v>
      </c>
      <c r="S31">
        <v>152407282544</v>
      </c>
      <c r="T31" t="s">
        <v>1083</v>
      </c>
      <c r="U31" t="s">
        <v>1084</v>
      </c>
      <c r="V31" t="s">
        <v>1085</v>
      </c>
      <c r="Z31">
        <v>112.7890769</v>
      </c>
      <c r="AA31">
        <v>-7.2549155000000001</v>
      </c>
      <c r="AB31" t="s">
        <v>1086</v>
      </c>
      <c r="AC31" t="s">
        <v>216</v>
      </c>
      <c r="AL31" t="s">
        <v>217</v>
      </c>
      <c r="AM31" t="s">
        <v>1087</v>
      </c>
      <c r="AN31" t="s">
        <v>6</v>
      </c>
      <c r="AO31" s="57">
        <v>46032.757141203707</v>
      </c>
      <c r="AP31" s="57">
        <v>46297.625</v>
      </c>
      <c r="AR31" t="s">
        <v>218</v>
      </c>
      <c r="AS31" t="s">
        <v>123</v>
      </c>
      <c r="AT31" t="s">
        <v>230</v>
      </c>
      <c r="AU31">
        <v>20261002</v>
      </c>
      <c r="AV31" t="s">
        <v>221</v>
      </c>
      <c r="AW31" t="s">
        <v>882</v>
      </c>
      <c r="AX31" t="s">
        <v>222</v>
      </c>
      <c r="BA31" s="57">
        <v>46297.625</v>
      </c>
      <c r="BB31" t="s">
        <v>1087</v>
      </c>
      <c r="BC31">
        <v>2026</v>
      </c>
      <c r="BD31">
        <v>10</v>
      </c>
      <c r="BE31">
        <v>2</v>
      </c>
      <c r="BF31" s="6">
        <f t="shared" si="0"/>
        <v>46297</v>
      </c>
      <c r="BG31">
        <f t="shared" si="1"/>
        <v>-0.625</v>
      </c>
      <c r="BH31" t="str">
        <f t="shared" si="2"/>
        <v>COMPLY</v>
      </c>
      <c r="BI31" t="str">
        <f>VLOOKUP(H31,Sheet2!$A$1:$B$270,2,FALSE)</f>
        <v>SURABAYA UTARA</v>
      </c>
    </row>
    <row r="32" spans="1:61" hidden="1">
      <c r="A32">
        <v>31</v>
      </c>
      <c r="B32">
        <v>1002617724</v>
      </c>
      <c r="C32">
        <v>3</v>
      </c>
      <c r="D32" t="s">
        <v>55</v>
      </c>
      <c r="E32">
        <v>5</v>
      </c>
      <c r="F32" t="s">
        <v>305</v>
      </c>
      <c r="G32" t="s">
        <v>124</v>
      </c>
      <c r="H32" t="s">
        <v>327</v>
      </c>
      <c r="I32" t="s">
        <v>212</v>
      </c>
      <c r="J32" t="s">
        <v>213</v>
      </c>
      <c r="K32" t="s">
        <v>149</v>
      </c>
      <c r="L32" t="s">
        <v>214</v>
      </c>
      <c r="M32" t="s">
        <v>76</v>
      </c>
      <c r="N32" t="s">
        <v>215</v>
      </c>
      <c r="O32" s="57">
        <v>46296.517824074072</v>
      </c>
      <c r="P32" s="57">
        <v>46296.739386574074</v>
      </c>
      <c r="Q32">
        <v>69402297</v>
      </c>
      <c r="S32">
        <v>152306253477</v>
      </c>
      <c r="T32" t="s">
        <v>1088</v>
      </c>
      <c r="U32" t="s">
        <v>1089</v>
      </c>
      <c r="V32" t="s">
        <v>1090</v>
      </c>
      <c r="Z32">
        <v>112.71421218835999</v>
      </c>
      <c r="AA32">
        <v>-7.3092286293536404</v>
      </c>
      <c r="AB32" t="s">
        <v>1091</v>
      </c>
      <c r="AC32" t="s">
        <v>854</v>
      </c>
      <c r="AL32" t="s">
        <v>217</v>
      </c>
      <c r="AM32" t="s">
        <v>1092</v>
      </c>
      <c r="AN32" t="s">
        <v>6</v>
      </c>
      <c r="AO32" s="57">
        <v>46032.559305555558</v>
      </c>
      <c r="AP32" s="57">
        <v>46297.458333333336</v>
      </c>
      <c r="AR32" t="s">
        <v>218</v>
      </c>
      <c r="AS32" t="s">
        <v>816</v>
      </c>
      <c r="AT32" t="s">
        <v>230</v>
      </c>
      <c r="AU32">
        <v>20261001</v>
      </c>
      <c r="AV32" t="s">
        <v>221</v>
      </c>
      <c r="AW32" t="s">
        <v>885</v>
      </c>
      <c r="AX32" t="s">
        <v>222</v>
      </c>
      <c r="BA32" s="57">
        <v>46297.458333333336</v>
      </c>
      <c r="BB32" t="s">
        <v>1092</v>
      </c>
      <c r="BC32">
        <v>2026</v>
      </c>
      <c r="BD32">
        <v>10</v>
      </c>
      <c r="BE32">
        <v>1</v>
      </c>
      <c r="BF32" s="6">
        <f t="shared" si="0"/>
        <v>46296</v>
      </c>
      <c r="BG32">
        <f t="shared" si="1"/>
        <v>-1.4583333333357587</v>
      </c>
      <c r="BH32" t="str">
        <f t="shared" si="2"/>
        <v>COMPLY</v>
      </c>
      <c r="BI32" t="str">
        <f>VLOOKUP(H32,Sheet2!$A$1:$B$270,2,FALSE)</f>
        <v>SURABAYA SELATAN</v>
      </c>
    </row>
    <row r="33" spans="1:61" hidden="1">
      <c r="A33">
        <v>32</v>
      </c>
      <c r="B33">
        <v>1002618255</v>
      </c>
      <c r="C33">
        <v>3</v>
      </c>
      <c r="D33" t="s">
        <v>55</v>
      </c>
      <c r="E33">
        <v>5</v>
      </c>
      <c r="F33" t="s">
        <v>305</v>
      </c>
      <c r="G33" t="s">
        <v>124</v>
      </c>
      <c r="H33" t="s">
        <v>327</v>
      </c>
      <c r="I33" t="s">
        <v>212</v>
      </c>
      <c r="J33" t="s">
        <v>213</v>
      </c>
      <c r="K33" t="s">
        <v>149</v>
      </c>
      <c r="M33" t="s">
        <v>238</v>
      </c>
      <c r="N33" t="s">
        <v>215</v>
      </c>
      <c r="O33" s="57">
        <v>46296.630937499998</v>
      </c>
      <c r="P33" s="57">
        <v>46296.716736111113</v>
      </c>
      <c r="Q33">
        <v>69402505</v>
      </c>
      <c r="S33">
        <v>152306253141</v>
      </c>
      <c r="T33" t="s">
        <v>1093</v>
      </c>
      <c r="U33" t="s">
        <v>1094</v>
      </c>
      <c r="V33" t="s">
        <v>1095</v>
      </c>
      <c r="Z33">
        <v>112.73451573690301</v>
      </c>
      <c r="AA33">
        <v>-7.3086894955617998</v>
      </c>
      <c r="AB33" t="s">
        <v>1096</v>
      </c>
      <c r="AC33" t="s">
        <v>284</v>
      </c>
      <c r="AL33" t="s">
        <v>217</v>
      </c>
      <c r="AM33" t="s">
        <v>1097</v>
      </c>
      <c r="AN33" t="s">
        <v>6</v>
      </c>
      <c r="AO33" s="57">
        <v>46032.632627314815</v>
      </c>
      <c r="AP33" s="57">
        <v>46297.625</v>
      </c>
      <c r="AR33" t="s">
        <v>239</v>
      </c>
      <c r="AS33" t="s">
        <v>816</v>
      </c>
      <c r="AT33" t="s">
        <v>230</v>
      </c>
      <c r="AV33" t="s">
        <v>238</v>
      </c>
      <c r="AW33" t="s">
        <v>864</v>
      </c>
      <c r="AX33" t="s">
        <v>222</v>
      </c>
      <c r="BA33" s="57">
        <v>46297.625</v>
      </c>
      <c r="BB33" t="s">
        <v>1097</v>
      </c>
      <c r="BF33" s="6" t="e">
        <f t="shared" si="0"/>
        <v>#NUM!</v>
      </c>
      <c r="BG33" t="e">
        <f t="shared" si="1"/>
        <v>#NUM!</v>
      </c>
      <c r="BH33" t="e">
        <f t="shared" si="2"/>
        <v>#NUM!</v>
      </c>
      <c r="BI33" t="str">
        <f>VLOOKUP(H33,Sheet2!$A$1:$B$270,2,FALSE)</f>
        <v>SURABAYA SELATAN</v>
      </c>
    </row>
    <row r="34" spans="1:61" hidden="1">
      <c r="A34">
        <v>33</v>
      </c>
      <c r="B34">
        <v>1002617848</v>
      </c>
      <c r="C34">
        <v>3</v>
      </c>
      <c r="D34" t="s">
        <v>55</v>
      </c>
      <c r="E34">
        <v>5</v>
      </c>
      <c r="F34" t="s">
        <v>260</v>
      </c>
      <c r="G34" t="s">
        <v>128</v>
      </c>
      <c r="H34" t="s">
        <v>449</v>
      </c>
      <c r="I34" t="s">
        <v>212</v>
      </c>
      <c r="J34" t="s">
        <v>213</v>
      </c>
      <c r="K34" t="s">
        <v>149</v>
      </c>
      <c r="M34" t="s">
        <v>76</v>
      </c>
      <c r="N34" t="s">
        <v>563</v>
      </c>
      <c r="O34" s="57">
        <v>46296.561018518521</v>
      </c>
      <c r="P34" s="57">
        <v>46296.656342592592</v>
      </c>
      <c r="Q34">
        <v>69005969</v>
      </c>
      <c r="S34">
        <v>152415235112</v>
      </c>
      <c r="T34" t="s">
        <v>926</v>
      </c>
      <c r="U34" t="s">
        <v>1098</v>
      </c>
      <c r="V34" t="s">
        <v>1099</v>
      </c>
      <c r="Z34">
        <v>112.70686032241601</v>
      </c>
      <c r="AA34">
        <v>-7.33200050681699</v>
      </c>
      <c r="AB34" t="s">
        <v>945</v>
      </c>
      <c r="AC34" t="s">
        <v>225</v>
      </c>
      <c r="AL34" t="s">
        <v>217</v>
      </c>
      <c r="AM34" t="s">
        <v>927</v>
      </c>
      <c r="AN34" t="s">
        <v>6</v>
      </c>
      <c r="AO34" s="57">
        <v>46032.569884259261</v>
      </c>
      <c r="AR34" t="s">
        <v>218</v>
      </c>
      <c r="AS34" t="s">
        <v>578</v>
      </c>
      <c r="AT34" t="s">
        <v>230</v>
      </c>
      <c r="AU34">
        <v>20261001</v>
      </c>
      <c r="AV34" t="s">
        <v>221</v>
      </c>
      <c r="AW34" t="s">
        <v>953</v>
      </c>
      <c r="AX34" t="s">
        <v>222</v>
      </c>
      <c r="BA34" s="57">
        <v>46296.291666666664</v>
      </c>
      <c r="BB34" t="s">
        <v>927</v>
      </c>
      <c r="BC34">
        <v>2026</v>
      </c>
      <c r="BD34">
        <v>10</v>
      </c>
      <c r="BE34">
        <v>1</v>
      </c>
      <c r="BF34" s="6">
        <f t="shared" si="0"/>
        <v>46296</v>
      </c>
      <c r="BG34">
        <f t="shared" si="1"/>
        <v>-0.29166666666424135</v>
      </c>
      <c r="BH34" t="str">
        <f t="shared" si="2"/>
        <v>COMPLY</v>
      </c>
      <c r="BI34" t="str">
        <f>VLOOKUP(H34,Sheet2!$A$1:$B$270,2,FALSE)</f>
        <v>SURABAYA UTARA</v>
      </c>
    </row>
    <row r="35" spans="1:61" hidden="1">
      <c r="A35">
        <v>34</v>
      </c>
      <c r="B35">
        <v>1002618729</v>
      </c>
      <c r="C35">
        <v>3</v>
      </c>
      <c r="D35" t="s">
        <v>55</v>
      </c>
      <c r="E35">
        <v>5</v>
      </c>
      <c r="F35" t="s">
        <v>260</v>
      </c>
      <c r="G35" t="s">
        <v>126</v>
      </c>
      <c r="H35" t="s">
        <v>261</v>
      </c>
      <c r="I35" t="s">
        <v>212</v>
      </c>
      <c r="J35" t="s">
        <v>213</v>
      </c>
      <c r="K35" t="s">
        <v>149</v>
      </c>
      <c r="L35" t="s">
        <v>214</v>
      </c>
      <c r="M35" t="s">
        <v>255</v>
      </c>
      <c r="N35" t="s">
        <v>215</v>
      </c>
      <c r="O35" s="57">
        <v>46296.728171296294</v>
      </c>
      <c r="P35" s="57">
        <v>46297.554560185185</v>
      </c>
      <c r="Q35">
        <v>69402647</v>
      </c>
      <c r="S35">
        <v>152413167912</v>
      </c>
      <c r="T35" t="s">
        <v>1100</v>
      </c>
      <c r="U35" t="s">
        <v>920</v>
      </c>
      <c r="V35" t="s">
        <v>1101</v>
      </c>
      <c r="Z35">
        <v>112.7226948</v>
      </c>
      <c r="AA35">
        <v>-7.2545115999999998</v>
      </c>
      <c r="AB35" t="s">
        <v>1102</v>
      </c>
      <c r="AC35" t="s">
        <v>216</v>
      </c>
      <c r="AL35" t="s">
        <v>217</v>
      </c>
      <c r="AM35" t="s">
        <v>1103</v>
      </c>
      <c r="AN35" t="s">
        <v>6</v>
      </c>
      <c r="AO35" s="57">
        <v>46032.736354166664</v>
      </c>
      <c r="AP35" s="57">
        <v>46298.625</v>
      </c>
      <c r="AR35" t="s">
        <v>256</v>
      </c>
      <c r="AS35" t="s">
        <v>561</v>
      </c>
      <c r="AT35" t="s">
        <v>230</v>
      </c>
      <c r="AV35" t="s">
        <v>257</v>
      </c>
      <c r="AW35" t="s">
        <v>882</v>
      </c>
      <c r="AX35" t="s">
        <v>222</v>
      </c>
      <c r="BA35" s="57">
        <v>46298.625</v>
      </c>
      <c r="BB35" t="s">
        <v>1103</v>
      </c>
      <c r="BF35" s="6" t="e">
        <f t="shared" si="0"/>
        <v>#NUM!</v>
      </c>
      <c r="BG35" t="e">
        <f t="shared" si="1"/>
        <v>#NUM!</v>
      </c>
      <c r="BH35" t="e">
        <f t="shared" si="2"/>
        <v>#NUM!</v>
      </c>
      <c r="BI35" t="str">
        <f>VLOOKUP(H35,Sheet2!$A$1:$B$270,2,FALSE)</f>
        <v>SURABAYA SELATAN</v>
      </c>
    </row>
    <row r="36" spans="1:61" hidden="1">
      <c r="A36">
        <v>35</v>
      </c>
      <c r="B36">
        <v>1002616819</v>
      </c>
      <c r="C36">
        <v>3</v>
      </c>
      <c r="D36" t="s">
        <v>55</v>
      </c>
      <c r="E36">
        <v>5</v>
      </c>
      <c r="F36" t="s">
        <v>260</v>
      </c>
      <c r="G36" t="s">
        <v>126</v>
      </c>
      <c r="H36" t="s">
        <v>261</v>
      </c>
      <c r="I36" t="s">
        <v>212</v>
      </c>
      <c r="J36" t="s">
        <v>213</v>
      </c>
      <c r="K36" t="s">
        <v>149</v>
      </c>
      <c r="L36" t="s">
        <v>214</v>
      </c>
      <c r="M36" t="s">
        <v>838</v>
      </c>
      <c r="N36" t="s">
        <v>215</v>
      </c>
      <c r="O36" s="57">
        <v>46296.303865740738</v>
      </c>
      <c r="P36" s="57">
        <v>46297.542627314811</v>
      </c>
      <c r="Q36">
        <v>69401978</v>
      </c>
      <c r="S36">
        <v>152413168350</v>
      </c>
      <c r="T36" t="s">
        <v>1104</v>
      </c>
      <c r="U36" t="s">
        <v>1105</v>
      </c>
      <c r="V36" t="s">
        <v>1106</v>
      </c>
      <c r="Z36">
        <v>112.7381486</v>
      </c>
      <c r="AA36">
        <v>-7.2487031999999996</v>
      </c>
      <c r="AB36" t="s">
        <v>1107</v>
      </c>
      <c r="AC36" t="s">
        <v>235</v>
      </c>
      <c r="AL36" t="s">
        <v>217</v>
      </c>
      <c r="AM36" t="s">
        <v>1108</v>
      </c>
      <c r="AN36" t="s">
        <v>6</v>
      </c>
      <c r="AO36" s="57">
        <v>46032.319768518515</v>
      </c>
      <c r="AP36" s="57">
        <v>46297.333333333336</v>
      </c>
      <c r="AQ36" t="s">
        <v>843</v>
      </c>
      <c r="AR36" t="s">
        <v>14</v>
      </c>
      <c r="AS36" t="s">
        <v>561</v>
      </c>
      <c r="AT36" t="s">
        <v>342</v>
      </c>
      <c r="AV36" t="s">
        <v>839</v>
      </c>
      <c r="AW36" t="s">
        <v>891</v>
      </c>
      <c r="AX36" t="s">
        <v>222</v>
      </c>
      <c r="BA36" s="57">
        <v>46297.333333333336</v>
      </c>
      <c r="BB36" t="s">
        <v>1108</v>
      </c>
      <c r="BF36" s="6" t="e">
        <f t="shared" si="0"/>
        <v>#NUM!</v>
      </c>
      <c r="BG36" t="e">
        <f t="shared" si="1"/>
        <v>#NUM!</v>
      </c>
      <c r="BH36" t="e">
        <f t="shared" si="2"/>
        <v>#NUM!</v>
      </c>
      <c r="BI36" t="str">
        <f>VLOOKUP(H36,Sheet2!$A$1:$B$270,2,FALSE)</f>
        <v>SURABAYA SELATAN</v>
      </c>
    </row>
    <row r="37" spans="1:61" hidden="1">
      <c r="A37">
        <v>36</v>
      </c>
      <c r="B37">
        <v>1002618465</v>
      </c>
      <c r="C37">
        <v>3</v>
      </c>
      <c r="D37" t="s">
        <v>55</v>
      </c>
      <c r="E37">
        <v>5</v>
      </c>
      <c r="F37" t="s">
        <v>260</v>
      </c>
      <c r="G37" t="s">
        <v>126</v>
      </c>
      <c r="H37" t="s">
        <v>261</v>
      </c>
      <c r="I37" t="s">
        <v>212</v>
      </c>
      <c r="J37" t="s">
        <v>213</v>
      </c>
      <c r="K37" t="s">
        <v>149</v>
      </c>
      <c r="L37" t="s">
        <v>828</v>
      </c>
      <c r="M37" t="s">
        <v>238</v>
      </c>
      <c r="N37" t="s">
        <v>215</v>
      </c>
      <c r="O37" s="57">
        <v>46296.661574074074</v>
      </c>
      <c r="P37" s="57">
        <v>46296.662511574075</v>
      </c>
      <c r="Q37">
        <v>69402542</v>
      </c>
      <c r="R37">
        <v>3135979326</v>
      </c>
      <c r="S37">
        <v>152413168369</v>
      </c>
      <c r="T37" t="s">
        <v>1109</v>
      </c>
      <c r="U37" t="s">
        <v>1110</v>
      </c>
      <c r="V37" t="s">
        <v>1111</v>
      </c>
      <c r="Z37">
        <v>112.7425585</v>
      </c>
      <c r="AA37">
        <v>-7.2719299999999896</v>
      </c>
      <c r="AB37" t="s">
        <v>1112</v>
      </c>
      <c r="AC37" t="s">
        <v>235</v>
      </c>
      <c r="AL37" t="s">
        <v>217</v>
      </c>
      <c r="AM37" t="s">
        <v>1113</v>
      </c>
      <c r="AN37" t="s">
        <v>6</v>
      </c>
      <c r="AO37" s="57">
        <v>46032.694421296299</v>
      </c>
      <c r="AP37" s="57">
        <v>46298.625</v>
      </c>
      <c r="AR37" t="s">
        <v>239</v>
      </c>
      <c r="AS37" t="s">
        <v>561</v>
      </c>
      <c r="AT37" t="s">
        <v>230</v>
      </c>
      <c r="AV37" t="s">
        <v>238</v>
      </c>
      <c r="AW37" t="s">
        <v>873</v>
      </c>
      <c r="AX37" t="s">
        <v>222</v>
      </c>
      <c r="BA37" s="57">
        <v>46298.625</v>
      </c>
      <c r="BB37" t="s">
        <v>1113</v>
      </c>
      <c r="BF37" s="6" t="e">
        <f t="shared" si="0"/>
        <v>#NUM!</v>
      </c>
      <c r="BG37" t="e">
        <f t="shared" si="1"/>
        <v>#NUM!</v>
      </c>
      <c r="BH37" t="e">
        <f t="shared" si="2"/>
        <v>#NUM!</v>
      </c>
      <c r="BI37" t="str">
        <f>VLOOKUP(H37,Sheet2!$A$1:$B$270,2,FALSE)</f>
        <v>SURABAYA SELATAN</v>
      </c>
    </row>
    <row r="38" spans="1:61" hidden="1">
      <c r="A38">
        <v>37</v>
      </c>
      <c r="B38">
        <v>1002618123</v>
      </c>
      <c r="C38">
        <v>3</v>
      </c>
      <c r="D38" t="s">
        <v>55</v>
      </c>
      <c r="E38">
        <v>5</v>
      </c>
      <c r="F38" t="s">
        <v>305</v>
      </c>
      <c r="G38" t="s">
        <v>126</v>
      </c>
      <c r="H38" t="s">
        <v>370</v>
      </c>
      <c r="I38" t="s">
        <v>212</v>
      </c>
      <c r="J38" t="s">
        <v>213</v>
      </c>
      <c r="K38" t="s">
        <v>149</v>
      </c>
      <c r="M38" t="s">
        <v>238</v>
      </c>
      <c r="N38" t="s">
        <v>215</v>
      </c>
      <c r="O38" s="57">
        <v>46296.606527777774</v>
      </c>
      <c r="P38" s="57">
        <v>46296.727847222224</v>
      </c>
      <c r="Q38">
        <v>69402439</v>
      </c>
      <c r="S38">
        <v>152303244298</v>
      </c>
      <c r="T38" t="s">
        <v>1114</v>
      </c>
      <c r="U38" t="s">
        <v>1115</v>
      </c>
      <c r="V38" t="s">
        <v>1116</v>
      </c>
      <c r="Z38">
        <v>112.780497</v>
      </c>
      <c r="AA38">
        <v>-7.2836188000000002</v>
      </c>
      <c r="AB38" t="s">
        <v>1117</v>
      </c>
      <c r="AC38" t="s">
        <v>229</v>
      </c>
      <c r="AL38" t="s">
        <v>217</v>
      </c>
      <c r="AM38" t="s">
        <v>1118</v>
      </c>
      <c r="AN38" t="s">
        <v>6</v>
      </c>
      <c r="AO38" s="57">
        <v>46032.611296296294</v>
      </c>
      <c r="AP38" s="57">
        <v>46298.333333333336</v>
      </c>
      <c r="AR38" t="s">
        <v>239</v>
      </c>
      <c r="AS38" t="s">
        <v>126</v>
      </c>
      <c r="AT38" t="s">
        <v>230</v>
      </c>
      <c r="AV38" t="s">
        <v>238</v>
      </c>
      <c r="AW38" t="s">
        <v>540</v>
      </c>
      <c r="AX38" t="s">
        <v>222</v>
      </c>
      <c r="BA38" s="57">
        <v>46298.333333333336</v>
      </c>
      <c r="BB38" t="s">
        <v>1118</v>
      </c>
      <c r="BF38" s="6" t="e">
        <f t="shared" si="0"/>
        <v>#NUM!</v>
      </c>
      <c r="BG38" t="e">
        <f t="shared" si="1"/>
        <v>#NUM!</v>
      </c>
      <c r="BH38" t="e">
        <f t="shared" si="2"/>
        <v>#NUM!</v>
      </c>
      <c r="BI38" t="str">
        <f>VLOOKUP(H38,Sheet2!$A$1:$B$270,2,FALSE)</f>
        <v>SURABAYA SELATAN</v>
      </c>
    </row>
    <row r="39" spans="1:61" hidden="1">
      <c r="A39">
        <v>38</v>
      </c>
      <c r="B39">
        <v>1002618719</v>
      </c>
      <c r="C39">
        <v>3</v>
      </c>
      <c r="D39" t="s">
        <v>55</v>
      </c>
      <c r="E39">
        <v>5</v>
      </c>
      <c r="F39" t="s">
        <v>305</v>
      </c>
      <c r="G39" t="s">
        <v>126</v>
      </c>
      <c r="H39" t="s">
        <v>370</v>
      </c>
      <c r="I39" t="s">
        <v>212</v>
      </c>
      <c r="J39" t="s">
        <v>213</v>
      </c>
      <c r="K39" t="s">
        <v>149</v>
      </c>
      <c r="M39" t="s">
        <v>238</v>
      </c>
      <c r="N39" t="s">
        <v>215</v>
      </c>
      <c r="O39" s="57">
        <v>46296.725347222222</v>
      </c>
      <c r="P39" s="57">
        <v>46297.443067129629</v>
      </c>
      <c r="Q39">
        <v>69402645</v>
      </c>
      <c r="S39">
        <v>152303245581</v>
      </c>
      <c r="T39" t="s">
        <v>1114</v>
      </c>
      <c r="U39" t="s">
        <v>1119</v>
      </c>
      <c r="V39" t="s">
        <v>1120</v>
      </c>
      <c r="Z39">
        <v>112.780497</v>
      </c>
      <c r="AA39">
        <v>-7.2836188000000002</v>
      </c>
      <c r="AB39" t="s">
        <v>1117</v>
      </c>
      <c r="AC39" t="s">
        <v>229</v>
      </c>
      <c r="AL39" t="s">
        <v>217</v>
      </c>
      <c r="AM39" t="s">
        <v>1121</v>
      </c>
      <c r="AN39" t="s">
        <v>6</v>
      </c>
      <c r="AO39" s="57">
        <v>46032.726099537038</v>
      </c>
      <c r="AP39" s="57">
        <v>46299.333333333336</v>
      </c>
      <c r="AR39" t="s">
        <v>239</v>
      </c>
      <c r="AS39" t="s">
        <v>126</v>
      </c>
      <c r="AT39" t="s">
        <v>230</v>
      </c>
      <c r="AV39" t="s">
        <v>238</v>
      </c>
      <c r="AW39" t="s">
        <v>541</v>
      </c>
      <c r="AX39" t="s">
        <v>222</v>
      </c>
      <c r="BA39" s="57">
        <v>46299.333333333336</v>
      </c>
      <c r="BB39" t="s">
        <v>1121</v>
      </c>
      <c r="BF39" s="6" t="e">
        <f t="shared" si="0"/>
        <v>#NUM!</v>
      </c>
      <c r="BG39" t="e">
        <f t="shared" si="1"/>
        <v>#NUM!</v>
      </c>
      <c r="BH39" t="e">
        <f t="shared" si="2"/>
        <v>#NUM!</v>
      </c>
      <c r="BI39" t="str">
        <f>VLOOKUP(H39,Sheet2!$A$1:$B$270,2,FALSE)</f>
        <v>SURABAYA SELATAN</v>
      </c>
    </row>
    <row r="40" spans="1:61" hidden="1">
      <c r="A40">
        <v>39</v>
      </c>
      <c r="B40">
        <v>1002618820</v>
      </c>
      <c r="C40">
        <v>3</v>
      </c>
      <c r="D40" t="s">
        <v>55</v>
      </c>
      <c r="E40">
        <v>5</v>
      </c>
      <c r="F40" t="s">
        <v>305</v>
      </c>
      <c r="G40" t="s">
        <v>124</v>
      </c>
      <c r="H40" t="s">
        <v>307</v>
      </c>
      <c r="I40" t="s">
        <v>212</v>
      </c>
      <c r="J40" t="s">
        <v>213</v>
      </c>
      <c r="K40" t="s">
        <v>149</v>
      </c>
      <c r="L40" t="s">
        <v>214</v>
      </c>
      <c r="M40" t="s">
        <v>238</v>
      </c>
      <c r="N40" t="s">
        <v>215</v>
      </c>
      <c r="O40" s="57">
        <v>46296.817812499998</v>
      </c>
      <c r="P40" s="57">
        <v>46296.819456018522</v>
      </c>
      <c r="Q40">
        <v>69402688</v>
      </c>
      <c r="S40">
        <v>152308243565</v>
      </c>
      <c r="T40" t="s">
        <v>1122</v>
      </c>
      <c r="U40" t="s">
        <v>1123</v>
      </c>
      <c r="V40" t="s">
        <v>1124</v>
      </c>
      <c r="Z40">
        <v>112.755453586578</v>
      </c>
      <c r="AA40">
        <v>-7.3179974751349901</v>
      </c>
      <c r="AB40" t="s">
        <v>1125</v>
      </c>
      <c r="AC40" t="s">
        <v>235</v>
      </c>
      <c r="AL40" t="s">
        <v>217</v>
      </c>
      <c r="AM40" t="s">
        <v>1126</v>
      </c>
      <c r="AN40" t="s">
        <v>6</v>
      </c>
      <c r="AO40" s="57">
        <v>46032.819814814815</v>
      </c>
      <c r="AP40" s="57">
        <v>46298.333333333336</v>
      </c>
      <c r="AR40" t="s">
        <v>239</v>
      </c>
      <c r="AS40" t="s">
        <v>581</v>
      </c>
      <c r="AT40" t="s">
        <v>230</v>
      </c>
      <c r="AV40" t="s">
        <v>238</v>
      </c>
      <c r="AW40" t="s">
        <v>882</v>
      </c>
      <c r="AX40" t="s">
        <v>222</v>
      </c>
      <c r="BA40" s="57">
        <v>46298.333333333336</v>
      </c>
      <c r="BB40" t="s">
        <v>1126</v>
      </c>
      <c r="BF40" s="6" t="e">
        <f t="shared" si="0"/>
        <v>#NUM!</v>
      </c>
      <c r="BG40" t="e">
        <f t="shared" si="1"/>
        <v>#NUM!</v>
      </c>
      <c r="BH40" t="e">
        <f t="shared" si="2"/>
        <v>#NUM!</v>
      </c>
      <c r="BI40" t="str">
        <f>VLOOKUP(H40,Sheet2!$A$1:$B$270,2,FALSE)</f>
        <v>SURABAYA SELATAN</v>
      </c>
    </row>
    <row r="41" spans="1:61" hidden="1">
      <c r="A41">
        <v>40</v>
      </c>
      <c r="B41">
        <v>1002617446</v>
      </c>
      <c r="C41">
        <v>3</v>
      </c>
      <c r="D41" t="s">
        <v>51</v>
      </c>
      <c r="E41">
        <v>4</v>
      </c>
      <c r="F41" t="s">
        <v>268</v>
      </c>
      <c r="G41" t="s">
        <v>832</v>
      </c>
      <c r="H41" t="s">
        <v>833</v>
      </c>
      <c r="I41" t="s">
        <v>212</v>
      </c>
      <c r="J41" t="s">
        <v>213</v>
      </c>
      <c r="K41" t="s">
        <v>149</v>
      </c>
      <c r="L41" t="s">
        <v>214</v>
      </c>
      <c r="M41" t="s">
        <v>255</v>
      </c>
      <c r="N41" t="s">
        <v>215</v>
      </c>
      <c r="O41" s="57">
        <v>46296.449756944443</v>
      </c>
      <c r="P41" s="57">
        <v>46297.474456018521</v>
      </c>
      <c r="Q41">
        <v>69402204</v>
      </c>
      <c r="S41">
        <v>141569116024</v>
      </c>
      <c r="T41" t="s">
        <v>1127</v>
      </c>
      <c r="U41" t="s">
        <v>1128</v>
      </c>
      <c r="V41" t="s">
        <v>1129</v>
      </c>
      <c r="Z41">
        <v>111.4356827</v>
      </c>
      <c r="AA41">
        <v>-6.9676187000000001</v>
      </c>
      <c r="AB41" t="s">
        <v>1130</v>
      </c>
      <c r="AC41" t="s">
        <v>235</v>
      </c>
      <c r="AL41" t="s">
        <v>217</v>
      </c>
      <c r="AM41" t="s">
        <v>1131</v>
      </c>
      <c r="AN41" t="s">
        <v>6</v>
      </c>
      <c r="AO41" s="57">
        <v>46032.486342592594</v>
      </c>
      <c r="AP41" s="57">
        <v>46297.333333333336</v>
      </c>
      <c r="AR41" t="s">
        <v>256</v>
      </c>
      <c r="AS41" t="s">
        <v>219</v>
      </c>
      <c r="AT41" t="s">
        <v>230</v>
      </c>
      <c r="AV41" t="s">
        <v>257</v>
      </c>
      <c r="AW41" t="s">
        <v>236</v>
      </c>
      <c r="AX41" t="s">
        <v>222</v>
      </c>
      <c r="BA41" s="57">
        <v>46297.333333333336</v>
      </c>
      <c r="BB41" t="s">
        <v>1131</v>
      </c>
      <c r="BF41" s="6" t="e">
        <f t="shared" si="0"/>
        <v>#NUM!</v>
      </c>
      <c r="BG41" t="e">
        <f t="shared" si="1"/>
        <v>#NUM!</v>
      </c>
      <c r="BH41" t="e">
        <f t="shared" si="2"/>
        <v>#NUM!</v>
      </c>
      <c r="BI41" t="e">
        <f>VLOOKUP(H41,Sheet2!$A$1:$B$270,2,FALSE)</f>
        <v>#N/A</v>
      </c>
    </row>
    <row r="42" spans="1:61" hidden="1">
      <c r="A42">
        <v>41</v>
      </c>
      <c r="B42">
        <v>1002618761</v>
      </c>
      <c r="C42">
        <v>3</v>
      </c>
      <c r="D42" t="s">
        <v>51</v>
      </c>
      <c r="E42">
        <v>4</v>
      </c>
      <c r="F42" t="s">
        <v>268</v>
      </c>
      <c r="G42" t="s">
        <v>832</v>
      </c>
      <c r="H42" t="s">
        <v>833</v>
      </c>
      <c r="I42" t="s">
        <v>212</v>
      </c>
      <c r="J42" t="s">
        <v>213</v>
      </c>
      <c r="K42" t="s">
        <v>149</v>
      </c>
      <c r="L42" t="s">
        <v>214</v>
      </c>
      <c r="M42" t="s">
        <v>238</v>
      </c>
      <c r="N42" t="s">
        <v>215</v>
      </c>
      <c r="O42" s="57">
        <v>46296.742812500001</v>
      </c>
      <c r="P42" s="57">
        <v>46296.744456018518</v>
      </c>
      <c r="Q42">
        <v>69402661</v>
      </c>
      <c r="S42">
        <v>141569116032</v>
      </c>
      <c r="T42" t="s">
        <v>1132</v>
      </c>
      <c r="U42" t="s">
        <v>1133</v>
      </c>
      <c r="V42" t="s">
        <v>1134</v>
      </c>
      <c r="Z42">
        <v>111.415111</v>
      </c>
      <c r="AA42">
        <v>-6.96875</v>
      </c>
      <c r="AB42" t="s">
        <v>1135</v>
      </c>
      <c r="AC42" t="s">
        <v>235</v>
      </c>
      <c r="AL42" t="s">
        <v>217</v>
      </c>
      <c r="AM42" t="s">
        <v>1136</v>
      </c>
      <c r="AN42" t="s">
        <v>6</v>
      </c>
      <c r="AO42" s="57">
        <v>46032.746898148151</v>
      </c>
      <c r="AP42" s="57">
        <v>46297.625</v>
      </c>
      <c r="AR42" t="s">
        <v>239</v>
      </c>
      <c r="AS42" t="s">
        <v>219</v>
      </c>
      <c r="AT42" t="s">
        <v>230</v>
      </c>
      <c r="AV42" t="s">
        <v>238</v>
      </c>
      <c r="AW42" t="s">
        <v>882</v>
      </c>
      <c r="AX42" t="s">
        <v>222</v>
      </c>
      <c r="BA42" s="57">
        <v>46297.625</v>
      </c>
      <c r="BB42" t="s">
        <v>1136</v>
      </c>
      <c r="BF42" s="6" t="e">
        <f t="shared" si="0"/>
        <v>#NUM!</v>
      </c>
      <c r="BG42" t="e">
        <f t="shared" si="1"/>
        <v>#NUM!</v>
      </c>
      <c r="BH42" t="e">
        <f t="shared" si="2"/>
        <v>#NUM!</v>
      </c>
      <c r="BI42" t="e">
        <f>VLOOKUP(H42,Sheet2!$A$1:$B$270,2,FALSE)</f>
        <v>#N/A</v>
      </c>
    </row>
    <row r="43" spans="1:61" hidden="1">
      <c r="A43">
        <v>42</v>
      </c>
      <c r="B43">
        <v>1002618342</v>
      </c>
      <c r="C43">
        <v>3</v>
      </c>
      <c r="D43" t="s">
        <v>51</v>
      </c>
      <c r="E43">
        <v>4</v>
      </c>
      <c r="F43" t="s">
        <v>268</v>
      </c>
      <c r="G43" t="s">
        <v>545</v>
      </c>
      <c r="H43" t="s">
        <v>853</v>
      </c>
      <c r="I43" t="s">
        <v>212</v>
      </c>
      <c r="J43" t="s">
        <v>213</v>
      </c>
      <c r="K43" t="s">
        <v>149</v>
      </c>
      <c r="M43" t="s">
        <v>224</v>
      </c>
      <c r="N43" t="s">
        <v>215</v>
      </c>
      <c r="O43" s="57">
        <v>46296.643831018519</v>
      </c>
      <c r="P43" s="57">
        <v>46297.549675925926</v>
      </c>
      <c r="Q43">
        <v>69402518</v>
      </c>
      <c r="S43">
        <v>141568111742</v>
      </c>
      <c r="T43" t="s">
        <v>1137</v>
      </c>
      <c r="U43" t="s">
        <v>1138</v>
      </c>
      <c r="V43" t="s">
        <v>1139</v>
      </c>
      <c r="Z43">
        <v>111.0005197</v>
      </c>
      <c r="AA43">
        <v>-7.1935992000000004</v>
      </c>
      <c r="AB43" t="s">
        <v>1140</v>
      </c>
      <c r="AC43" t="s">
        <v>283</v>
      </c>
      <c r="AL43" t="s">
        <v>217</v>
      </c>
      <c r="AM43" t="s">
        <v>1141</v>
      </c>
      <c r="AN43" t="s">
        <v>6</v>
      </c>
      <c r="AO43" s="57">
        <v>46032.653252314813</v>
      </c>
      <c r="AP43" s="57">
        <v>46297.625</v>
      </c>
      <c r="AR43" t="s">
        <v>18</v>
      </c>
      <c r="AS43" t="s">
        <v>219</v>
      </c>
      <c r="AT43" t="s">
        <v>230</v>
      </c>
      <c r="AV43" t="s">
        <v>226</v>
      </c>
      <c r="AW43" t="s">
        <v>831</v>
      </c>
      <c r="AX43" t="s">
        <v>222</v>
      </c>
      <c r="BA43" s="57">
        <v>46297.625</v>
      </c>
      <c r="BB43" t="s">
        <v>1141</v>
      </c>
      <c r="BF43" s="6" t="e">
        <f t="shared" si="0"/>
        <v>#NUM!</v>
      </c>
      <c r="BG43" t="e">
        <f t="shared" si="1"/>
        <v>#NUM!</v>
      </c>
      <c r="BH43" t="e">
        <f t="shared" si="2"/>
        <v>#NUM!</v>
      </c>
      <c r="BI43" t="e">
        <f>VLOOKUP(H43,Sheet2!$A$1:$B$270,2,FALSE)</f>
        <v>#N/A</v>
      </c>
    </row>
    <row r="44" spans="1:61" hidden="1">
      <c r="A44">
        <v>43</v>
      </c>
      <c r="B44">
        <v>1002618094</v>
      </c>
      <c r="C44">
        <v>3</v>
      </c>
      <c r="D44" t="s">
        <v>51</v>
      </c>
      <c r="E44">
        <v>4</v>
      </c>
      <c r="F44" t="s">
        <v>268</v>
      </c>
      <c r="G44" t="s">
        <v>545</v>
      </c>
      <c r="H44" t="s">
        <v>853</v>
      </c>
      <c r="I44" t="s">
        <v>212</v>
      </c>
      <c r="J44" t="s">
        <v>213</v>
      </c>
      <c r="K44" t="s">
        <v>149</v>
      </c>
      <c r="M44" t="s">
        <v>238</v>
      </c>
      <c r="N44" t="s">
        <v>215</v>
      </c>
      <c r="O44" s="57">
        <v>46296.601504629631</v>
      </c>
      <c r="P44" s="57">
        <v>46296.700335648151</v>
      </c>
      <c r="Q44">
        <v>69402453</v>
      </c>
      <c r="S44">
        <v>141568111741</v>
      </c>
      <c r="T44" t="s">
        <v>1142</v>
      </c>
      <c r="U44" t="s">
        <v>1143</v>
      </c>
      <c r="V44" t="s">
        <v>1144</v>
      </c>
      <c r="Z44">
        <v>110.84761279999999</v>
      </c>
      <c r="AA44">
        <v>-7.0151427999999996</v>
      </c>
      <c r="AB44" t="s">
        <v>1145</v>
      </c>
      <c r="AC44" t="s">
        <v>283</v>
      </c>
      <c r="AL44" t="s">
        <v>217</v>
      </c>
      <c r="AM44" t="s">
        <v>1146</v>
      </c>
      <c r="AN44" t="s">
        <v>6</v>
      </c>
      <c r="AO44" s="57">
        <v>46032.611296296294</v>
      </c>
      <c r="AP44" s="57">
        <v>46297.625</v>
      </c>
      <c r="AR44" t="s">
        <v>239</v>
      </c>
      <c r="AS44" t="s">
        <v>219</v>
      </c>
      <c r="AT44" t="s">
        <v>230</v>
      </c>
      <c r="AV44" t="s">
        <v>238</v>
      </c>
      <c r="AW44" t="s">
        <v>866</v>
      </c>
      <c r="AX44" t="s">
        <v>222</v>
      </c>
      <c r="BA44" s="57">
        <v>46297.625</v>
      </c>
      <c r="BB44" t="s">
        <v>1146</v>
      </c>
      <c r="BF44" s="6" t="e">
        <f t="shared" si="0"/>
        <v>#NUM!</v>
      </c>
      <c r="BG44" t="e">
        <f t="shared" si="1"/>
        <v>#NUM!</v>
      </c>
      <c r="BH44" t="e">
        <f t="shared" si="2"/>
        <v>#NUM!</v>
      </c>
      <c r="BI44" t="e">
        <f>VLOOKUP(H44,Sheet2!$A$1:$B$270,2,FALSE)</f>
        <v>#N/A</v>
      </c>
    </row>
    <row r="45" spans="1:61" hidden="1">
      <c r="A45">
        <v>44</v>
      </c>
      <c r="B45">
        <v>1002617580</v>
      </c>
      <c r="C45">
        <v>3</v>
      </c>
      <c r="D45" t="s">
        <v>51</v>
      </c>
      <c r="E45">
        <v>4</v>
      </c>
      <c r="F45" t="s">
        <v>234</v>
      </c>
      <c r="G45" t="s">
        <v>852</v>
      </c>
      <c r="H45" t="s">
        <v>865</v>
      </c>
      <c r="I45" t="s">
        <v>212</v>
      </c>
      <c r="J45" t="s">
        <v>213</v>
      </c>
      <c r="K45" t="s">
        <v>149</v>
      </c>
      <c r="L45" t="s">
        <v>214</v>
      </c>
      <c r="M45" t="s">
        <v>76</v>
      </c>
      <c r="N45" t="s">
        <v>215</v>
      </c>
      <c r="O45" s="57">
        <v>46296.474768518521</v>
      </c>
      <c r="P45" s="57">
        <v>46297.484537037039</v>
      </c>
      <c r="Q45">
        <v>69402265</v>
      </c>
      <c r="S45">
        <v>142565402250</v>
      </c>
      <c r="T45" t="s">
        <v>1147</v>
      </c>
      <c r="U45" t="s">
        <v>1148</v>
      </c>
      <c r="V45" t="s">
        <v>1149</v>
      </c>
      <c r="Z45">
        <v>111.1211766</v>
      </c>
      <c r="AA45">
        <v>-7.3640650999999897</v>
      </c>
      <c r="AB45" t="s">
        <v>1150</v>
      </c>
      <c r="AC45" t="s">
        <v>235</v>
      </c>
      <c r="AL45" t="s">
        <v>217</v>
      </c>
      <c r="AM45" t="s">
        <v>1151</v>
      </c>
      <c r="AN45" t="s">
        <v>6</v>
      </c>
      <c r="AO45" s="57">
        <v>46032.486342592594</v>
      </c>
      <c r="AP45" s="57">
        <v>46297.333333333336</v>
      </c>
      <c r="AR45" t="s">
        <v>218</v>
      </c>
      <c r="AS45" t="s">
        <v>219</v>
      </c>
      <c r="AT45" t="s">
        <v>230</v>
      </c>
      <c r="AU45">
        <v>20261002</v>
      </c>
      <c r="AV45" t="s">
        <v>221</v>
      </c>
      <c r="AW45" t="s">
        <v>881</v>
      </c>
      <c r="AX45" t="s">
        <v>222</v>
      </c>
      <c r="BA45" s="57">
        <v>46297.333333333336</v>
      </c>
      <c r="BB45" t="s">
        <v>1151</v>
      </c>
      <c r="BC45">
        <v>2026</v>
      </c>
      <c r="BD45">
        <v>10</v>
      </c>
      <c r="BE45">
        <v>2</v>
      </c>
      <c r="BF45" s="6">
        <f t="shared" si="0"/>
        <v>46297</v>
      </c>
      <c r="BG45">
        <f t="shared" si="1"/>
        <v>-0.33333333333575865</v>
      </c>
      <c r="BH45" t="str">
        <f t="shared" si="2"/>
        <v>COMPLY</v>
      </c>
      <c r="BI45" t="e">
        <f>VLOOKUP(H45,Sheet2!$A$1:$B$270,2,FALSE)</f>
        <v>#N/A</v>
      </c>
    </row>
    <row r="46" spans="1:61" hidden="1">
      <c r="A46">
        <v>45</v>
      </c>
      <c r="B46">
        <v>1002617638</v>
      </c>
      <c r="C46">
        <v>3</v>
      </c>
      <c r="D46" t="s">
        <v>51</v>
      </c>
      <c r="E46">
        <v>4</v>
      </c>
      <c r="F46" t="s">
        <v>234</v>
      </c>
      <c r="G46" t="s">
        <v>552</v>
      </c>
      <c r="H46" t="s">
        <v>568</v>
      </c>
      <c r="I46" t="s">
        <v>212</v>
      </c>
      <c r="J46" t="s">
        <v>213</v>
      </c>
      <c r="K46" t="s">
        <v>149</v>
      </c>
      <c r="L46" t="s">
        <v>828</v>
      </c>
      <c r="M46" t="s">
        <v>898</v>
      </c>
      <c r="N46" t="s">
        <v>215</v>
      </c>
      <c r="O46" s="57">
        <v>46296.486574074072</v>
      </c>
      <c r="P46" s="57">
        <v>46297.343634259261</v>
      </c>
      <c r="Q46">
        <v>69402275</v>
      </c>
      <c r="R46">
        <v>2716011842</v>
      </c>
      <c r="S46">
        <v>142505404559</v>
      </c>
      <c r="T46" t="s">
        <v>1152</v>
      </c>
      <c r="U46" t="s">
        <v>1153</v>
      </c>
      <c r="V46" t="s">
        <v>1154</v>
      </c>
      <c r="Z46">
        <v>110.762864306951</v>
      </c>
      <c r="AA46">
        <v>-7.5397335047301803</v>
      </c>
      <c r="AB46" t="s">
        <v>1155</v>
      </c>
      <c r="AC46" t="s">
        <v>235</v>
      </c>
      <c r="AL46" t="s">
        <v>217</v>
      </c>
      <c r="AM46" t="s">
        <v>1156</v>
      </c>
      <c r="AN46" t="s">
        <v>6</v>
      </c>
      <c r="AO46" s="57">
        <v>46032.517557870371</v>
      </c>
      <c r="AP46" s="57">
        <v>46297.333333333336</v>
      </c>
      <c r="AR46" t="s">
        <v>889</v>
      </c>
      <c r="AS46" t="s">
        <v>219</v>
      </c>
      <c r="AT46" t="s">
        <v>230</v>
      </c>
      <c r="AV46" t="s">
        <v>899</v>
      </c>
      <c r="AW46" t="s">
        <v>863</v>
      </c>
      <c r="AX46" t="s">
        <v>222</v>
      </c>
      <c r="BA46" s="57">
        <v>46297.333333333336</v>
      </c>
      <c r="BB46" t="s">
        <v>1156</v>
      </c>
      <c r="BF46" s="6" t="e">
        <f t="shared" si="0"/>
        <v>#NUM!</v>
      </c>
      <c r="BG46" t="e">
        <f t="shared" si="1"/>
        <v>#NUM!</v>
      </c>
      <c r="BH46" t="e">
        <f t="shared" si="2"/>
        <v>#NUM!</v>
      </c>
      <c r="BI46" t="e">
        <f>VLOOKUP(H46,Sheet2!$A$1:$B$270,2,FALSE)</f>
        <v>#N/A</v>
      </c>
    </row>
    <row r="47" spans="1:61" hidden="1">
      <c r="A47">
        <v>46</v>
      </c>
      <c r="B47">
        <v>1002617694</v>
      </c>
      <c r="C47">
        <v>3</v>
      </c>
      <c r="D47" t="s">
        <v>51</v>
      </c>
      <c r="E47">
        <v>4</v>
      </c>
      <c r="F47" t="s">
        <v>234</v>
      </c>
      <c r="G47" t="s">
        <v>552</v>
      </c>
      <c r="H47" t="s">
        <v>568</v>
      </c>
      <c r="I47" t="s">
        <v>212</v>
      </c>
      <c r="J47" t="s">
        <v>213</v>
      </c>
      <c r="K47" t="s">
        <v>149</v>
      </c>
      <c r="L47" t="s">
        <v>828</v>
      </c>
      <c r="M47" t="s">
        <v>76</v>
      </c>
      <c r="N47" t="s">
        <v>215</v>
      </c>
      <c r="O47" s="57">
        <v>46296.503935185188</v>
      </c>
      <c r="P47" s="57">
        <v>46296.750034722223</v>
      </c>
      <c r="Q47">
        <v>69402263</v>
      </c>
      <c r="R47">
        <v>2716010314</v>
      </c>
      <c r="S47">
        <v>142505404560</v>
      </c>
      <c r="T47" t="s">
        <v>1152</v>
      </c>
      <c r="U47" t="s">
        <v>1153</v>
      </c>
      <c r="V47" t="s">
        <v>1157</v>
      </c>
      <c r="Z47">
        <v>110.762888789903</v>
      </c>
      <c r="AA47">
        <v>-7.5396775316492004</v>
      </c>
      <c r="AB47" t="s">
        <v>1158</v>
      </c>
      <c r="AC47" t="s">
        <v>235</v>
      </c>
      <c r="AL47" t="s">
        <v>217</v>
      </c>
      <c r="AM47" t="s">
        <v>1159</v>
      </c>
      <c r="AN47" t="s">
        <v>6</v>
      </c>
      <c r="AO47" s="57">
        <v>46032.517557870371</v>
      </c>
      <c r="AP47" s="57">
        <v>46297.458333333336</v>
      </c>
      <c r="AR47" t="s">
        <v>218</v>
      </c>
      <c r="AS47" t="s">
        <v>219</v>
      </c>
      <c r="AT47" t="s">
        <v>230</v>
      </c>
      <c r="AU47">
        <v>20261001</v>
      </c>
      <c r="AV47" t="s">
        <v>221</v>
      </c>
      <c r="AW47" t="s">
        <v>863</v>
      </c>
      <c r="AX47" t="s">
        <v>222</v>
      </c>
      <c r="BA47" s="57">
        <v>46297.458333333336</v>
      </c>
      <c r="BB47" t="s">
        <v>1159</v>
      </c>
      <c r="BC47">
        <v>2026</v>
      </c>
      <c r="BD47">
        <v>10</v>
      </c>
      <c r="BE47">
        <v>1</v>
      </c>
      <c r="BF47" s="6">
        <f t="shared" si="0"/>
        <v>46296</v>
      </c>
      <c r="BG47">
        <f t="shared" si="1"/>
        <v>-1.4583333333357587</v>
      </c>
      <c r="BH47" t="str">
        <f t="shared" si="2"/>
        <v>COMPLY</v>
      </c>
      <c r="BI47" t="e">
        <f>VLOOKUP(H47,Sheet2!$A$1:$B$270,2,FALSE)</f>
        <v>#N/A</v>
      </c>
    </row>
    <row r="48" spans="1:61" hidden="1">
      <c r="A48">
        <v>47</v>
      </c>
      <c r="B48">
        <v>1002617973</v>
      </c>
      <c r="C48">
        <v>3</v>
      </c>
      <c r="D48" t="s">
        <v>51</v>
      </c>
      <c r="E48">
        <v>4</v>
      </c>
      <c r="F48" t="s">
        <v>234</v>
      </c>
      <c r="G48" t="s">
        <v>868</v>
      </c>
      <c r="H48" t="s">
        <v>893</v>
      </c>
      <c r="I48" t="s">
        <v>212</v>
      </c>
      <c r="J48" t="s">
        <v>213</v>
      </c>
      <c r="K48" t="s">
        <v>149</v>
      </c>
      <c r="M48" t="s">
        <v>238</v>
      </c>
      <c r="N48" t="s">
        <v>215</v>
      </c>
      <c r="O48" s="57">
        <v>46296.581493055557</v>
      </c>
      <c r="P48" s="57">
        <v>46297.41673611111</v>
      </c>
      <c r="Q48">
        <v>69402411</v>
      </c>
      <c r="S48">
        <v>142523108896</v>
      </c>
      <c r="T48" t="s">
        <v>1160</v>
      </c>
      <c r="U48" t="s">
        <v>1161</v>
      </c>
      <c r="V48" t="s">
        <v>1162</v>
      </c>
      <c r="Z48">
        <v>111.127386046067</v>
      </c>
      <c r="AA48">
        <v>-7.8303749684347101</v>
      </c>
      <c r="AB48" t="s">
        <v>1163</v>
      </c>
      <c r="AC48" t="s">
        <v>284</v>
      </c>
      <c r="AL48" t="s">
        <v>217</v>
      </c>
      <c r="AM48" t="s">
        <v>1164</v>
      </c>
      <c r="AN48" t="s">
        <v>6</v>
      </c>
      <c r="AO48" s="57">
        <v>46032.590474537035</v>
      </c>
      <c r="AP48" s="57">
        <v>46298.333333333336</v>
      </c>
      <c r="AR48" t="s">
        <v>239</v>
      </c>
      <c r="AS48" t="s">
        <v>219</v>
      </c>
      <c r="AT48" t="s">
        <v>230</v>
      </c>
      <c r="AV48" t="s">
        <v>238</v>
      </c>
      <c r="AW48" t="s">
        <v>539</v>
      </c>
      <c r="AX48" t="s">
        <v>222</v>
      </c>
      <c r="BA48" s="57">
        <v>46298.333333333336</v>
      </c>
      <c r="BB48" t="s">
        <v>1164</v>
      </c>
      <c r="BF48" s="6" t="e">
        <f t="shared" si="0"/>
        <v>#NUM!</v>
      </c>
      <c r="BG48" t="e">
        <f t="shared" si="1"/>
        <v>#NUM!</v>
      </c>
      <c r="BH48" t="e">
        <f t="shared" si="2"/>
        <v>#NUM!</v>
      </c>
      <c r="BI48" t="e">
        <f>VLOOKUP(H48,Sheet2!$A$1:$B$270,2,FALSE)</f>
        <v>#N/A</v>
      </c>
    </row>
    <row r="49" spans="1:61" hidden="1">
      <c r="A49">
        <v>48</v>
      </c>
      <c r="B49">
        <v>1002617289</v>
      </c>
      <c r="C49">
        <v>3</v>
      </c>
      <c r="D49" t="s">
        <v>42</v>
      </c>
      <c r="E49">
        <v>5</v>
      </c>
      <c r="F49" t="s">
        <v>232</v>
      </c>
      <c r="G49" t="s">
        <v>103</v>
      </c>
      <c r="H49" t="s">
        <v>293</v>
      </c>
      <c r="I49" t="s">
        <v>212</v>
      </c>
      <c r="J49" t="s">
        <v>213</v>
      </c>
      <c r="K49" t="s">
        <v>149</v>
      </c>
      <c r="M49" t="s">
        <v>76</v>
      </c>
      <c r="N49" t="s">
        <v>215</v>
      </c>
      <c r="O49" s="57">
        <v>46296.428113425929</v>
      </c>
      <c r="P49" s="57">
        <v>46296.669687499998</v>
      </c>
      <c r="Q49">
        <v>69400158</v>
      </c>
      <c r="S49">
        <v>152319207912</v>
      </c>
      <c r="T49" t="s">
        <v>928</v>
      </c>
      <c r="U49" t="s">
        <v>1165</v>
      </c>
      <c r="V49" t="s">
        <v>1166</v>
      </c>
      <c r="Z49">
        <v>112.34041568000001</v>
      </c>
      <c r="AA49">
        <v>-7.546673052</v>
      </c>
      <c r="AB49" t="s">
        <v>929</v>
      </c>
      <c r="AC49" t="s">
        <v>229</v>
      </c>
      <c r="AL49" t="s">
        <v>217</v>
      </c>
      <c r="AM49" t="s">
        <v>1167</v>
      </c>
      <c r="AN49" t="s">
        <v>6</v>
      </c>
      <c r="AO49" s="57">
        <v>46032.434247685182</v>
      </c>
      <c r="AR49" t="s">
        <v>218</v>
      </c>
      <c r="AS49" t="s">
        <v>103</v>
      </c>
      <c r="AT49" t="s">
        <v>230</v>
      </c>
      <c r="AU49">
        <v>20261001</v>
      </c>
      <c r="AV49" t="s">
        <v>221</v>
      </c>
      <c r="AW49" t="s">
        <v>540</v>
      </c>
      <c r="AX49" t="s">
        <v>222</v>
      </c>
      <c r="BA49" s="57">
        <v>46296.291666666664</v>
      </c>
      <c r="BB49" t="s">
        <v>1167</v>
      </c>
      <c r="BC49">
        <v>2026</v>
      </c>
      <c r="BD49">
        <v>10</v>
      </c>
      <c r="BE49">
        <v>1</v>
      </c>
      <c r="BF49" s="6">
        <f t="shared" si="0"/>
        <v>46296</v>
      </c>
      <c r="BG49">
        <f t="shared" si="1"/>
        <v>-0.29166666666424135</v>
      </c>
      <c r="BH49" t="str">
        <f t="shared" si="2"/>
        <v>COMPLY</v>
      </c>
      <c r="BI49" t="str">
        <f>VLOOKUP(H49,Sheet2!$A$1:$B$270,2,FALSE)</f>
        <v>MOJOKERTO</v>
      </c>
    </row>
    <row r="50" spans="1:61" hidden="1">
      <c r="A50">
        <v>49</v>
      </c>
      <c r="B50">
        <v>1002616829</v>
      </c>
      <c r="C50">
        <v>3</v>
      </c>
      <c r="D50" t="s">
        <v>42</v>
      </c>
      <c r="E50">
        <v>5</v>
      </c>
      <c r="F50" t="s">
        <v>232</v>
      </c>
      <c r="G50" t="s">
        <v>105</v>
      </c>
      <c r="H50" t="s">
        <v>369</v>
      </c>
      <c r="I50" t="s">
        <v>212</v>
      </c>
      <c r="J50" t="s">
        <v>213</v>
      </c>
      <c r="K50" t="s">
        <v>149</v>
      </c>
      <c r="M50" t="s">
        <v>255</v>
      </c>
      <c r="N50" t="s">
        <v>215</v>
      </c>
      <c r="O50" s="57">
        <v>46296.328032407408</v>
      </c>
      <c r="P50" s="57">
        <v>46296.767175925925</v>
      </c>
      <c r="Q50">
        <v>69402000</v>
      </c>
      <c r="S50">
        <v>152312243348</v>
      </c>
      <c r="T50" t="s">
        <v>1168</v>
      </c>
      <c r="U50" t="s">
        <v>1169</v>
      </c>
      <c r="V50" t="s">
        <v>1170</v>
      </c>
      <c r="Z50">
        <v>112.43383559999999</v>
      </c>
      <c r="AA50">
        <v>-7.4922269000000004</v>
      </c>
      <c r="AB50" t="s">
        <v>1171</v>
      </c>
      <c r="AC50" t="s">
        <v>229</v>
      </c>
      <c r="AL50" t="s">
        <v>217</v>
      </c>
      <c r="AM50" t="s">
        <v>1172</v>
      </c>
      <c r="AN50" t="s">
        <v>6</v>
      </c>
      <c r="AO50" s="57">
        <v>46032.330370370371</v>
      </c>
      <c r="AP50" s="57">
        <v>46297.333333333336</v>
      </c>
      <c r="AR50" t="s">
        <v>256</v>
      </c>
      <c r="AS50" t="s">
        <v>105</v>
      </c>
      <c r="AT50" t="s">
        <v>230</v>
      </c>
      <c r="AV50" t="s">
        <v>257</v>
      </c>
      <c r="AW50" t="s">
        <v>540</v>
      </c>
      <c r="AX50" t="s">
        <v>222</v>
      </c>
      <c r="BA50" s="57">
        <v>46297.333333333336</v>
      </c>
      <c r="BB50" t="s">
        <v>1172</v>
      </c>
      <c r="BF50" s="6" t="e">
        <f t="shared" si="0"/>
        <v>#NUM!</v>
      </c>
      <c r="BG50" t="e">
        <f t="shared" si="1"/>
        <v>#NUM!</v>
      </c>
      <c r="BH50" t="e">
        <f t="shared" si="2"/>
        <v>#NUM!</v>
      </c>
      <c r="BI50" t="str">
        <f>VLOOKUP(H50,Sheet2!$A$1:$B$270,2,FALSE)</f>
        <v>MOJOKERTO</v>
      </c>
    </row>
    <row r="51" spans="1:61" hidden="1">
      <c r="A51">
        <v>50</v>
      </c>
      <c r="B51">
        <v>1002617823</v>
      </c>
      <c r="C51">
        <v>3</v>
      </c>
      <c r="D51" t="s">
        <v>42</v>
      </c>
      <c r="E51">
        <v>5</v>
      </c>
      <c r="F51" t="s">
        <v>232</v>
      </c>
      <c r="G51" t="s">
        <v>101</v>
      </c>
      <c r="H51" t="s">
        <v>425</v>
      </c>
      <c r="I51" t="s">
        <v>212</v>
      </c>
      <c r="J51" t="s">
        <v>213</v>
      </c>
      <c r="K51" t="s">
        <v>149</v>
      </c>
      <c r="L51" t="s">
        <v>214</v>
      </c>
      <c r="M51" t="s">
        <v>898</v>
      </c>
      <c r="N51" t="s">
        <v>215</v>
      </c>
      <c r="O51" s="57">
        <v>46296.553182870368</v>
      </c>
      <c r="P51" s="57">
        <v>46296.680902777778</v>
      </c>
      <c r="Q51">
        <v>69402355</v>
      </c>
      <c r="S51">
        <v>152331251875</v>
      </c>
      <c r="T51" t="s">
        <v>1173</v>
      </c>
      <c r="U51" t="s">
        <v>1174</v>
      </c>
      <c r="V51" t="s">
        <v>1175</v>
      </c>
      <c r="Z51">
        <v>112.51153100000001</v>
      </c>
      <c r="AA51">
        <v>-7.4020760000000001</v>
      </c>
      <c r="AB51" t="s">
        <v>1176</v>
      </c>
      <c r="AC51" t="s">
        <v>235</v>
      </c>
      <c r="AL51" t="s">
        <v>217</v>
      </c>
      <c r="AM51" t="s">
        <v>1177</v>
      </c>
      <c r="AN51" t="s">
        <v>6</v>
      </c>
      <c r="AO51" s="57">
        <v>46032.559305555558</v>
      </c>
      <c r="AP51" s="57">
        <v>46297.458333333336</v>
      </c>
      <c r="AR51" t="s">
        <v>889</v>
      </c>
      <c r="AS51" t="s">
        <v>560</v>
      </c>
      <c r="AT51" t="s">
        <v>230</v>
      </c>
      <c r="AV51" t="s">
        <v>899</v>
      </c>
      <c r="AW51" t="s">
        <v>892</v>
      </c>
      <c r="AX51" t="s">
        <v>222</v>
      </c>
      <c r="BA51" s="57">
        <v>46297.458333333336</v>
      </c>
      <c r="BB51" t="s">
        <v>1177</v>
      </c>
      <c r="BF51" s="6" t="e">
        <f t="shared" si="0"/>
        <v>#NUM!</v>
      </c>
      <c r="BG51" t="e">
        <f t="shared" si="1"/>
        <v>#NUM!</v>
      </c>
      <c r="BH51" t="e">
        <f t="shared" si="2"/>
        <v>#NUM!</v>
      </c>
      <c r="BI51" t="str">
        <f>VLOOKUP(H51,Sheet2!$A$1:$B$270,2,FALSE)</f>
        <v>SIDOARJO</v>
      </c>
    </row>
    <row r="52" spans="1:61" hidden="1">
      <c r="A52">
        <v>51</v>
      </c>
      <c r="B52">
        <v>1002616839</v>
      </c>
      <c r="C52">
        <v>3</v>
      </c>
      <c r="D52" t="s">
        <v>42</v>
      </c>
      <c r="E52">
        <v>5</v>
      </c>
      <c r="F52" t="s">
        <v>232</v>
      </c>
      <c r="G52" t="s">
        <v>101</v>
      </c>
      <c r="H52" t="s">
        <v>499</v>
      </c>
      <c r="I52" t="s">
        <v>212</v>
      </c>
      <c r="J52" t="s">
        <v>213</v>
      </c>
      <c r="K52" t="s">
        <v>149</v>
      </c>
      <c r="M52" t="s">
        <v>76</v>
      </c>
      <c r="N52" t="s">
        <v>215</v>
      </c>
      <c r="O52" s="57">
        <v>46296.335347222222</v>
      </c>
      <c r="P52" s="57">
        <v>46296.930648148147</v>
      </c>
      <c r="Q52">
        <v>69401984</v>
      </c>
      <c r="S52">
        <v>152328218519</v>
      </c>
      <c r="T52" t="s">
        <v>1178</v>
      </c>
      <c r="U52" t="s">
        <v>1179</v>
      </c>
      <c r="V52" t="s">
        <v>1180</v>
      </c>
      <c r="Z52">
        <v>112.66993990135801</v>
      </c>
      <c r="AA52">
        <v>-7.40526673854795</v>
      </c>
      <c r="AB52" t="s">
        <v>1181</v>
      </c>
      <c r="AC52" t="s">
        <v>229</v>
      </c>
      <c r="AL52" t="s">
        <v>217</v>
      </c>
      <c r="AM52" t="s">
        <v>1182</v>
      </c>
      <c r="AN52" t="s">
        <v>6</v>
      </c>
      <c r="AO52" s="57">
        <v>46032.351168981484</v>
      </c>
      <c r="AP52" s="57">
        <v>46297.333333333336</v>
      </c>
      <c r="AR52" t="s">
        <v>218</v>
      </c>
      <c r="AS52" t="s">
        <v>232</v>
      </c>
      <c r="AT52" t="s">
        <v>230</v>
      </c>
      <c r="AU52">
        <v>20261001</v>
      </c>
      <c r="AV52" t="s">
        <v>221</v>
      </c>
      <c r="AW52" t="s">
        <v>540</v>
      </c>
      <c r="AX52" t="s">
        <v>222</v>
      </c>
      <c r="BA52" s="57">
        <v>46297.333333333336</v>
      </c>
      <c r="BB52" t="s">
        <v>1182</v>
      </c>
      <c r="BC52">
        <v>2026</v>
      </c>
      <c r="BD52">
        <v>10</v>
      </c>
      <c r="BE52">
        <v>1</v>
      </c>
      <c r="BF52" s="6">
        <f t="shared" si="0"/>
        <v>46296</v>
      </c>
      <c r="BG52">
        <f t="shared" si="1"/>
        <v>-1.3333333333357587</v>
      </c>
      <c r="BH52" t="str">
        <f t="shared" si="2"/>
        <v>COMPLY</v>
      </c>
      <c r="BI52" t="str">
        <f>VLOOKUP(H52,Sheet2!$A$1:$B$270,2,FALSE)</f>
        <v>SIDOARJO</v>
      </c>
    </row>
    <row r="53" spans="1:61" hidden="1">
      <c r="A53">
        <v>52</v>
      </c>
      <c r="B53">
        <v>1002617312</v>
      </c>
      <c r="C53">
        <v>3</v>
      </c>
      <c r="D53" t="s">
        <v>42</v>
      </c>
      <c r="E53">
        <v>5</v>
      </c>
      <c r="F53" t="s">
        <v>232</v>
      </c>
      <c r="G53" t="s">
        <v>101</v>
      </c>
      <c r="H53" t="s">
        <v>499</v>
      </c>
      <c r="I53" t="s">
        <v>212</v>
      </c>
      <c r="J53" t="s">
        <v>213</v>
      </c>
      <c r="K53" t="s">
        <v>149</v>
      </c>
      <c r="L53" t="s">
        <v>214</v>
      </c>
      <c r="M53" t="s">
        <v>224</v>
      </c>
      <c r="N53" t="s">
        <v>215</v>
      </c>
      <c r="O53" s="57">
        <v>46296.431018518517</v>
      </c>
      <c r="P53" s="57">
        <v>46297.558506944442</v>
      </c>
      <c r="Q53">
        <v>69402163</v>
      </c>
      <c r="S53">
        <v>152328218520</v>
      </c>
      <c r="T53" t="s">
        <v>1183</v>
      </c>
      <c r="U53" t="s">
        <v>1184</v>
      </c>
      <c r="V53" t="s">
        <v>1185</v>
      </c>
      <c r="Z53">
        <v>112.65343230000001</v>
      </c>
      <c r="AA53">
        <v>-7.4160553</v>
      </c>
      <c r="AB53" t="s">
        <v>1186</v>
      </c>
      <c r="AC53" t="s">
        <v>216</v>
      </c>
      <c r="AL53" t="s">
        <v>217</v>
      </c>
      <c r="AM53" t="s">
        <v>1187</v>
      </c>
      <c r="AN53" t="s">
        <v>6</v>
      </c>
      <c r="AO53" s="57">
        <v>46032.434247685182</v>
      </c>
      <c r="AP53" s="57">
        <v>46297.458333333336</v>
      </c>
      <c r="AR53" t="s">
        <v>18</v>
      </c>
      <c r="AS53" t="s">
        <v>232</v>
      </c>
      <c r="AT53" t="s">
        <v>220</v>
      </c>
      <c r="AV53" t="s">
        <v>226</v>
      </c>
      <c r="AW53" t="s">
        <v>855</v>
      </c>
      <c r="AX53" t="s">
        <v>222</v>
      </c>
      <c r="BA53" s="57">
        <v>46297.458333333336</v>
      </c>
      <c r="BB53" t="s">
        <v>1187</v>
      </c>
      <c r="BF53" s="6" t="e">
        <f t="shared" si="0"/>
        <v>#NUM!</v>
      </c>
      <c r="BG53" t="e">
        <f t="shared" si="1"/>
        <v>#NUM!</v>
      </c>
      <c r="BH53" t="e">
        <f t="shared" si="2"/>
        <v>#NUM!</v>
      </c>
      <c r="BI53" t="str">
        <f>VLOOKUP(H53,Sheet2!$A$1:$B$270,2,FALSE)</f>
        <v>SIDOARJO</v>
      </c>
    </row>
    <row r="54" spans="1:61" hidden="1">
      <c r="A54">
        <v>53</v>
      </c>
      <c r="B54">
        <v>1002617556</v>
      </c>
      <c r="C54">
        <v>3</v>
      </c>
      <c r="D54" t="s">
        <v>42</v>
      </c>
      <c r="E54">
        <v>5</v>
      </c>
      <c r="F54" t="s">
        <v>232</v>
      </c>
      <c r="G54" t="s">
        <v>101</v>
      </c>
      <c r="H54" t="s">
        <v>258</v>
      </c>
      <c r="I54" t="s">
        <v>212</v>
      </c>
      <c r="J54" t="s">
        <v>213</v>
      </c>
      <c r="K54" t="s">
        <v>149</v>
      </c>
      <c r="L54" t="s">
        <v>214</v>
      </c>
      <c r="M54" t="s">
        <v>255</v>
      </c>
      <c r="N54" t="s">
        <v>215</v>
      </c>
      <c r="O54" s="57">
        <v>46296.470532407409</v>
      </c>
      <c r="P54" s="57">
        <v>46297.420023148145</v>
      </c>
      <c r="Q54">
        <v>69402243</v>
      </c>
      <c r="S54">
        <v>152316233179</v>
      </c>
      <c r="T54" t="s">
        <v>1188</v>
      </c>
      <c r="U54" t="s">
        <v>1189</v>
      </c>
      <c r="V54" t="s">
        <v>1190</v>
      </c>
      <c r="Z54">
        <v>112.69584570000001</v>
      </c>
      <c r="AA54">
        <v>-7.4521503999999998</v>
      </c>
      <c r="AB54" t="s">
        <v>1191</v>
      </c>
      <c r="AC54" t="s">
        <v>216</v>
      </c>
      <c r="AL54" t="s">
        <v>217</v>
      </c>
      <c r="AM54" t="s">
        <v>1192</v>
      </c>
      <c r="AN54" t="s">
        <v>6</v>
      </c>
      <c r="AO54" s="57">
        <v>46032.486342592594</v>
      </c>
      <c r="AP54" s="57">
        <v>46297.333333333336</v>
      </c>
      <c r="AR54" t="s">
        <v>256</v>
      </c>
      <c r="AS54" t="s">
        <v>232</v>
      </c>
      <c r="AT54" t="s">
        <v>230</v>
      </c>
      <c r="AV54" t="s">
        <v>257</v>
      </c>
      <c r="AW54" t="s">
        <v>888</v>
      </c>
      <c r="AX54" t="s">
        <v>222</v>
      </c>
      <c r="BA54" s="57">
        <v>46297.333333333336</v>
      </c>
      <c r="BB54" t="s">
        <v>1192</v>
      </c>
      <c r="BF54" s="6" t="e">
        <f t="shared" si="0"/>
        <v>#NUM!</v>
      </c>
      <c r="BG54" t="e">
        <f t="shared" si="1"/>
        <v>#NUM!</v>
      </c>
      <c r="BH54" t="e">
        <f t="shared" si="2"/>
        <v>#NUM!</v>
      </c>
      <c r="BI54" t="str">
        <f>VLOOKUP(H54,Sheet2!$A$1:$B$270,2,FALSE)</f>
        <v>SIDOARJO</v>
      </c>
    </row>
    <row r="55" spans="1:61" hidden="1">
      <c r="A55">
        <v>54</v>
      </c>
      <c r="B55">
        <v>1002617423</v>
      </c>
      <c r="C55">
        <v>3</v>
      </c>
      <c r="D55" t="s">
        <v>42</v>
      </c>
      <c r="E55">
        <v>5</v>
      </c>
      <c r="F55" t="s">
        <v>232</v>
      </c>
      <c r="G55" t="s">
        <v>101</v>
      </c>
      <c r="H55" t="s">
        <v>258</v>
      </c>
      <c r="I55" t="s">
        <v>212</v>
      </c>
      <c r="J55" t="s">
        <v>213</v>
      </c>
      <c r="K55" t="s">
        <v>149</v>
      </c>
      <c r="L55" t="s">
        <v>214</v>
      </c>
      <c r="M55" t="s">
        <v>224</v>
      </c>
      <c r="N55" t="s">
        <v>215</v>
      </c>
      <c r="O55" s="57">
        <v>46296.446979166663</v>
      </c>
      <c r="P55" s="57">
        <v>46297.339861111112</v>
      </c>
      <c r="Q55">
        <v>69402198</v>
      </c>
      <c r="S55">
        <v>152316233175</v>
      </c>
      <c r="T55" t="s">
        <v>1193</v>
      </c>
      <c r="U55" t="s">
        <v>1194</v>
      </c>
      <c r="V55" t="s">
        <v>1195</v>
      </c>
      <c r="Z55">
        <v>112.6811052</v>
      </c>
      <c r="AA55">
        <v>-7.4230592</v>
      </c>
      <c r="AB55" t="s">
        <v>1196</v>
      </c>
      <c r="AC55" t="s">
        <v>235</v>
      </c>
      <c r="AL55" t="s">
        <v>217</v>
      </c>
      <c r="AM55" t="s">
        <v>1197</v>
      </c>
      <c r="AN55" t="s">
        <v>6</v>
      </c>
      <c r="AO55" s="57">
        <v>46032.486342592594</v>
      </c>
      <c r="AP55" s="57">
        <v>46297.333333333336</v>
      </c>
      <c r="AR55" t="s">
        <v>18</v>
      </c>
      <c r="AS55" t="s">
        <v>232</v>
      </c>
      <c r="AT55" t="s">
        <v>342</v>
      </c>
      <c r="AV55" t="s">
        <v>226</v>
      </c>
      <c r="AW55" t="s">
        <v>823</v>
      </c>
      <c r="AX55" t="s">
        <v>222</v>
      </c>
      <c r="BA55" s="57">
        <v>46297.333333333336</v>
      </c>
      <c r="BB55" t="s">
        <v>1197</v>
      </c>
      <c r="BF55" s="6" t="e">
        <f t="shared" si="0"/>
        <v>#NUM!</v>
      </c>
      <c r="BG55" t="e">
        <f t="shared" si="1"/>
        <v>#NUM!</v>
      </c>
      <c r="BH55" t="e">
        <f t="shared" si="2"/>
        <v>#NUM!</v>
      </c>
      <c r="BI55" t="str">
        <f>VLOOKUP(H55,Sheet2!$A$1:$B$270,2,FALSE)</f>
        <v>SIDOARJO</v>
      </c>
    </row>
    <row r="56" spans="1:61" hidden="1">
      <c r="A56">
        <v>55</v>
      </c>
      <c r="B56">
        <v>1002618024</v>
      </c>
      <c r="C56">
        <v>3</v>
      </c>
      <c r="D56" t="s">
        <v>42</v>
      </c>
      <c r="E56">
        <v>5</v>
      </c>
      <c r="F56" t="s">
        <v>106</v>
      </c>
      <c r="G56" t="s">
        <v>106</v>
      </c>
      <c r="H56" t="s">
        <v>329</v>
      </c>
      <c r="I56" t="s">
        <v>212</v>
      </c>
      <c r="J56" t="s">
        <v>213</v>
      </c>
      <c r="K56" t="s">
        <v>149</v>
      </c>
      <c r="M56" t="s">
        <v>255</v>
      </c>
      <c r="N56" t="s">
        <v>215</v>
      </c>
      <c r="O56" s="57">
        <v>46296.58966435185</v>
      </c>
      <c r="P56" s="57">
        <v>46297.534456018519</v>
      </c>
      <c r="Q56">
        <v>69402402</v>
      </c>
      <c r="S56">
        <v>152744222226</v>
      </c>
      <c r="T56" t="s">
        <v>1198</v>
      </c>
      <c r="U56" t="s">
        <v>1199</v>
      </c>
      <c r="V56" t="s">
        <v>1200</v>
      </c>
      <c r="Z56">
        <v>112.77250979999999</v>
      </c>
      <c r="AA56">
        <v>-7.6047699</v>
      </c>
      <c r="AB56" t="s">
        <v>1201</v>
      </c>
      <c r="AC56" t="s">
        <v>229</v>
      </c>
      <c r="AL56" t="s">
        <v>217</v>
      </c>
      <c r="AM56" t="s">
        <v>1202</v>
      </c>
      <c r="AN56" t="s">
        <v>6</v>
      </c>
      <c r="AO56" s="57">
        <v>46032.590474537035</v>
      </c>
      <c r="AP56" s="57">
        <v>46297.625</v>
      </c>
      <c r="AR56" t="s">
        <v>256</v>
      </c>
      <c r="AS56" t="s">
        <v>580</v>
      </c>
      <c r="AT56" t="s">
        <v>230</v>
      </c>
      <c r="AV56" t="s">
        <v>257</v>
      </c>
      <c r="AW56" t="s">
        <v>540</v>
      </c>
      <c r="AX56" t="s">
        <v>222</v>
      </c>
      <c r="BA56" s="57">
        <v>46297.625</v>
      </c>
      <c r="BB56" t="s">
        <v>1202</v>
      </c>
      <c r="BF56" s="6" t="e">
        <f t="shared" si="0"/>
        <v>#NUM!</v>
      </c>
      <c r="BG56" t="e">
        <f t="shared" si="1"/>
        <v>#NUM!</v>
      </c>
      <c r="BH56" t="e">
        <f t="shared" si="2"/>
        <v>#NUM!</v>
      </c>
      <c r="BI56" t="str">
        <f>VLOOKUP(H56,Sheet2!$A$1:$B$270,2,FALSE)</f>
        <v>PASURUAN</v>
      </c>
    </row>
    <row r="57" spans="1:61" hidden="1">
      <c r="A57">
        <v>56</v>
      </c>
      <c r="B57">
        <v>1002617383</v>
      </c>
      <c r="C57">
        <v>3</v>
      </c>
      <c r="D57" t="s">
        <v>55</v>
      </c>
      <c r="E57">
        <v>5</v>
      </c>
      <c r="F57" t="s">
        <v>305</v>
      </c>
      <c r="G57" t="s">
        <v>124</v>
      </c>
      <c r="H57" t="s">
        <v>326</v>
      </c>
      <c r="I57" t="s">
        <v>212</v>
      </c>
      <c r="J57" t="s">
        <v>213</v>
      </c>
      <c r="K57" t="s">
        <v>149</v>
      </c>
      <c r="L57" t="s">
        <v>214</v>
      </c>
      <c r="M57" t="s">
        <v>898</v>
      </c>
      <c r="N57" t="s">
        <v>215</v>
      </c>
      <c r="O57" s="57">
        <v>46296.441435185188</v>
      </c>
      <c r="P57" s="57">
        <v>46297.343553240738</v>
      </c>
      <c r="Q57">
        <v>69402176</v>
      </c>
      <c r="S57">
        <v>152305231385</v>
      </c>
      <c r="T57" t="s">
        <v>1203</v>
      </c>
      <c r="U57" t="s">
        <v>1204</v>
      </c>
      <c r="V57" t="s">
        <v>1205</v>
      </c>
      <c r="Z57">
        <v>112.78666440000001</v>
      </c>
      <c r="AA57">
        <v>-7.3539735999999998</v>
      </c>
      <c r="AB57" t="s">
        <v>1206</v>
      </c>
      <c r="AC57" t="s">
        <v>216</v>
      </c>
      <c r="AL57" t="s">
        <v>217</v>
      </c>
      <c r="AM57" t="s">
        <v>1131</v>
      </c>
      <c r="AN57" t="s">
        <v>6</v>
      </c>
      <c r="AO57" s="57">
        <v>46032.444687499999</v>
      </c>
      <c r="AP57" s="57">
        <v>46297.333333333336</v>
      </c>
      <c r="AR57" t="s">
        <v>889</v>
      </c>
      <c r="AS57" t="s">
        <v>848</v>
      </c>
      <c r="AT57" t="s">
        <v>230</v>
      </c>
      <c r="AV57" t="s">
        <v>899</v>
      </c>
      <c r="AW57" t="s">
        <v>884</v>
      </c>
      <c r="AX57" t="s">
        <v>222</v>
      </c>
      <c r="BA57" s="57">
        <v>46297.333333333336</v>
      </c>
      <c r="BB57" t="s">
        <v>1131</v>
      </c>
      <c r="BF57" s="6" t="e">
        <f t="shared" si="0"/>
        <v>#NUM!</v>
      </c>
      <c r="BG57" t="e">
        <f t="shared" si="1"/>
        <v>#NUM!</v>
      </c>
      <c r="BH57" t="e">
        <f t="shared" si="2"/>
        <v>#NUM!</v>
      </c>
      <c r="BI57" t="str">
        <f>VLOOKUP(H57,Sheet2!$A$1:$B$270,2,FALSE)</f>
        <v>SURABAYA SELATAN</v>
      </c>
    </row>
    <row r="58" spans="1:61" hidden="1">
      <c r="A58">
        <v>57</v>
      </c>
      <c r="B58">
        <v>1002617708</v>
      </c>
      <c r="C58">
        <v>3</v>
      </c>
      <c r="D58" t="s">
        <v>55</v>
      </c>
      <c r="E58">
        <v>5</v>
      </c>
      <c r="F58" t="s">
        <v>305</v>
      </c>
      <c r="G58" t="s">
        <v>124</v>
      </c>
      <c r="H58" t="s">
        <v>326</v>
      </c>
      <c r="I58" t="s">
        <v>212</v>
      </c>
      <c r="J58" t="s">
        <v>213</v>
      </c>
      <c r="K58" t="s">
        <v>149</v>
      </c>
      <c r="M58" t="s">
        <v>76</v>
      </c>
      <c r="N58" t="s">
        <v>215</v>
      </c>
      <c r="O58" s="57">
        <v>46296.511134259257</v>
      </c>
      <c r="P58" s="57">
        <v>46296.723958333336</v>
      </c>
      <c r="Q58">
        <v>69401010</v>
      </c>
      <c r="S58">
        <v>152305231383</v>
      </c>
      <c r="T58" t="s">
        <v>934</v>
      </c>
      <c r="U58" t="s">
        <v>1207</v>
      </c>
      <c r="V58" t="s">
        <v>1208</v>
      </c>
      <c r="Z58">
        <v>112.7634</v>
      </c>
      <c r="AA58">
        <v>-7.3680000000000003</v>
      </c>
      <c r="AB58" t="s">
        <v>935</v>
      </c>
      <c r="AC58" t="s">
        <v>216</v>
      </c>
      <c r="AL58" t="s">
        <v>217</v>
      </c>
      <c r="AM58" t="s">
        <v>1209</v>
      </c>
      <c r="AN58" t="s">
        <v>6</v>
      </c>
      <c r="AO58" s="57">
        <v>46032.517557870371</v>
      </c>
      <c r="AR58" t="s">
        <v>218</v>
      </c>
      <c r="AS58" t="s">
        <v>848</v>
      </c>
      <c r="AT58" t="s">
        <v>342</v>
      </c>
      <c r="AU58">
        <v>20261001</v>
      </c>
      <c r="AV58" t="s">
        <v>221</v>
      </c>
      <c r="AW58" t="s">
        <v>540</v>
      </c>
      <c r="AX58" t="s">
        <v>222</v>
      </c>
      <c r="BA58" s="57">
        <v>46296.291666666664</v>
      </c>
      <c r="BB58" t="s">
        <v>1209</v>
      </c>
      <c r="BC58">
        <v>2026</v>
      </c>
      <c r="BD58">
        <v>10</v>
      </c>
      <c r="BE58">
        <v>1</v>
      </c>
      <c r="BF58" s="6">
        <f t="shared" si="0"/>
        <v>46296</v>
      </c>
      <c r="BG58">
        <f t="shared" si="1"/>
        <v>-0.29166666666424135</v>
      </c>
      <c r="BH58" t="str">
        <f t="shared" si="2"/>
        <v>COMPLY</v>
      </c>
      <c r="BI58" t="str">
        <f>VLOOKUP(H58,Sheet2!$A$1:$B$270,2,FALSE)</f>
        <v>SURABAYA SELATAN</v>
      </c>
    </row>
    <row r="59" spans="1:61" hidden="1">
      <c r="A59">
        <v>58</v>
      </c>
      <c r="B59">
        <v>1002617838</v>
      </c>
      <c r="C59">
        <v>3</v>
      </c>
      <c r="D59" t="s">
        <v>51</v>
      </c>
      <c r="E59">
        <v>4</v>
      </c>
      <c r="F59" t="s">
        <v>268</v>
      </c>
      <c r="G59" t="s">
        <v>268</v>
      </c>
      <c r="H59" t="s">
        <v>877</v>
      </c>
      <c r="I59" t="s">
        <v>212</v>
      </c>
      <c r="J59" t="s">
        <v>213</v>
      </c>
      <c r="K59" t="s">
        <v>149</v>
      </c>
      <c r="M59" t="s">
        <v>819</v>
      </c>
      <c r="N59" t="s">
        <v>215</v>
      </c>
      <c r="O59" s="57">
        <v>46296.558993055558</v>
      </c>
      <c r="P59" s="57">
        <v>46296.561284722222</v>
      </c>
      <c r="Q59">
        <v>69402365</v>
      </c>
      <c r="S59">
        <v>141456115553</v>
      </c>
      <c r="T59" t="s">
        <v>1210</v>
      </c>
      <c r="U59" t="s">
        <v>1211</v>
      </c>
      <c r="Z59">
        <v>110.633223053436</v>
      </c>
      <c r="AA59">
        <v>-6.9019571696067601</v>
      </c>
      <c r="AB59" t="s">
        <v>1212</v>
      </c>
      <c r="AC59" t="s">
        <v>283</v>
      </c>
      <c r="AO59" s="57">
        <v>46032.569884259261</v>
      </c>
      <c r="AR59" t="s">
        <v>325</v>
      </c>
      <c r="AS59" t="s">
        <v>878</v>
      </c>
      <c r="AT59" t="s">
        <v>230</v>
      </c>
      <c r="AV59" t="s">
        <v>820</v>
      </c>
      <c r="AW59" t="s">
        <v>540</v>
      </c>
      <c r="AX59" t="s">
        <v>222</v>
      </c>
      <c r="BF59" s="6" t="e">
        <f t="shared" si="0"/>
        <v>#NUM!</v>
      </c>
      <c r="BG59" t="e">
        <f t="shared" si="1"/>
        <v>#NUM!</v>
      </c>
      <c r="BH59" t="e">
        <f t="shared" si="2"/>
        <v>#NUM!</v>
      </c>
      <c r="BI59" t="e">
        <f>VLOOKUP(H59,Sheet2!$A$1:$B$270,2,FALSE)</f>
        <v>#N/A</v>
      </c>
    </row>
    <row r="60" spans="1:61" hidden="1">
      <c r="A60">
        <v>59</v>
      </c>
      <c r="B60">
        <v>1002617515</v>
      </c>
      <c r="C60">
        <v>3</v>
      </c>
      <c r="D60" t="s">
        <v>49</v>
      </c>
      <c r="E60">
        <v>4</v>
      </c>
      <c r="F60" t="s">
        <v>244</v>
      </c>
      <c r="G60" t="s">
        <v>554</v>
      </c>
      <c r="H60" t="s">
        <v>555</v>
      </c>
      <c r="I60" t="s">
        <v>212</v>
      </c>
      <c r="J60" t="s">
        <v>213</v>
      </c>
      <c r="K60" t="s">
        <v>149</v>
      </c>
      <c r="L60" t="s">
        <v>214</v>
      </c>
      <c r="M60" t="s">
        <v>224</v>
      </c>
      <c r="N60" t="s">
        <v>215</v>
      </c>
      <c r="O60" s="57">
        <v>46296.462268518517</v>
      </c>
      <c r="P60" s="57">
        <v>46297.343032407407</v>
      </c>
      <c r="Q60">
        <v>69402219</v>
      </c>
      <c r="S60">
        <v>142434111801</v>
      </c>
      <c r="T60" t="s">
        <v>1213</v>
      </c>
      <c r="U60" t="s">
        <v>1214</v>
      </c>
      <c r="V60" t="s">
        <v>1215</v>
      </c>
      <c r="Z60">
        <v>110.50549289999999</v>
      </c>
      <c r="AA60">
        <v>-7.3329836999999998</v>
      </c>
      <c r="AB60" t="s">
        <v>1216</v>
      </c>
      <c r="AC60" t="s">
        <v>235</v>
      </c>
      <c r="AL60" t="s">
        <v>217</v>
      </c>
      <c r="AM60" t="s">
        <v>1217</v>
      </c>
      <c r="AN60" t="s">
        <v>6</v>
      </c>
      <c r="AO60" s="57">
        <v>46032.486342592594</v>
      </c>
      <c r="AP60" s="57">
        <v>46297.333333333336</v>
      </c>
      <c r="AR60" t="s">
        <v>18</v>
      </c>
      <c r="AS60" t="s">
        <v>219</v>
      </c>
      <c r="AT60" t="s">
        <v>230</v>
      </c>
      <c r="AV60" t="s">
        <v>226</v>
      </c>
      <c r="AW60" t="s">
        <v>892</v>
      </c>
      <c r="AX60" t="s">
        <v>222</v>
      </c>
      <c r="BA60" s="57">
        <v>46297.333333333336</v>
      </c>
      <c r="BB60" t="s">
        <v>1217</v>
      </c>
      <c r="BF60" s="6" t="e">
        <f t="shared" si="0"/>
        <v>#NUM!</v>
      </c>
      <c r="BG60" t="e">
        <f t="shared" si="1"/>
        <v>#NUM!</v>
      </c>
      <c r="BH60" t="e">
        <f t="shared" si="2"/>
        <v>#NUM!</v>
      </c>
      <c r="BI60" t="e">
        <f>VLOOKUP(H60,Sheet2!$A$1:$B$270,2,FALSE)</f>
        <v>#N/A</v>
      </c>
    </row>
    <row r="61" spans="1:61" hidden="1">
      <c r="A61">
        <v>60</v>
      </c>
      <c r="B61">
        <v>1002617361</v>
      </c>
      <c r="C61">
        <v>3</v>
      </c>
      <c r="D61" t="s">
        <v>51</v>
      </c>
      <c r="E61">
        <v>4</v>
      </c>
      <c r="F61" t="s">
        <v>268</v>
      </c>
      <c r="G61" t="s">
        <v>268</v>
      </c>
      <c r="H61" t="s">
        <v>805</v>
      </c>
      <c r="I61" t="s">
        <v>212</v>
      </c>
      <c r="J61" t="s">
        <v>213</v>
      </c>
      <c r="K61" t="s">
        <v>149</v>
      </c>
      <c r="L61" t="s">
        <v>214</v>
      </c>
      <c r="M61" t="s">
        <v>238</v>
      </c>
      <c r="N61" t="s">
        <v>215</v>
      </c>
      <c r="O61" s="57">
        <v>46296.438645833332</v>
      </c>
      <c r="P61" s="57">
        <v>46296.440289351849</v>
      </c>
      <c r="Q61">
        <v>69402186</v>
      </c>
      <c r="S61">
        <v>142401146359</v>
      </c>
      <c r="T61" t="s">
        <v>1218</v>
      </c>
      <c r="U61" t="s">
        <v>1219</v>
      </c>
      <c r="V61" t="s">
        <v>1220</v>
      </c>
      <c r="Z61">
        <v>110.863041</v>
      </c>
      <c r="AA61">
        <v>-6.7838320000000003</v>
      </c>
      <c r="AB61" t="s">
        <v>1221</v>
      </c>
      <c r="AC61" t="s">
        <v>235</v>
      </c>
      <c r="AL61" t="s">
        <v>217</v>
      </c>
      <c r="AM61" t="s">
        <v>1222</v>
      </c>
      <c r="AN61" t="s">
        <v>6</v>
      </c>
      <c r="AO61" s="57">
        <v>46032.444687499999</v>
      </c>
      <c r="AP61" s="57">
        <v>46300.458333333336</v>
      </c>
      <c r="AR61" t="s">
        <v>239</v>
      </c>
      <c r="AS61" t="s">
        <v>219</v>
      </c>
      <c r="AT61" t="s">
        <v>230</v>
      </c>
      <c r="AV61" t="s">
        <v>238</v>
      </c>
      <c r="AW61" t="s">
        <v>881</v>
      </c>
      <c r="AX61" t="s">
        <v>222</v>
      </c>
      <c r="BA61" s="57">
        <v>46300.458333333336</v>
      </c>
      <c r="BB61" t="s">
        <v>1222</v>
      </c>
      <c r="BF61" s="6" t="e">
        <f t="shared" si="0"/>
        <v>#NUM!</v>
      </c>
      <c r="BG61" t="e">
        <f t="shared" si="1"/>
        <v>#NUM!</v>
      </c>
      <c r="BH61" t="e">
        <f t="shared" si="2"/>
        <v>#NUM!</v>
      </c>
      <c r="BI61" t="e">
        <f>VLOOKUP(H61,Sheet2!$A$1:$B$270,2,FALSE)</f>
        <v>#N/A</v>
      </c>
    </row>
    <row r="62" spans="1:61" hidden="1">
      <c r="A62">
        <v>61</v>
      </c>
      <c r="B62">
        <v>1002618429</v>
      </c>
      <c r="C62">
        <v>3</v>
      </c>
      <c r="D62" t="s">
        <v>51</v>
      </c>
      <c r="E62">
        <v>4</v>
      </c>
      <c r="F62" t="s">
        <v>268</v>
      </c>
      <c r="G62" t="s">
        <v>288</v>
      </c>
      <c r="H62" t="s">
        <v>797</v>
      </c>
      <c r="I62" t="s">
        <v>212</v>
      </c>
      <c r="J62" t="s">
        <v>213</v>
      </c>
      <c r="K62" t="s">
        <v>149</v>
      </c>
      <c r="M62" t="s">
        <v>238</v>
      </c>
      <c r="N62" t="s">
        <v>215</v>
      </c>
      <c r="O62" s="57">
        <v>46296.65761574074</v>
      </c>
      <c r="P62" s="57">
        <v>46297.472233796296</v>
      </c>
      <c r="Q62">
        <v>69402534</v>
      </c>
      <c r="S62">
        <v>142551119689</v>
      </c>
      <c r="T62" t="s">
        <v>921</v>
      </c>
      <c r="U62" t="s">
        <v>922</v>
      </c>
      <c r="V62" t="s">
        <v>1223</v>
      </c>
      <c r="Z62">
        <v>110.9564415</v>
      </c>
      <c r="AA62">
        <v>-6.9108118000000003</v>
      </c>
      <c r="AB62" t="s">
        <v>1224</v>
      </c>
      <c r="AC62" t="s">
        <v>283</v>
      </c>
      <c r="AL62" t="s">
        <v>217</v>
      </c>
      <c r="AM62" t="s">
        <v>1225</v>
      </c>
      <c r="AN62" t="s">
        <v>6</v>
      </c>
      <c r="AO62" s="57">
        <v>46032.694421296299</v>
      </c>
      <c r="AP62" s="57">
        <v>46298.333333333336</v>
      </c>
      <c r="AR62" t="s">
        <v>239</v>
      </c>
      <c r="AS62" t="s">
        <v>219</v>
      </c>
      <c r="AT62" t="s">
        <v>230</v>
      </c>
      <c r="AV62" t="s">
        <v>238</v>
      </c>
      <c r="AW62" t="s">
        <v>539</v>
      </c>
      <c r="AX62" t="s">
        <v>222</v>
      </c>
      <c r="BA62" s="57">
        <v>46298.333333333336</v>
      </c>
      <c r="BB62" t="s">
        <v>1225</v>
      </c>
      <c r="BF62" s="6" t="e">
        <f t="shared" si="0"/>
        <v>#NUM!</v>
      </c>
      <c r="BG62" t="e">
        <f t="shared" si="1"/>
        <v>#NUM!</v>
      </c>
      <c r="BH62" t="e">
        <f t="shared" si="2"/>
        <v>#NUM!</v>
      </c>
      <c r="BI62" t="e">
        <f>VLOOKUP(H62,Sheet2!$A$1:$B$270,2,FALSE)</f>
        <v>#N/A</v>
      </c>
    </row>
    <row r="63" spans="1:61" hidden="1">
      <c r="A63">
        <v>62</v>
      </c>
      <c r="B63">
        <v>1002617076</v>
      </c>
      <c r="C63">
        <v>3</v>
      </c>
      <c r="D63" t="s">
        <v>49</v>
      </c>
      <c r="E63">
        <v>4</v>
      </c>
      <c r="F63" t="s">
        <v>244</v>
      </c>
      <c r="G63" t="s">
        <v>851</v>
      </c>
      <c r="H63" t="s">
        <v>860</v>
      </c>
      <c r="I63" t="s">
        <v>212</v>
      </c>
      <c r="J63" t="s">
        <v>213</v>
      </c>
      <c r="K63" t="s">
        <v>149</v>
      </c>
      <c r="L63" t="s">
        <v>214</v>
      </c>
      <c r="M63" t="s">
        <v>76</v>
      </c>
      <c r="N63" t="s">
        <v>215</v>
      </c>
      <c r="O63" s="57">
        <v>46296.393449074072</v>
      </c>
      <c r="P63" s="57">
        <v>46296.612835648149</v>
      </c>
      <c r="Q63">
        <v>69402089</v>
      </c>
      <c r="S63">
        <v>146457106646</v>
      </c>
      <c r="T63" t="s">
        <v>837</v>
      </c>
      <c r="U63" t="s">
        <v>1226</v>
      </c>
      <c r="V63" t="s">
        <v>1227</v>
      </c>
      <c r="Z63">
        <v>110.1782671</v>
      </c>
      <c r="AA63">
        <v>-6.9232719999999999</v>
      </c>
      <c r="AB63" t="s">
        <v>1228</v>
      </c>
      <c r="AC63" t="s">
        <v>235</v>
      </c>
      <c r="AL63" t="s">
        <v>217</v>
      </c>
      <c r="AM63" t="s">
        <v>1156</v>
      </c>
      <c r="AN63" t="s">
        <v>6</v>
      </c>
      <c r="AO63" s="57">
        <v>46032.413738425923</v>
      </c>
      <c r="AP63" s="57">
        <v>46297.333333333336</v>
      </c>
      <c r="AR63" t="s">
        <v>218</v>
      </c>
      <c r="AS63" t="s">
        <v>219</v>
      </c>
      <c r="AT63" t="s">
        <v>230</v>
      </c>
      <c r="AU63">
        <v>20261001</v>
      </c>
      <c r="AV63" t="s">
        <v>221</v>
      </c>
      <c r="AW63" t="s">
        <v>885</v>
      </c>
      <c r="AX63" t="s">
        <v>222</v>
      </c>
      <c r="BA63" s="57">
        <v>46297.333333333336</v>
      </c>
      <c r="BB63" t="s">
        <v>1156</v>
      </c>
      <c r="BC63">
        <v>2026</v>
      </c>
      <c r="BD63">
        <v>10</v>
      </c>
      <c r="BE63">
        <v>1</v>
      </c>
      <c r="BF63" s="6">
        <f t="shared" si="0"/>
        <v>46296</v>
      </c>
      <c r="BG63">
        <f t="shared" si="1"/>
        <v>-1.3333333333357587</v>
      </c>
      <c r="BH63" t="str">
        <f t="shared" si="2"/>
        <v>COMPLY</v>
      </c>
      <c r="BI63" t="e">
        <f>VLOOKUP(H63,Sheet2!$A$1:$B$270,2,FALSE)</f>
        <v>#N/A</v>
      </c>
    </row>
    <row r="64" spans="1:61" hidden="1">
      <c r="A64">
        <v>63</v>
      </c>
      <c r="B64">
        <v>1002618091</v>
      </c>
      <c r="C64">
        <v>3</v>
      </c>
      <c r="D64" t="s">
        <v>49</v>
      </c>
      <c r="E64">
        <v>4</v>
      </c>
      <c r="F64" t="s">
        <v>244</v>
      </c>
      <c r="G64" t="s">
        <v>245</v>
      </c>
      <c r="H64" t="s">
        <v>836</v>
      </c>
      <c r="I64" t="s">
        <v>212</v>
      </c>
      <c r="J64" t="s">
        <v>213</v>
      </c>
      <c r="K64" t="s">
        <v>149</v>
      </c>
      <c r="M64" t="s">
        <v>76</v>
      </c>
      <c r="N64" t="s">
        <v>215</v>
      </c>
      <c r="O64" s="57">
        <v>46296.600451388891</v>
      </c>
      <c r="P64" s="57">
        <v>46296.790960648148</v>
      </c>
      <c r="Q64">
        <v>69372639</v>
      </c>
      <c r="S64">
        <v>141420160408</v>
      </c>
      <c r="T64" t="s">
        <v>1229</v>
      </c>
      <c r="U64" t="s">
        <v>1230</v>
      </c>
      <c r="V64" t="s">
        <v>1231</v>
      </c>
      <c r="Z64">
        <v>110.341539457672</v>
      </c>
      <c r="AA64">
        <v>-7.0008219091711901</v>
      </c>
      <c r="AB64" t="s">
        <v>1232</v>
      </c>
      <c r="AC64" t="s">
        <v>225</v>
      </c>
      <c r="AL64" t="s">
        <v>217</v>
      </c>
      <c r="AM64" t="s">
        <v>1233</v>
      </c>
      <c r="AN64" t="s">
        <v>6</v>
      </c>
      <c r="AO64" s="57">
        <v>46032.611296296294</v>
      </c>
      <c r="AR64" t="s">
        <v>218</v>
      </c>
      <c r="AS64" t="s">
        <v>834</v>
      </c>
      <c r="AT64" t="s">
        <v>230</v>
      </c>
      <c r="AU64">
        <v>20261001</v>
      </c>
      <c r="AV64" t="s">
        <v>221</v>
      </c>
      <c r="AW64" t="s">
        <v>539</v>
      </c>
      <c r="AX64" t="s">
        <v>222</v>
      </c>
      <c r="BA64" s="57">
        <v>46296.291666666664</v>
      </c>
      <c r="BB64" t="s">
        <v>1233</v>
      </c>
      <c r="BC64">
        <v>2026</v>
      </c>
      <c r="BD64">
        <v>10</v>
      </c>
      <c r="BE64">
        <v>1</v>
      </c>
      <c r="BF64" s="6">
        <f t="shared" si="0"/>
        <v>46296</v>
      </c>
      <c r="BG64">
        <f t="shared" si="1"/>
        <v>-0.29166666666424135</v>
      </c>
      <c r="BH64" t="str">
        <f t="shared" si="2"/>
        <v>COMPLY</v>
      </c>
      <c r="BI64" t="e">
        <f>VLOOKUP(H64,Sheet2!$A$1:$B$270,2,FALSE)</f>
        <v>#N/A</v>
      </c>
    </row>
    <row r="65" spans="1:61" hidden="1">
      <c r="A65">
        <v>64</v>
      </c>
      <c r="B65">
        <v>1002617233</v>
      </c>
      <c r="C65">
        <v>3</v>
      </c>
      <c r="D65" t="s">
        <v>49</v>
      </c>
      <c r="E65">
        <v>4</v>
      </c>
      <c r="F65" t="s">
        <v>244</v>
      </c>
      <c r="G65" t="s">
        <v>245</v>
      </c>
      <c r="H65" t="s">
        <v>836</v>
      </c>
      <c r="I65" t="s">
        <v>212</v>
      </c>
      <c r="J65" t="s">
        <v>213</v>
      </c>
      <c r="K65" t="s">
        <v>149</v>
      </c>
      <c r="L65" t="s">
        <v>214</v>
      </c>
      <c r="M65" t="s">
        <v>224</v>
      </c>
      <c r="N65" t="s">
        <v>215</v>
      </c>
      <c r="O65" s="57">
        <v>46296.41783564815</v>
      </c>
      <c r="P65" s="57">
        <v>46297.34412037037</v>
      </c>
      <c r="Q65">
        <v>69402145</v>
      </c>
      <c r="S65">
        <v>141420160402</v>
      </c>
      <c r="T65" t="s">
        <v>1234</v>
      </c>
      <c r="U65" t="s">
        <v>1235</v>
      </c>
      <c r="V65" t="s">
        <v>1236</v>
      </c>
      <c r="Z65">
        <v>110.30420410000001</v>
      </c>
      <c r="AA65">
        <v>-7.0052196999999996</v>
      </c>
      <c r="AB65" t="s">
        <v>1237</v>
      </c>
      <c r="AC65" t="s">
        <v>216</v>
      </c>
      <c r="AL65" t="s">
        <v>217</v>
      </c>
      <c r="AM65" t="s">
        <v>1238</v>
      </c>
      <c r="AN65" t="s">
        <v>6</v>
      </c>
      <c r="AO65" s="57">
        <v>46032.434247685182</v>
      </c>
      <c r="AP65" s="57">
        <v>46297.333333333336</v>
      </c>
      <c r="AR65" t="s">
        <v>18</v>
      </c>
      <c r="AS65" t="s">
        <v>834</v>
      </c>
      <c r="AT65" t="s">
        <v>230</v>
      </c>
      <c r="AV65" t="s">
        <v>226</v>
      </c>
      <c r="AW65" t="s">
        <v>882</v>
      </c>
      <c r="AX65" t="s">
        <v>222</v>
      </c>
      <c r="BA65" s="57">
        <v>46297.333333333336</v>
      </c>
      <c r="BB65" t="s">
        <v>1238</v>
      </c>
      <c r="BF65" s="6" t="e">
        <f t="shared" si="0"/>
        <v>#NUM!</v>
      </c>
      <c r="BG65" t="e">
        <f t="shared" si="1"/>
        <v>#NUM!</v>
      </c>
      <c r="BH65" t="e">
        <f t="shared" si="2"/>
        <v>#NUM!</v>
      </c>
      <c r="BI65" t="e">
        <f>VLOOKUP(H65,Sheet2!$A$1:$B$270,2,FALSE)</f>
        <v>#N/A</v>
      </c>
    </row>
    <row r="66" spans="1:61" hidden="1">
      <c r="A66">
        <v>65</v>
      </c>
      <c r="B66">
        <v>1002618755</v>
      </c>
      <c r="C66">
        <v>3</v>
      </c>
      <c r="D66" t="s">
        <v>49</v>
      </c>
      <c r="E66">
        <v>4</v>
      </c>
      <c r="F66" t="s">
        <v>244</v>
      </c>
      <c r="G66" t="s">
        <v>245</v>
      </c>
      <c r="H66" t="s">
        <v>803</v>
      </c>
      <c r="I66" t="s">
        <v>212</v>
      </c>
      <c r="J66" t="s">
        <v>213</v>
      </c>
      <c r="K66" t="s">
        <v>149</v>
      </c>
      <c r="L66" t="s">
        <v>214</v>
      </c>
      <c r="M66" t="s">
        <v>255</v>
      </c>
      <c r="N66" t="s">
        <v>215</v>
      </c>
      <c r="O66" s="57">
        <v>46296.740671296298</v>
      </c>
      <c r="P66" s="57">
        <v>46297.534756944442</v>
      </c>
      <c r="Q66">
        <v>69402637</v>
      </c>
      <c r="S66">
        <v>142406123044</v>
      </c>
      <c r="T66" t="s">
        <v>942</v>
      </c>
      <c r="U66" t="s">
        <v>1239</v>
      </c>
      <c r="V66" t="s">
        <v>1240</v>
      </c>
      <c r="Z66">
        <v>110.442810058593</v>
      </c>
      <c r="AA66">
        <v>-6.9639205629502898</v>
      </c>
      <c r="AB66" t="s">
        <v>1241</v>
      </c>
      <c r="AC66" t="s">
        <v>235</v>
      </c>
      <c r="AL66" t="s">
        <v>217</v>
      </c>
      <c r="AM66" t="s">
        <v>1136</v>
      </c>
      <c r="AN66" t="s">
        <v>6</v>
      </c>
      <c r="AO66" s="57">
        <v>46032.746898148151</v>
      </c>
      <c r="AP66" s="57">
        <v>46297.625</v>
      </c>
      <c r="AR66" t="s">
        <v>256</v>
      </c>
      <c r="AS66" t="s">
        <v>811</v>
      </c>
      <c r="AT66" t="s">
        <v>230</v>
      </c>
      <c r="AV66" t="s">
        <v>257</v>
      </c>
      <c r="AW66" t="s">
        <v>882</v>
      </c>
      <c r="AX66" t="s">
        <v>222</v>
      </c>
      <c r="BA66" s="57">
        <v>46297.625</v>
      </c>
      <c r="BB66" t="s">
        <v>1136</v>
      </c>
      <c r="BF66" s="6" t="e">
        <f t="shared" ref="BF66:BF129" si="3">DATE(BC66,BD66,BE66)</f>
        <v>#NUM!</v>
      </c>
      <c r="BG66" t="e">
        <f t="shared" ref="BG66:BG129" si="4">BF66-BA66</f>
        <v>#NUM!</v>
      </c>
      <c r="BH66" t="e">
        <f t="shared" ref="BH66:BH129" si="5">IF(BG66=1,"COMPLY",IF(BG66&lt;1,"COMPLY","NOT COMPLY"))</f>
        <v>#NUM!</v>
      </c>
      <c r="BI66" t="e">
        <f>VLOOKUP(H66,Sheet2!$A$1:$B$270,2,FALSE)</f>
        <v>#N/A</v>
      </c>
    </row>
    <row r="67" spans="1:61" hidden="1">
      <c r="A67">
        <v>66</v>
      </c>
      <c r="B67">
        <v>1002618750</v>
      </c>
      <c r="C67">
        <v>3</v>
      </c>
      <c r="D67" t="s">
        <v>59</v>
      </c>
      <c r="E67">
        <v>4</v>
      </c>
      <c r="F67" t="s">
        <v>223</v>
      </c>
      <c r="G67" t="s">
        <v>223</v>
      </c>
      <c r="H67" t="s">
        <v>800</v>
      </c>
      <c r="I67" t="s">
        <v>212</v>
      </c>
      <c r="J67" t="s">
        <v>213</v>
      </c>
      <c r="K67" t="s">
        <v>149</v>
      </c>
      <c r="L67" t="s">
        <v>214</v>
      </c>
      <c r="M67" t="s">
        <v>238</v>
      </c>
      <c r="N67" t="s">
        <v>215</v>
      </c>
      <c r="O67" s="57">
        <v>46296.736574074072</v>
      </c>
      <c r="P67" s="57">
        <v>46296.737511574072</v>
      </c>
      <c r="Q67">
        <v>69402655</v>
      </c>
      <c r="S67">
        <v>146303629359</v>
      </c>
      <c r="T67" t="s">
        <v>1122</v>
      </c>
      <c r="U67" t="s">
        <v>1242</v>
      </c>
      <c r="V67" t="s">
        <v>1243</v>
      </c>
      <c r="Z67">
        <v>109.21708700000001</v>
      </c>
      <c r="AA67">
        <v>-7.4436650000000002</v>
      </c>
      <c r="AB67" t="s">
        <v>1244</v>
      </c>
      <c r="AC67" t="s">
        <v>235</v>
      </c>
      <c r="AL67" t="s">
        <v>217</v>
      </c>
      <c r="AM67" t="s">
        <v>1245</v>
      </c>
      <c r="AN67" t="s">
        <v>6</v>
      </c>
      <c r="AO67" s="57">
        <v>46032.746898148151</v>
      </c>
      <c r="AP67" s="57">
        <v>46297.625</v>
      </c>
      <c r="AR67" t="s">
        <v>239</v>
      </c>
      <c r="AS67" t="s">
        <v>219</v>
      </c>
      <c r="AT67" t="s">
        <v>230</v>
      </c>
      <c r="AV67" t="s">
        <v>238</v>
      </c>
      <c r="AW67" t="s">
        <v>882</v>
      </c>
      <c r="AX67" t="s">
        <v>222</v>
      </c>
      <c r="BA67" s="57">
        <v>46297.625</v>
      </c>
      <c r="BB67" t="s">
        <v>1245</v>
      </c>
      <c r="BF67" s="6" t="e">
        <f t="shared" si="3"/>
        <v>#NUM!</v>
      </c>
      <c r="BG67" t="e">
        <f t="shared" si="4"/>
        <v>#NUM!</v>
      </c>
      <c r="BH67" t="e">
        <f t="shared" si="5"/>
        <v>#NUM!</v>
      </c>
      <c r="BI67" t="e">
        <f>VLOOKUP(H67,Sheet2!$A$1:$B$270,2,FALSE)</f>
        <v>#N/A</v>
      </c>
    </row>
    <row r="68" spans="1:61" hidden="1">
      <c r="A68">
        <v>67</v>
      </c>
      <c r="B68">
        <v>1002617282</v>
      </c>
      <c r="C68">
        <v>3</v>
      </c>
      <c r="D68" t="s">
        <v>59</v>
      </c>
      <c r="E68">
        <v>4</v>
      </c>
      <c r="F68" t="s">
        <v>223</v>
      </c>
      <c r="G68" t="s">
        <v>223</v>
      </c>
      <c r="H68" t="s">
        <v>800</v>
      </c>
      <c r="I68" t="s">
        <v>212</v>
      </c>
      <c r="J68" t="s">
        <v>213</v>
      </c>
      <c r="K68" t="s">
        <v>149</v>
      </c>
      <c r="M68" t="s">
        <v>238</v>
      </c>
      <c r="N68" t="s">
        <v>215</v>
      </c>
      <c r="O68" s="57">
        <v>46296.429259259261</v>
      </c>
      <c r="P68" s="57">
        <v>46296.619525462964</v>
      </c>
      <c r="Q68">
        <v>69402155</v>
      </c>
      <c r="S68">
        <v>146303629342</v>
      </c>
      <c r="T68" t="s">
        <v>1246</v>
      </c>
      <c r="U68" t="s">
        <v>1247</v>
      </c>
      <c r="V68" t="s">
        <v>1248</v>
      </c>
      <c r="Z68">
        <v>109.226715564496</v>
      </c>
      <c r="AA68">
        <v>-7.3960277174201998</v>
      </c>
      <c r="AB68" t="s">
        <v>1249</v>
      </c>
      <c r="AC68" t="s">
        <v>225</v>
      </c>
      <c r="AL68" t="s">
        <v>217</v>
      </c>
      <c r="AM68" t="s">
        <v>1250</v>
      </c>
      <c r="AN68" t="s">
        <v>6</v>
      </c>
      <c r="AO68" s="57">
        <v>46032.434247685182</v>
      </c>
      <c r="AP68" s="57">
        <v>46298.333333333336</v>
      </c>
      <c r="AR68" t="s">
        <v>239</v>
      </c>
      <c r="AS68" t="s">
        <v>219</v>
      </c>
      <c r="AT68" t="s">
        <v>230</v>
      </c>
      <c r="AV68" t="s">
        <v>238</v>
      </c>
      <c r="AW68" t="s">
        <v>541</v>
      </c>
      <c r="AX68" t="s">
        <v>222</v>
      </c>
      <c r="BA68" s="57">
        <v>46298.333333333336</v>
      </c>
      <c r="BB68" t="s">
        <v>1250</v>
      </c>
      <c r="BF68" s="6" t="e">
        <f t="shared" si="3"/>
        <v>#NUM!</v>
      </c>
      <c r="BG68" t="e">
        <f t="shared" si="4"/>
        <v>#NUM!</v>
      </c>
      <c r="BH68" t="e">
        <f t="shared" si="5"/>
        <v>#NUM!</v>
      </c>
      <c r="BI68" t="e">
        <f>VLOOKUP(H68,Sheet2!$A$1:$B$270,2,FALSE)</f>
        <v>#N/A</v>
      </c>
    </row>
    <row r="69" spans="1:61" hidden="1">
      <c r="A69">
        <v>68</v>
      </c>
      <c r="B69">
        <v>1002616994</v>
      </c>
      <c r="C69">
        <v>3</v>
      </c>
      <c r="D69" t="s">
        <v>59</v>
      </c>
      <c r="E69">
        <v>4</v>
      </c>
      <c r="F69" t="s">
        <v>223</v>
      </c>
      <c r="G69" t="s">
        <v>312</v>
      </c>
      <c r="H69" t="s">
        <v>313</v>
      </c>
      <c r="I69" t="s">
        <v>212</v>
      </c>
      <c r="J69" t="s">
        <v>213</v>
      </c>
      <c r="K69" t="s">
        <v>149</v>
      </c>
      <c r="M69" t="s">
        <v>538</v>
      </c>
      <c r="N69" t="s">
        <v>215</v>
      </c>
      <c r="O69" s="57">
        <v>46296.380231481482</v>
      </c>
      <c r="P69" s="57">
        <v>46297.474606481483</v>
      </c>
      <c r="Q69">
        <v>69402039</v>
      </c>
      <c r="S69">
        <v>146372102975</v>
      </c>
      <c r="T69" t="s">
        <v>1251</v>
      </c>
      <c r="U69" t="s">
        <v>1252</v>
      </c>
      <c r="Z69">
        <v>109.814038</v>
      </c>
      <c r="AA69">
        <v>-7.2282590000000004</v>
      </c>
      <c r="AB69" t="s">
        <v>1253</v>
      </c>
      <c r="AC69" t="s">
        <v>283</v>
      </c>
      <c r="AO69" s="57">
        <v>46032.392847222225</v>
      </c>
      <c r="AR69" t="s">
        <v>6</v>
      </c>
      <c r="AS69" t="s">
        <v>219</v>
      </c>
      <c r="AT69" t="s">
        <v>230</v>
      </c>
      <c r="AV69" t="s">
        <v>952</v>
      </c>
      <c r="AW69" t="s">
        <v>864</v>
      </c>
      <c r="AX69" t="s">
        <v>222</v>
      </c>
      <c r="BF69" s="6" t="e">
        <f t="shared" si="3"/>
        <v>#NUM!</v>
      </c>
      <c r="BG69" t="e">
        <f t="shared" si="4"/>
        <v>#NUM!</v>
      </c>
      <c r="BH69" t="e">
        <f t="shared" si="5"/>
        <v>#NUM!</v>
      </c>
      <c r="BI69" t="e">
        <f>VLOOKUP(H69,Sheet2!$A$1:$B$270,2,FALSE)</f>
        <v>#N/A</v>
      </c>
    </row>
    <row r="70" spans="1:61" hidden="1">
      <c r="A70">
        <v>69</v>
      </c>
      <c r="B70">
        <v>1002618109</v>
      </c>
      <c r="C70">
        <v>3</v>
      </c>
      <c r="D70" t="s">
        <v>59</v>
      </c>
      <c r="E70">
        <v>4</v>
      </c>
      <c r="F70" t="s">
        <v>223</v>
      </c>
      <c r="G70" t="s">
        <v>312</v>
      </c>
      <c r="H70" t="s">
        <v>810</v>
      </c>
      <c r="I70" t="s">
        <v>212</v>
      </c>
      <c r="J70" t="s">
        <v>213</v>
      </c>
      <c r="K70" t="s">
        <v>149</v>
      </c>
      <c r="L70" t="s">
        <v>214</v>
      </c>
      <c r="M70" t="s">
        <v>898</v>
      </c>
      <c r="N70" t="s">
        <v>215</v>
      </c>
      <c r="O70" s="57">
        <v>46296.603182870371</v>
      </c>
      <c r="P70" s="57">
        <v>46297.471203703702</v>
      </c>
      <c r="Q70">
        <v>69402437</v>
      </c>
      <c r="S70">
        <v>143395109400</v>
      </c>
      <c r="T70" t="s">
        <v>1254</v>
      </c>
      <c r="U70" t="s">
        <v>1255</v>
      </c>
      <c r="V70" t="s">
        <v>1256</v>
      </c>
      <c r="Z70">
        <v>109.429236</v>
      </c>
      <c r="AA70">
        <v>-7.4728000000000003</v>
      </c>
      <c r="AB70" t="s">
        <v>1257</v>
      </c>
      <c r="AC70" t="s">
        <v>235</v>
      </c>
      <c r="AL70" t="s">
        <v>217</v>
      </c>
      <c r="AM70" t="s">
        <v>1258</v>
      </c>
      <c r="AN70" t="s">
        <v>6</v>
      </c>
      <c r="AO70" s="57">
        <v>46032.611296296294</v>
      </c>
      <c r="AP70" s="57">
        <v>46297.458333333336</v>
      </c>
      <c r="AR70" t="s">
        <v>889</v>
      </c>
      <c r="AS70" t="s">
        <v>817</v>
      </c>
      <c r="AT70" t="s">
        <v>230</v>
      </c>
      <c r="AV70" t="s">
        <v>899</v>
      </c>
      <c r="AW70" t="s">
        <v>236</v>
      </c>
      <c r="AX70" t="s">
        <v>222</v>
      </c>
      <c r="BA70" s="57">
        <v>46297.458333333336</v>
      </c>
      <c r="BB70" t="s">
        <v>1258</v>
      </c>
      <c r="BF70" s="6" t="e">
        <f t="shared" si="3"/>
        <v>#NUM!</v>
      </c>
      <c r="BG70" t="e">
        <f t="shared" si="4"/>
        <v>#NUM!</v>
      </c>
      <c r="BH70" t="e">
        <f t="shared" si="5"/>
        <v>#NUM!</v>
      </c>
      <c r="BI70" t="e">
        <f>VLOOKUP(H70,Sheet2!$A$1:$B$270,2,FALSE)</f>
        <v>#N/A</v>
      </c>
    </row>
    <row r="71" spans="1:61" hidden="1">
      <c r="A71">
        <v>70</v>
      </c>
      <c r="B71">
        <v>1002617796</v>
      </c>
      <c r="C71">
        <v>3</v>
      </c>
      <c r="D71" t="s">
        <v>59</v>
      </c>
      <c r="E71">
        <v>4</v>
      </c>
      <c r="F71" t="s">
        <v>241</v>
      </c>
      <c r="G71" t="s">
        <v>821</v>
      </c>
      <c r="H71" t="s">
        <v>822</v>
      </c>
      <c r="I71" t="s">
        <v>212</v>
      </c>
      <c r="J71" t="s">
        <v>213</v>
      </c>
      <c r="K71" t="s">
        <v>149</v>
      </c>
      <c r="L71" t="s">
        <v>214</v>
      </c>
      <c r="M71" t="s">
        <v>930</v>
      </c>
      <c r="N71" t="s">
        <v>215</v>
      </c>
      <c r="O71" s="57">
        <v>46296.5469212963</v>
      </c>
      <c r="P71" s="57">
        <v>46297.558483796296</v>
      </c>
      <c r="Q71">
        <v>69402334</v>
      </c>
      <c r="S71">
        <v>141373127777</v>
      </c>
      <c r="T71" t="s">
        <v>1259</v>
      </c>
      <c r="U71" t="s">
        <v>1260</v>
      </c>
      <c r="V71" t="s">
        <v>1261</v>
      </c>
      <c r="Z71">
        <v>109.89601554506299</v>
      </c>
      <c r="AA71">
        <v>-7.3708467491672396</v>
      </c>
      <c r="AB71" t="s">
        <v>1262</v>
      </c>
      <c r="AC71" t="s">
        <v>235</v>
      </c>
      <c r="AL71" t="s">
        <v>217</v>
      </c>
      <c r="AM71" t="s">
        <v>1263</v>
      </c>
      <c r="AN71" t="s">
        <v>6</v>
      </c>
      <c r="AO71" s="57">
        <v>46032.559305555558</v>
      </c>
      <c r="AP71" s="57">
        <v>46297.458333333336</v>
      </c>
      <c r="AR71" t="s">
        <v>889</v>
      </c>
      <c r="AS71" t="s">
        <v>219</v>
      </c>
      <c r="AT71" t="s">
        <v>342</v>
      </c>
      <c r="AV71" t="s">
        <v>931</v>
      </c>
      <c r="AW71" t="s">
        <v>859</v>
      </c>
      <c r="AX71" t="s">
        <v>222</v>
      </c>
      <c r="BA71" s="57">
        <v>46297.458333333336</v>
      </c>
      <c r="BB71" t="s">
        <v>1263</v>
      </c>
      <c r="BF71" s="6" t="e">
        <f t="shared" si="3"/>
        <v>#NUM!</v>
      </c>
      <c r="BG71" t="e">
        <f t="shared" si="4"/>
        <v>#NUM!</v>
      </c>
      <c r="BH71" t="e">
        <f t="shared" si="5"/>
        <v>#NUM!</v>
      </c>
      <c r="BI71" t="e">
        <f>VLOOKUP(H71,Sheet2!$A$1:$B$270,2,FALSE)</f>
        <v>#N/A</v>
      </c>
    </row>
    <row r="72" spans="1:61" hidden="1">
      <c r="A72">
        <v>71</v>
      </c>
      <c r="B72">
        <v>1002618398</v>
      </c>
      <c r="C72">
        <v>3</v>
      </c>
      <c r="D72" t="s">
        <v>49</v>
      </c>
      <c r="E72">
        <v>4</v>
      </c>
      <c r="F72" t="s">
        <v>249</v>
      </c>
      <c r="G72" t="s">
        <v>537</v>
      </c>
      <c r="H72" t="s">
        <v>869</v>
      </c>
      <c r="I72" t="s">
        <v>212</v>
      </c>
      <c r="J72" t="s">
        <v>213</v>
      </c>
      <c r="K72" t="s">
        <v>149</v>
      </c>
      <c r="L72" t="s">
        <v>214</v>
      </c>
      <c r="M72" t="s">
        <v>238</v>
      </c>
      <c r="N72" t="s">
        <v>215</v>
      </c>
      <c r="O72" s="57">
        <v>46296.651782407411</v>
      </c>
      <c r="P72" s="57">
        <v>46296.652812499997</v>
      </c>
      <c r="Q72">
        <v>69402551</v>
      </c>
      <c r="S72">
        <v>142213107480</v>
      </c>
      <c r="T72" t="s">
        <v>1264</v>
      </c>
      <c r="U72" t="s">
        <v>1265</v>
      </c>
      <c r="V72" t="s">
        <v>1266</v>
      </c>
      <c r="Z72">
        <v>109.260865</v>
      </c>
      <c r="AA72">
        <v>-7.074757</v>
      </c>
      <c r="AB72" t="s">
        <v>1267</v>
      </c>
      <c r="AC72" t="s">
        <v>235</v>
      </c>
      <c r="AL72" t="s">
        <v>217</v>
      </c>
      <c r="AM72" t="s">
        <v>1268</v>
      </c>
      <c r="AN72" t="s">
        <v>6</v>
      </c>
      <c r="AO72" s="57">
        <v>46032.653252314813</v>
      </c>
      <c r="AP72" s="57">
        <v>46297.625</v>
      </c>
      <c r="AR72" t="s">
        <v>239</v>
      </c>
      <c r="AS72" t="s">
        <v>870</v>
      </c>
      <c r="AT72" t="s">
        <v>230</v>
      </c>
      <c r="AV72" t="s">
        <v>238</v>
      </c>
      <c r="AW72" t="s">
        <v>885</v>
      </c>
      <c r="AX72" t="s">
        <v>222</v>
      </c>
      <c r="BA72" s="57">
        <v>46297.625</v>
      </c>
      <c r="BB72" t="s">
        <v>1268</v>
      </c>
      <c r="BF72" s="6" t="e">
        <f t="shared" si="3"/>
        <v>#NUM!</v>
      </c>
      <c r="BG72" t="e">
        <f t="shared" si="4"/>
        <v>#NUM!</v>
      </c>
      <c r="BH72" t="e">
        <f t="shared" si="5"/>
        <v>#NUM!</v>
      </c>
      <c r="BI72" t="e">
        <f>VLOOKUP(H72,Sheet2!$A$1:$B$270,2,FALSE)</f>
        <v>#N/A</v>
      </c>
    </row>
    <row r="73" spans="1:61" hidden="1">
      <c r="A73">
        <v>72</v>
      </c>
      <c r="B73">
        <v>1002617123</v>
      </c>
      <c r="C73">
        <v>3</v>
      </c>
      <c r="D73" t="s">
        <v>59</v>
      </c>
      <c r="E73">
        <v>4</v>
      </c>
      <c r="F73" t="s">
        <v>223</v>
      </c>
      <c r="G73" t="s">
        <v>847</v>
      </c>
      <c r="H73" t="s">
        <v>871</v>
      </c>
      <c r="I73" t="s">
        <v>212</v>
      </c>
      <c r="J73" t="s">
        <v>213</v>
      </c>
      <c r="K73" t="s">
        <v>149</v>
      </c>
      <c r="L73" t="s">
        <v>214</v>
      </c>
      <c r="M73" t="s">
        <v>76</v>
      </c>
      <c r="N73" t="s">
        <v>215</v>
      </c>
      <c r="O73" s="57">
        <v>46296.401087962964</v>
      </c>
      <c r="P73" s="57">
        <v>46296.659687500003</v>
      </c>
      <c r="Q73">
        <v>69402096</v>
      </c>
      <c r="S73">
        <v>146394105462</v>
      </c>
      <c r="T73" t="s">
        <v>1269</v>
      </c>
      <c r="U73" t="s">
        <v>1270</v>
      </c>
      <c r="V73" t="s">
        <v>1271</v>
      </c>
      <c r="Z73">
        <v>109.36051447203801</v>
      </c>
      <c r="AA73">
        <v>-7.3363168771240703</v>
      </c>
      <c r="AB73" t="s">
        <v>1272</v>
      </c>
      <c r="AC73" t="s">
        <v>235</v>
      </c>
      <c r="AL73" t="s">
        <v>217</v>
      </c>
      <c r="AM73" t="s">
        <v>1273</v>
      </c>
      <c r="AN73" t="s">
        <v>6</v>
      </c>
      <c r="AO73" s="57">
        <v>46032.413738425923</v>
      </c>
      <c r="AP73" s="57">
        <v>46297.333333333336</v>
      </c>
      <c r="AR73" t="s">
        <v>218</v>
      </c>
      <c r="AS73" t="s">
        <v>872</v>
      </c>
      <c r="AT73" t="s">
        <v>230</v>
      </c>
      <c r="AU73">
        <v>20261001</v>
      </c>
      <c r="AV73" t="s">
        <v>221</v>
      </c>
      <c r="AW73" t="s">
        <v>883</v>
      </c>
      <c r="AX73" t="s">
        <v>222</v>
      </c>
      <c r="BA73" s="57">
        <v>46297.333333333336</v>
      </c>
      <c r="BB73" t="s">
        <v>1273</v>
      </c>
      <c r="BC73">
        <v>2026</v>
      </c>
      <c r="BD73">
        <v>10</v>
      </c>
      <c r="BE73">
        <v>1</v>
      </c>
      <c r="BF73" s="6">
        <f t="shared" si="3"/>
        <v>46296</v>
      </c>
      <c r="BG73">
        <f t="shared" si="4"/>
        <v>-1.3333333333357587</v>
      </c>
      <c r="BH73" t="str">
        <f t="shared" si="5"/>
        <v>COMPLY</v>
      </c>
      <c r="BI73" t="e">
        <f>VLOOKUP(H73,Sheet2!$A$1:$B$270,2,FALSE)</f>
        <v>#N/A</v>
      </c>
    </row>
    <row r="74" spans="1:61" hidden="1">
      <c r="A74">
        <v>73</v>
      </c>
      <c r="B74">
        <v>1002618704</v>
      </c>
      <c r="C74">
        <v>3</v>
      </c>
      <c r="D74" t="s">
        <v>49</v>
      </c>
      <c r="E74">
        <v>4</v>
      </c>
      <c r="F74" t="s">
        <v>249</v>
      </c>
      <c r="G74" t="s">
        <v>536</v>
      </c>
      <c r="H74" t="s">
        <v>858</v>
      </c>
      <c r="I74" t="s">
        <v>212</v>
      </c>
      <c r="J74" t="s">
        <v>213</v>
      </c>
      <c r="K74" t="s">
        <v>149</v>
      </c>
      <c r="L74" t="s">
        <v>214</v>
      </c>
      <c r="M74" t="s">
        <v>238</v>
      </c>
      <c r="N74" t="s">
        <v>215</v>
      </c>
      <c r="O74" s="57">
        <v>46296.718518518515</v>
      </c>
      <c r="P74" s="57">
        <v>46296.719456018516</v>
      </c>
      <c r="Q74">
        <v>69402619</v>
      </c>
      <c r="S74">
        <v>146284107775</v>
      </c>
      <c r="T74" t="s">
        <v>1274</v>
      </c>
      <c r="U74" t="s">
        <v>1275</v>
      </c>
      <c r="V74" t="s">
        <v>1276</v>
      </c>
      <c r="Z74">
        <v>109.067885</v>
      </c>
      <c r="AA74">
        <v>-6.8762809999999996</v>
      </c>
      <c r="AB74" t="s">
        <v>1277</v>
      </c>
      <c r="AC74" t="s">
        <v>235</v>
      </c>
      <c r="AL74" t="s">
        <v>217</v>
      </c>
      <c r="AM74" t="s">
        <v>1278</v>
      </c>
      <c r="AN74" t="s">
        <v>6</v>
      </c>
      <c r="AO74" s="57">
        <v>46032.726099537038</v>
      </c>
      <c r="AP74" s="57">
        <v>46298.333333333336</v>
      </c>
      <c r="AR74" t="s">
        <v>239</v>
      </c>
      <c r="AS74" t="s">
        <v>219</v>
      </c>
      <c r="AT74" t="s">
        <v>230</v>
      </c>
      <c r="AV74" t="s">
        <v>238</v>
      </c>
      <c r="AW74" t="s">
        <v>882</v>
      </c>
      <c r="AX74" t="s">
        <v>222</v>
      </c>
      <c r="BA74" s="57">
        <v>46298.333333333336</v>
      </c>
      <c r="BB74" t="s">
        <v>1278</v>
      </c>
      <c r="BF74" s="6" t="e">
        <f t="shared" si="3"/>
        <v>#NUM!</v>
      </c>
      <c r="BG74" t="e">
        <f t="shared" si="4"/>
        <v>#NUM!</v>
      </c>
      <c r="BH74" t="e">
        <f t="shared" si="5"/>
        <v>#NUM!</v>
      </c>
      <c r="BI74" t="e">
        <f>VLOOKUP(H74,Sheet2!$A$1:$B$270,2,FALSE)</f>
        <v>#N/A</v>
      </c>
    </row>
    <row r="75" spans="1:61" hidden="1">
      <c r="A75">
        <v>74</v>
      </c>
      <c r="B75">
        <v>1002618417</v>
      </c>
      <c r="C75">
        <v>3</v>
      </c>
      <c r="D75" t="s">
        <v>49</v>
      </c>
      <c r="E75">
        <v>4</v>
      </c>
      <c r="F75" t="s">
        <v>249</v>
      </c>
      <c r="G75" t="s">
        <v>536</v>
      </c>
      <c r="H75" t="s">
        <v>861</v>
      </c>
      <c r="I75" t="s">
        <v>212</v>
      </c>
      <c r="J75" t="s">
        <v>213</v>
      </c>
      <c r="K75" t="s">
        <v>149</v>
      </c>
      <c r="M75" t="s">
        <v>538</v>
      </c>
      <c r="N75" t="s">
        <v>215</v>
      </c>
      <c r="O75" s="57">
        <v>46296.655844907407</v>
      </c>
      <c r="P75" s="57">
        <v>46297.514166666668</v>
      </c>
      <c r="Q75">
        <v>69402558</v>
      </c>
      <c r="S75">
        <v>146281108645</v>
      </c>
      <c r="T75" t="s">
        <v>1279</v>
      </c>
      <c r="U75" t="s">
        <v>1280</v>
      </c>
      <c r="Z75">
        <v>109.0351962</v>
      </c>
      <c r="AA75">
        <v>-7.2957374000000002</v>
      </c>
      <c r="AB75" t="s">
        <v>1281</v>
      </c>
      <c r="AC75" t="s">
        <v>225</v>
      </c>
      <c r="AO75" s="57">
        <v>46032.694421296299</v>
      </c>
      <c r="AR75" t="s">
        <v>6</v>
      </c>
      <c r="AS75" t="s">
        <v>862</v>
      </c>
      <c r="AT75" t="s">
        <v>230</v>
      </c>
      <c r="AV75" t="s">
        <v>1282</v>
      </c>
      <c r="AW75" t="s">
        <v>540</v>
      </c>
      <c r="AX75" t="s">
        <v>222</v>
      </c>
      <c r="BF75" s="6" t="e">
        <f t="shared" si="3"/>
        <v>#NUM!</v>
      </c>
      <c r="BG75" t="e">
        <f t="shared" si="4"/>
        <v>#NUM!</v>
      </c>
      <c r="BH75" t="e">
        <f t="shared" si="5"/>
        <v>#NUM!</v>
      </c>
      <c r="BI75" t="e">
        <f>VLOOKUP(H75,Sheet2!$A$1:$B$270,2,FALSE)</f>
        <v>#N/A</v>
      </c>
    </row>
    <row r="76" spans="1:61" hidden="1">
      <c r="A76">
        <v>75</v>
      </c>
      <c r="B76">
        <v>1002618251</v>
      </c>
      <c r="C76">
        <v>3</v>
      </c>
      <c r="D76" t="s">
        <v>49</v>
      </c>
      <c r="E76">
        <v>4</v>
      </c>
      <c r="F76" t="s">
        <v>249</v>
      </c>
      <c r="G76" t="s">
        <v>536</v>
      </c>
      <c r="H76" t="s">
        <v>861</v>
      </c>
      <c r="I76" t="s">
        <v>212</v>
      </c>
      <c r="J76" t="s">
        <v>213</v>
      </c>
      <c r="K76" t="s">
        <v>149</v>
      </c>
      <c r="M76" t="s">
        <v>538</v>
      </c>
      <c r="N76" t="s">
        <v>215</v>
      </c>
      <c r="O76" s="57">
        <v>46296.630312499998</v>
      </c>
      <c r="P76" s="57">
        <v>46297.513715277775</v>
      </c>
      <c r="Q76">
        <v>69402491</v>
      </c>
      <c r="S76">
        <v>146281108643</v>
      </c>
      <c r="T76" t="s">
        <v>1279</v>
      </c>
      <c r="U76" t="s">
        <v>1280</v>
      </c>
      <c r="Z76">
        <v>109.0351962</v>
      </c>
      <c r="AA76">
        <v>-7.2957374000000002</v>
      </c>
      <c r="AB76" t="s">
        <v>1281</v>
      </c>
      <c r="AC76" t="s">
        <v>225</v>
      </c>
      <c r="AO76" s="57">
        <v>46032.632627314815</v>
      </c>
      <c r="AR76" t="s">
        <v>6</v>
      </c>
      <c r="AS76" t="s">
        <v>862</v>
      </c>
      <c r="AT76" t="s">
        <v>230</v>
      </c>
      <c r="AV76" t="s">
        <v>1282</v>
      </c>
      <c r="AW76" t="s">
        <v>540</v>
      </c>
      <c r="AX76" t="s">
        <v>222</v>
      </c>
      <c r="BF76" s="6" t="e">
        <f t="shared" si="3"/>
        <v>#NUM!</v>
      </c>
      <c r="BG76" t="e">
        <f t="shared" si="4"/>
        <v>#NUM!</v>
      </c>
      <c r="BH76" t="e">
        <f t="shared" si="5"/>
        <v>#NUM!</v>
      </c>
      <c r="BI76" t="e">
        <f>VLOOKUP(H76,Sheet2!$A$1:$B$270,2,FALSE)</f>
        <v>#N/A</v>
      </c>
    </row>
    <row r="77" spans="1:61" hidden="1">
      <c r="A77">
        <v>76</v>
      </c>
      <c r="B77">
        <v>1002618002</v>
      </c>
      <c r="C77">
        <v>3</v>
      </c>
      <c r="D77" t="s">
        <v>49</v>
      </c>
      <c r="E77">
        <v>4</v>
      </c>
      <c r="F77" t="s">
        <v>249</v>
      </c>
      <c r="G77" t="s">
        <v>875</v>
      </c>
      <c r="H77" t="s">
        <v>901</v>
      </c>
      <c r="I77" t="s">
        <v>212</v>
      </c>
      <c r="J77" t="s">
        <v>213</v>
      </c>
      <c r="K77" t="s">
        <v>149</v>
      </c>
      <c r="M77" t="s">
        <v>238</v>
      </c>
      <c r="N77" t="s">
        <v>903</v>
      </c>
      <c r="O77" s="57">
        <v>46296.586423611108</v>
      </c>
      <c r="P77" s="57">
        <v>46296.712627314817</v>
      </c>
      <c r="Q77">
        <v>69396047</v>
      </c>
      <c r="S77">
        <v>142203104994</v>
      </c>
      <c r="T77" t="s">
        <v>902</v>
      </c>
      <c r="U77" t="s">
        <v>1283</v>
      </c>
      <c r="V77" t="s">
        <v>1284</v>
      </c>
      <c r="Z77">
        <v>109.1015592</v>
      </c>
      <c r="AA77">
        <v>-6.8686486999999996</v>
      </c>
      <c r="AB77" t="s">
        <v>1285</v>
      </c>
      <c r="AC77" t="s">
        <v>225</v>
      </c>
      <c r="AL77" t="s">
        <v>217</v>
      </c>
      <c r="AM77" t="s">
        <v>1286</v>
      </c>
      <c r="AN77" t="s">
        <v>6</v>
      </c>
      <c r="AO77" s="57">
        <v>46032.590474537035</v>
      </c>
      <c r="AP77" s="57">
        <v>46298.333333333336</v>
      </c>
      <c r="AR77" t="s">
        <v>239</v>
      </c>
      <c r="AS77" t="s">
        <v>219</v>
      </c>
      <c r="AT77" t="s">
        <v>230</v>
      </c>
      <c r="AV77" t="s">
        <v>238</v>
      </c>
      <c r="AW77" t="s">
        <v>540</v>
      </c>
      <c r="AX77" t="s">
        <v>222</v>
      </c>
      <c r="BA77" s="57">
        <v>46298.333333333336</v>
      </c>
      <c r="BB77" t="s">
        <v>1286</v>
      </c>
      <c r="BF77" s="6" t="e">
        <f t="shared" si="3"/>
        <v>#NUM!</v>
      </c>
      <c r="BG77" t="e">
        <f t="shared" si="4"/>
        <v>#NUM!</v>
      </c>
      <c r="BH77" t="e">
        <f t="shared" si="5"/>
        <v>#NUM!</v>
      </c>
      <c r="BI77" t="e">
        <f>VLOOKUP(H77,Sheet2!$A$1:$B$270,2,FALSE)</f>
        <v>#N/A</v>
      </c>
    </row>
    <row r="78" spans="1:61" hidden="1">
      <c r="A78">
        <v>77</v>
      </c>
      <c r="B78">
        <v>1002617834</v>
      </c>
      <c r="C78">
        <v>3</v>
      </c>
      <c r="D78" t="s">
        <v>49</v>
      </c>
      <c r="E78">
        <v>4</v>
      </c>
      <c r="F78" t="s">
        <v>249</v>
      </c>
      <c r="G78" t="s">
        <v>875</v>
      </c>
      <c r="H78" t="s">
        <v>901</v>
      </c>
      <c r="I78" t="s">
        <v>212</v>
      </c>
      <c r="J78" t="s">
        <v>213</v>
      </c>
      <c r="K78" t="s">
        <v>149</v>
      </c>
      <c r="M78" t="s">
        <v>238</v>
      </c>
      <c r="N78" t="s">
        <v>903</v>
      </c>
      <c r="O78" s="57">
        <v>46296.557685185187</v>
      </c>
      <c r="P78" s="57">
        <v>46296.711134259262</v>
      </c>
      <c r="Q78">
        <v>69396047</v>
      </c>
      <c r="S78">
        <v>142203104993</v>
      </c>
      <c r="T78" t="s">
        <v>902</v>
      </c>
      <c r="U78" t="s">
        <v>904</v>
      </c>
      <c r="V78" t="s">
        <v>1287</v>
      </c>
      <c r="Z78">
        <v>109.1015592</v>
      </c>
      <c r="AA78">
        <v>-6.8686486999999996</v>
      </c>
      <c r="AB78" t="s">
        <v>1288</v>
      </c>
      <c r="AC78" t="s">
        <v>225</v>
      </c>
      <c r="AL78" t="s">
        <v>217</v>
      </c>
      <c r="AM78" t="s">
        <v>1286</v>
      </c>
      <c r="AN78" t="s">
        <v>6</v>
      </c>
      <c r="AO78" s="57">
        <v>46032.559305555558</v>
      </c>
      <c r="AP78" s="57">
        <v>46298.333333333336</v>
      </c>
      <c r="AR78" t="s">
        <v>239</v>
      </c>
      <c r="AS78" t="s">
        <v>219</v>
      </c>
      <c r="AT78" t="s">
        <v>230</v>
      </c>
      <c r="AV78" t="s">
        <v>238</v>
      </c>
      <c r="AW78" t="s">
        <v>540</v>
      </c>
      <c r="AX78" t="s">
        <v>222</v>
      </c>
      <c r="BA78" s="57">
        <v>46298.333333333336</v>
      </c>
      <c r="BB78" t="s">
        <v>1286</v>
      </c>
      <c r="BF78" s="6" t="e">
        <f t="shared" si="3"/>
        <v>#NUM!</v>
      </c>
      <c r="BG78" t="e">
        <f t="shared" si="4"/>
        <v>#NUM!</v>
      </c>
      <c r="BH78" t="e">
        <f t="shared" si="5"/>
        <v>#NUM!</v>
      </c>
      <c r="BI78" t="e">
        <f>VLOOKUP(H78,Sheet2!$A$1:$B$270,2,FALSE)</f>
        <v>#N/A</v>
      </c>
    </row>
    <row r="79" spans="1:61" hidden="1">
      <c r="A79">
        <v>78</v>
      </c>
      <c r="B79">
        <v>1002618011</v>
      </c>
      <c r="C79">
        <v>3</v>
      </c>
      <c r="D79" t="s">
        <v>49</v>
      </c>
      <c r="E79">
        <v>4</v>
      </c>
      <c r="F79" t="s">
        <v>249</v>
      </c>
      <c r="G79" t="s">
        <v>252</v>
      </c>
      <c r="H79" t="s">
        <v>795</v>
      </c>
      <c r="I79" t="s">
        <v>212</v>
      </c>
      <c r="J79" t="s">
        <v>213</v>
      </c>
      <c r="K79" t="s">
        <v>149</v>
      </c>
      <c r="L79" t="s">
        <v>214</v>
      </c>
      <c r="M79" t="s">
        <v>224</v>
      </c>
      <c r="N79" t="s">
        <v>215</v>
      </c>
      <c r="O79" s="57">
        <v>46296.586504629631</v>
      </c>
      <c r="P79" s="57">
        <v>46297.467604166668</v>
      </c>
      <c r="Q79">
        <v>69402401</v>
      </c>
      <c r="S79">
        <v>142206131448</v>
      </c>
      <c r="T79" t="s">
        <v>1289</v>
      </c>
      <c r="U79" t="s">
        <v>1290</v>
      </c>
      <c r="V79" t="s">
        <v>1291</v>
      </c>
      <c r="Z79">
        <v>109.150515</v>
      </c>
      <c r="AA79">
        <v>-7.1563602999999896</v>
      </c>
      <c r="AB79" t="s">
        <v>1292</v>
      </c>
      <c r="AC79" t="s">
        <v>235</v>
      </c>
      <c r="AL79" t="s">
        <v>217</v>
      </c>
      <c r="AM79" t="s">
        <v>1293</v>
      </c>
      <c r="AN79" t="s">
        <v>6</v>
      </c>
      <c r="AO79" s="57">
        <v>46032.590474537035</v>
      </c>
      <c r="AP79" s="57">
        <v>46297.458333333336</v>
      </c>
      <c r="AR79" t="s">
        <v>18</v>
      </c>
      <c r="AS79" t="s">
        <v>219</v>
      </c>
      <c r="AT79" t="s">
        <v>230</v>
      </c>
      <c r="AV79" t="s">
        <v>226</v>
      </c>
      <c r="AW79" t="s">
        <v>885</v>
      </c>
      <c r="AX79" t="s">
        <v>222</v>
      </c>
      <c r="BA79" s="57">
        <v>46297.458333333336</v>
      </c>
      <c r="BB79" t="s">
        <v>1293</v>
      </c>
      <c r="BF79" s="6" t="e">
        <f t="shared" si="3"/>
        <v>#NUM!</v>
      </c>
      <c r="BG79" t="e">
        <f t="shared" si="4"/>
        <v>#NUM!</v>
      </c>
      <c r="BH79" t="e">
        <f t="shared" si="5"/>
        <v>#NUM!</v>
      </c>
      <c r="BI79" t="e">
        <f>VLOOKUP(H79,Sheet2!$A$1:$B$270,2,FALSE)</f>
        <v>#N/A</v>
      </c>
    </row>
    <row r="80" spans="1:61" hidden="1">
      <c r="A80">
        <v>79</v>
      </c>
      <c r="B80">
        <v>1002617816</v>
      </c>
      <c r="C80">
        <v>3</v>
      </c>
      <c r="D80" t="s">
        <v>55</v>
      </c>
      <c r="E80">
        <v>5</v>
      </c>
      <c r="F80" t="s">
        <v>260</v>
      </c>
      <c r="G80" t="s">
        <v>122</v>
      </c>
      <c r="H80" t="s">
        <v>290</v>
      </c>
      <c r="I80" t="s">
        <v>212</v>
      </c>
      <c r="J80" t="s">
        <v>213</v>
      </c>
      <c r="K80" t="s">
        <v>149</v>
      </c>
      <c r="M80" t="s">
        <v>76</v>
      </c>
      <c r="N80" t="s">
        <v>215</v>
      </c>
      <c r="O80" s="57">
        <v>46296.552708333336</v>
      </c>
      <c r="P80" s="57">
        <v>46296.767199074071</v>
      </c>
      <c r="Q80">
        <v>69395522</v>
      </c>
      <c r="S80">
        <v>152446246558</v>
      </c>
      <c r="T80" t="s">
        <v>905</v>
      </c>
      <c r="U80" t="s">
        <v>1294</v>
      </c>
      <c r="V80" t="s">
        <v>1295</v>
      </c>
      <c r="Z80">
        <v>112.56014380000001</v>
      </c>
      <c r="AA80">
        <v>-7.2764436999999997</v>
      </c>
      <c r="AB80" t="s">
        <v>906</v>
      </c>
      <c r="AC80" t="s">
        <v>216</v>
      </c>
      <c r="AL80" t="s">
        <v>217</v>
      </c>
      <c r="AM80" t="s">
        <v>1296</v>
      </c>
      <c r="AN80" t="s">
        <v>6</v>
      </c>
      <c r="AO80" s="57">
        <v>46032.559305555558</v>
      </c>
      <c r="AR80" t="s">
        <v>218</v>
      </c>
      <c r="AS80" t="s">
        <v>829</v>
      </c>
      <c r="AT80" t="s">
        <v>230</v>
      </c>
      <c r="AU80">
        <v>20261001</v>
      </c>
      <c r="AV80" t="s">
        <v>221</v>
      </c>
      <c r="AW80" t="s">
        <v>577</v>
      </c>
      <c r="AX80" t="s">
        <v>222</v>
      </c>
      <c r="BA80" s="57">
        <v>46296.291666666664</v>
      </c>
      <c r="BB80" t="s">
        <v>1296</v>
      </c>
      <c r="BC80">
        <v>2026</v>
      </c>
      <c r="BD80">
        <v>10</v>
      </c>
      <c r="BE80">
        <v>1</v>
      </c>
      <c r="BF80" s="6">
        <f t="shared" si="3"/>
        <v>46296</v>
      </c>
      <c r="BG80">
        <f t="shared" si="4"/>
        <v>-0.29166666666424135</v>
      </c>
      <c r="BH80" t="str">
        <f t="shared" si="5"/>
        <v>COMPLY</v>
      </c>
      <c r="BI80" t="str">
        <f>VLOOKUP(H80,Sheet2!$A$1:$B$270,2,FALSE)</f>
        <v>GRESIK</v>
      </c>
    </row>
    <row r="81" spans="1:61" hidden="1">
      <c r="A81">
        <v>80</v>
      </c>
      <c r="B81">
        <v>1002617352</v>
      </c>
      <c r="C81">
        <v>3</v>
      </c>
      <c r="D81" t="s">
        <v>55</v>
      </c>
      <c r="E81">
        <v>5</v>
      </c>
      <c r="F81" t="s">
        <v>260</v>
      </c>
      <c r="G81" t="s">
        <v>122</v>
      </c>
      <c r="H81" t="s">
        <v>472</v>
      </c>
      <c r="I81" t="s">
        <v>212</v>
      </c>
      <c r="J81" t="s">
        <v>213</v>
      </c>
      <c r="K81" t="s">
        <v>149</v>
      </c>
      <c r="M81" t="s">
        <v>76</v>
      </c>
      <c r="N81" t="s">
        <v>215</v>
      </c>
      <c r="O81" s="57">
        <v>46296.44462962963</v>
      </c>
      <c r="P81" s="57">
        <v>46296.565462962964</v>
      </c>
      <c r="Q81">
        <v>69379599</v>
      </c>
      <c r="S81">
        <v>152453208697</v>
      </c>
      <c r="T81" t="s">
        <v>1297</v>
      </c>
      <c r="U81" t="s">
        <v>923</v>
      </c>
      <c r="V81" t="s">
        <v>1298</v>
      </c>
      <c r="Z81">
        <v>112.71185159683201</v>
      </c>
      <c r="AA81">
        <v>-5.83253487701701</v>
      </c>
      <c r="AB81" t="s">
        <v>1299</v>
      </c>
      <c r="AC81" t="s">
        <v>216</v>
      </c>
      <c r="AL81" t="s">
        <v>217</v>
      </c>
      <c r="AM81" t="s">
        <v>1300</v>
      </c>
      <c r="AN81" t="s">
        <v>6</v>
      </c>
      <c r="AO81" s="57">
        <v>46032.486342592594</v>
      </c>
      <c r="AR81" t="s">
        <v>218</v>
      </c>
      <c r="AS81" t="s">
        <v>122</v>
      </c>
      <c r="AT81" t="s">
        <v>230</v>
      </c>
      <c r="AU81">
        <v>20261001</v>
      </c>
      <c r="AV81" t="s">
        <v>221</v>
      </c>
      <c r="AW81" t="s">
        <v>541</v>
      </c>
      <c r="AX81" t="s">
        <v>222</v>
      </c>
      <c r="BA81" s="57">
        <v>46296.291666666664</v>
      </c>
      <c r="BB81" t="s">
        <v>1300</v>
      </c>
      <c r="BC81">
        <v>2026</v>
      </c>
      <c r="BD81">
        <v>10</v>
      </c>
      <c r="BE81">
        <v>1</v>
      </c>
      <c r="BF81" s="6">
        <f t="shared" si="3"/>
        <v>46296</v>
      </c>
      <c r="BG81">
        <f t="shared" si="4"/>
        <v>-0.29166666666424135</v>
      </c>
      <c r="BH81" t="str">
        <f t="shared" si="5"/>
        <v>COMPLY</v>
      </c>
      <c r="BI81" t="str">
        <f>VLOOKUP(H81,Sheet2!$A$1:$B$270,2,FALSE)</f>
        <v>GRESIK</v>
      </c>
    </row>
    <row r="82" spans="1:61" hidden="1">
      <c r="A82">
        <v>81</v>
      </c>
      <c r="B82">
        <v>1002618083</v>
      </c>
      <c r="C82">
        <v>3</v>
      </c>
      <c r="D82" t="s">
        <v>55</v>
      </c>
      <c r="E82">
        <v>5</v>
      </c>
      <c r="F82" t="s">
        <v>260</v>
      </c>
      <c r="G82" t="s">
        <v>125</v>
      </c>
      <c r="H82" t="s">
        <v>323</v>
      </c>
      <c r="I82" t="s">
        <v>212</v>
      </c>
      <c r="J82" t="s">
        <v>213</v>
      </c>
      <c r="K82" t="s">
        <v>149</v>
      </c>
      <c r="M82" t="s">
        <v>238</v>
      </c>
      <c r="N82" t="s">
        <v>215</v>
      </c>
      <c r="O82" s="57">
        <v>46296.599189814813</v>
      </c>
      <c r="P82" s="57">
        <v>46296.680636574078</v>
      </c>
      <c r="Q82">
        <v>69402452</v>
      </c>
      <c r="S82">
        <v>152441211669</v>
      </c>
      <c r="T82" t="s">
        <v>1301</v>
      </c>
      <c r="U82" t="s">
        <v>1302</v>
      </c>
      <c r="V82" t="s">
        <v>1303</v>
      </c>
      <c r="Z82">
        <v>112.2702089</v>
      </c>
      <c r="AA82">
        <v>-7.3003412000000001</v>
      </c>
      <c r="AB82" t="s">
        <v>1304</v>
      </c>
      <c r="AC82" t="s">
        <v>229</v>
      </c>
      <c r="AL82" t="s">
        <v>217</v>
      </c>
      <c r="AM82" t="s">
        <v>1305</v>
      </c>
      <c r="AN82" t="s">
        <v>6</v>
      </c>
      <c r="AO82" s="57">
        <v>46032.611296296294</v>
      </c>
      <c r="AP82" s="57">
        <v>46297.625</v>
      </c>
      <c r="AR82" t="s">
        <v>239</v>
      </c>
      <c r="AS82" t="s">
        <v>219</v>
      </c>
      <c r="AT82" t="s">
        <v>230</v>
      </c>
      <c r="AV82" t="s">
        <v>238</v>
      </c>
      <c r="AW82" t="s">
        <v>541</v>
      </c>
      <c r="AX82" t="s">
        <v>222</v>
      </c>
      <c r="BA82" s="57">
        <v>46297.625</v>
      </c>
      <c r="BB82" t="s">
        <v>1305</v>
      </c>
      <c r="BF82" s="6" t="e">
        <f t="shared" si="3"/>
        <v>#NUM!</v>
      </c>
      <c r="BG82" t="e">
        <f t="shared" si="4"/>
        <v>#NUM!</v>
      </c>
      <c r="BH82" t="e">
        <f t="shared" si="5"/>
        <v>#NUM!</v>
      </c>
      <c r="BI82" t="str">
        <f>VLOOKUP(H82,Sheet2!$A$1:$B$270,2,FALSE)</f>
        <v>GRESIK</v>
      </c>
    </row>
    <row r="83" spans="1:61" hidden="1">
      <c r="A83">
        <v>82</v>
      </c>
      <c r="B83">
        <v>1002617657</v>
      </c>
      <c r="C83">
        <v>3</v>
      </c>
      <c r="D83" t="s">
        <v>55</v>
      </c>
      <c r="E83">
        <v>5</v>
      </c>
      <c r="F83" t="s">
        <v>260</v>
      </c>
      <c r="G83" t="s">
        <v>125</v>
      </c>
      <c r="H83" t="s">
        <v>405</v>
      </c>
      <c r="I83" t="s">
        <v>212</v>
      </c>
      <c r="J83" t="s">
        <v>213</v>
      </c>
      <c r="K83" t="s">
        <v>149</v>
      </c>
      <c r="L83" t="s">
        <v>214</v>
      </c>
      <c r="M83" t="s">
        <v>841</v>
      </c>
      <c r="N83" t="s">
        <v>215</v>
      </c>
      <c r="O83" s="57">
        <v>46296.491365740738</v>
      </c>
      <c r="P83" s="57">
        <v>46297.509652777779</v>
      </c>
      <c r="Q83">
        <v>69402283</v>
      </c>
      <c r="S83">
        <v>152448204121</v>
      </c>
      <c r="T83" t="s">
        <v>1306</v>
      </c>
      <c r="U83" t="s">
        <v>1307</v>
      </c>
      <c r="V83" t="s">
        <v>1308</v>
      </c>
      <c r="Z83">
        <v>112.357741</v>
      </c>
      <c r="AA83">
        <v>-6.8665966999999997</v>
      </c>
      <c r="AB83" t="s">
        <v>1309</v>
      </c>
      <c r="AC83" t="s">
        <v>235</v>
      </c>
      <c r="AL83" t="s">
        <v>217</v>
      </c>
      <c r="AM83" t="s">
        <v>1310</v>
      </c>
      <c r="AN83" t="s">
        <v>6</v>
      </c>
      <c r="AO83" s="57">
        <v>46032.517557870371</v>
      </c>
      <c r="AP83" s="57">
        <v>46297.416666666664</v>
      </c>
      <c r="AQ83" t="s">
        <v>840</v>
      </c>
      <c r="AR83" t="s">
        <v>842</v>
      </c>
      <c r="AS83" t="s">
        <v>219</v>
      </c>
      <c r="AT83" t="s">
        <v>230</v>
      </c>
      <c r="AV83" t="s">
        <v>1311</v>
      </c>
      <c r="AW83" t="s">
        <v>892</v>
      </c>
      <c r="AX83" t="s">
        <v>222</v>
      </c>
      <c r="BA83" s="57">
        <v>46297.416666666664</v>
      </c>
      <c r="BB83" t="s">
        <v>1310</v>
      </c>
      <c r="BF83" s="6" t="e">
        <f t="shared" si="3"/>
        <v>#NUM!</v>
      </c>
      <c r="BG83" t="e">
        <f t="shared" si="4"/>
        <v>#NUM!</v>
      </c>
      <c r="BH83" t="e">
        <f t="shared" si="5"/>
        <v>#NUM!</v>
      </c>
      <c r="BI83" t="str">
        <f>VLOOKUP(H83,Sheet2!$A$1:$B$270,2,FALSE)</f>
        <v>GRESIK</v>
      </c>
    </row>
    <row r="84" spans="1:61" hidden="1">
      <c r="A84">
        <v>83</v>
      </c>
      <c r="B84">
        <v>1002616866</v>
      </c>
      <c r="C84">
        <v>3</v>
      </c>
      <c r="D84" t="s">
        <v>38</v>
      </c>
      <c r="E84">
        <v>5</v>
      </c>
      <c r="F84" t="s">
        <v>92</v>
      </c>
      <c r="G84" t="s">
        <v>89</v>
      </c>
      <c r="H84" t="s">
        <v>358</v>
      </c>
      <c r="I84" t="s">
        <v>212</v>
      </c>
      <c r="J84" t="s">
        <v>213</v>
      </c>
      <c r="K84" t="s">
        <v>149</v>
      </c>
      <c r="M84" t="s">
        <v>76</v>
      </c>
      <c r="N84" t="s">
        <v>215</v>
      </c>
      <c r="O84" s="57">
        <v>46296.348449074074</v>
      </c>
      <c r="P84" s="57">
        <v>46296.564571759256</v>
      </c>
      <c r="Q84">
        <v>69389383</v>
      </c>
      <c r="S84">
        <v>152644205147</v>
      </c>
      <c r="T84" t="s">
        <v>894</v>
      </c>
      <c r="U84" t="s">
        <v>936</v>
      </c>
      <c r="V84" t="s">
        <v>1312</v>
      </c>
      <c r="Z84">
        <v>111.616111</v>
      </c>
      <c r="AA84">
        <v>-7.268052</v>
      </c>
      <c r="AB84" t="s">
        <v>895</v>
      </c>
      <c r="AC84" t="s">
        <v>229</v>
      </c>
      <c r="AL84" t="s">
        <v>217</v>
      </c>
      <c r="AM84" t="s">
        <v>946</v>
      </c>
      <c r="AN84" t="s">
        <v>6</v>
      </c>
      <c r="AO84" s="57">
        <v>46032.351168981484</v>
      </c>
      <c r="AR84" t="s">
        <v>218</v>
      </c>
      <c r="AS84" t="s">
        <v>824</v>
      </c>
      <c r="AT84" t="s">
        <v>230</v>
      </c>
      <c r="AU84">
        <v>20261001</v>
      </c>
      <c r="AV84" t="s">
        <v>221</v>
      </c>
      <c r="AW84" t="s">
        <v>559</v>
      </c>
      <c r="AX84" t="s">
        <v>222</v>
      </c>
      <c r="BA84" s="57">
        <v>46296.291666666664</v>
      </c>
      <c r="BB84" t="s">
        <v>946</v>
      </c>
      <c r="BC84">
        <v>2026</v>
      </c>
      <c r="BD84">
        <v>10</v>
      </c>
      <c r="BE84">
        <v>1</v>
      </c>
      <c r="BF84" s="6">
        <f t="shared" si="3"/>
        <v>46296</v>
      </c>
      <c r="BG84">
        <f t="shared" si="4"/>
        <v>-0.29166666666424135</v>
      </c>
      <c r="BH84" t="str">
        <f t="shared" si="5"/>
        <v>COMPLY</v>
      </c>
      <c r="BI84" t="str">
        <f>VLOOKUP(H84,Sheet2!$A$1:$B$270,2,FALSE)</f>
        <v>BOJONEGORO</v>
      </c>
    </row>
    <row r="85" spans="1:61" hidden="1">
      <c r="A85">
        <v>84</v>
      </c>
      <c r="B85">
        <v>1002617935</v>
      </c>
      <c r="C85">
        <v>3</v>
      </c>
      <c r="D85" t="s">
        <v>38</v>
      </c>
      <c r="E85">
        <v>5</v>
      </c>
      <c r="F85" t="s">
        <v>92</v>
      </c>
      <c r="G85" t="s">
        <v>89</v>
      </c>
      <c r="H85" t="s">
        <v>395</v>
      </c>
      <c r="I85" t="s">
        <v>212</v>
      </c>
      <c r="J85" t="s">
        <v>213</v>
      </c>
      <c r="K85" t="s">
        <v>149</v>
      </c>
      <c r="L85" t="s">
        <v>214</v>
      </c>
      <c r="M85" t="s">
        <v>238</v>
      </c>
      <c r="N85" t="s">
        <v>215</v>
      </c>
      <c r="O85" s="57">
        <v>46296.57471064815</v>
      </c>
      <c r="P85" s="57">
        <v>46296.57640046296</v>
      </c>
      <c r="Q85">
        <v>69402382</v>
      </c>
      <c r="S85">
        <v>152642208838</v>
      </c>
      <c r="T85" t="s">
        <v>1313</v>
      </c>
      <c r="U85" t="s">
        <v>1314</v>
      </c>
      <c r="V85" t="s">
        <v>1315</v>
      </c>
      <c r="Z85">
        <v>112.04554980971299</v>
      </c>
      <c r="AA85">
        <v>-7.3014816862188603</v>
      </c>
      <c r="AB85" t="s">
        <v>1316</v>
      </c>
      <c r="AC85" t="s">
        <v>235</v>
      </c>
      <c r="AL85" t="s">
        <v>217</v>
      </c>
      <c r="AM85" t="s">
        <v>992</v>
      </c>
      <c r="AN85" t="s">
        <v>6</v>
      </c>
      <c r="AO85" s="57">
        <v>46032.579872685186</v>
      </c>
      <c r="AP85" s="57">
        <v>46297.625</v>
      </c>
      <c r="AR85" t="s">
        <v>239</v>
      </c>
      <c r="AS85" t="s">
        <v>824</v>
      </c>
      <c r="AT85" t="s">
        <v>220</v>
      </c>
      <c r="AV85" t="s">
        <v>238</v>
      </c>
      <c r="AW85" t="s">
        <v>1317</v>
      </c>
      <c r="AX85" t="s">
        <v>222</v>
      </c>
      <c r="BA85" s="57">
        <v>46297.625</v>
      </c>
      <c r="BB85" t="s">
        <v>992</v>
      </c>
      <c r="BF85" s="6" t="e">
        <f t="shared" si="3"/>
        <v>#NUM!</v>
      </c>
      <c r="BG85" t="e">
        <f t="shared" si="4"/>
        <v>#NUM!</v>
      </c>
      <c r="BH85" t="e">
        <f t="shared" si="5"/>
        <v>#NUM!</v>
      </c>
      <c r="BI85" t="str">
        <f>VLOOKUP(H85,Sheet2!$A$1:$B$270,2,FALSE)</f>
        <v>BOJONEGORO</v>
      </c>
    </row>
    <row r="86" spans="1:61" hidden="1">
      <c r="A86">
        <v>85</v>
      </c>
      <c r="B86">
        <v>1002618689</v>
      </c>
      <c r="C86">
        <v>3</v>
      </c>
      <c r="D86" t="s">
        <v>38</v>
      </c>
      <c r="E86">
        <v>5</v>
      </c>
      <c r="F86" t="s">
        <v>92</v>
      </c>
      <c r="G86" t="s">
        <v>89</v>
      </c>
      <c r="H86" t="s">
        <v>395</v>
      </c>
      <c r="I86" t="s">
        <v>212</v>
      </c>
      <c r="J86" t="s">
        <v>213</v>
      </c>
      <c r="K86" t="s">
        <v>149</v>
      </c>
      <c r="L86" t="s">
        <v>214</v>
      </c>
      <c r="M86" t="s">
        <v>238</v>
      </c>
      <c r="N86" t="s">
        <v>215</v>
      </c>
      <c r="O86" s="57">
        <v>46296.712199074071</v>
      </c>
      <c r="P86" s="57">
        <v>46296.713900462964</v>
      </c>
      <c r="Q86">
        <v>69402583</v>
      </c>
      <c r="S86">
        <v>152642208839</v>
      </c>
      <c r="T86" t="s">
        <v>1313</v>
      </c>
      <c r="U86" t="s">
        <v>1314</v>
      </c>
      <c r="V86" t="s">
        <v>1318</v>
      </c>
      <c r="Z86">
        <v>112.045515559278</v>
      </c>
      <c r="AA86">
        <v>-7.3014879263283801</v>
      </c>
      <c r="AB86" t="s">
        <v>1319</v>
      </c>
      <c r="AC86" t="s">
        <v>235</v>
      </c>
      <c r="AL86" t="s">
        <v>217</v>
      </c>
      <c r="AM86" t="s">
        <v>1320</v>
      </c>
      <c r="AN86" t="s">
        <v>6</v>
      </c>
      <c r="AO86" s="57">
        <v>46032.726099537038</v>
      </c>
      <c r="AP86" s="57">
        <v>46297.625</v>
      </c>
      <c r="AR86" t="s">
        <v>239</v>
      </c>
      <c r="AS86" t="s">
        <v>824</v>
      </c>
      <c r="AT86" t="s">
        <v>220</v>
      </c>
      <c r="AV86" t="s">
        <v>238</v>
      </c>
      <c r="AW86" t="s">
        <v>1317</v>
      </c>
      <c r="AX86" t="s">
        <v>222</v>
      </c>
      <c r="BA86" s="57">
        <v>46297.625</v>
      </c>
      <c r="BB86" t="s">
        <v>1320</v>
      </c>
      <c r="BF86" s="6" t="e">
        <f t="shared" si="3"/>
        <v>#NUM!</v>
      </c>
      <c r="BG86" t="e">
        <f t="shared" si="4"/>
        <v>#NUM!</v>
      </c>
      <c r="BH86" t="e">
        <f t="shared" si="5"/>
        <v>#NUM!</v>
      </c>
      <c r="BI86" t="str">
        <f>VLOOKUP(H86,Sheet2!$A$1:$B$270,2,FALSE)</f>
        <v>BOJONEGORO</v>
      </c>
    </row>
    <row r="87" spans="1:61" hidden="1">
      <c r="A87">
        <v>86</v>
      </c>
      <c r="B87">
        <v>1002618507</v>
      </c>
      <c r="C87">
        <v>3</v>
      </c>
      <c r="D87" t="s">
        <v>38</v>
      </c>
      <c r="E87">
        <v>5</v>
      </c>
      <c r="F87" t="s">
        <v>92</v>
      </c>
      <c r="G87" t="s">
        <v>97</v>
      </c>
      <c r="H87" t="s">
        <v>340</v>
      </c>
      <c r="I87" t="s">
        <v>212</v>
      </c>
      <c r="J87" t="s">
        <v>213</v>
      </c>
      <c r="K87" t="s">
        <v>149</v>
      </c>
      <c r="L87" t="s">
        <v>214</v>
      </c>
      <c r="M87" t="s">
        <v>238</v>
      </c>
      <c r="N87" t="s">
        <v>215</v>
      </c>
      <c r="O87" s="57">
        <v>46296.671979166669</v>
      </c>
      <c r="P87" s="57">
        <v>46296.673622685186</v>
      </c>
      <c r="Q87">
        <v>69402589</v>
      </c>
      <c r="S87">
        <v>152648207777</v>
      </c>
      <c r="T87" t="s">
        <v>1321</v>
      </c>
      <c r="U87" t="s">
        <v>1322</v>
      </c>
      <c r="V87" t="s">
        <v>1323</v>
      </c>
      <c r="Z87">
        <v>111.68781199999999</v>
      </c>
      <c r="AA87">
        <v>-6.7522900000000003</v>
      </c>
      <c r="AB87" t="s">
        <v>1324</v>
      </c>
      <c r="AC87" t="s">
        <v>235</v>
      </c>
      <c r="AL87" t="s">
        <v>217</v>
      </c>
      <c r="AM87" t="s">
        <v>992</v>
      </c>
      <c r="AN87" t="s">
        <v>6</v>
      </c>
      <c r="AO87" s="57">
        <v>46032.694421296299</v>
      </c>
      <c r="AP87" s="57">
        <v>46297.625</v>
      </c>
      <c r="AR87" t="s">
        <v>239</v>
      </c>
      <c r="AS87" t="s">
        <v>849</v>
      </c>
      <c r="AT87" t="s">
        <v>230</v>
      </c>
      <c r="AV87" t="s">
        <v>238</v>
      </c>
      <c r="AW87" t="s">
        <v>933</v>
      </c>
      <c r="AX87" t="s">
        <v>222</v>
      </c>
      <c r="BA87" s="57">
        <v>46297.625</v>
      </c>
      <c r="BB87" t="s">
        <v>992</v>
      </c>
      <c r="BF87" s="6" t="e">
        <f t="shared" si="3"/>
        <v>#NUM!</v>
      </c>
      <c r="BG87" t="e">
        <f t="shared" si="4"/>
        <v>#NUM!</v>
      </c>
      <c r="BH87" t="e">
        <f t="shared" si="5"/>
        <v>#NUM!</v>
      </c>
      <c r="BI87" t="str">
        <f>VLOOKUP(H87,Sheet2!$A$1:$B$270,2,FALSE)</f>
        <v>BOJONEGORO</v>
      </c>
    </row>
    <row r="88" spans="1:61" hidden="1">
      <c r="A88">
        <v>87</v>
      </c>
      <c r="B88">
        <v>1002617098</v>
      </c>
      <c r="C88">
        <v>3</v>
      </c>
      <c r="D88" t="s">
        <v>38</v>
      </c>
      <c r="E88">
        <v>5</v>
      </c>
      <c r="F88" t="s">
        <v>92</v>
      </c>
      <c r="G88" t="s">
        <v>97</v>
      </c>
      <c r="H88" t="s">
        <v>388</v>
      </c>
      <c r="I88" t="s">
        <v>212</v>
      </c>
      <c r="J88" t="s">
        <v>213</v>
      </c>
      <c r="K88" t="s">
        <v>149</v>
      </c>
      <c r="L88" t="s">
        <v>214</v>
      </c>
      <c r="M88" t="s">
        <v>898</v>
      </c>
      <c r="N88" t="s">
        <v>215</v>
      </c>
      <c r="O88" s="57">
        <v>46296.397013888891</v>
      </c>
      <c r="P88" s="57">
        <v>46297.343599537038</v>
      </c>
      <c r="Q88">
        <v>69402092</v>
      </c>
      <c r="S88">
        <v>152645203155</v>
      </c>
      <c r="T88" t="s">
        <v>1325</v>
      </c>
      <c r="U88" t="s">
        <v>1326</v>
      </c>
      <c r="V88" t="s">
        <v>1327</v>
      </c>
      <c r="Z88">
        <v>111.79942200000001</v>
      </c>
      <c r="AA88">
        <v>-7.0242979999999999</v>
      </c>
      <c r="AB88" t="s">
        <v>1328</v>
      </c>
      <c r="AC88" t="s">
        <v>235</v>
      </c>
      <c r="AL88" t="s">
        <v>217</v>
      </c>
      <c r="AM88" t="s">
        <v>1329</v>
      </c>
      <c r="AN88" t="s">
        <v>6</v>
      </c>
      <c r="AO88" s="57">
        <v>46032.413738425923</v>
      </c>
      <c r="AP88" s="57">
        <v>46297.333333333336</v>
      </c>
      <c r="AR88" t="s">
        <v>889</v>
      </c>
      <c r="AS88" t="s">
        <v>849</v>
      </c>
      <c r="AT88" t="s">
        <v>230</v>
      </c>
      <c r="AV88" t="s">
        <v>899</v>
      </c>
      <c r="AW88" t="s">
        <v>887</v>
      </c>
      <c r="AX88" t="s">
        <v>222</v>
      </c>
      <c r="BA88" s="57">
        <v>46297.333333333336</v>
      </c>
      <c r="BB88" t="s">
        <v>1329</v>
      </c>
      <c r="BF88" s="6" t="e">
        <f t="shared" si="3"/>
        <v>#NUM!</v>
      </c>
      <c r="BG88" t="e">
        <f t="shared" si="4"/>
        <v>#NUM!</v>
      </c>
      <c r="BH88" t="e">
        <f t="shared" si="5"/>
        <v>#NUM!</v>
      </c>
      <c r="BI88" t="str">
        <f>VLOOKUP(H88,Sheet2!$A$1:$B$270,2,FALSE)</f>
        <v>BOJONEGORO</v>
      </c>
    </row>
    <row r="89" spans="1:61" hidden="1">
      <c r="A89">
        <v>88</v>
      </c>
      <c r="B89">
        <v>1002616902</v>
      </c>
      <c r="C89">
        <v>3</v>
      </c>
      <c r="D89" t="s">
        <v>38</v>
      </c>
      <c r="E89">
        <v>5</v>
      </c>
      <c r="F89" t="s">
        <v>92</v>
      </c>
      <c r="G89" t="s">
        <v>97</v>
      </c>
      <c r="H89" t="s">
        <v>461</v>
      </c>
      <c r="I89" t="s">
        <v>212</v>
      </c>
      <c r="J89" t="s">
        <v>213</v>
      </c>
      <c r="K89" t="s">
        <v>149</v>
      </c>
      <c r="M89" t="s">
        <v>76</v>
      </c>
      <c r="N89" t="s">
        <v>215</v>
      </c>
      <c r="O89" s="57">
        <v>46296.358287037037</v>
      </c>
      <c r="P89" s="57">
        <v>46297.448020833333</v>
      </c>
      <c r="Q89">
        <v>69402022</v>
      </c>
      <c r="S89">
        <v>152646206273</v>
      </c>
      <c r="T89" t="s">
        <v>1330</v>
      </c>
      <c r="U89" t="s">
        <v>1331</v>
      </c>
      <c r="V89" t="s">
        <v>1332</v>
      </c>
      <c r="Z89">
        <v>111.96432128548599</v>
      </c>
      <c r="AA89">
        <v>-7.0930767066443199</v>
      </c>
      <c r="AB89" t="s">
        <v>1333</v>
      </c>
      <c r="AC89" t="s">
        <v>284</v>
      </c>
      <c r="AL89" t="s">
        <v>217</v>
      </c>
      <c r="AM89" t="s">
        <v>1334</v>
      </c>
      <c r="AN89" t="s">
        <v>6</v>
      </c>
      <c r="AO89" s="57">
        <v>46032.392847222225</v>
      </c>
      <c r="AP89" s="57">
        <v>46297.333333333336</v>
      </c>
      <c r="AR89" t="s">
        <v>218</v>
      </c>
      <c r="AS89" t="s">
        <v>849</v>
      </c>
      <c r="AT89" t="s">
        <v>230</v>
      </c>
      <c r="AU89">
        <v>20261002</v>
      </c>
      <c r="AV89" t="s">
        <v>221</v>
      </c>
      <c r="AW89" t="s">
        <v>540</v>
      </c>
      <c r="AX89" t="s">
        <v>222</v>
      </c>
      <c r="BA89" s="57">
        <v>46297.333333333336</v>
      </c>
      <c r="BB89" t="s">
        <v>1334</v>
      </c>
      <c r="BC89">
        <v>2026</v>
      </c>
      <c r="BD89">
        <v>10</v>
      </c>
      <c r="BE89">
        <v>2</v>
      </c>
      <c r="BF89" s="6">
        <f t="shared" si="3"/>
        <v>46297</v>
      </c>
      <c r="BG89">
        <f t="shared" si="4"/>
        <v>-0.33333333333575865</v>
      </c>
      <c r="BH89" t="str">
        <f t="shared" si="5"/>
        <v>COMPLY</v>
      </c>
      <c r="BI89" t="str">
        <f>VLOOKUP(H89,Sheet2!$A$1:$B$270,2,FALSE)</f>
        <v>BOJONEGORO</v>
      </c>
    </row>
    <row r="90" spans="1:61" hidden="1">
      <c r="A90">
        <v>89</v>
      </c>
      <c r="B90">
        <v>1002617187</v>
      </c>
      <c r="C90">
        <v>3</v>
      </c>
      <c r="D90" t="s">
        <v>45</v>
      </c>
      <c r="E90">
        <v>5</v>
      </c>
      <c r="F90" t="s">
        <v>113</v>
      </c>
      <c r="G90" t="s">
        <v>109</v>
      </c>
      <c r="H90" t="s">
        <v>300</v>
      </c>
      <c r="I90" t="s">
        <v>212</v>
      </c>
      <c r="J90" t="s">
        <v>213</v>
      </c>
      <c r="K90" t="s">
        <v>149</v>
      </c>
      <c r="L90" t="s">
        <v>214</v>
      </c>
      <c r="M90" t="s">
        <v>255</v>
      </c>
      <c r="N90" t="s">
        <v>215</v>
      </c>
      <c r="O90" s="57">
        <v>46296.410127314812</v>
      </c>
      <c r="P90" s="57">
        <v>46297.517395833333</v>
      </c>
      <c r="Q90">
        <v>69402104</v>
      </c>
      <c r="S90">
        <v>172521216812</v>
      </c>
      <c r="T90" t="s">
        <v>1335</v>
      </c>
      <c r="U90" t="s">
        <v>1336</v>
      </c>
      <c r="V90" t="s">
        <v>1337</v>
      </c>
      <c r="Z90">
        <v>124.890847764909</v>
      </c>
      <c r="AA90">
        <v>-9.0988937736841393</v>
      </c>
      <c r="AB90" t="s">
        <v>1338</v>
      </c>
      <c r="AC90" t="s">
        <v>216</v>
      </c>
      <c r="AL90" t="s">
        <v>217</v>
      </c>
      <c r="AM90" t="s">
        <v>1339</v>
      </c>
      <c r="AN90" t="s">
        <v>6</v>
      </c>
      <c r="AO90" s="57">
        <v>46032.413738425923</v>
      </c>
      <c r="AP90" s="57">
        <v>46298.625</v>
      </c>
      <c r="AR90" t="s">
        <v>256</v>
      </c>
      <c r="AS90" t="s">
        <v>219</v>
      </c>
      <c r="AT90" t="s">
        <v>230</v>
      </c>
      <c r="AV90" t="s">
        <v>257</v>
      </c>
      <c r="AW90" t="s">
        <v>890</v>
      </c>
      <c r="AX90" t="s">
        <v>222</v>
      </c>
      <c r="BA90" s="57">
        <v>46298.625</v>
      </c>
      <c r="BB90" t="s">
        <v>1339</v>
      </c>
      <c r="BF90" s="6" t="e">
        <f t="shared" si="3"/>
        <v>#NUM!</v>
      </c>
      <c r="BG90" t="e">
        <f t="shared" si="4"/>
        <v>#NUM!</v>
      </c>
      <c r="BH90" t="e">
        <f t="shared" si="5"/>
        <v>#NUM!</v>
      </c>
      <c r="BI90" t="str">
        <f>VLOOKUP(H90,Sheet2!$A$1:$B$270,2,FALSE)</f>
        <v>ATAMBUA</v>
      </c>
    </row>
    <row r="91" spans="1:61" hidden="1">
      <c r="A91">
        <v>90</v>
      </c>
      <c r="B91">
        <v>1002617177</v>
      </c>
      <c r="C91">
        <v>3</v>
      </c>
      <c r="D91" t="s">
        <v>45</v>
      </c>
      <c r="E91">
        <v>5</v>
      </c>
      <c r="F91" t="s">
        <v>113</v>
      </c>
      <c r="G91" t="s">
        <v>113</v>
      </c>
      <c r="H91" t="s">
        <v>315</v>
      </c>
      <c r="I91" t="s">
        <v>212</v>
      </c>
      <c r="J91" t="s">
        <v>213</v>
      </c>
      <c r="K91" t="s">
        <v>149</v>
      </c>
      <c r="M91" t="s">
        <v>898</v>
      </c>
      <c r="N91" t="s">
        <v>903</v>
      </c>
      <c r="O91" s="57">
        <v>46296.409583333334</v>
      </c>
      <c r="P91" s="57">
        <v>46297.467106481483</v>
      </c>
      <c r="Q91">
        <v>69402110</v>
      </c>
      <c r="S91">
        <v>172503813931</v>
      </c>
      <c r="T91" t="s">
        <v>1340</v>
      </c>
      <c r="U91" t="s">
        <v>1341</v>
      </c>
      <c r="V91" t="s">
        <v>1342</v>
      </c>
      <c r="Z91">
        <v>123.6427059</v>
      </c>
      <c r="AA91">
        <v>-10.156912699999999</v>
      </c>
      <c r="AB91" t="s">
        <v>1343</v>
      </c>
      <c r="AC91" t="s">
        <v>283</v>
      </c>
      <c r="AL91" t="s">
        <v>217</v>
      </c>
      <c r="AM91" t="s">
        <v>1344</v>
      </c>
      <c r="AN91" t="s">
        <v>6</v>
      </c>
      <c r="AO91" s="57">
        <v>46032.413738425923</v>
      </c>
      <c r="AP91" s="57">
        <v>46297.458333333336</v>
      </c>
      <c r="AR91" t="s">
        <v>889</v>
      </c>
      <c r="AS91" t="s">
        <v>113</v>
      </c>
      <c r="AT91" t="s">
        <v>230</v>
      </c>
      <c r="AV91" t="s">
        <v>899</v>
      </c>
      <c r="AW91" t="s">
        <v>540</v>
      </c>
      <c r="AX91" t="s">
        <v>222</v>
      </c>
      <c r="BA91" s="57">
        <v>46297.458333333336</v>
      </c>
      <c r="BB91" t="s">
        <v>1344</v>
      </c>
      <c r="BF91" s="6" t="e">
        <f t="shared" si="3"/>
        <v>#NUM!</v>
      </c>
      <c r="BG91" t="e">
        <f t="shared" si="4"/>
        <v>#NUM!</v>
      </c>
      <c r="BH91" t="e">
        <f t="shared" si="5"/>
        <v>#NUM!</v>
      </c>
      <c r="BI91" t="str">
        <f>VLOOKUP(H91,Sheet2!$A$1:$B$270,2,FALSE)</f>
        <v>KUPANG</v>
      </c>
    </row>
    <row r="92" spans="1:61" hidden="1">
      <c r="A92">
        <v>91</v>
      </c>
      <c r="B92">
        <v>1002617257</v>
      </c>
      <c r="C92">
        <v>3</v>
      </c>
      <c r="D92" t="s">
        <v>45</v>
      </c>
      <c r="E92">
        <v>5</v>
      </c>
      <c r="F92" t="s">
        <v>113</v>
      </c>
      <c r="G92" t="s">
        <v>113</v>
      </c>
      <c r="H92" t="s">
        <v>315</v>
      </c>
      <c r="I92" t="s">
        <v>212</v>
      </c>
      <c r="J92" t="s">
        <v>213</v>
      </c>
      <c r="K92" t="s">
        <v>149</v>
      </c>
      <c r="L92" t="s">
        <v>214</v>
      </c>
      <c r="M92" t="s">
        <v>542</v>
      </c>
      <c r="N92" t="s">
        <v>215</v>
      </c>
      <c r="O92" s="57">
        <v>46296.422013888892</v>
      </c>
      <c r="P92" s="57">
        <v>46296.422025462962</v>
      </c>
      <c r="Q92">
        <v>69397425</v>
      </c>
      <c r="T92" t="s">
        <v>911</v>
      </c>
      <c r="V92" t="s">
        <v>912</v>
      </c>
      <c r="Z92">
        <v>123.67400000000001</v>
      </c>
      <c r="AA92">
        <v>-10.186500000000001</v>
      </c>
      <c r="AB92" t="s">
        <v>913</v>
      </c>
      <c r="AC92" t="s">
        <v>216</v>
      </c>
      <c r="AL92" t="s">
        <v>217</v>
      </c>
      <c r="AM92" t="s">
        <v>910</v>
      </c>
      <c r="AN92" t="s">
        <v>6</v>
      </c>
      <c r="AO92" s="57">
        <v>46032.434247685182</v>
      </c>
      <c r="AP92" s="57">
        <v>46290</v>
      </c>
      <c r="AR92" t="s">
        <v>543</v>
      </c>
      <c r="AS92" t="s">
        <v>113</v>
      </c>
      <c r="AT92" t="s">
        <v>230</v>
      </c>
      <c r="AV92" t="s">
        <v>1345</v>
      </c>
      <c r="AW92" t="s">
        <v>888</v>
      </c>
      <c r="AX92" t="s">
        <v>222</v>
      </c>
      <c r="BA92" s="57">
        <v>46290.333333333336</v>
      </c>
      <c r="BB92" t="s">
        <v>910</v>
      </c>
      <c r="BF92" s="6" t="e">
        <f t="shared" si="3"/>
        <v>#NUM!</v>
      </c>
      <c r="BG92" t="e">
        <f t="shared" si="4"/>
        <v>#NUM!</v>
      </c>
      <c r="BH92" t="e">
        <f t="shared" si="5"/>
        <v>#NUM!</v>
      </c>
      <c r="BI92" t="str">
        <f>VLOOKUP(H92,Sheet2!$A$1:$B$270,2,FALSE)</f>
        <v>KUPANG</v>
      </c>
    </row>
    <row r="93" spans="1:61" hidden="1">
      <c r="A93">
        <v>92</v>
      </c>
      <c r="B93">
        <v>1002617806</v>
      </c>
      <c r="C93">
        <v>3</v>
      </c>
      <c r="D93" t="s">
        <v>45</v>
      </c>
      <c r="E93">
        <v>5</v>
      </c>
      <c r="F93" t="s">
        <v>113</v>
      </c>
      <c r="G93" t="s">
        <v>113</v>
      </c>
      <c r="H93" t="s">
        <v>406</v>
      </c>
      <c r="I93" t="s">
        <v>212</v>
      </c>
      <c r="J93" t="s">
        <v>213</v>
      </c>
      <c r="K93" t="s">
        <v>149</v>
      </c>
      <c r="L93" t="s">
        <v>214</v>
      </c>
      <c r="M93" t="s">
        <v>930</v>
      </c>
      <c r="N93" t="s">
        <v>215</v>
      </c>
      <c r="O93" s="57">
        <v>46296.549062500002</v>
      </c>
      <c r="P93" s="57">
        <v>46297.557847222219</v>
      </c>
      <c r="Q93">
        <v>69402338</v>
      </c>
      <c r="S93">
        <v>172502813927</v>
      </c>
      <c r="T93" t="s">
        <v>1346</v>
      </c>
      <c r="U93" t="s">
        <v>1347</v>
      </c>
      <c r="V93" t="s">
        <v>1348</v>
      </c>
      <c r="Z93">
        <v>123.6017471</v>
      </c>
      <c r="AA93">
        <v>-10.176331599999999</v>
      </c>
      <c r="AB93" t="s">
        <v>1349</v>
      </c>
      <c r="AC93" t="s">
        <v>235</v>
      </c>
      <c r="AL93" t="s">
        <v>217</v>
      </c>
      <c r="AM93" t="s">
        <v>1350</v>
      </c>
      <c r="AN93" t="s">
        <v>6</v>
      </c>
      <c r="AO93" s="57">
        <v>46032.559305555558</v>
      </c>
      <c r="AP93" s="57">
        <v>46297.458333333336</v>
      </c>
      <c r="AR93" t="s">
        <v>889</v>
      </c>
      <c r="AS93" t="s">
        <v>113</v>
      </c>
      <c r="AT93" t="s">
        <v>230</v>
      </c>
      <c r="AV93" t="s">
        <v>931</v>
      </c>
      <c r="AW93" t="s">
        <v>802</v>
      </c>
      <c r="AX93" t="s">
        <v>222</v>
      </c>
      <c r="BA93" s="57">
        <v>46297.458333333336</v>
      </c>
      <c r="BB93" t="s">
        <v>1350</v>
      </c>
      <c r="BF93" s="6" t="e">
        <f t="shared" si="3"/>
        <v>#NUM!</v>
      </c>
      <c r="BG93" t="e">
        <f t="shared" si="4"/>
        <v>#NUM!</v>
      </c>
      <c r="BH93" t="e">
        <f t="shared" si="5"/>
        <v>#NUM!</v>
      </c>
      <c r="BI93" t="str">
        <f>VLOOKUP(H93,Sheet2!$A$1:$B$270,2,FALSE)</f>
        <v>KUPANG</v>
      </c>
    </row>
    <row r="94" spans="1:61" hidden="1">
      <c r="A94">
        <v>93</v>
      </c>
      <c r="B94">
        <v>1002618763</v>
      </c>
      <c r="C94">
        <v>3</v>
      </c>
      <c r="D94" t="s">
        <v>45</v>
      </c>
      <c r="E94">
        <v>5</v>
      </c>
      <c r="F94" t="s">
        <v>113</v>
      </c>
      <c r="G94" t="s">
        <v>113</v>
      </c>
      <c r="H94" t="s">
        <v>406</v>
      </c>
      <c r="I94" t="s">
        <v>212</v>
      </c>
      <c r="J94" t="s">
        <v>213</v>
      </c>
      <c r="K94" t="s">
        <v>149</v>
      </c>
      <c r="L94" t="s">
        <v>214</v>
      </c>
      <c r="M94" t="s">
        <v>224</v>
      </c>
      <c r="N94" t="s">
        <v>215</v>
      </c>
      <c r="O94" s="57">
        <v>46296.743506944447</v>
      </c>
      <c r="P94" s="57">
        <v>46297.398321759261</v>
      </c>
      <c r="Q94">
        <v>69402662</v>
      </c>
      <c r="S94">
        <v>172502813216</v>
      </c>
      <c r="T94" t="s">
        <v>1351</v>
      </c>
      <c r="U94" t="s">
        <v>1352</v>
      </c>
      <c r="V94" t="s">
        <v>1353</v>
      </c>
      <c r="Z94">
        <v>123.59496660000001</v>
      </c>
      <c r="AA94">
        <v>-10.156082100000001</v>
      </c>
      <c r="AB94" t="s">
        <v>1354</v>
      </c>
      <c r="AC94" t="s">
        <v>216</v>
      </c>
      <c r="AL94" t="s">
        <v>217</v>
      </c>
      <c r="AM94" t="s">
        <v>1355</v>
      </c>
      <c r="AN94" t="s">
        <v>6</v>
      </c>
      <c r="AO94" s="57">
        <v>46032.746898148151</v>
      </c>
      <c r="AP94" s="57">
        <v>46297.625</v>
      </c>
      <c r="AR94" t="s">
        <v>18</v>
      </c>
      <c r="AS94" t="s">
        <v>113</v>
      </c>
      <c r="AT94" t="s">
        <v>230</v>
      </c>
      <c r="AV94" t="s">
        <v>226</v>
      </c>
      <c r="AW94" t="s">
        <v>881</v>
      </c>
      <c r="AX94" t="s">
        <v>222</v>
      </c>
      <c r="BA94" s="57">
        <v>46297.625</v>
      </c>
      <c r="BB94" t="s">
        <v>1355</v>
      </c>
      <c r="BF94" s="6" t="e">
        <f t="shared" si="3"/>
        <v>#NUM!</v>
      </c>
      <c r="BG94" t="e">
        <f t="shared" si="4"/>
        <v>#NUM!</v>
      </c>
      <c r="BH94" t="e">
        <f t="shared" si="5"/>
        <v>#NUM!</v>
      </c>
      <c r="BI94" t="str">
        <f>VLOOKUP(H94,Sheet2!$A$1:$B$270,2,FALSE)</f>
        <v>KUPANG</v>
      </c>
    </row>
    <row r="95" spans="1:61" hidden="1">
      <c r="A95">
        <v>94</v>
      </c>
      <c r="B95">
        <v>1002618758</v>
      </c>
      <c r="C95">
        <v>3</v>
      </c>
      <c r="D95" t="s">
        <v>42</v>
      </c>
      <c r="E95">
        <v>5</v>
      </c>
      <c r="F95" t="s">
        <v>102</v>
      </c>
      <c r="G95" t="s">
        <v>99</v>
      </c>
      <c r="H95" t="s">
        <v>488</v>
      </c>
      <c r="I95" t="s">
        <v>212</v>
      </c>
      <c r="J95" t="s">
        <v>213</v>
      </c>
      <c r="K95" t="s">
        <v>149</v>
      </c>
      <c r="L95" t="s">
        <v>214</v>
      </c>
      <c r="M95" t="s">
        <v>76</v>
      </c>
      <c r="N95" t="s">
        <v>215</v>
      </c>
      <c r="O95" s="57">
        <v>46296.742754629631</v>
      </c>
      <c r="P95" s="57">
        <v>46297.480393518519</v>
      </c>
      <c r="Q95">
        <v>69402657</v>
      </c>
      <c r="S95">
        <v>152521203623</v>
      </c>
      <c r="T95" t="s">
        <v>1356</v>
      </c>
      <c r="U95" t="s">
        <v>1357</v>
      </c>
      <c r="V95" t="s">
        <v>1358</v>
      </c>
      <c r="Z95">
        <v>114.048638418316</v>
      </c>
      <c r="AA95">
        <v>-8.5835215538648306</v>
      </c>
      <c r="AB95" t="s">
        <v>1359</v>
      </c>
      <c r="AC95" t="s">
        <v>216</v>
      </c>
      <c r="AL95" t="s">
        <v>217</v>
      </c>
      <c r="AM95" t="s">
        <v>1360</v>
      </c>
      <c r="AN95" t="s">
        <v>6</v>
      </c>
      <c r="AO95" s="57">
        <v>46032.746898148151</v>
      </c>
      <c r="AP95" s="57">
        <v>46297.625</v>
      </c>
      <c r="AR95" t="s">
        <v>218</v>
      </c>
      <c r="AS95" t="s">
        <v>556</v>
      </c>
      <c r="AT95" t="s">
        <v>230</v>
      </c>
      <c r="AU95">
        <v>20261002</v>
      </c>
      <c r="AV95" t="s">
        <v>221</v>
      </c>
      <c r="AW95" t="s">
        <v>880</v>
      </c>
      <c r="AX95" t="s">
        <v>222</v>
      </c>
      <c r="BA95" s="57">
        <v>46297.625</v>
      </c>
      <c r="BB95" t="s">
        <v>1360</v>
      </c>
      <c r="BC95">
        <v>2026</v>
      </c>
      <c r="BD95">
        <v>10</v>
      </c>
      <c r="BE95">
        <v>2</v>
      </c>
      <c r="BF95" s="6">
        <f t="shared" si="3"/>
        <v>46297</v>
      </c>
      <c r="BG95">
        <f t="shared" si="4"/>
        <v>-0.625</v>
      </c>
      <c r="BH95" t="str">
        <f t="shared" si="5"/>
        <v>COMPLY</v>
      </c>
      <c r="BI95" t="str">
        <f>VLOOKUP(H95,Sheet2!$A$1:$B$270,2,FALSE)</f>
        <v>BANYUWANGI</v>
      </c>
    </row>
    <row r="96" spans="1:61" hidden="1">
      <c r="A96">
        <v>95</v>
      </c>
      <c r="B96">
        <v>1002618623</v>
      </c>
      <c r="C96">
        <v>3</v>
      </c>
      <c r="D96" t="s">
        <v>42</v>
      </c>
      <c r="E96">
        <v>5</v>
      </c>
      <c r="F96" t="s">
        <v>102</v>
      </c>
      <c r="G96" t="s">
        <v>108</v>
      </c>
      <c r="H96" t="s">
        <v>494</v>
      </c>
      <c r="I96" t="s">
        <v>212</v>
      </c>
      <c r="J96" t="s">
        <v>213</v>
      </c>
      <c r="K96" t="s">
        <v>149</v>
      </c>
      <c r="L96" t="s">
        <v>214</v>
      </c>
      <c r="M96" t="s">
        <v>238</v>
      </c>
      <c r="N96" t="s">
        <v>215</v>
      </c>
      <c r="O96" s="57">
        <v>46296.69699074074</v>
      </c>
      <c r="P96" s="57">
        <v>46296.698854166665</v>
      </c>
      <c r="Q96">
        <v>69402610</v>
      </c>
      <c r="S96">
        <v>152529201365</v>
      </c>
      <c r="T96" t="s">
        <v>1361</v>
      </c>
      <c r="U96" t="s">
        <v>1362</v>
      </c>
      <c r="V96" t="s">
        <v>1363</v>
      </c>
      <c r="Z96">
        <v>113.803239</v>
      </c>
      <c r="AA96">
        <v>-7.776408</v>
      </c>
      <c r="AB96" t="s">
        <v>1364</v>
      </c>
      <c r="AC96" t="s">
        <v>235</v>
      </c>
      <c r="AL96" t="s">
        <v>217</v>
      </c>
      <c r="AM96" t="s">
        <v>1365</v>
      </c>
      <c r="AN96" t="s">
        <v>6</v>
      </c>
      <c r="AO96" s="57">
        <v>46032.726099537038</v>
      </c>
      <c r="AP96" s="57">
        <v>46297.625</v>
      </c>
      <c r="AR96" t="s">
        <v>239</v>
      </c>
      <c r="AS96" t="s">
        <v>108</v>
      </c>
      <c r="AT96" t="s">
        <v>230</v>
      </c>
      <c r="AV96" t="s">
        <v>238</v>
      </c>
      <c r="AW96" t="s">
        <v>867</v>
      </c>
      <c r="AX96" t="s">
        <v>222</v>
      </c>
      <c r="BA96" s="57">
        <v>46297.625</v>
      </c>
      <c r="BB96" t="s">
        <v>1365</v>
      </c>
      <c r="BF96" s="6" t="e">
        <f t="shared" si="3"/>
        <v>#NUM!</v>
      </c>
      <c r="BG96" t="e">
        <f t="shared" si="4"/>
        <v>#NUM!</v>
      </c>
      <c r="BH96" t="e">
        <f t="shared" si="5"/>
        <v>#NUM!</v>
      </c>
      <c r="BI96" t="str">
        <f>VLOOKUP(H96,Sheet2!$A$1:$B$270,2,FALSE)</f>
        <v>BANYUWANGI</v>
      </c>
    </row>
    <row r="97" spans="1:61" hidden="1">
      <c r="A97">
        <v>96</v>
      </c>
      <c r="B97">
        <v>1002617166</v>
      </c>
      <c r="C97">
        <v>3</v>
      </c>
      <c r="D97" t="s">
        <v>42</v>
      </c>
      <c r="E97">
        <v>5</v>
      </c>
      <c r="F97" t="s">
        <v>102</v>
      </c>
      <c r="G97" t="s">
        <v>102</v>
      </c>
      <c r="H97" t="s">
        <v>372</v>
      </c>
      <c r="I97" t="s">
        <v>212</v>
      </c>
      <c r="J97" t="s">
        <v>213</v>
      </c>
      <c r="K97" t="s">
        <v>149</v>
      </c>
      <c r="M97" t="s">
        <v>76</v>
      </c>
      <c r="N97" t="s">
        <v>215</v>
      </c>
      <c r="O97" s="57">
        <v>46296.408101851855</v>
      </c>
      <c r="P97" s="57">
        <v>46296.850081018521</v>
      </c>
      <c r="Q97">
        <v>69400906</v>
      </c>
      <c r="R97">
        <v>3368900010</v>
      </c>
      <c r="S97">
        <v>152539206020</v>
      </c>
      <c r="T97" t="s">
        <v>937</v>
      </c>
      <c r="U97" t="s">
        <v>1366</v>
      </c>
      <c r="V97" t="s">
        <v>1367</v>
      </c>
      <c r="Z97">
        <v>113.608535</v>
      </c>
      <c r="AA97">
        <v>-8.3398029999999999</v>
      </c>
      <c r="AB97" t="s">
        <v>938</v>
      </c>
      <c r="AC97" t="s">
        <v>229</v>
      </c>
      <c r="AL97" t="s">
        <v>217</v>
      </c>
      <c r="AM97" t="s">
        <v>1368</v>
      </c>
      <c r="AN97" t="s">
        <v>6</v>
      </c>
      <c r="AO97" s="57">
        <v>46032.413738425923</v>
      </c>
      <c r="AR97" t="s">
        <v>218</v>
      </c>
      <c r="AS97" t="s">
        <v>574</v>
      </c>
      <c r="AT97" t="s">
        <v>230</v>
      </c>
      <c r="AU97">
        <v>20261001</v>
      </c>
      <c r="AV97" t="s">
        <v>221</v>
      </c>
      <c r="AW97" t="s">
        <v>540</v>
      </c>
      <c r="AX97" t="s">
        <v>222</v>
      </c>
      <c r="BA97" s="57">
        <v>46296.291666666664</v>
      </c>
      <c r="BB97" t="s">
        <v>1368</v>
      </c>
      <c r="BC97">
        <v>2026</v>
      </c>
      <c r="BD97">
        <v>10</v>
      </c>
      <c r="BE97">
        <v>1</v>
      </c>
      <c r="BF97" s="6">
        <f t="shared" si="3"/>
        <v>46296</v>
      </c>
      <c r="BG97">
        <f t="shared" si="4"/>
        <v>-0.29166666666424135</v>
      </c>
      <c r="BH97" t="str">
        <f t="shared" si="5"/>
        <v>COMPLY</v>
      </c>
      <c r="BI97" t="str">
        <f>VLOOKUP(H97,Sheet2!$A$1:$B$270,2,FALSE)</f>
        <v>JEMBER</v>
      </c>
    </row>
    <row r="98" spans="1:61" hidden="1">
      <c r="A98">
        <v>97</v>
      </c>
      <c r="B98">
        <v>1002617727</v>
      </c>
      <c r="C98">
        <v>3</v>
      </c>
      <c r="D98" t="s">
        <v>42</v>
      </c>
      <c r="E98">
        <v>5</v>
      </c>
      <c r="F98" t="s">
        <v>102</v>
      </c>
      <c r="G98" t="s">
        <v>102</v>
      </c>
      <c r="H98" t="s">
        <v>360</v>
      </c>
      <c r="I98" t="s">
        <v>212</v>
      </c>
      <c r="J98" t="s">
        <v>213</v>
      </c>
      <c r="K98" t="s">
        <v>149</v>
      </c>
      <c r="L98" t="s">
        <v>214</v>
      </c>
      <c r="M98" t="s">
        <v>255</v>
      </c>
      <c r="N98" t="s">
        <v>215</v>
      </c>
      <c r="O98" s="57">
        <v>46296.519849537035</v>
      </c>
      <c r="P98" s="57">
        <v>46297.540451388886</v>
      </c>
      <c r="Q98">
        <v>69402313</v>
      </c>
      <c r="S98">
        <v>152501281067</v>
      </c>
      <c r="T98" t="s">
        <v>1369</v>
      </c>
      <c r="U98" t="s">
        <v>1370</v>
      </c>
      <c r="V98" t="s">
        <v>1371</v>
      </c>
      <c r="Z98">
        <v>113.705057166516</v>
      </c>
      <c r="AA98">
        <v>-8.16480285008255</v>
      </c>
      <c r="AB98" t="s">
        <v>1372</v>
      </c>
      <c r="AC98" t="s">
        <v>216</v>
      </c>
      <c r="AL98" t="s">
        <v>217</v>
      </c>
      <c r="AM98" t="s">
        <v>1373</v>
      </c>
      <c r="AN98" t="s">
        <v>6</v>
      </c>
      <c r="AO98" s="57">
        <v>46032.559305555558</v>
      </c>
      <c r="AP98" s="57">
        <v>46297.458333333336</v>
      </c>
      <c r="AR98" t="s">
        <v>256</v>
      </c>
      <c r="AS98" t="s">
        <v>102</v>
      </c>
      <c r="AT98" t="s">
        <v>230</v>
      </c>
      <c r="AV98" t="s">
        <v>257</v>
      </c>
      <c r="AW98" t="s">
        <v>884</v>
      </c>
      <c r="AX98" t="s">
        <v>222</v>
      </c>
      <c r="BA98" s="57">
        <v>46297.458333333336</v>
      </c>
      <c r="BB98" t="s">
        <v>1373</v>
      </c>
      <c r="BF98" s="6" t="e">
        <f t="shared" si="3"/>
        <v>#NUM!</v>
      </c>
      <c r="BG98" t="e">
        <f t="shared" si="4"/>
        <v>#NUM!</v>
      </c>
      <c r="BH98" t="e">
        <f t="shared" si="5"/>
        <v>#NUM!</v>
      </c>
      <c r="BI98" t="str">
        <f>VLOOKUP(H98,Sheet2!$A$1:$B$270,2,FALSE)</f>
        <v>JEMBER</v>
      </c>
    </row>
    <row r="99" spans="1:61" hidden="1">
      <c r="A99">
        <v>98</v>
      </c>
      <c r="B99">
        <v>1002617896</v>
      </c>
      <c r="C99">
        <v>3</v>
      </c>
      <c r="D99" t="s">
        <v>42</v>
      </c>
      <c r="E99">
        <v>5</v>
      </c>
      <c r="F99" t="s">
        <v>106</v>
      </c>
      <c r="G99" t="s">
        <v>104</v>
      </c>
      <c r="H99" t="s">
        <v>495</v>
      </c>
      <c r="I99" t="s">
        <v>212</v>
      </c>
      <c r="J99" t="s">
        <v>213</v>
      </c>
      <c r="K99" t="s">
        <v>149</v>
      </c>
      <c r="M99" t="s">
        <v>76</v>
      </c>
      <c r="N99" t="s">
        <v>215</v>
      </c>
      <c r="O99" s="57">
        <v>46296.569930555554</v>
      </c>
      <c r="P99" s="57">
        <v>46296.696250000001</v>
      </c>
      <c r="Q99">
        <v>69401645</v>
      </c>
      <c r="S99">
        <v>152542208206</v>
      </c>
      <c r="T99" t="s">
        <v>947</v>
      </c>
      <c r="U99" t="s">
        <v>939</v>
      </c>
      <c r="V99" t="s">
        <v>1374</v>
      </c>
      <c r="Z99">
        <v>113.1216587</v>
      </c>
      <c r="AA99">
        <v>-8.2018167000000002</v>
      </c>
      <c r="AB99" t="s">
        <v>948</v>
      </c>
      <c r="AC99" t="s">
        <v>229</v>
      </c>
      <c r="AL99" t="s">
        <v>217</v>
      </c>
      <c r="AM99" t="s">
        <v>1375</v>
      </c>
      <c r="AN99" t="s">
        <v>6</v>
      </c>
      <c r="AO99" s="57">
        <v>46032.579872685186</v>
      </c>
      <c r="AR99" t="s">
        <v>218</v>
      </c>
      <c r="AS99" t="s">
        <v>219</v>
      </c>
      <c r="AT99" t="s">
        <v>220</v>
      </c>
      <c r="AU99">
        <v>20261001</v>
      </c>
      <c r="AV99" t="s">
        <v>221</v>
      </c>
      <c r="AW99" t="s">
        <v>576</v>
      </c>
      <c r="AX99" t="s">
        <v>222</v>
      </c>
      <c r="BA99" s="57">
        <v>46296.291666666664</v>
      </c>
      <c r="BB99" t="s">
        <v>1375</v>
      </c>
      <c r="BC99">
        <v>2026</v>
      </c>
      <c r="BD99">
        <v>10</v>
      </c>
      <c r="BE99">
        <v>1</v>
      </c>
      <c r="BF99" s="6">
        <f t="shared" si="3"/>
        <v>46296</v>
      </c>
      <c r="BG99">
        <f t="shared" si="4"/>
        <v>-0.29166666666424135</v>
      </c>
      <c r="BH99" t="str">
        <f t="shared" si="5"/>
        <v>COMPLY</v>
      </c>
      <c r="BI99" t="str">
        <f>VLOOKUP(H99,Sheet2!$A$1:$B$270,2,FALSE)</f>
        <v>PROBOLINGGO</v>
      </c>
    </row>
    <row r="100" spans="1:61" hidden="1">
      <c r="A100">
        <v>99</v>
      </c>
      <c r="B100">
        <v>1002617892</v>
      </c>
      <c r="C100">
        <v>3</v>
      </c>
      <c r="D100" t="s">
        <v>45</v>
      </c>
      <c r="E100">
        <v>5</v>
      </c>
      <c r="F100" t="s">
        <v>113</v>
      </c>
      <c r="G100" t="s">
        <v>111</v>
      </c>
      <c r="H100" t="s">
        <v>254</v>
      </c>
      <c r="I100" t="s">
        <v>212</v>
      </c>
      <c r="J100" t="s">
        <v>213</v>
      </c>
      <c r="K100" t="s">
        <v>149</v>
      </c>
      <c r="L100" t="s">
        <v>214</v>
      </c>
      <c r="M100" t="s">
        <v>255</v>
      </c>
      <c r="N100" t="s">
        <v>215</v>
      </c>
      <c r="O100" s="57">
        <v>46296.567824074074</v>
      </c>
      <c r="P100" s="57">
        <v>46297.407916666663</v>
      </c>
      <c r="Q100">
        <v>69402370</v>
      </c>
      <c r="S100">
        <v>172506789376</v>
      </c>
      <c r="T100" t="s">
        <v>1376</v>
      </c>
      <c r="U100" t="s">
        <v>1377</v>
      </c>
      <c r="V100" t="s">
        <v>1378</v>
      </c>
      <c r="Z100">
        <v>121.6568403</v>
      </c>
      <c r="AA100">
        <v>-8.8478326000000003</v>
      </c>
      <c r="AB100" t="s">
        <v>1379</v>
      </c>
      <c r="AC100" t="s">
        <v>235</v>
      </c>
      <c r="AL100" t="s">
        <v>217</v>
      </c>
      <c r="AM100" t="s">
        <v>1380</v>
      </c>
      <c r="AN100" t="s">
        <v>6</v>
      </c>
      <c r="AO100" s="57">
        <v>46032.569884259261</v>
      </c>
      <c r="AP100" s="57">
        <v>46299.333333333336</v>
      </c>
      <c r="AR100" t="s">
        <v>256</v>
      </c>
      <c r="AS100" t="s">
        <v>111</v>
      </c>
      <c r="AT100" t="s">
        <v>230</v>
      </c>
      <c r="AV100" t="s">
        <v>257</v>
      </c>
      <c r="AW100" t="s">
        <v>933</v>
      </c>
      <c r="AX100" t="s">
        <v>222</v>
      </c>
      <c r="BA100" s="57">
        <v>46299.333333333336</v>
      </c>
      <c r="BB100" t="s">
        <v>1380</v>
      </c>
      <c r="BF100" s="6" t="e">
        <f t="shared" si="3"/>
        <v>#NUM!</v>
      </c>
      <c r="BG100" t="e">
        <f t="shared" si="4"/>
        <v>#NUM!</v>
      </c>
      <c r="BH100" t="e">
        <f t="shared" si="5"/>
        <v>#NUM!</v>
      </c>
      <c r="BI100" t="str">
        <f>VLOOKUP(H100,Sheet2!$A$1:$B$270,2,FALSE)</f>
        <v>ENDE</v>
      </c>
    </row>
    <row r="101" spans="1:61" hidden="1">
      <c r="A101">
        <v>100</v>
      </c>
      <c r="B101">
        <v>1002618764</v>
      </c>
      <c r="C101">
        <v>3</v>
      </c>
      <c r="D101" t="s">
        <v>45</v>
      </c>
      <c r="E101">
        <v>5</v>
      </c>
      <c r="F101" t="s">
        <v>113</v>
      </c>
      <c r="G101" t="s">
        <v>111</v>
      </c>
      <c r="H101" t="s">
        <v>254</v>
      </c>
      <c r="I101" t="s">
        <v>212</v>
      </c>
      <c r="J101" t="s">
        <v>213</v>
      </c>
      <c r="K101" t="s">
        <v>149</v>
      </c>
      <c r="L101" t="s">
        <v>214</v>
      </c>
      <c r="M101" t="s">
        <v>238</v>
      </c>
      <c r="N101" t="s">
        <v>215</v>
      </c>
      <c r="O101" s="57">
        <v>46296.74486111111</v>
      </c>
      <c r="P101" s="57">
        <v>46296.74590277778</v>
      </c>
      <c r="Q101">
        <v>69402663</v>
      </c>
      <c r="S101">
        <v>172506789383</v>
      </c>
      <c r="T101" t="s">
        <v>1381</v>
      </c>
      <c r="U101" t="s">
        <v>1382</v>
      </c>
      <c r="V101" t="s">
        <v>1383</v>
      </c>
      <c r="Z101">
        <v>121.6441032</v>
      </c>
      <c r="AA101">
        <v>-8.8523017999999993</v>
      </c>
      <c r="AB101" t="s">
        <v>1384</v>
      </c>
      <c r="AC101" t="s">
        <v>235</v>
      </c>
      <c r="AL101" t="s">
        <v>217</v>
      </c>
      <c r="AM101" t="s">
        <v>1385</v>
      </c>
      <c r="AN101" t="s">
        <v>6</v>
      </c>
      <c r="AO101" s="57">
        <v>46032.746898148151</v>
      </c>
      <c r="AP101" s="57">
        <v>46298.333333333336</v>
      </c>
      <c r="AR101" t="s">
        <v>239</v>
      </c>
      <c r="AS101" t="s">
        <v>111</v>
      </c>
      <c r="AT101" t="s">
        <v>230</v>
      </c>
      <c r="AV101" t="s">
        <v>238</v>
      </c>
      <c r="AW101" t="s">
        <v>882</v>
      </c>
      <c r="AX101" t="s">
        <v>222</v>
      </c>
      <c r="BA101" s="57">
        <v>46298.333333333336</v>
      </c>
      <c r="BB101" t="s">
        <v>1385</v>
      </c>
      <c r="BF101" s="6" t="e">
        <f t="shared" si="3"/>
        <v>#NUM!</v>
      </c>
      <c r="BG101" t="e">
        <f t="shared" si="4"/>
        <v>#NUM!</v>
      </c>
      <c r="BH101" t="e">
        <f t="shared" si="5"/>
        <v>#NUM!</v>
      </c>
      <c r="BI101" t="str">
        <f>VLOOKUP(H101,Sheet2!$A$1:$B$270,2,FALSE)</f>
        <v>ENDE</v>
      </c>
    </row>
    <row r="102" spans="1:61" hidden="1">
      <c r="A102">
        <v>101</v>
      </c>
      <c r="B102">
        <v>1002617761</v>
      </c>
      <c r="C102">
        <v>3</v>
      </c>
      <c r="D102" t="s">
        <v>45</v>
      </c>
      <c r="E102">
        <v>5</v>
      </c>
      <c r="F102" t="s">
        <v>113</v>
      </c>
      <c r="G102" t="s">
        <v>114</v>
      </c>
      <c r="H102" t="s">
        <v>357</v>
      </c>
      <c r="I102" t="s">
        <v>212</v>
      </c>
      <c r="J102" t="s">
        <v>213</v>
      </c>
      <c r="K102" t="s">
        <v>149</v>
      </c>
      <c r="L102" t="s">
        <v>214</v>
      </c>
      <c r="M102" t="s">
        <v>255</v>
      </c>
      <c r="N102" t="s">
        <v>215</v>
      </c>
      <c r="O102" s="57">
        <v>46296.532442129632</v>
      </c>
      <c r="P102" s="57">
        <v>46297.546550925923</v>
      </c>
      <c r="Q102">
        <v>69402304</v>
      </c>
      <c r="S102">
        <v>172514217309</v>
      </c>
      <c r="T102" t="s">
        <v>1386</v>
      </c>
      <c r="U102" t="s">
        <v>1387</v>
      </c>
      <c r="V102" t="s">
        <v>1388</v>
      </c>
      <c r="Z102">
        <v>120.474511633902</v>
      </c>
      <c r="AA102">
        <v>-8.6045969281323096</v>
      </c>
      <c r="AB102" t="s">
        <v>1389</v>
      </c>
      <c r="AC102" t="s">
        <v>235</v>
      </c>
      <c r="AL102" t="s">
        <v>217</v>
      </c>
      <c r="AM102" t="s">
        <v>1390</v>
      </c>
      <c r="AN102" t="s">
        <v>6</v>
      </c>
      <c r="AO102" s="57">
        <v>46032.559305555558</v>
      </c>
      <c r="AP102" s="57">
        <v>46297.458333333336</v>
      </c>
      <c r="AR102" t="s">
        <v>256</v>
      </c>
      <c r="AS102" t="s">
        <v>219</v>
      </c>
      <c r="AT102" t="s">
        <v>230</v>
      </c>
      <c r="AV102" t="s">
        <v>257</v>
      </c>
      <c r="AW102" t="s">
        <v>882</v>
      </c>
      <c r="AX102" t="s">
        <v>222</v>
      </c>
      <c r="BA102" s="57">
        <v>46297.458333333336</v>
      </c>
      <c r="BB102" t="s">
        <v>1390</v>
      </c>
      <c r="BF102" s="6" t="e">
        <f t="shared" si="3"/>
        <v>#NUM!</v>
      </c>
      <c r="BG102" t="e">
        <f t="shared" si="4"/>
        <v>#NUM!</v>
      </c>
      <c r="BH102" t="e">
        <f t="shared" si="5"/>
        <v>#NUM!</v>
      </c>
      <c r="BI102" t="str">
        <f>VLOOKUP(H102,Sheet2!$A$1:$B$270,2,FALSE)</f>
        <v>LABOAN BAJO</v>
      </c>
    </row>
    <row r="103" spans="1:61">
      <c r="A103">
        <v>102</v>
      </c>
      <c r="B103">
        <v>1002617688</v>
      </c>
      <c r="C103">
        <v>3</v>
      </c>
      <c r="D103" t="s">
        <v>34</v>
      </c>
      <c r="E103">
        <v>5</v>
      </c>
      <c r="F103" t="s">
        <v>546</v>
      </c>
      <c r="G103" t="s">
        <v>85</v>
      </c>
      <c r="H103" t="s">
        <v>355</v>
      </c>
      <c r="I103" t="s">
        <v>212</v>
      </c>
      <c r="J103" t="s">
        <v>213</v>
      </c>
      <c r="K103" t="s">
        <v>149</v>
      </c>
      <c r="M103" t="s">
        <v>255</v>
      </c>
      <c r="N103" t="s">
        <v>215</v>
      </c>
      <c r="O103" s="57">
        <v>46296.50371527778</v>
      </c>
      <c r="P103" s="57">
        <v>46297.471620370372</v>
      </c>
      <c r="Q103">
        <v>69402261</v>
      </c>
      <c r="S103">
        <v>172414214642</v>
      </c>
      <c r="T103" t="s">
        <v>1391</v>
      </c>
      <c r="U103" t="s">
        <v>1392</v>
      </c>
      <c r="V103" t="s">
        <v>1393</v>
      </c>
      <c r="Z103">
        <v>115.1615592</v>
      </c>
      <c r="AA103">
        <v>-8.3697926999999996</v>
      </c>
      <c r="AB103" t="s">
        <v>1394</v>
      </c>
      <c r="AC103" t="s">
        <v>229</v>
      </c>
      <c r="AL103" t="s">
        <v>217</v>
      </c>
      <c r="AM103" t="s">
        <v>1395</v>
      </c>
      <c r="AN103" t="s">
        <v>6</v>
      </c>
      <c r="AO103" s="57">
        <v>46032.517557870371</v>
      </c>
      <c r="AP103" s="57">
        <v>46297.458333333336</v>
      </c>
      <c r="AR103" t="s">
        <v>256</v>
      </c>
      <c r="AS103" t="s">
        <v>85</v>
      </c>
      <c r="AT103" t="s">
        <v>230</v>
      </c>
      <c r="AV103" t="s">
        <v>257</v>
      </c>
      <c r="AW103" t="s">
        <v>540</v>
      </c>
      <c r="AX103" t="s">
        <v>222</v>
      </c>
      <c r="BA103" s="57">
        <v>46297.458333333336</v>
      </c>
      <c r="BB103" t="s">
        <v>1395</v>
      </c>
      <c r="BF103" s="6" t="e">
        <f t="shared" si="3"/>
        <v>#NUM!</v>
      </c>
      <c r="BG103" t="e">
        <f t="shared" si="4"/>
        <v>#NUM!</v>
      </c>
      <c r="BH103" t="e">
        <f t="shared" si="5"/>
        <v>#NUM!</v>
      </c>
      <c r="BI103" t="str">
        <f>VLOOKUP(H103,Sheet2!$A$1:$B$270,2,FALSE)</f>
        <v>TABANAN</v>
      </c>
    </row>
    <row r="104" spans="1:61">
      <c r="A104">
        <v>103</v>
      </c>
      <c r="B104">
        <v>1002617698</v>
      </c>
      <c r="C104">
        <v>3</v>
      </c>
      <c r="D104" t="s">
        <v>34</v>
      </c>
      <c r="E104">
        <v>5</v>
      </c>
      <c r="F104" t="s">
        <v>546</v>
      </c>
      <c r="G104" t="s">
        <v>85</v>
      </c>
      <c r="H104" t="s">
        <v>355</v>
      </c>
      <c r="I104" t="s">
        <v>212</v>
      </c>
      <c r="J104" t="s">
        <v>213</v>
      </c>
      <c r="K104" t="s">
        <v>149</v>
      </c>
      <c r="M104" t="s">
        <v>255</v>
      </c>
      <c r="N104" t="s">
        <v>215</v>
      </c>
      <c r="O104" s="57">
        <v>46296.506469907406</v>
      </c>
      <c r="P104" s="57">
        <v>46297.41138888889</v>
      </c>
      <c r="Q104">
        <v>69402262</v>
      </c>
      <c r="S104">
        <v>172414214639</v>
      </c>
      <c r="T104" t="s">
        <v>1396</v>
      </c>
      <c r="U104" t="s">
        <v>1397</v>
      </c>
      <c r="V104" t="s">
        <v>1398</v>
      </c>
      <c r="Z104">
        <v>115.14373620000001</v>
      </c>
      <c r="AA104">
        <v>-8.3613206000000009</v>
      </c>
      <c r="AB104" t="s">
        <v>1399</v>
      </c>
      <c r="AC104" t="s">
        <v>229</v>
      </c>
      <c r="AL104" t="s">
        <v>217</v>
      </c>
      <c r="AM104" t="s">
        <v>1400</v>
      </c>
      <c r="AN104" t="s">
        <v>6</v>
      </c>
      <c r="AO104" s="57">
        <v>46032.517557870371</v>
      </c>
      <c r="AP104" s="57">
        <v>46297.458333333336</v>
      </c>
      <c r="AR104" t="s">
        <v>256</v>
      </c>
      <c r="AS104" t="s">
        <v>85</v>
      </c>
      <c r="AT104" t="s">
        <v>230</v>
      </c>
      <c r="AV104" t="s">
        <v>257</v>
      </c>
      <c r="AW104" t="s">
        <v>540</v>
      </c>
      <c r="AX104" t="s">
        <v>222</v>
      </c>
      <c r="BA104" s="57">
        <v>46297.458333333336</v>
      </c>
      <c r="BB104" t="s">
        <v>1400</v>
      </c>
      <c r="BF104" s="6" t="e">
        <f t="shared" si="3"/>
        <v>#NUM!</v>
      </c>
      <c r="BG104" t="e">
        <f t="shared" si="4"/>
        <v>#NUM!</v>
      </c>
      <c r="BH104" t="e">
        <f t="shared" si="5"/>
        <v>#NUM!</v>
      </c>
      <c r="BI104" t="str">
        <f>VLOOKUP(H104,Sheet2!$A$1:$B$270,2,FALSE)</f>
        <v>TABANAN</v>
      </c>
    </row>
    <row r="105" spans="1:61">
      <c r="A105">
        <v>104</v>
      </c>
      <c r="B105">
        <v>1002617925</v>
      </c>
      <c r="C105">
        <v>3</v>
      </c>
      <c r="D105" t="s">
        <v>34</v>
      </c>
      <c r="E105">
        <v>5</v>
      </c>
      <c r="F105" t="s">
        <v>553</v>
      </c>
      <c r="G105" t="s">
        <v>86</v>
      </c>
      <c r="H105" t="s">
        <v>271</v>
      </c>
      <c r="I105" t="s">
        <v>212</v>
      </c>
      <c r="J105" t="s">
        <v>213</v>
      </c>
      <c r="K105" t="s">
        <v>149</v>
      </c>
      <c r="M105" t="s">
        <v>898</v>
      </c>
      <c r="N105" t="s">
        <v>215</v>
      </c>
      <c r="O105" s="57">
        <v>46296.575636574074</v>
      </c>
      <c r="P105" s="57">
        <v>46297.488009259258</v>
      </c>
      <c r="Q105">
        <v>69402378</v>
      </c>
      <c r="S105">
        <v>172418758061</v>
      </c>
      <c r="T105" t="s">
        <v>1401</v>
      </c>
      <c r="U105" t="s">
        <v>1402</v>
      </c>
      <c r="V105" t="s">
        <v>1403</v>
      </c>
      <c r="Z105">
        <v>115.2218709</v>
      </c>
      <c r="AA105">
        <v>-8.6356625999999999</v>
      </c>
      <c r="AB105" t="s">
        <v>1404</v>
      </c>
      <c r="AC105" t="s">
        <v>225</v>
      </c>
      <c r="AL105" t="s">
        <v>217</v>
      </c>
      <c r="AM105" t="s">
        <v>1405</v>
      </c>
      <c r="AN105" t="s">
        <v>6</v>
      </c>
      <c r="AO105" s="57">
        <v>46032.579872685186</v>
      </c>
      <c r="AP105" s="57">
        <v>46297.458333333336</v>
      </c>
      <c r="AR105" t="s">
        <v>889</v>
      </c>
      <c r="AS105" t="s">
        <v>86</v>
      </c>
      <c r="AT105" t="s">
        <v>220</v>
      </c>
      <c r="AV105" t="s">
        <v>899</v>
      </c>
      <c r="AW105" t="s">
        <v>856</v>
      </c>
      <c r="AX105" t="s">
        <v>222</v>
      </c>
      <c r="BA105" s="57">
        <v>46297.458333333336</v>
      </c>
      <c r="BB105" t="s">
        <v>1405</v>
      </c>
      <c r="BF105" s="6" t="e">
        <f t="shared" si="3"/>
        <v>#NUM!</v>
      </c>
      <c r="BG105" t="e">
        <f t="shared" si="4"/>
        <v>#NUM!</v>
      </c>
      <c r="BH105" t="e">
        <f t="shared" si="5"/>
        <v>#NUM!</v>
      </c>
      <c r="BI105" t="str">
        <f>VLOOKUP(H105,Sheet2!$A$1:$B$270,2,FALSE)</f>
        <v>UBUNG</v>
      </c>
    </row>
    <row r="106" spans="1:61">
      <c r="A106">
        <v>105</v>
      </c>
      <c r="B106">
        <v>1002616976</v>
      </c>
      <c r="C106">
        <v>3</v>
      </c>
      <c r="D106" t="s">
        <v>34</v>
      </c>
      <c r="E106">
        <v>5</v>
      </c>
      <c r="F106" t="s">
        <v>553</v>
      </c>
      <c r="G106" t="s">
        <v>86</v>
      </c>
      <c r="H106" t="s">
        <v>271</v>
      </c>
      <c r="I106" t="s">
        <v>212</v>
      </c>
      <c r="J106" t="s">
        <v>213</v>
      </c>
      <c r="K106" t="s">
        <v>149</v>
      </c>
      <c r="M106" t="s">
        <v>76</v>
      </c>
      <c r="N106" t="s">
        <v>215</v>
      </c>
      <c r="O106" s="57">
        <v>46296.374502314815</v>
      </c>
      <c r="P106" s="57">
        <v>46297.457881944443</v>
      </c>
      <c r="Q106">
        <v>69402057</v>
      </c>
      <c r="S106">
        <v>172418758697</v>
      </c>
      <c r="T106" t="s">
        <v>949</v>
      </c>
      <c r="U106" t="s">
        <v>950</v>
      </c>
      <c r="V106" t="s">
        <v>1406</v>
      </c>
      <c r="Z106">
        <v>115.2095704</v>
      </c>
      <c r="AA106">
        <v>-8.6576401000000001</v>
      </c>
      <c r="AB106" t="s">
        <v>951</v>
      </c>
      <c r="AC106" t="s">
        <v>229</v>
      </c>
      <c r="AL106" t="s">
        <v>217</v>
      </c>
      <c r="AM106" t="s">
        <v>1407</v>
      </c>
      <c r="AN106" t="s">
        <v>6</v>
      </c>
      <c r="AO106" s="57">
        <v>46032.392847222225</v>
      </c>
      <c r="AP106" s="57">
        <v>46297.333333333336</v>
      </c>
      <c r="AR106" t="s">
        <v>218</v>
      </c>
      <c r="AS106" t="s">
        <v>86</v>
      </c>
      <c r="AT106" t="s">
        <v>230</v>
      </c>
      <c r="AU106">
        <v>20261002</v>
      </c>
      <c r="AV106" t="s">
        <v>221</v>
      </c>
      <c r="AW106" t="s">
        <v>540</v>
      </c>
      <c r="AX106" t="s">
        <v>222</v>
      </c>
      <c r="BA106" s="57">
        <v>46297.333333333336</v>
      </c>
      <c r="BB106" t="s">
        <v>1407</v>
      </c>
      <c r="BC106">
        <v>2026</v>
      </c>
      <c r="BD106">
        <v>10</v>
      </c>
      <c r="BE106">
        <v>2</v>
      </c>
      <c r="BF106" s="6">
        <f t="shared" si="3"/>
        <v>46297</v>
      </c>
      <c r="BG106">
        <f t="shared" si="4"/>
        <v>-0.33333333333575865</v>
      </c>
      <c r="BH106" t="str">
        <f t="shared" si="5"/>
        <v>COMPLY</v>
      </c>
      <c r="BI106" t="str">
        <f>VLOOKUP(H106,Sheet2!$A$1:$B$270,2,FALSE)</f>
        <v>UBUNG</v>
      </c>
    </row>
    <row r="107" spans="1:61">
      <c r="A107">
        <v>106</v>
      </c>
      <c r="B107">
        <v>1002616933</v>
      </c>
      <c r="C107">
        <v>3</v>
      </c>
      <c r="D107" t="s">
        <v>34</v>
      </c>
      <c r="E107">
        <v>5</v>
      </c>
      <c r="F107" t="s">
        <v>553</v>
      </c>
      <c r="G107" t="s">
        <v>86</v>
      </c>
      <c r="H107" t="s">
        <v>271</v>
      </c>
      <c r="I107" t="s">
        <v>212</v>
      </c>
      <c r="J107" t="s">
        <v>213</v>
      </c>
      <c r="K107" t="s">
        <v>149</v>
      </c>
      <c r="M107" t="s">
        <v>224</v>
      </c>
      <c r="N107" t="s">
        <v>215</v>
      </c>
      <c r="O107" s="57">
        <v>46296.365520833337</v>
      </c>
      <c r="P107" s="57">
        <v>46296.370104166665</v>
      </c>
      <c r="Q107">
        <v>69401252</v>
      </c>
      <c r="S107">
        <v>172418758695</v>
      </c>
      <c r="T107" t="s">
        <v>949</v>
      </c>
      <c r="U107" t="s">
        <v>950</v>
      </c>
      <c r="V107" t="s">
        <v>1408</v>
      </c>
      <c r="Z107">
        <v>115.209762709739</v>
      </c>
      <c r="AA107">
        <v>-8.65767524401166</v>
      </c>
      <c r="AB107" t="s">
        <v>951</v>
      </c>
      <c r="AC107" t="s">
        <v>229</v>
      </c>
      <c r="AL107" t="s">
        <v>217</v>
      </c>
      <c r="AM107" t="s">
        <v>1409</v>
      </c>
      <c r="AN107" t="s">
        <v>6</v>
      </c>
      <c r="AO107" s="57">
        <v>46032.392847222225</v>
      </c>
      <c r="AR107" t="s">
        <v>18</v>
      </c>
      <c r="AS107" t="s">
        <v>86</v>
      </c>
      <c r="AT107" t="s">
        <v>342</v>
      </c>
      <c r="AV107" t="s">
        <v>226</v>
      </c>
      <c r="AW107" t="s">
        <v>907</v>
      </c>
      <c r="AX107" t="s">
        <v>222</v>
      </c>
      <c r="BA107" s="57">
        <v>46296.291666666664</v>
      </c>
      <c r="BB107" t="s">
        <v>1409</v>
      </c>
      <c r="BF107" s="6" t="e">
        <f t="shared" si="3"/>
        <v>#NUM!</v>
      </c>
      <c r="BG107" t="e">
        <f t="shared" si="4"/>
        <v>#NUM!</v>
      </c>
      <c r="BH107" t="e">
        <f t="shared" si="5"/>
        <v>#NUM!</v>
      </c>
      <c r="BI107" t="str">
        <f>VLOOKUP(H107,Sheet2!$A$1:$B$270,2,FALSE)</f>
        <v>UBUNG</v>
      </c>
    </row>
    <row r="108" spans="1:61">
      <c r="A108">
        <v>107</v>
      </c>
      <c r="B108">
        <v>1002617750</v>
      </c>
      <c r="C108">
        <v>3</v>
      </c>
      <c r="D108" t="s">
        <v>34</v>
      </c>
      <c r="E108">
        <v>5</v>
      </c>
      <c r="F108" t="s">
        <v>546</v>
      </c>
      <c r="G108" t="s">
        <v>84</v>
      </c>
      <c r="H108" t="s">
        <v>408</v>
      </c>
      <c r="I108" t="s">
        <v>212</v>
      </c>
      <c r="J108" t="s">
        <v>213</v>
      </c>
      <c r="K108" t="s">
        <v>149</v>
      </c>
      <c r="M108" t="s">
        <v>238</v>
      </c>
      <c r="N108" t="s">
        <v>215</v>
      </c>
      <c r="O108" s="57">
        <v>46296.530219907407</v>
      </c>
      <c r="P108" s="57">
        <v>46296.650081018517</v>
      </c>
      <c r="Q108">
        <v>69402318</v>
      </c>
      <c r="S108">
        <v>172406213398</v>
      </c>
      <c r="T108" t="s">
        <v>1410</v>
      </c>
      <c r="U108" t="s">
        <v>1411</v>
      </c>
      <c r="V108" t="s">
        <v>1412</v>
      </c>
      <c r="Z108">
        <v>115.3283899</v>
      </c>
      <c r="AA108">
        <v>-8.2477935999999996</v>
      </c>
      <c r="AB108" t="s">
        <v>1413</v>
      </c>
      <c r="AC108" t="s">
        <v>229</v>
      </c>
      <c r="AL108" t="s">
        <v>217</v>
      </c>
      <c r="AM108" t="s">
        <v>1414</v>
      </c>
      <c r="AN108" t="s">
        <v>6</v>
      </c>
      <c r="AO108" s="57">
        <v>46032.559305555558</v>
      </c>
      <c r="AP108" s="57">
        <v>46297.625</v>
      </c>
      <c r="AR108" t="s">
        <v>239</v>
      </c>
      <c r="AS108" t="s">
        <v>219</v>
      </c>
      <c r="AT108" t="s">
        <v>220</v>
      </c>
      <c r="AV108" t="s">
        <v>238</v>
      </c>
      <c r="AW108" t="s">
        <v>940</v>
      </c>
      <c r="AX108" t="s">
        <v>222</v>
      </c>
      <c r="BA108" s="57">
        <v>46297.625</v>
      </c>
      <c r="BB108" t="s">
        <v>1414</v>
      </c>
      <c r="BF108" s="6" t="e">
        <f t="shared" si="3"/>
        <v>#NUM!</v>
      </c>
      <c r="BG108" t="e">
        <f t="shared" si="4"/>
        <v>#NUM!</v>
      </c>
      <c r="BH108" t="e">
        <f t="shared" si="5"/>
        <v>#NUM!</v>
      </c>
      <c r="BI108" t="str">
        <f>VLOOKUP(H108,Sheet2!$A$1:$B$270,2,FALSE)</f>
        <v>SINGARAJA</v>
      </c>
    </row>
    <row r="109" spans="1:61" hidden="1">
      <c r="O109" s="57"/>
      <c r="P109" s="57"/>
      <c r="AP109" s="57"/>
      <c r="BA109" s="57"/>
      <c r="BF109" s="6" t="e">
        <f t="shared" si="3"/>
        <v>#NUM!</v>
      </c>
      <c r="BG109" t="e">
        <f t="shared" si="4"/>
        <v>#NUM!</v>
      </c>
      <c r="BH109" t="e">
        <f t="shared" si="5"/>
        <v>#NUM!</v>
      </c>
      <c r="BI109" t="e">
        <f>VLOOKUP(H109,Sheet2!$A$1:$B$270,2,FALSE)</f>
        <v>#N/A</v>
      </c>
    </row>
    <row r="110" spans="1:61" hidden="1">
      <c r="O110" s="57"/>
      <c r="P110" s="57"/>
      <c r="AP110" s="57"/>
      <c r="BA110" s="57"/>
      <c r="BF110" s="6" t="e">
        <f t="shared" si="3"/>
        <v>#NUM!</v>
      </c>
      <c r="BG110" t="e">
        <f t="shared" si="4"/>
        <v>#NUM!</v>
      </c>
      <c r="BH110" t="e">
        <f t="shared" si="5"/>
        <v>#NUM!</v>
      </c>
      <c r="BI110" t="e">
        <f>VLOOKUP(H110,Sheet2!$A$1:$B$270,2,FALSE)</f>
        <v>#N/A</v>
      </c>
    </row>
    <row r="111" spans="1:61" hidden="1">
      <c r="O111" s="57"/>
      <c r="P111" s="57"/>
      <c r="BA111" s="57"/>
      <c r="BF111" s="6" t="e">
        <f t="shared" si="3"/>
        <v>#NUM!</v>
      </c>
      <c r="BG111" t="e">
        <f t="shared" si="4"/>
        <v>#NUM!</v>
      </c>
      <c r="BH111" t="e">
        <f t="shared" si="5"/>
        <v>#NUM!</v>
      </c>
      <c r="BI111" t="e">
        <f>VLOOKUP(H111,Sheet2!$A$1:$B$270,2,FALSE)</f>
        <v>#N/A</v>
      </c>
    </row>
    <row r="112" spans="1:61" hidden="1">
      <c r="O112" s="57"/>
      <c r="P112" s="57"/>
      <c r="AP112" s="57"/>
      <c r="BA112" s="57"/>
      <c r="BF112" s="6" t="e">
        <f t="shared" si="3"/>
        <v>#NUM!</v>
      </c>
      <c r="BG112" t="e">
        <f t="shared" si="4"/>
        <v>#NUM!</v>
      </c>
      <c r="BH112" t="e">
        <f t="shared" si="5"/>
        <v>#NUM!</v>
      </c>
      <c r="BI112" t="e">
        <f>VLOOKUP(H112,Sheet2!$A$1:$B$270,2,FALSE)</f>
        <v>#N/A</v>
      </c>
    </row>
    <row r="113" spans="15:61" hidden="1">
      <c r="O113" s="57"/>
      <c r="P113" s="57"/>
      <c r="AP113" s="57"/>
      <c r="BA113" s="57"/>
      <c r="BF113" s="6" t="e">
        <f t="shared" si="3"/>
        <v>#NUM!</v>
      </c>
      <c r="BG113" t="e">
        <f t="shared" si="4"/>
        <v>#NUM!</v>
      </c>
      <c r="BH113" t="e">
        <f t="shared" si="5"/>
        <v>#NUM!</v>
      </c>
      <c r="BI113" t="e">
        <f>VLOOKUP(H113,Sheet2!$A$1:$B$270,2,FALSE)</f>
        <v>#N/A</v>
      </c>
    </row>
    <row r="114" spans="15:61" hidden="1">
      <c r="O114" s="57"/>
      <c r="P114" s="57"/>
      <c r="AP114" s="57"/>
      <c r="BA114" s="57"/>
      <c r="BF114" s="6" t="e">
        <f t="shared" si="3"/>
        <v>#NUM!</v>
      </c>
      <c r="BG114" t="e">
        <f t="shared" si="4"/>
        <v>#NUM!</v>
      </c>
      <c r="BH114" t="e">
        <f t="shared" si="5"/>
        <v>#NUM!</v>
      </c>
      <c r="BI114" t="e">
        <f>VLOOKUP(H114,Sheet2!$A$1:$B$270,2,FALSE)</f>
        <v>#N/A</v>
      </c>
    </row>
    <row r="115" spans="15:61" hidden="1">
      <c r="O115" s="57"/>
      <c r="P115" s="57"/>
      <c r="BA115" s="57"/>
      <c r="BF115" s="6" t="e">
        <f t="shared" si="3"/>
        <v>#NUM!</v>
      </c>
      <c r="BG115" t="e">
        <f t="shared" si="4"/>
        <v>#NUM!</v>
      </c>
      <c r="BH115" t="e">
        <f t="shared" si="5"/>
        <v>#NUM!</v>
      </c>
      <c r="BI115" t="e">
        <f>VLOOKUP(H115,Sheet2!$A$1:$B$270,2,FALSE)</f>
        <v>#N/A</v>
      </c>
    </row>
    <row r="116" spans="15:61" hidden="1">
      <c r="O116" s="57"/>
      <c r="P116" s="57"/>
      <c r="BA116" s="57"/>
      <c r="BF116" s="6" t="e">
        <f t="shared" si="3"/>
        <v>#NUM!</v>
      </c>
      <c r="BG116" t="e">
        <f t="shared" si="4"/>
        <v>#NUM!</v>
      </c>
      <c r="BH116" t="e">
        <f t="shared" si="5"/>
        <v>#NUM!</v>
      </c>
      <c r="BI116" t="e">
        <f>VLOOKUP(H116,Sheet2!$A$1:$B$270,2,FALSE)</f>
        <v>#N/A</v>
      </c>
    </row>
    <row r="117" spans="15:61" hidden="1">
      <c r="O117" s="57"/>
      <c r="P117" s="57"/>
      <c r="AP117" s="57"/>
      <c r="BA117" s="57"/>
      <c r="BF117" s="6" t="e">
        <f t="shared" si="3"/>
        <v>#NUM!</v>
      </c>
      <c r="BG117" t="e">
        <f t="shared" si="4"/>
        <v>#NUM!</v>
      </c>
      <c r="BH117" t="e">
        <f t="shared" si="5"/>
        <v>#NUM!</v>
      </c>
      <c r="BI117" t="e">
        <f>VLOOKUP(H117,Sheet2!$A$1:$B$270,2,FALSE)</f>
        <v>#N/A</v>
      </c>
    </row>
    <row r="118" spans="15:61" hidden="1">
      <c r="O118" s="57"/>
      <c r="P118" s="57"/>
      <c r="AP118" s="57"/>
      <c r="BA118" s="57"/>
      <c r="BF118" s="6" t="e">
        <f t="shared" si="3"/>
        <v>#NUM!</v>
      </c>
      <c r="BG118" t="e">
        <f t="shared" si="4"/>
        <v>#NUM!</v>
      </c>
      <c r="BH118" t="e">
        <f t="shared" si="5"/>
        <v>#NUM!</v>
      </c>
      <c r="BI118" t="e">
        <f>VLOOKUP(H118,Sheet2!$A$1:$B$270,2,FALSE)</f>
        <v>#N/A</v>
      </c>
    </row>
    <row r="119" spans="15:61" hidden="1">
      <c r="O119" s="57"/>
      <c r="P119" s="57"/>
      <c r="AP119" s="57"/>
      <c r="BA119" s="57"/>
      <c r="BF119" s="6" t="e">
        <f t="shared" si="3"/>
        <v>#NUM!</v>
      </c>
      <c r="BG119" t="e">
        <f t="shared" si="4"/>
        <v>#NUM!</v>
      </c>
      <c r="BH119" t="e">
        <f t="shared" si="5"/>
        <v>#NUM!</v>
      </c>
      <c r="BI119" t="e">
        <f>VLOOKUP(H119,Sheet2!$A$1:$B$270,2,FALSE)</f>
        <v>#N/A</v>
      </c>
    </row>
    <row r="120" spans="15:61" hidden="1">
      <c r="O120" s="57"/>
      <c r="P120" s="57"/>
      <c r="AP120" s="57"/>
      <c r="BA120" s="57"/>
      <c r="BF120" s="6" t="e">
        <f t="shared" si="3"/>
        <v>#NUM!</v>
      </c>
      <c r="BG120" t="e">
        <f t="shared" si="4"/>
        <v>#NUM!</v>
      </c>
      <c r="BH120" t="e">
        <f t="shared" si="5"/>
        <v>#NUM!</v>
      </c>
      <c r="BI120" t="e">
        <f>VLOOKUP(H120,Sheet2!$A$1:$B$270,2,FALSE)</f>
        <v>#N/A</v>
      </c>
    </row>
    <row r="121" spans="15:61" hidden="1">
      <c r="O121" s="57"/>
      <c r="P121" s="57"/>
      <c r="AP121" s="57"/>
      <c r="BA121" s="57"/>
      <c r="BF121" s="6" t="e">
        <f t="shared" si="3"/>
        <v>#NUM!</v>
      </c>
      <c r="BG121" t="e">
        <f t="shared" si="4"/>
        <v>#NUM!</v>
      </c>
      <c r="BH121" t="e">
        <f t="shared" si="5"/>
        <v>#NUM!</v>
      </c>
      <c r="BI121" t="e">
        <f>VLOOKUP(H121,Sheet2!$A$1:$B$270,2,FALSE)</f>
        <v>#N/A</v>
      </c>
    </row>
    <row r="122" spans="15:61" hidden="1">
      <c r="O122" s="57"/>
      <c r="P122" s="57"/>
      <c r="AP122" s="57"/>
      <c r="BA122" s="57"/>
      <c r="BF122" s="6" t="e">
        <f t="shared" si="3"/>
        <v>#NUM!</v>
      </c>
      <c r="BG122" t="e">
        <f t="shared" si="4"/>
        <v>#NUM!</v>
      </c>
      <c r="BH122" t="e">
        <f t="shared" si="5"/>
        <v>#NUM!</v>
      </c>
      <c r="BI122" t="e">
        <f>VLOOKUP(H122,Sheet2!$A$1:$B$270,2,FALSE)</f>
        <v>#N/A</v>
      </c>
    </row>
    <row r="123" spans="15:61" hidden="1">
      <c r="O123" s="57"/>
      <c r="P123" s="57"/>
      <c r="AP123" s="57"/>
      <c r="BA123" s="57"/>
      <c r="BF123" s="6" t="e">
        <f t="shared" si="3"/>
        <v>#NUM!</v>
      </c>
      <c r="BG123" t="e">
        <f t="shared" si="4"/>
        <v>#NUM!</v>
      </c>
      <c r="BH123" t="e">
        <f t="shared" si="5"/>
        <v>#NUM!</v>
      </c>
      <c r="BI123" t="e">
        <f>VLOOKUP(H123,Sheet2!$A$1:$B$270,2,FALSE)</f>
        <v>#N/A</v>
      </c>
    </row>
    <row r="124" spans="15:61" hidden="1">
      <c r="O124" s="57"/>
      <c r="P124" s="57"/>
      <c r="AP124" s="57"/>
      <c r="BA124" s="57"/>
      <c r="BF124" s="6" t="e">
        <f t="shared" si="3"/>
        <v>#NUM!</v>
      </c>
      <c r="BG124" t="e">
        <f t="shared" si="4"/>
        <v>#NUM!</v>
      </c>
      <c r="BH124" t="e">
        <f t="shared" si="5"/>
        <v>#NUM!</v>
      </c>
      <c r="BI124" t="e">
        <f>VLOOKUP(H124,Sheet2!$A$1:$B$270,2,FALSE)</f>
        <v>#N/A</v>
      </c>
    </row>
    <row r="125" spans="15:61" hidden="1">
      <c r="O125" s="57"/>
      <c r="P125" s="57"/>
      <c r="AP125" s="57"/>
      <c r="BA125" s="57"/>
      <c r="BF125" s="6" t="e">
        <f t="shared" si="3"/>
        <v>#NUM!</v>
      </c>
      <c r="BG125" t="e">
        <f t="shared" si="4"/>
        <v>#NUM!</v>
      </c>
      <c r="BH125" t="e">
        <f t="shared" si="5"/>
        <v>#NUM!</v>
      </c>
      <c r="BI125" t="e">
        <f>VLOOKUP(H125,Sheet2!$A$1:$B$270,2,FALSE)</f>
        <v>#N/A</v>
      </c>
    </row>
    <row r="126" spans="15:61" hidden="1">
      <c r="O126" s="57"/>
      <c r="P126" s="57"/>
      <c r="AP126" s="57"/>
      <c r="BA126" s="57"/>
      <c r="BF126" s="6" t="e">
        <f t="shared" si="3"/>
        <v>#NUM!</v>
      </c>
      <c r="BG126" t="e">
        <f t="shared" si="4"/>
        <v>#NUM!</v>
      </c>
      <c r="BH126" t="e">
        <f t="shared" si="5"/>
        <v>#NUM!</v>
      </c>
      <c r="BI126" t="e">
        <f>VLOOKUP(H126,Sheet2!$A$1:$B$270,2,FALSE)</f>
        <v>#N/A</v>
      </c>
    </row>
    <row r="127" spans="15:61" hidden="1">
      <c r="O127" s="57"/>
      <c r="P127" s="57"/>
      <c r="AP127" s="57"/>
      <c r="BA127" s="57"/>
      <c r="BF127" s="6" t="e">
        <f t="shared" si="3"/>
        <v>#NUM!</v>
      </c>
      <c r="BG127" t="e">
        <f t="shared" si="4"/>
        <v>#NUM!</v>
      </c>
      <c r="BH127" t="e">
        <f t="shared" si="5"/>
        <v>#NUM!</v>
      </c>
      <c r="BI127" t="e">
        <f>VLOOKUP(H127,Sheet2!$A$1:$B$270,2,FALSE)</f>
        <v>#N/A</v>
      </c>
    </row>
    <row r="128" spans="15:61" hidden="1">
      <c r="O128" s="57"/>
      <c r="P128" s="57"/>
      <c r="BA128" s="57"/>
      <c r="BF128" s="6" t="e">
        <f t="shared" si="3"/>
        <v>#NUM!</v>
      </c>
      <c r="BG128" t="e">
        <f t="shared" si="4"/>
        <v>#NUM!</v>
      </c>
      <c r="BH128" t="e">
        <f t="shared" si="5"/>
        <v>#NUM!</v>
      </c>
      <c r="BI128" t="e">
        <f>VLOOKUP(H128,Sheet2!$A$1:$B$270,2,FALSE)</f>
        <v>#N/A</v>
      </c>
    </row>
    <row r="129" spans="15:61" hidden="1">
      <c r="O129" s="57"/>
      <c r="P129" s="57"/>
      <c r="BA129" s="57"/>
      <c r="BF129" s="6" t="e">
        <f t="shared" si="3"/>
        <v>#NUM!</v>
      </c>
      <c r="BG129" t="e">
        <f t="shared" si="4"/>
        <v>#NUM!</v>
      </c>
      <c r="BH129" t="e">
        <f t="shared" si="5"/>
        <v>#NUM!</v>
      </c>
      <c r="BI129" t="e">
        <f>VLOOKUP(H129,Sheet2!$A$1:$B$270,2,FALSE)</f>
        <v>#N/A</v>
      </c>
    </row>
    <row r="130" spans="15:61" hidden="1">
      <c r="O130" s="57"/>
      <c r="P130" s="57"/>
      <c r="AP130" s="57"/>
      <c r="BA130" s="57"/>
      <c r="BF130" s="6" t="e">
        <f t="shared" ref="BF130:BF193" si="6">DATE(BC130,BD130,BE130)</f>
        <v>#NUM!</v>
      </c>
      <c r="BG130" t="e">
        <f t="shared" ref="BG130:BG193" si="7">BF130-BA130</f>
        <v>#NUM!</v>
      </c>
      <c r="BH130" t="e">
        <f t="shared" ref="BH130:BH193" si="8">IF(BG130=1,"COMPLY",IF(BG130&lt;1,"COMPLY","NOT COMPLY"))</f>
        <v>#NUM!</v>
      </c>
      <c r="BI130" t="e">
        <f>VLOOKUP(H130,Sheet2!$A$1:$B$270,2,FALSE)</f>
        <v>#N/A</v>
      </c>
    </row>
    <row r="131" spans="15:61" hidden="1">
      <c r="O131" s="57"/>
      <c r="P131" s="57"/>
      <c r="AP131" s="57"/>
      <c r="BA131" s="57"/>
      <c r="BF131" s="6" t="e">
        <f t="shared" si="6"/>
        <v>#NUM!</v>
      </c>
      <c r="BG131" t="e">
        <f t="shared" si="7"/>
        <v>#NUM!</v>
      </c>
      <c r="BH131" t="e">
        <f t="shared" si="8"/>
        <v>#NUM!</v>
      </c>
      <c r="BI131" t="e">
        <f>VLOOKUP(H131,Sheet2!$A$1:$B$270,2,FALSE)</f>
        <v>#N/A</v>
      </c>
    </row>
    <row r="132" spans="15:61" hidden="1">
      <c r="O132" s="57"/>
      <c r="P132" s="57"/>
      <c r="AP132" s="57"/>
      <c r="BA132" s="57"/>
      <c r="BF132" s="6" t="e">
        <f t="shared" si="6"/>
        <v>#NUM!</v>
      </c>
      <c r="BG132" t="e">
        <f t="shared" si="7"/>
        <v>#NUM!</v>
      </c>
      <c r="BH132" t="e">
        <f t="shared" si="8"/>
        <v>#NUM!</v>
      </c>
      <c r="BI132" t="e">
        <f>VLOOKUP(H132,Sheet2!$A$1:$B$270,2,FALSE)</f>
        <v>#N/A</v>
      </c>
    </row>
    <row r="133" spans="15:61" hidden="1">
      <c r="O133" s="57"/>
      <c r="P133" s="57"/>
      <c r="AP133" s="57"/>
      <c r="BA133" s="57"/>
      <c r="BF133" s="6" t="e">
        <f t="shared" si="6"/>
        <v>#NUM!</v>
      </c>
      <c r="BG133" t="e">
        <f t="shared" si="7"/>
        <v>#NUM!</v>
      </c>
      <c r="BH133" t="e">
        <f t="shared" si="8"/>
        <v>#NUM!</v>
      </c>
      <c r="BI133" t="e">
        <f>VLOOKUP(H133,Sheet2!$A$1:$B$270,2,FALSE)</f>
        <v>#N/A</v>
      </c>
    </row>
    <row r="134" spans="15:61" hidden="1">
      <c r="O134" s="57"/>
      <c r="P134" s="57"/>
      <c r="BF134" s="6" t="e">
        <f t="shared" si="6"/>
        <v>#NUM!</v>
      </c>
      <c r="BG134" t="e">
        <f t="shared" si="7"/>
        <v>#NUM!</v>
      </c>
      <c r="BH134" t="e">
        <f t="shared" si="8"/>
        <v>#NUM!</v>
      </c>
      <c r="BI134" t="e">
        <f>VLOOKUP(H134,Sheet2!$A$1:$B$270,2,FALSE)</f>
        <v>#N/A</v>
      </c>
    </row>
    <row r="135" spans="15:61" hidden="1">
      <c r="O135" s="57"/>
      <c r="P135" s="57"/>
      <c r="AO135" s="57"/>
      <c r="AP135" s="57"/>
      <c r="BA135" s="57"/>
      <c r="BF135" s="6" t="e">
        <f t="shared" si="6"/>
        <v>#NUM!</v>
      </c>
      <c r="BG135" t="e">
        <f t="shared" si="7"/>
        <v>#NUM!</v>
      </c>
      <c r="BH135" t="e">
        <f t="shared" si="8"/>
        <v>#NUM!</v>
      </c>
      <c r="BI135" t="e">
        <f>VLOOKUP(H135,Sheet2!$A$1:$B$270,2,FALSE)</f>
        <v>#N/A</v>
      </c>
    </row>
    <row r="136" spans="15:61" hidden="1">
      <c r="O136" s="57"/>
      <c r="P136" s="57"/>
      <c r="BF136" s="6" t="e">
        <f t="shared" si="6"/>
        <v>#NUM!</v>
      </c>
      <c r="BG136" t="e">
        <f t="shared" si="7"/>
        <v>#NUM!</v>
      </c>
      <c r="BH136" t="e">
        <f t="shared" si="8"/>
        <v>#NUM!</v>
      </c>
      <c r="BI136" t="e">
        <f>VLOOKUP(H136,Sheet2!$A$1:$B$270,2,FALSE)</f>
        <v>#N/A</v>
      </c>
    </row>
    <row r="137" spans="15:61" hidden="1">
      <c r="O137" s="57"/>
      <c r="P137" s="57"/>
      <c r="AP137" s="57"/>
      <c r="BA137" s="57"/>
      <c r="BF137" s="6" t="e">
        <f t="shared" si="6"/>
        <v>#NUM!</v>
      </c>
      <c r="BG137" t="e">
        <f t="shared" si="7"/>
        <v>#NUM!</v>
      </c>
      <c r="BH137" t="e">
        <f t="shared" si="8"/>
        <v>#NUM!</v>
      </c>
      <c r="BI137" t="e">
        <f>VLOOKUP(H137,Sheet2!$A$1:$B$270,2,FALSE)</f>
        <v>#N/A</v>
      </c>
    </row>
    <row r="138" spans="15:61" hidden="1">
      <c r="O138" s="57"/>
      <c r="P138" s="57"/>
      <c r="BF138" s="6" t="e">
        <f t="shared" si="6"/>
        <v>#NUM!</v>
      </c>
      <c r="BG138" t="e">
        <f t="shared" si="7"/>
        <v>#NUM!</v>
      </c>
      <c r="BH138" t="e">
        <f t="shared" si="8"/>
        <v>#NUM!</v>
      </c>
      <c r="BI138" t="e">
        <f>VLOOKUP(H138,Sheet2!$A$1:$B$270,2,FALSE)</f>
        <v>#N/A</v>
      </c>
    </row>
    <row r="139" spans="15:61" hidden="1">
      <c r="O139" s="57"/>
      <c r="P139" s="57"/>
      <c r="AP139" s="57"/>
      <c r="BA139" s="57"/>
      <c r="BF139" s="6" t="e">
        <f t="shared" si="6"/>
        <v>#NUM!</v>
      </c>
      <c r="BG139" t="e">
        <f t="shared" si="7"/>
        <v>#NUM!</v>
      </c>
      <c r="BH139" t="e">
        <f t="shared" si="8"/>
        <v>#NUM!</v>
      </c>
      <c r="BI139" t="e">
        <f>VLOOKUP(H139,Sheet2!$A$1:$B$270,2,FALSE)</f>
        <v>#N/A</v>
      </c>
    </row>
    <row r="140" spans="15:61" hidden="1">
      <c r="O140" s="57"/>
      <c r="P140" s="57"/>
      <c r="AP140" s="57"/>
      <c r="BA140" s="57"/>
      <c r="BF140" s="6" t="e">
        <f t="shared" si="6"/>
        <v>#NUM!</v>
      </c>
      <c r="BG140" t="e">
        <f t="shared" si="7"/>
        <v>#NUM!</v>
      </c>
      <c r="BH140" t="e">
        <f t="shared" si="8"/>
        <v>#NUM!</v>
      </c>
      <c r="BI140" t="e">
        <f>VLOOKUP(H140,Sheet2!$A$1:$B$270,2,FALSE)</f>
        <v>#N/A</v>
      </c>
    </row>
    <row r="141" spans="15:61" hidden="1">
      <c r="O141" s="57"/>
      <c r="P141" s="57"/>
      <c r="AP141" s="57"/>
      <c r="BA141" s="57"/>
      <c r="BF141" s="6" t="e">
        <f t="shared" si="6"/>
        <v>#NUM!</v>
      </c>
      <c r="BG141" t="e">
        <f t="shared" si="7"/>
        <v>#NUM!</v>
      </c>
      <c r="BH141" t="e">
        <f t="shared" si="8"/>
        <v>#NUM!</v>
      </c>
      <c r="BI141" t="e">
        <f>VLOOKUP(H141,Sheet2!$A$1:$B$270,2,FALSE)</f>
        <v>#N/A</v>
      </c>
    </row>
    <row r="142" spans="15:61" hidden="1">
      <c r="O142" s="57"/>
      <c r="P142" s="57"/>
      <c r="AO142" s="57"/>
      <c r="AP142" s="57"/>
      <c r="BA142" s="57"/>
      <c r="BF142" s="6" t="e">
        <f t="shared" si="6"/>
        <v>#NUM!</v>
      </c>
      <c r="BG142" t="e">
        <f t="shared" si="7"/>
        <v>#NUM!</v>
      </c>
      <c r="BH142" t="e">
        <f t="shared" si="8"/>
        <v>#NUM!</v>
      </c>
      <c r="BI142" t="e">
        <f>VLOOKUP(H142,Sheet2!$A$1:$B$270,2,FALSE)</f>
        <v>#N/A</v>
      </c>
    </row>
    <row r="143" spans="15:61" hidden="1">
      <c r="O143" s="57"/>
      <c r="P143" s="57"/>
      <c r="AP143" s="57"/>
      <c r="BA143" s="57"/>
      <c r="BF143" s="6" t="e">
        <f t="shared" si="6"/>
        <v>#NUM!</v>
      </c>
      <c r="BG143" t="e">
        <f t="shared" si="7"/>
        <v>#NUM!</v>
      </c>
      <c r="BH143" t="e">
        <f t="shared" si="8"/>
        <v>#NUM!</v>
      </c>
      <c r="BI143" t="e">
        <f>VLOOKUP(H143,Sheet2!$A$1:$B$270,2,FALSE)</f>
        <v>#N/A</v>
      </c>
    </row>
    <row r="144" spans="15:61" hidden="1">
      <c r="O144" s="57"/>
      <c r="P144" s="57"/>
      <c r="BA144" s="57"/>
      <c r="BF144" s="6" t="e">
        <f t="shared" si="6"/>
        <v>#NUM!</v>
      </c>
      <c r="BG144" t="e">
        <f t="shared" si="7"/>
        <v>#NUM!</v>
      </c>
      <c r="BH144" t="e">
        <f t="shared" si="8"/>
        <v>#NUM!</v>
      </c>
      <c r="BI144" t="e">
        <f>VLOOKUP(H144,Sheet2!$A$1:$B$270,2,FALSE)</f>
        <v>#N/A</v>
      </c>
    </row>
    <row r="145" spans="15:61" hidden="1">
      <c r="O145" s="57"/>
      <c r="P145" s="57"/>
      <c r="AO145" s="57"/>
      <c r="AP145" s="57"/>
      <c r="BA145" s="57"/>
      <c r="BF145" s="6" t="e">
        <f t="shared" si="6"/>
        <v>#NUM!</v>
      </c>
      <c r="BG145" t="e">
        <f t="shared" si="7"/>
        <v>#NUM!</v>
      </c>
      <c r="BH145" t="e">
        <f t="shared" si="8"/>
        <v>#NUM!</v>
      </c>
      <c r="BI145" t="e">
        <f>VLOOKUP(H145,Sheet2!$A$1:$B$270,2,FALSE)</f>
        <v>#N/A</v>
      </c>
    </row>
    <row r="146" spans="15:61" hidden="1">
      <c r="O146" s="57"/>
      <c r="P146" s="57"/>
      <c r="AO146" s="57"/>
      <c r="BA146" s="57"/>
      <c r="BF146" s="6" t="e">
        <f t="shared" si="6"/>
        <v>#NUM!</v>
      </c>
      <c r="BG146" t="e">
        <f t="shared" si="7"/>
        <v>#NUM!</v>
      </c>
      <c r="BH146" t="e">
        <f t="shared" si="8"/>
        <v>#NUM!</v>
      </c>
      <c r="BI146" t="e">
        <f>VLOOKUP(H146,Sheet2!$A$1:$B$270,2,FALSE)</f>
        <v>#N/A</v>
      </c>
    </row>
    <row r="147" spans="15:61" hidden="1">
      <c r="O147" s="57"/>
      <c r="P147" s="57"/>
      <c r="AP147" s="57"/>
      <c r="BA147" s="57"/>
      <c r="BF147" s="6" t="e">
        <f t="shared" si="6"/>
        <v>#NUM!</v>
      </c>
      <c r="BG147" t="e">
        <f t="shared" si="7"/>
        <v>#NUM!</v>
      </c>
      <c r="BH147" t="e">
        <f t="shared" si="8"/>
        <v>#NUM!</v>
      </c>
      <c r="BI147" t="e">
        <f>VLOOKUP(H147,Sheet2!$A$1:$B$270,2,FALSE)</f>
        <v>#N/A</v>
      </c>
    </row>
    <row r="148" spans="15:61" hidden="1">
      <c r="O148" s="57"/>
      <c r="P148" s="57"/>
      <c r="BA148" s="57"/>
      <c r="BF148" s="6" t="e">
        <f t="shared" si="6"/>
        <v>#NUM!</v>
      </c>
      <c r="BG148" t="e">
        <f t="shared" si="7"/>
        <v>#NUM!</v>
      </c>
      <c r="BH148" t="e">
        <f t="shared" si="8"/>
        <v>#NUM!</v>
      </c>
      <c r="BI148" t="e">
        <f>VLOOKUP(H148,Sheet2!$A$1:$B$270,2,FALSE)</f>
        <v>#N/A</v>
      </c>
    </row>
    <row r="149" spans="15:61" hidden="1">
      <c r="O149" s="57"/>
      <c r="P149" s="57"/>
      <c r="BA149" s="57"/>
      <c r="BF149" s="6" t="e">
        <f t="shared" si="6"/>
        <v>#NUM!</v>
      </c>
      <c r="BG149" t="e">
        <f t="shared" si="7"/>
        <v>#NUM!</v>
      </c>
      <c r="BH149" t="e">
        <f t="shared" si="8"/>
        <v>#NUM!</v>
      </c>
      <c r="BI149" t="e">
        <f>VLOOKUP(H149,Sheet2!$A$1:$B$270,2,FALSE)</f>
        <v>#N/A</v>
      </c>
    </row>
    <row r="150" spans="15:61" hidden="1">
      <c r="O150" s="57"/>
      <c r="P150" s="57"/>
      <c r="AO150" s="57"/>
      <c r="AP150" s="57"/>
      <c r="BA150" s="57"/>
      <c r="BF150" s="6" t="e">
        <f t="shared" si="6"/>
        <v>#NUM!</v>
      </c>
      <c r="BG150" t="e">
        <f t="shared" si="7"/>
        <v>#NUM!</v>
      </c>
      <c r="BH150" t="e">
        <f t="shared" si="8"/>
        <v>#NUM!</v>
      </c>
      <c r="BI150" t="e">
        <f>VLOOKUP(H150,Sheet2!$A$1:$B$270,2,FALSE)</f>
        <v>#N/A</v>
      </c>
    </row>
    <row r="151" spans="15:61" hidden="1">
      <c r="O151" s="57"/>
      <c r="P151" s="57"/>
      <c r="AO151" s="57"/>
      <c r="AP151" s="57"/>
      <c r="BA151" s="57"/>
      <c r="BF151" s="6" t="e">
        <f t="shared" si="6"/>
        <v>#NUM!</v>
      </c>
      <c r="BG151" t="e">
        <f t="shared" si="7"/>
        <v>#NUM!</v>
      </c>
      <c r="BH151" t="e">
        <f t="shared" si="8"/>
        <v>#NUM!</v>
      </c>
      <c r="BI151" t="e">
        <f>VLOOKUP(H151,Sheet2!$A$1:$B$270,2,FALSE)</f>
        <v>#N/A</v>
      </c>
    </row>
    <row r="152" spans="15:61" hidden="1">
      <c r="O152" s="57"/>
      <c r="P152" s="57"/>
      <c r="AP152" s="57"/>
      <c r="BA152" s="57"/>
      <c r="BF152" s="6" t="e">
        <f t="shared" si="6"/>
        <v>#NUM!</v>
      </c>
      <c r="BG152" t="e">
        <f t="shared" si="7"/>
        <v>#NUM!</v>
      </c>
      <c r="BH152" t="e">
        <f t="shared" si="8"/>
        <v>#NUM!</v>
      </c>
      <c r="BI152" t="e">
        <f>VLOOKUP(H152,Sheet2!$A$1:$B$270,2,FALSE)</f>
        <v>#N/A</v>
      </c>
    </row>
    <row r="153" spans="15:61" hidden="1">
      <c r="O153" s="57"/>
      <c r="P153" s="57"/>
      <c r="AP153" s="57"/>
      <c r="BA153" s="57"/>
      <c r="BF153" s="6" t="e">
        <f t="shared" si="6"/>
        <v>#NUM!</v>
      </c>
      <c r="BG153" t="e">
        <f t="shared" si="7"/>
        <v>#NUM!</v>
      </c>
      <c r="BH153" t="e">
        <f t="shared" si="8"/>
        <v>#NUM!</v>
      </c>
      <c r="BI153" t="e">
        <f>VLOOKUP(H153,Sheet2!$A$1:$B$270,2,FALSE)</f>
        <v>#N/A</v>
      </c>
    </row>
    <row r="154" spans="15:61" hidden="1">
      <c r="O154" s="57"/>
      <c r="P154" s="57"/>
      <c r="AO154" s="57"/>
      <c r="AP154" s="57"/>
      <c r="BA154" s="57"/>
      <c r="BF154" s="6" t="e">
        <f t="shared" si="6"/>
        <v>#NUM!</v>
      </c>
      <c r="BG154" t="e">
        <f t="shared" si="7"/>
        <v>#NUM!</v>
      </c>
      <c r="BH154" t="e">
        <f t="shared" si="8"/>
        <v>#NUM!</v>
      </c>
      <c r="BI154" t="e">
        <f>VLOOKUP(H154,Sheet2!$A$1:$B$270,2,FALSE)</f>
        <v>#N/A</v>
      </c>
    </row>
    <row r="155" spans="15:61" hidden="1">
      <c r="O155" s="57"/>
      <c r="P155" s="57"/>
      <c r="AO155" s="57"/>
      <c r="AP155" s="57"/>
      <c r="BA155" s="57"/>
      <c r="BF155" s="6" t="e">
        <f t="shared" si="6"/>
        <v>#NUM!</v>
      </c>
      <c r="BG155" t="e">
        <f t="shared" si="7"/>
        <v>#NUM!</v>
      </c>
      <c r="BH155" t="e">
        <f t="shared" si="8"/>
        <v>#NUM!</v>
      </c>
      <c r="BI155" t="e">
        <f>VLOOKUP(H155,Sheet2!$A$1:$B$270,2,FALSE)</f>
        <v>#N/A</v>
      </c>
    </row>
    <row r="156" spans="15:61" hidden="1">
      <c r="O156" s="57"/>
      <c r="P156" s="57"/>
      <c r="AO156" s="57"/>
      <c r="AP156" s="57"/>
      <c r="BA156" s="57"/>
      <c r="BF156" s="6" t="e">
        <f t="shared" si="6"/>
        <v>#NUM!</v>
      </c>
      <c r="BG156" t="e">
        <f t="shared" si="7"/>
        <v>#NUM!</v>
      </c>
      <c r="BH156" t="e">
        <f t="shared" si="8"/>
        <v>#NUM!</v>
      </c>
      <c r="BI156" t="e">
        <f>VLOOKUP(H156,Sheet2!$A$1:$B$270,2,FALSE)</f>
        <v>#N/A</v>
      </c>
    </row>
    <row r="157" spans="15:61" hidden="1">
      <c r="O157" s="57"/>
      <c r="P157" s="57"/>
      <c r="AO157" s="57"/>
      <c r="AP157" s="57"/>
      <c r="BA157" s="57"/>
      <c r="BF157" s="6" t="e">
        <f t="shared" si="6"/>
        <v>#NUM!</v>
      </c>
      <c r="BG157" t="e">
        <f t="shared" si="7"/>
        <v>#NUM!</v>
      </c>
      <c r="BH157" t="e">
        <f t="shared" si="8"/>
        <v>#NUM!</v>
      </c>
      <c r="BI157" t="e">
        <f>VLOOKUP(H157,Sheet2!$A$1:$B$270,2,FALSE)</f>
        <v>#N/A</v>
      </c>
    </row>
    <row r="158" spans="15:61" hidden="1">
      <c r="O158" s="57"/>
      <c r="P158" s="57"/>
      <c r="AO158" s="57"/>
      <c r="BA158" s="57"/>
      <c r="BF158" s="6" t="e">
        <f t="shared" si="6"/>
        <v>#NUM!</v>
      </c>
      <c r="BG158" t="e">
        <f t="shared" si="7"/>
        <v>#NUM!</v>
      </c>
      <c r="BH158" t="e">
        <f t="shared" si="8"/>
        <v>#NUM!</v>
      </c>
      <c r="BI158" t="e">
        <f>VLOOKUP(H158,Sheet2!$A$1:$B$270,2,FALSE)</f>
        <v>#N/A</v>
      </c>
    </row>
    <row r="159" spans="15:61" hidden="1">
      <c r="O159" s="57"/>
      <c r="P159" s="57"/>
      <c r="AO159" s="57"/>
      <c r="BA159" s="57"/>
      <c r="BF159" s="6" t="e">
        <f t="shared" si="6"/>
        <v>#NUM!</v>
      </c>
      <c r="BG159" t="e">
        <f t="shared" si="7"/>
        <v>#NUM!</v>
      </c>
      <c r="BH159" t="e">
        <f t="shared" si="8"/>
        <v>#NUM!</v>
      </c>
      <c r="BI159" t="e">
        <f>VLOOKUP(H159,Sheet2!$A$1:$B$270,2,FALSE)</f>
        <v>#N/A</v>
      </c>
    </row>
    <row r="160" spans="15:61" hidden="1">
      <c r="O160" s="57"/>
      <c r="P160" s="57"/>
      <c r="AO160" s="57"/>
      <c r="AP160" s="57"/>
      <c r="BA160" s="57"/>
      <c r="BF160" s="6" t="e">
        <f t="shared" si="6"/>
        <v>#NUM!</v>
      </c>
      <c r="BG160" t="e">
        <f t="shared" si="7"/>
        <v>#NUM!</v>
      </c>
      <c r="BH160" t="e">
        <f t="shared" si="8"/>
        <v>#NUM!</v>
      </c>
      <c r="BI160" t="e">
        <f>VLOOKUP(H160,Sheet2!$A$1:$B$270,2,FALSE)</f>
        <v>#N/A</v>
      </c>
    </row>
    <row r="161" spans="15:61" hidden="1">
      <c r="O161" s="57"/>
      <c r="P161" s="57"/>
      <c r="AO161" s="57"/>
      <c r="AP161" s="57"/>
      <c r="BA161" s="57"/>
      <c r="BF161" s="6" t="e">
        <f t="shared" si="6"/>
        <v>#NUM!</v>
      </c>
      <c r="BG161" t="e">
        <f t="shared" si="7"/>
        <v>#NUM!</v>
      </c>
      <c r="BH161" t="e">
        <f t="shared" si="8"/>
        <v>#NUM!</v>
      </c>
      <c r="BI161" t="e">
        <f>VLOOKUP(H161,Sheet2!$A$1:$B$270,2,FALSE)</f>
        <v>#N/A</v>
      </c>
    </row>
    <row r="162" spans="15:61" hidden="1">
      <c r="O162" s="57"/>
      <c r="P162" s="57"/>
      <c r="BA162" s="57"/>
      <c r="BF162" s="6" t="e">
        <f t="shared" si="6"/>
        <v>#NUM!</v>
      </c>
      <c r="BG162" t="e">
        <f t="shared" si="7"/>
        <v>#NUM!</v>
      </c>
      <c r="BH162" t="e">
        <f t="shared" si="8"/>
        <v>#NUM!</v>
      </c>
      <c r="BI162" t="e">
        <f>VLOOKUP(H162,Sheet2!$A$1:$B$270,2,FALSE)</f>
        <v>#N/A</v>
      </c>
    </row>
    <row r="163" spans="15:61" hidden="1">
      <c r="O163" s="57"/>
      <c r="P163" s="57"/>
      <c r="AP163" s="57"/>
      <c r="BA163" s="57"/>
      <c r="BF163" s="6" t="e">
        <f t="shared" si="6"/>
        <v>#NUM!</v>
      </c>
      <c r="BG163" t="e">
        <f t="shared" si="7"/>
        <v>#NUM!</v>
      </c>
      <c r="BH163" t="e">
        <f t="shared" si="8"/>
        <v>#NUM!</v>
      </c>
      <c r="BI163" t="e">
        <f>VLOOKUP(H163,Sheet2!$A$1:$B$270,2,FALSE)</f>
        <v>#N/A</v>
      </c>
    </row>
    <row r="164" spans="15:61" hidden="1">
      <c r="O164" s="57"/>
      <c r="P164" s="57"/>
      <c r="AP164" s="57"/>
      <c r="BA164" s="57"/>
      <c r="BF164" s="6" t="e">
        <f t="shared" si="6"/>
        <v>#NUM!</v>
      </c>
      <c r="BG164" t="e">
        <f t="shared" si="7"/>
        <v>#NUM!</v>
      </c>
      <c r="BH164" t="e">
        <f t="shared" si="8"/>
        <v>#NUM!</v>
      </c>
      <c r="BI164" t="e">
        <f>VLOOKUP(H164,Sheet2!$A$1:$B$270,2,FALSE)</f>
        <v>#N/A</v>
      </c>
    </row>
    <row r="165" spans="15:61" hidden="1">
      <c r="O165" s="57"/>
      <c r="P165" s="57"/>
      <c r="AP165" s="57"/>
      <c r="BA165" s="57"/>
      <c r="BF165" s="6" t="e">
        <f t="shared" si="6"/>
        <v>#NUM!</v>
      </c>
      <c r="BG165" t="e">
        <f t="shared" si="7"/>
        <v>#NUM!</v>
      </c>
      <c r="BH165" t="e">
        <f t="shared" si="8"/>
        <v>#NUM!</v>
      </c>
      <c r="BI165" t="e">
        <f>VLOOKUP(H165,Sheet2!$A$1:$B$270,2,FALSE)</f>
        <v>#N/A</v>
      </c>
    </row>
    <row r="166" spans="15:61" hidden="1">
      <c r="O166" s="57"/>
      <c r="P166" s="57"/>
      <c r="AP166" s="57"/>
      <c r="BA166" s="57"/>
      <c r="BF166" s="6" t="e">
        <f t="shared" si="6"/>
        <v>#NUM!</v>
      </c>
      <c r="BG166" t="e">
        <f t="shared" si="7"/>
        <v>#NUM!</v>
      </c>
      <c r="BH166" t="e">
        <f t="shared" si="8"/>
        <v>#NUM!</v>
      </c>
      <c r="BI166" t="e">
        <f>VLOOKUP(H166,Sheet2!$A$1:$B$270,2,FALSE)</f>
        <v>#N/A</v>
      </c>
    </row>
    <row r="167" spans="15:61" hidden="1">
      <c r="O167" s="57"/>
      <c r="P167" s="57"/>
      <c r="AP167" s="57"/>
      <c r="BA167" s="57"/>
      <c r="BF167" s="6" t="e">
        <f t="shared" si="6"/>
        <v>#NUM!</v>
      </c>
      <c r="BG167" t="e">
        <f t="shared" si="7"/>
        <v>#NUM!</v>
      </c>
      <c r="BH167" t="e">
        <f t="shared" si="8"/>
        <v>#NUM!</v>
      </c>
      <c r="BI167" t="e">
        <f>VLOOKUP(H167,Sheet2!$A$1:$B$270,2,FALSE)</f>
        <v>#N/A</v>
      </c>
    </row>
    <row r="168" spans="15:61" hidden="1">
      <c r="O168" s="57"/>
      <c r="P168" s="57"/>
      <c r="AP168" s="57"/>
      <c r="BA168" s="57"/>
      <c r="BF168" s="6" t="e">
        <f t="shared" si="6"/>
        <v>#NUM!</v>
      </c>
      <c r="BG168" t="e">
        <f t="shared" si="7"/>
        <v>#NUM!</v>
      </c>
      <c r="BH168" t="e">
        <f t="shared" si="8"/>
        <v>#NUM!</v>
      </c>
      <c r="BI168" t="e">
        <f>VLOOKUP(H168,Sheet2!$A$1:$B$270,2,FALSE)</f>
        <v>#N/A</v>
      </c>
    </row>
    <row r="169" spans="15:61" hidden="1">
      <c r="O169" s="57"/>
      <c r="P169" s="57"/>
      <c r="AP169" s="57"/>
      <c r="BA169" s="57"/>
      <c r="BF169" s="6" t="e">
        <f t="shared" si="6"/>
        <v>#NUM!</v>
      </c>
      <c r="BG169" t="e">
        <f t="shared" si="7"/>
        <v>#NUM!</v>
      </c>
      <c r="BH169" t="e">
        <f t="shared" si="8"/>
        <v>#NUM!</v>
      </c>
      <c r="BI169" t="e">
        <f>VLOOKUP(H169,Sheet2!$A$1:$B$270,2,FALSE)</f>
        <v>#N/A</v>
      </c>
    </row>
    <row r="170" spans="15:61" hidden="1">
      <c r="O170" s="57"/>
      <c r="P170" s="57"/>
      <c r="AP170" s="57"/>
      <c r="BA170" s="57"/>
      <c r="BF170" s="6" t="e">
        <f t="shared" si="6"/>
        <v>#NUM!</v>
      </c>
      <c r="BG170" t="e">
        <f t="shared" si="7"/>
        <v>#NUM!</v>
      </c>
      <c r="BH170" t="e">
        <f t="shared" si="8"/>
        <v>#NUM!</v>
      </c>
      <c r="BI170" t="e">
        <f>VLOOKUP(H170,Sheet2!$A$1:$B$270,2,FALSE)</f>
        <v>#N/A</v>
      </c>
    </row>
    <row r="171" spans="15:61" hidden="1">
      <c r="O171" s="57"/>
      <c r="P171" s="57"/>
      <c r="AM171" s="58"/>
      <c r="BA171" s="57"/>
      <c r="BB171" s="58"/>
      <c r="BF171" s="6" t="e">
        <f t="shared" si="6"/>
        <v>#NUM!</v>
      </c>
      <c r="BG171" t="e">
        <f t="shared" si="7"/>
        <v>#NUM!</v>
      </c>
      <c r="BH171" t="e">
        <f t="shared" si="8"/>
        <v>#NUM!</v>
      </c>
      <c r="BI171" t="e">
        <f>VLOOKUP(H171,Sheet2!$A$1:$B$270,2,FALSE)</f>
        <v>#N/A</v>
      </c>
    </row>
    <row r="172" spans="15:61" hidden="1">
      <c r="O172" s="57"/>
      <c r="P172" s="57"/>
      <c r="AP172" s="57"/>
      <c r="BA172" s="57"/>
      <c r="BF172" s="6" t="e">
        <f t="shared" si="6"/>
        <v>#NUM!</v>
      </c>
      <c r="BG172" t="e">
        <f t="shared" si="7"/>
        <v>#NUM!</v>
      </c>
      <c r="BH172" t="e">
        <f t="shared" si="8"/>
        <v>#NUM!</v>
      </c>
      <c r="BI172" t="e">
        <f>VLOOKUP(H172,Sheet2!$A$1:$B$270,2,FALSE)</f>
        <v>#N/A</v>
      </c>
    </row>
    <row r="173" spans="15:61" hidden="1">
      <c r="O173" s="57"/>
      <c r="P173" s="57"/>
      <c r="AP173" s="57"/>
      <c r="BA173" s="57"/>
      <c r="BF173" s="6" t="e">
        <f t="shared" si="6"/>
        <v>#NUM!</v>
      </c>
      <c r="BG173" t="e">
        <f t="shared" si="7"/>
        <v>#NUM!</v>
      </c>
      <c r="BH173" t="e">
        <f t="shared" si="8"/>
        <v>#NUM!</v>
      </c>
      <c r="BI173" t="e">
        <f>VLOOKUP(H173,Sheet2!$A$1:$B$270,2,FALSE)</f>
        <v>#N/A</v>
      </c>
    </row>
    <row r="174" spans="15:61" hidden="1">
      <c r="O174" s="57"/>
      <c r="P174" s="57"/>
      <c r="AO174" s="57"/>
      <c r="BA174" s="57"/>
      <c r="BF174" s="6" t="e">
        <f t="shared" si="6"/>
        <v>#NUM!</v>
      </c>
      <c r="BG174" t="e">
        <f t="shared" si="7"/>
        <v>#NUM!</v>
      </c>
      <c r="BH174" t="e">
        <f t="shared" si="8"/>
        <v>#NUM!</v>
      </c>
      <c r="BI174" t="e">
        <f>VLOOKUP(H174,Sheet2!$A$1:$B$270,2,FALSE)</f>
        <v>#N/A</v>
      </c>
    </row>
    <row r="175" spans="15:61" hidden="1">
      <c r="O175" s="57"/>
      <c r="P175" s="57"/>
      <c r="AP175" s="57"/>
      <c r="BA175" s="57"/>
      <c r="BF175" s="6" t="e">
        <f t="shared" si="6"/>
        <v>#NUM!</v>
      </c>
      <c r="BG175" t="e">
        <f t="shared" si="7"/>
        <v>#NUM!</v>
      </c>
      <c r="BH175" t="e">
        <f t="shared" si="8"/>
        <v>#NUM!</v>
      </c>
      <c r="BI175" t="e">
        <f>VLOOKUP(H175,Sheet2!$A$1:$B$270,2,FALSE)</f>
        <v>#N/A</v>
      </c>
    </row>
    <row r="176" spans="15:61" hidden="1">
      <c r="O176" s="57"/>
      <c r="P176" s="57"/>
      <c r="AO176" s="57"/>
      <c r="AP176" s="57"/>
      <c r="BA176" s="57"/>
      <c r="BF176" s="6" t="e">
        <f t="shared" si="6"/>
        <v>#NUM!</v>
      </c>
      <c r="BG176" t="e">
        <f t="shared" si="7"/>
        <v>#NUM!</v>
      </c>
      <c r="BH176" t="e">
        <f t="shared" si="8"/>
        <v>#NUM!</v>
      </c>
      <c r="BI176" t="e">
        <f>VLOOKUP(H176,Sheet2!$A$1:$B$270,2,FALSE)</f>
        <v>#N/A</v>
      </c>
    </row>
    <row r="177" spans="15:61" hidden="1">
      <c r="O177" s="57"/>
      <c r="P177" s="57"/>
      <c r="AO177" s="57"/>
      <c r="AP177" s="57"/>
      <c r="BA177" s="57"/>
      <c r="BF177" s="6" t="e">
        <f t="shared" si="6"/>
        <v>#NUM!</v>
      </c>
      <c r="BG177" t="e">
        <f t="shared" si="7"/>
        <v>#NUM!</v>
      </c>
      <c r="BH177" t="e">
        <f t="shared" si="8"/>
        <v>#NUM!</v>
      </c>
      <c r="BI177" t="e">
        <f>VLOOKUP(H177,Sheet2!$A$1:$B$270,2,FALSE)</f>
        <v>#N/A</v>
      </c>
    </row>
    <row r="178" spans="15:61" hidden="1">
      <c r="O178" s="57"/>
      <c r="P178" s="57"/>
      <c r="AO178" s="57"/>
      <c r="AP178" s="57"/>
      <c r="BA178" s="57"/>
      <c r="BF178" s="6" t="e">
        <f t="shared" si="6"/>
        <v>#NUM!</v>
      </c>
      <c r="BG178" t="e">
        <f t="shared" si="7"/>
        <v>#NUM!</v>
      </c>
      <c r="BH178" t="e">
        <f t="shared" si="8"/>
        <v>#NUM!</v>
      </c>
      <c r="BI178" t="e">
        <f>VLOOKUP(H178,Sheet2!$A$1:$B$270,2,FALSE)</f>
        <v>#N/A</v>
      </c>
    </row>
    <row r="179" spans="15:61" hidden="1">
      <c r="O179" s="57"/>
      <c r="P179" s="57"/>
      <c r="AO179" s="57"/>
      <c r="AP179" s="57"/>
      <c r="BA179" s="57"/>
      <c r="BF179" s="6" t="e">
        <f t="shared" si="6"/>
        <v>#NUM!</v>
      </c>
      <c r="BG179" t="e">
        <f t="shared" si="7"/>
        <v>#NUM!</v>
      </c>
      <c r="BH179" t="e">
        <f t="shared" si="8"/>
        <v>#NUM!</v>
      </c>
      <c r="BI179" t="e">
        <f>VLOOKUP(H179,Sheet2!$A$1:$B$270,2,FALSE)</f>
        <v>#N/A</v>
      </c>
    </row>
    <row r="180" spans="15:61" hidden="1">
      <c r="O180" s="57"/>
      <c r="P180" s="57"/>
      <c r="AO180" s="57"/>
      <c r="AP180" s="57"/>
      <c r="BA180" s="57"/>
      <c r="BF180" s="6" t="e">
        <f t="shared" si="6"/>
        <v>#NUM!</v>
      </c>
      <c r="BG180" t="e">
        <f t="shared" si="7"/>
        <v>#NUM!</v>
      </c>
      <c r="BH180" t="e">
        <f t="shared" si="8"/>
        <v>#NUM!</v>
      </c>
      <c r="BI180" t="e">
        <f>VLOOKUP(H180,Sheet2!$A$1:$B$270,2,FALSE)</f>
        <v>#N/A</v>
      </c>
    </row>
    <row r="181" spans="15:61" hidden="1">
      <c r="O181" s="57"/>
      <c r="P181" s="57"/>
      <c r="AO181" s="57"/>
      <c r="AP181" s="57"/>
      <c r="BA181" s="57"/>
      <c r="BF181" s="6" t="e">
        <f t="shared" si="6"/>
        <v>#NUM!</v>
      </c>
      <c r="BG181" t="e">
        <f t="shared" si="7"/>
        <v>#NUM!</v>
      </c>
      <c r="BH181" t="e">
        <f t="shared" si="8"/>
        <v>#NUM!</v>
      </c>
      <c r="BI181" t="e">
        <f>VLOOKUP(H181,Sheet2!$A$1:$B$270,2,FALSE)</f>
        <v>#N/A</v>
      </c>
    </row>
    <row r="182" spans="15:61" hidden="1">
      <c r="O182" s="57"/>
      <c r="P182" s="57"/>
      <c r="AO182" s="57"/>
      <c r="AP182" s="57"/>
      <c r="BA182" s="57"/>
      <c r="BF182" s="6" t="e">
        <f t="shared" si="6"/>
        <v>#NUM!</v>
      </c>
      <c r="BG182" t="e">
        <f t="shared" si="7"/>
        <v>#NUM!</v>
      </c>
      <c r="BH182" t="e">
        <f t="shared" si="8"/>
        <v>#NUM!</v>
      </c>
      <c r="BI182" t="e">
        <f>VLOOKUP(H182,Sheet2!$A$1:$B$270,2,FALSE)</f>
        <v>#N/A</v>
      </c>
    </row>
    <row r="183" spans="15:61" hidden="1">
      <c r="O183" s="57"/>
      <c r="P183" s="57"/>
      <c r="AO183" s="57"/>
      <c r="AP183" s="57"/>
      <c r="BA183" s="57"/>
      <c r="BF183" s="6" t="e">
        <f t="shared" si="6"/>
        <v>#NUM!</v>
      </c>
      <c r="BG183" t="e">
        <f t="shared" si="7"/>
        <v>#NUM!</v>
      </c>
      <c r="BH183" t="e">
        <f t="shared" si="8"/>
        <v>#NUM!</v>
      </c>
      <c r="BI183" t="e">
        <f>VLOOKUP(H183,Sheet2!$A$1:$B$270,2,FALSE)</f>
        <v>#N/A</v>
      </c>
    </row>
    <row r="184" spans="15:61" hidden="1">
      <c r="O184" s="57"/>
      <c r="P184" s="57"/>
      <c r="BA184" s="57"/>
      <c r="BF184" s="6" t="e">
        <f t="shared" si="6"/>
        <v>#NUM!</v>
      </c>
      <c r="BG184" t="e">
        <f t="shared" si="7"/>
        <v>#NUM!</v>
      </c>
      <c r="BH184" t="e">
        <f t="shared" si="8"/>
        <v>#NUM!</v>
      </c>
      <c r="BI184" t="e">
        <f>VLOOKUP(H184,Sheet2!$A$1:$B$270,2,FALSE)</f>
        <v>#N/A</v>
      </c>
    </row>
    <row r="185" spans="15:61" hidden="1">
      <c r="O185" s="57"/>
      <c r="P185" s="57"/>
      <c r="AP185" s="57"/>
      <c r="BA185" s="57"/>
      <c r="BF185" s="6" t="e">
        <f t="shared" si="6"/>
        <v>#NUM!</v>
      </c>
      <c r="BG185" t="e">
        <f t="shared" si="7"/>
        <v>#NUM!</v>
      </c>
      <c r="BH185" t="e">
        <f t="shared" si="8"/>
        <v>#NUM!</v>
      </c>
      <c r="BI185" t="e">
        <f>VLOOKUP(H185,Sheet2!$A$1:$B$270,2,FALSE)</f>
        <v>#N/A</v>
      </c>
    </row>
    <row r="186" spans="15:61" hidden="1">
      <c r="O186" s="57"/>
      <c r="P186" s="57"/>
      <c r="AP186" s="57"/>
      <c r="BA186" s="57"/>
      <c r="BF186" s="6" t="e">
        <f t="shared" si="6"/>
        <v>#NUM!</v>
      </c>
      <c r="BG186" t="e">
        <f t="shared" si="7"/>
        <v>#NUM!</v>
      </c>
      <c r="BH186" t="e">
        <f t="shared" si="8"/>
        <v>#NUM!</v>
      </c>
      <c r="BI186" t="e">
        <f>VLOOKUP(H186,Sheet2!$A$1:$B$270,2,FALSE)</f>
        <v>#N/A</v>
      </c>
    </row>
    <row r="187" spans="15:61" hidden="1">
      <c r="O187" s="57"/>
      <c r="P187" s="57"/>
      <c r="AP187" s="57"/>
      <c r="BA187" s="57"/>
      <c r="BF187" s="6" t="e">
        <f t="shared" si="6"/>
        <v>#NUM!</v>
      </c>
      <c r="BG187" t="e">
        <f t="shared" si="7"/>
        <v>#NUM!</v>
      </c>
      <c r="BH187" t="e">
        <f t="shared" si="8"/>
        <v>#NUM!</v>
      </c>
      <c r="BI187" t="e">
        <f>VLOOKUP(H187,Sheet2!$A$1:$B$270,2,FALSE)</f>
        <v>#N/A</v>
      </c>
    </row>
    <row r="188" spans="15:61" hidden="1">
      <c r="O188" s="57"/>
      <c r="P188" s="57"/>
      <c r="AP188" s="57"/>
      <c r="BA188" s="57"/>
      <c r="BF188" s="6" t="e">
        <f t="shared" si="6"/>
        <v>#NUM!</v>
      </c>
      <c r="BG188" t="e">
        <f t="shared" si="7"/>
        <v>#NUM!</v>
      </c>
      <c r="BH188" t="e">
        <f t="shared" si="8"/>
        <v>#NUM!</v>
      </c>
      <c r="BI188" t="e">
        <f>VLOOKUP(H188,Sheet2!$A$1:$B$270,2,FALSE)</f>
        <v>#N/A</v>
      </c>
    </row>
    <row r="189" spans="15:61" hidden="1">
      <c r="O189" s="57"/>
      <c r="P189" s="57"/>
      <c r="AP189" s="57"/>
      <c r="BA189" s="57"/>
      <c r="BF189" s="6" t="e">
        <f t="shared" si="6"/>
        <v>#NUM!</v>
      </c>
      <c r="BG189" t="e">
        <f t="shared" si="7"/>
        <v>#NUM!</v>
      </c>
      <c r="BH189" t="e">
        <f t="shared" si="8"/>
        <v>#NUM!</v>
      </c>
      <c r="BI189" t="e">
        <f>VLOOKUP(H189,Sheet2!$A$1:$B$270,2,FALSE)</f>
        <v>#N/A</v>
      </c>
    </row>
    <row r="190" spans="15:61" hidden="1">
      <c r="O190" s="57"/>
      <c r="P190" s="57"/>
      <c r="AP190" s="57"/>
      <c r="BA190" s="57"/>
      <c r="BF190" s="6" t="e">
        <f t="shared" si="6"/>
        <v>#NUM!</v>
      </c>
      <c r="BG190" t="e">
        <f t="shared" si="7"/>
        <v>#NUM!</v>
      </c>
      <c r="BH190" t="e">
        <f t="shared" si="8"/>
        <v>#NUM!</v>
      </c>
      <c r="BI190" t="e">
        <f>VLOOKUP(H190,Sheet2!$A$1:$B$270,2,FALSE)</f>
        <v>#N/A</v>
      </c>
    </row>
    <row r="191" spans="15:61" hidden="1">
      <c r="O191" s="57"/>
      <c r="P191" s="57"/>
      <c r="AP191" s="57"/>
      <c r="BA191" s="57"/>
      <c r="BF191" s="6" t="e">
        <f t="shared" si="6"/>
        <v>#NUM!</v>
      </c>
      <c r="BG191" t="e">
        <f t="shared" si="7"/>
        <v>#NUM!</v>
      </c>
      <c r="BH191" t="e">
        <f t="shared" si="8"/>
        <v>#NUM!</v>
      </c>
      <c r="BI191" t="e">
        <f>VLOOKUP(H191,Sheet2!$A$1:$B$270,2,FALSE)</f>
        <v>#N/A</v>
      </c>
    </row>
    <row r="192" spans="15:61" hidden="1">
      <c r="O192" s="57"/>
      <c r="P192" s="57"/>
      <c r="AP192" s="57"/>
      <c r="BA192" s="57"/>
      <c r="BF192" s="6" t="e">
        <f t="shared" si="6"/>
        <v>#NUM!</v>
      </c>
      <c r="BG192" t="e">
        <f t="shared" si="7"/>
        <v>#NUM!</v>
      </c>
      <c r="BH192" t="e">
        <f t="shared" si="8"/>
        <v>#NUM!</v>
      </c>
      <c r="BI192" t="e">
        <f>VLOOKUP(H192,Sheet2!$A$1:$B$270,2,FALSE)</f>
        <v>#N/A</v>
      </c>
    </row>
    <row r="193" spans="15:61" hidden="1">
      <c r="O193" s="57"/>
      <c r="P193" s="57"/>
      <c r="AO193" s="57"/>
      <c r="BA193" s="57"/>
      <c r="BF193" s="6" t="e">
        <f t="shared" si="6"/>
        <v>#NUM!</v>
      </c>
      <c r="BG193" t="e">
        <f t="shared" si="7"/>
        <v>#NUM!</v>
      </c>
      <c r="BH193" t="e">
        <f t="shared" si="8"/>
        <v>#NUM!</v>
      </c>
      <c r="BI193" t="e">
        <f>VLOOKUP(H193,Sheet2!$A$1:$B$270,2,FALSE)</f>
        <v>#N/A</v>
      </c>
    </row>
    <row r="194" spans="15:61" hidden="1">
      <c r="O194" s="57"/>
      <c r="P194" s="57"/>
      <c r="AP194" s="57"/>
      <c r="BA194" s="57"/>
      <c r="BF194" s="6" t="e">
        <f t="shared" ref="BF194:BF257" si="9">DATE(BC194,BD194,BE194)</f>
        <v>#NUM!</v>
      </c>
      <c r="BG194" t="e">
        <f t="shared" ref="BG194:BG257" si="10">BF194-BA194</f>
        <v>#NUM!</v>
      </c>
      <c r="BH194" t="e">
        <f t="shared" ref="BH194:BH257" si="11">IF(BG194=1,"COMPLY",IF(BG194&lt;1,"COMPLY","NOT COMPLY"))</f>
        <v>#NUM!</v>
      </c>
      <c r="BI194" t="e">
        <f>VLOOKUP(H194,Sheet2!$A$1:$B$270,2,FALSE)</f>
        <v>#N/A</v>
      </c>
    </row>
    <row r="195" spans="15:61" hidden="1">
      <c r="O195" s="57"/>
      <c r="P195" s="57"/>
      <c r="AO195" s="57"/>
      <c r="BA195" s="57"/>
      <c r="BF195" s="6" t="e">
        <f t="shared" si="9"/>
        <v>#NUM!</v>
      </c>
      <c r="BG195" t="e">
        <f t="shared" si="10"/>
        <v>#NUM!</v>
      </c>
      <c r="BH195" t="e">
        <f t="shared" si="11"/>
        <v>#NUM!</v>
      </c>
      <c r="BI195" t="e">
        <f>VLOOKUP(H195,Sheet2!$A$1:$B$270,2,FALSE)</f>
        <v>#N/A</v>
      </c>
    </row>
    <row r="196" spans="15:61" hidden="1">
      <c r="O196" s="57"/>
      <c r="P196" s="57"/>
      <c r="AO196" s="57"/>
      <c r="BA196" s="57"/>
      <c r="BF196" s="6" t="e">
        <f t="shared" si="9"/>
        <v>#NUM!</v>
      </c>
      <c r="BG196" t="e">
        <f t="shared" si="10"/>
        <v>#NUM!</v>
      </c>
      <c r="BH196" t="e">
        <f t="shared" si="11"/>
        <v>#NUM!</v>
      </c>
      <c r="BI196" t="e">
        <f>VLOOKUP(H196,Sheet2!$A$1:$B$270,2,FALSE)</f>
        <v>#N/A</v>
      </c>
    </row>
    <row r="197" spans="15:61" hidden="1">
      <c r="O197" s="57"/>
      <c r="P197" s="57"/>
      <c r="AO197" s="57"/>
      <c r="AP197" s="57"/>
      <c r="BA197" s="57"/>
      <c r="BF197" s="6" t="e">
        <f t="shared" si="9"/>
        <v>#NUM!</v>
      </c>
      <c r="BG197" t="e">
        <f t="shared" si="10"/>
        <v>#NUM!</v>
      </c>
      <c r="BH197" t="e">
        <f t="shared" si="11"/>
        <v>#NUM!</v>
      </c>
      <c r="BI197" t="e">
        <f>VLOOKUP(H197,Sheet2!$A$1:$B$270,2,FALSE)</f>
        <v>#N/A</v>
      </c>
    </row>
    <row r="198" spans="15:61" hidden="1">
      <c r="O198" s="57"/>
      <c r="P198" s="57"/>
      <c r="AO198" s="57"/>
      <c r="AP198" s="57"/>
      <c r="BA198" s="57"/>
      <c r="BF198" s="6" t="e">
        <f t="shared" si="9"/>
        <v>#NUM!</v>
      </c>
      <c r="BG198" t="e">
        <f t="shared" si="10"/>
        <v>#NUM!</v>
      </c>
      <c r="BH198" t="e">
        <f t="shared" si="11"/>
        <v>#NUM!</v>
      </c>
      <c r="BI198" t="e">
        <f>VLOOKUP(H198,Sheet2!$A$1:$B$270,2,FALSE)</f>
        <v>#N/A</v>
      </c>
    </row>
    <row r="199" spans="15:61" hidden="1">
      <c r="O199" s="57"/>
      <c r="P199" s="57"/>
      <c r="AO199" s="57"/>
      <c r="BA199" s="57"/>
      <c r="BF199" s="6" t="e">
        <f t="shared" si="9"/>
        <v>#NUM!</v>
      </c>
      <c r="BG199" t="e">
        <f t="shared" si="10"/>
        <v>#NUM!</v>
      </c>
      <c r="BH199" t="e">
        <f t="shared" si="11"/>
        <v>#NUM!</v>
      </c>
      <c r="BI199" t="e">
        <f>VLOOKUP(H199,Sheet2!$A$1:$B$270,2,FALSE)</f>
        <v>#N/A</v>
      </c>
    </row>
    <row r="200" spans="15:61" hidden="1">
      <c r="O200" s="57"/>
      <c r="P200" s="57"/>
      <c r="AO200" s="57"/>
      <c r="BA200" s="57"/>
      <c r="BF200" s="6" t="e">
        <f t="shared" si="9"/>
        <v>#NUM!</v>
      </c>
      <c r="BG200" t="e">
        <f t="shared" si="10"/>
        <v>#NUM!</v>
      </c>
      <c r="BH200" t="e">
        <f t="shared" si="11"/>
        <v>#NUM!</v>
      </c>
      <c r="BI200" t="e">
        <f>VLOOKUP(H200,Sheet2!$A$1:$B$270,2,FALSE)</f>
        <v>#N/A</v>
      </c>
    </row>
    <row r="201" spans="15:61" hidden="1">
      <c r="O201" s="57"/>
      <c r="P201" s="57"/>
      <c r="AO201" s="57"/>
      <c r="BA201" s="57"/>
      <c r="BF201" s="6" t="e">
        <f t="shared" si="9"/>
        <v>#NUM!</v>
      </c>
      <c r="BG201" t="e">
        <f t="shared" si="10"/>
        <v>#NUM!</v>
      </c>
      <c r="BH201" t="e">
        <f t="shared" si="11"/>
        <v>#NUM!</v>
      </c>
      <c r="BI201" t="e">
        <f>VLOOKUP(H201,Sheet2!$A$1:$B$270,2,FALSE)</f>
        <v>#N/A</v>
      </c>
    </row>
    <row r="202" spans="15:61" hidden="1">
      <c r="O202" s="57"/>
      <c r="P202" s="57"/>
      <c r="AO202" s="57"/>
      <c r="BA202" s="57"/>
      <c r="BF202" s="6" t="e">
        <f t="shared" si="9"/>
        <v>#NUM!</v>
      </c>
      <c r="BG202" t="e">
        <f t="shared" si="10"/>
        <v>#NUM!</v>
      </c>
      <c r="BH202" t="e">
        <f t="shared" si="11"/>
        <v>#NUM!</v>
      </c>
      <c r="BI202" t="e">
        <f>VLOOKUP(H202,Sheet2!$A$1:$B$270,2,FALSE)</f>
        <v>#N/A</v>
      </c>
    </row>
    <row r="203" spans="15:61" hidden="1">
      <c r="O203" s="57"/>
      <c r="P203" s="57"/>
      <c r="AO203" s="57"/>
      <c r="AP203" s="57"/>
      <c r="BA203" s="57"/>
      <c r="BF203" s="6" t="e">
        <f t="shared" si="9"/>
        <v>#NUM!</v>
      </c>
      <c r="BG203" t="e">
        <f t="shared" si="10"/>
        <v>#NUM!</v>
      </c>
      <c r="BH203" t="e">
        <f t="shared" si="11"/>
        <v>#NUM!</v>
      </c>
      <c r="BI203" t="e">
        <f>VLOOKUP(H203,Sheet2!$A$1:$B$270,2,FALSE)</f>
        <v>#N/A</v>
      </c>
    </row>
    <row r="204" spans="15:61" hidden="1">
      <c r="O204" s="57"/>
      <c r="P204" s="57"/>
      <c r="AO204" s="57"/>
      <c r="BA204" s="57"/>
      <c r="BF204" s="6" t="e">
        <f t="shared" si="9"/>
        <v>#NUM!</v>
      </c>
      <c r="BG204" t="e">
        <f t="shared" si="10"/>
        <v>#NUM!</v>
      </c>
      <c r="BH204" t="e">
        <f t="shared" si="11"/>
        <v>#NUM!</v>
      </c>
      <c r="BI204" t="e">
        <f>VLOOKUP(H204,Sheet2!$A$1:$B$270,2,FALSE)</f>
        <v>#N/A</v>
      </c>
    </row>
    <row r="205" spans="15:61" hidden="1">
      <c r="O205" s="57"/>
      <c r="P205" s="57"/>
      <c r="AO205" s="57"/>
      <c r="BA205" s="57"/>
      <c r="BF205" s="6" t="e">
        <f t="shared" si="9"/>
        <v>#NUM!</v>
      </c>
      <c r="BG205" t="e">
        <f t="shared" si="10"/>
        <v>#NUM!</v>
      </c>
      <c r="BH205" t="e">
        <f t="shared" si="11"/>
        <v>#NUM!</v>
      </c>
      <c r="BI205" t="e">
        <f>VLOOKUP(H205,Sheet2!$A$1:$B$270,2,FALSE)</f>
        <v>#N/A</v>
      </c>
    </row>
    <row r="206" spans="15:61" hidden="1">
      <c r="O206" s="57"/>
      <c r="P206" s="57"/>
      <c r="AO206" s="57"/>
      <c r="BA206" s="57"/>
      <c r="BF206" s="6" t="e">
        <f t="shared" si="9"/>
        <v>#NUM!</v>
      </c>
      <c r="BG206" t="e">
        <f>BF206-BA206</f>
        <v>#NUM!</v>
      </c>
      <c r="BH206" t="e">
        <f t="shared" si="11"/>
        <v>#NUM!</v>
      </c>
      <c r="BI206" t="e">
        <f>VLOOKUP(H206,Sheet2!$A$1:$B$270,2,FALSE)</f>
        <v>#N/A</v>
      </c>
    </row>
    <row r="207" spans="15:61" hidden="1">
      <c r="O207" s="57"/>
      <c r="P207" s="57"/>
      <c r="AO207" s="57"/>
      <c r="BA207" s="57"/>
      <c r="BF207" s="6" t="e">
        <f t="shared" si="9"/>
        <v>#NUM!</v>
      </c>
      <c r="BG207" t="e">
        <f t="shared" si="10"/>
        <v>#NUM!</v>
      </c>
      <c r="BH207" t="e">
        <f t="shared" si="11"/>
        <v>#NUM!</v>
      </c>
      <c r="BI207" t="e">
        <f>VLOOKUP(H207,Sheet2!$A$1:$B$270,2,FALSE)</f>
        <v>#N/A</v>
      </c>
    </row>
    <row r="208" spans="15:61" hidden="1">
      <c r="O208" s="57"/>
      <c r="P208" s="57"/>
      <c r="AO208" s="57"/>
      <c r="BA208" s="57"/>
      <c r="BF208" s="6" t="e">
        <f t="shared" si="9"/>
        <v>#NUM!</v>
      </c>
      <c r="BG208" t="e">
        <f t="shared" si="10"/>
        <v>#NUM!</v>
      </c>
      <c r="BH208" t="e">
        <f t="shared" si="11"/>
        <v>#NUM!</v>
      </c>
      <c r="BI208" t="e">
        <f>VLOOKUP(H208,Sheet2!$A$1:$B$270,2,FALSE)</f>
        <v>#N/A</v>
      </c>
    </row>
    <row r="209" spans="15:61" hidden="1">
      <c r="O209" s="57"/>
      <c r="P209" s="57"/>
      <c r="AO209" s="57"/>
      <c r="BA209" s="57"/>
      <c r="BF209" s="6" t="e">
        <f t="shared" si="9"/>
        <v>#NUM!</v>
      </c>
      <c r="BG209" t="e">
        <f t="shared" si="10"/>
        <v>#NUM!</v>
      </c>
      <c r="BH209" t="e">
        <f t="shared" si="11"/>
        <v>#NUM!</v>
      </c>
      <c r="BI209" t="e">
        <f>VLOOKUP(H209,Sheet2!$A$1:$B$270,2,FALSE)</f>
        <v>#N/A</v>
      </c>
    </row>
    <row r="210" spans="15:61" hidden="1">
      <c r="O210" s="57"/>
      <c r="P210" s="57"/>
      <c r="AO210" s="57"/>
      <c r="AP210" s="57"/>
      <c r="BA210" s="57"/>
      <c r="BF210" s="6" t="e">
        <f t="shared" si="9"/>
        <v>#NUM!</v>
      </c>
      <c r="BG210" t="e">
        <f t="shared" si="10"/>
        <v>#NUM!</v>
      </c>
      <c r="BH210" t="e">
        <f t="shared" si="11"/>
        <v>#NUM!</v>
      </c>
      <c r="BI210" t="e">
        <f>VLOOKUP(H210,Sheet2!$A$1:$B$270,2,FALSE)</f>
        <v>#N/A</v>
      </c>
    </row>
    <row r="211" spans="15:61" hidden="1">
      <c r="O211" s="57"/>
      <c r="P211" s="57"/>
      <c r="AO211" s="57"/>
      <c r="BA211" s="57"/>
      <c r="BF211" s="6" t="e">
        <f t="shared" si="9"/>
        <v>#NUM!</v>
      </c>
      <c r="BG211" t="e">
        <f t="shared" si="10"/>
        <v>#NUM!</v>
      </c>
      <c r="BH211" t="e">
        <f t="shared" si="11"/>
        <v>#NUM!</v>
      </c>
      <c r="BI211" t="e">
        <f>VLOOKUP(H211,Sheet2!$A$1:$B$270,2,FALSE)</f>
        <v>#N/A</v>
      </c>
    </row>
    <row r="212" spans="15:61" hidden="1">
      <c r="O212" s="57"/>
      <c r="P212" s="57"/>
      <c r="BA212" s="57"/>
      <c r="BF212" s="6" t="e">
        <f t="shared" si="9"/>
        <v>#NUM!</v>
      </c>
      <c r="BG212" t="e">
        <f t="shared" si="10"/>
        <v>#NUM!</v>
      </c>
      <c r="BH212" t="e">
        <f t="shared" si="11"/>
        <v>#NUM!</v>
      </c>
      <c r="BI212" t="e">
        <f>VLOOKUP(H212,Sheet2!$A$1:$B$270,2,FALSE)</f>
        <v>#N/A</v>
      </c>
    </row>
    <row r="213" spans="15:61" hidden="1">
      <c r="O213" s="57"/>
      <c r="P213" s="57"/>
      <c r="BA213" s="57"/>
      <c r="BF213" s="6" t="e">
        <f t="shared" si="9"/>
        <v>#NUM!</v>
      </c>
      <c r="BG213" t="e">
        <f t="shared" si="10"/>
        <v>#NUM!</v>
      </c>
      <c r="BH213" t="e">
        <f t="shared" si="11"/>
        <v>#NUM!</v>
      </c>
      <c r="BI213" t="e">
        <f>VLOOKUP(H213,Sheet2!$A$1:$B$270,2,FALSE)</f>
        <v>#N/A</v>
      </c>
    </row>
    <row r="214" spans="15:61" hidden="1">
      <c r="O214" s="57"/>
      <c r="P214" s="57"/>
      <c r="BA214" s="57"/>
      <c r="BF214" s="6" t="e">
        <f t="shared" si="9"/>
        <v>#NUM!</v>
      </c>
      <c r="BG214" t="e">
        <f t="shared" si="10"/>
        <v>#NUM!</v>
      </c>
      <c r="BH214" t="e">
        <f t="shared" si="11"/>
        <v>#NUM!</v>
      </c>
      <c r="BI214" t="e">
        <f>VLOOKUP(H214,Sheet2!$A$1:$B$270,2,FALSE)</f>
        <v>#N/A</v>
      </c>
    </row>
    <row r="215" spans="15:61" hidden="1">
      <c r="O215" s="57"/>
      <c r="P215" s="57"/>
      <c r="BA215" s="57"/>
      <c r="BF215" s="6" t="e">
        <f t="shared" si="9"/>
        <v>#NUM!</v>
      </c>
      <c r="BG215" t="e">
        <f t="shared" si="10"/>
        <v>#NUM!</v>
      </c>
      <c r="BH215" t="e">
        <f t="shared" si="11"/>
        <v>#NUM!</v>
      </c>
      <c r="BI215" t="e">
        <f>VLOOKUP(H215,Sheet2!$A$1:$B$270,2,FALSE)</f>
        <v>#N/A</v>
      </c>
    </row>
    <row r="216" spans="15:61" hidden="1">
      <c r="O216" s="57"/>
      <c r="P216" s="57"/>
      <c r="AP216" s="57"/>
      <c r="BA216" s="57"/>
      <c r="BF216" s="6" t="e">
        <f t="shared" si="9"/>
        <v>#NUM!</v>
      </c>
      <c r="BG216" t="e">
        <f t="shared" si="10"/>
        <v>#NUM!</v>
      </c>
      <c r="BH216" t="e">
        <f t="shared" si="11"/>
        <v>#NUM!</v>
      </c>
      <c r="BI216" t="e">
        <f>VLOOKUP(H216,Sheet2!$A$1:$B$270,2,FALSE)</f>
        <v>#N/A</v>
      </c>
    </row>
    <row r="217" spans="15:61" hidden="1">
      <c r="O217" s="57"/>
      <c r="P217" s="57"/>
      <c r="AP217" s="57"/>
      <c r="BA217" s="57"/>
      <c r="BF217" s="6" t="e">
        <f t="shared" si="9"/>
        <v>#NUM!</v>
      </c>
      <c r="BG217" t="e">
        <f t="shared" si="10"/>
        <v>#NUM!</v>
      </c>
      <c r="BH217" t="e">
        <f t="shared" si="11"/>
        <v>#NUM!</v>
      </c>
      <c r="BI217" t="e">
        <f>VLOOKUP(H217,Sheet2!$A$1:$B$270,2,FALSE)</f>
        <v>#N/A</v>
      </c>
    </row>
    <row r="218" spans="15:61" hidden="1">
      <c r="O218" s="57"/>
      <c r="P218" s="57"/>
      <c r="BA218" s="57"/>
      <c r="BF218" s="6" t="e">
        <f t="shared" si="9"/>
        <v>#NUM!</v>
      </c>
      <c r="BG218" t="e">
        <f t="shared" si="10"/>
        <v>#NUM!</v>
      </c>
      <c r="BH218" t="e">
        <f t="shared" si="11"/>
        <v>#NUM!</v>
      </c>
      <c r="BI218" t="e">
        <f>VLOOKUP(H218,Sheet2!$A$1:$B$270,2,FALSE)</f>
        <v>#N/A</v>
      </c>
    </row>
    <row r="219" spans="15:61" hidden="1">
      <c r="O219" s="57"/>
      <c r="P219" s="57"/>
      <c r="BA219" s="57"/>
      <c r="BF219" s="6" t="e">
        <f t="shared" si="9"/>
        <v>#NUM!</v>
      </c>
      <c r="BG219" t="e">
        <f t="shared" si="10"/>
        <v>#NUM!</v>
      </c>
      <c r="BH219" t="e">
        <f t="shared" si="11"/>
        <v>#NUM!</v>
      </c>
      <c r="BI219" t="e">
        <f>VLOOKUP(H219,Sheet2!$A$1:$B$270,2,FALSE)</f>
        <v>#N/A</v>
      </c>
    </row>
    <row r="220" spans="15:61" hidden="1">
      <c r="O220" s="57"/>
      <c r="P220" s="57"/>
      <c r="BA220" s="57"/>
      <c r="BF220" s="6" t="e">
        <f t="shared" si="9"/>
        <v>#NUM!</v>
      </c>
      <c r="BG220" t="e">
        <f t="shared" si="10"/>
        <v>#NUM!</v>
      </c>
      <c r="BH220" t="e">
        <f t="shared" si="11"/>
        <v>#NUM!</v>
      </c>
      <c r="BI220" t="e">
        <f>VLOOKUP(H220,Sheet2!$A$1:$B$270,2,FALSE)</f>
        <v>#N/A</v>
      </c>
    </row>
    <row r="221" spans="15:61" hidden="1">
      <c r="O221" s="57"/>
      <c r="P221" s="57"/>
      <c r="BA221" s="57"/>
      <c r="BF221" s="6" t="e">
        <f t="shared" si="9"/>
        <v>#NUM!</v>
      </c>
      <c r="BG221" t="e">
        <f t="shared" si="10"/>
        <v>#NUM!</v>
      </c>
      <c r="BH221" t="e">
        <f t="shared" si="11"/>
        <v>#NUM!</v>
      </c>
      <c r="BI221" t="e">
        <f>VLOOKUP(H221,Sheet2!$A$1:$B$270,2,FALSE)</f>
        <v>#N/A</v>
      </c>
    </row>
    <row r="222" spans="15:61" hidden="1">
      <c r="O222" s="57"/>
      <c r="P222" s="57"/>
      <c r="AP222" s="57"/>
      <c r="BA222" s="57"/>
      <c r="BF222" s="6" t="e">
        <f t="shared" si="9"/>
        <v>#NUM!</v>
      </c>
      <c r="BG222" t="e">
        <f t="shared" si="10"/>
        <v>#NUM!</v>
      </c>
      <c r="BH222" t="e">
        <f t="shared" si="11"/>
        <v>#NUM!</v>
      </c>
      <c r="BI222" t="e">
        <f>VLOOKUP(H222,Sheet2!$A$1:$B$270,2,FALSE)</f>
        <v>#N/A</v>
      </c>
    </row>
    <row r="223" spans="15:61" hidden="1">
      <c r="O223" s="57"/>
      <c r="P223" s="57"/>
      <c r="AP223" s="57"/>
      <c r="BA223" s="57"/>
      <c r="BF223" s="6" t="e">
        <f t="shared" si="9"/>
        <v>#NUM!</v>
      </c>
      <c r="BG223" t="e">
        <f t="shared" si="10"/>
        <v>#NUM!</v>
      </c>
      <c r="BH223" t="e">
        <f t="shared" si="11"/>
        <v>#NUM!</v>
      </c>
      <c r="BI223" t="e">
        <f>VLOOKUP(H223,Sheet2!$A$1:$B$270,2,FALSE)</f>
        <v>#N/A</v>
      </c>
    </row>
    <row r="224" spans="15:61" hidden="1">
      <c r="O224" s="57"/>
      <c r="P224" s="57"/>
      <c r="AP224" s="57"/>
      <c r="BA224" s="57"/>
      <c r="BF224" s="6" t="e">
        <f t="shared" si="9"/>
        <v>#NUM!</v>
      </c>
      <c r="BG224" t="e">
        <f t="shared" si="10"/>
        <v>#NUM!</v>
      </c>
      <c r="BH224" t="e">
        <f t="shared" si="11"/>
        <v>#NUM!</v>
      </c>
      <c r="BI224" t="e">
        <f>VLOOKUP(H224,Sheet2!$A$1:$B$270,2,FALSE)</f>
        <v>#N/A</v>
      </c>
    </row>
    <row r="225" spans="15:61" hidden="1">
      <c r="O225" s="57"/>
      <c r="P225" s="57"/>
      <c r="AP225" s="57"/>
      <c r="BA225" s="57"/>
      <c r="BF225" s="6" t="e">
        <f t="shared" si="9"/>
        <v>#NUM!</v>
      </c>
      <c r="BG225" t="e">
        <f t="shared" si="10"/>
        <v>#NUM!</v>
      </c>
      <c r="BH225" t="e">
        <f t="shared" si="11"/>
        <v>#NUM!</v>
      </c>
      <c r="BI225" t="e">
        <f>VLOOKUP(H225,Sheet2!$A$1:$B$270,2,FALSE)</f>
        <v>#N/A</v>
      </c>
    </row>
    <row r="226" spans="15:61" hidden="1">
      <c r="O226" s="57"/>
      <c r="P226" s="57"/>
      <c r="AM226" s="58"/>
      <c r="BA226" s="57"/>
      <c r="BB226" s="58"/>
      <c r="BF226" s="6" t="e">
        <f t="shared" si="9"/>
        <v>#NUM!</v>
      </c>
      <c r="BG226" t="e">
        <f t="shared" si="10"/>
        <v>#NUM!</v>
      </c>
      <c r="BH226" t="e">
        <f t="shared" si="11"/>
        <v>#NUM!</v>
      </c>
      <c r="BI226" t="e">
        <f>VLOOKUP(H226,Sheet2!$A$1:$B$270,2,FALSE)</f>
        <v>#N/A</v>
      </c>
    </row>
    <row r="227" spans="15:61" hidden="1">
      <c r="O227" s="57"/>
      <c r="P227" s="57"/>
      <c r="AP227" s="57"/>
      <c r="BA227" s="57"/>
      <c r="BF227" s="6" t="e">
        <f t="shared" si="9"/>
        <v>#NUM!</v>
      </c>
      <c r="BG227" t="e">
        <f t="shared" si="10"/>
        <v>#NUM!</v>
      </c>
      <c r="BH227" t="e">
        <f t="shared" si="11"/>
        <v>#NUM!</v>
      </c>
      <c r="BI227" t="e">
        <f>VLOOKUP(H227,Sheet2!$A$1:$B$270,2,FALSE)</f>
        <v>#N/A</v>
      </c>
    </row>
    <row r="228" spans="15:61" hidden="1">
      <c r="O228" s="57"/>
      <c r="P228" s="57"/>
      <c r="AO228" s="57"/>
      <c r="AP228" s="57"/>
      <c r="BA228" s="57"/>
      <c r="BF228" s="6" t="e">
        <f t="shared" si="9"/>
        <v>#NUM!</v>
      </c>
      <c r="BG228" t="e">
        <f t="shared" si="10"/>
        <v>#NUM!</v>
      </c>
      <c r="BH228" t="e">
        <f t="shared" si="11"/>
        <v>#NUM!</v>
      </c>
      <c r="BI228" t="e">
        <f>VLOOKUP(H228,Sheet2!$A$1:$B$270,2,FALSE)</f>
        <v>#N/A</v>
      </c>
    </row>
    <row r="229" spans="15:61" hidden="1">
      <c r="O229" s="57"/>
      <c r="P229" s="57"/>
      <c r="AO229" s="57"/>
      <c r="AP229" s="57"/>
      <c r="BA229" s="57"/>
      <c r="BF229" s="6" t="e">
        <f t="shared" si="9"/>
        <v>#NUM!</v>
      </c>
      <c r="BG229" t="e">
        <f t="shared" si="10"/>
        <v>#NUM!</v>
      </c>
      <c r="BH229" t="e">
        <f t="shared" si="11"/>
        <v>#NUM!</v>
      </c>
      <c r="BI229" t="e">
        <f>VLOOKUP(H229,Sheet2!$A$1:$B$270,2,FALSE)</f>
        <v>#N/A</v>
      </c>
    </row>
    <row r="230" spans="15:61" hidden="1">
      <c r="O230" s="57"/>
      <c r="P230" s="57"/>
      <c r="AO230" s="57"/>
      <c r="BA230" s="57"/>
      <c r="BF230" s="6" t="e">
        <f t="shared" si="9"/>
        <v>#NUM!</v>
      </c>
      <c r="BG230" t="e">
        <f t="shared" si="10"/>
        <v>#NUM!</v>
      </c>
      <c r="BH230" t="e">
        <f t="shared" si="11"/>
        <v>#NUM!</v>
      </c>
      <c r="BI230" t="e">
        <f>VLOOKUP(H230,Sheet2!$A$1:$B$270,2,FALSE)</f>
        <v>#N/A</v>
      </c>
    </row>
    <row r="231" spans="15:61" hidden="1">
      <c r="O231" s="57"/>
      <c r="P231" s="57"/>
      <c r="AO231" s="57"/>
      <c r="AP231" s="57"/>
      <c r="BA231" s="57"/>
      <c r="BF231" s="6" t="e">
        <f t="shared" si="9"/>
        <v>#NUM!</v>
      </c>
      <c r="BG231" t="e">
        <f t="shared" si="10"/>
        <v>#NUM!</v>
      </c>
      <c r="BH231" t="e">
        <f t="shared" si="11"/>
        <v>#NUM!</v>
      </c>
      <c r="BI231" t="e">
        <f>VLOOKUP(H231,Sheet2!$A$1:$B$270,2,FALSE)</f>
        <v>#N/A</v>
      </c>
    </row>
    <row r="232" spans="15:61" hidden="1">
      <c r="O232" s="57"/>
      <c r="P232" s="57"/>
      <c r="AO232" s="57"/>
      <c r="AP232" s="57"/>
      <c r="BA232" s="57"/>
      <c r="BF232" s="6" t="e">
        <f t="shared" si="9"/>
        <v>#NUM!</v>
      </c>
      <c r="BG232" t="e">
        <f t="shared" si="10"/>
        <v>#NUM!</v>
      </c>
      <c r="BH232" t="e">
        <f t="shared" si="11"/>
        <v>#NUM!</v>
      </c>
      <c r="BI232" t="e">
        <f>VLOOKUP(H232,Sheet2!$A$1:$B$270,2,FALSE)</f>
        <v>#N/A</v>
      </c>
    </row>
    <row r="233" spans="15:61" hidden="1">
      <c r="O233" s="57"/>
      <c r="P233" s="57"/>
      <c r="AO233" s="57"/>
      <c r="AP233" s="57"/>
      <c r="BA233" s="57"/>
      <c r="BF233" s="6" t="e">
        <f t="shared" si="9"/>
        <v>#NUM!</v>
      </c>
      <c r="BG233" t="e">
        <f t="shared" si="10"/>
        <v>#NUM!</v>
      </c>
      <c r="BH233" t="e">
        <f t="shared" si="11"/>
        <v>#NUM!</v>
      </c>
      <c r="BI233" t="e">
        <f>VLOOKUP(H233,Sheet2!$A$1:$B$270,2,FALSE)</f>
        <v>#N/A</v>
      </c>
    </row>
    <row r="234" spans="15:61" hidden="1">
      <c r="O234" s="57"/>
      <c r="P234" s="57"/>
      <c r="AO234" s="57"/>
      <c r="BA234" s="57"/>
      <c r="BF234" s="6" t="e">
        <f t="shared" si="9"/>
        <v>#NUM!</v>
      </c>
      <c r="BG234" t="e">
        <f t="shared" si="10"/>
        <v>#NUM!</v>
      </c>
      <c r="BH234" t="e">
        <f t="shared" si="11"/>
        <v>#NUM!</v>
      </c>
      <c r="BI234" t="e">
        <f>VLOOKUP(H234,Sheet2!$A$1:$B$270,2,FALSE)</f>
        <v>#N/A</v>
      </c>
    </row>
    <row r="235" spans="15:61" hidden="1">
      <c r="O235" s="57"/>
      <c r="P235" s="57"/>
      <c r="BA235" s="57"/>
      <c r="BF235" s="6" t="e">
        <f t="shared" si="9"/>
        <v>#NUM!</v>
      </c>
      <c r="BG235" t="e">
        <f t="shared" si="10"/>
        <v>#NUM!</v>
      </c>
      <c r="BH235" t="e">
        <f t="shared" si="11"/>
        <v>#NUM!</v>
      </c>
      <c r="BI235" t="e">
        <f>VLOOKUP(H235,Sheet2!$A$1:$B$270,2,FALSE)</f>
        <v>#N/A</v>
      </c>
    </row>
    <row r="236" spans="15:61" hidden="1">
      <c r="O236" s="57"/>
      <c r="P236" s="57"/>
      <c r="AP236" s="57"/>
      <c r="BA236" s="57"/>
      <c r="BF236" s="6" t="e">
        <f t="shared" si="9"/>
        <v>#NUM!</v>
      </c>
      <c r="BG236" t="e">
        <f t="shared" si="10"/>
        <v>#NUM!</v>
      </c>
      <c r="BH236" t="e">
        <f t="shared" si="11"/>
        <v>#NUM!</v>
      </c>
      <c r="BI236" t="e">
        <f>VLOOKUP(H236,Sheet2!$A$1:$B$270,2,FALSE)</f>
        <v>#N/A</v>
      </c>
    </row>
    <row r="237" spans="15:61" hidden="1">
      <c r="O237" s="57"/>
      <c r="P237" s="57"/>
      <c r="BA237" s="57"/>
      <c r="BF237" s="6" t="e">
        <f t="shared" si="9"/>
        <v>#NUM!</v>
      </c>
      <c r="BG237" t="e">
        <f t="shared" si="10"/>
        <v>#NUM!</v>
      </c>
      <c r="BH237" t="e">
        <f t="shared" si="11"/>
        <v>#NUM!</v>
      </c>
      <c r="BI237" t="e">
        <f>VLOOKUP(H237,Sheet2!$A$1:$B$270,2,FALSE)</f>
        <v>#N/A</v>
      </c>
    </row>
    <row r="238" spans="15:61" hidden="1">
      <c r="O238" s="57"/>
      <c r="P238" s="57"/>
      <c r="BA238" s="57"/>
      <c r="BF238" s="6" t="e">
        <f t="shared" si="9"/>
        <v>#NUM!</v>
      </c>
      <c r="BG238" t="e">
        <f t="shared" si="10"/>
        <v>#NUM!</v>
      </c>
      <c r="BH238" t="e">
        <f t="shared" si="11"/>
        <v>#NUM!</v>
      </c>
      <c r="BI238" t="e">
        <f>VLOOKUP(H238,Sheet2!$A$1:$B$270,2,FALSE)</f>
        <v>#N/A</v>
      </c>
    </row>
    <row r="239" spans="15:61" hidden="1">
      <c r="O239" s="57"/>
      <c r="P239" s="57"/>
      <c r="AP239" s="57"/>
      <c r="BA239" s="57"/>
      <c r="BF239" s="6" t="e">
        <f t="shared" si="9"/>
        <v>#NUM!</v>
      </c>
      <c r="BG239" t="e">
        <f t="shared" si="10"/>
        <v>#NUM!</v>
      </c>
      <c r="BH239" t="e">
        <f t="shared" si="11"/>
        <v>#NUM!</v>
      </c>
      <c r="BI239" t="e">
        <f>VLOOKUP(H239,Sheet2!$A$1:$B$270,2,FALSE)</f>
        <v>#N/A</v>
      </c>
    </row>
    <row r="240" spans="15:61" hidden="1">
      <c r="O240" s="57"/>
      <c r="P240" s="57"/>
      <c r="BA240" s="57"/>
      <c r="BF240" s="6" t="e">
        <f t="shared" si="9"/>
        <v>#NUM!</v>
      </c>
      <c r="BG240" t="e">
        <f t="shared" si="10"/>
        <v>#NUM!</v>
      </c>
      <c r="BH240" t="e">
        <f t="shared" si="11"/>
        <v>#NUM!</v>
      </c>
      <c r="BI240" t="e">
        <f>VLOOKUP(H240,Sheet2!$A$1:$B$270,2,FALSE)</f>
        <v>#N/A</v>
      </c>
    </row>
    <row r="241" spans="15:61" hidden="1">
      <c r="O241" s="57"/>
      <c r="P241" s="57"/>
      <c r="AP241" s="57"/>
      <c r="BA241" s="57"/>
      <c r="BF241" s="6" t="e">
        <f t="shared" si="9"/>
        <v>#NUM!</v>
      </c>
      <c r="BG241" t="e">
        <f t="shared" si="10"/>
        <v>#NUM!</v>
      </c>
      <c r="BH241" t="e">
        <f t="shared" si="11"/>
        <v>#NUM!</v>
      </c>
      <c r="BI241" t="e">
        <f>VLOOKUP(H241,Sheet2!$A$1:$B$270,2,FALSE)</f>
        <v>#N/A</v>
      </c>
    </row>
    <row r="242" spans="15:61" hidden="1">
      <c r="O242" s="57"/>
      <c r="P242" s="57"/>
      <c r="AP242" s="57"/>
      <c r="BA242" s="57"/>
      <c r="BF242" s="6" t="e">
        <f t="shared" si="9"/>
        <v>#NUM!</v>
      </c>
      <c r="BG242" t="e">
        <f t="shared" si="10"/>
        <v>#NUM!</v>
      </c>
      <c r="BH242" t="e">
        <f t="shared" si="11"/>
        <v>#NUM!</v>
      </c>
      <c r="BI242" t="e">
        <f>VLOOKUP(H242,Sheet2!$A$1:$B$270,2,FALSE)</f>
        <v>#N/A</v>
      </c>
    </row>
    <row r="243" spans="15:61" hidden="1">
      <c r="O243" s="57"/>
      <c r="P243" s="57"/>
      <c r="BA243" s="57"/>
      <c r="BF243" s="6" t="e">
        <f t="shared" si="9"/>
        <v>#NUM!</v>
      </c>
      <c r="BG243" t="e">
        <f t="shared" si="10"/>
        <v>#NUM!</v>
      </c>
      <c r="BH243" t="e">
        <f t="shared" si="11"/>
        <v>#NUM!</v>
      </c>
      <c r="BI243" t="e">
        <f>VLOOKUP(H243,Sheet2!$A$1:$B$270,2,FALSE)</f>
        <v>#N/A</v>
      </c>
    </row>
    <row r="244" spans="15:61" hidden="1">
      <c r="O244" s="57"/>
      <c r="P244" s="57"/>
      <c r="AP244" s="57"/>
      <c r="BA244" s="57"/>
      <c r="BF244" s="6" t="e">
        <f t="shared" si="9"/>
        <v>#NUM!</v>
      </c>
      <c r="BG244" t="e">
        <f t="shared" si="10"/>
        <v>#NUM!</v>
      </c>
      <c r="BH244" t="e">
        <f t="shared" si="11"/>
        <v>#NUM!</v>
      </c>
      <c r="BI244" t="e">
        <f>VLOOKUP(H244,Sheet2!$A$1:$B$270,2,FALSE)</f>
        <v>#N/A</v>
      </c>
    </row>
    <row r="245" spans="15:61" hidden="1">
      <c r="O245" s="57"/>
      <c r="P245" s="57"/>
      <c r="AP245" s="57"/>
      <c r="BA245" s="57"/>
      <c r="BF245" s="6" t="e">
        <f t="shared" si="9"/>
        <v>#NUM!</v>
      </c>
      <c r="BG245" t="e">
        <f t="shared" si="10"/>
        <v>#NUM!</v>
      </c>
      <c r="BH245" t="e">
        <f t="shared" si="11"/>
        <v>#NUM!</v>
      </c>
      <c r="BI245" t="e">
        <f>VLOOKUP(H245,Sheet2!$A$1:$B$270,2,FALSE)</f>
        <v>#N/A</v>
      </c>
    </row>
    <row r="246" spans="15:61" hidden="1">
      <c r="O246" s="57"/>
      <c r="P246" s="57"/>
      <c r="AP246" s="57"/>
      <c r="BA246" s="57"/>
      <c r="BF246" s="6" t="e">
        <f t="shared" si="9"/>
        <v>#NUM!</v>
      </c>
      <c r="BG246" t="e">
        <f t="shared" si="10"/>
        <v>#NUM!</v>
      </c>
      <c r="BH246" t="e">
        <f t="shared" si="11"/>
        <v>#NUM!</v>
      </c>
      <c r="BI246" t="e">
        <f>VLOOKUP(H246,Sheet2!$A$1:$B$270,2,FALSE)</f>
        <v>#N/A</v>
      </c>
    </row>
    <row r="247" spans="15:61" hidden="1">
      <c r="O247" s="57"/>
      <c r="P247" s="57"/>
      <c r="AO247" s="57"/>
      <c r="AP247" s="57"/>
      <c r="BA247" s="57"/>
      <c r="BF247" s="6" t="e">
        <f t="shared" si="9"/>
        <v>#NUM!</v>
      </c>
      <c r="BG247" t="e">
        <f t="shared" si="10"/>
        <v>#NUM!</v>
      </c>
      <c r="BH247" t="e">
        <f t="shared" si="11"/>
        <v>#NUM!</v>
      </c>
      <c r="BI247" t="e">
        <f>VLOOKUP(H247,Sheet2!$A$1:$B$270,2,FALSE)</f>
        <v>#N/A</v>
      </c>
    </row>
    <row r="248" spans="15:61" hidden="1">
      <c r="O248" s="57"/>
      <c r="P248" s="57"/>
      <c r="AO248" s="57"/>
      <c r="AP248" s="57"/>
      <c r="BA248" s="57"/>
      <c r="BF248" s="6" t="e">
        <f t="shared" si="9"/>
        <v>#NUM!</v>
      </c>
      <c r="BG248" t="e">
        <f t="shared" si="10"/>
        <v>#NUM!</v>
      </c>
      <c r="BH248" t="e">
        <f t="shared" si="11"/>
        <v>#NUM!</v>
      </c>
      <c r="BI248" t="e">
        <f>VLOOKUP(H248,Sheet2!$A$1:$B$270,2,FALSE)</f>
        <v>#N/A</v>
      </c>
    </row>
    <row r="249" spans="15:61" hidden="1">
      <c r="O249" s="57"/>
      <c r="P249" s="57"/>
      <c r="AP249" s="57"/>
      <c r="BA249" s="57"/>
      <c r="BF249" s="6" t="e">
        <f t="shared" si="9"/>
        <v>#NUM!</v>
      </c>
      <c r="BG249" t="e">
        <f t="shared" si="10"/>
        <v>#NUM!</v>
      </c>
      <c r="BH249" t="e">
        <f t="shared" si="11"/>
        <v>#NUM!</v>
      </c>
      <c r="BI249" t="e">
        <f>VLOOKUP(H249,Sheet2!$A$1:$B$270,2,FALSE)</f>
        <v>#N/A</v>
      </c>
    </row>
    <row r="250" spans="15:61" hidden="1">
      <c r="O250" s="57"/>
      <c r="P250" s="57"/>
      <c r="BA250" s="57"/>
      <c r="BF250" s="6" t="e">
        <f t="shared" si="9"/>
        <v>#NUM!</v>
      </c>
      <c r="BG250" t="e">
        <f t="shared" si="10"/>
        <v>#NUM!</v>
      </c>
      <c r="BH250" t="e">
        <f t="shared" si="11"/>
        <v>#NUM!</v>
      </c>
      <c r="BI250" t="e">
        <f>VLOOKUP(H250,Sheet2!$A$1:$B$270,2,FALSE)</f>
        <v>#N/A</v>
      </c>
    </row>
    <row r="251" spans="15:61" hidden="1">
      <c r="O251" s="57"/>
      <c r="P251" s="57"/>
      <c r="BA251" s="57"/>
      <c r="BF251" s="6" t="e">
        <f t="shared" si="9"/>
        <v>#NUM!</v>
      </c>
      <c r="BG251" t="e">
        <f t="shared" si="10"/>
        <v>#NUM!</v>
      </c>
      <c r="BH251" t="e">
        <f t="shared" si="11"/>
        <v>#NUM!</v>
      </c>
      <c r="BI251" t="e">
        <f>VLOOKUP(H251,Sheet2!$A$1:$B$270,2,FALSE)</f>
        <v>#N/A</v>
      </c>
    </row>
    <row r="252" spans="15:61" hidden="1">
      <c r="O252" s="57"/>
      <c r="P252" s="57"/>
      <c r="BA252" s="57"/>
      <c r="BF252" s="6" t="e">
        <f t="shared" si="9"/>
        <v>#NUM!</v>
      </c>
      <c r="BG252" t="e">
        <f t="shared" si="10"/>
        <v>#NUM!</v>
      </c>
      <c r="BH252" t="e">
        <f t="shared" si="11"/>
        <v>#NUM!</v>
      </c>
      <c r="BI252" t="e">
        <f>VLOOKUP(H252,Sheet2!$A$1:$B$270,2,FALSE)</f>
        <v>#N/A</v>
      </c>
    </row>
    <row r="253" spans="15:61" hidden="1">
      <c r="O253" s="57"/>
      <c r="P253" s="57"/>
      <c r="AO253" s="57"/>
      <c r="BA253" s="57"/>
      <c r="BF253" s="6" t="e">
        <f t="shared" si="9"/>
        <v>#NUM!</v>
      </c>
      <c r="BG253" t="e">
        <f t="shared" si="10"/>
        <v>#NUM!</v>
      </c>
      <c r="BH253" t="e">
        <f t="shared" si="11"/>
        <v>#NUM!</v>
      </c>
      <c r="BI253" t="e">
        <f>VLOOKUP(H253,Sheet2!$A$1:$B$270,2,FALSE)</f>
        <v>#N/A</v>
      </c>
    </row>
    <row r="254" spans="15:61" hidden="1">
      <c r="O254" s="57"/>
      <c r="P254" s="57"/>
      <c r="AO254" s="57"/>
      <c r="BA254" s="57"/>
      <c r="BF254" s="6" t="e">
        <f t="shared" si="9"/>
        <v>#NUM!</v>
      </c>
      <c r="BG254" t="e">
        <f t="shared" si="10"/>
        <v>#NUM!</v>
      </c>
      <c r="BH254" t="e">
        <f t="shared" si="11"/>
        <v>#NUM!</v>
      </c>
      <c r="BI254" t="e">
        <f>VLOOKUP(H254,Sheet2!$A$1:$B$270,2,FALSE)</f>
        <v>#N/A</v>
      </c>
    </row>
    <row r="255" spans="15:61" hidden="1">
      <c r="O255" s="57"/>
      <c r="P255" s="57"/>
      <c r="AO255" s="57"/>
      <c r="AP255" s="57"/>
      <c r="BA255" s="57"/>
      <c r="BF255" s="6" t="e">
        <f t="shared" si="9"/>
        <v>#NUM!</v>
      </c>
      <c r="BG255" t="e">
        <f t="shared" si="10"/>
        <v>#NUM!</v>
      </c>
      <c r="BH255" t="e">
        <f t="shared" si="11"/>
        <v>#NUM!</v>
      </c>
      <c r="BI255" t="e">
        <f>VLOOKUP(H255,Sheet2!$A$1:$B$270,2,FALSE)</f>
        <v>#N/A</v>
      </c>
    </row>
    <row r="256" spans="15:61" hidden="1">
      <c r="O256" s="57"/>
      <c r="P256" s="57"/>
      <c r="AO256" s="57"/>
      <c r="AP256" s="57"/>
      <c r="BA256" s="57"/>
      <c r="BF256" s="6" t="e">
        <f t="shared" si="9"/>
        <v>#NUM!</v>
      </c>
      <c r="BG256" t="e">
        <f t="shared" si="10"/>
        <v>#NUM!</v>
      </c>
      <c r="BH256" t="e">
        <f t="shared" si="11"/>
        <v>#NUM!</v>
      </c>
      <c r="BI256" t="e">
        <f>VLOOKUP(H256,Sheet2!$A$1:$B$270,2,FALSE)</f>
        <v>#N/A</v>
      </c>
    </row>
    <row r="257" spans="15:61" hidden="1">
      <c r="O257" s="57"/>
      <c r="P257" s="57"/>
      <c r="AO257" s="57"/>
      <c r="AP257" s="57"/>
      <c r="BA257" s="57"/>
      <c r="BF257" s="6" t="e">
        <f t="shared" si="9"/>
        <v>#NUM!</v>
      </c>
      <c r="BG257" t="e">
        <f t="shared" si="10"/>
        <v>#NUM!</v>
      </c>
      <c r="BH257" t="e">
        <f t="shared" si="11"/>
        <v>#NUM!</v>
      </c>
      <c r="BI257" t="e">
        <f>VLOOKUP(H257,Sheet2!$A$1:$B$270,2,FALSE)</f>
        <v>#N/A</v>
      </c>
    </row>
    <row r="258" spans="15:61" hidden="1">
      <c r="O258" s="57"/>
      <c r="P258" s="57"/>
      <c r="AO258" s="57"/>
      <c r="AP258" s="57"/>
      <c r="BA258" s="57"/>
      <c r="BF258" s="6" t="e">
        <f t="shared" ref="BF258:BF321" si="12">DATE(BC258,BD258,BE258)</f>
        <v>#NUM!</v>
      </c>
      <c r="BG258" t="e">
        <f t="shared" ref="BG258:BG321" si="13">BF258-BA258</f>
        <v>#NUM!</v>
      </c>
      <c r="BH258" t="e">
        <f t="shared" ref="BH258:BH321" si="14">IF(BG258=1,"COMPLY",IF(BG258&lt;1,"COMPLY","NOT COMPLY"))</f>
        <v>#NUM!</v>
      </c>
      <c r="BI258" t="e">
        <f>VLOOKUP(H258,Sheet2!$A$1:$B$270,2,FALSE)</f>
        <v>#N/A</v>
      </c>
    </row>
    <row r="259" spans="15:61" hidden="1">
      <c r="O259" s="57"/>
      <c r="P259" s="57"/>
      <c r="AO259" s="57"/>
      <c r="AP259" s="57"/>
      <c r="BA259" s="57"/>
      <c r="BF259" s="6" t="e">
        <f t="shared" si="12"/>
        <v>#NUM!</v>
      </c>
      <c r="BG259" t="e">
        <f t="shared" si="13"/>
        <v>#NUM!</v>
      </c>
      <c r="BH259" t="e">
        <f t="shared" si="14"/>
        <v>#NUM!</v>
      </c>
      <c r="BI259" t="e">
        <f>VLOOKUP(H259,Sheet2!$A$1:$B$270,2,FALSE)</f>
        <v>#N/A</v>
      </c>
    </row>
    <row r="260" spans="15:61" hidden="1">
      <c r="O260" s="57"/>
      <c r="P260" s="57"/>
      <c r="AO260" s="57"/>
      <c r="BA260" s="57"/>
      <c r="BF260" s="6" t="e">
        <f t="shared" si="12"/>
        <v>#NUM!</v>
      </c>
      <c r="BG260" t="e">
        <f t="shared" si="13"/>
        <v>#NUM!</v>
      </c>
      <c r="BH260" t="e">
        <f t="shared" si="14"/>
        <v>#NUM!</v>
      </c>
      <c r="BI260" t="e">
        <f>VLOOKUP(H260,Sheet2!$A$1:$B$270,2,FALSE)</f>
        <v>#N/A</v>
      </c>
    </row>
    <row r="261" spans="15:61" hidden="1">
      <c r="O261" s="57"/>
      <c r="P261" s="57"/>
      <c r="AO261" s="57"/>
      <c r="BA261" s="57"/>
      <c r="BF261" s="6" t="e">
        <f t="shared" si="12"/>
        <v>#NUM!</v>
      </c>
      <c r="BG261" t="e">
        <f t="shared" si="13"/>
        <v>#NUM!</v>
      </c>
      <c r="BH261" t="e">
        <f t="shared" si="14"/>
        <v>#NUM!</v>
      </c>
      <c r="BI261" t="e">
        <f>VLOOKUP(H261,Sheet2!$A$1:$B$270,2,FALSE)</f>
        <v>#N/A</v>
      </c>
    </row>
    <row r="262" spans="15:61" hidden="1">
      <c r="O262" s="57"/>
      <c r="P262" s="57"/>
      <c r="AO262" s="57"/>
      <c r="BA262" s="57"/>
      <c r="BF262" s="6" t="e">
        <f t="shared" si="12"/>
        <v>#NUM!</v>
      </c>
      <c r="BG262" t="e">
        <f t="shared" si="13"/>
        <v>#NUM!</v>
      </c>
      <c r="BH262" t="e">
        <f t="shared" si="14"/>
        <v>#NUM!</v>
      </c>
      <c r="BI262" t="e">
        <f>VLOOKUP(H262,Sheet2!$A$1:$B$270,2,FALSE)</f>
        <v>#N/A</v>
      </c>
    </row>
    <row r="263" spans="15:61" hidden="1">
      <c r="O263" s="57"/>
      <c r="P263" s="57"/>
      <c r="AP263" s="57"/>
      <c r="BA263" s="57"/>
      <c r="BF263" s="6" t="e">
        <f t="shared" si="12"/>
        <v>#NUM!</v>
      </c>
      <c r="BG263" t="e">
        <f t="shared" si="13"/>
        <v>#NUM!</v>
      </c>
      <c r="BH263" t="e">
        <f t="shared" si="14"/>
        <v>#NUM!</v>
      </c>
      <c r="BI263" t="e">
        <f>VLOOKUP(H263,Sheet2!$A$1:$B$270,2,FALSE)</f>
        <v>#N/A</v>
      </c>
    </row>
    <row r="264" spans="15:61" hidden="1">
      <c r="O264" s="57"/>
      <c r="P264" s="57"/>
      <c r="BA264" s="57"/>
      <c r="BF264" s="6" t="e">
        <f t="shared" si="12"/>
        <v>#NUM!</v>
      </c>
      <c r="BG264" t="e">
        <f t="shared" si="13"/>
        <v>#NUM!</v>
      </c>
      <c r="BH264" t="e">
        <f t="shared" si="14"/>
        <v>#NUM!</v>
      </c>
      <c r="BI264" t="e">
        <f>VLOOKUP(H264,Sheet2!$A$1:$B$270,2,FALSE)</f>
        <v>#N/A</v>
      </c>
    </row>
    <row r="265" spans="15:61" hidden="1">
      <c r="O265" s="57"/>
      <c r="P265" s="57"/>
      <c r="BA265" s="57"/>
      <c r="BF265" s="6" t="e">
        <f t="shared" si="12"/>
        <v>#NUM!</v>
      </c>
      <c r="BG265" t="e">
        <f t="shared" si="13"/>
        <v>#NUM!</v>
      </c>
      <c r="BH265" t="e">
        <f t="shared" si="14"/>
        <v>#NUM!</v>
      </c>
      <c r="BI265" t="e">
        <f>VLOOKUP(H265,Sheet2!$A$1:$B$270,2,FALSE)</f>
        <v>#N/A</v>
      </c>
    </row>
    <row r="266" spans="15:61" hidden="1">
      <c r="O266" s="57"/>
      <c r="P266" s="57"/>
      <c r="AP266" s="57"/>
      <c r="BA266" s="57"/>
      <c r="BF266" s="6" t="e">
        <f t="shared" si="12"/>
        <v>#NUM!</v>
      </c>
      <c r="BG266" t="e">
        <f t="shared" si="13"/>
        <v>#NUM!</v>
      </c>
      <c r="BH266" t="e">
        <f t="shared" si="14"/>
        <v>#NUM!</v>
      </c>
      <c r="BI266" t="e">
        <f>VLOOKUP(H266,Sheet2!$A$1:$B$270,2,FALSE)</f>
        <v>#N/A</v>
      </c>
    </row>
    <row r="267" spans="15:61" hidden="1">
      <c r="O267" s="57"/>
      <c r="P267" s="57"/>
      <c r="BA267" s="57"/>
      <c r="BF267" s="6" t="e">
        <f t="shared" si="12"/>
        <v>#NUM!</v>
      </c>
      <c r="BG267" t="e">
        <f t="shared" si="13"/>
        <v>#NUM!</v>
      </c>
      <c r="BH267" t="e">
        <f t="shared" si="14"/>
        <v>#NUM!</v>
      </c>
      <c r="BI267" t="e">
        <f>VLOOKUP(H267,Sheet2!$A$1:$B$270,2,FALSE)</f>
        <v>#N/A</v>
      </c>
    </row>
    <row r="268" spans="15:61" hidden="1">
      <c r="O268" s="57"/>
      <c r="P268" s="57"/>
      <c r="AP268" s="57"/>
      <c r="BA268" s="57"/>
      <c r="BF268" s="6" t="e">
        <f t="shared" si="12"/>
        <v>#NUM!</v>
      </c>
      <c r="BG268" t="e">
        <f t="shared" si="13"/>
        <v>#NUM!</v>
      </c>
      <c r="BH268" t="e">
        <f t="shared" si="14"/>
        <v>#NUM!</v>
      </c>
      <c r="BI268" t="e">
        <f>VLOOKUP(H268,Sheet2!$A$1:$B$270,2,FALSE)</f>
        <v>#N/A</v>
      </c>
    </row>
    <row r="269" spans="15:61" hidden="1">
      <c r="O269" s="57"/>
      <c r="P269" s="57"/>
      <c r="BA269" s="57"/>
      <c r="BF269" s="6" t="e">
        <f t="shared" si="12"/>
        <v>#NUM!</v>
      </c>
      <c r="BG269" t="e">
        <f t="shared" si="13"/>
        <v>#NUM!</v>
      </c>
      <c r="BH269" t="e">
        <f t="shared" si="14"/>
        <v>#NUM!</v>
      </c>
      <c r="BI269" t="e">
        <f>VLOOKUP(H269,Sheet2!$A$1:$B$270,2,FALSE)</f>
        <v>#N/A</v>
      </c>
    </row>
    <row r="270" spans="15:61" hidden="1">
      <c r="O270" s="57"/>
      <c r="P270" s="57"/>
      <c r="BA270" s="57"/>
      <c r="BF270" s="6" t="e">
        <f t="shared" si="12"/>
        <v>#NUM!</v>
      </c>
      <c r="BG270" t="e">
        <f t="shared" si="13"/>
        <v>#NUM!</v>
      </c>
      <c r="BH270" t="e">
        <f t="shared" si="14"/>
        <v>#NUM!</v>
      </c>
      <c r="BI270" t="e">
        <f>VLOOKUP(H270,Sheet2!$A$1:$B$270,2,FALSE)</f>
        <v>#N/A</v>
      </c>
    </row>
    <row r="271" spans="15:61" hidden="1">
      <c r="O271" s="57"/>
      <c r="P271" s="57"/>
      <c r="BA271" s="57"/>
      <c r="BF271" s="6" t="e">
        <f t="shared" si="12"/>
        <v>#NUM!</v>
      </c>
      <c r="BG271" t="e">
        <f t="shared" si="13"/>
        <v>#NUM!</v>
      </c>
      <c r="BH271" t="e">
        <f t="shared" si="14"/>
        <v>#NUM!</v>
      </c>
      <c r="BI271" t="e">
        <f>VLOOKUP(H271,Sheet2!$A$1:$B$270,2,FALSE)</f>
        <v>#N/A</v>
      </c>
    </row>
    <row r="272" spans="15:61" hidden="1">
      <c r="O272" s="57"/>
      <c r="P272" s="57"/>
      <c r="AP272" s="57"/>
      <c r="BA272" s="57"/>
      <c r="BF272" s="6" t="e">
        <f t="shared" si="12"/>
        <v>#NUM!</v>
      </c>
      <c r="BG272" t="e">
        <f t="shared" si="13"/>
        <v>#NUM!</v>
      </c>
      <c r="BH272" t="e">
        <f t="shared" si="14"/>
        <v>#NUM!</v>
      </c>
      <c r="BI272" t="e">
        <f>VLOOKUP(H272,Sheet2!$A$1:$B$270,2,FALSE)</f>
        <v>#N/A</v>
      </c>
    </row>
    <row r="273" spans="15:61" hidden="1">
      <c r="O273" s="57"/>
      <c r="P273" s="57"/>
      <c r="AP273" s="57"/>
      <c r="BA273" s="57"/>
      <c r="BF273" s="6" t="e">
        <f t="shared" si="12"/>
        <v>#NUM!</v>
      </c>
      <c r="BG273" t="e">
        <f t="shared" si="13"/>
        <v>#NUM!</v>
      </c>
      <c r="BH273" t="e">
        <f t="shared" si="14"/>
        <v>#NUM!</v>
      </c>
      <c r="BI273" t="e">
        <f>VLOOKUP(H273,Sheet2!$A$1:$B$270,2,FALSE)</f>
        <v>#N/A</v>
      </c>
    </row>
    <row r="274" spans="15:61" hidden="1">
      <c r="O274" s="57"/>
      <c r="P274" s="57"/>
      <c r="AP274" s="57"/>
      <c r="BA274" s="57"/>
      <c r="BF274" s="6" t="e">
        <f t="shared" si="12"/>
        <v>#NUM!</v>
      </c>
      <c r="BG274" t="e">
        <f t="shared" si="13"/>
        <v>#NUM!</v>
      </c>
      <c r="BH274" t="e">
        <f t="shared" si="14"/>
        <v>#NUM!</v>
      </c>
      <c r="BI274" t="e">
        <f>VLOOKUP(H274,Sheet2!$A$1:$B$270,2,FALSE)</f>
        <v>#N/A</v>
      </c>
    </row>
    <row r="275" spans="15:61" hidden="1">
      <c r="O275" s="57"/>
      <c r="P275" s="57"/>
      <c r="AP275" s="57"/>
      <c r="BA275" s="57"/>
      <c r="BF275" s="6" t="e">
        <f t="shared" si="12"/>
        <v>#NUM!</v>
      </c>
      <c r="BG275" t="e">
        <f t="shared" si="13"/>
        <v>#NUM!</v>
      </c>
      <c r="BH275" t="e">
        <f t="shared" si="14"/>
        <v>#NUM!</v>
      </c>
      <c r="BI275" t="e">
        <f>VLOOKUP(H275,Sheet2!$A$1:$B$270,2,FALSE)</f>
        <v>#N/A</v>
      </c>
    </row>
    <row r="276" spans="15:61" hidden="1">
      <c r="O276" s="57"/>
      <c r="P276" s="57"/>
      <c r="BA276" s="57"/>
      <c r="BF276" s="6" t="e">
        <f t="shared" si="12"/>
        <v>#NUM!</v>
      </c>
      <c r="BG276" t="e">
        <f t="shared" si="13"/>
        <v>#NUM!</v>
      </c>
      <c r="BH276" t="e">
        <f t="shared" si="14"/>
        <v>#NUM!</v>
      </c>
      <c r="BI276" t="e">
        <f>VLOOKUP(H276,Sheet2!$A$1:$B$270,2,FALSE)</f>
        <v>#N/A</v>
      </c>
    </row>
    <row r="277" spans="15:61" hidden="1">
      <c r="O277" s="57"/>
      <c r="P277" s="57"/>
      <c r="BA277" s="57"/>
      <c r="BF277" s="6" t="e">
        <f t="shared" si="12"/>
        <v>#NUM!</v>
      </c>
      <c r="BG277" t="e">
        <f t="shared" si="13"/>
        <v>#NUM!</v>
      </c>
      <c r="BH277" t="e">
        <f t="shared" si="14"/>
        <v>#NUM!</v>
      </c>
      <c r="BI277" t="e">
        <f>VLOOKUP(H277,Sheet2!$A$1:$B$270,2,FALSE)</f>
        <v>#N/A</v>
      </c>
    </row>
    <row r="278" spans="15:61" hidden="1">
      <c r="O278" s="57"/>
      <c r="P278" s="57"/>
      <c r="AP278" s="57"/>
      <c r="BA278" s="57"/>
      <c r="BF278" s="6" t="e">
        <f t="shared" si="12"/>
        <v>#NUM!</v>
      </c>
      <c r="BG278" t="e">
        <f t="shared" si="13"/>
        <v>#NUM!</v>
      </c>
      <c r="BH278" t="e">
        <f t="shared" si="14"/>
        <v>#NUM!</v>
      </c>
      <c r="BI278" t="e">
        <f>VLOOKUP(H278,Sheet2!$A$1:$B$270,2,FALSE)</f>
        <v>#N/A</v>
      </c>
    </row>
    <row r="279" spans="15:61" hidden="1">
      <c r="O279" s="57"/>
      <c r="P279" s="57"/>
      <c r="AP279" s="57"/>
      <c r="BA279" s="57"/>
      <c r="BF279" s="6" t="e">
        <f t="shared" si="12"/>
        <v>#NUM!</v>
      </c>
      <c r="BG279" t="e">
        <f t="shared" si="13"/>
        <v>#NUM!</v>
      </c>
      <c r="BH279" t="e">
        <f t="shared" si="14"/>
        <v>#NUM!</v>
      </c>
      <c r="BI279" t="e">
        <f>VLOOKUP(H279,Sheet2!$A$1:$B$270,2,FALSE)</f>
        <v>#N/A</v>
      </c>
    </row>
    <row r="280" spans="15:61" hidden="1">
      <c r="O280" s="57"/>
      <c r="P280" s="57"/>
      <c r="AP280" s="57"/>
      <c r="BA280" s="57"/>
      <c r="BF280" s="6" t="e">
        <f t="shared" si="12"/>
        <v>#NUM!</v>
      </c>
      <c r="BG280" t="e">
        <f t="shared" si="13"/>
        <v>#NUM!</v>
      </c>
      <c r="BH280" t="e">
        <f t="shared" si="14"/>
        <v>#NUM!</v>
      </c>
      <c r="BI280" t="e">
        <f>VLOOKUP(H280,Sheet2!$A$1:$B$270,2,FALSE)</f>
        <v>#N/A</v>
      </c>
    </row>
    <row r="281" spans="15:61" hidden="1">
      <c r="O281" s="57"/>
      <c r="P281" s="57"/>
      <c r="AP281" s="57"/>
      <c r="BA281" s="57"/>
      <c r="BF281" s="6" t="e">
        <f t="shared" si="12"/>
        <v>#NUM!</v>
      </c>
      <c r="BG281" t="e">
        <f t="shared" si="13"/>
        <v>#NUM!</v>
      </c>
      <c r="BH281" t="e">
        <f t="shared" si="14"/>
        <v>#NUM!</v>
      </c>
      <c r="BI281" t="e">
        <f>VLOOKUP(H281,Sheet2!$A$1:$B$270,2,FALSE)</f>
        <v>#N/A</v>
      </c>
    </row>
    <row r="282" spans="15:61" hidden="1">
      <c r="O282" s="57"/>
      <c r="P282" s="57"/>
      <c r="BA282" s="57"/>
      <c r="BF282" s="6" t="e">
        <f t="shared" si="12"/>
        <v>#NUM!</v>
      </c>
      <c r="BG282" t="e">
        <f t="shared" si="13"/>
        <v>#NUM!</v>
      </c>
      <c r="BH282" t="e">
        <f t="shared" si="14"/>
        <v>#NUM!</v>
      </c>
      <c r="BI282" t="e">
        <f>VLOOKUP(H282,Sheet2!$A$1:$B$270,2,FALSE)</f>
        <v>#N/A</v>
      </c>
    </row>
    <row r="283" spans="15:61" hidden="1">
      <c r="O283" s="57"/>
      <c r="P283" s="57"/>
      <c r="BA283" s="57"/>
      <c r="BF283" s="6" t="e">
        <f t="shared" si="12"/>
        <v>#NUM!</v>
      </c>
      <c r="BG283" t="e">
        <f t="shared" si="13"/>
        <v>#NUM!</v>
      </c>
      <c r="BH283" t="e">
        <f t="shared" si="14"/>
        <v>#NUM!</v>
      </c>
      <c r="BI283" t="e">
        <f>VLOOKUP(H283,Sheet2!$A$1:$B$270,2,FALSE)</f>
        <v>#N/A</v>
      </c>
    </row>
    <row r="284" spans="15:61" hidden="1">
      <c r="O284" s="57"/>
      <c r="P284" s="57"/>
      <c r="AP284" s="57"/>
      <c r="BA284" s="57"/>
      <c r="BF284" s="6" t="e">
        <f t="shared" si="12"/>
        <v>#NUM!</v>
      </c>
      <c r="BG284" t="e">
        <f t="shared" si="13"/>
        <v>#NUM!</v>
      </c>
      <c r="BH284" t="e">
        <f t="shared" si="14"/>
        <v>#NUM!</v>
      </c>
      <c r="BI284" t="e">
        <f>VLOOKUP(H284,Sheet2!$A$1:$B$270,2,FALSE)</f>
        <v>#N/A</v>
      </c>
    </row>
    <row r="285" spans="15:61" hidden="1">
      <c r="O285" s="57"/>
      <c r="P285" s="57"/>
      <c r="BA285" s="57"/>
      <c r="BF285" s="6" t="e">
        <f t="shared" si="12"/>
        <v>#NUM!</v>
      </c>
      <c r="BG285" t="e">
        <f t="shared" si="13"/>
        <v>#NUM!</v>
      </c>
      <c r="BH285" t="e">
        <f t="shared" si="14"/>
        <v>#NUM!</v>
      </c>
      <c r="BI285" t="e">
        <f>VLOOKUP(H285,Sheet2!$A$1:$B$270,2,FALSE)</f>
        <v>#N/A</v>
      </c>
    </row>
    <row r="286" spans="15:61" hidden="1">
      <c r="O286" s="57"/>
      <c r="P286" s="57"/>
      <c r="BA286" s="57"/>
      <c r="BF286" s="6" t="e">
        <f t="shared" si="12"/>
        <v>#NUM!</v>
      </c>
      <c r="BG286" t="e">
        <f t="shared" si="13"/>
        <v>#NUM!</v>
      </c>
      <c r="BH286" t="e">
        <f t="shared" si="14"/>
        <v>#NUM!</v>
      </c>
      <c r="BI286" t="e">
        <f>VLOOKUP(H286,Sheet2!$A$1:$B$270,2,FALSE)</f>
        <v>#N/A</v>
      </c>
    </row>
    <row r="287" spans="15:61" hidden="1">
      <c r="O287" s="57"/>
      <c r="P287" s="57"/>
      <c r="BA287" s="57"/>
      <c r="BF287" s="6" t="e">
        <f t="shared" si="12"/>
        <v>#NUM!</v>
      </c>
      <c r="BG287" t="e">
        <f t="shared" si="13"/>
        <v>#NUM!</v>
      </c>
      <c r="BH287" t="e">
        <f t="shared" si="14"/>
        <v>#NUM!</v>
      </c>
      <c r="BI287" t="e">
        <f>VLOOKUP(H287,Sheet2!$A$1:$B$270,2,FALSE)</f>
        <v>#N/A</v>
      </c>
    </row>
    <row r="288" spans="15:61" hidden="1">
      <c r="O288" s="57"/>
      <c r="P288" s="57"/>
      <c r="BA288" s="57"/>
      <c r="BF288" s="6" t="e">
        <f t="shared" si="12"/>
        <v>#NUM!</v>
      </c>
      <c r="BG288" t="e">
        <f t="shared" si="13"/>
        <v>#NUM!</v>
      </c>
      <c r="BH288" t="e">
        <f t="shared" si="14"/>
        <v>#NUM!</v>
      </c>
      <c r="BI288" t="e">
        <f>VLOOKUP(H288,Sheet2!$A$1:$B$270,2,FALSE)</f>
        <v>#N/A</v>
      </c>
    </row>
    <row r="289" spans="15:61" hidden="1">
      <c r="O289" s="57"/>
      <c r="P289" s="57"/>
      <c r="AP289" s="57"/>
      <c r="BA289" s="57"/>
      <c r="BF289" s="6" t="e">
        <f t="shared" si="12"/>
        <v>#NUM!</v>
      </c>
      <c r="BG289" t="e">
        <f t="shared" si="13"/>
        <v>#NUM!</v>
      </c>
      <c r="BH289" t="e">
        <f t="shared" si="14"/>
        <v>#NUM!</v>
      </c>
      <c r="BI289" t="e">
        <f>VLOOKUP(H289,Sheet2!$A$1:$B$270,2,FALSE)</f>
        <v>#N/A</v>
      </c>
    </row>
    <row r="290" spans="15:61" hidden="1">
      <c r="O290" s="57"/>
      <c r="P290" s="57"/>
      <c r="AP290" s="57"/>
      <c r="BA290" s="57"/>
      <c r="BF290" s="6" t="e">
        <f t="shared" si="12"/>
        <v>#NUM!</v>
      </c>
      <c r="BG290" t="e">
        <f t="shared" si="13"/>
        <v>#NUM!</v>
      </c>
      <c r="BH290" t="e">
        <f t="shared" si="14"/>
        <v>#NUM!</v>
      </c>
      <c r="BI290" t="e">
        <f>VLOOKUP(H290,Sheet2!$A$1:$B$270,2,FALSE)</f>
        <v>#N/A</v>
      </c>
    </row>
    <row r="291" spans="15:61" hidden="1">
      <c r="O291" s="57"/>
      <c r="P291" s="57"/>
      <c r="AP291" s="57"/>
      <c r="BA291" s="57"/>
      <c r="BF291" s="6" t="e">
        <f t="shared" si="12"/>
        <v>#NUM!</v>
      </c>
      <c r="BG291" t="e">
        <f t="shared" si="13"/>
        <v>#NUM!</v>
      </c>
      <c r="BH291" t="e">
        <f t="shared" si="14"/>
        <v>#NUM!</v>
      </c>
      <c r="BI291" t="e">
        <f>VLOOKUP(H291,Sheet2!$A$1:$B$270,2,FALSE)</f>
        <v>#N/A</v>
      </c>
    </row>
    <row r="292" spans="15:61" hidden="1">
      <c r="O292" s="57"/>
      <c r="P292" s="57"/>
      <c r="BF292" s="6" t="e">
        <f t="shared" si="12"/>
        <v>#NUM!</v>
      </c>
      <c r="BG292" t="e">
        <f t="shared" si="13"/>
        <v>#NUM!</v>
      </c>
      <c r="BH292" t="e">
        <f t="shared" si="14"/>
        <v>#NUM!</v>
      </c>
      <c r="BI292" t="e">
        <f>VLOOKUP(H292,Sheet2!$A$1:$B$270,2,FALSE)</f>
        <v>#N/A</v>
      </c>
    </row>
    <row r="293" spans="15:61" hidden="1">
      <c r="O293" s="57"/>
      <c r="P293" s="57"/>
      <c r="BF293" s="6" t="e">
        <f t="shared" si="12"/>
        <v>#NUM!</v>
      </c>
      <c r="BG293" t="e">
        <f t="shared" si="13"/>
        <v>#NUM!</v>
      </c>
      <c r="BH293" t="e">
        <f t="shared" si="14"/>
        <v>#NUM!</v>
      </c>
      <c r="BI293" t="e">
        <f>VLOOKUP(H293,Sheet2!$A$1:$B$270,2,FALSE)</f>
        <v>#N/A</v>
      </c>
    </row>
    <row r="294" spans="15:61" hidden="1">
      <c r="O294" s="57"/>
      <c r="P294" s="57"/>
      <c r="AP294" s="57"/>
      <c r="BA294" s="57"/>
      <c r="BF294" s="6" t="e">
        <f t="shared" si="12"/>
        <v>#NUM!</v>
      </c>
      <c r="BG294" t="e">
        <f t="shared" si="13"/>
        <v>#NUM!</v>
      </c>
      <c r="BH294" t="e">
        <f t="shared" si="14"/>
        <v>#NUM!</v>
      </c>
      <c r="BI294" t="e">
        <f>VLOOKUP(H294,Sheet2!$A$1:$B$270,2,FALSE)</f>
        <v>#N/A</v>
      </c>
    </row>
    <row r="295" spans="15:61" hidden="1">
      <c r="O295" s="57"/>
      <c r="P295" s="57"/>
      <c r="AP295" s="57"/>
      <c r="BA295" s="57"/>
      <c r="BF295" s="6" t="e">
        <f t="shared" si="12"/>
        <v>#NUM!</v>
      </c>
      <c r="BG295" t="e">
        <f t="shared" si="13"/>
        <v>#NUM!</v>
      </c>
      <c r="BH295" t="e">
        <f t="shared" si="14"/>
        <v>#NUM!</v>
      </c>
      <c r="BI295" t="e">
        <f>VLOOKUP(H295,Sheet2!$A$1:$B$270,2,FALSE)</f>
        <v>#N/A</v>
      </c>
    </row>
    <row r="296" spans="15:61" hidden="1">
      <c r="O296" s="57"/>
      <c r="P296" s="57"/>
      <c r="AO296" s="57"/>
      <c r="AP296" s="57"/>
      <c r="BA296" s="57"/>
      <c r="BF296" s="6" t="e">
        <f t="shared" si="12"/>
        <v>#NUM!</v>
      </c>
      <c r="BG296" t="e">
        <f t="shared" si="13"/>
        <v>#NUM!</v>
      </c>
      <c r="BH296" t="e">
        <f t="shared" si="14"/>
        <v>#NUM!</v>
      </c>
      <c r="BI296" t="e">
        <f>VLOOKUP(H296,Sheet2!$A$1:$B$270,2,FALSE)</f>
        <v>#N/A</v>
      </c>
    </row>
    <row r="297" spans="15:61" hidden="1">
      <c r="O297" s="57"/>
      <c r="P297" s="57"/>
      <c r="AP297" s="57"/>
      <c r="BA297" s="57"/>
      <c r="BF297" s="6" t="e">
        <f t="shared" si="12"/>
        <v>#NUM!</v>
      </c>
      <c r="BG297" t="e">
        <f t="shared" si="13"/>
        <v>#NUM!</v>
      </c>
      <c r="BH297" t="e">
        <f t="shared" si="14"/>
        <v>#NUM!</v>
      </c>
      <c r="BI297" t="e">
        <f>VLOOKUP(H297,Sheet2!$A$1:$B$270,2,FALSE)</f>
        <v>#N/A</v>
      </c>
    </row>
    <row r="298" spans="15:61" hidden="1">
      <c r="O298" s="57"/>
      <c r="P298" s="57"/>
      <c r="AP298" s="57"/>
      <c r="BA298" s="57"/>
      <c r="BF298" s="6" t="e">
        <f t="shared" si="12"/>
        <v>#NUM!</v>
      </c>
      <c r="BG298" t="e">
        <f t="shared" si="13"/>
        <v>#NUM!</v>
      </c>
      <c r="BH298" t="e">
        <f t="shared" si="14"/>
        <v>#NUM!</v>
      </c>
      <c r="BI298" t="e">
        <f>VLOOKUP(H298,Sheet2!$A$1:$B$270,2,FALSE)</f>
        <v>#N/A</v>
      </c>
    </row>
    <row r="299" spans="15:61" hidden="1">
      <c r="O299" s="57"/>
      <c r="P299" s="57"/>
      <c r="AP299" s="57"/>
      <c r="BA299" s="57"/>
      <c r="BF299" s="6" t="e">
        <f t="shared" si="12"/>
        <v>#NUM!</v>
      </c>
      <c r="BG299" t="e">
        <f t="shared" si="13"/>
        <v>#NUM!</v>
      </c>
      <c r="BH299" t="e">
        <f t="shared" si="14"/>
        <v>#NUM!</v>
      </c>
      <c r="BI299" t="e">
        <f>VLOOKUP(H299,Sheet2!$A$1:$B$270,2,FALSE)</f>
        <v>#N/A</v>
      </c>
    </row>
    <row r="300" spans="15:61" hidden="1">
      <c r="O300" s="57"/>
      <c r="P300" s="57"/>
      <c r="AP300" s="57"/>
      <c r="BA300" s="57"/>
      <c r="BF300" s="6" t="e">
        <f t="shared" si="12"/>
        <v>#NUM!</v>
      </c>
      <c r="BG300" t="e">
        <f t="shared" si="13"/>
        <v>#NUM!</v>
      </c>
      <c r="BH300" t="e">
        <f t="shared" si="14"/>
        <v>#NUM!</v>
      </c>
      <c r="BI300" t="e">
        <f>VLOOKUP(H300,Sheet2!$A$1:$B$270,2,FALSE)</f>
        <v>#N/A</v>
      </c>
    </row>
    <row r="301" spans="15:61" hidden="1">
      <c r="O301" s="57"/>
      <c r="P301" s="57"/>
      <c r="AP301" s="57"/>
      <c r="BA301" s="57"/>
      <c r="BF301" s="6" t="e">
        <f t="shared" si="12"/>
        <v>#NUM!</v>
      </c>
      <c r="BG301" t="e">
        <f t="shared" si="13"/>
        <v>#NUM!</v>
      </c>
      <c r="BH301" t="e">
        <f t="shared" si="14"/>
        <v>#NUM!</v>
      </c>
      <c r="BI301" t="e">
        <f>VLOOKUP(H301,Sheet2!$A$1:$B$270,2,FALSE)</f>
        <v>#N/A</v>
      </c>
    </row>
    <row r="302" spans="15:61" hidden="1">
      <c r="O302" s="57"/>
      <c r="P302" s="57"/>
      <c r="AP302" s="57"/>
      <c r="BA302" s="57"/>
      <c r="BF302" s="6" t="e">
        <f t="shared" si="12"/>
        <v>#NUM!</v>
      </c>
      <c r="BG302" t="e">
        <f t="shared" si="13"/>
        <v>#NUM!</v>
      </c>
      <c r="BH302" t="e">
        <f t="shared" si="14"/>
        <v>#NUM!</v>
      </c>
      <c r="BI302" t="e">
        <f>VLOOKUP(H302,Sheet2!$A$1:$B$270,2,FALSE)</f>
        <v>#N/A</v>
      </c>
    </row>
    <row r="303" spans="15:61" hidden="1">
      <c r="O303" s="57"/>
      <c r="P303" s="57"/>
      <c r="AP303" s="57"/>
      <c r="BA303" s="57"/>
      <c r="BF303" s="6" t="e">
        <f t="shared" si="12"/>
        <v>#NUM!</v>
      </c>
      <c r="BG303" t="e">
        <f t="shared" si="13"/>
        <v>#NUM!</v>
      </c>
      <c r="BH303" t="e">
        <f t="shared" si="14"/>
        <v>#NUM!</v>
      </c>
      <c r="BI303" t="e">
        <f>VLOOKUP(H303,Sheet2!$A$1:$B$270,2,FALSE)</f>
        <v>#N/A</v>
      </c>
    </row>
    <row r="304" spans="15:61" hidden="1">
      <c r="O304" s="57"/>
      <c r="P304" s="57"/>
      <c r="AO304" s="57"/>
      <c r="BA304" s="57"/>
      <c r="BF304" s="6" t="e">
        <f t="shared" si="12"/>
        <v>#NUM!</v>
      </c>
      <c r="BG304" t="e">
        <f t="shared" si="13"/>
        <v>#NUM!</v>
      </c>
      <c r="BH304" t="e">
        <f t="shared" si="14"/>
        <v>#NUM!</v>
      </c>
      <c r="BI304" t="e">
        <f>VLOOKUP(H304,Sheet2!$A$1:$B$270,2,FALSE)</f>
        <v>#N/A</v>
      </c>
    </row>
    <row r="305" spans="15:61" hidden="1">
      <c r="O305" s="57"/>
      <c r="P305" s="57"/>
      <c r="AO305" s="57"/>
      <c r="BA305" s="57"/>
      <c r="BF305" s="6" t="e">
        <f t="shared" si="12"/>
        <v>#NUM!</v>
      </c>
      <c r="BG305" t="e">
        <f t="shared" si="13"/>
        <v>#NUM!</v>
      </c>
      <c r="BH305" t="e">
        <f t="shared" si="14"/>
        <v>#NUM!</v>
      </c>
      <c r="BI305" t="e">
        <f>VLOOKUP(H305,Sheet2!$A$1:$B$270,2,FALSE)</f>
        <v>#N/A</v>
      </c>
    </row>
    <row r="306" spans="15:61" hidden="1">
      <c r="O306" s="57"/>
      <c r="P306" s="57"/>
      <c r="AO306" s="57"/>
      <c r="AP306" s="57"/>
      <c r="BA306" s="57"/>
      <c r="BF306" s="6" t="e">
        <f t="shared" si="12"/>
        <v>#NUM!</v>
      </c>
      <c r="BG306" t="e">
        <f t="shared" si="13"/>
        <v>#NUM!</v>
      </c>
      <c r="BH306" t="e">
        <f t="shared" si="14"/>
        <v>#NUM!</v>
      </c>
      <c r="BI306" t="e">
        <f>VLOOKUP(H306,Sheet2!$A$1:$B$270,2,FALSE)</f>
        <v>#N/A</v>
      </c>
    </row>
    <row r="307" spans="15:61" hidden="1">
      <c r="O307" s="57"/>
      <c r="P307" s="57"/>
      <c r="AP307" s="57"/>
      <c r="BA307" s="57"/>
      <c r="BF307" s="6" t="e">
        <f t="shared" si="12"/>
        <v>#NUM!</v>
      </c>
      <c r="BG307" t="e">
        <f t="shared" si="13"/>
        <v>#NUM!</v>
      </c>
      <c r="BH307" t="e">
        <f t="shared" si="14"/>
        <v>#NUM!</v>
      </c>
      <c r="BI307" t="e">
        <f>VLOOKUP(H307,Sheet2!$A$1:$B$270,2,FALSE)</f>
        <v>#N/A</v>
      </c>
    </row>
    <row r="308" spans="15:61" hidden="1">
      <c r="O308" s="57"/>
      <c r="P308" s="57"/>
      <c r="AP308" s="57"/>
      <c r="BA308" s="57"/>
      <c r="BF308" s="6" t="e">
        <f t="shared" si="12"/>
        <v>#NUM!</v>
      </c>
      <c r="BG308" t="e">
        <f t="shared" si="13"/>
        <v>#NUM!</v>
      </c>
      <c r="BH308" t="e">
        <f t="shared" si="14"/>
        <v>#NUM!</v>
      </c>
      <c r="BI308" t="e">
        <f>VLOOKUP(H308,Sheet2!$A$1:$B$270,2,FALSE)</f>
        <v>#N/A</v>
      </c>
    </row>
    <row r="309" spans="15:61" hidden="1">
      <c r="O309" s="57"/>
      <c r="P309" s="57"/>
      <c r="BA309" s="57"/>
      <c r="BF309" s="6" t="e">
        <f t="shared" si="12"/>
        <v>#NUM!</v>
      </c>
      <c r="BG309" t="e">
        <f t="shared" si="13"/>
        <v>#NUM!</v>
      </c>
      <c r="BH309" t="e">
        <f t="shared" si="14"/>
        <v>#NUM!</v>
      </c>
      <c r="BI309" t="e">
        <f>VLOOKUP(H309,Sheet2!$A$1:$B$270,2,FALSE)</f>
        <v>#N/A</v>
      </c>
    </row>
    <row r="310" spans="15:61" hidden="1">
      <c r="O310" s="57"/>
      <c r="P310" s="57"/>
      <c r="BA310" s="57"/>
      <c r="BF310" s="6" t="e">
        <f t="shared" si="12"/>
        <v>#NUM!</v>
      </c>
      <c r="BG310" t="e">
        <f t="shared" si="13"/>
        <v>#NUM!</v>
      </c>
      <c r="BH310" t="e">
        <f t="shared" si="14"/>
        <v>#NUM!</v>
      </c>
      <c r="BI310" t="e">
        <f>VLOOKUP(H310,Sheet2!$A$1:$B$270,2,FALSE)</f>
        <v>#N/A</v>
      </c>
    </row>
    <row r="311" spans="15:61" hidden="1">
      <c r="O311" s="57"/>
      <c r="P311" s="57"/>
      <c r="BA311" s="57"/>
      <c r="BF311" s="6" t="e">
        <f t="shared" si="12"/>
        <v>#NUM!</v>
      </c>
      <c r="BG311" t="e">
        <f t="shared" si="13"/>
        <v>#NUM!</v>
      </c>
      <c r="BH311" t="e">
        <f t="shared" si="14"/>
        <v>#NUM!</v>
      </c>
      <c r="BI311" t="e">
        <f>VLOOKUP(H311,Sheet2!$A$1:$B$270,2,FALSE)</f>
        <v>#N/A</v>
      </c>
    </row>
    <row r="312" spans="15:61" hidden="1">
      <c r="O312" s="57"/>
      <c r="P312" s="57"/>
      <c r="BA312" s="57"/>
      <c r="BF312" s="6" t="e">
        <f t="shared" si="12"/>
        <v>#NUM!</v>
      </c>
      <c r="BG312" t="e">
        <f t="shared" si="13"/>
        <v>#NUM!</v>
      </c>
      <c r="BH312" t="e">
        <f t="shared" si="14"/>
        <v>#NUM!</v>
      </c>
      <c r="BI312" t="e">
        <f>VLOOKUP(H312,Sheet2!$A$1:$B$270,2,FALSE)</f>
        <v>#N/A</v>
      </c>
    </row>
    <row r="313" spans="15:61" hidden="1">
      <c r="O313" s="57"/>
      <c r="P313" s="57"/>
      <c r="BA313" s="57"/>
      <c r="BF313" s="6" t="e">
        <f t="shared" si="12"/>
        <v>#NUM!</v>
      </c>
      <c r="BG313" t="e">
        <f t="shared" si="13"/>
        <v>#NUM!</v>
      </c>
      <c r="BH313" t="e">
        <f t="shared" si="14"/>
        <v>#NUM!</v>
      </c>
      <c r="BI313" t="e">
        <f>VLOOKUP(H313,Sheet2!$A$1:$B$270,2,FALSE)</f>
        <v>#N/A</v>
      </c>
    </row>
    <row r="314" spans="15:61" hidden="1">
      <c r="O314" s="57"/>
      <c r="P314" s="57"/>
      <c r="AP314" s="57"/>
      <c r="BA314" s="57"/>
      <c r="BF314" s="6" t="e">
        <f t="shared" si="12"/>
        <v>#NUM!</v>
      </c>
      <c r="BG314" t="e">
        <f t="shared" si="13"/>
        <v>#NUM!</v>
      </c>
      <c r="BH314" t="e">
        <f t="shared" si="14"/>
        <v>#NUM!</v>
      </c>
      <c r="BI314" t="e">
        <f>VLOOKUP(H314,Sheet2!$A$1:$B$270,2,FALSE)</f>
        <v>#N/A</v>
      </c>
    </row>
    <row r="315" spans="15:61" hidden="1">
      <c r="O315" s="57"/>
      <c r="P315" s="57"/>
      <c r="AO315" s="57"/>
      <c r="AP315" s="57"/>
      <c r="BA315" s="57"/>
      <c r="BF315" s="6" t="e">
        <f t="shared" si="12"/>
        <v>#NUM!</v>
      </c>
      <c r="BG315" t="e">
        <f t="shared" si="13"/>
        <v>#NUM!</v>
      </c>
      <c r="BH315" t="e">
        <f t="shared" si="14"/>
        <v>#NUM!</v>
      </c>
      <c r="BI315" t="e">
        <f>VLOOKUP(H315,Sheet2!$A$1:$B$270,2,FALSE)</f>
        <v>#N/A</v>
      </c>
    </row>
    <row r="316" spans="15:61" hidden="1">
      <c r="O316" s="57"/>
      <c r="P316" s="57"/>
      <c r="AO316" s="57"/>
      <c r="AP316" s="57"/>
      <c r="BA316" s="57"/>
      <c r="BF316" s="6" t="e">
        <f t="shared" si="12"/>
        <v>#NUM!</v>
      </c>
      <c r="BG316" t="e">
        <f t="shared" si="13"/>
        <v>#NUM!</v>
      </c>
      <c r="BH316" t="e">
        <f t="shared" si="14"/>
        <v>#NUM!</v>
      </c>
      <c r="BI316" t="e">
        <f>VLOOKUP(H316,Sheet2!$A$1:$B$270,2,FALSE)</f>
        <v>#N/A</v>
      </c>
    </row>
    <row r="317" spans="15:61" hidden="1">
      <c r="O317" s="57"/>
      <c r="P317" s="57"/>
      <c r="BA317" s="57"/>
      <c r="BF317" s="6" t="e">
        <f t="shared" si="12"/>
        <v>#NUM!</v>
      </c>
      <c r="BG317" t="e">
        <f t="shared" si="13"/>
        <v>#NUM!</v>
      </c>
      <c r="BH317" t="e">
        <f t="shared" si="14"/>
        <v>#NUM!</v>
      </c>
      <c r="BI317" t="e">
        <f>VLOOKUP(H317,Sheet2!$A$1:$B$270,2,FALSE)</f>
        <v>#N/A</v>
      </c>
    </row>
    <row r="318" spans="15:61" hidden="1">
      <c r="O318" s="57"/>
      <c r="P318" s="57"/>
      <c r="BA318" s="57"/>
      <c r="BF318" s="6" t="e">
        <f t="shared" si="12"/>
        <v>#NUM!</v>
      </c>
      <c r="BG318" t="e">
        <f t="shared" si="13"/>
        <v>#NUM!</v>
      </c>
      <c r="BH318" t="e">
        <f t="shared" si="14"/>
        <v>#NUM!</v>
      </c>
      <c r="BI318" t="e">
        <f>VLOOKUP(H318,Sheet2!$A$1:$B$270,2,FALSE)</f>
        <v>#N/A</v>
      </c>
    </row>
    <row r="319" spans="15:61" hidden="1">
      <c r="O319" s="57"/>
      <c r="P319" s="57"/>
      <c r="AO319" s="57"/>
      <c r="AP319" s="57"/>
      <c r="BA319" s="57"/>
      <c r="BF319" s="6" t="e">
        <f t="shared" si="12"/>
        <v>#NUM!</v>
      </c>
      <c r="BG319" t="e">
        <f t="shared" si="13"/>
        <v>#NUM!</v>
      </c>
      <c r="BH319" t="e">
        <f t="shared" si="14"/>
        <v>#NUM!</v>
      </c>
      <c r="BI319" t="e">
        <f>VLOOKUP(H319,Sheet2!$A$1:$B$270,2,FALSE)</f>
        <v>#N/A</v>
      </c>
    </row>
    <row r="320" spans="15:61" hidden="1">
      <c r="O320" s="57"/>
      <c r="P320" s="57"/>
      <c r="AO320" s="57"/>
      <c r="AP320" s="57"/>
      <c r="BA320" s="57"/>
      <c r="BF320" s="6" t="e">
        <f t="shared" si="12"/>
        <v>#NUM!</v>
      </c>
      <c r="BG320" t="e">
        <f t="shared" si="13"/>
        <v>#NUM!</v>
      </c>
      <c r="BH320" t="e">
        <f t="shared" si="14"/>
        <v>#NUM!</v>
      </c>
      <c r="BI320" t="e">
        <f>VLOOKUP(H320,Sheet2!$A$1:$B$270,2,FALSE)</f>
        <v>#N/A</v>
      </c>
    </row>
    <row r="321" spans="15:61" hidden="1">
      <c r="O321" s="57"/>
      <c r="P321" s="57"/>
      <c r="AP321" s="57"/>
      <c r="BA321" s="57"/>
      <c r="BF321" s="6" t="e">
        <f t="shared" si="12"/>
        <v>#NUM!</v>
      </c>
      <c r="BG321" t="e">
        <f t="shared" si="13"/>
        <v>#NUM!</v>
      </c>
      <c r="BH321" t="e">
        <f t="shared" si="14"/>
        <v>#NUM!</v>
      </c>
      <c r="BI321" t="e">
        <f>VLOOKUP(H321,Sheet2!$A$1:$B$270,2,FALSE)</f>
        <v>#N/A</v>
      </c>
    </row>
    <row r="322" spans="15:61" hidden="1">
      <c r="O322" s="57"/>
      <c r="P322" s="57"/>
      <c r="AP322" s="57"/>
      <c r="BA322" s="57"/>
      <c r="BF322" s="6" t="e">
        <f t="shared" ref="BF322:BF385" si="15">DATE(BC322,BD322,BE322)</f>
        <v>#NUM!</v>
      </c>
      <c r="BG322" t="e">
        <f t="shared" ref="BG322:BG385" si="16">BF322-BA322</f>
        <v>#NUM!</v>
      </c>
      <c r="BH322" t="e">
        <f t="shared" ref="BH322:BH385" si="17">IF(BG322=1,"COMPLY",IF(BG322&lt;1,"COMPLY","NOT COMPLY"))</f>
        <v>#NUM!</v>
      </c>
      <c r="BI322" t="e">
        <f>VLOOKUP(H322,Sheet2!$A$1:$B$270,2,FALSE)</f>
        <v>#N/A</v>
      </c>
    </row>
    <row r="323" spans="15:61" hidden="1">
      <c r="O323" s="57"/>
      <c r="P323" s="57"/>
      <c r="AP323" s="57"/>
      <c r="BA323" s="57"/>
      <c r="BF323" s="6" t="e">
        <f t="shared" si="15"/>
        <v>#NUM!</v>
      </c>
      <c r="BG323" t="e">
        <f t="shared" si="16"/>
        <v>#NUM!</v>
      </c>
      <c r="BH323" t="e">
        <f t="shared" si="17"/>
        <v>#NUM!</v>
      </c>
      <c r="BI323" t="e">
        <f>VLOOKUP(H323,Sheet2!$A$1:$B$270,2,FALSE)</f>
        <v>#N/A</v>
      </c>
    </row>
    <row r="324" spans="15:61" hidden="1">
      <c r="O324" s="57"/>
      <c r="P324" s="57"/>
      <c r="AP324" s="57"/>
      <c r="BA324" s="57"/>
      <c r="BF324" s="6" t="e">
        <f t="shared" si="15"/>
        <v>#NUM!</v>
      </c>
      <c r="BG324" t="e">
        <f t="shared" si="16"/>
        <v>#NUM!</v>
      </c>
      <c r="BH324" t="e">
        <f t="shared" si="17"/>
        <v>#NUM!</v>
      </c>
      <c r="BI324" t="e">
        <f>VLOOKUP(H324,Sheet2!$A$1:$B$270,2,FALSE)</f>
        <v>#N/A</v>
      </c>
    </row>
    <row r="325" spans="15:61" hidden="1">
      <c r="O325" s="57"/>
      <c r="P325" s="57"/>
      <c r="AP325" s="57"/>
      <c r="BA325" s="57"/>
      <c r="BF325" s="6" t="e">
        <f t="shared" si="15"/>
        <v>#NUM!</v>
      </c>
      <c r="BG325" t="e">
        <f t="shared" si="16"/>
        <v>#NUM!</v>
      </c>
      <c r="BH325" t="e">
        <f t="shared" si="17"/>
        <v>#NUM!</v>
      </c>
      <c r="BI325" t="e">
        <f>VLOOKUP(H325,Sheet2!$A$1:$B$270,2,FALSE)</f>
        <v>#N/A</v>
      </c>
    </row>
    <row r="326" spans="15:61" hidden="1">
      <c r="O326" s="57"/>
      <c r="P326" s="57"/>
      <c r="AO326" s="57"/>
      <c r="BA326" s="57"/>
      <c r="BF326" s="6" t="e">
        <f t="shared" si="15"/>
        <v>#NUM!</v>
      </c>
      <c r="BG326" t="e">
        <f t="shared" si="16"/>
        <v>#NUM!</v>
      </c>
      <c r="BH326" t="e">
        <f t="shared" si="17"/>
        <v>#NUM!</v>
      </c>
      <c r="BI326" t="e">
        <f>VLOOKUP(H326,Sheet2!$A$1:$B$270,2,FALSE)</f>
        <v>#N/A</v>
      </c>
    </row>
    <row r="327" spans="15:61" hidden="1">
      <c r="O327" s="57"/>
      <c r="P327" s="57"/>
      <c r="AO327" s="57"/>
      <c r="BA327" s="57"/>
      <c r="BF327" s="6" t="e">
        <f t="shared" si="15"/>
        <v>#NUM!</v>
      </c>
      <c r="BG327" t="e">
        <f t="shared" si="16"/>
        <v>#NUM!</v>
      </c>
      <c r="BH327" t="e">
        <f t="shared" si="17"/>
        <v>#NUM!</v>
      </c>
      <c r="BI327" t="e">
        <f>VLOOKUP(H327,Sheet2!$A$1:$B$270,2,FALSE)</f>
        <v>#N/A</v>
      </c>
    </row>
    <row r="328" spans="15:61" hidden="1">
      <c r="O328" s="57"/>
      <c r="P328" s="57"/>
      <c r="AP328" s="57"/>
      <c r="BA328" s="57"/>
      <c r="BF328" s="6" t="e">
        <f t="shared" si="15"/>
        <v>#NUM!</v>
      </c>
      <c r="BG328" t="e">
        <f t="shared" si="16"/>
        <v>#NUM!</v>
      </c>
      <c r="BH328" t="e">
        <f t="shared" si="17"/>
        <v>#NUM!</v>
      </c>
      <c r="BI328" t="e">
        <f>VLOOKUP(H328,Sheet2!$A$1:$B$270,2,FALSE)</f>
        <v>#N/A</v>
      </c>
    </row>
    <row r="329" spans="15:61" hidden="1">
      <c r="O329" s="57"/>
      <c r="P329" s="57"/>
      <c r="BA329" s="57"/>
      <c r="BF329" s="6" t="e">
        <f t="shared" si="15"/>
        <v>#NUM!</v>
      </c>
      <c r="BG329" t="e">
        <f t="shared" si="16"/>
        <v>#NUM!</v>
      </c>
      <c r="BH329" t="e">
        <f t="shared" si="17"/>
        <v>#NUM!</v>
      </c>
      <c r="BI329" t="e">
        <f>VLOOKUP(H329,Sheet2!$A$1:$B$270,2,FALSE)</f>
        <v>#N/A</v>
      </c>
    </row>
    <row r="330" spans="15:61" hidden="1">
      <c r="O330" s="57"/>
      <c r="P330" s="57"/>
      <c r="BA330" s="57"/>
      <c r="BF330" s="6" t="e">
        <f t="shared" si="15"/>
        <v>#NUM!</v>
      </c>
      <c r="BG330" t="e">
        <f t="shared" si="16"/>
        <v>#NUM!</v>
      </c>
      <c r="BH330" t="e">
        <f t="shared" si="17"/>
        <v>#NUM!</v>
      </c>
      <c r="BI330" t="e">
        <f>VLOOKUP(H330,Sheet2!$A$1:$B$270,2,FALSE)</f>
        <v>#N/A</v>
      </c>
    </row>
    <row r="331" spans="15:61" hidden="1">
      <c r="O331" s="57"/>
      <c r="P331" s="57"/>
      <c r="BA331" s="57"/>
      <c r="BF331" s="6" t="e">
        <f t="shared" si="15"/>
        <v>#NUM!</v>
      </c>
      <c r="BG331" t="e">
        <f t="shared" si="16"/>
        <v>#NUM!</v>
      </c>
      <c r="BH331" t="e">
        <f t="shared" si="17"/>
        <v>#NUM!</v>
      </c>
      <c r="BI331" t="e">
        <f>VLOOKUP(H331,Sheet2!$A$1:$B$270,2,FALSE)</f>
        <v>#N/A</v>
      </c>
    </row>
    <row r="332" spans="15:61" hidden="1">
      <c r="O332" s="57"/>
      <c r="P332" s="57"/>
      <c r="BA332" s="57"/>
      <c r="BF332" s="6" t="e">
        <f t="shared" si="15"/>
        <v>#NUM!</v>
      </c>
      <c r="BG332" t="e">
        <f t="shared" si="16"/>
        <v>#NUM!</v>
      </c>
      <c r="BH332" t="e">
        <f t="shared" si="17"/>
        <v>#NUM!</v>
      </c>
      <c r="BI332" t="e">
        <f>VLOOKUP(H332,Sheet2!$A$1:$B$270,2,FALSE)</f>
        <v>#N/A</v>
      </c>
    </row>
    <row r="333" spans="15:61" hidden="1">
      <c r="O333" s="57"/>
      <c r="P333" s="57"/>
      <c r="AO333" s="57"/>
      <c r="AP333" s="57"/>
      <c r="BA333" s="57"/>
      <c r="BF333" s="6" t="e">
        <f t="shared" si="15"/>
        <v>#NUM!</v>
      </c>
      <c r="BG333" t="e">
        <f t="shared" si="16"/>
        <v>#NUM!</v>
      </c>
      <c r="BH333" t="e">
        <f t="shared" si="17"/>
        <v>#NUM!</v>
      </c>
      <c r="BI333" t="e">
        <f>VLOOKUP(H333,Sheet2!$A$1:$B$270,2,FALSE)</f>
        <v>#N/A</v>
      </c>
    </row>
    <row r="334" spans="15:61" hidden="1">
      <c r="O334" s="57"/>
      <c r="P334" s="57"/>
      <c r="AO334" s="57"/>
      <c r="AP334" s="57"/>
      <c r="BA334" s="57"/>
      <c r="BF334" s="6" t="e">
        <f t="shared" si="15"/>
        <v>#NUM!</v>
      </c>
      <c r="BG334" t="e">
        <f t="shared" si="16"/>
        <v>#NUM!</v>
      </c>
      <c r="BH334" t="e">
        <f t="shared" si="17"/>
        <v>#NUM!</v>
      </c>
      <c r="BI334" t="e">
        <f>VLOOKUP(H334,Sheet2!$A$1:$B$270,2,FALSE)</f>
        <v>#N/A</v>
      </c>
    </row>
    <row r="335" spans="15:61" hidden="1">
      <c r="O335" s="57"/>
      <c r="P335" s="57"/>
      <c r="BA335" s="57"/>
      <c r="BF335" s="6" t="e">
        <f t="shared" si="15"/>
        <v>#NUM!</v>
      </c>
      <c r="BG335" t="e">
        <f t="shared" si="16"/>
        <v>#NUM!</v>
      </c>
      <c r="BH335" t="e">
        <f t="shared" si="17"/>
        <v>#NUM!</v>
      </c>
      <c r="BI335" t="e">
        <f>VLOOKUP(H335,Sheet2!$A$1:$B$270,2,FALSE)</f>
        <v>#N/A</v>
      </c>
    </row>
    <row r="336" spans="15:61" hidden="1">
      <c r="O336" s="57"/>
      <c r="P336" s="57"/>
      <c r="AP336" s="57"/>
      <c r="BA336" s="57"/>
      <c r="BF336" s="6" t="e">
        <f t="shared" si="15"/>
        <v>#NUM!</v>
      </c>
      <c r="BG336" t="e">
        <f t="shared" si="16"/>
        <v>#NUM!</v>
      </c>
      <c r="BH336" t="e">
        <f t="shared" si="17"/>
        <v>#NUM!</v>
      </c>
      <c r="BI336" t="e">
        <f>VLOOKUP(H336,Sheet2!$A$1:$B$270,2,FALSE)</f>
        <v>#N/A</v>
      </c>
    </row>
    <row r="337" spans="15:61" hidden="1">
      <c r="O337" s="57"/>
      <c r="P337" s="57"/>
      <c r="BA337" s="57"/>
      <c r="BF337" s="6" t="e">
        <f t="shared" si="15"/>
        <v>#NUM!</v>
      </c>
      <c r="BG337" t="e">
        <f t="shared" si="16"/>
        <v>#NUM!</v>
      </c>
      <c r="BH337" t="e">
        <f t="shared" si="17"/>
        <v>#NUM!</v>
      </c>
      <c r="BI337" t="e">
        <f>VLOOKUP(H337,Sheet2!$A$1:$B$270,2,FALSE)</f>
        <v>#N/A</v>
      </c>
    </row>
    <row r="338" spans="15:61" hidden="1">
      <c r="O338" s="57"/>
      <c r="P338" s="57"/>
      <c r="BA338" s="57"/>
      <c r="BF338" s="6" t="e">
        <f t="shared" si="15"/>
        <v>#NUM!</v>
      </c>
      <c r="BG338" t="e">
        <f t="shared" si="16"/>
        <v>#NUM!</v>
      </c>
      <c r="BH338" t="e">
        <f t="shared" si="17"/>
        <v>#NUM!</v>
      </c>
      <c r="BI338" t="e">
        <f>VLOOKUP(H338,Sheet2!$A$1:$B$270,2,FALSE)</f>
        <v>#N/A</v>
      </c>
    </row>
    <row r="339" spans="15:61" hidden="1">
      <c r="O339" s="57"/>
      <c r="P339" s="57"/>
      <c r="BA339" s="57"/>
      <c r="BF339" s="6" t="e">
        <f t="shared" si="15"/>
        <v>#NUM!</v>
      </c>
      <c r="BG339" t="e">
        <f t="shared" si="16"/>
        <v>#NUM!</v>
      </c>
      <c r="BH339" t="e">
        <f t="shared" si="17"/>
        <v>#NUM!</v>
      </c>
      <c r="BI339" t="e">
        <f>VLOOKUP(H339,Sheet2!$A$1:$B$270,2,FALSE)</f>
        <v>#N/A</v>
      </c>
    </row>
    <row r="340" spans="15:61" hidden="1">
      <c r="O340" s="57"/>
      <c r="P340" s="57"/>
      <c r="AO340" s="57"/>
      <c r="AP340" s="57"/>
      <c r="BA340" s="57"/>
      <c r="BF340" s="6" t="e">
        <f t="shared" si="15"/>
        <v>#NUM!</v>
      </c>
      <c r="BG340" t="e">
        <f t="shared" si="16"/>
        <v>#NUM!</v>
      </c>
      <c r="BH340" t="e">
        <f t="shared" si="17"/>
        <v>#NUM!</v>
      </c>
      <c r="BI340" t="e">
        <f>VLOOKUP(H340,Sheet2!$A$1:$B$270,2,FALSE)</f>
        <v>#N/A</v>
      </c>
    </row>
    <row r="341" spans="15:61" hidden="1">
      <c r="O341" s="57"/>
      <c r="P341" s="57"/>
      <c r="BA341" s="57"/>
      <c r="BF341" s="6" t="e">
        <f t="shared" si="15"/>
        <v>#NUM!</v>
      </c>
      <c r="BG341" t="e">
        <f t="shared" si="16"/>
        <v>#NUM!</v>
      </c>
      <c r="BH341" t="e">
        <f t="shared" si="17"/>
        <v>#NUM!</v>
      </c>
      <c r="BI341" t="e">
        <f>VLOOKUP(H341,Sheet2!$A$1:$B$270,2,FALSE)</f>
        <v>#N/A</v>
      </c>
    </row>
    <row r="342" spans="15:61" hidden="1">
      <c r="O342" s="57"/>
      <c r="P342" s="57"/>
      <c r="BA342" s="57"/>
      <c r="BF342" s="6" t="e">
        <f t="shared" si="15"/>
        <v>#NUM!</v>
      </c>
      <c r="BG342" t="e">
        <f t="shared" si="16"/>
        <v>#NUM!</v>
      </c>
      <c r="BH342" t="e">
        <f t="shared" si="17"/>
        <v>#NUM!</v>
      </c>
      <c r="BI342" t="e">
        <f>VLOOKUP(H342,Sheet2!$A$1:$B$270,2,FALSE)</f>
        <v>#N/A</v>
      </c>
    </row>
    <row r="343" spans="15:61" hidden="1">
      <c r="O343" s="57"/>
      <c r="P343" s="57"/>
      <c r="BA343" s="57"/>
      <c r="BF343" s="6" t="e">
        <f t="shared" si="15"/>
        <v>#NUM!</v>
      </c>
      <c r="BG343" t="e">
        <f t="shared" si="16"/>
        <v>#NUM!</v>
      </c>
      <c r="BH343" t="e">
        <f t="shared" si="17"/>
        <v>#NUM!</v>
      </c>
      <c r="BI343" t="e">
        <f>VLOOKUP(H343,Sheet2!$A$1:$B$270,2,FALSE)</f>
        <v>#N/A</v>
      </c>
    </row>
    <row r="344" spans="15:61" hidden="1">
      <c r="O344" s="57"/>
      <c r="P344" s="57"/>
      <c r="BA344" s="57"/>
      <c r="BF344" s="6" t="e">
        <f t="shared" si="15"/>
        <v>#NUM!</v>
      </c>
      <c r="BG344" t="e">
        <f t="shared" si="16"/>
        <v>#NUM!</v>
      </c>
      <c r="BH344" t="e">
        <f t="shared" si="17"/>
        <v>#NUM!</v>
      </c>
      <c r="BI344" t="e">
        <f>VLOOKUP(H344,Sheet2!$A$1:$B$270,2,FALSE)</f>
        <v>#N/A</v>
      </c>
    </row>
    <row r="345" spans="15:61" hidden="1">
      <c r="O345" s="57"/>
      <c r="P345" s="57"/>
      <c r="BA345" s="57"/>
      <c r="BF345" s="6" t="e">
        <f t="shared" si="15"/>
        <v>#NUM!</v>
      </c>
      <c r="BG345" t="e">
        <f t="shared" si="16"/>
        <v>#NUM!</v>
      </c>
      <c r="BH345" t="e">
        <f t="shared" si="17"/>
        <v>#NUM!</v>
      </c>
      <c r="BI345" t="e">
        <f>VLOOKUP(H345,Sheet2!$A$1:$B$270,2,FALSE)</f>
        <v>#N/A</v>
      </c>
    </row>
    <row r="346" spans="15:61" hidden="1">
      <c r="O346" s="57"/>
      <c r="P346" s="57"/>
      <c r="AP346" s="57"/>
      <c r="BA346" s="57"/>
      <c r="BF346" s="6" t="e">
        <f t="shared" si="15"/>
        <v>#NUM!</v>
      </c>
      <c r="BG346" t="e">
        <f t="shared" si="16"/>
        <v>#NUM!</v>
      </c>
      <c r="BH346" t="e">
        <f t="shared" si="17"/>
        <v>#NUM!</v>
      </c>
      <c r="BI346" t="e">
        <f>VLOOKUP(H346,Sheet2!$A$1:$B$270,2,FALSE)</f>
        <v>#N/A</v>
      </c>
    </row>
    <row r="347" spans="15:61" hidden="1">
      <c r="O347" s="57"/>
      <c r="P347" s="57"/>
      <c r="AP347" s="57"/>
      <c r="BA347" s="57"/>
      <c r="BF347" s="6" t="e">
        <f t="shared" si="15"/>
        <v>#NUM!</v>
      </c>
      <c r="BG347" t="e">
        <f t="shared" si="16"/>
        <v>#NUM!</v>
      </c>
      <c r="BH347" t="e">
        <f t="shared" si="17"/>
        <v>#NUM!</v>
      </c>
      <c r="BI347" t="e">
        <f>VLOOKUP(H347,Sheet2!$A$1:$B$270,2,FALSE)</f>
        <v>#N/A</v>
      </c>
    </row>
    <row r="348" spans="15:61" hidden="1">
      <c r="O348" s="57"/>
      <c r="P348" s="57"/>
      <c r="AP348" s="57"/>
      <c r="BA348" s="57"/>
      <c r="BF348" s="6" t="e">
        <f t="shared" si="15"/>
        <v>#NUM!</v>
      </c>
      <c r="BG348" t="e">
        <f t="shared" si="16"/>
        <v>#NUM!</v>
      </c>
      <c r="BH348" t="e">
        <f t="shared" si="17"/>
        <v>#NUM!</v>
      </c>
      <c r="BI348" t="e">
        <f>VLOOKUP(H348,Sheet2!$A$1:$B$270,2,FALSE)</f>
        <v>#N/A</v>
      </c>
    </row>
    <row r="349" spans="15:61" hidden="1">
      <c r="O349" s="57"/>
      <c r="P349" s="57"/>
      <c r="AO349" s="57"/>
      <c r="AP349" s="57"/>
      <c r="BA349" s="57"/>
      <c r="BF349" s="6" t="e">
        <f t="shared" si="15"/>
        <v>#NUM!</v>
      </c>
      <c r="BG349" t="e">
        <f t="shared" si="16"/>
        <v>#NUM!</v>
      </c>
      <c r="BH349" t="e">
        <f t="shared" si="17"/>
        <v>#NUM!</v>
      </c>
      <c r="BI349" t="e">
        <f>VLOOKUP(H349,Sheet2!$A$1:$B$270,2,FALSE)</f>
        <v>#N/A</v>
      </c>
    </row>
    <row r="350" spans="15:61" hidden="1">
      <c r="O350" s="57"/>
      <c r="P350" s="57"/>
      <c r="AO350" s="57"/>
      <c r="AP350" s="57"/>
      <c r="BA350" s="57"/>
      <c r="BF350" s="6" t="e">
        <f t="shared" si="15"/>
        <v>#NUM!</v>
      </c>
      <c r="BG350" t="e">
        <f t="shared" si="16"/>
        <v>#NUM!</v>
      </c>
      <c r="BH350" t="e">
        <f t="shared" si="17"/>
        <v>#NUM!</v>
      </c>
      <c r="BI350" t="e">
        <f>VLOOKUP(H350,Sheet2!$A$1:$B$270,2,FALSE)</f>
        <v>#N/A</v>
      </c>
    </row>
    <row r="351" spans="15:61" hidden="1">
      <c r="O351" s="57"/>
      <c r="P351" s="57"/>
      <c r="AO351" s="57"/>
      <c r="AP351" s="57"/>
      <c r="BA351" s="57"/>
      <c r="BF351" s="6" t="e">
        <f t="shared" si="15"/>
        <v>#NUM!</v>
      </c>
      <c r="BG351" t="e">
        <f t="shared" si="16"/>
        <v>#NUM!</v>
      </c>
      <c r="BH351" t="e">
        <f t="shared" si="17"/>
        <v>#NUM!</v>
      </c>
      <c r="BI351" t="e">
        <f>VLOOKUP(H351,Sheet2!$A$1:$B$270,2,FALSE)</f>
        <v>#N/A</v>
      </c>
    </row>
    <row r="352" spans="15:61" hidden="1">
      <c r="O352" s="57"/>
      <c r="P352" s="57"/>
      <c r="AO352" s="57"/>
      <c r="BA352" s="57"/>
      <c r="BF352" s="6" t="e">
        <f t="shared" si="15"/>
        <v>#NUM!</v>
      </c>
      <c r="BG352" t="e">
        <f t="shared" si="16"/>
        <v>#NUM!</v>
      </c>
      <c r="BH352" t="e">
        <f t="shared" si="17"/>
        <v>#NUM!</v>
      </c>
      <c r="BI352" t="e">
        <f>VLOOKUP(H352,Sheet2!$A$1:$B$270,2,FALSE)</f>
        <v>#N/A</v>
      </c>
    </row>
    <row r="353" spans="15:61" hidden="1">
      <c r="O353" s="57"/>
      <c r="P353" s="57"/>
      <c r="AO353" s="57"/>
      <c r="AP353" s="57"/>
      <c r="BA353" s="57"/>
      <c r="BF353" s="6" t="e">
        <f t="shared" si="15"/>
        <v>#NUM!</v>
      </c>
      <c r="BG353" t="e">
        <f t="shared" si="16"/>
        <v>#NUM!</v>
      </c>
      <c r="BH353" t="e">
        <f t="shared" si="17"/>
        <v>#NUM!</v>
      </c>
      <c r="BI353" t="e">
        <f>VLOOKUP(H353,Sheet2!$A$1:$B$270,2,FALSE)</f>
        <v>#N/A</v>
      </c>
    </row>
    <row r="354" spans="15:61" hidden="1">
      <c r="O354" s="57"/>
      <c r="P354" s="57"/>
      <c r="AP354" s="57"/>
      <c r="BA354" s="57"/>
      <c r="BF354" s="6" t="e">
        <f t="shared" si="15"/>
        <v>#NUM!</v>
      </c>
      <c r="BG354" t="e">
        <f t="shared" si="16"/>
        <v>#NUM!</v>
      </c>
      <c r="BH354" t="e">
        <f t="shared" si="17"/>
        <v>#NUM!</v>
      </c>
      <c r="BI354" t="e">
        <f>VLOOKUP(H354,Sheet2!$A$1:$B$270,2,FALSE)</f>
        <v>#N/A</v>
      </c>
    </row>
    <row r="355" spans="15:61" hidden="1">
      <c r="O355" s="57"/>
      <c r="P355" s="57"/>
      <c r="BA355" s="57"/>
      <c r="BF355" s="6" t="e">
        <f t="shared" si="15"/>
        <v>#NUM!</v>
      </c>
      <c r="BG355" t="e">
        <f t="shared" si="16"/>
        <v>#NUM!</v>
      </c>
      <c r="BH355" t="e">
        <f t="shared" si="17"/>
        <v>#NUM!</v>
      </c>
      <c r="BI355" t="e">
        <f>VLOOKUP(H355,Sheet2!$A$1:$B$270,2,FALSE)</f>
        <v>#N/A</v>
      </c>
    </row>
    <row r="356" spans="15:61" hidden="1">
      <c r="O356" s="57"/>
      <c r="P356" s="57"/>
      <c r="AO356" s="57"/>
      <c r="BA356" s="57"/>
      <c r="BF356" s="6" t="e">
        <f t="shared" si="15"/>
        <v>#NUM!</v>
      </c>
      <c r="BG356" t="e">
        <f t="shared" si="16"/>
        <v>#NUM!</v>
      </c>
      <c r="BH356" t="e">
        <f t="shared" si="17"/>
        <v>#NUM!</v>
      </c>
      <c r="BI356" t="e">
        <f>VLOOKUP(H356,Sheet2!$A$1:$B$270,2,FALSE)</f>
        <v>#N/A</v>
      </c>
    </row>
    <row r="357" spans="15:61" hidden="1">
      <c r="O357" s="57"/>
      <c r="P357" s="57"/>
      <c r="BA357" s="57"/>
      <c r="BF357" s="6" t="e">
        <f t="shared" si="15"/>
        <v>#NUM!</v>
      </c>
      <c r="BG357" t="e">
        <f t="shared" si="16"/>
        <v>#NUM!</v>
      </c>
      <c r="BH357" t="e">
        <f t="shared" si="17"/>
        <v>#NUM!</v>
      </c>
      <c r="BI357" t="e">
        <f>VLOOKUP(H357,Sheet2!$A$1:$B$270,2,FALSE)</f>
        <v>#N/A</v>
      </c>
    </row>
    <row r="358" spans="15:61" hidden="1">
      <c r="O358" s="57"/>
      <c r="P358" s="57"/>
      <c r="BA358" s="57"/>
      <c r="BF358" s="6" t="e">
        <f t="shared" si="15"/>
        <v>#NUM!</v>
      </c>
      <c r="BG358" t="e">
        <f t="shared" si="16"/>
        <v>#NUM!</v>
      </c>
      <c r="BH358" t="e">
        <f t="shared" si="17"/>
        <v>#NUM!</v>
      </c>
      <c r="BI358" t="e">
        <f>VLOOKUP(H358,Sheet2!$A$1:$B$270,2,FALSE)</f>
        <v>#N/A</v>
      </c>
    </row>
    <row r="359" spans="15:61" hidden="1">
      <c r="O359" s="57"/>
      <c r="P359" s="57"/>
      <c r="BA359" s="57"/>
      <c r="BF359" s="6" t="e">
        <f t="shared" si="15"/>
        <v>#NUM!</v>
      </c>
      <c r="BG359" t="e">
        <f t="shared" si="16"/>
        <v>#NUM!</v>
      </c>
      <c r="BH359" t="e">
        <f t="shared" si="17"/>
        <v>#NUM!</v>
      </c>
      <c r="BI359" t="e">
        <f>VLOOKUP(H359,Sheet2!$A$1:$B$270,2,FALSE)</f>
        <v>#N/A</v>
      </c>
    </row>
    <row r="360" spans="15:61" hidden="1">
      <c r="O360" s="57"/>
      <c r="P360" s="57"/>
      <c r="BA360" s="57"/>
      <c r="BF360" s="6" t="e">
        <f t="shared" si="15"/>
        <v>#NUM!</v>
      </c>
      <c r="BG360" t="e">
        <f t="shared" si="16"/>
        <v>#NUM!</v>
      </c>
      <c r="BH360" t="e">
        <f t="shared" si="17"/>
        <v>#NUM!</v>
      </c>
      <c r="BI360" t="e">
        <f>VLOOKUP(H360,Sheet2!$A$1:$B$270,2,FALSE)</f>
        <v>#N/A</v>
      </c>
    </row>
    <row r="361" spans="15:61" hidden="1">
      <c r="O361" s="57"/>
      <c r="P361" s="57"/>
      <c r="AO361" s="57"/>
      <c r="AP361" s="57"/>
      <c r="BA361" s="57"/>
      <c r="BF361" s="6" t="e">
        <f t="shared" si="15"/>
        <v>#NUM!</v>
      </c>
      <c r="BG361" t="e">
        <f t="shared" si="16"/>
        <v>#NUM!</v>
      </c>
      <c r="BH361" t="e">
        <f t="shared" si="17"/>
        <v>#NUM!</v>
      </c>
      <c r="BI361" t="e">
        <f>VLOOKUP(H361,Sheet2!$A$1:$B$270,2,FALSE)</f>
        <v>#N/A</v>
      </c>
    </row>
    <row r="362" spans="15:61" hidden="1">
      <c r="O362" s="57"/>
      <c r="P362" s="57"/>
      <c r="AO362" s="57"/>
      <c r="AP362" s="57"/>
      <c r="BA362" s="57"/>
      <c r="BF362" s="6" t="e">
        <f t="shared" si="15"/>
        <v>#NUM!</v>
      </c>
      <c r="BG362" t="e">
        <f t="shared" si="16"/>
        <v>#NUM!</v>
      </c>
      <c r="BH362" t="e">
        <f t="shared" si="17"/>
        <v>#NUM!</v>
      </c>
      <c r="BI362" t="e">
        <f>VLOOKUP(H362,Sheet2!$A$1:$B$270,2,FALSE)</f>
        <v>#N/A</v>
      </c>
    </row>
    <row r="363" spans="15:61" hidden="1">
      <c r="O363" s="57"/>
      <c r="P363" s="57"/>
      <c r="AO363" s="57"/>
      <c r="AP363" s="57"/>
      <c r="BA363" s="57"/>
      <c r="BF363" s="6" t="e">
        <f t="shared" si="15"/>
        <v>#NUM!</v>
      </c>
      <c r="BG363" t="e">
        <f t="shared" si="16"/>
        <v>#NUM!</v>
      </c>
      <c r="BH363" t="e">
        <f t="shared" si="17"/>
        <v>#NUM!</v>
      </c>
      <c r="BI363" t="e">
        <f>VLOOKUP(H363,Sheet2!$A$1:$B$270,2,FALSE)</f>
        <v>#N/A</v>
      </c>
    </row>
    <row r="364" spans="15:61" hidden="1">
      <c r="O364" s="57"/>
      <c r="P364" s="57"/>
      <c r="AO364" s="57"/>
      <c r="BA364" s="57"/>
      <c r="BF364" s="6" t="e">
        <f t="shared" si="15"/>
        <v>#NUM!</v>
      </c>
      <c r="BG364" t="e">
        <f t="shared" si="16"/>
        <v>#NUM!</v>
      </c>
      <c r="BH364" t="e">
        <f t="shared" si="17"/>
        <v>#NUM!</v>
      </c>
      <c r="BI364" t="e">
        <f>VLOOKUP(H364,Sheet2!$A$1:$B$270,2,FALSE)</f>
        <v>#N/A</v>
      </c>
    </row>
    <row r="365" spans="15:61" hidden="1">
      <c r="O365" s="57"/>
      <c r="P365" s="57"/>
      <c r="AO365" s="57"/>
      <c r="AP365" s="57"/>
      <c r="BA365" s="57"/>
      <c r="BF365" s="6" t="e">
        <f t="shared" si="15"/>
        <v>#NUM!</v>
      </c>
      <c r="BG365" t="e">
        <f t="shared" si="16"/>
        <v>#NUM!</v>
      </c>
      <c r="BH365" t="e">
        <f t="shared" si="17"/>
        <v>#NUM!</v>
      </c>
      <c r="BI365" t="e">
        <f>VLOOKUP(H365,Sheet2!$A$1:$B$270,2,FALSE)</f>
        <v>#N/A</v>
      </c>
    </row>
    <row r="366" spans="15:61" hidden="1">
      <c r="O366" s="57"/>
      <c r="P366" s="57"/>
      <c r="AP366" s="57"/>
      <c r="BA366" s="57"/>
      <c r="BF366" s="6" t="e">
        <f t="shared" si="15"/>
        <v>#NUM!</v>
      </c>
      <c r="BG366" t="e">
        <f t="shared" si="16"/>
        <v>#NUM!</v>
      </c>
      <c r="BH366" t="e">
        <f t="shared" si="17"/>
        <v>#NUM!</v>
      </c>
      <c r="BI366" t="e">
        <f>VLOOKUP(H366,Sheet2!$A$1:$B$270,2,FALSE)</f>
        <v>#N/A</v>
      </c>
    </row>
    <row r="367" spans="15:61" hidden="1">
      <c r="O367" s="57"/>
      <c r="P367" s="57"/>
      <c r="AP367" s="57"/>
      <c r="BA367" s="57"/>
      <c r="BF367" s="6" t="e">
        <f t="shared" si="15"/>
        <v>#NUM!</v>
      </c>
      <c r="BG367" t="e">
        <f t="shared" si="16"/>
        <v>#NUM!</v>
      </c>
      <c r="BH367" t="e">
        <f t="shared" si="17"/>
        <v>#NUM!</v>
      </c>
      <c r="BI367" t="e">
        <f>VLOOKUP(H367,Sheet2!$A$1:$B$270,2,FALSE)</f>
        <v>#N/A</v>
      </c>
    </row>
    <row r="368" spans="15:61" hidden="1">
      <c r="O368" s="57"/>
      <c r="P368" s="57"/>
      <c r="AP368" s="57"/>
      <c r="BA368" s="57"/>
      <c r="BF368" s="6" t="e">
        <f t="shared" si="15"/>
        <v>#NUM!</v>
      </c>
      <c r="BG368" t="e">
        <f t="shared" si="16"/>
        <v>#NUM!</v>
      </c>
      <c r="BH368" t="e">
        <f t="shared" si="17"/>
        <v>#NUM!</v>
      </c>
      <c r="BI368" t="e">
        <f>VLOOKUP(H368,Sheet2!$A$1:$B$270,2,FALSE)</f>
        <v>#N/A</v>
      </c>
    </row>
    <row r="369" spans="15:61" hidden="1">
      <c r="O369" s="57"/>
      <c r="P369" s="57"/>
      <c r="AP369" s="57"/>
      <c r="BA369" s="57"/>
      <c r="BF369" s="6" t="e">
        <f t="shared" si="15"/>
        <v>#NUM!</v>
      </c>
      <c r="BG369" t="e">
        <f t="shared" si="16"/>
        <v>#NUM!</v>
      </c>
      <c r="BH369" t="e">
        <f t="shared" si="17"/>
        <v>#NUM!</v>
      </c>
      <c r="BI369" t="e">
        <f>VLOOKUP(H369,Sheet2!$A$1:$B$270,2,FALSE)</f>
        <v>#N/A</v>
      </c>
    </row>
    <row r="370" spans="15:61" hidden="1">
      <c r="O370" s="57"/>
      <c r="P370" s="57"/>
      <c r="AP370" s="57"/>
      <c r="BA370" s="57"/>
      <c r="BF370" s="6" t="e">
        <f t="shared" si="15"/>
        <v>#NUM!</v>
      </c>
      <c r="BG370" t="e">
        <f t="shared" si="16"/>
        <v>#NUM!</v>
      </c>
      <c r="BH370" t="e">
        <f t="shared" si="17"/>
        <v>#NUM!</v>
      </c>
      <c r="BI370" t="e">
        <f>VLOOKUP(H370,Sheet2!$A$1:$B$270,2,FALSE)</f>
        <v>#N/A</v>
      </c>
    </row>
    <row r="371" spans="15:61" hidden="1">
      <c r="O371" s="57"/>
      <c r="P371" s="57"/>
      <c r="AO371" s="57"/>
      <c r="AP371" s="57"/>
      <c r="BA371" s="57"/>
      <c r="BF371" s="6" t="e">
        <f t="shared" si="15"/>
        <v>#NUM!</v>
      </c>
      <c r="BG371" t="e">
        <f t="shared" si="16"/>
        <v>#NUM!</v>
      </c>
      <c r="BH371" t="e">
        <f t="shared" si="17"/>
        <v>#NUM!</v>
      </c>
      <c r="BI371" t="e">
        <f>VLOOKUP(H371,Sheet2!$A$1:$B$270,2,FALSE)</f>
        <v>#N/A</v>
      </c>
    </row>
    <row r="372" spans="15:61" hidden="1">
      <c r="O372" s="57"/>
      <c r="P372" s="57"/>
      <c r="AO372" s="57"/>
      <c r="AP372" s="57"/>
      <c r="BA372" s="57"/>
      <c r="BF372" s="6" t="e">
        <f t="shared" si="15"/>
        <v>#NUM!</v>
      </c>
      <c r="BG372" t="e">
        <f t="shared" si="16"/>
        <v>#NUM!</v>
      </c>
      <c r="BH372" t="e">
        <f t="shared" si="17"/>
        <v>#NUM!</v>
      </c>
      <c r="BI372" t="e">
        <f>VLOOKUP(H372,Sheet2!$A$1:$B$270,2,FALSE)</f>
        <v>#N/A</v>
      </c>
    </row>
    <row r="373" spans="15:61" hidden="1">
      <c r="O373" s="57"/>
      <c r="P373" s="57"/>
      <c r="AO373" s="57"/>
      <c r="AP373" s="57"/>
      <c r="BA373" s="57"/>
      <c r="BF373" s="6" t="e">
        <f t="shared" si="15"/>
        <v>#NUM!</v>
      </c>
      <c r="BG373" t="e">
        <f t="shared" si="16"/>
        <v>#NUM!</v>
      </c>
      <c r="BH373" t="e">
        <f t="shared" si="17"/>
        <v>#NUM!</v>
      </c>
      <c r="BI373" t="e">
        <f>VLOOKUP(H373,Sheet2!$A$1:$B$270,2,FALSE)</f>
        <v>#N/A</v>
      </c>
    </row>
    <row r="374" spans="15:61" hidden="1">
      <c r="O374" s="57"/>
      <c r="P374" s="57"/>
      <c r="AO374" s="57"/>
      <c r="AP374" s="57"/>
      <c r="BA374" s="57"/>
      <c r="BF374" s="6" t="e">
        <f t="shared" si="15"/>
        <v>#NUM!</v>
      </c>
      <c r="BG374" t="e">
        <f t="shared" si="16"/>
        <v>#NUM!</v>
      </c>
      <c r="BH374" t="e">
        <f t="shared" si="17"/>
        <v>#NUM!</v>
      </c>
      <c r="BI374" t="e">
        <f>VLOOKUP(H374,Sheet2!$A$1:$B$270,2,FALSE)</f>
        <v>#N/A</v>
      </c>
    </row>
    <row r="375" spans="15:61" hidden="1">
      <c r="O375" s="57"/>
      <c r="P375" s="57"/>
      <c r="AO375" s="57"/>
      <c r="BA375" s="57"/>
      <c r="BF375" s="6" t="e">
        <f t="shared" si="15"/>
        <v>#NUM!</v>
      </c>
      <c r="BG375" t="e">
        <f t="shared" si="16"/>
        <v>#NUM!</v>
      </c>
      <c r="BH375" t="e">
        <f t="shared" si="17"/>
        <v>#NUM!</v>
      </c>
      <c r="BI375" t="e">
        <f>VLOOKUP(H375,Sheet2!$A$1:$B$270,2,FALSE)</f>
        <v>#N/A</v>
      </c>
    </row>
    <row r="376" spans="15:61" hidden="1">
      <c r="O376" s="57"/>
      <c r="P376" s="57"/>
      <c r="AO376" s="57"/>
      <c r="AP376" s="57"/>
      <c r="BA376" s="57"/>
      <c r="BF376" s="6" t="e">
        <f t="shared" si="15"/>
        <v>#NUM!</v>
      </c>
      <c r="BG376" t="e">
        <f t="shared" si="16"/>
        <v>#NUM!</v>
      </c>
      <c r="BH376" t="e">
        <f t="shared" si="17"/>
        <v>#NUM!</v>
      </c>
      <c r="BI376" t="e">
        <f>VLOOKUP(H376,Sheet2!$A$1:$B$270,2,FALSE)</f>
        <v>#N/A</v>
      </c>
    </row>
    <row r="377" spans="15:61" hidden="1">
      <c r="O377" s="57"/>
      <c r="P377" s="57"/>
      <c r="AO377" s="57"/>
      <c r="AP377" s="57"/>
      <c r="BA377" s="57"/>
      <c r="BF377" s="6" t="e">
        <f t="shared" si="15"/>
        <v>#NUM!</v>
      </c>
      <c r="BG377" t="e">
        <f t="shared" si="16"/>
        <v>#NUM!</v>
      </c>
      <c r="BH377" t="e">
        <f t="shared" si="17"/>
        <v>#NUM!</v>
      </c>
      <c r="BI377" t="e">
        <f>VLOOKUP(H377,Sheet2!$A$1:$B$270,2,FALSE)</f>
        <v>#N/A</v>
      </c>
    </row>
    <row r="378" spans="15:61" hidden="1">
      <c r="O378" s="57"/>
      <c r="P378" s="57"/>
      <c r="AO378" s="57"/>
      <c r="AP378" s="57"/>
      <c r="BA378" s="57"/>
      <c r="BF378" s="6" t="e">
        <f t="shared" si="15"/>
        <v>#NUM!</v>
      </c>
      <c r="BG378" t="e">
        <f t="shared" si="16"/>
        <v>#NUM!</v>
      </c>
      <c r="BH378" t="e">
        <f t="shared" si="17"/>
        <v>#NUM!</v>
      </c>
      <c r="BI378" t="e">
        <f>VLOOKUP(H378,Sheet2!$A$1:$B$270,2,FALSE)</f>
        <v>#N/A</v>
      </c>
    </row>
    <row r="379" spans="15:61" hidden="1">
      <c r="O379" s="57"/>
      <c r="P379" s="57"/>
      <c r="AO379" s="57"/>
      <c r="AP379" s="57"/>
      <c r="BA379" s="57"/>
      <c r="BF379" s="6" t="e">
        <f t="shared" si="15"/>
        <v>#NUM!</v>
      </c>
      <c r="BG379" t="e">
        <f t="shared" si="16"/>
        <v>#NUM!</v>
      </c>
      <c r="BH379" t="e">
        <f t="shared" si="17"/>
        <v>#NUM!</v>
      </c>
      <c r="BI379" t="e">
        <f>VLOOKUP(H379,Sheet2!$A$1:$B$270,2,FALSE)</f>
        <v>#N/A</v>
      </c>
    </row>
    <row r="380" spans="15:61" hidden="1">
      <c r="O380" s="57"/>
      <c r="P380" s="57"/>
      <c r="AO380" s="57"/>
      <c r="BA380" s="57"/>
      <c r="BF380" s="6" t="e">
        <f t="shared" si="15"/>
        <v>#NUM!</v>
      </c>
      <c r="BG380" t="e">
        <f t="shared" si="16"/>
        <v>#NUM!</v>
      </c>
      <c r="BH380" t="e">
        <f t="shared" si="17"/>
        <v>#NUM!</v>
      </c>
      <c r="BI380" t="e">
        <f>VLOOKUP(H380,Sheet2!$A$1:$B$270,2,FALSE)</f>
        <v>#N/A</v>
      </c>
    </row>
    <row r="381" spans="15:61" hidden="1">
      <c r="O381" s="57"/>
      <c r="P381" s="57"/>
      <c r="AO381" s="57"/>
      <c r="BA381" s="57"/>
      <c r="BF381" s="6" t="e">
        <f t="shared" si="15"/>
        <v>#NUM!</v>
      </c>
      <c r="BG381" t="e">
        <f t="shared" si="16"/>
        <v>#NUM!</v>
      </c>
      <c r="BH381" t="e">
        <f t="shared" si="17"/>
        <v>#NUM!</v>
      </c>
      <c r="BI381" t="e">
        <f>VLOOKUP(H381,Sheet2!$A$1:$B$270,2,FALSE)</f>
        <v>#N/A</v>
      </c>
    </row>
    <row r="382" spans="15:61" hidden="1">
      <c r="O382" s="57"/>
      <c r="P382" s="57"/>
      <c r="AO382" s="57"/>
      <c r="BA382" s="57"/>
      <c r="BF382" s="6" t="e">
        <f t="shared" si="15"/>
        <v>#NUM!</v>
      </c>
      <c r="BG382" t="e">
        <f t="shared" si="16"/>
        <v>#NUM!</v>
      </c>
      <c r="BH382" t="e">
        <f t="shared" si="17"/>
        <v>#NUM!</v>
      </c>
      <c r="BI382" t="e">
        <f>VLOOKUP(H382,Sheet2!$A$1:$B$270,2,FALSE)</f>
        <v>#N/A</v>
      </c>
    </row>
    <row r="383" spans="15:61" hidden="1">
      <c r="O383" s="57"/>
      <c r="P383" s="57"/>
      <c r="AO383" s="57"/>
      <c r="AP383" s="57"/>
      <c r="BA383" s="57"/>
      <c r="BF383" s="6" t="e">
        <f t="shared" si="15"/>
        <v>#NUM!</v>
      </c>
      <c r="BG383" t="e">
        <f t="shared" si="16"/>
        <v>#NUM!</v>
      </c>
      <c r="BH383" t="e">
        <f t="shared" si="17"/>
        <v>#NUM!</v>
      </c>
      <c r="BI383" t="e">
        <f>VLOOKUP(H383,Sheet2!$A$1:$B$270,2,FALSE)</f>
        <v>#N/A</v>
      </c>
    </row>
    <row r="384" spans="15:61" hidden="1">
      <c r="O384" s="57"/>
      <c r="P384" s="57"/>
      <c r="AP384" s="57"/>
      <c r="BA384" s="57"/>
      <c r="BF384" s="6" t="e">
        <f t="shared" si="15"/>
        <v>#NUM!</v>
      </c>
      <c r="BG384" t="e">
        <f t="shared" si="16"/>
        <v>#NUM!</v>
      </c>
      <c r="BH384" t="e">
        <f t="shared" si="17"/>
        <v>#NUM!</v>
      </c>
      <c r="BI384" t="e">
        <f>VLOOKUP(H384,Sheet2!$A$1:$B$270,2,FALSE)</f>
        <v>#N/A</v>
      </c>
    </row>
    <row r="385" spans="15:61" hidden="1">
      <c r="O385" s="57"/>
      <c r="P385" s="57"/>
      <c r="AP385" s="57"/>
      <c r="BA385" s="57"/>
      <c r="BF385" s="6" t="e">
        <f t="shared" si="15"/>
        <v>#NUM!</v>
      </c>
      <c r="BG385" t="e">
        <f t="shared" si="16"/>
        <v>#NUM!</v>
      </c>
      <c r="BH385" t="e">
        <f t="shared" si="17"/>
        <v>#NUM!</v>
      </c>
      <c r="BI385" t="e">
        <f>VLOOKUP(H385,Sheet2!$A$1:$B$270,2,FALSE)</f>
        <v>#N/A</v>
      </c>
    </row>
    <row r="386" spans="15:61" hidden="1">
      <c r="O386" s="57"/>
      <c r="P386" s="57"/>
      <c r="BA386" s="57"/>
      <c r="BF386" s="6" t="e">
        <f t="shared" ref="BF386:BF449" si="18">DATE(BC386,BD386,BE386)</f>
        <v>#NUM!</v>
      </c>
      <c r="BG386" t="e">
        <f t="shared" ref="BG386:BG449" si="19">BF386-BA386</f>
        <v>#NUM!</v>
      </c>
      <c r="BH386" t="e">
        <f t="shared" ref="BH386:BH449" si="20">IF(BG386=1,"COMPLY",IF(BG386&lt;1,"COMPLY","NOT COMPLY"))</f>
        <v>#NUM!</v>
      </c>
      <c r="BI386" t="e">
        <f>VLOOKUP(H386,Sheet2!$A$1:$B$270,2,FALSE)</f>
        <v>#N/A</v>
      </c>
    </row>
    <row r="387" spans="15:61" hidden="1">
      <c r="O387" s="57"/>
      <c r="P387" s="57"/>
      <c r="AP387" s="57"/>
      <c r="BA387" s="57"/>
      <c r="BF387" s="6" t="e">
        <f t="shared" si="18"/>
        <v>#NUM!</v>
      </c>
      <c r="BG387" t="e">
        <f t="shared" si="19"/>
        <v>#NUM!</v>
      </c>
      <c r="BH387" t="e">
        <f t="shared" si="20"/>
        <v>#NUM!</v>
      </c>
      <c r="BI387" t="e">
        <f>VLOOKUP(H387,Sheet2!$A$1:$B$270,2,FALSE)</f>
        <v>#N/A</v>
      </c>
    </row>
    <row r="388" spans="15:61" hidden="1">
      <c r="O388" s="57"/>
      <c r="P388" s="57"/>
      <c r="AP388" s="57"/>
      <c r="BA388" s="57"/>
      <c r="BF388" s="6" t="e">
        <f t="shared" si="18"/>
        <v>#NUM!</v>
      </c>
      <c r="BG388" t="e">
        <f t="shared" si="19"/>
        <v>#NUM!</v>
      </c>
      <c r="BH388" t="e">
        <f t="shared" si="20"/>
        <v>#NUM!</v>
      </c>
      <c r="BI388" t="e">
        <f>VLOOKUP(H388,Sheet2!$A$1:$B$270,2,FALSE)</f>
        <v>#N/A</v>
      </c>
    </row>
    <row r="389" spans="15:61" hidden="1">
      <c r="O389" s="57"/>
      <c r="P389" s="57"/>
      <c r="AP389" s="57"/>
      <c r="BA389" s="57"/>
      <c r="BF389" s="6" t="e">
        <f t="shared" si="18"/>
        <v>#NUM!</v>
      </c>
      <c r="BG389" t="e">
        <f t="shared" si="19"/>
        <v>#NUM!</v>
      </c>
      <c r="BH389" t="e">
        <f t="shared" si="20"/>
        <v>#NUM!</v>
      </c>
      <c r="BI389" t="e">
        <f>VLOOKUP(H389,Sheet2!$A$1:$B$270,2,FALSE)</f>
        <v>#N/A</v>
      </c>
    </row>
    <row r="390" spans="15:61" hidden="1">
      <c r="O390" s="57"/>
      <c r="P390" s="57"/>
      <c r="BA390" s="57"/>
      <c r="BF390" s="6" t="e">
        <f t="shared" si="18"/>
        <v>#NUM!</v>
      </c>
      <c r="BG390" t="e">
        <f t="shared" si="19"/>
        <v>#NUM!</v>
      </c>
      <c r="BH390" t="e">
        <f t="shared" si="20"/>
        <v>#NUM!</v>
      </c>
      <c r="BI390" t="e">
        <f>VLOOKUP(H390,Sheet2!$A$1:$B$270,2,FALSE)</f>
        <v>#N/A</v>
      </c>
    </row>
    <row r="391" spans="15:61" hidden="1">
      <c r="O391" s="57"/>
      <c r="P391" s="57"/>
      <c r="AP391" s="57"/>
      <c r="BA391" s="57"/>
      <c r="BF391" s="6" t="e">
        <f t="shared" si="18"/>
        <v>#NUM!</v>
      </c>
      <c r="BG391" t="e">
        <f t="shared" si="19"/>
        <v>#NUM!</v>
      </c>
      <c r="BH391" t="e">
        <f t="shared" si="20"/>
        <v>#NUM!</v>
      </c>
      <c r="BI391" t="e">
        <f>VLOOKUP(H391,Sheet2!$A$1:$B$270,2,FALSE)</f>
        <v>#N/A</v>
      </c>
    </row>
    <row r="392" spans="15:61" hidden="1">
      <c r="O392" s="57"/>
      <c r="P392" s="57"/>
      <c r="BA392" s="57"/>
      <c r="BF392" s="6" t="e">
        <f t="shared" si="18"/>
        <v>#NUM!</v>
      </c>
      <c r="BG392" t="e">
        <f t="shared" si="19"/>
        <v>#NUM!</v>
      </c>
      <c r="BH392" t="e">
        <f t="shared" si="20"/>
        <v>#NUM!</v>
      </c>
      <c r="BI392" t="e">
        <f>VLOOKUP(H392,Sheet2!$A$1:$B$270,2,FALSE)</f>
        <v>#N/A</v>
      </c>
    </row>
    <row r="393" spans="15:61" hidden="1">
      <c r="O393" s="57"/>
      <c r="P393" s="57"/>
      <c r="AP393" s="57"/>
      <c r="BA393" s="57"/>
      <c r="BF393" s="6" t="e">
        <f t="shared" si="18"/>
        <v>#NUM!</v>
      </c>
      <c r="BG393" t="e">
        <f t="shared" si="19"/>
        <v>#NUM!</v>
      </c>
      <c r="BH393" t="e">
        <f t="shared" si="20"/>
        <v>#NUM!</v>
      </c>
      <c r="BI393" t="e">
        <f>VLOOKUP(H393,Sheet2!$A$1:$B$270,2,FALSE)</f>
        <v>#N/A</v>
      </c>
    </row>
    <row r="394" spans="15:61" hidden="1">
      <c r="O394" s="57"/>
      <c r="P394" s="57"/>
      <c r="BA394" s="57"/>
      <c r="BF394" s="6" t="e">
        <f t="shared" si="18"/>
        <v>#NUM!</v>
      </c>
      <c r="BG394" t="e">
        <f t="shared" si="19"/>
        <v>#NUM!</v>
      </c>
      <c r="BH394" t="e">
        <f t="shared" si="20"/>
        <v>#NUM!</v>
      </c>
      <c r="BI394" t="e">
        <f>VLOOKUP(H394,Sheet2!$A$1:$B$270,2,FALSE)</f>
        <v>#N/A</v>
      </c>
    </row>
    <row r="395" spans="15:61" hidden="1">
      <c r="O395" s="57"/>
      <c r="P395" s="57"/>
      <c r="AP395" s="57"/>
      <c r="BA395" s="57"/>
      <c r="BF395" s="6" t="e">
        <f t="shared" si="18"/>
        <v>#NUM!</v>
      </c>
      <c r="BG395" t="e">
        <f t="shared" si="19"/>
        <v>#NUM!</v>
      </c>
      <c r="BH395" t="e">
        <f t="shared" si="20"/>
        <v>#NUM!</v>
      </c>
      <c r="BI395" t="e">
        <f>VLOOKUP(H395,Sheet2!$A$1:$B$270,2,FALSE)</f>
        <v>#N/A</v>
      </c>
    </row>
    <row r="396" spans="15:61" hidden="1">
      <c r="O396" s="57"/>
      <c r="P396" s="57"/>
      <c r="AP396" s="57"/>
      <c r="BA396" s="57"/>
      <c r="BF396" s="6" t="e">
        <f t="shared" si="18"/>
        <v>#NUM!</v>
      </c>
      <c r="BG396" t="e">
        <f t="shared" si="19"/>
        <v>#NUM!</v>
      </c>
      <c r="BH396" t="e">
        <f t="shared" si="20"/>
        <v>#NUM!</v>
      </c>
      <c r="BI396" t="e">
        <f>VLOOKUP(H396,Sheet2!$A$1:$B$270,2,FALSE)</f>
        <v>#N/A</v>
      </c>
    </row>
    <row r="397" spans="15:61" hidden="1">
      <c r="O397" s="57"/>
      <c r="P397" s="57"/>
      <c r="BA397" s="57"/>
      <c r="BF397" s="6" t="e">
        <f t="shared" si="18"/>
        <v>#NUM!</v>
      </c>
      <c r="BG397" t="e">
        <f t="shared" si="19"/>
        <v>#NUM!</v>
      </c>
      <c r="BH397" t="e">
        <f t="shared" si="20"/>
        <v>#NUM!</v>
      </c>
      <c r="BI397" t="e">
        <f>VLOOKUP(H397,Sheet2!$A$1:$B$270,2,FALSE)</f>
        <v>#N/A</v>
      </c>
    </row>
    <row r="398" spans="15:61" hidden="1">
      <c r="O398" s="57"/>
      <c r="P398" s="57"/>
      <c r="AP398" s="57"/>
      <c r="BA398" s="57"/>
      <c r="BF398" s="6" t="e">
        <f t="shared" si="18"/>
        <v>#NUM!</v>
      </c>
      <c r="BG398" t="e">
        <f t="shared" si="19"/>
        <v>#NUM!</v>
      </c>
      <c r="BH398" t="e">
        <f t="shared" si="20"/>
        <v>#NUM!</v>
      </c>
      <c r="BI398" t="e">
        <f>VLOOKUP(H398,Sheet2!$A$1:$B$270,2,FALSE)</f>
        <v>#N/A</v>
      </c>
    </row>
    <row r="399" spans="15:61" hidden="1">
      <c r="O399" s="57"/>
      <c r="P399" s="57"/>
      <c r="AP399" s="57"/>
      <c r="BA399" s="57"/>
      <c r="BF399" s="6" t="e">
        <f t="shared" si="18"/>
        <v>#NUM!</v>
      </c>
      <c r="BG399" t="e">
        <f t="shared" si="19"/>
        <v>#NUM!</v>
      </c>
      <c r="BH399" t="e">
        <f t="shared" si="20"/>
        <v>#NUM!</v>
      </c>
      <c r="BI399" t="e">
        <f>VLOOKUP(H399,Sheet2!$A$1:$B$270,2,FALSE)</f>
        <v>#N/A</v>
      </c>
    </row>
    <row r="400" spans="15:61" hidden="1">
      <c r="O400" s="57"/>
      <c r="P400" s="57"/>
      <c r="AO400" s="57"/>
      <c r="AP400" s="57"/>
      <c r="BA400" s="57"/>
      <c r="BF400" s="6" t="e">
        <f t="shared" si="18"/>
        <v>#NUM!</v>
      </c>
      <c r="BG400" t="e">
        <f t="shared" si="19"/>
        <v>#NUM!</v>
      </c>
      <c r="BH400" t="e">
        <f t="shared" si="20"/>
        <v>#NUM!</v>
      </c>
      <c r="BI400" t="e">
        <f>VLOOKUP(H400,Sheet2!$A$1:$B$270,2,FALSE)</f>
        <v>#N/A</v>
      </c>
    </row>
    <row r="401" spans="15:61" hidden="1">
      <c r="O401" s="57"/>
      <c r="P401" s="57"/>
      <c r="AP401" s="57"/>
      <c r="BA401" s="57"/>
      <c r="BF401" s="6" t="e">
        <f t="shared" si="18"/>
        <v>#NUM!</v>
      </c>
      <c r="BG401" t="e">
        <f t="shared" si="19"/>
        <v>#NUM!</v>
      </c>
      <c r="BH401" t="e">
        <f t="shared" si="20"/>
        <v>#NUM!</v>
      </c>
      <c r="BI401" t="e">
        <f>VLOOKUP(H401,Sheet2!$A$1:$B$270,2,FALSE)</f>
        <v>#N/A</v>
      </c>
    </row>
    <row r="402" spans="15:61" hidden="1">
      <c r="O402" s="57"/>
      <c r="P402" s="57"/>
      <c r="AP402" s="57"/>
      <c r="BA402" s="57"/>
      <c r="BF402" s="6" t="e">
        <f t="shared" si="18"/>
        <v>#NUM!</v>
      </c>
      <c r="BG402" t="e">
        <f t="shared" si="19"/>
        <v>#NUM!</v>
      </c>
      <c r="BH402" t="e">
        <f t="shared" si="20"/>
        <v>#NUM!</v>
      </c>
      <c r="BI402" t="e">
        <f>VLOOKUP(H402,Sheet2!$A$1:$B$270,2,FALSE)</f>
        <v>#N/A</v>
      </c>
    </row>
    <row r="403" spans="15:61" hidden="1">
      <c r="O403" s="57"/>
      <c r="P403" s="57"/>
      <c r="AP403" s="57"/>
      <c r="BA403" s="57"/>
      <c r="BF403" s="6" t="e">
        <f t="shared" si="18"/>
        <v>#NUM!</v>
      </c>
      <c r="BG403" t="e">
        <f t="shared" si="19"/>
        <v>#NUM!</v>
      </c>
      <c r="BH403" t="e">
        <f t="shared" si="20"/>
        <v>#NUM!</v>
      </c>
      <c r="BI403" t="e">
        <f>VLOOKUP(H403,Sheet2!$A$1:$B$270,2,FALSE)</f>
        <v>#N/A</v>
      </c>
    </row>
    <row r="404" spans="15:61" hidden="1">
      <c r="O404" s="57"/>
      <c r="P404" s="57"/>
      <c r="AM404" s="58"/>
      <c r="BA404" s="57"/>
      <c r="BB404" s="58"/>
      <c r="BF404" s="6" t="e">
        <f t="shared" si="18"/>
        <v>#NUM!</v>
      </c>
      <c r="BG404" t="e">
        <f t="shared" si="19"/>
        <v>#NUM!</v>
      </c>
      <c r="BH404" t="e">
        <f t="shared" si="20"/>
        <v>#NUM!</v>
      </c>
      <c r="BI404" t="e">
        <f>VLOOKUP(H404,Sheet2!$A$1:$B$270,2,FALSE)</f>
        <v>#N/A</v>
      </c>
    </row>
    <row r="405" spans="15:61" hidden="1">
      <c r="O405" s="57"/>
      <c r="P405" s="57"/>
      <c r="AP405" s="57"/>
      <c r="BA405" s="57"/>
      <c r="BF405" s="6" t="e">
        <f t="shared" si="18"/>
        <v>#NUM!</v>
      </c>
      <c r="BG405" t="e">
        <f t="shared" si="19"/>
        <v>#NUM!</v>
      </c>
      <c r="BH405" t="e">
        <f t="shared" si="20"/>
        <v>#NUM!</v>
      </c>
      <c r="BI405" t="e">
        <f>VLOOKUP(H405,Sheet2!$A$1:$B$270,2,FALSE)</f>
        <v>#N/A</v>
      </c>
    </row>
    <row r="406" spans="15:61" hidden="1">
      <c r="O406" s="57"/>
      <c r="P406" s="57"/>
      <c r="AO406" s="57"/>
      <c r="AP406" s="57"/>
      <c r="BA406" s="57"/>
      <c r="BF406" s="6" t="e">
        <f t="shared" si="18"/>
        <v>#NUM!</v>
      </c>
      <c r="BG406" t="e">
        <f t="shared" si="19"/>
        <v>#NUM!</v>
      </c>
      <c r="BH406" t="e">
        <f t="shared" si="20"/>
        <v>#NUM!</v>
      </c>
      <c r="BI406" t="e">
        <f>VLOOKUP(H406,Sheet2!$A$1:$B$270,2,FALSE)</f>
        <v>#N/A</v>
      </c>
    </row>
    <row r="407" spans="15:61" hidden="1">
      <c r="O407" s="57"/>
      <c r="P407" s="57"/>
      <c r="AO407" s="57"/>
      <c r="AP407" s="57"/>
      <c r="BA407" s="57"/>
      <c r="BF407" s="6" t="e">
        <f t="shared" si="18"/>
        <v>#NUM!</v>
      </c>
      <c r="BG407" t="e">
        <f t="shared" si="19"/>
        <v>#NUM!</v>
      </c>
      <c r="BH407" t="e">
        <f t="shared" si="20"/>
        <v>#NUM!</v>
      </c>
      <c r="BI407" t="e">
        <f>VLOOKUP(H407,Sheet2!$A$1:$B$270,2,FALSE)</f>
        <v>#N/A</v>
      </c>
    </row>
    <row r="408" spans="15:61" hidden="1">
      <c r="O408" s="57"/>
      <c r="P408" s="57"/>
      <c r="AO408" s="57"/>
      <c r="BA408" s="57"/>
      <c r="BF408" s="6" t="e">
        <f t="shared" si="18"/>
        <v>#NUM!</v>
      </c>
      <c r="BG408" t="e">
        <f t="shared" si="19"/>
        <v>#NUM!</v>
      </c>
      <c r="BH408" t="e">
        <f t="shared" si="20"/>
        <v>#NUM!</v>
      </c>
      <c r="BI408" t="e">
        <f>VLOOKUP(H408,Sheet2!$A$1:$B$270,2,FALSE)</f>
        <v>#N/A</v>
      </c>
    </row>
    <row r="409" spans="15:61" hidden="1">
      <c r="O409" s="57"/>
      <c r="P409" s="57"/>
      <c r="AO409" s="57"/>
      <c r="BA409" s="57"/>
      <c r="BF409" s="6" t="e">
        <f t="shared" si="18"/>
        <v>#NUM!</v>
      </c>
      <c r="BG409" t="e">
        <f t="shared" si="19"/>
        <v>#NUM!</v>
      </c>
      <c r="BH409" t="e">
        <f t="shared" si="20"/>
        <v>#NUM!</v>
      </c>
      <c r="BI409" t="e">
        <f>VLOOKUP(H409,Sheet2!$A$1:$B$270,2,FALSE)</f>
        <v>#N/A</v>
      </c>
    </row>
    <row r="410" spans="15:61" hidden="1">
      <c r="O410" s="57"/>
      <c r="P410" s="57"/>
      <c r="AO410" s="57"/>
      <c r="BA410" s="57"/>
      <c r="BF410" s="6" t="e">
        <f t="shared" si="18"/>
        <v>#NUM!</v>
      </c>
      <c r="BG410" t="e">
        <f t="shared" si="19"/>
        <v>#NUM!</v>
      </c>
      <c r="BH410" t="e">
        <f t="shared" si="20"/>
        <v>#NUM!</v>
      </c>
      <c r="BI410" t="e">
        <f>VLOOKUP(H410,Sheet2!$A$1:$B$270,2,FALSE)</f>
        <v>#N/A</v>
      </c>
    </row>
    <row r="411" spans="15:61" hidden="1">
      <c r="O411" s="57"/>
      <c r="P411" s="57"/>
      <c r="AO411" s="57"/>
      <c r="BA411" s="57"/>
      <c r="BF411" s="6" t="e">
        <f t="shared" si="18"/>
        <v>#NUM!</v>
      </c>
      <c r="BG411" t="e">
        <f t="shared" si="19"/>
        <v>#NUM!</v>
      </c>
      <c r="BH411" t="e">
        <f t="shared" si="20"/>
        <v>#NUM!</v>
      </c>
      <c r="BI411" t="e">
        <f>VLOOKUP(H411,Sheet2!$A$1:$B$270,2,FALSE)</f>
        <v>#N/A</v>
      </c>
    </row>
    <row r="412" spans="15:61" hidden="1">
      <c r="O412" s="57"/>
      <c r="P412" s="57"/>
      <c r="AO412" s="57"/>
      <c r="BA412" s="57"/>
      <c r="BF412" s="6" t="e">
        <f t="shared" si="18"/>
        <v>#NUM!</v>
      </c>
      <c r="BG412" t="e">
        <f t="shared" si="19"/>
        <v>#NUM!</v>
      </c>
      <c r="BH412" t="e">
        <f t="shared" si="20"/>
        <v>#NUM!</v>
      </c>
      <c r="BI412" t="e">
        <f>VLOOKUP(H412,Sheet2!$A$1:$B$270,2,FALSE)</f>
        <v>#N/A</v>
      </c>
    </row>
    <row r="413" spans="15:61" hidden="1">
      <c r="O413" s="57"/>
      <c r="P413" s="57"/>
      <c r="AO413" s="57"/>
      <c r="BA413" s="57"/>
      <c r="BF413" s="6" t="e">
        <f t="shared" si="18"/>
        <v>#NUM!</v>
      </c>
      <c r="BG413" t="e">
        <f t="shared" si="19"/>
        <v>#NUM!</v>
      </c>
      <c r="BH413" t="e">
        <f t="shared" si="20"/>
        <v>#NUM!</v>
      </c>
      <c r="BI413" t="e">
        <f>VLOOKUP(H413,Sheet2!$A$1:$B$270,2,FALSE)</f>
        <v>#N/A</v>
      </c>
    </row>
    <row r="414" spans="15:61" hidden="1">
      <c r="O414" s="57"/>
      <c r="P414" s="57"/>
      <c r="AO414" s="57"/>
      <c r="BA414" s="57"/>
      <c r="BF414" s="6" t="e">
        <f t="shared" si="18"/>
        <v>#NUM!</v>
      </c>
      <c r="BG414" t="e">
        <f t="shared" si="19"/>
        <v>#NUM!</v>
      </c>
      <c r="BH414" t="e">
        <f t="shared" si="20"/>
        <v>#NUM!</v>
      </c>
      <c r="BI414" t="e">
        <f>VLOOKUP(H414,Sheet2!$A$1:$B$270,2,FALSE)</f>
        <v>#N/A</v>
      </c>
    </row>
    <row r="415" spans="15:61" hidden="1">
      <c r="O415" s="57"/>
      <c r="P415" s="57"/>
      <c r="AO415" s="57"/>
      <c r="BA415" s="57"/>
      <c r="BF415" s="6" t="e">
        <f t="shared" si="18"/>
        <v>#NUM!</v>
      </c>
      <c r="BG415" t="e">
        <f t="shared" si="19"/>
        <v>#NUM!</v>
      </c>
      <c r="BH415" t="e">
        <f t="shared" si="20"/>
        <v>#NUM!</v>
      </c>
      <c r="BI415" t="e">
        <f>VLOOKUP(H415,Sheet2!$A$1:$B$270,2,FALSE)</f>
        <v>#N/A</v>
      </c>
    </row>
    <row r="416" spans="15:61" hidden="1">
      <c r="O416" s="57"/>
      <c r="P416" s="57"/>
      <c r="AO416" s="57"/>
      <c r="BA416" s="57"/>
      <c r="BF416" s="6" t="e">
        <f t="shared" si="18"/>
        <v>#NUM!</v>
      </c>
      <c r="BG416" t="e">
        <f t="shared" si="19"/>
        <v>#NUM!</v>
      </c>
      <c r="BH416" t="e">
        <f t="shared" si="20"/>
        <v>#NUM!</v>
      </c>
      <c r="BI416" t="e">
        <f>VLOOKUP(H416,Sheet2!$A$1:$B$270,2,FALSE)</f>
        <v>#N/A</v>
      </c>
    </row>
    <row r="417" spans="15:61" hidden="1">
      <c r="O417" s="57"/>
      <c r="P417" s="57"/>
      <c r="AO417" s="57"/>
      <c r="AP417" s="57"/>
      <c r="BA417" s="57"/>
      <c r="BF417" s="6" t="e">
        <f t="shared" si="18"/>
        <v>#NUM!</v>
      </c>
      <c r="BG417" t="e">
        <f t="shared" si="19"/>
        <v>#NUM!</v>
      </c>
      <c r="BH417" t="e">
        <f t="shared" si="20"/>
        <v>#NUM!</v>
      </c>
      <c r="BI417" t="e">
        <f>VLOOKUP(H417,Sheet2!$A$1:$B$270,2,FALSE)</f>
        <v>#N/A</v>
      </c>
    </row>
    <row r="418" spans="15:61" hidden="1">
      <c r="O418" s="57"/>
      <c r="P418" s="57"/>
      <c r="AO418" s="57"/>
      <c r="AP418" s="57"/>
      <c r="BA418" s="57"/>
      <c r="BF418" s="6" t="e">
        <f t="shared" si="18"/>
        <v>#NUM!</v>
      </c>
      <c r="BG418" t="e">
        <f t="shared" si="19"/>
        <v>#NUM!</v>
      </c>
      <c r="BH418" t="e">
        <f t="shared" si="20"/>
        <v>#NUM!</v>
      </c>
      <c r="BI418" t="e">
        <f>VLOOKUP(H418,Sheet2!$A$1:$B$270,2,FALSE)</f>
        <v>#N/A</v>
      </c>
    </row>
    <row r="419" spans="15:61" hidden="1">
      <c r="O419" s="57"/>
      <c r="P419" s="57"/>
      <c r="AO419" s="57"/>
      <c r="AP419" s="57"/>
      <c r="BA419" s="57"/>
      <c r="BF419" s="6" t="e">
        <f t="shared" si="18"/>
        <v>#NUM!</v>
      </c>
      <c r="BG419" t="e">
        <f t="shared" si="19"/>
        <v>#NUM!</v>
      </c>
      <c r="BH419" t="e">
        <f t="shared" si="20"/>
        <v>#NUM!</v>
      </c>
      <c r="BI419" t="e">
        <f>VLOOKUP(H419,Sheet2!$A$1:$B$270,2,FALSE)</f>
        <v>#N/A</v>
      </c>
    </row>
    <row r="420" spans="15:61" hidden="1">
      <c r="O420" s="57"/>
      <c r="P420" s="57"/>
      <c r="AO420" s="57"/>
      <c r="AP420" s="57"/>
      <c r="BA420" s="57"/>
      <c r="BF420" s="6" t="e">
        <f t="shared" si="18"/>
        <v>#NUM!</v>
      </c>
      <c r="BG420" t="e">
        <f t="shared" si="19"/>
        <v>#NUM!</v>
      </c>
      <c r="BH420" t="e">
        <f t="shared" si="20"/>
        <v>#NUM!</v>
      </c>
      <c r="BI420" t="e">
        <f>VLOOKUP(H420,Sheet2!$A$1:$B$270,2,FALSE)</f>
        <v>#N/A</v>
      </c>
    </row>
    <row r="421" spans="15:61" hidden="1">
      <c r="O421" s="57"/>
      <c r="P421" s="57"/>
      <c r="AO421" s="57"/>
      <c r="BA421" s="57"/>
      <c r="BF421" s="6" t="e">
        <f t="shared" si="18"/>
        <v>#NUM!</v>
      </c>
      <c r="BG421" t="e">
        <f t="shared" si="19"/>
        <v>#NUM!</v>
      </c>
      <c r="BH421" t="e">
        <f t="shared" si="20"/>
        <v>#NUM!</v>
      </c>
      <c r="BI421" t="e">
        <f>VLOOKUP(H421,Sheet2!$A$1:$B$270,2,FALSE)</f>
        <v>#N/A</v>
      </c>
    </row>
    <row r="422" spans="15:61" hidden="1">
      <c r="O422" s="57"/>
      <c r="P422" s="57"/>
      <c r="AO422" s="57"/>
      <c r="BA422" s="57"/>
      <c r="BF422" s="6" t="e">
        <f t="shared" si="18"/>
        <v>#NUM!</v>
      </c>
      <c r="BG422" t="e">
        <f t="shared" si="19"/>
        <v>#NUM!</v>
      </c>
      <c r="BH422" t="e">
        <f t="shared" si="20"/>
        <v>#NUM!</v>
      </c>
      <c r="BI422" t="e">
        <f>VLOOKUP(H422,Sheet2!$A$1:$B$270,2,FALSE)</f>
        <v>#N/A</v>
      </c>
    </row>
    <row r="423" spans="15:61" hidden="1">
      <c r="O423" s="57"/>
      <c r="P423" s="57"/>
      <c r="AO423" s="57"/>
      <c r="BA423" s="57"/>
      <c r="BF423" s="6" t="e">
        <f t="shared" si="18"/>
        <v>#NUM!</v>
      </c>
      <c r="BG423" t="e">
        <f t="shared" si="19"/>
        <v>#NUM!</v>
      </c>
      <c r="BH423" t="e">
        <f t="shared" si="20"/>
        <v>#NUM!</v>
      </c>
      <c r="BI423" t="e">
        <f>VLOOKUP(H423,Sheet2!$A$1:$B$270,2,FALSE)</f>
        <v>#N/A</v>
      </c>
    </row>
    <row r="424" spans="15:61" hidden="1">
      <c r="O424" s="57"/>
      <c r="P424" s="57"/>
      <c r="AO424" s="57"/>
      <c r="BA424" s="57"/>
      <c r="BF424" s="6" t="e">
        <f t="shared" si="18"/>
        <v>#NUM!</v>
      </c>
      <c r="BG424" t="e">
        <f t="shared" si="19"/>
        <v>#NUM!</v>
      </c>
      <c r="BH424" t="e">
        <f t="shared" si="20"/>
        <v>#NUM!</v>
      </c>
      <c r="BI424" t="e">
        <f>VLOOKUP(H424,Sheet2!$A$1:$B$270,2,FALSE)</f>
        <v>#N/A</v>
      </c>
    </row>
    <row r="425" spans="15:61" hidden="1">
      <c r="O425" s="57"/>
      <c r="P425" s="57"/>
      <c r="AO425" s="57"/>
      <c r="BA425" s="57"/>
      <c r="BF425" s="6" t="e">
        <f t="shared" si="18"/>
        <v>#NUM!</v>
      </c>
      <c r="BG425" t="e">
        <f t="shared" si="19"/>
        <v>#NUM!</v>
      </c>
      <c r="BH425" t="e">
        <f t="shared" si="20"/>
        <v>#NUM!</v>
      </c>
      <c r="BI425" t="e">
        <f>VLOOKUP(H425,Sheet2!$A$1:$B$270,2,FALSE)</f>
        <v>#N/A</v>
      </c>
    </row>
    <row r="426" spans="15:61" hidden="1">
      <c r="O426" s="57"/>
      <c r="P426" s="57"/>
      <c r="AO426" s="57"/>
      <c r="BA426" s="57"/>
      <c r="BF426" s="6" t="e">
        <f t="shared" si="18"/>
        <v>#NUM!</v>
      </c>
      <c r="BG426" t="e">
        <f t="shared" si="19"/>
        <v>#NUM!</v>
      </c>
      <c r="BH426" t="e">
        <f t="shared" si="20"/>
        <v>#NUM!</v>
      </c>
      <c r="BI426" t="e">
        <f>VLOOKUP(H426,Sheet2!$A$1:$B$270,2,FALSE)</f>
        <v>#N/A</v>
      </c>
    </row>
    <row r="427" spans="15:61" hidden="1">
      <c r="O427" s="57"/>
      <c r="P427" s="57"/>
      <c r="BA427" s="57"/>
      <c r="BF427" s="6" t="e">
        <f t="shared" si="18"/>
        <v>#NUM!</v>
      </c>
      <c r="BG427" t="e">
        <f t="shared" si="19"/>
        <v>#NUM!</v>
      </c>
      <c r="BH427" t="e">
        <f t="shared" si="20"/>
        <v>#NUM!</v>
      </c>
      <c r="BI427" t="e">
        <f>VLOOKUP(H427,Sheet2!$A$1:$B$270,2,FALSE)</f>
        <v>#N/A</v>
      </c>
    </row>
    <row r="428" spans="15:61" hidden="1">
      <c r="O428" s="57"/>
      <c r="P428" s="57"/>
      <c r="BA428" s="57"/>
      <c r="BF428" s="6" t="e">
        <f t="shared" si="18"/>
        <v>#NUM!</v>
      </c>
      <c r="BG428" t="e">
        <f t="shared" si="19"/>
        <v>#NUM!</v>
      </c>
      <c r="BH428" t="e">
        <f t="shared" si="20"/>
        <v>#NUM!</v>
      </c>
      <c r="BI428" t="e">
        <f>VLOOKUP(H428,Sheet2!$A$1:$B$270,2,FALSE)</f>
        <v>#N/A</v>
      </c>
    </row>
    <row r="429" spans="15:61" hidden="1">
      <c r="O429" s="57"/>
      <c r="P429" s="57"/>
      <c r="BA429" s="57"/>
      <c r="BF429" s="6" t="e">
        <f t="shared" si="18"/>
        <v>#NUM!</v>
      </c>
      <c r="BG429" t="e">
        <f t="shared" si="19"/>
        <v>#NUM!</v>
      </c>
      <c r="BH429" t="e">
        <f t="shared" si="20"/>
        <v>#NUM!</v>
      </c>
      <c r="BI429" t="e">
        <f>VLOOKUP(H429,Sheet2!$A$1:$B$270,2,FALSE)</f>
        <v>#N/A</v>
      </c>
    </row>
    <row r="430" spans="15:61" hidden="1">
      <c r="O430" s="57"/>
      <c r="P430" s="57"/>
      <c r="BA430" s="57"/>
      <c r="BF430" s="6" t="e">
        <f t="shared" si="18"/>
        <v>#NUM!</v>
      </c>
      <c r="BG430" t="e">
        <f t="shared" si="19"/>
        <v>#NUM!</v>
      </c>
      <c r="BH430" t="e">
        <f t="shared" si="20"/>
        <v>#NUM!</v>
      </c>
      <c r="BI430" t="e">
        <f>VLOOKUP(H430,Sheet2!$A$1:$B$270,2,FALSE)</f>
        <v>#N/A</v>
      </c>
    </row>
    <row r="431" spans="15:61" hidden="1">
      <c r="O431" s="57"/>
      <c r="P431" s="57"/>
      <c r="BA431" s="57"/>
      <c r="BF431" s="6" t="e">
        <f t="shared" si="18"/>
        <v>#NUM!</v>
      </c>
      <c r="BG431" t="e">
        <f t="shared" si="19"/>
        <v>#NUM!</v>
      </c>
      <c r="BH431" t="e">
        <f t="shared" si="20"/>
        <v>#NUM!</v>
      </c>
      <c r="BI431" t="e">
        <f>VLOOKUP(H431,Sheet2!$A$1:$B$270,2,FALSE)</f>
        <v>#N/A</v>
      </c>
    </row>
    <row r="432" spans="15:61" hidden="1">
      <c r="O432" s="57"/>
      <c r="P432" s="57"/>
      <c r="BA432" s="57"/>
      <c r="BF432" s="6" t="e">
        <f t="shared" si="18"/>
        <v>#NUM!</v>
      </c>
      <c r="BG432" t="e">
        <f t="shared" si="19"/>
        <v>#NUM!</v>
      </c>
      <c r="BH432" t="e">
        <f t="shared" si="20"/>
        <v>#NUM!</v>
      </c>
      <c r="BI432" t="e">
        <f>VLOOKUP(H432,Sheet2!$A$1:$B$270,2,FALSE)</f>
        <v>#N/A</v>
      </c>
    </row>
    <row r="433" spans="15:61" hidden="1">
      <c r="O433" s="57"/>
      <c r="P433" s="57"/>
      <c r="AP433" s="57"/>
      <c r="BA433" s="57"/>
      <c r="BF433" s="6" t="e">
        <f t="shared" si="18"/>
        <v>#NUM!</v>
      </c>
      <c r="BG433" t="e">
        <f t="shared" si="19"/>
        <v>#NUM!</v>
      </c>
      <c r="BH433" t="e">
        <f t="shared" si="20"/>
        <v>#NUM!</v>
      </c>
      <c r="BI433" t="e">
        <f>VLOOKUP(H433,Sheet2!$A$1:$B$270,2,FALSE)</f>
        <v>#N/A</v>
      </c>
    </row>
    <row r="434" spans="15:61" hidden="1">
      <c r="O434" s="57"/>
      <c r="P434" s="57"/>
      <c r="BA434" s="57"/>
      <c r="BF434" s="6" t="e">
        <f t="shared" si="18"/>
        <v>#NUM!</v>
      </c>
      <c r="BG434" t="e">
        <f t="shared" si="19"/>
        <v>#NUM!</v>
      </c>
      <c r="BH434" t="e">
        <f t="shared" si="20"/>
        <v>#NUM!</v>
      </c>
      <c r="BI434" t="e">
        <f>VLOOKUP(H434,Sheet2!$A$1:$B$270,2,FALSE)</f>
        <v>#N/A</v>
      </c>
    </row>
    <row r="435" spans="15:61" hidden="1">
      <c r="O435" s="57"/>
      <c r="P435" s="57"/>
      <c r="BA435" s="57"/>
      <c r="BF435" s="6" t="e">
        <f t="shared" si="18"/>
        <v>#NUM!</v>
      </c>
      <c r="BG435" t="e">
        <f t="shared" si="19"/>
        <v>#NUM!</v>
      </c>
      <c r="BH435" t="e">
        <f t="shared" si="20"/>
        <v>#NUM!</v>
      </c>
      <c r="BI435" t="e">
        <f>VLOOKUP(H435,Sheet2!$A$1:$B$270,2,FALSE)</f>
        <v>#N/A</v>
      </c>
    </row>
    <row r="436" spans="15:61" hidden="1">
      <c r="O436" s="57"/>
      <c r="P436" s="57"/>
      <c r="BA436" s="57"/>
      <c r="BF436" s="6" t="e">
        <f t="shared" si="18"/>
        <v>#NUM!</v>
      </c>
      <c r="BG436" t="e">
        <f t="shared" si="19"/>
        <v>#NUM!</v>
      </c>
      <c r="BH436" t="e">
        <f t="shared" si="20"/>
        <v>#NUM!</v>
      </c>
      <c r="BI436" t="e">
        <f>VLOOKUP(H436,Sheet2!$A$1:$B$270,2,FALSE)</f>
        <v>#N/A</v>
      </c>
    </row>
    <row r="437" spans="15:61" hidden="1">
      <c r="O437" s="57"/>
      <c r="P437" s="57"/>
      <c r="AP437" s="57"/>
      <c r="BA437" s="57"/>
      <c r="BF437" s="6" t="e">
        <f t="shared" si="18"/>
        <v>#NUM!</v>
      </c>
      <c r="BG437" t="e">
        <f t="shared" si="19"/>
        <v>#NUM!</v>
      </c>
      <c r="BH437" t="e">
        <f t="shared" si="20"/>
        <v>#NUM!</v>
      </c>
      <c r="BI437" t="e">
        <f>VLOOKUP(H437,Sheet2!$A$1:$B$270,2,FALSE)</f>
        <v>#N/A</v>
      </c>
    </row>
    <row r="438" spans="15:61" hidden="1">
      <c r="O438" s="57"/>
      <c r="P438" s="57"/>
      <c r="BA438" s="57"/>
      <c r="BF438" s="6" t="e">
        <f t="shared" si="18"/>
        <v>#NUM!</v>
      </c>
      <c r="BG438" t="e">
        <f t="shared" si="19"/>
        <v>#NUM!</v>
      </c>
      <c r="BH438" t="e">
        <f t="shared" si="20"/>
        <v>#NUM!</v>
      </c>
      <c r="BI438" t="e">
        <f>VLOOKUP(H438,Sheet2!$A$1:$B$270,2,FALSE)</f>
        <v>#N/A</v>
      </c>
    </row>
    <row r="439" spans="15:61" hidden="1">
      <c r="O439" s="57"/>
      <c r="P439" s="57"/>
      <c r="BA439" s="57"/>
      <c r="BF439" s="6" t="e">
        <f t="shared" si="18"/>
        <v>#NUM!</v>
      </c>
      <c r="BG439" t="e">
        <f t="shared" si="19"/>
        <v>#NUM!</v>
      </c>
      <c r="BH439" t="e">
        <f t="shared" si="20"/>
        <v>#NUM!</v>
      </c>
      <c r="BI439" t="e">
        <f>VLOOKUP(H439,Sheet2!$A$1:$B$270,2,FALSE)</f>
        <v>#N/A</v>
      </c>
    </row>
    <row r="440" spans="15:61" hidden="1">
      <c r="O440" s="57"/>
      <c r="P440" s="57"/>
      <c r="BA440" s="57"/>
      <c r="BF440" s="6" t="e">
        <f t="shared" si="18"/>
        <v>#NUM!</v>
      </c>
      <c r="BG440" t="e">
        <f t="shared" si="19"/>
        <v>#NUM!</v>
      </c>
      <c r="BH440" t="e">
        <f t="shared" si="20"/>
        <v>#NUM!</v>
      </c>
      <c r="BI440" t="e">
        <f>VLOOKUP(H440,Sheet2!$A$1:$B$270,2,FALSE)</f>
        <v>#N/A</v>
      </c>
    </row>
    <row r="441" spans="15:61" hidden="1">
      <c r="O441" s="57"/>
      <c r="P441" s="57"/>
      <c r="BA441" s="57"/>
      <c r="BF441" s="6" t="e">
        <f t="shared" si="18"/>
        <v>#NUM!</v>
      </c>
      <c r="BG441" t="e">
        <f t="shared" si="19"/>
        <v>#NUM!</v>
      </c>
      <c r="BH441" t="e">
        <f t="shared" si="20"/>
        <v>#NUM!</v>
      </c>
      <c r="BI441" t="e">
        <f>VLOOKUP(H441,Sheet2!$A$1:$B$270,2,FALSE)</f>
        <v>#N/A</v>
      </c>
    </row>
    <row r="442" spans="15:61" hidden="1">
      <c r="O442" s="57"/>
      <c r="P442" s="57"/>
      <c r="BA442" s="57"/>
      <c r="BF442" s="6" t="e">
        <f t="shared" si="18"/>
        <v>#NUM!</v>
      </c>
      <c r="BG442" t="e">
        <f t="shared" si="19"/>
        <v>#NUM!</v>
      </c>
      <c r="BH442" t="e">
        <f t="shared" si="20"/>
        <v>#NUM!</v>
      </c>
      <c r="BI442" t="e">
        <f>VLOOKUP(H442,Sheet2!$A$1:$B$270,2,FALSE)</f>
        <v>#N/A</v>
      </c>
    </row>
    <row r="443" spans="15:61" hidden="1">
      <c r="O443" s="57"/>
      <c r="P443" s="57"/>
      <c r="AP443" s="57"/>
      <c r="BA443" s="57"/>
      <c r="BF443" s="6" t="e">
        <f t="shared" si="18"/>
        <v>#NUM!</v>
      </c>
      <c r="BG443" t="e">
        <f t="shared" si="19"/>
        <v>#NUM!</v>
      </c>
      <c r="BH443" t="e">
        <f t="shared" si="20"/>
        <v>#NUM!</v>
      </c>
      <c r="BI443" t="e">
        <f>VLOOKUP(H443,Sheet2!$A$1:$B$270,2,FALSE)</f>
        <v>#N/A</v>
      </c>
    </row>
    <row r="444" spans="15:61" hidden="1">
      <c r="O444" s="57"/>
      <c r="P444" s="57"/>
      <c r="AP444" s="57"/>
      <c r="BA444" s="57"/>
      <c r="BF444" s="6" t="e">
        <f t="shared" si="18"/>
        <v>#NUM!</v>
      </c>
      <c r="BG444" t="e">
        <f t="shared" si="19"/>
        <v>#NUM!</v>
      </c>
      <c r="BH444" t="e">
        <f t="shared" si="20"/>
        <v>#NUM!</v>
      </c>
      <c r="BI444" t="e">
        <f>VLOOKUP(H444,Sheet2!$A$1:$B$270,2,FALSE)</f>
        <v>#N/A</v>
      </c>
    </row>
    <row r="445" spans="15:61" hidden="1">
      <c r="O445" s="57"/>
      <c r="P445" s="57"/>
      <c r="AP445" s="57"/>
      <c r="BA445" s="57"/>
      <c r="BF445" s="6" t="e">
        <f t="shared" si="18"/>
        <v>#NUM!</v>
      </c>
      <c r="BG445" t="e">
        <f t="shared" si="19"/>
        <v>#NUM!</v>
      </c>
      <c r="BH445" t="e">
        <f t="shared" si="20"/>
        <v>#NUM!</v>
      </c>
      <c r="BI445" t="e">
        <f>VLOOKUP(H445,Sheet2!$A$1:$B$270,2,FALSE)</f>
        <v>#N/A</v>
      </c>
    </row>
    <row r="446" spans="15:61" hidden="1">
      <c r="O446" s="57"/>
      <c r="P446" s="57"/>
      <c r="AO446" s="57"/>
      <c r="BA446" s="57"/>
      <c r="BF446" s="6" t="e">
        <f t="shared" si="18"/>
        <v>#NUM!</v>
      </c>
      <c r="BG446" t="e">
        <f t="shared" si="19"/>
        <v>#NUM!</v>
      </c>
      <c r="BH446" t="e">
        <f t="shared" si="20"/>
        <v>#NUM!</v>
      </c>
      <c r="BI446" t="e">
        <f>VLOOKUP(H446,Sheet2!$A$1:$B$270,2,FALSE)</f>
        <v>#N/A</v>
      </c>
    </row>
    <row r="447" spans="15:61" hidden="1">
      <c r="O447" s="57"/>
      <c r="P447" s="57"/>
      <c r="AO447" s="57"/>
      <c r="BA447" s="57"/>
      <c r="BF447" s="6" t="e">
        <f t="shared" si="18"/>
        <v>#NUM!</v>
      </c>
      <c r="BG447" t="e">
        <f t="shared" si="19"/>
        <v>#NUM!</v>
      </c>
      <c r="BH447" t="e">
        <f t="shared" si="20"/>
        <v>#NUM!</v>
      </c>
      <c r="BI447" t="e">
        <f>VLOOKUP(H447,Sheet2!$A$1:$B$270,2,FALSE)</f>
        <v>#N/A</v>
      </c>
    </row>
    <row r="448" spans="15:61" hidden="1">
      <c r="O448" s="57"/>
      <c r="P448" s="57"/>
      <c r="AO448" s="57"/>
      <c r="BA448" s="57"/>
      <c r="BF448" s="6" t="e">
        <f t="shared" si="18"/>
        <v>#NUM!</v>
      </c>
      <c r="BG448" t="e">
        <f t="shared" si="19"/>
        <v>#NUM!</v>
      </c>
      <c r="BH448" t="e">
        <f t="shared" si="20"/>
        <v>#NUM!</v>
      </c>
      <c r="BI448" t="e">
        <f>VLOOKUP(H448,Sheet2!$A$1:$B$270,2,FALSE)</f>
        <v>#N/A</v>
      </c>
    </row>
    <row r="449" spans="15:61" hidden="1">
      <c r="O449" s="57"/>
      <c r="P449" s="57"/>
      <c r="AO449" s="57"/>
      <c r="BA449" s="57"/>
      <c r="BF449" s="6" t="e">
        <f t="shared" si="18"/>
        <v>#NUM!</v>
      </c>
      <c r="BG449" t="e">
        <f t="shared" si="19"/>
        <v>#NUM!</v>
      </c>
      <c r="BH449" t="e">
        <f t="shared" si="20"/>
        <v>#NUM!</v>
      </c>
      <c r="BI449" t="e">
        <f>VLOOKUP(H449,Sheet2!$A$1:$B$270,2,FALSE)</f>
        <v>#N/A</v>
      </c>
    </row>
    <row r="450" spans="15:61" hidden="1">
      <c r="O450" s="57"/>
      <c r="P450" s="57"/>
      <c r="AO450" s="57"/>
      <c r="AP450" s="57"/>
      <c r="BA450" s="57"/>
      <c r="BF450" s="6" t="e">
        <f t="shared" ref="BF450:BF513" si="21">DATE(BC450,BD450,BE450)</f>
        <v>#NUM!</v>
      </c>
      <c r="BG450" t="e">
        <f t="shared" ref="BG450:BG513" si="22">BF450-BA450</f>
        <v>#NUM!</v>
      </c>
      <c r="BH450" t="e">
        <f t="shared" ref="BH450:BH513" si="23">IF(BG450=1,"COMPLY",IF(BG450&lt;1,"COMPLY","NOT COMPLY"))</f>
        <v>#NUM!</v>
      </c>
      <c r="BI450" t="e">
        <f>VLOOKUP(H450,Sheet2!$A$1:$B$270,2,FALSE)</f>
        <v>#N/A</v>
      </c>
    </row>
    <row r="451" spans="15:61" hidden="1">
      <c r="O451" s="57"/>
      <c r="P451" s="57"/>
      <c r="AO451" s="57"/>
      <c r="BA451" s="57"/>
      <c r="BF451" s="6" t="e">
        <f t="shared" si="21"/>
        <v>#NUM!</v>
      </c>
      <c r="BG451" t="e">
        <f t="shared" si="22"/>
        <v>#NUM!</v>
      </c>
      <c r="BH451" t="e">
        <f t="shared" si="23"/>
        <v>#NUM!</v>
      </c>
      <c r="BI451" t="e">
        <f>VLOOKUP(H451,Sheet2!$A$1:$B$270,2,FALSE)</f>
        <v>#N/A</v>
      </c>
    </row>
    <row r="452" spans="15:61" hidden="1">
      <c r="O452" s="57"/>
      <c r="P452" s="57"/>
      <c r="AO452" s="57"/>
      <c r="BA452" s="57"/>
      <c r="BF452" s="6" t="e">
        <f t="shared" si="21"/>
        <v>#NUM!</v>
      </c>
      <c r="BG452" t="e">
        <f t="shared" si="22"/>
        <v>#NUM!</v>
      </c>
      <c r="BH452" t="e">
        <f t="shared" si="23"/>
        <v>#NUM!</v>
      </c>
      <c r="BI452" t="e">
        <f>VLOOKUP(H452,Sheet2!$A$1:$B$270,2,FALSE)</f>
        <v>#N/A</v>
      </c>
    </row>
    <row r="453" spans="15:61" hidden="1">
      <c r="O453" s="57"/>
      <c r="P453" s="57"/>
      <c r="AO453" s="57"/>
      <c r="BA453" s="57"/>
      <c r="BF453" s="6" t="e">
        <f t="shared" si="21"/>
        <v>#NUM!</v>
      </c>
      <c r="BG453" t="e">
        <f t="shared" si="22"/>
        <v>#NUM!</v>
      </c>
      <c r="BH453" t="e">
        <f t="shared" si="23"/>
        <v>#NUM!</v>
      </c>
      <c r="BI453" t="e">
        <f>VLOOKUP(H453,Sheet2!$A$1:$B$270,2,FALSE)</f>
        <v>#N/A</v>
      </c>
    </row>
    <row r="454" spans="15:61" hidden="1">
      <c r="O454" s="57"/>
      <c r="P454" s="57"/>
      <c r="AO454" s="57"/>
      <c r="BA454" s="57"/>
      <c r="BF454" s="6" t="e">
        <f t="shared" si="21"/>
        <v>#NUM!</v>
      </c>
      <c r="BG454" t="e">
        <f t="shared" si="22"/>
        <v>#NUM!</v>
      </c>
      <c r="BH454" t="e">
        <f t="shared" si="23"/>
        <v>#NUM!</v>
      </c>
      <c r="BI454" t="e">
        <f>VLOOKUP(H454,Sheet2!$A$1:$B$270,2,FALSE)</f>
        <v>#N/A</v>
      </c>
    </row>
    <row r="455" spans="15:61" hidden="1">
      <c r="O455" s="57"/>
      <c r="P455" s="57"/>
      <c r="AO455" s="57"/>
      <c r="BA455" s="57"/>
      <c r="BF455" s="6" t="e">
        <f t="shared" si="21"/>
        <v>#NUM!</v>
      </c>
      <c r="BG455" t="e">
        <f t="shared" si="22"/>
        <v>#NUM!</v>
      </c>
      <c r="BH455" t="e">
        <f t="shared" si="23"/>
        <v>#NUM!</v>
      </c>
      <c r="BI455" t="e">
        <f>VLOOKUP(H455,Sheet2!$A$1:$B$270,2,FALSE)</f>
        <v>#N/A</v>
      </c>
    </row>
    <row r="456" spans="15:61" hidden="1">
      <c r="O456" s="57"/>
      <c r="P456" s="57"/>
      <c r="AO456" s="57"/>
      <c r="BA456" s="57"/>
      <c r="BF456" s="6" t="e">
        <f t="shared" si="21"/>
        <v>#NUM!</v>
      </c>
      <c r="BG456" t="e">
        <f t="shared" si="22"/>
        <v>#NUM!</v>
      </c>
      <c r="BH456" t="e">
        <f t="shared" si="23"/>
        <v>#NUM!</v>
      </c>
      <c r="BI456" t="e">
        <f>VLOOKUP(H456,Sheet2!$A$1:$B$270,2,FALSE)</f>
        <v>#N/A</v>
      </c>
    </row>
    <row r="457" spans="15:61" hidden="1">
      <c r="O457" s="57"/>
      <c r="P457" s="57"/>
      <c r="AO457" s="57"/>
      <c r="BA457" s="57"/>
      <c r="BF457" s="6" t="e">
        <f t="shared" si="21"/>
        <v>#NUM!</v>
      </c>
      <c r="BG457" t="e">
        <f t="shared" si="22"/>
        <v>#NUM!</v>
      </c>
      <c r="BH457" t="e">
        <f t="shared" si="23"/>
        <v>#NUM!</v>
      </c>
      <c r="BI457" t="e">
        <f>VLOOKUP(H457,Sheet2!$A$1:$B$270,2,FALSE)</f>
        <v>#N/A</v>
      </c>
    </row>
    <row r="458" spans="15:61" hidden="1">
      <c r="O458" s="57"/>
      <c r="P458" s="57"/>
      <c r="AO458" s="57"/>
      <c r="BA458" s="57"/>
      <c r="BF458" s="6" t="e">
        <f t="shared" si="21"/>
        <v>#NUM!</v>
      </c>
      <c r="BG458" t="e">
        <f t="shared" si="22"/>
        <v>#NUM!</v>
      </c>
      <c r="BH458" t="e">
        <f t="shared" si="23"/>
        <v>#NUM!</v>
      </c>
      <c r="BI458" t="e">
        <f>VLOOKUP(H458,Sheet2!$A$1:$B$270,2,FALSE)</f>
        <v>#N/A</v>
      </c>
    </row>
    <row r="459" spans="15:61" hidden="1">
      <c r="O459" s="57"/>
      <c r="P459" s="57"/>
      <c r="BA459" s="57"/>
      <c r="BF459" s="6" t="e">
        <f t="shared" si="21"/>
        <v>#NUM!</v>
      </c>
      <c r="BG459" t="e">
        <f t="shared" si="22"/>
        <v>#NUM!</v>
      </c>
      <c r="BH459" t="e">
        <f t="shared" si="23"/>
        <v>#NUM!</v>
      </c>
      <c r="BI459" t="e">
        <f>VLOOKUP(H459,Sheet2!$A$1:$B$270,2,FALSE)</f>
        <v>#N/A</v>
      </c>
    </row>
    <row r="460" spans="15:61" hidden="1">
      <c r="O460" s="57"/>
      <c r="P460" s="57"/>
      <c r="BA460" s="57"/>
      <c r="BF460" s="6" t="e">
        <f t="shared" si="21"/>
        <v>#NUM!</v>
      </c>
      <c r="BG460" t="e">
        <f t="shared" si="22"/>
        <v>#NUM!</v>
      </c>
      <c r="BH460" t="e">
        <f t="shared" si="23"/>
        <v>#NUM!</v>
      </c>
      <c r="BI460" t="e">
        <f>VLOOKUP(H460,Sheet2!$A$1:$B$270,2,FALSE)</f>
        <v>#N/A</v>
      </c>
    </row>
    <row r="461" spans="15:61" hidden="1">
      <c r="O461" s="57"/>
      <c r="P461" s="57"/>
      <c r="BA461" s="57"/>
      <c r="BF461" s="6" t="e">
        <f t="shared" si="21"/>
        <v>#NUM!</v>
      </c>
      <c r="BG461" t="e">
        <f t="shared" si="22"/>
        <v>#NUM!</v>
      </c>
      <c r="BH461" t="e">
        <f t="shared" si="23"/>
        <v>#NUM!</v>
      </c>
      <c r="BI461" t="e">
        <f>VLOOKUP(H461,Sheet2!$A$1:$B$270,2,FALSE)</f>
        <v>#N/A</v>
      </c>
    </row>
    <row r="462" spans="15:61" hidden="1">
      <c r="O462" s="57"/>
      <c r="P462" s="57"/>
      <c r="BA462" s="57"/>
      <c r="BF462" s="6" t="e">
        <f t="shared" si="21"/>
        <v>#NUM!</v>
      </c>
      <c r="BG462" t="e">
        <f t="shared" si="22"/>
        <v>#NUM!</v>
      </c>
      <c r="BH462" t="e">
        <f t="shared" si="23"/>
        <v>#NUM!</v>
      </c>
      <c r="BI462" t="e">
        <f>VLOOKUP(H462,Sheet2!$A$1:$B$270,2,FALSE)</f>
        <v>#N/A</v>
      </c>
    </row>
    <row r="463" spans="15:61" hidden="1">
      <c r="O463" s="57"/>
      <c r="P463" s="57"/>
      <c r="BA463" s="57"/>
      <c r="BF463" s="6" t="e">
        <f t="shared" si="21"/>
        <v>#NUM!</v>
      </c>
      <c r="BG463" t="e">
        <f t="shared" si="22"/>
        <v>#NUM!</v>
      </c>
      <c r="BH463" t="e">
        <f t="shared" si="23"/>
        <v>#NUM!</v>
      </c>
      <c r="BI463" t="e">
        <f>VLOOKUP(H463,Sheet2!$A$1:$B$270,2,FALSE)</f>
        <v>#N/A</v>
      </c>
    </row>
    <row r="464" spans="15:61" hidden="1">
      <c r="O464" s="57"/>
      <c r="P464" s="57"/>
      <c r="BA464" s="57"/>
      <c r="BF464" s="6" t="e">
        <f t="shared" si="21"/>
        <v>#NUM!</v>
      </c>
      <c r="BG464" t="e">
        <f t="shared" si="22"/>
        <v>#NUM!</v>
      </c>
      <c r="BH464" t="e">
        <f t="shared" si="23"/>
        <v>#NUM!</v>
      </c>
      <c r="BI464" t="e">
        <f>VLOOKUP(H464,Sheet2!$A$1:$B$270,2,FALSE)</f>
        <v>#N/A</v>
      </c>
    </row>
    <row r="465" spans="15:61" hidden="1">
      <c r="O465" s="57"/>
      <c r="P465" s="57"/>
      <c r="BA465" s="57"/>
      <c r="BF465" s="6" t="e">
        <f t="shared" si="21"/>
        <v>#NUM!</v>
      </c>
      <c r="BG465" t="e">
        <f t="shared" si="22"/>
        <v>#NUM!</v>
      </c>
      <c r="BH465" t="e">
        <f t="shared" si="23"/>
        <v>#NUM!</v>
      </c>
      <c r="BI465" t="e">
        <f>VLOOKUP(H465,Sheet2!$A$1:$B$270,2,FALSE)</f>
        <v>#N/A</v>
      </c>
    </row>
    <row r="466" spans="15:61" hidden="1">
      <c r="O466" s="57"/>
      <c r="P466" s="57"/>
      <c r="BA466" s="57"/>
      <c r="BF466" s="6" t="e">
        <f t="shared" si="21"/>
        <v>#NUM!</v>
      </c>
      <c r="BG466" t="e">
        <f t="shared" si="22"/>
        <v>#NUM!</v>
      </c>
      <c r="BH466" t="e">
        <f t="shared" si="23"/>
        <v>#NUM!</v>
      </c>
      <c r="BI466" t="e">
        <f>VLOOKUP(H466,Sheet2!$A$1:$B$270,2,FALSE)</f>
        <v>#N/A</v>
      </c>
    </row>
    <row r="467" spans="15:61" hidden="1">
      <c r="O467" s="57"/>
      <c r="P467" s="57"/>
      <c r="BA467" s="57"/>
      <c r="BF467" s="6" t="e">
        <f t="shared" si="21"/>
        <v>#NUM!</v>
      </c>
      <c r="BG467" t="e">
        <f t="shared" si="22"/>
        <v>#NUM!</v>
      </c>
      <c r="BH467" t="e">
        <f t="shared" si="23"/>
        <v>#NUM!</v>
      </c>
      <c r="BI467" t="e">
        <f>VLOOKUP(H467,Sheet2!$A$1:$B$270,2,FALSE)</f>
        <v>#N/A</v>
      </c>
    </row>
    <row r="468" spans="15:61" hidden="1">
      <c r="O468" s="57"/>
      <c r="P468" s="57"/>
      <c r="BA468" s="57"/>
      <c r="BF468" s="6" t="e">
        <f t="shared" si="21"/>
        <v>#NUM!</v>
      </c>
      <c r="BG468" t="e">
        <f t="shared" si="22"/>
        <v>#NUM!</v>
      </c>
      <c r="BH468" t="e">
        <f t="shared" si="23"/>
        <v>#NUM!</v>
      </c>
      <c r="BI468" t="e">
        <f>VLOOKUP(H468,Sheet2!$A$1:$B$270,2,FALSE)</f>
        <v>#N/A</v>
      </c>
    </row>
    <row r="469" spans="15:61" hidden="1">
      <c r="O469" s="57"/>
      <c r="P469" s="57"/>
      <c r="BA469" s="57"/>
      <c r="BF469" s="6" t="e">
        <f t="shared" si="21"/>
        <v>#NUM!</v>
      </c>
      <c r="BG469" t="e">
        <f t="shared" si="22"/>
        <v>#NUM!</v>
      </c>
      <c r="BH469" t="e">
        <f t="shared" si="23"/>
        <v>#NUM!</v>
      </c>
      <c r="BI469" t="e">
        <f>VLOOKUP(H469,Sheet2!$A$1:$B$270,2,FALSE)</f>
        <v>#N/A</v>
      </c>
    </row>
    <row r="470" spans="15:61" hidden="1">
      <c r="O470" s="57"/>
      <c r="P470" s="57"/>
      <c r="BA470" s="57"/>
      <c r="BF470" s="6" t="e">
        <f t="shared" si="21"/>
        <v>#NUM!</v>
      </c>
      <c r="BG470" t="e">
        <f t="shared" si="22"/>
        <v>#NUM!</v>
      </c>
      <c r="BH470" t="e">
        <f t="shared" si="23"/>
        <v>#NUM!</v>
      </c>
      <c r="BI470" t="e">
        <f>VLOOKUP(H470,Sheet2!$A$1:$B$270,2,FALSE)</f>
        <v>#N/A</v>
      </c>
    </row>
    <row r="471" spans="15:61" hidden="1">
      <c r="O471" s="57"/>
      <c r="P471" s="57"/>
      <c r="BA471" s="57"/>
      <c r="BF471" s="6" t="e">
        <f t="shared" si="21"/>
        <v>#NUM!</v>
      </c>
      <c r="BG471" t="e">
        <f t="shared" si="22"/>
        <v>#NUM!</v>
      </c>
      <c r="BH471" t="e">
        <f t="shared" si="23"/>
        <v>#NUM!</v>
      </c>
      <c r="BI471" t="e">
        <f>VLOOKUP(H471,Sheet2!$A$1:$B$270,2,FALSE)</f>
        <v>#N/A</v>
      </c>
    </row>
    <row r="472" spans="15:61" hidden="1">
      <c r="O472" s="57"/>
      <c r="P472" s="57"/>
      <c r="BA472" s="57"/>
      <c r="BF472" s="6" t="e">
        <f t="shared" si="21"/>
        <v>#NUM!</v>
      </c>
      <c r="BG472" t="e">
        <f t="shared" si="22"/>
        <v>#NUM!</v>
      </c>
      <c r="BH472" t="e">
        <f t="shared" si="23"/>
        <v>#NUM!</v>
      </c>
      <c r="BI472" t="e">
        <f>VLOOKUP(H472,Sheet2!$A$1:$B$270,2,FALSE)</f>
        <v>#N/A</v>
      </c>
    </row>
    <row r="473" spans="15:61" hidden="1">
      <c r="O473" s="57"/>
      <c r="P473" s="57"/>
      <c r="BA473" s="57"/>
      <c r="BF473" s="6" t="e">
        <f t="shared" si="21"/>
        <v>#NUM!</v>
      </c>
      <c r="BG473" t="e">
        <f t="shared" si="22"/>
        <v>#NUM!</v>
      </c>
      <c r="BH473" t="e">
        <f t="shared" si="23"/>
        <v>#NUM!</v>
      </c>
      <c r="BI473" t="e">
        <f>VLOOKUP(H473,Sheet2!$A$1:$B$270,2,FALSE)</f>
        <v>#N/A</v>
      </c>
    </row>
    <row r="474" spans="15:61" hidden="1">
      <c r="O474" s="57"/>
      <c r="P474" s="57"/>
      <c r="BA474" s="57"/>
      <c r="BF474" s="6" t="e">
        <f t="shared" si="21"/>
        <v>#NUM!</v>
      </c>
      <c r="BG474" t="e">
        <f t="shared" si="22"/>
        <v>#NUM!</v>
      </c>
      <c r="BH474" t="e">
        <f t="shared" si="23"/>
        <v>#NUM!</v>
      </c>
      <c r="BI474" t="e">
        <f>VLOOKUP(H474,Sheet2!$A$1:$B$270,2,FALSE)</f>
        <v>#N/A</v>
      </c>
    </row>
    <row r="475" spans="15:61" hidden="1">
      <c r="O475" s="57"/>
      <c r="P475" s="57"/>
      <c r="BA475" s="57"/>
      <c r="BF475" s="6" t="e">
        <f t="shared" si="21"/>
        <v>#NUM!</v>
      </c>
      <c r="BG475" t="e">
        <f t="shared" si="22"/>
        <v>#NUM!</v>
      </c>
      <c r="BH475" t="e">
        <f t="shared" si="23"/>
        <v>#NUM!</v>
      </c>
      <c r="BI475" t="e">
        <f>VLOOKUP(H475,Sheet2!$A$1:$B$270,2,FALSE)</f>
        <v>#N/A</v>
      </c>
    </row>
    <row r="476" spans="15:61" hidden="1">
      <c r="O476" s="57"/>
      <c r="P476" s="57"/>
      <c r="BA476" s="57"/>
      <c r="BF476" s="6" t="e">
        <f t="shared" si="21"/>
        <v>#NUM!</v>
      </c>
      <c r="BG476" t="e">
        <f t="shared" si="22"/>
        <v>#NUM!</v>
      </c>
      <c r="BH476" t="e">
        <f t="shared" si="23"/>
        <v>#NUM!</v>
      </c>
      <c r="BI476" t="e">
        <f>VLOOKUP(H476,Sheet2!$A$1:$B$270,2,FALSE)</f>
        <v>#N/A</v>
      </c>
    </row>
    <row r="477" spans="15:61" hidden="1">
      <c r="O477" s="57"/>
      <c r="P477" s="57"/>
      <c r="BA477" s="57"/>
      <c r="BF477" s="6" t="e">
        <f t="shared" si="21"/>
        <v>#NUM!</v>
      </c>
      <c r="BG477" t="e">
        <f t="shared" si="22"/>
        <v>#NUM!</v>
      </c>
      <c r="BH477" t="e">
        <f t="shared" si="23"/>
        <v>#NUM!</v>
      </c>
      <c r="BI477" t="e">
        <f>VLOOKUP(H477,Sheet2!$A$1:$B$270,2,FALSE)</f>
        <v>#N/A</v>
      </c>
    </row>
    <row r="478" spans="15:61" hidden="1">
      <c r="O478" s="57"/>
      <c r="P478" s="57"/>
      <c r="BA478" s="57"/>
      <c r="BF478" s="6" t="e">
        <f t="shared" si="21"/>
        <v>#NUM!</v>
      </c>
      <c r="BG478" t="e">
        <f t="shared" si="22"/>
        <v>#NUM!</v>
      </c>
      <c r="BH478" t="e">
        <f t="shared" si="23"/>
        <v>#NUM!</v>
      </c>
      <c r="BI478" t="e">
        <f>VLOOKUP(H478,Sheet2!$A$1:$B$270,2,FALSE)</f>
        <v>#N/A</v>
      </c>
    </row>
    <row r="479" spans="15:61" hidden="1">
      <c r="O479" s="57"/>
      <c r="P479" s="57"/>
      <c r="BA479" s="57"/>
      <c r="BF479" s="6" t="e">
        <f t="shared" si="21"/>
        <v>#NUM!</v>
      </c>
      <c r="BG479" t="e">
        <f t="shared" si="22"/>
        <v>#NUM!</v>
      </c>
      <c r="BH479" t="e">
        <f t="shared" si="23"/>
        <v>#NUM!</v>
      </c>
      <c r="BI479" t="e">
        <f>VLOOKUP(H479,Sheet2!$A$1:$B$270,2,FALSE)</f>
        <v>#N/A</v>
      </c>
    </row>
    <row r="480" spans="15:61" hidden="1">
      <c r="O480" s="57"/>
      <c r="P480" s="57"/>
      <c r="BA480" s="57"/>
      <c r="BF480" s="6" t="e">
        <f t="shared" si="21"/>
        <v>#NUM!</v>
      </c>
      <c r="BG480" t="e">
        <f t="shared" si="22"/>
        <v>#NUM!</v>
      </c>
      <c r="BH480" t="e">
        <f t="shared" si="23"/>
        <v>#NUM!</v>
      </c>
      <c r="BI480" t="e">
        <f>VLOOKUP(H480,Sheet2!$A$1:$B$270,2,FALSE)</f>
        <v>#N/A</v>
      </c>
    </row>
    <row r="481" spans="15:61" hidden="1">
      <c r="O481" s="57"/>
      <c r="P481" s="57"/>
      <c r="BA481" s="57"/>
      <c r="BF481" s="6" t="e">
        <f t="shared" si="21"/>
        <v>#NUM!</v>
      </c>
      <c r="BG481" t="e">
        <f t="shared" si="22"/>
        <v>#NUM!</v>
      </c>
      <c r="BH481" t="e">
        <f t="shared" si="23"/>
        <v>#NUM!</v>
      </c>
      <c r="BI481" t="e">
        <f>VLOOKUP(H481,Sheet2!$A$1:$B$270,2,FALSE)</f>
        <v>#N/A</v>
      </c>
    </row>
    <row r="482" spans="15:61" hidden="1">
      <c r="O482" s="57"/>
      <c r="P482" s="57"/>
      <c r="BA482" s="57"/>
      <c r="BF482" s="6" t="e">
        <f t="shared" si="21"/>
        <v>#NUM!</v>
      </c>
      <c r="BG482" t="e">
        <f t="shared" si="22"/>
        <v>#NUM!</v>
      </c>
      <c r="BH482" t="e">
        <f t="shared" si="23"/>
        <v>#NUM!</v>
      </c>
      <c r="BI482" t="e">
        <f>VLOOKUP(H482,Sheet2!$A$1:$B$270,2,FALSE)</f>
        <v>#N/A</v>
      </c>
    </row>
    <row r="483" spans="15:61" hidden="1">
      <c r="O483" s="57"/>
      <c r="P483" s="57"/>
      <c r="BA483" s="57"/>
      <c r="BF483" s="6" t="e">
        <f t="shared" si="21"/>
        <v>#NUM!</v>
      </c>
      <c r="BG483" t="e">
        <f t="shared" si="22"/>
        <v>#NUM!</v>
      </c>
      <c r="BH483" t="e">
        <f t="shared" si="23"/>
        <v>#NUM!</v>
      </c>
      <c r="BI483" t="e">
        <f>VLOOKUP(H483,Sheet2!$A$1:$B$270,2,FALSE)</f>
        <v>#N/A</v>
      </c>
    </row>
    <row r="484" spans="15:61" hidden="1">
      <c r="O484" s="57"/>
      <c r="P484" s="57"/>
      <c r="BA484" s="57"/>
      <c r="BF484" s="6" t="e">
        <f t="shared" si="21"/>
        <v>#NUM!</v>
      </c>
      <c r="BG484" t="e">
        <f t="shared" si="22"/>
        <v>#NUM!</v>
      </c>
      <c r="BH484" t="e">
        <f t="shared" si="23"/>
        <v>#NUM!</v>
      </c>
      <c r="BI484" t="e">
        <f>VLOOKUP(H484,Sheet2!$A$1:$B$270,2,FALSE)</f>
        <v>#N/A</v>
      </c>
    </row>
    <row r="485" spans="15:61" hidden="1">
      <c r="O485" s="57"/>
      <c r="P485" s="57"/>
      <c r="BA485" s="57"/>
      <c r="BF485" s="6" t="e">
        <f t="shared" si="21"/>
        <v>#NUM!</v>
      </c>
      <c r="BG485" t="e">
        <f t="shared" si="22"/>
        <v>#NUM!</v>
      </c>
      <c r="BH485" t="e">
        <f t="shared" si="23"/>
        <v>#NUM!</v>
      </c>
      <c r="BI485" t="e">
        <f>VLOOKUP(H485,Sheet2!$A$1:$B$270,2,FALSE)</f>
        <v>#N/A</v>
      </c>
    </row>
    <row r="486" spans="15:61" hidden="1">
      <c r="O486" s="57"/>
      <c r="P486" s="57"/>
      <c r="AP486" s="57"/>
      <c r="BA486" s="57"/>
      <c r="BF486" s="6" t="e">
        <f t="shared" si="21"/>
        <v>#NUM!</v>
      </c>
      <c r="BG486" t="e">
        <f t="shared" si="22"/>
        <v>#NUM!</v>
      </c>
      <c r="BH486" t="e">
        <f t="shared" si="23"/>
        <v>#NUM!</v>
      </c>
      <c r="BI486" t="e">
        <f>VLOOKUP(H486,Sheet2!$A$1:$B$270,2,FALSE)</f>
        <v>#N/A</v>
      </c>
    </row>
    <row r="487" spans="15:61" hidden="1">
      <c r="O487" s="57"/>
      <c r="P487" s="57"/>
      <c r="AO487" s="57"/>
      <c r="AP487" s="57"/>
      <c r="BA487" s="57"/>
      <c r="BF487" s="6" t="e">
        <f t="shared" si="21"/>
        <v>#NUM!</v>
      </c>
      <c r="BG487" t="e">
        <f t="shared" si="22"/>
        <v>#NUM!</v>
      </c>
      <c r="BH487" t="e">
        <f t="shared" si="23"/>
        <v>#NUM!</v>
      </c>
      <c r="BI487" t="e">
        <f>VLOOKUP(H487,Sheet2!$A$1:$B$270,2,FALSE)</f>
        <v>#N/A</v>
      </c>
    </row>
    <row r="488" spans="15:61" hidden="1">
      <c r="O488" s="57"/>
      <c r="P488" s="57"/>
      <c r="AO488" s="57"/>
      <c r="AP488" s="57"/>
      <c r="BA488" s="57"/>
      <c r="BF488" s="6" t="e">
        <f t="shared" si="21"/>
        <v>#NUM!</v>
      </c>
      <c r="BG488" t="e">
        <f t="shared" si="22"/>
        <v>#NUM!</v>
      </c>
      <c r="BH488" t="e">
        <f t="shared" si="23"/>
        <v>#NUM!</v>
      </c>
      <c r="BI488" t="e">
        <f>VLOOKUP(H488,Sheet2!$A$1:$B$270,2,FALSE)</f>
        <v>#N/A</v>
      </c>
    </row>
    <row r="489" spans="15:61" hidden="1">
      <c r="O489" s="57"/>
      <c r="P489" s="57"/>
      <c r="AO489" s="57"/>
      <c r="AP489" s="57"/>
      <c r="BA489" s="57"/>
      <c r="BF489" s="6" t="e">
        <f t="shared" si="21"/>
        <v>#NUM!</v>
      </c>
      <c r="BG489" t="e">
        <f t="shared" si="22"/>
        <v>#NUM!</v>
      </c>
      <c r="BH489" t="e">
        <f t="shared" si="23"/>
        <v>#NUM!</v>
      </c>
      <c r="BI489" t="e">
        <f>VLOOKUP(H489,Sheet2!$A$1:$B$270,2,FALSE)</f>
        <v>#N/A</v>
      </c>
    </row>
    <row r="490" spans="15:61" hidden="1">
      <c r="O490" s="57"/>
      <c r="P490" s="57"/>
      <c r="AO490" s="57"/>
      <c r="AP490" s="57"/>
      <c r="BA490" s="57"/>
      <c r="BF490" s="6" t="e">
        <f t="shared" si="21"/>
        <v>#NUM!</v>
      </c>
      <c r="BG490" t="e">
        <f t="shared" si="22"/>
        <v>#NUM!</v>
      </c>
      <c r="BH490" t="e">
        <f t="shared" si="23"/>
        <v>#NUM!</v>
      </c>
      <c r="BI490" t="e">
        <f>VLOOKUP(H490,Sheet2!$A$1:$B$270,2,FALSE)</f>
        <v>#N/A</v>
      </c>
    </row>
    <row r="491" spans="15:61" hidden="1">
      <c r="O491" s="57"/>
      <c r="P491" s="57"/>
      <c r="AO491" s="57"/>
      <c r="AP491" s="57"/>
      <c r="BA491" s="57"/>
      <c r="BF491" s="6" t="e">
        <f t="shared" si="21"/>
        <v>#NUM!</v>
      </c>
      <c r="BG491" t="e">
        <f t="shared" si="22"/>
        <v>#NUM!</v>
      </c>
      <c r="BH491" t="e">
        <f t="shared" si="23"/>
        <v>#NUM!</v>
      </c>
      <c r="BI491" t="e">
        <f>VLOOKUP(H491,Sheet2!$A$1:$B$270,2,FALSE)</f>
        <v>#N/A</v>
      </c>
    </row>
    <row r="492" spans="15:61" hidden="1">
      <c r="O492" s="57"/>
      <c r="P492" s="57"/>
      <c r="AP492" s="57"/>
      <c r="BA492" s="57"/>
      <c r="BF492" s="6" t="e">
        <f t="shared" si="21"/>
        <v>#NUM!</v>
      </c>
      <c r="BG492" t="e">
        <f t="shared" si="22"/>
        <v>#NUM!</v>
      </c>
      <c r="BH492" t="e">
        <f t="shared" si="23"/>
        <v>#NUM!</v>
      </c>
      <c r="BI492" t="e">
        <f>VLOOKUP(H492,Sheet2!$A$1:$B$270,2,FALSE)</f>
        <v>#N/A</v>
      </c>
    </row>
    <row r="493" spans="15:61" hidden="1">
      <c r="O493" s="57"/>
      <c r="P493" s="57"/>
      <c r="AP493" s="57"/>
      <c r="BA493" s="57"/>
      <c r="BF493" s="6" t="e">
        <f t="shared" si="21"/>
        <v>#NUM!</v>
      </c>
      <c r="BG493" t="e">
        <f t="shared" si="22"/>
        <v>#NUM!</v>
      </c>
      <c r="BH493" t="e">
        <f t="shared" si="23"/>
        <v>#NUM!</v>
      </c>
      <c r="BI493" t="e">
        <f>VLOOKUP(H493,Sheet2!$A$1:$B$270,2,FALSE)</f>
        <v>#N/A</v>
      </c>
    </row>
    <row r="494" spans="15:61" hidden="1">
      <c r="O494" s="57"/>
      <c r="P494" s="57"/>
      <c r="AP494" s="57"/>
      <c r="BA494" s="57"/>
      <c r="BF494" s="6" t="e">
        <f t="shared" si="21"/>
        <v>#NUM!</v>
      </c>
      <c r="BG494" t="e">
        <f t="shared" si="22"/>
        <v>#NUM!</v>
      </c>
      <c r="BH494" t="e">
        <f t="shared" si="23"/>
        <v>#NUM!</v>
      </c>
      <c r="BI494" t="e">
        <f>VLOOKUP(H494,Sheet2!$A$1:$B$270,2,FALSE)</f>
        <v>#N/A</v>
      </c>
    </row>
    <row r="495" spans="15:61" hidden="1">
      <c r="O495" s="57"/>
      <c r="P495" s="57"/>
      <c r="AP495" s="57"/>
      <c r="BA495" s="57"/>
      <c r="BF495" s="6" t="e">
        <f t="shared" si="21"/>
        <v>#NUM!</v>
      </c>
      <c r="BG495" t="e">
        <f t="shared" si="22"/>
        <v>#NUM!</v>
      </c>
      <c r="BH495" t="e">
        <f t="shared" si="23"/>
        <v>#NUM!</v>
      </c>
      <c r="BI495" t="e">
        <f>VLOOKUP(H495,Sheet2!$A$1:$B$270,2,FALSE)</f>
        <v>#N/A</v>
      </c>
    </row>
    <row r="496" spans="15:61" hidden="1">
      <c r="O496" s="57"/>
      <c r="P496" s="57"/>
      <c r="BA496" s="57"/>
      <c r="BF496" s="6" t="e">
        <f t="shared" si="21"/>
        <v>#NUM!</v>
      </c>
      <c r="BG496" t="e">
        <f t="shared" si="22"/>
        <v>#NUM!</v>
      </c>
      <c r="BH496" t="e">
        <f t="shared" si="23"/>
        <v>#NUM!</v>
      </c>
      <c r="BI496" t="e">
        <f>VLOOKUP(H496,Sheet2!$A$1:$B$270,2,FALSE)</f>
        <v>#N/A</v>
      </c>
    </row>
    <row r="497" spans="15:61" hidden="1">
      <c r="O497" s="57"/>
      <c r="P497" s="57"/>
      <c r="AP497" s="57"/>
      <c r="BA497" s="57"/>
      <c r="BF497" s="6" t="e">
        <f t="shared" si="21"/>
        <v>#NUM!</v>
      </c>
      <c r="BG497" t="e">
        <f t="shared" si="22"/>
        <v>#NUM!</v>
      </c>
      <c r="BH497" t="e">
        <f t="shared" si="23"/>
        <v>#NUM!</v>
      </c>
      <c r="BI497" t="e">
        <f>VLOOKUP(H497,Sheet2!$A$1:$B$270,2,FALSE)</f>
        <v>#N/A</v>
      </c>
    </row>
    <row r="498" spans="15:61" hidden="1">
      <c r="O498" s="57"/>
      <c r="P498" s="57"/>
      <c r="AP498" s="57"/>
      <c r="BA498" s="57"/>
      <c r="BF498" s="6" t="e">
        <f t="shared" si="21"/>
        <v>#NUM!</v>
      </c>
      <c r="BG498" t="e">
        <f t="shared" si="22"/>
        <v>#NUM!</v>
      </c>
      <c r="BH498" t="e">
        <f t="shared" si="23"/>
        <v>#NUM!</v>
      </c>
      <c r="BI498" t="e">
        <f>VLOOKUP(H498,Sheet2!$A$1:$B$270,2,FALSE)</f>
        <v>#N/A</v>
      </c>
    </row>
    <row r="499" spans="15:61" hidden="1">
      <c r="O499" s="57"/>
      <c r="P499" s="57"/>
      <c r="AP499" s="57"/>
      <c r="BA499" s="57"/>
      <c r="BF499" s="6" t="e">
        <f t="shared" si="21"/>
        <v>#NUM!</v>
      </c>
      <c r="BG499" t="e">
        <f t="shared" si="22"/>
        <v>#NUM!</v>
      </c>
      <c r="BH499" t="e">
        <f t="shared" si="23"/>
        <v>#NUM!</v>
      </c>
      <c r="BI499" t="e">
        <f>VLOOKUP(H499,Sheet2!$A$1:$B$270,2,FALSE)</f>
        <v>#N/A</v>
      </c>
    </row>
    <row r="500" spans="15:61" hidden="1">
      <c r="O500" s="57"/>
      <c r="P500" s="57"/>
      <c r="AP500" s="57"/>
      <c r="BA500" s="57"/>
      <c r="BF500" s="6" t="e">
        <f t="shared" si="21"/>
        <v>#NUM!</v>
      </c>
      <c r="BG500" t="e">
        <f t="shared" si="22"/>
        <v>#NUM!</v>
      </c>
      <c r="BH500" t="e">
        <f t="shared" si="23"/>
        <v>#NUM!</v>
      </c>
      <c r="BI500" t="e">
        <f>VLOOKUP(H500,Sheet2!$A$1:$B$270,2,FALSE)</f>
        <v>#N/A</v>
      </c>
    </row>
    <row r="501" spans="15:61" hidden="1">
      <c r="O501" s="57"/>
      <c r="P501" s="57"/>
      <c r="AP501" s="57"/>
      <c r="BA501" s="57"/>
      <c r="BF501" s="6" t="e">
        <f t="shared" si="21"/>
        <v>#NUM!</v>
      </c>
      <c r="BG501" t="e">
        <f t="shared" si="22"/>
        <v>#NUM!</v>
      </c>
      <c r="BH501" t="e">
        <f t="shared" si="23"/>
        <v>#NUM!</v>
      </c>
      <c r="BI501" t="e">
        <f>VLOOKUP(H501,Sheet2!$A$1:$B$270,2,FALSE)</f>
        <v>#N/A</v>
      </c>
    </row>
    <row r="502" spans="15:61" hidden="1">
      <c r="O502" s="57"/>
      <c r="P502" s="57"/>
      <c r="AP502" s="57"/>
      <c r="BA502" s="57"/>
      <c r="BF502" s="6" t="e">
        <f t="shared" si="21"/>
        <v>#NUM!</v>
      </c>
      <c r="BG502" t="e">
        <f t="shared" si="22"/>
        <v>#NUM!</v>
      </c>
      <c r="BH502" t="e">
        <f t="shared" si="23"/>
        <v>#NUM!</v>
      </c>
      <c r="BI502" t="e">
        <f>VLOOKUP(H502,Sheet2!$A$1:$B$270,2,FALSE)</f>
        <v>#N/A</v>
      </c>
    </row>
    <row r="503" spans="15:61" hidden="1">
      <c r="O503" s="57"/>
      <c r="P503" s="57"/>
      <c r="AM503" s="58"/>
      <c r="AO503" s="57"/>
      <c r="BA503" s="57"/>
      <c r="BB503" s="58"/>
      <c r="BF503" s="6" t="e">
        <f t="shared" si="21"/>
        <v>#NUM!</v>
      </c>
      <c r="BG503" t="e">
        <f t="shared" si="22"/>
        <v>#NUM!</v>
      </c>
      <c r="BH503" t="e">
        <f t="shared" si="23"/>
        <v>#NUM!</v>
      </c>
      <c r="BI503" t="e">
        <f>VLOOKUP(H503,Sheet2!$A$1:$B$270,2,FALSE)</f>
        <v>#N/A</v>
      </c>
    </row>
    <row r="504" spans="15:61" hidden="1">
      <c r="O504" s="57"/>
      <c r="P504" s="57"/>
      <c r="AO504" s="57"/>
      <c r="BA504" s="57"/>
      <c r="BF504" s="6" t="e">
        <f t="shared" si="21"/>
        <v>#NUM!</v>
      </c>
      <c r="BG504" t="e">
        <f t="shared" si="22"/>
        <v>#NUM!</v>
      </c>
      <c r="BH504" t="e">
        <f t="shared" si="23"/>
        <v>#NUM!</v>
      </c>
      <c r="BI504" t="e">
        <f>VLOOKUP(H504,Sheet2!$A$1:$B$270,2,FALSE)</f>
        <v>#N/A</v>
      </c>
    </row>
    <row r="505" spans="15:61" hidden="1">
      <c r="O505" s="57"/>
      <c r="P505" s="57"/>
      <c r="AO505" s="57"/>
      <c r="BA505" s="57"/>
      <c r="BF505" s="6" t="e">
        <f t="shared" si="21"/>
        <v>#NUM!</v>
      </c>
      <c r="BG505" t="e">
        <f t="shared" si="22"/>
        <v>#NUM!</v>
      </c>
      <c r="BH505" t="e">
        <f t="shared" si="23"/>
        <v>#NUM!</v>
      </c>
      <c r="BI505" t="e">
        <f>VLOOKUP(H505,Sheet2!$A$1:$B$270,2,FALSE)</f>
        <v>#N/A</v>
      </c>
    </row>
    <row r="506" spans="15:61" hidden="1">
      <c r="O506" s="57"/>
      <c r="P506" s="57"/>
      <c r="AO506" s="57"/>
      <c r="BA506" s="57"/>
      <c r="BF506" s="6" t="e">
        <f t="shared" si="21"/>
        <v>#NUM!</v>
      </c>
      <c r="BG506" t="e">
        <f t="shared" si="22"/>
        <v>#NUM!</v>
      </c>
      <c r="BH506" t="e">
        <f t="shared" si="23"/>
        <v>#NUM!</v>
      </c>
      <c r="BI506" t="e">
        <f>VLOOKUP(H506,Sheet2!$A$1:$B$270,2,FALSE)</f>
        <v>#N/A</v>
      </c>
    </row>
    <row r="507" spans="15:61" hidden="1">
      <c r="O507" s="57"/>
      <c r="P507" s="57"/>
      <c r="AO507" s="57"/>
      <c r="BA507" s="57"/>
      <c r="BF507" s="6" t="e">
        <f t="shared" si="21"/>
        <v>#NUM!</v>
      </c>
      <c r="BG507" t="e">
        <f t="shared" si="22"/>
        <v>#NUM!</v>
      </c>
      <c r="BH507" t="e">
        <f t="shared" si="23"/>
        <v>#NUM!</v>
      </c>
      <c r="BI507" t="e">
        <f>VLOOKUP(H507,Sheet2!$A$1:$B$270,2,FALSE)</f>
        <v>#N/A</v>
      </c>
    </row>
    <row r="508" spans="15:61" hidden="1">
      <c r="O508" s="57"/>
      <c r="P508" s="57"/>
      <c r="BA508" s="57"/>
      <c r="BF508" s="6" t="e">
        <f t="shared" si="21"/>
        <v>#NUM!</v>
      </c>
      <c r="BG508" t="e">
        <f t="shared" si="22"/>
        <v>#NUM!</v>
      </c>
      <c r="BH508" t="e">
        <f t="shared" si="23"/>
        <v>#NUM!</v>
      </c>
      <c r="BI508" t="e">
        <f>VLOOKUP(H508,Sheet2!$A$1:$B$270,2,FALSE)</f>
        <v>#N/A</v>
      </c>
    </row>
    <row r="509" spans="15:61" hidden="1">
      <c r="O509" s="57"/>
      <c r="P509" s="57"/>
      <c r="BA509" s="57"/>
      <c r="BF509" s="6" t="e">
        <f t="shared" si="21"/>
        <v>#NUM!</v>
      </c>
      <c r="BG509" t="e">
        <f t="shared" si="22"/>
        <v>#NUM!</v>
      </c>
      <c r="BH509" t="e">
        <f t="shared" si="23"/>
        <v>#NUM!</v>
      </c>
      <c r="BI509" t="e">
        <f>VLOOKUP(H509,Sheet2!$A$1:$B$270,2,FALSE)</f>
        <v>#N/A</v>
      </c>
    </row>
    <row r="510" spans="15:61" hidden="1">
      <c r="O510" s="57"/>
      <c r="P510" s="57"/>
      <c r="AP510" s="57"/>
      <c r="BA510" s="57"/>
      <c r="BF510" s="6" t="e">
        <f t="shared" si="21"/>
        <v>#NUM!</v>
      </c>
      <c r="BG510" t="e">
        <f t="shared" si="22"/>
        <v>#NUM!</v>
      </c>
      <c r="BH510" t="e">
        <f t="shared" si="23"/>
        <v>#NUM!</v>
      </c>
      <c r="BI510" t="e">
        <f>VLOOKUP(H510,Sheet2!$A$1:$B$270,2,FALSE)</f>
        <v>#N/A</v>
      </c>
    </row>
    <row r="511" spans="15:61" hidden="1">
      <c r="O511" s="57"/>
      <c r="P511" s="57"/>
      <c r="AP511" s="57"/>
      <c r="BA511" s="57"/>
      <c r="BF511" s="6" t="e">
        <f t="shared" si="21"/>
        <v>#NUM!</v>
      </c>
      <c r="BG511" t="e">
        <f t="shared" si="22"/>
        <v>#NUM!</v>
      </c>
      <c r="BH511" t="e">
        <f t="shared" si="23"/>
        <v>#NUM!</v>
      </c>
      <c r="BI511" t="e">
        <f>VLOOKUP(H511,Sheet2!$A$1:$B$270,2,FALSE)</f>
        <v>#N/A</v>
      </c>
    </row>
    <row r="512" spans="15:61" hidden="1">
      <c r="O512" s="57"/>
      <c r="P512" s="57"/>
      <c r="AP512" s="57"/>
      <c r="BA512" s="57"/>
      <c r="BF512" s="6" t="e">
        <f t="shared" si="21"/>
        <v>#NUM!</v>
      </c>
      <c r="BG512" t="e">
        <f t="shared" si="22"/>
        <v>#NUM!</v>
      </c>
      <c r="BH512" t="e">
        <f t="shared" si="23"/>
        <v>#NUM!</v>
      </c>
      <c r="BI512" t="e">
        <f>VLOOKUP(H512,Sheet2!$A$1:$B$270,2,FALSE)</f>
        <v>#N/A</v>
      </c>
    </row>
    <row r="513" spans="15:61" hidden="1">
      <c r="O513" s="57"/>
      <c r="P513" s="57"/>
      <c r="AP513" s="57"/>
      <c r="BA513" s="57"/>
      <c r="BF513" s="6" t="e">
        <f t="shared" si="21"/>
        <v>#NUM!</v>
      </c>
      <c r="BG513" t="e">
        <f t="shared" si="22"/>
        <v>#NUM!</v>
      </c>
      <c r="BH513" t="e">
        <f t="shared" si="23"/>
        <v>#NUM!</v>
      </c>
      <c r="BI513" t="e">
        <f>VLOOKUP(H513,Sheet2!$A$1:$B$270,2,FALSE)</f>
        <v>#N/A</v>
      </c>
    </row>
    <row r="514" spans="15:61" hidden="1">
      <c r="O514" s="57"/>
      <c r="P514" s="57"/>
      <c r="AP514" s="57"/>
      <c r="BA514" s="57"/>
      <c r="BF514" s="6" t="e">
        <f t="shared" ref="BF514:BF577" si="24">DATE(BC514,BD514,BE514)</f>
        <v>#NUM!</v>
      </c>
      <c r="BG514" t="e">
        <f t="shared" ref="BG514:BG577" si="25">BF514-BA514</f>
        <v>#NUM!</v>
      </c>
      <c r="BH514" t="e">
        <f t="shared" ref="BH514:BH577" si="26">IF(BG514=1,"COMPLY",IF(BG514&lt;1,"COMPLY","NOT COMPLY"))</f>
        <v>#NUM!</v>
      </c>
      <c r="BI514" t="e">
        <f>VLOOKUP(H514,Sheet2!$A$1:$B$270,2,FALSE)</f>
        <v>#N/A</v>
      </c>
    </row>
    <row r="515" spans="15:61" hidden="1">
      <c r="O515" s="57"/>
      <c r="P515" s="57"/>
      <c r="AP515" s="57"/>
      <c r="BA515" s="57"/>
      <c r="BF515" s="6" t="e">
        <f t="shared" si="24"/>
        <v>#NUM!</v>
      </c>
      <c r="BG515" t="e">
        <f t="shared" si="25"/>
        <v>#NUM!</v>
      </c>
      <c r="BH515" t="e">
        <f t="shared" si="26"/>
        <v>#NUM!</v>
      </c>
      <c r="BI515" t="e">
        <f>VLOOKUP(H515,Sheet2!$A$1:$B$270,2,FALSE)</f>
        <v>#N/A</v>
      </c>
    </row>
    <row r="516" spans="15:61" hidden="1">
      <c r="O516" s="57"/>
      <c r="P516" s="57"/>
      <c r="AP516" s="57"/>
      <c r="BA516" s="57"/>
      <c r="BF516" s="6" t="e">
        <f t="shared" si="24"/>
        <v>#NUM!</v>
      </c>
      <c r="BG516" t="e">
        <f t="shared" si="25"/>
        <v>#NUM!</v>
      </c>
      <c r="BH516" t="e">
        <f t="shared" si="26"/>
        <v>#NUM!</v>
      </c>
      <c r="BI516" t="e">
        <f>VLOOKUP(H516,Sheet2!$A$1:$B$270,2,FALSE)</f>
        <v>#N/A</v>
      </c>
    </row>
    <row r="517" spans="15:61" hidden="1">
      <c r="O517" s="57"/>
      <c r="P517" s="57"/>
      <c r="AP517" s="57"/>
      <c r="BA517" s="57"/>
      <c r="BF517" s="6" t="e">
        <f t="shared" si="24"/>
        <v>#NUM!</v>
      </c>
      <c r="BG517" t="e">
        <f t="shared" si="25"/>
        <v>#NUM!</v>
      </c>
      <c r="BH517" t="e">
        <f t="shared" si="26"/>
        <v>#NUM!</v>
      </c>
      <c r="BI517" t="e">
        <f>VLOOKUP(H517,Sheet2!$A$1:$B$270,2,FALSE)</f>
        <v>#N/A</v>
      </c>
    </row>
    <row r="518" spans="15:61" hidden="1">
      <c r="O518" s="57"/>
      <c r="P518" s="57"/>
      <c r="AP518" s="57"/>
      <c r="BA518" s="57"/>
      <c r="BF518" s="6" t="e">
        <f t="shared" si="24"/>
        <v>#NUM!</v>
      </c>
      <c r="BG518" t="e">
        <f t="shared" si="25"/>
        <v>#NUM!</v>
      </c>
      <c r="BH518" t="e">
        <f t="shared" si="26"/>
        <v>#NUM!</v>
      </c>
      <c r="BI518" t="e">
        <f>VLOOKUP(H518,Sheet2!$A$1:$B$270,2,FALSE)</f>
        <v>#N/A</v>
      </c>
    </row>
    <row r="519" spans="15:61" hidden="1">
      <c r="O519" s="57"/>
      <c r="P519" s="57"/>
      <c r="AP519" s="57"/>
      <c r="BA519" s="57"/>
      <c r="BF519" s="6" t="e">
        <f t="shared" si="24"/>
        <v>#NUM!</v>
      </c>
      <c r="BG519" t="e">
        <f t="shared" si="25"/>
        <v>#NUM!</v>
      </c>
      <c r="BH519" t="e">
        <f t="shared" si="26"/>
        <v>#NUM!</v>
      </c>
      <c r="BI519" t="e">
        <f>VLOOKUP(H519,Sheet2!$A$1:$B$270,2,FALSE)</f>
        <v>#N/A</v>
      </c>
    </row>
    <row r="520" spans="15:61" hidden="1">
      <c r="O520" s="57"/>
      <c r="P520" s="57"/>
      <c r="AP520" s="57"/>
      <c r="BA520" s="57"/>
      <c r="BF520" s="6" t="e">
        <f t="shared" si="24"/>
        <v>#NUM!</v>
      </c>
      <c r="BG520" t="e">
        <f t="shared" si="25"/>
        <v>#NUM!</v>
      </c>
      <c r="BH520" t="e">
        <f t="shared" si="26"/>
        <v>#NUM!</v>
      </c>
      <c r="BI520" t="e">
        <f>VLOOKUP(H520,Sheet2!$A$1:$B$270,2,FALSE)</f>
        <v>#N/A</v>
      </c>
    </row>
    <row r="521" spans="15:61" hidden="1">
      <c r="O521" s="57"/>
      <c r="P521" s="57"/>
      <c r="AP521" s="57"/>
      <c r="BA521" s="57"/>
      <c r="BF521" s="6" t="e">
        <f t="shared" si="24"/>
        <v>#NUM!</v>
      </c>
      <c r="BG521" t="e">
        <f t="shared" si="25"/>
        <v>#NUM!</v>
      </c>
      <c r="BH521" t="e">
        <f t="shared" si="26"/>
        <v>#NUM!</v>
      </c>
      <c r="BI521" t="e">
        <f>VLOOKUP(H521,Sheet2!$A$1:$B$270,2,FALSE)</f>
        <v>#N/A</v>
      </c>
    </row>
    <row r="522" spans="15:61" hidden="1">
      <c r="O522" s="57"/>
      <c r="P522" s="57"/>
      <c r="BA522" s="57"/>
      <c r="BF522" s="6" t="e">
        <f t="shared" si="24"/>
        <v>#NUM!</v>
      </c>
      <c r="BG522" t="e">
        <f t="shared" si="25"/>
        <v>#NUM!</v>
      </c>
      <c r="BH522" t="e">
        <f t="shared" si="26"/>
        <v>#NUM!</v>
      </c>
      <c r="BI522" t="e">
        <f>VLOOKUP(H522,Sheet2!$A$1:$B$270,2,FALSE)</f>
        <v>#N/A</v>
      </c>
    </row>
    <row r="523" spans="15:61" hidden="1">
      <c r="O523" s="57"/>
      <c r="P523" s="57"/>
      <c r="AP523" s="57"/>
      <c r="BA523" s="57"/>
      <c r="BF523" s="6" t="e">
        <f t="shared" si="24"/>
        <v>#NUM!</v>
      </c>
      <c r="BG523" t="e">
        <f t="shared" si="25"/>
        <v>#NUM!</v>
      </c>
      <c r="BH523" t="e">
        <f t="shared" si="26"/>
        <v>#NUM!</v>
      </c>
      <c r="BI523" t="e">
        <f>VLOOKUP(H523,Sheet2!$A$1:$B$270,2,FALSE)</f>
        <v>#N/A</v>
      </c>
    </row>
    <row r="524" spans="15:61" hidden="1">
      <c r="O524" s="57"/>
      <c r="P524" s="57"/>
      <c r="BA524" s="57"/>
      <c r="BF524" s="6" t="e">
        <f t="shared" si="24"/>
        <v>#NUM!</v>
      </c>
      <c r="BG524" t="e">
        <f t="shared" si="25"/>
        <v>#NUM!</v>
      </c>
      <c r="BH524" t="e">
        <f t="shared" si="26"/>
        <v>#NUM!</v>
      </c>
      <c r="BI524" t="e">
        <f>VLOOKUP(H524,Sheet2!$A$1:$B$270,2,FALSE)</f>
        <v>#N/A</v>
      </c>
    </row>
    <row r="525" spans="15:61" hidden="1">
      <c r="O525" s="57"/>
      <c r="P525" s="57"/>
      <c r="AP525" s="57"/>
      <c r="BA525" s="57"/>
      <c r="BF525" s="6" t="e">
        <f t="shared" si="24"/>
        <v>#NUM!</v>
      </c>
      <c r="BG525" t="e">
        <f t="shared" si="25"/>
        <v>#NUM!</v>
      </c>
      <c r="BH525" t="e">
        <f t="shared" si="26"/>
        <v>#NUM!</v>
      </c>
      <c r="BI525" t="e">
        <f>VLOOKUP(H525,Sheet2!$A$1:$B$270,2,FALSE)</f>
        <v>#N/A</v>
      </c>
    </row>
    <row r="526" spans="15:61" hidden="1">
      <c r="O526" s="57"/>
      <c r="P526" s="57"/>
      <c r="AP526" s="57"/>
      <c r="BA526" s="57"/>
      <c r="BF526" s="6" t="e">
        <f t="shared" si="24"/>
        <v>#NUM!</v>
      </c>
      <c r="BG526" t="e">
        <f t="shared" si="25"/>
        <v>#NUM!</v>
      </c>
      <c r="BH526" t="e">
        <f t="shared" si="26"/>
        <v>#NUM!</v>
      </c>
      <c r="BI526" t="e">
        <f>VLOOKUP(H526,Sheet2!$A$1:$B$270,2,FALSE)</f>
        <v>#N/A</v>
      </c>
    </row>
    <row r="527" spans="15:61" hidden="1">
      <c r="O527" s="57"/>
      <c r="P527" s="57"/>
      <c r="BA527" s="57"/>
      <c r="BF527" s="6" t="e">
        <f t="shared" si="24"/>
        <v>#NUM!</v>
      </c>
      <c r="BG527" t="e">
        <f t="shared" si="25"/>
        <v>#NUM!</v>
      </c>
      <c r="BH527" t="e">
        <f t="shared" si="26"/>
        <v>#NUM!</v>
      </c>
      <c r="BI527" t="e">
        <f>VLOOKUP(H527,Sheet2!$A$1:$B$270,2,FALSE)</f>
        <v>#N/A</v>
      </c>
    </row>
    <row r="528" spans="15:61" hidden="1">
      <c r="O528" s="57"/>
      <c r="P528" s="57"/>
      <c r="AP528" s="57"/>
      <c r="BA528" s="57"/>
      <c r="BF528" s="6" t="e">
        <f t="shared" si="24"/>
        <v>#NUM!</v>
      </c>
      <c r="BG528" t="e">
        <f t="shared" si="25"/>
        <v>#NUM!</v>
      </c>
      <c r="BH528" t="e">
        <f t="shared" si="26"/>
        <v>#NUM!</v>
      </c>
      <c r="BI528" t="e">
        <f>VLOOKUP(H528,Sheet2!$A$1:$B$270,2,FALSE)</f>
        <v>#N/A</v>
      </c>
    </row>
    <row r="529" spans="15:61" hidden="1">
      <c r="O529" s="57"/>
      <c r="P529" s="57"/>
      <c r="BA529" s="57"/>
      <c r="BF529" s="6" t="e">
        <f t="shared" si="24"/>
        <v>#NUM!</v>
      </c>
      <c r="BG529" t="e">
        <f t="shared" si="25"/>
        <v>#NUM!</v>
      </c>
      <c r="BH529" t="e">
        <f t="shared" si="26"/>
        <v>#NUM!</v>
      </c>
      <c r="BI529" t="e">
        <f>VLOOKUP(H529,Sheet2!$A$1:$B$270,2,FALSE)</f>
        <v>#N/A</v>
      </c>
    </row>
    <row r="530" spans="15:61" hidden="1">
      <c r="O530" s="57"/>
      <c r="P530" s="57"/>
      <c r="AP530" s="57"/>
      <c r="BA530" s="57"/>
      <c r="BF530" s="6" t="e">
        <f t="shared" si="24"/>
        <v>#NUM!</v>
      </c>
      <c r="BG530" t="e">
        <f t="shared" si="25"/>
        <v>#NUM!</v>
      </c>
      <c r="BH530" t="e">
        <f t="shared" si="26"/>
        <v>#NUM!</v>
      </c>
      <c r="BI530" t="e">
        <f>VLOOKUP(H530,Sheet2!$A$1:$B$270,2,FALSE)</f>
        <v>#N/A</v>
      </c>
    </row>
    <row r="531" spans="15:61" hidden="1">
      <c r="O531" s="57"/>
      <c r="P531" s="57"/>
      <c r="BA531" s="57"/>
      <c r="BF531" s="6" t="e">
        <f t="shared" si="24"/>
        <v>#NUM!</v>
      </c>
      <c r="BG531" t="e">
        <f t="shared" si="25"/>
        <v>#NUM!</v>
      </c>
      <c r="BH531" t="e">
        <f t="shared" si="26"/>
        <v>#NUM!</v>
      </c>
      <c r="BI531" t="e">
        <f>VLOOKUP(H531,Sheet2!$A$1:$B$270,2,FALSE)</f>
        <v>#N/A</v>
      </c>
    </row>
    <row r="532" spans="15:61" hidden="1">
      <c r="O532" s="57"/>
      <c r="P532" s="57"/>
      <c r="AO532" s="57"/>
      <c r="BF532" s="6" t="e">
        <f t="shared" si="24"/>
        <v>#NUM!</v>
      </c>
      <c r="BG532" t="e">
        <f t="shared" si="25"/>
        <v>#NUM!</v>
      </c>
      <c r="BH532" t="e">
        <f t="shared" si="26"/>
        <v>#NUM!</v>
      </c>
      <c r="BI532" t="e">
        <f>VLOOKUP(H532,Sheet2!$A$1:$B$270,2,FALSE)</f>
        <v>#N/A</v>
      </c>
    </row>
    <row r="533" spans="15:61" hidden="1">
      <c r="O533" s="57"/>
      <c r="P533" s="57"/>
      <c r="AP533" s="57"/>
      <c r="BA533" s="57"/>
      <c r="BF533" s="6" t="e">
        <f t="shared" si="24"/>
        <v>#NUM!</v>
      </c>
      <c r="BG533" t="e">
        <f t="shared" si="25"/>
        <v>#NUM!</v>
      </c>
      <c r="BH533" t="e">
        <f t="shared" si="26"/>
        <v>#NUM!</v>
      </c>
      <c r="BI533" t="e">
        <f>VLOOKUP(H533,Sheet2!$A$1:$B$270,2,FALSE)</f>
        <v>#N/A</v>
      </c>
    </row>
    <row r="534" spans="15:61" hidden="1">
      <c r="O534" s="57"/>
      <c r="P534" s="57"/>
      <c r="AO534" s="57"/>
      <c r="AP534" s="57"/>
      <c r="BA534" s="57"/>
      <c r="BF534" s="6" t="e">
        <f t="shared" si="24"/>
        <v>#NUM!</v>
      </c>
      <c r="BG534" t="e">
        <f t="shared" si="25"/>
        <v>#NUM!</v>
      </c>
      <c r="BH534" t="e">
        <f t="shared" si="26"/>
        <v>#NUM!</v>
      </c>
      <c r="BI534" t="e">
        <f>VLOOKUP(H534,Sheet2!$A$1:$B$270,2,FALSE)</f>
        <v>#N/A</v>
      </c>
    </row>
    <row r="535" spans="15:61" hidden="1">
      <c r="O535" s="57"/>
      <c r="P535" s="57"/>
      <c r="AO535" s="57"/>
      <c r="AP535" s="57"/>
      <c r="BA535" s="57"/>
      <c r="BF535" s="6" t="e">
        <f t="shared" si="24"/>
        <v>#NUM!</v>
      </c>
      <c r="BG535" t="e">
        <f t="shared" si="25"/>
        <v>#NUM!</v>
      </c>
      <c r="BH535" t="e">
        <f t="shared" si="26"/>
        <v>#NUM!</v>
      </c>
      <c r="BI535" t="e">
        <f>VLOOKUP(H535,Sheet2!$A$1:$B$270,2,FALSE)</f>
        <v>#N/A</v>
      </c>
    </row>
    <row r="536" spans="15:61" hidden="1">
      <c r="O536" s="57"/>
      <c r="P536" s="57"/>
      <c r="AO536" s="57"/>
      <c r="AP536" s="57"/>
      <c r="BA536" s="57"/>
      <c r="BF536" s="6" t="e">
        <f t="shared" si="24"/>
        <v>#NUM!</v>
      </c>
      <c r="BG536" t="e">
        <f t="shared" si="25"/>
        <v>#NUM!</v>
      </c>
      <c r="BH536" t="e">
        <f t="shared" si="26"/>
        <v>#NUM!</v>
      </c>
      <c r="BI536" t="e">
        <f>VLOOKUP(H536,Sheet2!$A$1:$B$270,2,FALSE)</f>
        <v>#N/A</v>
      </c>
    </row>
    <row r="537" spans="15:61" hidden="1">
      <c r="O537" s="57"/>
      <c r="P537" s="57"/>
      <c r="AO537" s="57"/>
      <c r="AP537" s="57"/>
      <c r="BA537" s="57"/>
      <c r="BF537" s="6" t="e">
        <f t="shared" si="24"/>
        <v>#NUM!</v>
      </c>
      <c r="BG537" t="e">
        <f t="shared" si="25"/>
        <v>#NUM!</v>
      </c>
      <c r="BH537" t="e">
        <f t="shared" si="26"/>
        <v>#NUM!</v>
      </c>
      <c r="BI537" t="e">
        <f>VLOOKUP(H537,Sheet2!$A$1:$B$270,2,FALSE)</f>
        <v>#N/A</v>
      </c>
    </row>
    <row r="538" spans="15:61" hidden="1">
      <c r="O538" s="57"/>
      <c r="P538" s="57"/>
      <c r="AO538" s="57"/>
      <c r="AP538" s="57"/>
      <c r="BA538" s="57"/>
      <c r="BF538" s="6" t="e">
        <f t="shared" si="24"/>
        <v>#NUM!</v>
      </c>
      <c r="BG538" t="e">
        <f t="shared" si="25"/>
        <v>#NUM!</v>
      </c>
      <c r="BH538" t="e">
        <f t="shared" si="26"/>
        <v>#NUM!</v>
      </c>
      <c r="BI538" t="e">
        <f>VLOOKUP(H538,Sheet2!$A$1:$B$270,2,FALSE)</f>
        <v>#N/A</v>
      </c>
    </row>
    <row r="539" spans="15:61" hidden="1">
      <c r="O539" s="57"/>
      <c r="P539" s="57"/>
      <c r="AP539" s="57"/>
      <c r="BA539" s="57"/>
      <c r="BF539" s="6" t="e">
        <f t="shared" si="24"/>
        <v>#NUM!</v>
      </c>
      <c r="BG539" t="e">
        <f t="shared" si="25"/>
        <v>#NUM!</v>
      </c>
      <c r="BH539" t="e">
        <f t="shared" si="26"/>
        <v>#NUM!</v>
      </c>
      <c r="BI539" t="e">
        <f>VLOOKUP(H539,Sheet2!$A$1:$B$270,2,FALSE)</f>
        <v>#N/A</v>
      </c>
    </row>
    <row r="540" spans="15:61" hidden="1">
      <c r="O540" s="57"/>
      <c r="P540" s="57"/>
      <c r="AP540" s="57"/>
      <c r="BA540" s="57"/>
      <c r="BF540" s="6" t="e">
        <f t="shared" si="24"/>
        <v>#NUM!</v>
      </c>
      <c r="BG540" t="e">
        <f t="shared" si="25"/>
        <v>#NUM!</v>
      </c>
      <c r="BH540" t="e">
        <f t="shared" si="26"/>
        <v>#NUM!</v>
      </c>
      <c r="BI540" t="e">
        <f>VLOOKUP(H540,Sheet2!$A$1:$B$270,2,FALSE)</f>
        <v>#N/A</v>
      </c>
    </row>
    <row r="541" spans="15:61" hidden="1">
      <c r="O541" s="57"/>
      <c r="P541" s="57"/>
      <c r="AP541" s="57"/>
      <c r="BA541" s="57"/>
      <c r="BF541" s="6" t="e">
        <f t="shared" si="24"/>
        <v>#NUM!</v>
      </c>
      <c r="BG541" t="e">
        <f t="shared" si="25"/>
        <v>#NUM!</v>
      </c>
      <c r="BH541" t="e">
        <f t="shared" si="26"/>
        <v>#NUM!</v>
      </c>
      <c r="BI541" t="e">
        <f>VLOOKUP(H541,Sheet2!$A$1:$B$270,2,FALSE)</f>
        <v>#N/A</v>
      </c>
    </row>
    <row r="542" spans="15:61" hidden="1">
      <c r="O542" s="57"/>
      <c r="P542" s="57"/>
      <c r="AP542" s="57"/>
      <c r="BA542" s="57"/>
      <c r="BF542" s="6" t="e">
        <f t="shared" si="24"/>
        <v>#NUM!</v>
      </c>
      <c r="BG542" t="e">
        <f t="shared" si="25"/>
        <v>#NUM!</v>
      </c>
      <c r="BH542" t="e">
        <f t="shared" si="26"/>
        <v>#NUM!</v>
      </c>
      <c r="BI542" t="e">
        <f>VLOOKUP(H542,Sheet2!$A$1:$B$270,2,FALSE)</f>
        <v>#N/A</v>
      </c>
    </row>
    <row r="543" spans="15:61" hidden="1">
      <c r="O543" s="57"/>
      <c r="P543" s="57"/>
      <c r="BA543" s="57"/>
      <c r="BF543" s="6" t="e">
        <f t="shared" si="24"/>
        <v>#NUM!</v>
      </c>
      <c r="BG543" t="e">
        <f t="shared" si="25"/>
        <v>#NUM!</v>
      </c>
      <c r="BH543" t="e">
        <f t="shared" si="26"/>
        <v>#NUM!</v>
      </c>
      <c r="BI543" t="e">
        <f>VLOOKUP(H543,Sheet2!$A$1:$B$270,2,FALSE)</f>
        <v>#N/A</v>
      </c>
    </row>
    <row r="544" spans="15:61" hidden="1">
      <c r="O544" s="57"/>
      <c r="P544" s="57"/>
      <c r="BA544" s="57"/>
      <c r="BF544" s="6" t="e">
        <f t="shared" si="24"/>
        <v>#NUM!</v>
      </c>
      <c r="BG544" t="e">
        <f t="shared" si="25"/>
        <v>#NUM!</v>
      </c>
      <c r="BH544" t="e">
        <f t="shared" si="26"/>
        <v>#NUM!</v>
      </c>
      <c r="BI544" t="e">
        <f>VLOOKUP(H544,Sheet2!$A$1:$B$270,2,FALSE)</f>
        <v>#N/A</v>
      </c>
    </row>
    <row r="545" spans="15:61" hidden="1">
      <c r="O545" s="57"/>
      <c r="P545" s="57"/>
      <c r="AP545" s="57"/>
      <c r="BA545" s="57"/>
      <c r="BF545" s="6" t="e">
        <f t="shared" si="24"/>
        <v>#NUM!</v>
      </c>
      <c r="BG545" t="e">
        <f t="shared" si="25"/>
        <v>#NUM!</v>
      </c>
      <c r="BH545" t="e">
        <f t="shared" si="26"/>
        <v>#NUM!</v>
      </c>
      <c r="BI545" t="e">
        <f>VLOOKUP(H545,Sheet2!$A$1:$B$270,2,FALSE)</f>
        <v>#N/A</v>
      </c>
    </row>
    <row r="546" spans="15:61" hidden="1">
      <c r="O546" s="57"/>
      <c r="P546" s="57"/>
      <c r="AO546" s="57"/>
      <c r="BA546" s="57"/>
      <c r="BF546" s="6" t="e">
        <f t="shared" si="24"/>
        <v>#NUM!</v>
      </c>
      <c r="BG546" t="e">
        <f t="shared" si="25"/>
        <v>#NUM!</v>
      </c>
      <c r="BH546" t="e">
        <f t="shared" si="26"/>
        <v>#NUM!</v>
      </c>
      <c r="BI546" t="e">
        <f>VLOOKUP(H546,Sheet2!$A$1:$B$270,2,FALSE)</f>
        <v>#N/A</v>
      </c>
    </row>
    <row r="547" spans="15:61" hidden="1">
      <c r="O547" s="57"/>
      <c r="P547" s="57"/>
      <c r="AO547" s="57"/>
      <c r="BA547" s="57"/>
      <c r="BF547" s="6" t="e">
        <f t="shared" si="24"/>
        <v>#NUM!</v>
      </c>
      <c r="BG547" t="e">
        <f t="shared" si="25"/>
        <v>#NUM!</v>
      </c>
      <c r="BH547" t="e">
        <f t="shared" si="26"/>
        <v>#NUM!</v>
      </c>
      <c r="BI547" t="e">
        <f>VLOOKUP(H547,Sheet2!$A$1:$B$270,2,FALSE)</f>
        <v>#N/A</v>
      </c>
    </row>
    <row r="548" spans="15:61" hidden="1">
      <c r="O548" s="57"/>
      <c r="P548" s="57"/>
      <c r="AO548" s="57"/>
      <c r="BA548" s="57"/>
      <c r="BF548" s="6" t="e">
        <f t="shared" si="24"/>
        <v>#NUM!</v>
      </c>
      <c r="BG548" t="e">
        <f t="shared" si="25"/>
        <v>#NUM!</v>
      </c>
      <c r="BH548" t="e">
        <f t="shared" si="26"/>
        <v>#NUM!</v>
      </c>
      <c r="BI548" t="e">
        <f>VLOOKUP(H548,Sheet2!$A$1:$B$270,2,FALSE)</f>
        <v>#N/A</v>
      </c>
    </row>
    <row r="549" spans="15:61" hidden="1">
      <c r="O549" s="57"/>
      <c r="P549" s="57"/>
      <c r="AO549" s="57"/>
      <c r="BA549" s="57"/>
      <c r="BF549" s="6" t="e">
        <f t="shared" si="24"/>
        <v>#NUM!</v>
      </c>
      <c r="BG549" t="e">
        <f t="shared" si="25"/>
        <v>#NUM!</v>
      </c>
      <c r="BH549" t="e">
        <f t="shared" si="26"/>
        <v>#NUM!</v>
      </c>
      <c r="BI549" t="e">
        <f>VLOOKUP(H549,Sheet2!$A$1:$B$270,2,FALSE)</f>
        <v>#N/A</v>
      </c>
    </row>
    <row r="550" spans="15:61" hidden="1">
      <c r="O550" s="57"/>
      <c r="P550" s="57"/>
      <c r="AO550" s="57"/>
      <c r="BA550" s="57"/>
      <c r="BF550" s="6" t="e">
        <f t="shared" si="24"/>
        <v>#NUM!</v>
      </c>
      <c r="BG550" t="e">
        <f t="shared" si="25"/>
        <v>#NUM!</v>
      </c>
      <c r="BH550" t="e">
        <f t="shared" si="26"/>
        <v>#NUM!</v>
      </c>
      <c r="BI550" t="e">
        <f>VLOOKUP(H550,Sheet2!$A$1:$B$270,2,FALSE)</f>
        <v>#N/A</v>
      </c>
    </row>
    <row r="551" spans="15:61" hidden="1">
      <c r="O551" s="57"/>
      <c r="P551" s="57"/>
      <c r="BA551" s="57"/>
      <c r="BF551" s="6" t="e">
        <f t="shared" si="24"/>
        <v>#NUM!</v>
      </c>
      <c r="BG551" t="e">
        <f t="shared" si="25"/>
        <v>#NUM!</v>
      </c>
      <c r="BH551" t="e">
        <f t="shared" si="26"/>
        <v>#NUM!</v>
      </c>
      <c r="BI551" t="e">
        <f>VLOOKUP(H551,Sheet2!$A$1:$B$270,2,FALSE)</f>
        <v>#N/A</v>
      </c>
    </row>
    <row r="552" spans="15:61" hidden="1">
      <c r="O552" s="57"/>
      <c r="P552" s="57"/>
      <c r="AP552" s="57"/>
      <c r="BA552" s="57"/>
      <c r="BF552" s="6" t="e">
        <f t="shared" si="24"/>
        <v>#NUM!</v>
      </c>
      <c r="BG552" t="e">
        <f t="shared" si="25"/>
        <v>#NUM!</v>
      </c>
      <c r="BH552" t="e">
        <f t="shared" si="26"/>
        <v>#NUM!</v>
      </c>
      <c r="BI552" t="e">
        <f>VLOOKUP(H552,Sheet2!$A$1:$B$270,2,FALSE)</f>
        <v>#N/A</v>
      </c>
    </row>
    <row r="553" spans="15:61" hidden="1">
      <c r="O553" s="57"/>
      <c r="P553" s="57"/>
      <c r="BA553" s="57"/>
      <c r="BF553" s="6" t="e">
        <f t="shared" si="24"/>
        <v>#NUM!</v>
      </c>
      <c r="BG553" t="e">
        <f t="shared" si="25"/>
        <v>#NUM!</v>
      </c>
      <c r="BH553" t="e">
        <f t="shared" si="26"/>
        <v>#NUM!</v>
      </c>
      <c r="BI553" t="e">
        <f>VLOOKUP(H553,Sheet2!$A$1:$B$270,2,FALSE)</f>
        <v>#N/A</v>
      </c>
    </row>
    <row r="554" spans="15:61" hidden="1">
      <c r="O554" s="57"/>
      <c r="P554" s="57"/>
      <c r="BA554" s="57"/>
      <c r="BF554" s="6" t="e">
        <f t="shared" si="24"/>
        <v>#NUM!</v>
      </c>
      <c r="BG554" t="e">
        <f t="shared" si="25"/>
        <v>#NUM!</v>
      </c>
      <c r="BH554" t="e">
        <f t="shared" si="26"/>
        <v>#NUM!</v>
      </c>
      <c r="BI554" t="e">
        <f>VLOOKUP(H554,Sheet2!$A$1:$B$270,2,FALSE)</f>
        <v>#N/A</v>
      </c>
    </row>
    <row r="555" spans="15:61" hidden="1">
      <c r="O555" s="57"/>
      <c r="P555" s="57"/>
      <c r="AP555" s="57"/>
      <c r="BA555" s="57"/>
      <c r="BF555" s="6" t="e">
        <f t="shared" si="24"/>
        <v>#NUM!</v>
      </c>
      <c r="BG555" t="e">
        <f t="shared" si="25"/>
        <v>#NUM!</v>
      </c>
      <c r="BH555" t="e">
        <f t="shared" si="26"/>
        <v>#NUM!</v>
      </c>
      <c r="BI555" t="e">
        <f>VLOOKUP(H555,Sheet2!$A$1:$B$270,2,FALSE)</f>
        <v>#N/A</v>
      </c>
    </row>
    <row r="556" spans="15:61" hidden="1">
      <c r="O556" s="57"/>
      <c r="P556" s="57"/>
      <c r="BA556" s="57"/>
      <c r="BF556" s="6" t="e">
        <f t="shared" si="24"/>
        <v>#NUM!</v>
      </c>
      <c r="BG556" t="e">
        <f t="shared" si="25"/>
        <v>#NUM!</v>
      </c>
      <c r="BH556" t="e">
        <f t="shared" si="26"/>
        <v>#NUM!</v>
      </c>
      <c r="BI556" t="e">
        <f>VLOOKUP(H556,Sheet2!$A$1:$B$270,2,FALSE)</f>
        <v>#N/A</v>
      </c>
    </row>
    <row r="557" spans="15:61" hidden="1">
      <c r="O557" s="57"/>
      <c r="P557" s="57"/>
      <c r="BA557" s="57"/>
      <c r="BF557" s="6" t="e">
        <f t="shared" si="24"/>
        <v>#NUM!</v>
      </c>
      <c r="BG557" t="e">
        <f t="shared" si="25"/>
        <v>#NUM!</v>
      </c>
      <c r="BH557" t="e">
        <f t="shared" si="26"/>
        <v>#NUM!</v>
      </c>
      <c r="BI557" t="e">
        <f>VLOOKUP(H557,Sheet2!$A$1:$B$270,2,FALSE)</f>
        <v>#N/A</v>
      </c>
    </row>
    <row r="558" spans="15:61" hidden="1">
      <c r="O558" s="57"/>
      <c r="P558" s="57"/>
      <c r="BA558" s="57"/>
      <c r="BF558" s="6" t="e">
        <f t="shared" si="24"/>
        <v>#NUM!</v>
      </c>
      <c r="BG558" t="e">
        <f t="shared" si="25"/>
        <v>#NUM!</v>
      </c>
      <c r="BH558" t="e">
        <f t="shared" si="26"/>
        <v>#NUM!</v>
      </c>
      <c r="BI558" t="e">
        <f>VLOOKUP(H558,Sheet2!$A$1:$B$270,2,FALSE)</f>
        <v>#N/A</v>
      </c>
    </row>
    <row r="559" spans="15:61" hidden="1">
      <c r="O559" s="57"/>
      <c r="P559" s="57"/>
      <c r="BA559" s="57"/>
      <c r="BF559" s="6" t="e">
        <f t="shared" si="24"/>
        <v>#NUM!</v>
      </c>
      <c r="BG559" t="e">
        <f t="shared" si="25"/>
        <v>#NUM!</v>
      </c>
      <c r="BH559" t="e">
        <f t="shared" si="26"/>
        <v>#NUM!</v>
      </c>
      <c r="BI559" t="e">
        <f>VLOOKUP(H559,Sheet2!$A$1:$B$270,2,FALSE)</f>
        <v>#N/A</v>
      </c>
    </row>
    <row r="560" spans="15:61" hidden="1">
      <c r="O560" s="57"/>
      <c r="P560" s="57"/>
      <c r="AP560" s="57"/>
      <c r="BA560" s="57"/>
      <c r="BF560" s="6" t="e">
        <f t="shared" si="24"/>
        <v>#NUM!</v>
      </c>
      <c r="BG560" t="e">
        <f t="shared" si="25"/>
        <v>#NUM!</v>
      </c>
      <c r="BH560" t="e">
        <f t="shared" si="26"/>
        <v>#NUM!</v>
      </c>
      <c r="BI560" t="e">
        <f>VLOOKUP(H560,Sheet2!$A$1:$B$270,2,FALSE)</f>
        <v>#N/A</v>
      </c>
    </row>
    <row r="561" spans="15:61" hidden="1">
      <c r="O561" s="57"/>
      <c r="P561" s="57"/>
      <c r="BA561" s="57"/>
      <c r="BF561" s="6" t="e">
        <f t="shared" si="24"/>
        <v>#NUM!</v>
      </c>
      <c r="BG561" t="e">
        <f t="shared" si="25"/>
        <v>#NUM!</v>
      </c>
      <c r="BH561" t="e">
        <f t="shared" si="26"/>
        <v>#NUM!</v>
      </c>
      <c r="BI561" t="e">
        <f>VLOOKUP(H561,Sheet2!$A$1:$B$270,2,FALSE)</f>
        <v>#N/A</v>
      </c>
    </row>
    <row r="562" spans="15:61" hidden="1">
      <c r="O562" s="57"/>
      <c r="P562" s="57"/>
      <c r="AP562" s="57"/>
      <c r="BA562" s="57"/>
      <c r="BF562" s="6" t="e">
        <f t="shared" si="24"/>
        <v>#NUM!</v>
      </c>
      <c r="BG562" t="e">
        <f t="shared" si="25"/>
        <v>#NUM!</v>
      </c>
      <c r="BH562" t="e">
        <f t="shared" si="26"/>
        <v>#NUM!</v>
      </c>
      <c r="BI562" t="e">
        <f>VLOOKUP(H562,Sheet2!$A$1:$B$270,2,FALSE)</f>
        <v>#N/A</v>
      </c>
    </row>
    <row r="563" spans="15:61" hidden="1">
      <c r="O563" s="57"/>
      <c r="P563" s="57"/>
      <c r="AP563" s="57"/>
      <c r="BA563" s="57"/>
      <c r="BF563" s="6" t="e">
        <f t="shared" si="24"/>
        <v>#NUM!</v>
      </c>
      <c r="BG563" t="e">
        <f t="shared" si="25"/>
        <v>#NUM!</v>
      </c>
      <c r="BH563" t="e">
        <f t="shared" si="26"/>
        <v>#NUM!</v>
      </c>
      <c r="BI563" t="e">
        <f>VLOOKUP(H563,Sheet2!$A$1:$B$270,2,FALSE)</f>
        <v>#N/A</v>
      </c>
    </row>
    <row r="564" spans="15:61" hidden="1">
      <c r="O564" s="57"/>
      <c r="P564" s="57"/>
      <c r="AP564" s="57"/>
      <c r="BA564" s="57"/>
      <c r="BF564" s="6" t="e">
        <f t="shared" si="24"/>
        <v>#NUM!</v>
      </c>
      <c r="BG564" t="e">
        <f t="shared" si="25"/>
        <v>#NUM!</v>
      </c>
      <c r="BH564" t="e">
        <f t="shared" si="26"/>
        <v>#NUM!</v>
      </c>
      <c r="BI564" t="e">
        <f>VLOOKUP(H564,Sheet2!$A$1:$B$270,2,FALSE)</f>
        <v>#N/A</v>
      </c>
    </row>
    <row r="565" spans="15:61" hidden="1">
      <c r="O565" s="57"/>
      <c r="P565" s="57"/>
      <c r="AP565" s="57"/>
      <c r="BA565" s="57"/>
      <c r="BF565" s="6" t="e">
        <f t="shared" si="24"/>
        <v>#NUM!</v>
      </c>
      <c r="BG565" t="e">
        <f t="shared" si="25"/>
        <v>#NUM!</v>
      </c>
      <c r="BH565" t="e">
        <f t="shared" si="26"/>
        <v>#NUM!</v>
      </c>
      <c r="BI565" t="e">
        <f>VLOOKUP(H565,Sheet2!$A$1:$B$270,2,FALSE)</f>
        <v>#N/A</v>
      </c>
    </row>
    <row r="566" spans="15:61" hidden="1">
      <c r="O566" s="57"/>
      <c r="P566" s="57"/>
      <c r="AP566" s="57"/>
      <c r="BA566" s="57"/>
      <c r="BF566" s="6" t="e">
        <f t="shared" si="24"/>
        <v>#NUM!</v>
      </c>
      <c r="BG566" t="e">
        <f t="shared" si="25"/>
        <v>#NUM!</v>
      </c>
      <c r="BH566" t="e">
        <f t="shared" si="26"/>
        <v>#NUM!</v>
      </c>
      <c r="BI566" t="e">
        <f>VLOOKUP(H566,Sheet2!$A$1:$B$270,2,FALSE)</f>
        <v>#N/A</v>
      </c>
    </row>
    <row r="567" spans="15:61" hidden="1">
      <c r="O567" s="57"/>
      <c r="P567" s="57"/>
      <c r="BA567" s="57"/>
      <c r="BF567" s="6" t="e">
        <f t="shared" si="24"/>
        <v>#NUM!</v>
      </c>
      <c r="BG567" t="e">
        <f t="shared" si="25"/>
        <v>#NUM!</v>
      </c>
      <c r="BH567" t="e">
        <f t="shared" si="26"/>
        <v>#NUM!</v>
      </c>
      <c r="BI567" t="e">
        <f>VLOOKUP(H567,Sheet2!$A$1:$B$270,2,FALSE)</f>
        <v>#N/A</v>
      </c>
    </row>
    <row r="568" spans="15:61" hidden="1">
      <c r="O568" s="57"/>
      <c r="P568" s="57"/>
      <c r="AP568" s="57"/>
      <c r="BA568" s="57"/>
      <c r="BF568" s="6" t="e">
        <f t="shared" si="24"/>
        <v>#NUM!</v>
      </c>
      <c r="BG568" t="e">
        <f t="shared" si="25"/>
        <v>#NUM!</v>
      </c>
      <c r="BH568" t="e">
        <f t="shared" si="26"/>
        <v>#NUM!</v>
      </c>
      <c r="BI568" t="e">
        <f>VLOOKUP(H568,Sheet2!$A$1:$B$270,2,FALSE)</f>
        <v>#N/A</v>
      </c>
    </row>
    <row r="569" spans="15:61" hidden="1">
      <c r="O569" s="57"/>
      <c r="P569" s="57"/>
      <c r="AP569" s="57"/>
      <c r="BA569" s="57"/>
      <c r="BF569" s="6" t="e">
        <f t="shared" si="24"/>
        <v>#NUM!</v>
      </c>
      <c r="BG569" t="e">
        <f t="shared" si="25"/>
        <v>#NUM!</v>
      </c>
      <c r="BH569" t="e">
        <f t="shared" si="26"/>
        <v>#NUM!</v>
      </c>
      <c r="BI569" t="e">
        <f>VLOOKUP(H569,Sheet2!$A$1:$B$270,2,FALSE)</f>
        <v>#N/A</v>
      </c>
    </row>
    <row r="570" spans="15:61" hidden="1">
      <c r="O570" s="57"/>
      <c r="P570" s="57"/>
      <c r="AP570" s="57"/>
      <c r="BA570" s="57"/>
      <c r="BF570" s="6" t="e">
        <f t="shared" si="24"/>
        <v>#NUM!</v>
      </c>
      <c r="BG570" t="e">
        <f t="shared" si="25"/>
        <v>#NUM!</v>
      </c>
      <c r="BH570" t="e">
        <f t="shared" si="26"/>
        <v>#NUM!</v>
      </c>
      <c r="BI570" t="e">
        <f>VLOOKUP(H570,Sheet2!$A$1:$B$270,2,FALSE)</f>
        <v>#N/A</v>
      </c>
    </row>
    <row r="571" spans="15:61" hidden="1">
      <c r="O571" s="57"/>
      <c r="P571" s="57"/>
      <c r="AO571" s="57"/>
      <c r="AP571" s="57"/>
      <c r="BA571" s="57"/>
      <c r="BF571" s="6" t="e">
        <f t="shared" si="24"/>
        <v>#NUM!</v>
      </c>
      <c r="BG571" t="e">
        <f t="shared" si="25"/>
        <v>#NUM!</v>
      </c>
      <c r="BH571" t="e">
        <f t="shared" si="26"/>
        <v>#NUM!</v>
      </c>
      <c r="BI571" t="e">
        <f>VLOOKUP(H571,Sheet2!$A$1:$B$270,2,FALSE)</f>
        <v>#N/A</v>
      </c>
    </row>
    <row r="572" spans="15:61" hidden="1">
      <c r="O572" s="57"/>
      <c r="P572" s="57"/>
      <c r="BA572" s="57"/>
      <c r="BF572" s="6" t="e">
        <f t="shared" si="24"/>
        <v>#NUM!</v>
      </c>
      <c r="BG572" t="e">
        <f t="shared" si="25"/>
        <v>#NUM!</v>
      </c>
      <c r="BH572" t="e">
        <f t="shared" si="26"/>
        <v>#NUM!</v>
      </c>
      <c r="BI572" t="e">
        <f>VLOOKUP(H572,Sheet2!$A$1:$B$270,2,FALSE)</f>
        <v>#N/A</v>
      </c>
    </row>
    <row r="573" spans="15:61" hidden="1">
      <c r="O573" s="57"/>
      <c r="P573" s="57"/>
      <c r="AO573" s="57"/>
      <c r="AP573" s="57"/>
      <c r="BA573" s="57"/>
      <c r="BF573" s="6" t="e">
        <f t="shared" si="24"/>
        <v>#NUM!</v>
      </c>
      <c r="BG573" t="e">
        <f t="shared" si="25"/>
        <v>#NUM!</v>
      </c>
      <c r="BH573" t="e">
        <f t="shared" si="26"/>
        <v>#NUM!</v>
      </c>
      <c r="BI573" t="e">
        <f>VLOOKUP(H573,Sheet2!$A$1:$B$270,2,FALSE)</f>
        <v>#N/A</v>
      </c>
    </row>
    <row r="574" spans="15:61" hidden="1">
      <c r="O574" s="57"/>
      <c r="P574" s="57"/>
      <c r="AO574" s="57"/>
      <c r="AP574" s="57"/>
      <c r="BA574" s="57"/>
      <c r="BF574" s="6" t="e">
        <f t="shared" si="24"/>
        <v>#NUM!</v>
      </c>
      <c r="BG574" t="e">
        <f t="shared" si="25"/>
        <v>#NUM!</v>
      </c>
      <c r="BH574" t="e">
        <f t="shared" si="26"/>
        <v>#NUM!</v>
      </c>
      <c r="BI574" t="e">
        <f>VLOOKUP(H574,Sheet2!$A$1:$B$270,2,FALSE)</f>
        <v>#N/A</v>
      </c>
    </row>
    <row r="575" spans="15:61" hidden="1">
      <c r="O575" s="57"/>
      <c r="P575" s="57"/>
      <c r="AO575" s="57"/>
      <c r="AP575" s="57"/>
      <c r="BA575" s="57"/>
      <c r="BF575" s="6" t="e">
        <f t="shared" si="24"/>
        <v>#NUM!</v>
      </c>
      <c r="BG575" t="e">
        <f t="shared" si="25"/>
        <v>#NUM!</v>
      </c>
      <c r="BH575" t="e">
        <f t="shared" si="26"/>
        <v>#NUM!</v>
      </c>
      <c r="BI575" t="e">
        <f>VLOOKUP(H575,Sheet2!$A$1:$B$270,2,FALSE)</f>
        <v>#N/A</v>
      </c>
    </row>
    <row r="576" spans="15:61" hidden="1">
      <c r="O576" s="57"/>
      <c r="P576" s="57"/>
      <c r="AO576" s="57"/>
      <c r="AP576" s="57"/>
      <c r="BA576" s="57"/>
      <c r="BF576" s="6" t="e">
        <f t="shared" si="24"/>
        <v>#NUM!</v>
      </c>
      <c r="BG576" t="e">
        <f t="shared" si="25"/>
        <v>#NUM!</v>
      </c>
      <c r="BH576" t="e">
        <f t="shared" si="26"/>
        <v>#NUM!</v>
      </c>
      <c r="BI576" t="e">
        <f>VLOOKUP(H576,Sheet2!$A$1:$B$270,2,FALSE)</f>
        <v>#N/A</v>
      </c>
    </row>
    <row r="577" spans="15:61" hidden="1">
      <c r="O577" s="57"/>
      <c r="P577" s="57"/>
      <c r="AO577" s="57"/>
      <c r="AP577" s="57"/>
      <c r="BA577" s="57"/>
      <c r="BF577" s="6" t="e">
        <f t="shared" si="24"/>
        <v>#NUM!</v>
      </c>
      <c r="BG577" t="e">
        <f t="shared" si="25"/>
        <v>#NUM!</v>
      </c>
      <c r="BH577" t="e">
        <f t="shared" si="26"/>
        <v>#NUM!</v>
      </c>
      <c r="BI577" t="e">
        <f>VLOOKUP(H577,Sheet2!$A$1:$B$270,2,FALSE)</f>
        <v>#N/A</v>
      </c>
    </row>
    <row r="578" spans="15:61" hidden="1">
      <c r="O578" s="57"/>
      <c r="P578" s="57"/>
      <c r="AP578" s="57"/>
      <c r="BA578" s="57"/>
      <c r="BF578" s="6" t="e">
        <f t="shared" ref="BF578:BF641" si="27">DATE(BC578,BD578,BE578)</f>
        <v>#NUM!</v>
      </c>
      <c r="BG578" t="e">
        <f t="shared" ref="BG578:BG641" si="28">BF578-BA578</f>
        <v>#NUM!</v>
      </c>
      <c r="BH578" t="e">
        <f t="shared" ref="BH578:BH641" si="29">IF(BG578=1,"COMPLY",IF(BG578&lt;1,"COMPLY","NOT COMPLY"))</f>
        <v>#NUM!</v>
      </c>
      <c r="BI578" t="e">
        <f>VLOOKUP(H578,Sheet2!$A$1:$B$270,2,FALSE)</f>
        <v>#N/A</v>
      </c>
    </row>
    <row r="579" spans="15:61" hidden="1">
      <c r="O579" s="57"/>
      <c r="P579" s="57"/>
      <c r="AP579" s="57"/>
      <c r="BA579" s="57"/>
      <c r="BF579" s="6" t="e">
        <f t="shared" si="27"/>
        <v>#NUM!</v>
      </c>
      <c r="BG579" t="e">
        <f t="shared" si="28"/>
        <v>#NUM!</v>
      </c>
      <c r="BH579" t="e">
        <f t="shared" si="29"/>
        <v>#NUM!</v>
      </c>
      <c r="BI579" t="e">
        <f>VLOOKUP(H579,Sheet2!$A$1:$B$270,2,FALSE)</f>
        <v>#N/A</v>
      </c>
    </row>
    <row r="580" spans="15:61" hidden="1">
      <c r="O580" s="57"/>
      <c r="P580" s="57"/>
      <c r="AP580" s="57"/>
      <c r="BA580" s="57"/>
      <c r="BF580" s="6" t="e">
        <f t="shared" si="27"/>
        <v>#NUM!</v>
      </c>
      <c r="BG580" t="e">
        <f t="shared" si="28"/>
        <v>#NUM!</v>
      </c>
      <c r="BH580" t="e">
        <f t="shared" si="29"/>
        <v>#NUM!</v>
      </c>
      <c r="BI580" t="e">
        <f>VLOOKUP(H580,Sheet2!$A$1:$B$270,2,FALSE)</f>
        <v>#N/A</v>
      </c>
    </row>
    <row r="581" spans="15:61" hidden="1">
      <c r="O581" s="57"/>
      <c r="P581" s="57"/>
      <c r="AP581" s="57"/>
      <c r="BA581" s="57"/>
      <c r="BF581" s="6" t="e">
        <f t="shared" si="27"/>
        <v>#NUM!</v>
      </c>
      <c r="BG581" t="e">
        <f t="shared" si="28"/>
        <v>#NUM!</v>
      </c>
      <c r="BH581" t="e">
        <f t="shared" si="29"/>
        <v>#NUM!</v>
      </c>
      <c r="BI581" t="e">
        <f>VLOOKUP(H581,Sheet2!$A$1:$B$270,2,FALSE)</f>
        <v>#N/A</v>
      </c>
    </row>
    <row r="582" spans="15:61" hidden="1">
      <c r="O582" s="57"/>
      <c r="P582" s="57"/>
      <c r="AP582" s="57"/>
      <c r="BA582" s="57"/>
      <c r="BF582" s="6" t="e">
        <f t="shared" si="27"/>
        <v>#NUM!</v>
      </c>
      <c r="BG582" t="e">
        <f t="shared" si="28"/>
        <v>#NUM!</v>
      </c>
      <c r="BH582" t="e">
        <f t="shared" si="29"/>
        <v>#NUM!</v>
      </c>
      <c r="BI582" t="e">
        <f>VLOOKUP(H582,Sheet2!$A$1:$B$270,2,FALSE)</f>
        <v>#N/A</v>
      </c>
    </row>
    <row r="583" spans="15:61" hidden="1">
      <c r="O583" s="57"/>
      <c r="P583" s="57"/>
      <c r="AO583" s="57"/>
      <c r="AP583" s="57"/>
      <c r="BA583" s="57"/>
      <c r="BF583" s="6" t="e">
        <f t="shared" si="27"/>
        <v>#NUM!</v>
      </c>
      <c r="BG583" t="e">
        <f t="shared" si="28"/>
        <v>#NUM!</v>
      </c>
      <c r="BH583" t="e">
        <f t="shared" si="29"/>
        <v>#NUM!</v>
      </c>
      <c r="BI583" t="e">
        <f>VLOOKUP(H583,Sheet2!$A$1:$B$270,2,FALSE)</f>
        <v>#N/A</v>
      </c>
    </row>
    <row r="584" spans="15:61" hidden="1">
      <c r="O584" s="57"/>
      <c r="P584" s="57"/>
      <c r="AO584" s="57"/>
      <c r="AP584" s="57"/>
      <c r="BA584" s="57"/>
      <c r="BF584" s="6" t="e">
        <f t="shared" si="27"/>
        <v>#NUM!</v>
      </c>
      <c r="BG584" t="e">
        <f t="shared" si="28"/>
        <v>#NUM!</v>
      </c>
      <c r="BH584" t="e">
        <f t="shared" si="29"/>
        <v>#NUM!</v>
      </c>
      <c r="BI584" t="e">
        <f>VLOOKUP(H584,Sheet2!$A$1:$B$270,2,FALSE)</f>
        <v>#N/A</v>
      </c>
    </row>
    <row r="585" spans="15:61" hidden="1">
      <c r="O585" s="57"/>
      <c r="P585" s="57"/>
      <c r="AP585" s="57"/>
      <c r="BA585" s="57"/>
      <c r="BF585" s="6" t="e">
        <f t="shared" si="27"/>
        <v>#NUM!</v>
      </c>
      <c r="BG585" t="e">
        <f t="shared" si="28"/>
        <v>#NUM!</v>
      </c>
      <c r="BH585" t="e">
        <f t="shared" si="29"/>
        <v>#NUM!</v>
      </c>
      <c r="BI585" t="e">
        <f>VLOOKUP(H585,Sheet2!$A$1:$B$270,2,FALSE)</f>
        <v>#N/A</v>
      </c>
    </row>
    <row r="586" spans="15:61" hidden="1">
      <c r="O586" s="57"/>
      <c r="P586" s="57"/>
      <c r="AP586" s="57"/>
      <c r="BA586" s="57"/>
      <c r="BF586" s="6" t="e">
        <f t="shared" si="27"/>
        <v>#NUM!</v>
      </c>
      <c r="BG586" t="e">
        <f t="shared" si="28"/>
        <v>#NUM!</v>
      </c>
      <c r="BH586" t="e">
        <f t="shared" si="29"/>
        <v>#NUM!</v>
      </c>
      <c r="BI586" t="e">
        <f>VLOOKUP(H586,Sheet2!$A$1:$B$270,2,FALSE)</f>
        <v>#N/A</v>
      </c>
    </row>
    <row r="587" spans="15:61" hidden="1">
      <c r="O587" s="57"/>
      <c r="P587" s="57"/>
      <c r="AO587" s="57"/>
      <c r="AP587" s="57"/>
      <c r="BA587" s="57"/>
      <c r="BF587" s="6" t="e">
        <f t="shared" si="27"/>
        <v>#NUM!</v>
      </c>
      <c r="BG587" t="e">
        <f t="shared" si="28"/>
        <v>#NUM!</v>
      </c>
      <c r="BH587" t="e">
        <f t="shared" si="29"/>
        <v>#NUM!</v>
      </c>
      <c r="BI587" t="e">
        <f>VLOOKUP(H587,Sheet2!$A$1:$B$270,2,FALSE)</f>
        <v>#N/A</v>
      </c>
    </row>
    <row r="588" spans="15:61" hidden="1">
      <c r="O588" s="57"/>
      <c r="P588" s="57"/>
      <c r="AO588" s="57"/>
      <c r="AP588" s="57"/>
      <c r="BA588" s="57"/>
      <c r="BF588" s="6" t="e">
        <f t="shared" si="27"/>
        <v>#NUM!</v>
      </c>
      <c r="BG588" t="e">
        <f t="shared" si="28"/>
        <v>#NUM!</v>
      </c>
      <c r="BH588" t="e">
        <f t="shared" si="29"/>
        <v>#NUM!</v>
      </c>
      <c r="BI588" t="e">
        <f>VLOOKUP(H588,Sheet2!$A$1:$B$270,2,FALSE)</f>
        <v>#N/A</v>
      </c>
    </row>
    <row r="589" spans="15:61" hidden="1">
      <c r="O589" s="57"/>
      <c r="P589" s="57"/>
      <c r="AP589" s="57"/>
      <c r="BA589" s="57"/>
      <c r="BF589" s="6" t="e">
        <f t="shared" si="27"/>
        <v>#NUM!</v>
      </c>
      <c r="BG589" t="e">
        <f t="shared" si="28"/>
        <v>#NUM!</v>
      </c>
      <c r="BH589" t="e">
        <f t="shared" si="29"/>
        <v>#NUM!</v>
      </c>
      <c r="BI589" t="e">
        <f>VLOOKUP(H589,Sheet2!$A$1:$B$270,2,FALSE)</f>
        <v>#N/A</v>
      </c>
    </row>
    <row r="590" spans="15:61" hidden="1">
      <c r="O590" s="57"/>
      <c r="P590" s="57"/>
      <c r="AP590" s="57"/>
      <c r="BA590" s="57"/>
      <c r="BF590" s="6" t="e">
        <f t="shared" si="27"/>
        <v>#NUM!</v>
      </c>
      <c r="BG590" t="e">
        <f t="shared" si="28"/>
        <v>#NUM!</v>
      </c>
      <c r="BH590" t="e">
        <f t="shared" si="29"/>
        <v>#NUM!</v>
      </c>
      <c r="BI590" t="e">
        <f>VLOOKUP(H590,Sheet2!$A$1:$B$270,2,FALSE)</f>
        <v>#N/A</v>
      </c>
    </row>
    <row r="591" spans="15:61" hidden="1">
      <c r="O591" s="57"/>
      <c r="P591" s="57"/>
      <c r="AP591" s="57"/>
      <c r="BA591" s="57"/>
      <c r="BF591" s="6" t="e">
        <f t="shared" si="27"/>
        <v>#NUM!</v>
      </c>
      <c r="BG591" t="e">
        <f t="shared" si="28"/>
        <v>#NUM!</v>
      </c>
      <c r="BH591" t="e">
        <f t="shared" si="29"/>
        <v>#NUM!</v>
      </c>
      <c r="BI591" t="e">
        <f>VLOOKUP(H591,Sheet2!$A$1:$B$270,2,FALSE)</f>
        <v>#N/A</v>
      </c>
    </row>
    <row r="592" spans="15:61" hidden="1">
      <c r="O592" s="57"/>
      <c r="P592" s="57"/>
      <c r="AO592" s="57"/>
      <c r="AP592" s="57"/>
      <c r="BA592" s="57"/>
      <c r="BF592" s="6" t="e">
        <f t="shared" si="27"/>
        <v>#NUM!</v>
      </c>
      <c r="BG592" t="e">
        <f t="shared" si="28"/>
        <v>#NUM!</v>
      </c>
      <c r="BH592" t="e">
        <f t="shared" si="29"/>
        <v>#NUM!</v>
      </c>
      <c r="BI592" t="e">
        <f>VLOOKUP(H592,Sheet2!$A$1:$B$270,2,FALSE)</f>
        <v>#N/A</v>
      </c>
    </row>
    <row r="593" spans="15:61" hidden="1">
      <c r="O593" s="57"/>
      <c r="P593" s="57"/>
      <c r="AP593" s="57"/>
      <c r="BA593" s="57"/>
      <c r="BF593" s="6" t="e">
        <f t="shared" si="27"/>
        <v>#NUM!</v>
      </c>
      <c r="BG593" t="e">
        <f t="shared" si="28"/>
        <v>#NUM!</v>
      </c>
      <c r="BH593" t="e">
        <f t="shared" si="29"/>
        <v>#NUM!</v>
      </c>
      <c r="BI593" t="e">
        <f>VLOOKUP(H593,Sheet2!$A$1:$B$270,2,FALSE)</f>
        <v>#N/A</v>
      </c>
    </row>
    <row r="594" spans="15:61" hidden="1">
      <c r="O594" s="57"/>
      <c r="P594" s="57"/>
      <c r="BA594" s="57"/>
      <c r="BF594" s="6" t="e">
        <f t="shared" si="27"/>
        <v>#NUM!</v>
      </c>
      <c r="BG594" t="e">
        <f t="shared" si="28"/>
        <v>#NUM!</v>
      </c>
      <c r="BH594" t="e">
        <f t="shared" si="29"/>
        <v>#NUM!</v>
      </c>
      <c r="BI594" t="e">
        <f>VLOOKUP(H594,Sheet2!$A$1:$B$270,2,FALSE)</f>
        <v>#N/A</v>
      </c>
    </row>
    <row r="595" spans="15:61" hidden="1">
      <c r="O595" s="57"/>
      <c r="P595" s="57"/>
      <c r="AP595" s="57"/>
      <c r="BA595" s="57"/>
      <c r="BF595" s="6" t="e">
        <f t="shared" si="27"/>
        <v>#NUM!</v>
      </c>
      <c r="BG595" t="e">
        <f t="shared" si="28"/>
        <v>#NUM!</v>
      </c>
      <c r="BH595" t="e">
        <f t="shared" si="29"/>
        <v>#NUM!</v>
      </c>
      <c r="BI595" t="e">
        <f>VLOOKUP(H595,Sheet2!$A$1:$B$270,2,FALSE)</f>
        <v>#N/A</v>
      </c>
    </row>
    <row r="596" spans="15:61" hidden="1">
      <c r="O596" s="57"/>
      <c r="P596" s="57"/>
      <c r="AP596" s="57"/>
      <c r="BA596" s="57"/>
      <c r="BF596" s="6" t="e">
        <f t="shared" si="27"/>
        <v>#NUM!</v>
      </c>
      <c r="BG596" t="e">
        <f t="shared" si="28"/>
        <v>#NUM!</v>
      </c>
      <c r="BH596" t="e">
        <f t="shared" si="29"/>
        <v>#NUM!</v>
      </c>
      <c r="BI596" t="e">
        <f>VLOOKUP(H596,Sheet2!$A$1:$B$270,2,FALSE)</f>
        <v>#N/A</v>
      </c>
    </row>
    <row r="597" spans="15:61" hidden="1">
      <c r="O597" s="57"/>
      <c r="P597" s="57"/>
      <c r="AO597" s="57"/>
      <c r="AP597" s="57"/>
      <c r="BA597" s="57"/>
      <c r="BF597" s="6" t="e">
        <f t="shared" si="27"/>
        <v>#NUM!</v>
      </c>
      <c r="BG597" t="e">
        <f t="shared" si="28"/>
        <v>#NUM!</v>
      </c>
      <c r="BH597" t="e">
        <f t="shared" si="29"/>
        <v>#NUM!</v>
      </c>
      <c r="BI597" t="e">
        <f>VLOOKUP(H597,Sheet2!$A$1:$B$270,2,FALSE)</f>
        <v>#N/A</v>
      </c>
    </row>
    <row r="598" spans="15:61" hidden="1">
      <c r="O598" s="57"/>
      <c r="P598" s="57"/>
      <c r="AO598" s="57"/>
      <c r="AP598" s="57"/>
      <c r="BA598" s="57"/>
      <c r="BF598" s="6" t="e">
        <f t="shared" si="27"/>
        <v>#NUM!</v>
      </c>
      <c r="BG598" t="e">
        <f t="shared" si="28"/>
        <v>#NUM!</v>
      </c>
      <c r="BH598" t="e">
        <f t="shared" si="29"/>
        <v>#NUM!</v>
      </c>
      <c r="BI598" t="e">
        <f>VLOOKUP(H598,Sheet2!$A$1:$B$270,2,FALSE)</f>
        <v>#N/A</v>
      </c>
    </row>
    <row r="599" spans="15:61" hidden="1">
      <c r="O599" s="57"/>
      <c r="P599" s="57"/>
      <c r="AO599" s="57"/>
      <c r="BA599" s="57"/>
      <c r="BF599" s="6" t="e">
        <f t="shared" si="27"/>
        <v>#NUM!</v>
      </c>
      <c r="BG599" t="e">
        <f t="shared" si="28"/>
        <v>#NUM!</v>
      </c>
      <c r="BH599" t="e">
        <f t="shared" si="29"/>
        <v>#NUM!</v>
      </c>
      <c r="BI599" t="e">
        <f>VLOOKUP(H599,Sheet2!$A$1:$B$270,2,FALSE)</f>
        <v>#N/A</v>
      </c>
    </row>
    <row r="600" spans="15:61" hidden="1">
      <c r="O600" s="57"/>
      <c r="P600" s="57"/>
      <c r="AO600" s="57"/>
      <c r="BA600" s="57"/>
      <c r="BF600" s="6" t="e">
        <f t="shared" si="27"/>
        <v>#NUM!</v>
      </c>
      <c r="BG600" t="e">
        <f t="shared" si="28"/>
        <v>#NUM!</v>
      </c>
      <c r="BH600" t="e">
        <f t="shared" si="29"/>
        <v>#NUM!</v>
      </c>
      <c r="BI600" t="e">
        <f>VLOOKUP(H600,Sheet2!$A$1:$B$270,2,FALSE)</f>
        <v>#N/A</v>
      </c>
    </row>
    <row r="601" spans="15:61" hidden="1">
      <c r="O601" s="57"/>
      <c r="P601" s="57"/>
      <c r="AP601" s="57"/>
      <c r="BA601" s="57"/>
      <c r="BF601" s="6" t="e">
        <f t="shared" si="27"/>
        <v>#NUM!</v>
      </c>
      <c r="BG601" t="e">
        <f t="shared" si="28"/>
        <v>#NUM!</v>
      </c>
      <c r="BH601" t="e">
        <f t="shared" si="29"/>
        <v>#NUM!</v>
      </c>
      <c r="BI601" t="e">
        <f>VLOOKUP(H601,Sheet2!$A$1:$B$270,2,FALSE)</f>
        <v>#N/A</v>
      </c>
    </row>
    <row r="602" spans="15:61" hidden="1">
      <c r="O602" s="57"/>
      <c r="P602" s="57"/>
      <c r="AP602" s="57"/>
      <c r="BA602" s="57"/>
      <c r="BF602" s="6" t="e">
        <f t="shared" si="27"/>
        <v>#NUM!</v>
      </c>
      <c r="BG602" t="e">
        <f t="shared" si="28"/>
        <v>#NUM!</v>
      </c>
      <c r="BH602" t="e">
        <f t="shared" si="29"/>
        <v>#NUM!</v>
      </c>
      <c r="BI602" t="e">
        <f>VLOOKUP(H602,Sheet2!$A$1:$B$270,2,FALSE)</f>
        <v>#N/A</v>
      </c>
    </row>
    <row r="603" spans="15:61" hidden="1">
      <c r="O603" s="57"/>
      <c r="P603" s="57"/>
      <c r="AP603" s="57"/>
      <c r="BA603" s="57"/>
      <c r="BF603" s="6" t="e">
        <f t="shared" si="27"/>
        <v>#NUM!</v>
      </c>
      <c r="BG603" t="e">
        <f t="shared" si="28"/>
        <v>#NUM!</v>
      </c>
      <c r="BH603" t="e">
        <f t="shared" si="29"/>
        <v>#NUM!</v>
      </c>
      <c r="BI603" t="e">
        <f>VLOOKUP(H603,Sheet2!$A$1:$B$270,2,FALSE)</f>
        <v>#N/A</v>
      </c>
    </row>
    <row r="604" spans="15:61" hidden="1">
      <c r="O604" s="57"/>
      <c r="P604" s="57"/>
      <c r="AP604" s="57"/>
      <c r="BA604" s="57"/>
      <c r="BF604" s="6" t="e">
        <f t="shared" si="27"/>
        <v>#NUM!</v>
      </c>
      <c r="BG604" t="e">
        <f t="shared" si="28"/>
        <v>#NUM!</v>
      </c>
      <c r="BH604" t="e">
        <f t="shared" si="29"/>
        <v>#NUM!</v>
      </c>
      <c r="BI604" t="e">
        <f>VLOOKUP(H604,Sheet2!$A$1:$B$270,2,FALSE)</f>
        <v>#N/A</v>
      </c>
    </row>
    <row r="605" spans="15:61" hidden="1">
      <c r="O605" s="57"/>
      <c r="P605" s="57"/>
      <c r="BA605" s="57"/>
      <c r="BF605" s="6" t="e">
        <f t="shared" si="27"/>
        <v>#NUM!</v>
      </c>
      <c r="BG605" t="e">
        <f t="shared" si="28"/>
        <v>#NUM!</v>
      </c>
      <c r="BH605" t="e">
        <f t="shared" si="29"/>
        <v>#NUM!</v>
      </c>
      <c r="BI605" t="e">
        <f>VLOOKUP(H605,Sheet2!$A$1:$B$270,2,FALSE)</f>
        <v>#N/A</v>
      </c>
    </row>
    <row r="606" spans="15:61" hidden="1">
      <c r="O606" s="57"/>
      <c r="P606" s="57"/>
      <c r="AP606" s="57"/>
      <c r="BA606" s="57"/>
      <c r="BF606" s="6" t="e">
        <f t="shared" si="27"/>
        <v>#NUM!</v>
      </c>
      <c r="BG606" t="e">
        <f t="shared" si="28"/>
        <v>#NUM!</v>
      </c>
      <c r="BH606" t="e">
        <f t="shared" si="29"/>
        <v>#NUM!</v>
      </c>
      <c r="BI606" t="e">
        <f>VLOOKUP(H606,Sheet2!$A$1:$B$270,2,FALSE)</f>
        <v>#N/A</v>
      </c>
    </row>
    <row r="607" spans="15:61" hidden="1">
      <c r="O607" s="57"/>
      <c r="P607" s="57"/>
      <c r="AP607" s="57"/>
      <c r="BA607" s="57"/>
      <c r="BF607" s="6" t="e">
        <f t="shared" si="27"/>
        <v>#NUM!</v>
      </c>
      <c r="BG607" t="e">
        <f t="shared" si="28"/>
        <v>#NUM!</v>
      </c>
      <c r="BH607" t="e">
        <f t="shared" si="29"/>
        <v>#NUM!</v>
      </c>
      <c r="BI607" t="e">
        <f>VLOOKUP(H607,Sheet2!$A$1:$B$270,2,FALSE)</f>
        <v>#N/A</v>
      </c>
    </row>
    <row r="608" spans="15:61" hidden="1">
      <c r="O608" s="57"/>
      <c r="P608" s="57"/>
      <c r="AP608" s="57"/>
      <c r="BA608" s="57"/>
      <c r="BF608" s="6" t="e">
        <f t="shared" si="27"/>
        <v>#NUM!</v>
      </c>
      <c r="BG608" t="e">
        <f t="shared" si="28"/>
        <v>#NUM!</v>
      </c>
      <c r="BH608" t="e">
        <f t="shared" si="29"/>
        <v>#NUM!</v>
      </c>
      <c r="BI608" t="e">
        <f>VLOOKUP(H608,Sheet2!$A$1:$B$270,2,FALSE)</f>
        <v>#N/A</v>
      </c>
    </row>
    <row r="609" spans="15:61" hidden="1">
      <c r="O609" s="57"/>
      <c r="P609" s="57"/>
      <c r="BA609" s="57"/>
      <c r="BF609" s="6" t="e">
        <f t="shared" si="27"/>
        <v>#NUM!</v>
      </c>
      <c r="BG609" t="e">
        <f t="shared" si="28"/>
        <v>#NUM!</v>
      </c>
      <c r="BH609" t="e">
        <f t="shared" si="29"/>
        <v>#NUM!</v>
      </c>
      <c r="BI609" t="e">
        <f>VLOOKUP(H609,Sheet2!$A$1:$B$270,2,FALSE)</f>
        <v>#N/A</v>
      </c>
    </row>
    <row r="610" spans="15:61" hidden="1">
      <c r="O610" s="57"/>
      <c r="P610" s="57"/>
      <c r="AP610" s="57"/>
      <c r="BA610" s="57"/>
      <c r="BF610" s="6" t="e">
        <f t="shared" si="27"/>
        <v>#NUM!</v>
      </c>
      <c r="BG610" t="e">
        <f t="shared" si="28"/>
        <v>#NUM!</v>
      </c>
      <c r="BH610" t="e">
        <f t="shared" si="29"/>
        <v>#NUM!</v>
      </c>
      <c r="BI610" t="e">
        <f>VLOOKUP(H610,Sheet2!$A$1:$B$270,2,FALSE)</f>
        <v>#N/A</v>
      </c>
    </row>
    <row r="611" spans="15:61" hidden="1">
      <c r="O611" s="57"/>
      <c r="P611" s="57"/>
      <c r="AO611" s="57"/>
      <c r="AP611" s="57"/>
      <c r="BA611" s="57"/>
      <c r="BF611" s="6" t="e">
        <f t="shared" si="27"/>
        <v>#NUM!</v>
      </c>
      <c r="BG611" t="e">
        <f t="shared" si="28"/>
        <v>#NUM!</v>
      </c>
      <c r="BH611" t="e">
        <f t="shared" si="29"/>
        <v>#NUM!</v>
      </c>
      <c r="BI611" t="e">
        <f>VLOOKUP(H611,Sheet2!$A$1:$B$270,2,FALSE)</f>
        <v>#N/A</v>
      </c>
    </row>
    <row r="612" spans="15:61" hidden="1">
      <c r="O612" s="57"/>
      <c r="P612" s="57"/>
      <c r="AO612" s="57"/>
      <c r="AP612" s="57"/>
      <c r="BA612" s="57"/>
      <c r="BF612" s="6" t="e">
        <f t="shared" si="27"/>
        <v>#NUM!</v>
      </c>
      <c r="BG612" t="e">
        <f t="shared" si="28"/>
        <v>#NUM!</v>
      </c>
      <c r="BH612" t="e">
        <f t="shared" si="29"/>
        <v>#NUM!</v>
      </c>
      <c r="BI612" t="e">
        <f>VLOOKUP(H612,Sheet2!$A$1:$B$270,2,FALSE)</f>
        <v>#N/A</v>
      </c>
    </row>
    <row r="613" spans="15:61" hidden="1">
      <c r="O613" s="57"/>
      <c r="P613" s="57"/>
      <c r="AO613" s="57"/>
      <c r="AP613" s="57"/>
      <c r="BA613" s="57"/>
      <c r="BF613" s="6" t="e">
        <f t="shared" si="27"/>
        <v>#NUM!</v>
      </c>
      <c r="BG613" t="e">
        <f t="shared" si="28"/>
        <v>#NUM!</v>
      </c>
      <c r="BH613" t="e">
        <f t="shared" si="29"/>
        <v>#NUM!</v>
      </c>
      <c r="BI613" t="e">
        <f>VLOOKUP(H613,Sheet2!$A$1:$B$270,2,FALSE)</f>
        <v>#N/A</v>
      </c>
    </row>
    <row r="614" spans="15:61" hidden="1">
      <c r="O614" s="57"/>
      <c r="P614" s="57"/>
      <c r="AO614" s="57"/>
      <c r="AP614" s="57"/>
      <c r="BA614" s="57"/>
      <c r="BF614" s="6" t="e">
        <f t="shared" si="27"/>
        <v>#NUM!</v>
      </c>
      <c r="BG614" t="e">
        <f t="shared" si="28"/>
        <v>#NUM!</v>
      </c>
      <c r="BH614" t="e">
        <f t="shared" si="29"/>
        <v>#NUM!</v>
      </c>
      <c r="BI614" t="e">
        <f>VLOOKUP(H614,Sheet2!$A$1:$B$270,2,FALSE)</f>
        <v>#N/A</v>
      </c>
    </row>
    <row r="615" spans="15:61" hidden="1">
      <c r="O615" s="57"/>
      <c r="P615" s="57"/>
      <c r="AO615" s="57"/>
      <c r="AP615" s="57"/>
      <c r="BA615" s="57"/>
      <c r="BF615" s="6" t="e">
        <f t="shared" si="27"/>
        <v>#NUM!</v>
      </c>
      <c r="BG615" t="e">
        <f t="shared" si="28"/>
        <v>#NUM!</v>
      </c>
      <c r="BH615" t="e">
        <f t="shared" si="29"/>
        <v>#NUM!</v>
      </c>
      <c r="BI615" t="e">
        <f>VLOOKUP(H615,Sheet2!$A$1:$B$270,2,FALSE)</f>
        <v>#N/A</v>
      </c>
    </row>
    <row r="616" spans="15:61" hidden="1">
      <c r="O616" s="57"/>
      <c r="P616" s="57"/>
      <c r="AO616" s="57"/>
      <c r="AP616" s="57"/>
      <c r="BA616" s="57"/>
      <c r="BF616" s="6" t="e">
        <f t="shared" si="27"/>
        <v>#NUM!</v>
      </c>
      <c r="BG616" t="e">
        <f t="shared" si="28"/>
        <v>#NUM!</v>
      </c>
      <c r="BH616" t="e">
        <f t="shared" si="29"/>
        <v>#NUM!</v>
      </c>
      <c r="BI616" t="e">
        <f>VLOOKUP(H616,Sheet2!$A$1:$B$270,2,FALSE)</f>
        <v>#N/A</v>
      </c>
    </row>
    <row r="617" spans="15:61" hidden="1">
      <c r="O617" s="57"/>
      <c r="P617" s="57"/>
      <c r="AO617" s="57"/>
      <c r="AP617" s="57"/>
      <c r="BA617" s="57"/>
      <c r="BF617" s="6" t="e">
        <f t="shared" si="27"/>
        <v>#NUM!</v>
      </c>
      <c r="BG617" t="e">
        <f t="shared" si="28"/>
        <v>#NUM!</v>
      </c>
      <c r="BH617" t="e">
        <f t="shared" si="29"/>
        <v>#NUM!</v>
      </c>
      <c r="BI617" t="e">
        <f>VLOOKUP(H617,Sheet2!$A$1:$B$270,2,FALSE)</f>
        <v>#N/A</v>
      </c>
    </row>
    <row r="618" spans="15:61" hidden="1">
      <c r="O618" s="57"/>
      <c r="P618" s="57"/>
      <c r="AP618" s="57"/>
      <c r="BA618" s="57"/>
      <c r="BF618" s="6" t="e">
        <f t="shared" si="27"/>
        <v>#NUM!</v>
      </c>
      <c r="BG618" t="e">
        <f t="shared" si="28"/>
        <v>#NUM!</v>
      </c>
      <c r="BH618" t="e">
        <f t="shared" si="29"/>
        <v>#NUM!</v>
      </c>
      <c r="BI618" t="e">
        <f>VLOOKUP(H618,Sheet2!$A$1:$B$270,2,FALSE)</f>
        <v>#N/A</v>
      </c>
    </row>
    <row r="619" spans="15:61" hidden="1">
      <c r="O619" s="57"/>
      <c r="P619" s="57"/>
      <c r="AP619" s="57"/>
      <c r="BA619" s="57"/>
      <c r="BF619" s="6" t="e">
        <f t="shared" si="27"/>
        <v>#NUM!</v>
      </c>
      <c r="BG619" t="e">
        <f t="shared" si="28"/>
        <v>#NUM!</v>
      </c>
      <c r="BH619" t="e">
        <f t="shared" si="29"/>
        <v>#NUM!</v>
      </c>
      <c r="BI619" t="e">
        <f>VLOOKUP(H619,Sheet2!$A$1:$B$270,2,FALSE)</f>
        <v>#N/A</v>
      </c>
    </row>
    <row r="620" spans="15:61" hidden="1">
      <c r="O620" s="57"/>
      <c r="P620" s="57"/>
      <c r="AO620" s="57"/>
      <c r="AP620" s="57"/>
      <c r="BA620" s="57"/>
      <c r="BF620" s="6" t="e">
        <f t="shared" si="27"/>
        <v>#NUM!</v>
      </c>
      <c r="BG620" t="e">
        <f t="shared" si="28"/>
        <v>#NUM!</v>
      </c>
      <c r="BH620" t="e">
        <f t="shared" si="29"/>
        <v>#NUM!</v>
      </c>
      <c r="BI620" t="e">
        <f>VLOOKUP(H620,Sheet2!$A$1:$B$270,2,FALSE)</f>
        <v>#N/A</v>
      </c>
    </row>
    <row r="621" spans="15:61" hidden="1">
      <c r="O621" s="57"/>
      <c r="P621" s="57"/>
      <c r="AP621" s="57"/>
      <c r="BA621" s="57"/>
      <c r="BF621" s="6" t="e">
        <f t="shared" si="27"/>
        <v>#NUM!</v>
      </c>
      <c r="BG621" t="e">
        <f t="shared" si="28"/>
        <v>#NUM!</v>
      </c>
      <c r="BH621" t="e">
        <f t="shared" si="29"/>
        <v>#NUM!</v>
      </c>
      <c r="BI621" t="e">
        <f>VLOOKUP(H621,Sheet2!$A$1:$B$270,2,FALSE)</f>
        <v>#N/A</v>
      </c>
    </row>
    <row r="622" spans="15:61" hidden="1">
      <c r="O622" s="57"/>
      <c r="P622" s="57"/>
      <c r="AP622" s="57"/>
      <c r="BA622" s="57"/>
      <c r="BF622" s="6" t="e">
        <f t="shared" si="27"/>
        <v>#NUM!</v>
      </c>
      <c r="BG622" t="e">
        <f t="shared" si="28"/>
        <v>#NUM!</v>
      </c>
      <c r="BH622" t="e">
        <f t="shared" si="29"/>
        <v>#NUM!</v>
      </c>
      <c r="BI622" t="e">
        <f>VLOOKUP(H622,Sheet2!$A$1:$B$270,2,FALSE)</f>
        <v>#N/A</v>
      </c>
    </row>
    <row r="623" spans="15:61" hidden="1">
      <c r="O623" s="57"/>
      <c r="P623" s="57"/>
      <c r="AO623" s="57"/>
      <c r="AP623" s="57"/>
      <c r="BA623" s="57"/>
      <c r="BF623" s="6" t="e">
        <f t="shared" si="27"/>
        <v>#NUM!</v>
      </c>
      <c r="BG623" t="e">
        <f t="shared" si="28"/>
        <v>#NUM!</v>
      </c>
      <c r="BH623" t="e">
        <f t="shared" si="29"/>
        <v>#NUM!</v>
      </c>
      <c r="BI623" t="e">
        <f>VLOOKUP(H623,Sheet2!$A$1:$B$270,2,FALSE)</f>
        <v>#N/A</v>
      </c>
    </row>
    <row r="624" spans="15:61" hidden="1">
      <c r="O624" s="57"/>
      <c r="P624" s="57"/>
      <c r="AO624" s="57"/>
      <c r="AP624" s="57"/>
      <c r="BA624" s="57"/>
      <c r="BF624" s="6" t="e">
        <f t="shared" si="27"/>
        <v>#NUM!</v>
      </c>
      <c r="BG624" t="e">
        <f t="shared" si="28"/>
        <v>#NUM!</v>
      </c>
      <c r="BH624" t="e">
        <f t="shared" si="29"/>
        <v>#NUM!</v>
      </c>
      <c r="BI624" t="e">
        <f>VLOOKUP(H624,Sheet2!$A$1:$B$270,2,FALSE)</f>
        <v>#N/A</v>
      </c>
    </row>
    <row r="625" spans="15:61" hidden="1">
      <c r="O625" s="57"/>
      <c r="P625" s="57"/>
      <c r="AO625" s="57"/>
      <c r="AP625" s="57"/>
      <c r="BA625" s="57"/>
      <c r="BF625" s="6" t="e">
        <f t="shared" si="27"/>
        <v>#NUM!</v>
      </c>
      <c r="BG625" t="e">
        <f t="shared" si="28"/>
        <v>#NUM!</v>
      </c>
      <c r="BH625" t="e">
        <f t="shared" si="29"/>
        <v>#NUM!</v>
      </c>
      <c r="BI625" t="e">
        <f>VLOOKUP(H625,Sheet2!$A$1:$B$270,2,FALSE)</f>
        <v>#N/A</v>
      </c>
    </row>
    <row r="626" spans="15:61" hidden="1">
      <c r="O626" s="57"/>
      <c r="P626" s="57"/>
      <c r="AO626" s="57"/>
      <c r="AP626" s="57"/>
      <c r="BA626" s="57"/>
      <c r="BF626" s="6" t="e">
        <f t="shared" si="27"/>
        <v>#NUM!</v>
      </c>
      <c r="BG626" t="e">
        <f t="shared" si="28"/>
        <v>#NUM!</v>
      </c>
      <c r="BH626" t="e">
        <f t="shared" si="29"/>
        <v>#NUM!</v>
      </c>
      <c r="BI626" t="e">
        <f>VLOOKUP(H626,Sheet2!$A$1:$B$270,2,FALSE)</f>
        <v>#N/A</v>
      </c>
    </row>
    <row r="627" spans="15:61" hidden="1">
      <c r="O627" s="57"/>
      <c r="P627" s="57"/>
      <c r="AO627" s="57"/>
      <c r="AP627" s="57"/>
      <c r="BA627" s="57"/>
      <c r="BF627" s="6" t="e">
        <f t="shared" si="27"/>
        <v>#NUM!</v>
      </c>
      <c r="BG627" t="e">
        <f t="shared" si="28"/>
        <v>#NUM!</v>
      </c>
      <c r="BH627" t="e">
        <f t="shared" si="29"/>
        <v>#NUM!</v>
      </c>
      <c r="BI627" t="e">
        <f>VLOOKUP(H627,Sheet2!$A$1:$B$270,2,FALSE)</f>
        <v>#N/A</v>
      </c>
    </row>
    <row r="628" spans="15:61" hidden="1">
      <c r="O628" s="57"/>
      <c r="P628" s="57"/>
      <c r="AO628" s="57"/>
      <c r="AP628" s="57"/>
      <c r="BA628" s="57"/>
      <c r="BF628" s="6" t="e">
        <f t="shared" si="27"/>
        <v>#NUM!</v>
      </c>
      <c r="BG628" t="e">
        <f t="shared" si="28"/>
        <v>#NUM!</v>
      </c>
      <c r="BH628" t="e">
        <f t="shared" si="29"/>
        <v>#NUM!</v>
      </c>
      <c r="BI628" t="e">
        <f>VLOOKUP(H628,Sheet2!$A$1:$B$270,2,FALSE)</f>
        <v>#N/A</v>
      </c>
    </row>
    <row r="629" spans="15:61" hidden="1">
      <c r="O629" s="57"/>
      <c r="P629" s="57"/>
      <c r="AO629" s="57"/>
      <c r="AP629" s="57"/>
      <c r="BA629" s="57"/>
      <c r="BF629" s="6" t="e">
        <f t="shared" si="27"/>
        <v>#NUM!</v>
      </c>
      <c r="BG629" t="e">
        <f t="shared" si="28"/>
        <v>#NUM!</v>
      </c>
      <c r="BH629" t="e">
        <f t="shared" si="29"/>
        <v>#NUM!</v>
      </c>
      <c r="BI629" t="e">
        <f>VLOOKUP(H629,Sheet2!$A$1:$B$270,2,FALSE)</f>
        <v>#N/A</v>
      </c>
    </row>
    <row r="630" spans="15:61" hidden="1">
      <c r="O630" s="57"/>
      <c r="P630" s="57"/>
      <c r="AO630" s="57"/>
      <c r="AP630" s="57"/>
      <c r="BA630" s="57"/>
      <c r="BF630" s="6" t="e">
        <f t="shared" si="27"/>
        <v>#NUM!</v>
      </c>
      <c r="BG630" t="e">
        <f t="shared" si="28"/>
        <v>#NUM!</v>
      </c>
      <c r="BH630" t="e">
        <f t="shared" si="29"/>
        <v>#NUM!</v>
      </c>
      <c r="BI630" t="e">
        <f>VLOOKUP(H630,Sheet2!$A$1:$B$270,2,FALSE)</f>
        <v>#N/A</v>
      </c>
    </row>
    <row r="631" spans="15:61" hidden="1">
      <c r="O631" s="57"/>
      <c r="P631" s="57"/>
      <c r="AP631" s="57"/>
      <c r="BA631" s="57"/>
      <c r="BF631" s="6" t="e">
        <f t="shared" si="27"/>
        <v>#NUM!</v>
      </c>
      <c r="BG631" t="e">
        <f t="shared" si="28"/>
        <v>#NUM!</v>
      </c>
      <c r="BH631" t="e">
        <f t="shared" si="29"/>
        <v>#NUM!</v>
      </c>
      <c r="BI631" t="e">
        <f>VLOOKUP(H631,Sheet2!$A$1:$B$270,2,FALSE)</f>
        <v>#N/A</v>
      </c>
    </row>
    <row r="632" spans="15:61" hidden="1">
      <c r="O632" s="57"/>
      <c r="P632" s="57"/>
      <c r="AP632" s="57"/>
      <c r="BA632" s="57"/>
      <c r="BF632" s="6" t="e">
        <f t="shared" si="27"/>
        <v>#NUM!</v>
      </c>
      <c r="BG632" t="e">
        <f t="shared" si="28"/>
        <v>#NUM!</v>
      </c>
      <c r="BH632" t="e">
        <f t="shared" si="29"/>
        <v>#NUM!</v>
      </c>
      <c r="BI632" t="e">
        <f>VLOOKUP(H632,Sheet2!$A$1:$B$270,2,FALSE)</f>
        <v>#N/A</v>
      </c>
    </row>
    <row r="633" spans="15:61" hidden="1">
      <c r="O633" s="57"/>
      <c r="P633" s="57"/>
      <c r="BA633" s="57"/>
      <c r="BF633" s="6" t="e">
        <f t="shared" si="27"/>
        <v>#NUM!</v>
      </c>
      <c r="BG633" t="e">
        <f t="shared" si="28"/>
        <v>#NUM!</v>
      </c>
      <c r="BH633" t="e">
        <f t="shared" si="29"/>
        <v>#NUM!</v>
      </c>
      <c r="BI633" t="e">
        <f>VLOOKUP(H633,Sheet2!$A$1:$B$270,2,FALSE)</f>
        <v>#N/A</v>
      </c>
    </row>
    <row r="634" spans="15:61" hidden="1">
      <c r="O634" s="57"/>
      <c r="P634" s="57"/>
      <c r="AP634" s="57"/>
      <c r="BA634" s="57"/>
      <c r="BF634" s="6" t="e">
        <f t="shared" si="27"/>
        <v>#NUM!</v>
      </c>
      <c r="BG634" t="e">
        <f t="shared" si="28"/>
        <v>#NUM!</v>
      </c>
      <c r="BH634" t="e">
        <f t="shared" si="29"/>
        <v>#NUM!</v>
      </c>
      <c r="BI634" t="e">
        <f>VLOOKUP(H634,Sheet2!$A$1:$B$270,2,FALSE)</f>
        <v>#N/A</v>
      </c>
    </row>
    <row r="635" spans="15:61" hidden="1">
      <c r="O635" s="57"/>
      <c r="P635" s="57"/>
      <c r="AP635" s="57"/>
      <c r="BA635" s="57"/>
      <c r="BF635" s="6" t="e">
        <f t="shared" si="27"/>
        <v>#NUM!</v>
      </c>
      <c r="BG635" t="e">
        <f t="shared" si="28"/>
        <v>#NUM!</v>
      </c>
      <c r="BH635" t="e">
        <f t="shared" si="29"/>
        <v>#NUM!</v>
      </c>
      <c r="BI635" t="e">
        <f>VLOOKUP(H635,Sheet2!$A$1:$B$270,2,FALSE)</f>
        <v>#N/A</v>
      </c>
    </row>
    <row r="636" spans="15:61" hidden="1">
      <c r="O636" s="57"/>
      <c r="P636" s="57"/>
      <c r="BA636" s="57"/>
      <c r="BF636" s="6" t="e">
        <f t="shared" si="27"/>
        <v>#NUM!</v>
      </c>
      <c r="BG636" t="e">
        <f t="shared" si="28"/>
        <v>#NUM!</v>
      </c>
      <c r="BH636" t="e">
        <f t="shared" si="29"/>
        <v>#NUM!</v>
      </c>
      <c r="BI636" t="e">
        <f>VLOOKUP(H636,Sheet2!$A$1:$B$270,2,FALSE)</f>
        <v>#N/A</v>
      </c>
    </row>
    <row r="637" spans="15:61" hidden="1">
      <c r="O637" s="57"/>
      <c r="P637" s="57"/>
      <c r="AP637" s="57"/>
      <c r="BA637" s="57"/>
      <c r="BF637" s="6" t="e">
        <f t="shared" si="27"/>
        <v>#NUM!</v>
      </c>
      <c r="BG637" t="e">
        <f t="shared" si="28"/>
        <v>#NUM!</v>
      </c>
      <c r="BH637" t="e">
        <f t="shared" si="29"/>
        <v>#NUM!</v>
      </c>
      <c r="BI637" t="e">
        <f>VLOOKUP(H637,Sheet2!$A$1:$B$270,2,FALSE)</f>
        <v>#N/A</v>
      </c>
    </row>
    <row r="638" spans="15:61" hidden="1">
      <c r="O638" s="57"/>
      <c r="P638" s="57"/>
      <c r="AO638" s="57"/>
      <c r="AP638" s="57"/>
      <c r="BA638" s="57"/>
      <c r="BF638" s="6" t="e">
        <f t="shared" si="27"/>
        <v>#NUM!</v>
      </c>
      <c r="BG638" t="e">
        <f t="shared" si="28"/>
        <v>#NUM!</v>
      </c>
      <c r="BH638" t="e">
        <f t="shared" si="29"/>
        <v>#NUM!</v>
      </c>
      <c r="BI638" t="e">
        <f>VLOOKUP(H638,Sheet2!$A$1:$B$270,2,FALSE)</f>
        <v>#N/A</v>
      </c>
    </row>
    <row r="639" spans="15:61" hidden="1">
      <c r="O639" s="57"/>
      <c r="P639" s="57"/>
      <c r="AP639" s="57"/>
      <c r="BA639" s="57"/>
      <c r="BF639" s="6" t="e">
        <f t="shared" si="27"/>
        <v>#NUM!</v>
      </c>
      <c r="BG639" t="e">
        <f t="shared" si="28"/>
        <v>#NUM!</v>
      </c>
      <c r="BH639" t="e">
        <f t="shared" si="29"/>
        <v>#NUM!</v>
      </c>
      <c r="BI639" t="e">
        <f>VLOOKUP(H639,Sheet2!$A$1:$B$270,2,FALSE)</f>
        <v>#N/A</v>
      </c>
    </row>
    <row r="640" spans="15:61" hidden="1">
      <c r="O640" s="57"/>
      <c r="P640" s="57"/>
      <c r="BA640" s="57"/>
      <c r="BF640" s="6" t="e">
        <f t="shared" si="27"/>
        <v>#NUM!</v>
      </c>
      <c r="BG640" t="e">
        <f t="shared" si="28"/>
        <v>#NUM!</v>
      </c>
      <c r="BH640" t="e">
        <f t="shared" si="29"/>
        <v>#NUM!</v>
      </c>
      <c r="BI640" t="e">
        <f>VLOOKUP(H640,Sheet2!$A$1:$B$270,2,FALSE)</f>
        <v>#N/A</v>
      </c>
    </row>
    <row r="641" spans="15:61" hidden="1">
      <c r="O641" s="57"/>
      <c r="P641" s="57"/>
      <c r="AO641" s="57"/>
      <c r="AP641" s="57"/>
      <c r="BA641" s="57"/>
      <c r="BF641" s="6" t="e">
        <f t="shared" si="27"/>
        <v>#NUM!</v>
      </c>
      <c r="BG641" t="e">
        <f t="shared" si="28"/>
        <v>#NUM!</v>
      </c>
      <c r="BH641" t="e">
        <f t="shared" si="29"/>
        <v>#NUM!</v>
      </c>
      <c r="BI641" t="e">
        <f>VLOOKUP(H641,Sheet2!$A$1:$B$270,2,FALSE)</f>
        <v>#N/A</v>
      </c>
    </row>
    <row r="642" spans="15:61" hidden="1">
      <c r="O642" s="57"/>
      <c r="P642" s="57"/>
      <c r="AO642" s="57"/>
      <c r="AP642" s="57"/>
      <c r="BA642" s="57"/>
      <c r="BF642" s="6" t="e">
        <f t="shared" ref="BF642:BF705" si="30">DATE(BC642,BD642,BE642)</f>
        <v>#NUM!</v>
      </c>
      <c r="BG642" t="e">
        <f t="shared" ref="BG642:BG705" si="31">BF642-BA642</f>
        <v>#NUM!</v>
      </c>
      <c r="BH642" t="e">
        <f t="shared" ref="BH642:BH705" si="32">IF(BG642=1,"COMPLY",IF(BG642&lt;1,"COMPLY","NOT COMPLY"))</f>
        <v>#NUM!</v>
      </c>
      <c r="BI642" t="e">
        <f>VLOOKUP(H642,Sheet2!$A$1:$B$270,2,FALSE)</f>
        <v>#N/A</v>
      </c>
    </row>
    <row r="643" spans="15:61" hidden="1">
      <c r="O643" s="57"/>
      <c r="P643" s="57"/>
      <c r="AO643" s="57"/>
      <c r="AP643" s="57"/>
      <c r="BA643" s="57"/>
      <c r="BF643" s="6" t="e">
        <f t="shared" si="30"/>
        <v>#NUM!</v>
      </c>
      <c r="BG643" t="e">
        <f t="shared" si="31"/>
        <v>#NUM!</v>
      </c>
      <c r="BH643" t="e">
        <f t="shared" si="32"/>
        <v>#NUM!</v>
      </c>
      <c r="BI643" t="e">
        <f>VLOOKUP(H643,Sheet2!$A$1:$B$270,2,FALSE)</f>
        <v>#N/A</v>
      </c>
    </row>
    <row r="644" spans="15:61" hidden="1">
      <c r="O644" s="57"/>
      <c r="P644" s="57"/>
      <c r="AO644" s="57"/>
      <c r="BA644" s="57"/>
      <c r="BF644" s="6" t="e">
        <f t="shared" si="30"/>
        <v>#NUM!</v>
      </c>
      <c r="BG644" t="e">
        <f t="shared" si="31"/>
        <v>#NUM!</v>
      </c>
      <c r="BH644" t="e">
        <f t="shared" si="32"/>
        <v>#NUM!</v>
      </c>
      <c r="BI644" t="e">
        <f>VLOOKUP(H644,Sheet2!$A$1:$B$270,2,FALSE)</f>
        <v>#N/A</v>
      </c>
    </row>
    <row r="645" spans="15:61" hidden="1">
      <c r="O645" s="57"/>
      <c r="P645" s="57"/>
      <c r="AO645" s="57"/>
      <c r="BA645" s="57"/>
      <c r="BF645" s="6" t="e">
        <f t="shared" si="30"/>
        <v>#NUM!</v>
      </c>
      <c r="BG645" t="e">
        <f t="shared" si="31"/>
        <v>#NUM!</v>
      </c>
      <c r="BH645" t="e">
        <f t="shared" si="32"/>
        <v>#NUM!</v>
      </c>
      <c r="BI645" t="e">
        <f>VLOOKUP(H645,Sheet2!$A$1:$B$270,2,FALSE)</f>
        <v>#N/A</v>
      </c>
    </row>
    <row r="646" spans="15:61" hidden="1">
      <c r="O646" s="57"/>
      <c r="P646" s="57"/>
      <c r="AO646" s="57"/>
      <c r="AP646" s="57"/>
      <c r="BA646" s="57"/>
      <c r="BF646" s="6" t="e">
        <f t="shared" si="30"/>
        <v>#NUM!</v>
      </c>
      <c r="BG646" t="e">
        <f t="shared" si="31"/>
        <v>#NUM!</v>
      </c>
      <c r="BH646" t="e">
        <f t="shared" si="32"/>
        <v>#NUM!</v>
      </c>
      <c r="BI646" t="e">
        <f>VLOOKUP(H646,Sheet2!$A$1:$B$270,2,FALSE)</f>
        <v>#N/A</v>
      </c>
    </row>
    <row r="647" spans="15:61" hidden="1">
      <c r="O647" s="57"/>
      <c r="P647" s="57"/>
      <c r="AP647" s="57"/>
      <c r="BA647" s="57"/>
      <c r="BF647" s="6" t="e">
        <f t="shared" si="30"/>
        <v>#NUM!</v>
      </c>
      <c r="BG647" t="e">
        <f t="shared" si="31"/>
        <v>#NUM!</v>
      </c>
      <c r="BH647" t="e">
        <f t="shared" si="32"/>
        <v>#NUM!</v>
      </c>
      <c r="BI647" t="e">
        <f>VLOOKUP(H647,Sheet2!$A$1:$B$270,2,FALSE)</f>
        <v>#N/A</v>
      </c>
    </row>
    <row r="648" spans="15:61" hidden="1">
      <c r="O648" s="57"/>
      <c r="P648" s="57"/>
      <c r="AP648" s="57"/>
      <c r="BA648" s="57"/>
      <c r="BF648" s="6" t="e">
        <f t="shared" si="30"/>
        <v>#NUM!</v>
      </c>
      <c r="BG648" t="e">
        <f t="shared" si="31"/>
        <v>#NUM!</v>
      </c>
      <c r="BH648" t="e">
        <f t="shared" si="32"/>
        <v>#NUM!</v>
      </c>
      <c r="BI648" t="e">
        <f>VLOOKUP(H648,Sheet2!$A$1:$B$270,2,FALSE)</f>
        <v>#N/A</v>
      </c>
    </row>
    <row r="649" spans="15:61" hidden="1">
      <c r="O649" s="57"/>
      <c r="P649" s="57"/>
      <c r="AP649" s="57"/>
      <c r="BA649" s="57"/>
      <c r="BF649" s="6" t="e">
        <f t="shared" si="30"/>
        <v>#NUM!</v>
      </c>
      <c r="BG649" t="e">
        <f t="shared" si="31"/>
        <v>#NUM!</v>
      </c>
      <c r="BH649" t="e">
        <f t="shared" si="32"/>
        <v>#NUM!</v>
      </c>
      <c r="BI649" t="e">
        <f>VLOOKUP(H649,Sheet2!$A$1:$B$270,2,FALSE)</f>
        <v>#N/A</v>
      </c>
    </row>
    <row r="650" spans="15:61" hidden="1">
      <c r="O650" s="57"/>
      <c r="P650" s="57"/>
      <c r="BA650" s="57"/>
      <c r="BF650" s="6" t="e">
        <f t="shared" si="30"/>
        <v>#NUM!</v>
      </c>
      <c r="BG650" t="e">
        <f t="shared" si="31"/>
        <v>#NUM!</v>
      </c>
      <c r="BH650" t="e">
        <f t="shared" si="32"/>
        <v>#NUM!</v>
      </c>
      <c r="BI650" t="e">
        <f>VLOOKUP(H650,Sheet2!$A$1:$B$270,2,FALSE)</f>
        <v>#N/A</v>
      </c>
    </row>
    <row r="651" spans="15:61" hidden="1">
      <c r="O651" s="57"/>
      <c r="P651" s="57"/>
      <c r="AP651" s="57"/>
      <c r="BA651" s="57"/>
      <c r="BF651" s="6" t="e">
        <f t="shared" si="30"/>
        <v>#NUM!</v>
      </c>
      <c r="BG651" t="e">
        <f t="shared" si="31"/>
        <v>#NUM!</v>
      </c>
      <c r="BH651" t="e">
        <f t="shared" si="32"/>
        <v>#NUM!</v>
      </c>
      <c r="BI651" t="e">
        <f>VLOOKUP(H651,Sheet2!$A$1:$B$270,2,FALSE)</f>
        <v>#N/A</v>
      </c>
    </row>
    <row r="652" spans="15:61" hidden="1">
      <c r="O652" s="57"/>
      <c r="P652" s="57"/>
      <c r="AP652" s="57"/>
      <c r="BA652" s="57"/>
      <c r="BF652" s="6" t="e">
        <f t="shared" si="30"/>
        <v>#NUM!</v>
      </c>
      <c r="BG652" t="e">
        <f t="shared" si="31"/>
        <v>#NUM!</v>
      </c>
      <c r="BH652" t="e">
        <f t="shared" si="32"/>
        <v>#NUM!</v>
      </c>
      <c r="BI652" t="e">
        <f>VLOOKUP(H652,Sheet2!$A$1:$B$270,2,FALSE)</f>
        <v>#N/A</v>
      </c>
    </row>
    <row r="653" spans="15:61" hidden="1">
      <c r="O653" s="57"/>
      <c r="P653" s="57"/>
      <c r="AP653" s="57"/>
      <c r="BA653" s="57"/>
      <c r="BF653" s="6" t="e">
        <f t="shared" si="30"/>
        <v>#NUM!</v>
      </c>
      <c r="BG653" t="e">
        <f t="shared" si="31"/>
        <v>#NUM!</v>
      </c>
      <c r="BH653" t="e">
        <f t="shared" si="32"/>
        <v>#NUM!</v>
      </c>
      <c r="BI653" t="e">
        <f>VLOOKUP(H653,Sheet2!$A$1:$B$270,2,FALSE)</f>
        <v>#N/A</v>
      </c>
    </row>
    <row r="654" spans="15:61" hidden="1">
      <c r="O654" s="57"/>
      <c r="P654" s="57"/>
      <c r="AP654" s="57"/>
      <c r="BA654" s="57"/>
      <c r="BF654" s="6" t="e">
        <f t="shared" si="30"/>
        <v>#NUM!</v>
      </c>
      <c r="BG654" t="e">
        <f t="shared" si="31"/>
        <v>#NUM!</v>
      </c>
      <c r="BH654" t="e">
        <f t="shared" si="32"/>
        <v>#NUM!</v>
      </c>
      <c r="BI654" t="e">
        <f>VLOOKUP(H654,Sheet2!$A$1:$B$270,2,FALSE)</f>
        <v>#N/A</v>
      </c>
    </row>
    <row r="655" spans="15:61" hidden="1">
      <c r="O655" s="57"/>
      <c r="P655" s="57"/>
      <c r="AP655" s="57"/>
      <c r="BA655" s="57"/>
      <c r="BF655" s="6" t="e">
        <f t="shared" si="30"/>
        <v>#NUM!</v>
      </c>
      <c r="BG655" t="e">
        <f t="shared" si="31"/>
        <v>#NUM!</v>
      </c>
      <c r="BH655" t="e">
        <f t="shared" si="32"/>
        <v>#NUM!</v>
      </c>
      <c r="BI655" t="e">
        <f>VLOOKUP(H655,Sheet2!$A$1:$B$270,2,FALSE)</f>
        <v>#N/A</v>
      </c>
    </row>
    <row r="656" spans="15:61" hidden="1">
      <c r="O656" s="57"/>
      <c r="P656" s="57"/>
      <c r="AP656" s="57"/>
      <c r="BA656" s="57"/>
      <c r="BF656" s="6" t="e">
        <f t="shared" si="30"/>
        <v>#NUM!</v>
      </c>
      <c r="BG656" t="e">
        <f t="shared" si="31"/>
        <v>#NUM!</v>
      </c>
      <c r="BH656" t="e">
        <f t="shared" si="32"/>
        <v>#NUM!</v>
      </c>
      <c r="BI656" t="e">
        <f>VLOOKUP(H656,Sheet2!$A$1:$B$270,2,FALSE)</f>
        <v>#N/A</v>
      </c>
    </row>
    <row r="657" spans="15:61" hidden="1">
      <c r="O657" s="57"/>
      <c r="P657" s="57"/>
      <c r="AP657" s="57"/>
      <c r="BA657" s="57"/>
      <c r="BF657" s="6" t="e">
        <f t="shared" si="30"/>
        <v>#NUM!</v>
      </c>
      <c r="BG657" t="e">
        <f t="shared" si="31"/>
        <v>#NUM!</v>
      </c>
      <c r="BH657" t="e">
        <f t="shared" si="32"/>
        <v>#NUM!</v>
      </c>
      <c r="BI657" t="e">
        <f>VLOOKUP(H657,Sheet2!$A$1:$B$270,2,FALSE)</f>
        <v>#N/A</v>
      </c>
    </row>
    <row r="658" spans="15:61" hidden="1">
      <c r="O658" s="57"/>
      <c r="P658" s="57"/>
      <c r="BA658" s="57"/>
      <c r="BF658" s="6" t="e">
        <f t="shared" si="30"/>
        <v>#NUM!</v>
      </c>
      <c r="BG658" t="e">
        <f t="shared" si="31"/>
        <v>#NUM!</v>
      </c>
      <c r="BH658" t="e">
        <f t="shared" si="32"/>
        <v>#NUM!</v>
      </c>
      <c r="BI658" t="e">
        <f>VLOOKUP(H658,Sheet2!$A$1:$B$270,2,FALSE)</f>
        <v>#N/A</v>
      </c>
    </row>
    <row r="659" spans="15:61" hidden="1">
      <c r="O659" s="57"/>
      <c r="P659" s="57"/>
      <c r="AP659" s="57"/>
      <c r="BA659" s="57"/>
      <c r="BF659" s="6" t="e">
        <f t="shared" si="30"/>
        <v>#NUM!</v>
      </c>
      <c r="BG659" t="e">
        <f t="shared" si="31"/>
        <v>#NUM!</v>
      </c>
      <c r="BH659" t="e">
        <f t="shared" si="32"/>
        <v>#NUM!</v>
      </c>
      <c r="BI659" t="e">
        <f>VLOOKUP(H659,Sheet2!$A$1:$B$270,2,FALSE)</f>
        <v>#N/A</v>
      </c>
    </row>
    <row r="660" spans="15:61" hidden="1">
      <c r="O660" s="57"/>
      <c r="P660" s="57"/>
      <c r="AP660" s="57"/>
      <c r="BA660" s="57"/>
      <c r="BF660" s="6" t="e">
        <f t="shared" si="30"/>
        <v>#NUM!</v>
      </c>
      <c r="BG660" t="e">
        <f t="shared" si="31"/>
        <v>#NUM!</v>
      </c>
      <c r="BH660" t="e">
        <f t="shared" si="32"/>
        <v>#NUM!</v>
      </c>
      <c r="BI660" t="e">
        <f>VLOOKUP(H660,Sheet2!$A$1:$B$270,2,FALSE)</f>
        <v>#N/A</v>
      </c>
    </row>
    <row r="661" spans="15:61" hidden="1">
      <c r="O661" s="57"/>
      <c r="P661" s="57"/>
      <c r="AP661" s="57"/>
      <c r="BA661" s="57"/>
      <c r="BF661" s="6" t="e">
        <f t="shared" si="30"/>
        <v>#NUM!</v>
      </c>
      <c r="BG661" t="e">
        <f t="shared" si="31"/>
        <v>#NUM!</v>
      </c>
      <c r="BH661" t="e">
        <f t="shared" si="32"/>
        <v>#NUM!</v>
      </c>
      <c r="BI661" t="e">
        <f>VLOOKUP(H661,Sheet2!$A$1:$B$270,2,FALSE)</f>
        <v>#N/A</v>
      </c>
    </row>
    <row r="662" spans="15:61" hidden="1">
      <c r="O662" s="57"/>
      <c r="P662" s="57"/>
      <c r="AP662" s="57"/>
      <c r="BA662" s="57"/>
      <c r="BF662" s="6" t="e">
        <f t="shared" si="30"/>
        <v>#NUM!</v>
      </c>
      <c r="BG662" t="e">
        <f t="shared" si="31"/>
        <v>#NUM!</v>
      </c>
      <c r="BH662" t="e">
        <f t="shared" si="32"/>
        <v>#NUM!</v>
      </c>
      <c r="BI662" t="e">
        <f>VLOOKUP(H662,Sheet2!$A$1:$B$270,2,FALSE)</f>
        <v>#N/A</v>
      </c>
    </row>
    <row r="663" spans="15:61" hidden="1">
      <c r="O663" s="57"/>
      <c r="P663" s="57"/>
      <c r="BF663" s="6" t="e">
        <f t="shared" si="30"/>
        <v>#NUM!</v>
      </c>
      <c r="BG663" t="e">
        <f t="shared" si="31"/>
        <v>#NUM!</v>
      </c>
      <c r="BH663" t="e">
        <f t="shared" si="32"/>
        <v>#NUM!</v>
      </c>
      <c r="BI663" t="e">
        <f>VLOOKUP(H663,Sheet2!$A$1:$B$270,2,FALSE)</f>
        <v>#N/A</v>
      </c>
    </row>
    <row r="664" spans="15:61" hidden="1">
      <c r="O664" s="57"/>
      <c r="P664" s="57"/>
      <c r="AO664" s="57"/>
      <c r="AP664" s="57"/>
      <c r="BA664" s="57"/>
      <c r="BF664" s="6" t="e">
        <f t="shared" si="30"/>
        <v>#NUM!</v>
      </c>
      <c r="BG664" t="e">
        <f t="shared" si="31"/>
        <v>#NUM!</v>
      </c>
      <c r="BH664" t="e">
        <f t="shared" si="32"/>
        <v>#NUM!</v>
      </c>
      <c r="BI664" t="e">
        <f>VLOOKUP(H664,Sheet2!$A$1:$B$270,2,FALSE)</f>
        <v>#N/A</v>
      </c>
    </row>
    <row r="665" spans="15:61" hidden="1">
      <c r="O665" s="57"/>
      <c r="P665" s="57"/>
      <c r="AP665" s="57"/>
      <c r="BA665" s="57"/>
      <c r="BF665" s="6" t="e">
        <f t="shared" si="30"/>
        <v>#NUM!</v>
      </c>
      <c r="BG665" t="e">
        <f t="shared" si="31"/>
        <v>#NUM!</v>
      </c>
      <c r="BH665" t="e">
        <f t="shared" si="32"/>
        <v>#NUM!</v>
      </c>
      <c r="BI665" t="e">
        <f>VLOOKUP(H665,Sheet2!$A$1:$B$270,2,FALSE)</f>
        <v>#N/A</v>
      </c>
    </row>
    <row r="666" spans="15:61" hidden="1">
      <c r="O666" s="57"/>
      <c r="P666" s="57"/>
      <c r="AP666" s="57"/>
      <c r="BA666" s="57"/>
      <c r="BF666" s="6" t="e">
        <f t="shared" si="30"/>
        <v>#NUM!</v>
      </c>
      <c r="BG666" t="e">
        <f t="shared" si="31"/>
        <v>#NUM!</v>
      </c>
      <c r="BH666" t="e">
        <f t="shared" si="32"/>
        <v>#NUM!</v>
      </c>
      <c r="BI666" t="e">
        <f>VLOOKUP(H666,Sheet2!$A$1:$B$270,2,FALSE)</f>
        <v>#N/A</v>
      </c>
    </row>
    <row r="667" spans="15:61" hidden="1">
      <c r="O667" s="57"/>
      <c r="P667" s="57"/>
      <c r="AO667" s="57"/>
      <c r="AP667" s="57"/>
      <c r="BA667" s="57"/>
      <c r="BF667" s="6" t="e">
        <f t="shared" si="30"/>
        <v>#NUM!</v>
      </c>
      <c r="BG667" t="e">
        <f t="shared" si="31"/>
        <v>#NUM!</v>
      </c>
      <c r="BH667" t="e">
        <f t="shared" si="32"/>
        <v>#NUM!</v>
      </c>
      <c r="BI667" t="e">
        <f>VLOOKUP(H667,Sheet2!$A$1:$B$270,2,FALSE)</f>
        <v>#N/A</v>
      </c>
    </row>
    <row r="668" spans="15:61" hidden="1">
      <c r="O668" s="57"/>
      <c r="P668" s="57"/>
      <c r="AO668" s="57"/>
      <c r="AP668" s="57"/>
      <c r="BA668" s="57"/>
      <c r="BF668" s="6" t="e">
        <f t="shared" si="30"/>
        <v>#NUM!</v>
      </c>
      <c r="BG668" t="e">
        <f t="shared" si="31"/>
        <v>#NUM!</v>
      </c>
      <c r="BH668" t="e">
        <f t="shared" si="32"/>
        <v>#NUM!</v>
      </c>
      <c r="BI668" t="e">
        <f>VLOOKUP(H668,Sheet2!$A$1:$B$270,2,FALSE)</f>
        <v>#N/A</v>
      </c>
    </row>
    <row r="669" spans="15:61" hidden="1">
      <c r="O669" s="57"/>
      <c r="P669" s="57"/>
      <c r="AP669" s="57"/>
      <c r="BA669" s="57"/>
      <c r="BF669" s="6" t="e">
        <f t="shared" si="30"/>
        <v>#NUM!</v>
      </c>
      <c r="BG669" t="e">
        <f t="shared" si="31"/>
        <v>#NUM!</v>
      </c>
      <c r="BH669" t="e">
        <f t="shared" si="32"/>
        <v>#NUM!</v>
      </c>
      <c r="BI669" t="e">
        <f>VLOOKUP(H669,Sheet2!$A$1:$B$270,2,FALSE)</f>
        <v>#N/A</v>
      </c>
    </row>
    <row r="670" spans="15:61" hidden="1">
      <c r="O670" s="57"/>
      <c r="P670" s="57"/>
      <c r="BA670" s="57"/>
      <c r="BF670" s="6" t="e">
        <f t="shared" si="30"/>
        <v>#NUM!</v>
      </c>
      <c r="BG670" t="e">
        <f t="shared" si="31"/>
        <v>#NUM!</v>
      </c>
      <c r="BH670" t="e">
        <f t="shared" si="32"/>
        <v>#NUM!</v>
      </c>
      <c r="BI670" t="e">
        <f>VLOOKUP(H670,Sheet2!$A$1:$B$270,2,FALSE)</f>
        <v>#N/A</v>
      </c>
    </row>
    <row r="671" spans="15:61" hidden="1">
      <c r="O671" s="57"/>
      <c r="P671" s="57"/>
      <c r="AO671" s="57"/>
      <c r="AP671" s="57"/>
      <c r="BA671" s="57"/>
      <c r="BF671" s="6" t="e">
        <f t="shared" si="30"/>
        <v>#NUM!</v>
      </c>
      <c r="BG671" t="e">
        <f t="shared" si="31"/>
        <v>#NUM!</v>
      </c>
      <c r="BH671" t="e">
        <f t="shared" si="32"/>
        <v>#NUM!</v>
      </c>
      <c r="BI671" t="e">
        <f>VLOOKUP(H671,Sheet2!$A$1:$B$270,2,FALSE)</f>
        <v>#N/A</v>
      </c>
    </row>
    <row r="672" spans="15:61" hidden="1">
      <c r="O672" s="57"/>
      <c r="P672" s="57"/>
      <c r="AO672" s="57"/>
      <c r="BA672" s="57"/>
      <c r="BF672" s="6" t="e">
        <f t="shared" si="30"/>
        <v>#NUM!</v>
      </c>
      <c r="BG672" t="e">
        <f t="shared" si="31"/>
        <v>#NUM!</v>
      </c>
      <c r="BH672" t="e">
        <f t="shared" si="32"/>
        <v>#NUM!</v>
      </c>
      <c r="BI672" t="e">
        <f>VLOOKUP(H672,Sheet2!$A$1:$B$270,2,FALSE)</f>
        <v>#N/A</v>
      </c>
    </row>
    <row r="673" spans="15:61" hidden="1">
      <c r="O673" s="57"/>
      <c r="P673" s="57"/>
      <c r="AO673" s="57"/>
      <c r="BA673" s="57"/>
      <c r="BF673" s="6" t="e">
        <f t="shared" si="30"/>
        <v>#NUM!</v>
      </c>
      <c r="BG673" t="e">
        <f t="shared" si="31"/>
        <v>#NUM!</v>
      </c>
      <c r="BH673" t="e">
        <f t="shared" si="32"/>
        <v>#NUM!</v>
      </c>
      <c r="BI673" t="e">
        <f>VLOOKUP(H673,Sheet2!$A$1:$B$270,2,FALSE)</f>
        <v>#N/A</v>
      </c>
    </row>
    <row r="674" spans="15:61" hidden="1">
      <c r="O674" s="57"/>
      <c r="P674" s="57"/>
      <c r="AP674" s="57"/>
      <c r="BA674" s="57"/>
      <c r="BF674" s="6" t="e">
        <f t="shared" si="30"/>
        <v>#NUM!</v>
      </c>
      <c r="BG674" t="e">
        <f t="shared" si="31"/>
        <v>#NUM!</v>
      </c>
      <c r="BH674" t="e">
        <f t="shared" si="32"/>
        <v>#NUM!</v>
      </c>
      <c r="BI674" t="e">
        <f>VLOOKUP(H674,Sheet2!$A$1:$B$270,2,FALSE)</f>
        <v>#N/A</v>
      </c>
    </row>
    <row r="675" spans="15:61" hidden="1">
      <c r="O675" s="57"/>
      <c r="P675" s="57"/>
      <c r="AP675" s="57"/>
      <c r="BA675" s="57"/>
      <c r="BF675" s="6" t="e">
        <f t="shared" si="30"/>
        <v>#NUM!</v>
      </c>
      <c r="BG675" t="e">
        <f t="shared" si="31"/>
        <v>#NUM!</v>
      </c>
      <c r="BH675" t="e">
        <f t="shared" si="32"/>
        <v>#NUM!</v>
      </c>
      <c r="BI675" t="e">
        <f>VLOOKUP(H675,Sheet2!$A$1:$B$270,2,FALSE)</f>
        <v>#N/A</v>
      </c>
    </row>
    <row r="676" spans="15:61" hidden="1">
      <c r="O676" s="57"/>
      <c r="P676" s="57"/>
      <c r="AP676" s="57"/>
      <c r="BA676" s="57"/>
      <c r="BF676" s="6" t="e">
        <f t="shared" si="30"/>
        <v>#NUM!</v>
      </c>
      <c r="BG676" t="e">
        <f t="shared" si="31"/>
        <v>#NUM!</v>
      </c>
      <c r="BH676" t="e">
        <f t="shared" si="32"/>
        <v>#NUM!</v>
      </c>
      <c r="BI676" t="e">
        <f>VLOOKUP(H676,Sheet2!$A$1:$B$270,2,FALSE)</f>
        <v>#N/A</v>
      </c>
    </row>
    <row r="677" spans="15:61" hidden="1">
      <c r="O677" s="57"/>
      <c r="P677" s="57"/>
      <c r="AP677" s="57"/>
      <c r="BA677" s="57"/>
      <c r="BF677" s="6" t="e">
        <f t="shared" si="30"/>
        <v>#NUM!</v>
      </c>
      <c r="BG677" t="e">
        <f t="shared" si="31"/>
        <v>#NUM!</v>
      </c>
      <c r="BH677" t="e">
        <f t="shared" si="32"/>
        <v>#NUM!</v>
      </c>
      <c r="BI677" t="e">
        <f>VLOOKUP(H677,Sheet2!$A$1:$B$270,2,FALSE)</f>
        <v>#N/A</v>
      </c>
    </row>
    <row r="678" spans="15:61" hidden="1">
      <c r="O678" s="57"/>
      <c r="P678" s="57"/>
      <c r="AP678" s="57"/>
      <c r="BA678" s="57"/>
      <c r="BF678" s="6" t="e">
        <f t="shared" si="30"/>
        <v>#NUM!</v>
      </c>
      <c r="BG678" t="e">
        <f t="shared" si="31"/>
        <v>#NUM!</v>
      </c>
      <c r="BH678" t="e">
        <f t="shared" si="32"/>
        <v>#NUM!</v>
      </c>
      <c r="BI678" t="e">
        <f>VLOOKUP(H678,Sheet2!$A$1:$B$270,2,FALSE)</f>
        <v>#N/A</v>
      </c>
    </row>
    <row r="679" spans="15:61" hidden="1">
      <c r="O679" s="57"/>
      <c r="P679" s="57"/>
      <c r="BA679" s="57"/>
      <c r="BF679" s="6" t="e">
        <f t="shared" si="30"/>
        <v>#NUM!</v>
      </c>
      <c r="BG679" t="e">
        <f t="shared" si="31"/>
        <v>#NUM!</v>
      </c>
      <c r="BH679" t="e">
        <f t="shared" si="32"/>
        <v>#NUM!</v>
      </c>
      <c r="BI679" t="e">
        <f>VLOOKUP(H679,Sheet2!$A$1:$B$270,2,FALSE)</f>
        <v>#N/A</v>
      </c>
    </row>
    <row r="680" spans="15:61" hidden="1">
      <c r="O680" s="57"/>
      <c r="P680" s="57"/>
      <c r="AO680" s="57"/>
      <c r="AP680" s="57"/>
      <c r="BA680" s="57"/>
      <c r="BF680" s="6" t="e">
        <f t="shared" si="30"/>
        <v>#NUM!</v>
      </c>
      <c r="BG680" t="e">
        <f t="shared" si="31"/>
        <v>#NUM!</v>
      </c>
      <c r="BH680" t="e">
        <f t="shared" si="32"/>
        <v>#NUM!</v>
      </c>
      <c r="BI680" t="e">
        <f>VLOOKUP(H680,Sheet2!$A$1:$B$270,2,FALSE)</f>
        <v>#N/A</v>
      </c>
    </row>
    <row r="681" spans="15:61" hidden="1">
      <c r="O681" s="57"/>
      <c r="P681" s="57"/>
      <c r="AP681" s="57"/>
      <c r="BA681" s="57"/>
      <c r="BF681" s="6" t="e">
        <f t="shared" si="30"/>
        <v>#NUM!</v>
      </c>
      <c r="BG681" t="e">
        <f t="shared" si="31"/>
        <v>#NUM!</v>
      </c>
      <c r="BH681" t="e">
        <f t="shared" si="32"/>
        <v>#NUM!</v>
      </c>
      <c r="BI681" t="e">
        <f>VLOOKUP(H681,Sheet2!$A$1:$B$270,2,FALSE)</f>
        <v>#N/A</v>
      </c>
    </row>
    <row r="682" spans="15:61" hidden="1">
      <c r="O682" s="57"/>
      <c r="P682" s="57"/>
      <c r="AP682" s="57"/>
      <c r="BA682" s="57"/>
      <c r="BF682" s="6" t="e">
        <f t="shared" si="30"/>
        <v>#NUM!</v>
      </c>
      <c r="BG682" t="e">
        <f t="shared" si="31"/>
        <v>#NUM!</v>
      </c>
      <c r="BH682" t="e">
        <f t="shared" si="32"/>
        <v>#NUM!</v>
      </c>
      <c r="BI682" t="e">
        <f>VLOOKUP(H682,Sheet2!$A$1:$B$270,2,FALSE)</f>
        <v>#N/A</v>
      </c>
    </row>
    <row r="683" spans="15:61" hidden="1">
      <c r="O683" s="57"/>
      <c r="P683" s="57"/>
      <c r="AP683" s="57"/>
      <c r="BA683" s="57"/>
      <c r="BF683" s="6" t="e">
        <f t="shared" si="30"/>
        <v>#NUM!</v>
      </c>
      <c r="BG683" t="e">
        <f t="shared" si="31"/>
        <v>#NUM!</v>
      </c>
      <c r="BH683" t="e">
        <f t="shared" si="32"/>
        <v>#NUM!</v>
      </c>
      <c r="BI683" t="e">
        <f>VLOOKUP(H683,Sheet2!$A$1:$B$270,2,FALSE)</f>
        <v>#N/A</v>
      </c>
    </row>
    <row r="684" spans="15:61" hidden="1">
      <c r="O684" s="57"/>
      <c r="P684" s="57"/>
      <c r="AO684" s="57"/>
      <c r="AP684" s="57"/>
      <c r="BA684" s="57"/>
      <c r="BF684" s="6" t="e">
        <f t="shared" si="30"/>
        <v>#NUM!</v>
      </c>
      <c r="BG684" t="e">
        <f t="shared" si="31"/>
        <v>#NUM!</v>
      </c>
      <c r="BH684" t="e">
        <f t="shared" si="32"/>
        <v>#NUM!</v>
      </c>
      <c r="BI684" t="e">
        <f>VLOOKUP(H684,Sheet2!$A$1:$B$270,2,FALSE)</f>
        <v>#N/A</v>
      </c>
    </row>
    <row r="685" spans="15:61" hidden="1">
      <c r="O685" s="57"/>
      <c r="P685" s="57"/>
      <c r="AP685" s="57"/>
      <c r="BA685" s="57"/>
      <c r="BF685" s="6" t="e">
        <f t="shared" si="30"/>
        <v>#NUM!</v>
      </c>
      <c r="BG685" t="e">
        <f t="shared" si="31"/>
        <v>#NUM!</v>
      </c>
      <c r="BH685" t="e">
        <f t="shared" si="32"/>
        <v>#NUM!</v>
      </c>
      <c r="BI685" t="e">
        <f>VLOOKUP(H685,Sheet2!$A$1:$B$270,2,FALSE)</f>
        <v>#N/A</v>
      </c>
    </row>
    <row r="686" spans="15:61" hidden="1">
      <c r="O686" s="57"/>
      <c r="P686" s="57"/>
      <c r="AP686" s="57"/>
      <c r="BA686" s="57"/>
      <c r="BF686" s="6" t="e">
        <f t="shared" si="30"/>
        <v>#NUM!</v>
      </c>
      <c r="BG686" t="e">
        <f t="shared" si="31"/>
        <v>#NUM!</v>
      </c>
      <c r="BH686" t="e">
        <f t="shared" si="32"/>
        <v>#NUM!</v>
      </c>
      <c r="BI686" t="e">
        <f>VLOOKUP(H686,Sheet2!$A$1:$B$270,2,FALSE)</f>
        <v>#N/A</v>
      </c>
    </row>
    <row r="687" spans="15:61" hidden="1">
      <c r="O687" s="57"/>
      <c r="P687" s="57"/>
      <c r="AP687" s="57"/>
      <c r="BA687" s="57"/>
      <c r="BF687" s="6" t="e">
        <f t="shared" si="30"/>
        <v>#NUM!</v>
      </c>
      <c r="BG687" t="e">
        <f t="shared" si="31"/>
        <v>#NUM!</v>
      </c>
      <c r="BH687" t="e">
        <f t="shared" si="32"/>
        <v>#NUM!</v>
      </c>
      <c r="BI687" t="e">
        <f>VLOOKUP(H687,Sheet2!$A$1:$B$270,2,FALSE)</f>
        <v>#N/A</v>
      </c>
    </row>
    <row r="688" spans="15:61" hidden="1">
      <c r="O688" s="57"/>
      <c r="P688" s="57"/>
      <c r="AP688" s="57"/>
      <c r="BA688" s="57"/>
      <c r="BF688" s="6" t="e">
        <f t="shared" si="30"/>
        <v>#NUM!</v>
      </c>
      <c r="BG688" t="e">
        <f t="shared" si="31"/>
        <v>#NUM!</v>
      </c>
      <c r="BH688" t="e">
        <f t="shared" si="32"/>
        <v>#NUM!</v>
      </c>
      <c r="BI688" t="e">
        <f>VLOOKUP(H688,Sheet2!$A$1:$B$270,2,FALSE)</f>
        <v>#N/A</v>
      </c>
    </row>
    <row r="689" spans="15:61" hidden="1">
      <c r="O689" s="57"/>
      <c r="P689" s="57"/>
      <c r="BA689" s="57"/>
      <c r="BF689" s="6" t="e">
        <f t="shared" si="30"/>
        <v>#NUM!</v>
      </c>
      <c r="BG689" t="e">
        <f t="shared" si="31"/>
        <v>#NUM!</v>
      </c>
      <c r="BH689" t="e">
        <f t="shared" si="32"/>
        <v>#NUM!</v>
      </c>
      <c r="BI689" t="e">
        <f>VLOOKUP(H689,Sheet2!$A$1:$B$270,2,FALSE)</f>
        <v>#N/A</v>
      </c>
    </row>
    <row r="690" spans="15:61" hidden="1">
      <c r="O690" s="57"/>
      <c r="P690" s="57"/>
      <c r="AP690" s="57"/>
      <c r="BA690" s="57"/>
      <c r="BF690" s="6" t="e">
        <f t="shared" si="30"/>
        <v>#NUM!</v>
      </c>
      <c r="BG690" t="e">
        <f t="shared" si="31"/>
        <v>#NUM!</v>
      </c>
      <c r="BH690" t="e">
        <f t="shared" si="32"/>
        <v>#NUM!</v>
      </c>
      <c r="BI690" t="e">
        <f>VLOOKUP(H690,Sheet2!$A$1:$B$270,2,FALSE)</f>
        <v>#N/A</v>
      </c>
    </row>
    <row r="691" spans="15:61" hidden="1">
      <c r="O691" s="57"/>
      <c r="P691" s="57"/>
      <c r="AP691" s="57"/>
      <c r="BA691" s="57"/>
      <c r="BF691" s="6" t="e">
        <f t="shared" si="30"/>
        <v>#NUM!</v>
      </c>
      <c r="BG691" t="e">
        <f t="shared" si="31"/>
        <v>#NUM!</v>
      </c>
      <c r="BH691" t="e">
        <f t="shared" si="32"/>
        <v>#NUM!</v>
      </c>
      <c r="BI691" t="e">
        <f>VLOOKUP(H691,Sheet2!$A$1:$B$270,2,FALSE)</f>
        <v>#N/A</v>
      </c>
    </row>
    <row r="692" spans="15:61" hidden="1">
      <c r="O692" s="57"/>
      <c r="P692" s="57"/>
      <c r="AP692" s="57"/>
      <c r="BA692" s="57"/>
      <c r="BF692" s="6" t="e">
        <f t="shared" si="30"/>
        <v>#NUM!</v>
      </c>
      <c r="BG692" t="e">
        <f t="shared" si="31"/>
        <v>#NUM!</v>
      </c>
      <c r="BH692" t="e">
        <f t="shared" si="32"/>
        <v>#NUM!</v>
      </c>
      <c r="BI692" t="e">
        <f>VLOOKUP(H692,Sheet2!$A$1:$B$270,2,FALSE)</f>
        <v>#N/A</v>
      </c>
    </row>
    <row r="693" spans="15:61" hidden="1">
      <c r="O693" s="57"/>
      <c r="P693" s="57"/>
      <c r="AP693" s="57"/>
      <c r="BA693" s="57"/>
      <c r="BF693" s="6" t="e">
        <f t="shared" si="30"/>
        <v>#NUM!</v>
      </c>
      <c r="BG693" t="e">
        <f t="shared" si="31"/>
        <v>#NUM!</v>
      </c>
      <c r="BH693" t="e">
        <f t="shared" si="32"/>
        <v>#NUM!</v>
      </c>
      <c r="BI693" t="e">
        <f>VLOOKUP(H693,Sheet2!$A$1:$B$270,2,FALSE)</f>
        <v>#N/A</v>
      </c>
    </row>
    <row r="694" spans="15:61" hidden="1">
      <c r="O694" s="57"/>
      <c r="P694" s="57"/>
      <c r="AP694" s="57"/>
      <c r="BA694" s="57"/>
      <c r="BF694" s="6" t="e">
        <f t="shared" si="30"/>
        <v>#NUM!</v>
      </c>
      <c r="BG694" t="e">
        <f t="shared" si="31"/>
        <v>#NUM!</v>
      </c>
      <c r="BH694" t="e">
        <f t="shared" si="32"/>
        <v>#NUM!</v>
      </c>
      <c r="BI694" t="e">
        <f>VLOOKUP(H694,Sheet2!$A$1:$B$270,2,FALSE)</f>
        <v>#N/A</v>
      </c>
    </row>
    <row r="695" spans="15:61" hidden="1">
      <c r="O695" s="57"/>
      <c r="P695" s="57"/>
      <c r="BA695" s="57"/>
      <c r="BF695" s="6" t="e">
        <f t="shared" si="30"/>
        <v>#NUM!</v>
      </c>
      <c r="BG695" t="e">
        <f t="shared" si="31"/>
        <v>#NUM!</v>
      </c>
      <c r="BH695" t="e">
        <f t="shared" si="32"/>
        <v>#NUM!</v>
      </c>
      <c r="BI695" t="e">
        <f>VLOOKUP(H695,Sheet2!$A$1:$B$270,2,FALSE)</f>
        <v>#N/A</v>
      </c>
    </row>
    <row r="696" spans="15:61" hidden="1">
      <c r="O696" s="57"/>
      <c r="P696" s="57"/>
      <c r="AP696" s="57"/>
      <c r="BA696" s="57"/>
      <c r="BF696" s="6" t="e">
        <f t="shared" si="30"/>
        <v>#NUM!</v>
      </c>
      <c r="BG696" t="e">
        <f t="shared" si="31"/>
        <v>#NUM!</v>
      </c>
      <c r="BH696" t="e">
        <f t="shared" si="32"/>
        <v>#NUM!</v>
      </c>
      <c r="BI696" t="e">
        <f>VLOOKUP(H696,Sheet2!$A$1:$B$270,2,FALSE)</f>
        <v>#N/A</v>
      </c>
    </row>
    <row r="697" spans="15:61" hidden="1">
      <c r="O697" s="57"/>
      <c r="P697" s="57"/>
      <c r="AO697" s="57"/>
      <c r="AP697" s="57"/>
      <c r="BA697" s="57"/>
      <c r="BF697" s="6" t="e">
        <f t="shared" si="30"/>
        <v>#NUM!</v>
      </c>
      <c r="BG697" t="e">
        <f t="shared" si="31"/>
        <v>#NUM!</v>
      </c>
      <c r="BH697" t="e">
        <f t="shared" si="32"/>
        <v>#NUM!</v>
      </c>
      <c r="BI697" t="e">
        <f>VLOOKUP(H697,Sheet2!$A$1:$B$270,2,FALSE)</f>
        <v>#N/A</v>
      </c>
    </row>
    <row r="698" spans="15:61" hidden="1">
      <c r="O698" s="57"/>
      <c r="P698" s="57"/>
      <c r="AO698" s="57"/>
      <c r="AP698" s="57"/>
      <c r="BA698" s="57"/>
      <c r="BF698" s="6" t="e">
        <f t="shared" si="30"/>
        <v>#NUM!</v>
      </c>
      <c r="BG698" t="e">
        <f t="shared" si="31"/>
        <v>#NUM!</v>
      </c>
      <c r="BH698" t="e">
        <f t="shared" si="32"/>
        <v>#NUM!</v>
      </c>
      <c r="BI698" t="e">
        <f>VLOOKUP(H698,Sheet2!$A$1:$B$270,2,FALSE)</f>
        <v>#N/A</v>
      </c>
    </row>
    <row r="699" spans="15:61" hidden="1">
      <c r="O699" s="57"/>
      <c r="P699" s="57"/>
      <c r="AO699" s="57"/>
      <c r="BA699" s="57"/>
      <c r="BF699" s="6" t="e">
        <f t="shared" si="30"/>
        <v>#NUM!</v>
      </c>
      <c r="BG699" t="e">
        <f t="shared" si="31"/>
        <v>#NUM!</v>
      </c>
      <c r="BH699" t="e">
        <f t="shared" si="32"/>
        <v>#NUM!</v>
      </c>
      <c r="BI699" t="e">
        <f>VLOOKUP(H699,Sheet2!$A$1:$B$270,2,FALSE)</f>
        <v>#N/A</v>
      </c>
    </row>
    <row r="700" spans="15:61" hidden="1">
      <c r="O700" s="57"/>
      <c r="P700" s="57"/>
      <c r="AO700" s="57"/>
      <c r="AP700" s="57"/>
      <c r="BA700" s="57"/>
      <c r="BF700" s="6" t="e">
        <f t="shared" si="30"/>
        <v>#NUM!</v>
      </c>
      <c r="BG700" t="e">
        <f t="shared" si="31"/>
        <v>#NUM!</v>
      </c>
      <c r="BH700" t="e">
        <f t="shared" si="32"/>
        <v>#NUM!</v>
      </c>
      <c r="BI700" t="e">
        <f>VLOOKUP(H700,Sheet2!$A$1:$B$270,2,FALSE)</f>
        <v>#N/A</v>
      </c>
    </row>
    <row r="701" spans="15:61" hidden="1">
      <c r="O701" s="57"/>
      <c r="P701" s="57"/>
      <c r="AP701" s="57"/>
      <c r="BA701" s="57"/>
      <c r="BF701" s="6" t="e">
        <f t="shared" si="30"/>
        <v>#NUM!</v>
      </c>
      <c r="BG701" t="e">
        <f t="shared" si="31"/>
        <v>#NUM!</v>
      </c>
      <c r="BH701" t="e">
        <f t="shared" si="32"/>
        <v>#NUM!</v>
      </c>
      <c r="BI701" t="e">
        <f>VLOOKUP(H701,Sheet2!$A$1:$B$270,2,FALSE)</f>
        <v>#N/A</v>
      </c>
    </row>
    <row r="702" spans="15:61" hidden="1">
      <c r="O702" s="57"/>
      <c r="P702" s="57"/>
      <c r="AP702" s="57"/>
      <c r="BA702" s="57"/>
      <c r="BF702" s="6" t="e">
        <f t="shared" si="30"/>
        <v>#NUM!</v>
      </c>
      <c r="BG702" t="e">
        <f t="shared" si="31"/>
        <v>#NUM!</v>
      </c>
      <c r="BH702" t="e">
        <f t="shared" si="32"/>
        <v>#NUM!</v>
      </c>
      <c r="BI702" t="e">
        <f>VLOOKUP(H702,Sheet2!$A$1:$B$270,2,FALSE)</f>
        <v>#N/A</v>
      </c>
    </row>
    <row r="703" spans="15:61" hidden="1">
      <c r="O703" s="57"/>
      <c r="P703" s="57"/>
      <c r="BA703" s="57"/>
      <c r="BF703" s="6" t="e">
        <f t="shared" si="30"/>
        <v>#NUM!</v>
      </c>
      <c r="BG703" t="e">
        <f t="shared" si="31"/>
        <v>#NUM!</v>
      </c>
      <c r="BH703" t="e">
        <f t="shared" si="32"/>
        <v>#NUM!</v>
      </c>
      <c r="BI703" t="e">
        <f>VLOOKUP(H703,Sheet2!$A$1:$B$270,2,FALSE)</f>
        <v>#N/A</v>
      </c>
    </row>
    <row r="704" spans="15:61" hidden="1">
      <c r="O704" s="57"/>
      <c r="P704" s="57"/>
      <c r="BA704" s="57"/>
      <c r="BF704" s="6" t="e">
        <f t="shared" si="30"/>
        <v>#NUM!</v>
      </c>
      <c r="BG704" t="e">
        <f t="shared" si="31"/>
        <v>#NUM!</v>
      </c>
      <c r="BH704" t="e">
        <f t="shared" si="32"/>
        <v>#NUM!</v>
      </c>
      <c r="BI704" t="e">
        <f>VLOOKUP(H704,Sheet2!$A$1:$B$270,2,FALSE)</f>
        <v>#N/A</v>
      </c>
    </row>
    <row r="705" spans="15:61" hidden="1">
      <c r="O705" s="57"/>
      <c r="P705" s="57"/>
      <c r="AP705" s="57"/>
      <c r="BA705" s="57"/>
      <c r="BF705" s="6" t="e">
        <f t="shared" si="30"/>
        <v>#NUM!</v>
      </c>
      <c r="BG705" t="e">
        <f t="shared" si="31"/>
        <v>#NUM!</v>
      </c>
      <c r="BH705" t="e">
        <f t="shared" si="32"/>
        <v>#NUM!</v>
      </c>
      <c r="BI705" t="e">
        <f>VLOOKUP(H705,Sheet2!$A$1:$B$270,2,FALSE)</f>
        <v>#N/A</v>
      </c>
    </row>
    <row r="706" spans="15:61" hidden="1">
      <c r="O706" s="57"/>
      <c r="P706" s="57"/>
      <c r="AP706" s="57"/>
      <c r="BA706" s="57"/>
      <c r="BF706" s="6" t="e">
        <f t="shared" ref="BF706:BF769" si="33">DATE(BC706,BD706,BE706)</f>
        <v>#NUM!</v>
      </c>
      <c r="BG706" t="e">
        <f t="shared" ref="BG706:BG769" si="34">BF706-BA706</f>
        <v>#NUM!</v>
      </c>
      <c r="BH706" t="e">
        <f t="shared" ref="BH706:BH769" si="35">IF(BG706=1,"COMPLY",IF(BG706&lt;1,"COMPLY","NOT COMPLY"))</f>
        <v>#NUM!</v>
      </c>
      <c r="BI706" t="e">
        <f>VLOOKUP(H706,Sheet2!$A$1:$B$270,2,FALSE)</f>
        <v>#N/A</v>
      </c>
    </row>
    <row r="707" spans="15:61" hidden="1">
      <c r="O707" s="57"/>
      <c r="P707" s="57"/>
      <c r="AP707" s="57"/>
      <c r="BA707" s="57"/>
      <c r="BF707" s="6" t="e">
        <f t="shared" si="33"/>
        <v>#NUM!</v>
      </c>
      <c r="BG707" t="e">
        <f t="shared" si="34"/>
        <v>#NUM!</v>
      </c>
      <c r="BH707" t="e">
        <f t="shared" si="35"/>
        <v>#NUM!</v>
      </c>
      <c r="BI707" t="e">
        <f>VLOOKUP(H707,Sheet2!$A$1:$B$270,2,FALSE)</f>
        <v>#N/A</v>
      </c>
    </row>
    <row r="708" spans="15:61" hidden="1">
      <c r="O708" s="57"/>
      <c r="P708" s="57"/>
      <c r="BA708" s="57"/>
      <c r="BF708" s="6" t="e">
        <f t="shared" si="33"/>
        <v>#NUM!</v>
      </c>
      <c r="BG708" t="e">
        <f t="shared" si="34"/>
        <v>#NUM!</v>
      </c>
      <c r="BH708" t="e">
        <f t="shared" si="35"/>
        <v>#NUM!</v>
      </c>
      <c r="BI708" t="e">
        <f>VLOOKUP(H708,Sheet2!$A$1:$B$270,2,FALSE)</f>
        <v>#N/A</v>
      </c>
    </row>
    <row r="709" spans="15:61" hidden="1">
      <c r="O709" s="57"/>
      <c r="P709" s="57"/>
      <c r="AP709" s="57"/>
      <c r="BA709" s="57"/>
      <c r="BF709" s="6" t="e">
        <f t="shared" si="33"/>
        <v>#NUM!</v>
      </c>
      <c r="BG709" t="e">
        <f t="shared" si="34"/>
        <v>#NUM!</v>
      </c>
      <c r="BH709" t="e">
        <f t="shared" si="35"/>
        <v>#NUM!</v>
      </c>
      <c r="BI709" t="e">
        <f>VLOOKUP(H709,Sheet2!$A$1:$B$270,2,FALSE)</f>
        <v>#N/A</v>
      </c>
    </row>
    <row r="710" spans="15:61" hidden="1">
      <c r="O710" s="57"/>
      <c r="P710" s="57"/>
      <c r="AP710" s="57"/>
      <c r="BA710" s="57"/>
      <c r="BF710" s="6" t="e">
        <f t="shared" si="33"/>
        <v>#NUM!</v>
      </c>
      <c r="BG710" t="e">
        <f t="shared" si="34"/>
        <v>#NUM!</v>
      </c>
      <c r="BH710" t="e">
        <f t="shared" si="35"/>
        <v>#NUM!</v>
      </c>
      <c r="BI710" t="e">
        <f>VLOOKUP(H710,Sheet2!$A$1:$B$270,2,FALSE)</f>
        <v>#N/A</v>
      </c>
    </row>
    <row r="711" spans="15:61" hidden="1">
      <c r="O711" s="57"/>
      <c r="P711" s="57"/>
      <c r="AO711" s="57"/>
      <c r="AP711" s="57"/>
      <c r="BA711" s="57"/>
      <c r="BF711" s="6" t="e">
        <f t="shared" si="33"/>
        <v>#NUM!</v>
      </c>
      <c r="BG711" t="e">
        <f t="shared" si="34"/>
        <v>#NUM!</v>
      </c>
      <c r="BH711" t="e">
        <f t="shared" si="35"/>
        <v>#NUM!</v>
      </c>
      <c r="BI711" t="e">
        <f>VLOOKUP(H711,Sheet2!$A$1:$B$270,2,FALSE)</f>
        <v>#N/A</v>
      </c>
    </row>
    <row r="712" spans="15:61" hidden="1">
      <c r="O712" s="57"/>
      <c r="P712" s="57"/>
      <c r="AO712" s="57"/>
      <c r="AP712" s="57"/>
      <c r="BA712" s="57"/>
      <c r="BF712" s="6" t="e">
        <f t="shared" si="33"/>
        <v>#NUM!</v>
      </c>
      <c r="BG712" t="e">
        <f t="shared" si="34"/>
        <v>#NUM!</v>
      </c>
      <c r="BH712" t="e">
        <f t="shared" si="35"/>
        <v>#NUM!</v>
      </c>
      <c r="BI712" t="e">
        <f>VLOOKUP(H712,Sheet2!$A$1:$B$270,2,FALSE)</f>
        <v>#N/A</v>
      </c>
    </row>
    <row r="713" spans="15:61" hidden="1">
      <c r="O713" s="57"/>
      <c r="P713" s="57"/>
      <c r="AO713" s="57"/>
      <c r="AP713" s="57"/>
      <c r="BA713" s="57"/>
      <c r="BF713" s="6" t="e">
        <f t="shared" si="33"/>
        <v>#NUM!</v>
      </c>
      <c r="BG713" t="e">
        <f t="shared" si="34"/>
        <v>#NUM!</v>
      </c>
      <c r="BH713" t="e">
        <f t="shared" si="35"/>
        <v>#NUM!</v>
      </c>
      <c r="BI713" t="e">
        <f>VLOOKUP(H713,Sheet2!$A$1:$B$270,2,FALSE)</f>
        <v>#N/A</v>
      </c>
    </row>
    <row r="714" spans="15:61" hidden="1">
      <c r="O714" s="57"/>
      <c r="P714" s="57"/>
      <c r="AP714" s="57"/>
      <c r="BA714" s="57"/>
      <c r="BF714" s="6" t="e">
        <f t="shared" si="33"/>
        <v>#NUM!</v>
      </c>
      <c r="BG714" t="e">
        <f t="shared" si="34"/>
        <v>#NUM!</v>
      </c>
      <c r="BH714" t="e">
        <f t="shared" si="35"/>
        <v>#NUM!</v>
      </c>
      <c r="BI714" t="e">
        <f>VLOOKUP(H714,Sheet2!$A$1:$B$270,2,FALSE)</f>
        <v>#N/A</v>
      </c>
    </row>
    <row r="715" spans="15:61" hidden="1">
      <c r="O715" s="57"/>
      <c r="P715" s="57"/>
      <c r="BA715" s="57"/>
      <c r="BF715" s="6" t="e">
        <f t="shared" si="33"/>
        <v>#NUM!</v>
      </c>
      <c r="BG715" t="e">
        <f t="shared" si="34"/>
        <v>#NUM!</v>
      </c>
      <c r="BH715" t="e">
        <f t="shared" si="35"/>
        <v>#NUM!</v>
      </c>
      <c r="BI715" t="e">
        <f>VLOOKUP(H715,Sheet2!$A$1:$B$270,2,FALSE)</f>
        <v>#N/A</v>
      </c>
    </row>
    <row r="716" spans="15:61" hidden="1">
      <c r="O716" s="57"/>
      <c r="P716" s="57"/>
      <c r="AP716" s="57"/>
      <c r="BA716" s="57"/>
      <c r="BF716" s="6" t="e">
        <f t="shared" si="33"/>
        <v>#NUM!</v>
      </c>
      <c r="BG716" t="e">
        <f t="shared" si="34"/>
        <v>#NUM!</v>
      </c>
      <c r="BH716" t="e">
        <f t="shared" si="35"/>
        <v>#NUM!</v>
      </c>
      <c r="BI716" t="e">
        <f>VLOOKUP(H716,Sheet2!$A$1:$B$270,2,FALSE)</f>
        <v>#N/A</v>
      </c>
    </row>
    <row r="717" spans="15:61" hidden="1">
      <c r="O717" s="57"/>
      <c r="P717" s="57"/>
      <c r="AO717" s="57"/>
      <c r="BA717" s="57"/>
      <c r="BF717" s="6" t="e">
        <f t="shared" si="33"/>
        <v>#NUM!</v>
      </c>
      <c r="BG717" t="e">
        <f t="shared" si="34"/>
        <v>#NUM!</v>
      </c>
      <c r="BH717" t="e">
        <f t="shared" si="35"/>
        <v>#NUM!</v>
      </c>
      <c r="BI717" t="e">
        <f>VLOOKUP(H717,Sheet2!$A$1:$B$270,2,FALSE)</f>
        <v>#N/A</v>
      </c>
    </row>
    <row r="718" spans="15:61" hidden="1">
      <c r="O718" s="57"/>
      <c r="P718" s="57"/>
      <c r="AO718" s="57"/>
      <c r="BA718" s="57"/>
      <c r="BF718" s="6" t="e">
        <f t="shared" si="33"/>
        <v>#NUM!</v>
      </c>
      <c r="BG718" t="e">
        <f t="shared" si="34"/>
        <v>#NUM!</v>
      </c>
      <c r="BH718" t="e">
        <f t="shared" si="35"/>
        <v>#NUM!</v>
      </c>
      <c r="BI718" t="e">
        <f>VLOOKUP(H718,Sheet2!$A$1:$B$270,2,FALSE)</f>
        <v>#N/A</v>
      </c>
    </row>
    <row r="719" spans="15:61" hidden="1">
      <c r="O719" s="57"/>
      <c r="P719" s="57"/>
      <c r="AO719" s="57"/>
      <c r="BA719" s="57"/>
      <c r="BF719" s="6" t="e">
        <f t="shared" si="33"/>
        <v>#NUM!</v>
      </c>
      <c r="BG719" t="e">
        <f t="shared" si="34"/>
        <v>#NUM!</v>
      </c>
      <c r="BH719" t="e">
        <f t="shared" si="35"/>
        <v>#NUM!</v>
      </c>
      <c r="BI719" t="e">
        <f>VLOOKUP(H719,Sheet2!$A$1:$B$270,2,FALSE)</f>
        <v>#N/A</v>
      </c>
    </row>
    <row r="720" spans="15:61" hidden="1">
      <c r="O720" s="57"/>
      <c r="P720" s="57"/>
      <c r="AO720" s="57"/>
      <c r="BF720" s="6" t="e">
        <f t="shared" si="33"/>
        <v>#NUM!</v>
      </c>
      <c r="BG720" t="e">
        <f t="shared" si="34"/>
        <v>#NUM!</v>
      </c>
      <c r="BH720" t="e">
        <f t="shared" si="35"/>
        <v>#NUM!</v>
      </c>
      <c r="BI720" t="e">
        <f>VLOOKUP(H720,Sheet2!$A$1:$B$270,2,FALSE)</f>
        <v>#N/A</v>
      </c>
    </row>
    <row r="721" spans="15:61" hidden="1">
      <c r="O721" s="57"/>
      <c r="P721" s="57"/>
      <c r="AO721" s="57"/>
      <c r="AP721" s="57"/>
      <c r="BA721" s="57"/>
      <c r="BF721" s="6" t="e">
        <f t="shared" si="33"/>
        <v>#NUM!</v>
      </c>
      <c r="BG721" t="e">
        <f t="shared" si="34"/>
        <v>#NUM!</v>
      </c>
      <c r="BH721" t="e">
        <f t="shared" si="35"/>
        <v>#NUM!</v>
      </c>
      <c r="BI721" t="e">
        <f>VLOOKUP(H721,Sheet2!$A$1:$B$270,2,FALSE)</f>
        <v>#N/A</v>
      </c>
    </row>
    <row r="722" spans="15:61" hidden="1">
      <c r="O722" s="57"/>
      <c r="P722" s="57"/>
      <c r="AO722" s="57"/>
      <c r="AP722" s="57"/>
      <c r="BA722" s="57"/>
      <c r="BF722" s="6" t="e">
        <f t="shared" si="33"/>
        <v>#NUM!</v>
      </c>
      <c r="BG722" t="e">
        <f t="shared" si="34"/>
        <v>#NUM!</v>
      </c>
      <c r="BH722" t="e">
        <f t="shared" si="35"/>
        <v>#NUM!</v>
      </c>
      <c r="BI722" t="e">
        <f>VLOOKUP(H722,Sheet2!$A$1:$B$270,2,FALSE)</f>
        <v>#N/A</v>
      </c>
    </row>
    <row r="723" spans="15:61" hidden="1">
      <c r="O723" s="57"/>
      <c r="P723" s="57"/>
      <c r="AO723" s="57"/>
      <c r="BA723" s="57"/>
      <c r="BF723" s="6" t="e">
        <f t="shared" si="33"/>
        <v>#NUM!</v>
      </c>
      <c r="BG723" t="e">
        <f t="shared" si="34"/>
        <v>#NUM!</v>
      </c>
      <c r="BH723" t="e">
        <f t="shared" si="35"/>
        <v>#NUM!</v>
      </c>
      <c r="BI723" t="e">
        <f>VLOOKUP(H723,Sheet2!$A$1:$B$270,2,FALSE)</f>
        <v>#N/A</v>
      </c>
    </row>
    <row r="724" spans="15:61" hidden="1">
      <c r="O724" s="57"/>
      <c r="P724" s="57"/>
      <c r="AO724" s="57"/>
      <c r="AP724" s="57"/>
      <c r="BA724" s="57"/>
      <c r="BF724" s="6" t="e">
        <f t="shared" si="33"/>
        <v>#NUM!</v>
      </c>
      <c r="BG724" t="e">
        <f t="shared" si="34"/>
        <v>#NUM!</v>
      </c>
      <c r="BH724" t="e">
        <f t="shared" si="35"/>
        <v>#NUM!</v>
      </c>
      <c r="BI724" t="e">
        <f>VLOOKUP(H724,Sheet2!$A$1:$B$270,2,FALSE)</f>
        <v>#N/A</v>
      </c>
    </row>
    <row r="725" spans="15:61" hidden="1">
      <c r="O725" s="57"/>
      <c r="P725" s="57"/>
      <c r="AO725" s="57"/>
      <c r="AP725" s="57"/>
      <c r="BA725" s="57"/>
      <c r="BF725" s="6" t="e">
        <f t="shared" si="33"/>
        <v>#NUM!</v>
      </c>
      <c r="BG725" t="e">
        <f t="shared" si="34"/>
        <v>#NUM!</v>
      </c>
      <c r="BH725" t="e">
        <f t="shared" si="35"/>
        <v>#NUM!</v>
      </c>
      <c r="BI725" t="e">
        <f>VLOOKUP(H725,Sheet2!$A$1:$B$270,2,FALSE)</f>
        <v>#N/A</v>
      </c>
    </row>
    <row r="726" spans="15:61" hidden="1">
      <c r="O726" s="57"/>
      <c r="P726" s="57"/>
      <c r="AP726" s="57"/>
      <c r="BA726" s="57"/>
      <c r="BF726" s="6" t="e">
        <f t="shared" si="33"/>
        <v>#NUM!</v>
      </c>
      <c r="BG726" t="e">
        <f t="shared" si="34"/>
        <v>#NUM!</v>
      </c>
      <c r="BH726" t="e">
        <f t="shared" si="35"/>
        <v>#NUM!</v>
      </c>
      <c r="BI726" t="e">
        <f>VLOOKUP(H726,Sheet2!$A$1:$B$270,2,FALSE)</f>
        <v>#N/A</v>
      </c>
    </row>
    <row r="727" spans="15:61" hidden="1">
      <c r="O727" s="57"/>
      <c r="P727" s="57"/>
      <c r="BA727" s="57"/>
      <c r="BF727" s="6" t="e">
        <f t="shared" si="33"/>
        <v>#NUM!</v>
      </c>
      <c r="BG727" t="e">
        <f t="shared" si="34"/>
        <v>#NUM!</v>
      </c>
      <c r="BH727" t="e">
        <f t="shared" si="35"/>
        <v>#NUM!</v>
      </c>
      <c r="BI727" t="e">
        <f>VLOOKUP(H727,Sheet2!$A$1:$B$270,2,FALSE)</f>
        <v>#N/A</v>
      </c>
    </row>
    <row r="728" spans="15:61" hidden="1">
      <c r="O728" s="57"/>
      <c r="P728" s="57"/>
      <c r="AP728" s="57"/>
      <c r="BA728" s="57"/>
      <c r="BF728" s="6" t="e">
        <f t="shared" si="33"/>
        <v>#NUM!</v>
      </c>
      <c r="BG728" t="e">
        <f t="shared" si="34"/>
        <v>#NUM!</v>
      </c>
      <c r="BH728" t="e">
        <f t="shared" si="35"/>
        <v>#NUM!</v>
      </c>
      <c r="BI728" t="e">
        <f>VLOOKUP(H728,Sheet2!$A$1:$B$270,2,FALSE)</f>
        <v>#N/A</v>
      </c>
    </row>
    <row r="729" spans="15:61" hidden="1">
      <c r="O729" s="57"/>
      <c r="P729" s="57"/>
      <c r="AP729" s="57"/>
      <c r="BA729" s="57"/>
      <c r="BF729" s="6" t="e">
        <f t="shared" si="33"/>
        <v>#NUM!</v>
      </c>
      <c r="BG729" t="e">
        <f t="shared" si="34"/>
        <v>#NUM!</v>
      </c>
      <c r="BH729" t="e">
        <f t="shared" si="35"/>
        <v>#NUM!</v>
      </c>
      <c r="BI729" t="e">
        <f>VLOOKUP(H729,Sheet2!$A$1:$B$270,2,FALSE)</f>
        <v>#N/A</v>
      </c>
    </row>
    <row r="730" spans="15:61" hidden="1">
      <c r="O730" s="57"/>
      <c r="P730" s="57"/>
      <c r="AP730" s="57"/>
      <c r="BA730" s="57"/>
      <c r="BF730" s="6" t="e">
        <f t="shared" si="33"/>
        <v>#NUM!</v>
      </c>
      <c r="BG730" t="e">
        <f t="shared" si="34"/>
        <v>#NUM!</v>
      </c>
      <c r="BH730" t="e">
        <f t="shared" si="35"/>
        <v>#NUM!</v>
      </c>
      <c r="BI730" t="e">
        <f>VLOOKUP(H730,Sheet2!$A$1:$B$270,2,FALSE)</f>
        <v>#N/A</v>
      </c>
    </row>
    <row r="731" spans="15:61" hidden="1">
      <c r="O731" s="57"/>
      <c r="P731" s="57"/>
      <c r="AP731" s="57"/>
      <c r="BA731" s="57"/>
      <c r="BF731" s="6" t="e">
        <f t="shared" si="33"/>
        <v>#NUM!</v>
      </c>
      <c r="BG731" t="e">
        <f t="shared" si="34"/>
        <v>#NUM!</v>
      </c>
      <c r="BH731" t="e">
        <f t="shared" si="35"/>
        <v>#NUM!</v>
      </c>
      <c r="BI731" t="e">
        <f>VLOOKUP(H731,Sheet2!$A$1:$B$270,2,FALSE)</f>
        <v>#N/A</v>
      </c>
    </row>
    <row r="732" spans="15:61" hidden="1">
      <c r="O732" s="57"/>
      <c r="P732" s="57"/>
      <c r="AP732" s="57"/>
      <c r="BA732" s="57"/>
      <c r="BF732" s="6" t="e">
        <f t="shared" si="33"/>
        <v>#NUM!</v>
      </c>
      <c r="BG732" t="e">
        <f t="shared" si="34"/>
        <v>#NUM!</v>
      </c>
      <c r="BH732" t="e">
        <f t="shared" si="35"/>
        <v>#NUM!</v>
      </c>
      <c r="BI732" t="e">
        <f>VLOOKUP(H732,Sheet2!$A$1:$B$270,2,FALSE)</f>
        <v>#N/A</v>
      </c>
    </row>
    <row r="733" spans="15:61" hidden="1">
      <c r="O733" s="57"/>
      <c r="P733" s="57"/>
      <c r="AP733" s="57"/>
      <c r="BA733" s="57"/>
      <c r="BF733" s="6" t="e">
        <f t="shared" si="33"/>
        <v>#NUM!</v>
      </c>
      <c r="BG733" t="e">
        <f t="shared" si="34"/>
        <v>#NUM!</v>
      </c>
      <c r="BH733" t="e">
        <f t="shared" si="35"/>
        <v>#NUM!</v>
      </c>
      <c r="BI733" t="e">
        <f>VLOOKUP(H733,Sheet2!$A$1:$B$270,2,FALSE)</f>
        <v>#N/A</v>
      </c>
    </row>
    <row r="734" spans="15:61" hidden="1">
      <c r="O734" s="57"/>
      <c r="P734" s="57"/>
      <c r="AP734" s="57"/>
      <c r="BA734" s="57"/>
      <c r="BF734" s="6" t="e">
        <f t="shared" si="33"/>
        <v>#NUM!</v>
      </c>
      <c r="BG734" t="e">
        <f t="shared" si="34"/>
        <v>#NUM!</v>
      </c>
      <c r="BH734" t="e">
        <f t="shared" si="35"/>
        <v>#NUM!</v>
      </c>
      <c r="BI734" t="e">
        <f>VLOOKUP(H734,Sheet2!$A$1:$B$270,2,FALSE)</f>
        <v>#N/A</v>
      </c>
    </row>
    <row r="735" spans="15:61" hidden="1">
      <c r="O735" s="57"/>
      <c r="P735" s="57"/>
      <c r="AP735" s="57"/>
      <c r="BA735" s="57"/>
      <c r="BF735" s="6" t="e">
        <f t="shared" si="33"/>
        <v>#NUM!</v>
      </c>
      <c r="BG735" t="e">
        <f t="shared" si="34"/>
        <v>#NUM!</v>
      </c>
      <c r="BH735" t="e">
        <f t="shared" si="35"/>
        <v>#NUM!</v>
      </c>
      <c r="BI735" t="e">
        <f>VLOOKUP(H735,Sheet2!$A$1:$B$270,2,FALSE)</f>
        <v>#N/A</v>
      </c>
    </row>
    <row r="736" spans="15:61" hidden="1">
      <c r="O736" s="57"/>
      <c r="P736" s="57"/>
      <c r="AP736" s="57"/>
      <c r="BA736" s="57"/>
      <c r="BF736" s="6" t="e">
        <f t="shared" si="33"/>
        <v>#NUM!</v>
      </c>
      <c r="BG736" t="e">
        <f t="shared" si="34"/>
        <v>#NUM!</v>
      </c>
      <c r="BH736" t="e">
        <f t="shared" si="35"/>
        <v>#NUM!</v>
      </c>
      <c r="BI736" t="e">
        <f>VLOOKUP(H736,Sheet2!$A$1:$B$270,2,FALSE)</f>
        <v>#N/A</v>
      </c>
    </row>
    <row r="737" spans="15:61" hidden="1">
      <c r="O737" s="57"/>
      <c r="P737" s="57"/>
      <c r="BA737" s="57"/>
      <c r="BF737" s="6" t="e">
        <f t="shared" si="33"/>
        <v>#NUM!</v>
      </c>
      <c r="BG737" t="e">
        <f t="shared" si="34"/>
        <v>#NUM!</v>
      </c>
      <c r="BH737" t="e">
        <f t="shared" si="35"/>
        <v>#NUM!</v>
      </c>
      <c r="BI737" t="e">
        <f>VLOOKUP(H737,Sheet2!$A$1:$B$270,2,FALSE)</f>
        <v>#N/A</v>
      </c>
    </row>
    <row r="738" spans="15:61" hidden="1">
      <c r="O738" s="57"/>
      <c r="P738" s="57"/>
      <c r="AP738" s="57"/>
      <c r="BA738" s="57"/>
      <c r="BF738" s="6" t="e">
        <f t="shared" si="33"/>
        <v>#NUM!</v>
      </c>
      <c r="BG738" t="e">
        <f t="shared" si="34"/>
        <v>#NUM!</v>
      </c>
      <c r="BH738" t="e">
        <f t="shared" si="35"/>
        <v>#NUM!</v>
      </c>
      <c r="BI738" t="e">
        <f>VLOOKUP(H738,Sheet2!$A$1:$B$270,2,FALSE)</f>
        <v>#N/A</v>
      </c>
    </row>
    <row r="739" spans="15:61" hidden="1">
      <c r="O739" s="57"/>
      <c r="P739" s="57"/>
      <c r="AP739" s="57"/>
      <c r="BA739" s="57"/>
      <c r="BF739" s="6" t="e">
        <f t="shared" si="33"/>
        <v>#NUM!</v>
      </c>
      <c r="BG739" t="e">
        <f t="shared" si="34"/>
        <v>#NUM!</v>
      </c>
      <c r="BH739" t="e">
        <f t="shared" si="35"/>
        <v>#NUM!</v>
      </c>
      <c r="BI739" t="e">
        <f>VLOOKUP(H739,Sheet2!$A$1:$B$270,2,FALSE)</f>
        <v>#N/A</v>
      </c>
    </row>
    <row r="740" spans="15:61" hidden="1">
      <c r="O740" s="57"/>
      <c r="P740" s="57"/>
      <c r="AP740" s="57"/>
      <c r="BA740" s="57"/>
      <c r="BF740" s="6" t="e">
        <f t="shared" si="33"/>
        <v>#NUM!</v>
      </c>
      <c r="BG740" t="e">
        <f t="shared" si="34"/>
        <v>#NUM!</v>
      </c>
      <c r="BH740" t="e">
        <f t="shared" si="35"/>
        <v>#NUM!</v>
      </c>
      <c r="BI740" t="e">
        <f>VLOOKUP(H740,Sheet2!$A$1:$B$270,2,FALSE)</f>
        <v>#N/A</v>
      </c>
    </row>
    <row r="741" spans="15:61" hidden="1">
      <c r="O741" s="57"/>
      <c r="P741" s="57"/>
      <c r="AP741" s="57"/>
      <c r="BA741" s="57"/>
      <c r="BF741" s="6" t="e">
        <f t="shared" si="33"/>
        <v>#NUM!</v>
      </c>
      <c r="BG741" t="e">
        <f t="shared" si="34"/>
        <v>#NUM!</v>
      </c>
      <c r="BH741" t="e">
        <f t="shared" si="35"/>
        <v>#NUM!</v>
      </c>
      <c r="BI741" t="e">
        <f>VLOOKUP(H741,Sheet2!$A$1:$B$270,2,FALSE)</f>
        <v>#N/A</v>
      </c>
    </row>
    <row r="742" spans="15:61" hidden="1">
      <c r="O742" s="57"/>
      <c r="P742" s="57"/>
      <c r="AO742" s="57"/>
      <c r="BA742" s="57"/>
      <c r="BF742" s="6" t="e">
        <f t="shared" si="33"/>
        <v>#NUM!</v>
      </c>
      <c r="BG742" t="e">
        <f t="shared" si="34"/>
        <v>#NUM!</v>
      </c>
      <c r="BH742" t="e">
        <f t="shared" si="35"/>
        <v>#NUM!</v>
      </c>
      <c r="BI742" t="e">
        <f>VLOOKUP(H742,Sheet2!$A$1:$B$270,2,FALSE)</f>
        <v>#N/A</v>
      </c>
    </row>
    <row r="743" spans="15:61" hidden="1">
      <c r="O743" s="57"/>
      <c r="P743" s="57"/>
      <c r="AP743" s="57"/>
      <c r="BA743" s="57"/>
      <c r="BF743" s="6" t="e">
        <f t="shared" si="33"/>
        <v>#NUM!</v>
      </c>
      <c r="BG743" t="e">
        <f t="shared" si="34"/>
        <v>#NUM!</v>
      </c>
      <c r="BH743" t="e">
        <f t="shared" si="35"/>
        <v>#NUM!</v>
      </c>
      <c r="BI743" t="e">
        <f>VLOOKUP(H743,Sheet2!$A$1:$B$270,2,FALSE)</f>
        <v>#N/A</v>
      </c>
    </row>
    <row r="744" spans="15:61" hidden="1">
      <c r="O744" s="57"/>
      <c r="P744" s="57"/>
      <c r="AO744" s="57"/>
      <c r="AP744" s="57"/>
      <c r="BA744" s="57"/>
      <c r="BF744" s="6" t="e">
        <f t="shared" si="33"/>
        <v>#NUM!</v>
      </c>
      <c r="BG744" t="e">
        <f t="shared" si="34"/>
        <v>#NUM!</v>
      </c>
      <c r="BH744" t="e">
        <f t="shared" si="35"/>
        <v>#NUM!</v>
      </c>
      <c r="BI744" t="e">
        <f>VLOOKUP(H744,Sheet2!$A$1:$B$270,2,FALSE)</f>
        <v>#N/A</v>
      </c>
    </row>
    <row r="745" spans="15:61" hidden="1">
      <c r="O745" s="57"/>
      <c r="P745" s="57"/>
      <c r="AO745" s="57"/>
      <c r="AP745" s="57"/>
      <c r="BA745" s="57"/>
      <c r="BF745" s="6" t="e">
        <f t="shared" si="33"/>
        <v>#NUM!</v>
      </c>
      <c r="BG745" t="e">
        <f t="shared" si="34"/>
        <v>#NUM!</v>
      </c>
      <c r="BH745" t="e">
        <f t="shared" si="35"/>
        <v>#NUM!</v>
      </c>
      <c r="BI745" t="e">
        <f>VLOOKUP(H745,Sheet2!$A$1:$B$270,2,FALSE)</f>
        <v>#N/A</v>
      </c>
    </row>
    <row r="746" spans="15:61" hidden="1">
      <c r="O746" s="57"/>
      <c r="P746" s="57"/>
      <c r="AO746" s="57"/>
      <c r="AP746" s="57"/>
      <c r="BA746" s="57"/>
      <c r="BF746" s="6" t="e">
        <f t="shared" si="33"/>
        <v>#NUM!</v>
      </c>
      <c r="BG746" t="e">
        <f t="shared" si="34"/>
        <v>#NUM!</v>
      </c>
      <c r="BH746" t="e">
        <f t="shared" si="35"/>
        <v>#NUM!</v>
      </c>
      <c r="BI746" t="e">
        <f>VLOOKUP(H746,Sheet2!$A$1:$B$270,2,FALSE)</f>
        <v>#N/A</v>
      </c>
    </row>
    <row r="747" spans="15:61" hidden="1">
      <c r="O747" s="57"/>
      <c r="P747" s="57"/>
      <c r="AO747" s="57"/>
      <c r="AP747" s="57"/>
      <c r="BA747" s="57"/>
      <c r="BF747" s="6" t="e">
        <f t="shared" si="33"/>
        <v>#NUM!</v>
      </c>
      <c r="BG747" t="e">
        <f t="shared" si="34"/>
        <v>#NUM!</v>
      </c>
      <c r="BH747" t="e">
        <f t="shared" si="35"/>
        <v>#NUM!</v>
      </c>
      <c r="BI747" t="e">
        <f>VLOOKUP(H747,Sheet2!$A$1:$B$270,2,FALSE)</f>
        <v>#N/A</v>
      </c>
    </row>
    <row r="748" spans="15:61" hidden="1">
      <c r="O748" s="57"/>
      <c r="P748" s="57"/>
      <c r="AO748" s="57"/>
      <c r="BA748" s="57"/>
      <c r="BF748" s="6" t="e">
        <f t="shared" si="33"/>
        <v>#NUM!</v>
      </c>
      <c r="BG748" t="e">
        <f t="shared" si="34"/>
        <v>#NUM!</v>
      </c>
      <c r="BH748" t="e">
        <f t="shared" si="35"/>
        <v>#NUM!</v>
      </c>
      <c r="BI748" t="e">
        <f>VLOOKUP(H748,Sheet2!$A$1:$B$270,2,FALSE)</f>
        <v>#N/A</v>
      </c>
    </row>
    <row r="749" spans="15:61" hidden="1">
      <c r="O749" s="57"/>
      <c r="P749" s="57"/>
      <c r="BA749" s="57"/>
      <c r="BF749" s="6" t="e">
        <f t="shared" si="33"/>
        <v>#NUM!</v>
      </c>
      <c r="BG749" t="e">
        <f t="shared" si="34"/>
        <v>#NUM!</v>
      </c>
      <c r="BH749" t="e">
        <f t="shared" si="35"/>
        <v>#NUM!</v>
      </c>
      <c r="BI749" t="e">
        <f>VLOOKUP(H749,Sheet2!$A$1:$B$270,2,FALSE)</f>
        <v>#N/A</v>
      </c>
    </row>
    <row r="750" spans="15:61" hidden="1">
      <c r="O750" s="57"/>
      <c r="P750" s="57"/>
      <c r="AP750" s="57"/>
      <c r="BA750" s="57"/>
      <c r="BF750" s="6" t="e">
        <f t="shared" si="33"/>
        <v>#NUM!</v>
      </c>
      <c r="BG750" t="e">
        <f t="shared" si="34"/>
        <v>#NUM!</v>
      </c>
      <c r="BH750" t="e">
        <f t="shared" si="35"/>
        <v>#NUM!</v>
      </c>
      <c r="BI750" t="e">
        <f>VLOOKUP(H750,Sheet2!$A$1:$B$270,2,FALSE)</f>
        <v>#N/A</v>
      </c>
    </row>
    <row r="751" spans="15:61" hidden="1">
      <c r="O751" s="57"/>
      <c r="P751" s="57"/>
      <c r="AP751" s="57"/>
      <c r="BA751" s="57"/>
      <c r="BF751" s="6" t="e">
        <f t="shared" si="33"/>
        <v>#NUM!</v>
      </c>
      <c r="BG751" t="e">
        <f t="shared" si="34"/>
        <v>#NUM!</v>
      </c>
      <c r="BH751" t="e">
        <f t="shared" si="35"/>
        <v>#NUM!</v>
      </c>
      <c r="BI751" t="e">
        <f>VLOOKUP(H751,Sheet2!$A$1:$B$270,2,FALSE)</f>
        <v>#N/A</v>
      </c>
    </row>
    <row r="752" spans="15:61" hidden="1">
      <c r="O752" s="57"/>
      <c r="P752" s="57"/>
      <c r="AP752" s="57"/>
      <c r="BA752" s="57"/>
      <c r="BF752" s="6" t="e">
        <f t="shared" si="33"/>
        <v>#NUM!</v>
      </c>
      <c r="BG752" t="e">
        <f t="shared" si="34"/>
        <v>#NUM!</v>
      </c>
      <c r="BH752" t="e">
        <f t="shared" si="35"/>
        <v>#NUM!</v>
      </c>
      <c r="BI752" t="e">
        <f>VLOOKUP(H752,Sheet2!$A$1:$B$270,2,FALSE)</f>
        <v>#N/A</v>
      </c>
    </row>
    <row r="753" spans="15:61" hidden="1">
      <c r="O753" s="57"/>
      <c r="P753" s="57"/>
      <c r="AP753" s="57"/>
      <c r="BA753" s="57"/>
      <c r="BF753" s="6" t="e">
        <f t="shared" si="33"/>
        <v>#NUM!</v>
      </c>
      <c r="BG753" t="e">
        <f t="shared" si="34"/>
        <v>#NUM!</v>
      </c>
      <c r="BH753" t="e">
        <f t="shared" si="35"/>
        <v>#NUM!</v>
      </c>
      <c r="BI753" t="e">
        <f>VLOOKUP(H753,Sheet2!$A$1:$B$270,2,FALSE)</f>
        <v>#N/A</v>
      </c>
    </row>
    <row r="754" spans="15:61" hidden="1">
      <c r="O754" s="57"/>
      <c r="P754" s="57"/>
      <c r="AP754" s="57"/>
      <c r="BA754" s="57"/>
      <c r="BF754" s="6" t="e">
        <f t="shared" si="33"/>
        <v>#NUM!</v>
      </c>
      <c r="BG754" t="e">
        <f t="shared" si="34"/>
        <v>#NUM!</v>
      </c>
      <c r="BH754" t="e">
        <f t="shared" si="35"/>
        <v>#NUM!</v>
      </c>
      <c r="BI754" t="e">
        <f>VLOOKUP(H754,Sheet2!$A$1:$B$270,2,FALSE)</f>
        <v>#N/A</v>
      </c>
    </row>
    <row r="755" spans="15:61" hidden="1">
      <c r="O755" s="57"/>
      <c r="P755" s="57"/>
      <c r="AP755" s="57"/>
      <c r="BA755" s="57"/>
      <c r="BF755" s="6" t="e">
        <f t="shared" si="33"/>
        <v>#NUM!</v>
      </c>
      <c r="BG755" t="e">
        <f t="shared" si="34"/>
        <v>#NUM!</v>
      </c>
      <c r="BH755" t="e">
        <f t="shared" si="35"/>
        <v>#NUM!</v>
      </c>
      <c r="BI755" t="e">
        <f>VLOOKUP(H755,Sheet2!$A$1:$B$270,2,FALSE)</f>
        <v>#N/A</v>
      </c>
    </row>
    <row r="756" spans="15:61" hidden="1">
      <c r="O756" s="57"/>
      <c r="P756" s="57"/>
      <c r="AP756" s="57"/>
      <c r="BA756" s="57"/>
      <c r="BF756" s="6" t="e">
        <f t="shared" si="33"/>
        <v>#NUM!</v>
      </c>
      <c r="BG756" t="e">
        <f t="shared" si="34"/>
        <v>#NUM!</v>
      </c>
      <c r="BH756" t="e">
        <f t="shared" si="35"/>
        <v>#NUM!</v>
      </c>
      <c r="BI756" t="e">
        <f>VLOOKUP(H756,Sheet2!$A$1:$B$270,2,FALSE)</f>
        <v>#N/A</v>
      </c>
    </row>
    <row r="757" spans="15:61" hidden="1">
      <c r="O757" s="57"/>
      <c r="P757" s="57"/>
      <c r="AP757" s="57"/>
      <c r="BA757" s="57"/>
      <c r="BF757" s="6" t="e">
        <f t="shared" si="33"/>
        <v>#NUM!</v>
      </c>
      <c r="BG757" t="e">
        <f t="shared" si="34"/>
        <v>#NUM!</v>
      </c>
      <c r="BH757" t="e">
        <f t="shared" si="35"/>
        <v>#NUM!</v>
      </c>
      <c r="BI757" t="e">
        <f>VLOOKUP(H757,Sheet2!$A$1:$B$270,2,FALSE)</f>
        <v>#N/A</v>
      </c>
    </row>
    <row r="758" spans="15:61" hidden="1">
      <c r="O758" s="57"/>
      <c r="P758" s="57"/>
      <c r="AP758" s="57"/>
      <c r="BA758" s="57"/>
      <c r="BF758" s="6" t="e">
        <f t="shared" si="33"/>
        <v>#NUM!</v>
      </c>
      <c r="BG758" t="e">
        <f t="shared" si="34"/>
        <v>#NUM!</v>
      </c>
      <c r="BH758" t="e">
        <f t="shared" si="35"/>
        <v>#NUM!</v>
      </c>
      <c r="BI758" t="e">
        <f>VLOOKUP(H758,Sheet2!$A$1:$B$270,2,FALSE)</f>
        <v>#N/A</v>
      </c>
    </row>
    <row r="759" spans="15:61" hidden="1">
      <c r="O759" s="57"/>
      <c r="P759" s="57"/>
      <c r="AP759" s="57"/>
      <c r="BA759" s="57"/>
      <c r="BF759" s="6" t="e">
        <f t="shared" si="33"/>
        <v>#NUM!</v>
      </c>
      <c r="BG759" t="e">
        <f t="shared" si="34"/>
        <v>#NUM!</v>
      </c>
      <c r="BH759" t="e">
        <f t="shared" si="35"/>
        <v>#NUM!</v>
      </c>
      <c r="BI759" t="e">
        <f>VLOOKUP(H759,Sheet2!$A$1:$B$270,2,FALSE)</f>
        <v>#N/A</v>
      </c>
    </row>
    <row r="760" spans="15:61" hidden="1">
      <c r="O760" s="57"/>
      <c r="P760" s="57"/>
      <c r="AO760" s="57"/>
      <c r="AP760" s="57"/>
      <c r="BA760" s="57"/>
      <c r="BF760" s="6" t="e">
        <f t="shared" si="33"/>
        <v>#NUM!</v>
      </c>
      <c r="BG760" t="e">
        <f t="shared" si="34"/>
        <v>#NUM!</v>
      </c>
      <c r="BH760" t="e">
        <f t="shared" si="35"/>
        <v>#NUM!</v>
      </c>
      <c r="BI760" t="e">
        <f>VLOOKUP(H760,Sheet2!$A$1:$B$270,2,FALSE)</f>
        <v>#N/A</v>
      </c>
    </row>
    <row r="761" spans="15:61" hidden="1">
      <c r="O761" s="57"/>
      <c r="P761" s="57"/>
      <c r="AO761" s="57"/>
      <c r="BA761" s="57"/>
      <c r="BF761" s="6" t="e">
        <f t="shared" si="33"/>
        <v>#NUM!</v>
      </c>
      <c r="BG761" t="e">
        <f t="shared" si="34"/>
        <v>#NUM!</v>
      </c>
      <c r="BH761" t="e">
        <f t="shared" si="35"/>
        <v>#NUM!</v>
      </c>
      <c r="BI761" t="e">
        <f>VLOOKUP(H761,Sheet2!$A$1:$B$270,2,FALSE)</f>
        <v>#N/A</v>
      </c>
    </row>
    <row r="762" spans="15:61" hidden="1">
      <c r="O762" s="57"/>
      <c r="P762" s="57"/>
      <c r="AO762" s="57"/>
      <c r="AP762" s="57"/>
      <c r="BA762" s="57"/>
      <c r="BF762" s="6" t="e">
        <f t="shared" si="33"/>
        <v>#NUM!</v>
      </c>
      <c r="BG762" t="e">
        <f t="shared" si="34"/>
        <v>#NUM!</v>
      </c>
      <c r="BH762" t="e">
        <f t="shared" si="35"/>
        <v>#NUM!</v>
      </c>
      <c r="BI762" t="e">
        <f>VLOOKUP(H762,Sheet2!$A$1:$B$270,2,FALSE)</f>
        <v>#N/A</v>
      </c>
    </row>
    <row r="763" spans="15:61" hidden="1">
      <c r="O763" s="57"/>
      <c r="P763" s="57"/>
      <c r="BA763" s="57"/>
      <c r="BF763" s="6" t="e">
        <f t="shared" si="33"/>
        <v>#NUM!</v>
      </c>
      <c r="BG763" t="e">
        <f t="shared" si="34"/>
        <v>#NUM!</v>
      </c>
      <c r="BH763" t="e">
        <f t="shared" si="35"/>
        <v>#NUM!</v>
      </c>
      <c r="BI763" t="e">
        <f>VLOOKUP(H763,Sheet2!$A$1:$B$270,2,FALSE)</f>
        <v>#N/A</v>
      </c>
    </row>
    <row r="764" spans="15:61" hidden="1">
      <c r="O764" s="57"/>
      <c r="P764" s="57"/>
      <c r="AO764" s="57"/>
      <c r="AP764" s="57"/>
      <c r="BA764" s="57"/>
      <c r="BF764" s="6" t="e">
        <f t="shared" si="33"/>
        <v>#NUM!</v>
      </c>
      <c r="BG764" t="e">
        <f t="shared" si="34"/>
        <v>#NUM!</v>
      </c>
      <c r="BH764" t="e">
        <f t="shared" si="35"/>
        <v>#NUM!</v>
      </c>
      <c r="BI764" t="e">
        <f>VLOOKUP(H764,Sheet2!$A$1:$B$270,2,FALSE)</f>
        <v>#N/A</v>
      </c>
    </row>
    <row r="765" spans="15:61" hidden="1">
      <c r="O765" s="57"/>
      <c r="P765" s="57"/>
      <c r="AP765" s="57"/>
      <c r="BA765" s="57"/>
      <c r="BF765" s="6" t="e">
        <f t="shared" si="33"/>
        <v>#NUM!</v>
      </c>
      <c r="BG765" t="e">
        <f t="shared" si="34"/>
        <v>#NUM!</v>
      </c>
      <c r="BH765" t="e">
        <f t="shared" si="35"/>
        <v>#NUM!</v>
      </c>
      <c r="BI765" t="e">
        <f>VLOOKUP(H765,Sheet2!$A$1:$B$270,2,FALSE)</f>
        <v>#N/A</v>
      </c>
    </row>
    <row r="766" spans="15:61" hidden="1">
      <c r="O766" s="57"/>
      <c r="P766" s="57"/>
      <c r="AO766" s="57"/>
      <c r="AP766" s="57"/>
      <c r="BA766" s="57"/>
      <c r="BF766" s="6" t="e">
        <f t="shared" si="33"/>
        <v>#NUM!</v>
      </c>
      <c r="BG766" t="e">
        <f t="shared" si="34"/>
        <v>#NUM!</v>
      </c>
      <c r="BH766" t="e">
        <f t="shared" si="35"/>
        <v>#NUM!</v>
      </c>
      <c r="BI766" t="e">
        <f>VLOOKUP(H766,Sheet2!$A$1:$B$270,2,FALSE)</f>
        <v>#N/A</v>
      </c>
    </row>
    <row r="767" spans="15:61" hidden="1">
      <c r="O767" s="57"/>
      <c r="P767" s="57"/>
      <c r="AO767" s="57"/>
      <c r="AP767" s="57"/>
      <c r="BA767" s="57"/>
      <c r="BF767" s="6" t="e">
        <f t="shared" si="33"/>
        <v>#NUM!</v>
      </c>
      <c r="BG767" t="e">
        <f t="shared" si="34"/>
        <v>#NUM!</v>
      </c>
      <c r="BH767" t="e">
        <f t="shared" si="35"/>
        <v>#NUM!</v>
      </c>
      <c r="BI767" t="e">
        <f>VLOOKUP(H767,Sheet2!$A$1:$B$270,2,FALSE)</f>
        <v>#N/A</v>
      </c>
    </row>
    <row r="768" spans="15:61" hidden="1">
      <c r="O768" s="57"/>
      <c r="P768" s="57"/>
      <c r="AP768" s="57"/>
      <c r="BA768" s="57"/>
      <c r="BF768" s="6" t="e">
        <f t="shared" si="33"/>
        <v>#NUM!</v>
      </c>
      <c r="BG768" t="e">
        <f t="shared" si="34"/>
        <v>#NUM!</v>
      </c>
      <c r="BH768" t="e">
        <f t="shared" si="35"/>
        <v>#NUM!</v>
      </c>
      <c r="BI768" t="e">
        <f>VLOOKUP(H768,Sheet2!$A$1:$B$270,2,FALSE)</f>
        <v>#N/A</v>
      </c>
    </row>
    <row r="769" spans="15:61" hidden="1">
      <c r="O769" s="57"/>
      <c r="P769" s="57"/>
      <c r="AP769" s="57"/>
      <c r="BA769" s="57"/>
      <c r="BF769" s="6" t="e">
        <f t="shared" si="33"/>
        <v>#NUM!</v>
      </c>
      <c r="BG769" t="e">
        <f t="shared" si="34"/>
        <v>#NUM!</v>
      </c>
      <c r="BH769" t="e">
        <f t="shared" si="35"/>
        <v>#NUM!</v>
      </c>
      <c r="BI769" t="e">
        <f>VLOOKUP(H769,Sheet2!$A$1:$B$270,2,FALSE)</f>
        <v>#N/A</v>
      </c>
    </row>
    <row r="770" spans="15:61" hidden="1">
      <c r="O770" s="57"/>
      <c r="P770" s="57"/>
      <c r="AO770" s="57"/>
      <c r="AP770" s="57"/>
      <c r="BA770" s="57"/>
      <c r="BF770" s="6" t="e">
        <f t="shared" ref="BF770:BF833" si="36">DATE(BC770,BD770,BE770)</f>
        <v>#NUM!</v>
      </c>
      <c r="BG770" t="e">
        <f t="shared" ref="BG770:BG833" si="37">BF770-BA770</f>
        <v>#NUM!</v>
      </c>
      <c r="BH770" t="e">
        <f t="shared" ref="BH770:BH833" si="38">IF(BG770=1,"COMPLY",IF(BG770&lt;1,"COMPLY","NOT COMPLY"))</f>
        <v>#NUM!</v>
      </c>
      <c r="BI770" t="e">
        <f>VLOOKUP(H770,Sheet2!$A$1:$B$270,2,FALSE)</f>
        <v>#N/A</v>
      </c>
    </row>
    <row r="771" spans="15:61" hidden="1">
      <c r="O771" s="57"/>
      <c r="P771" s="57"/>
      <c r="AO771" s="57"/>
      <c r="BA771" s="57"/>
      <c r="BF771" s="6" t="e">
        <f t="shared" si="36"/>
        <v>#NUM!</v>
      </c>
      <c r="BG771" t="e">
        <f t="shared" si="37"/>
        <v>#NUM!</v>
      </c>
      <c r="BH771" t="e">
        <f t="shared" si="38"/>
        <v>#NUM!</v>
      </c>
      <c r="BI771" t="e">
        <f>VLOOKUP(H771,Sheet2!$A$1:$B$270,2,FALSE)</f>
        <v>#N/A</v>
      </c>
    </row>
    <row r="772" spans="15:61" hidden="1">
      <c r="O772" s="57"/>
      <c r="P772" s="57"/>
      <c r="AO772" s="57"/>
      <c r="BA772" s="57"/>
      <c r="BF772" s="6" t="e">
        <f t="shared" si="36"/>
        <v>#NUM!</v>
      </c>
      <c r="BG772" t="e">
        <f t="shared" si="37"/>
        <v>#NUM!</v>
      </c>
      <c r="BH772" t="e">
        <f t="shared" si="38"/>
        <v>#NUM!</v>
      </c>
      <c r="BI772" t="e">
        <f>VLOOKUP(H772,Sheet2!$A$1:$B$270,2,FALSE)</f>
        <v>#N/A</v>
      </c>
    </row>
    <row r="773" spans="15:61" hidden="1">
      <c r="O773" s="57"/>
      <c r="P773" s="57"/>
      <c r="AO773" s="57"/>
      <c r="AP773" s="57"/>
      <c r="BA773" s="57"/>
      <c r="BF773" s="6" t="e">
        <f t="shared" si="36"/>
        <v>#NUM!</v>
      </c>
      <c r="BG773" t="e">
        <f t="shared" si="37"/>
        <v>#NUM!</v>
      </c>
      <c r="BH773" t="e">
        <f t="shared" si="38"/>
        <v>#NUM!</v>
      </c>
      <c r="BI773" t="e">
        <f>VLOOKUP(H773,Sheet2!$A$1:$B$270,2,FALSE)</f>
        <v>#N/A</v>
      </c>
    </row>
    <row r="774" spans="15:61" hidden="1">
      <c r="O774" s="57"/>
      <c r="P774" s="57"/>
      <c r="AP774" s="57"/>
      <c r="BA774" s="57"/>
      <c r="BF774" s="6" t="e">
        <f t="shared" si="36"/>
        <v>#NUM!</v>
      </c>
      <c r="BG774" t="e">
        <f t="shared" si="37"/>
        <v>#NUM!</v>
      </c>
      <c r="BH774" t="e">
        <f t="shared" si="38"/>
        <v>#NUM!</v>
      </c>
      <c r="BI774" t="e">
        <f>VLOOKUP(H774,Sheet2!$A$1:$B$270,2,FALSE)</f>
        <v>#N/A</v>
      </c>
    </row>
    <row r="775" spans="15:61" hidden="1">
      <c r="O775" s="57"/>
      <c r="P775" s="57"/>
      <c r="AP775" s="57"/>
      <c r="BA775" s="57"/>
      <c r="BF775" s="6" t="e">
        <f t="shared" si="36"/>
        <v>#NUM!</v>
      </c>
      <c r="BG775" t="e">
        <f t="shared" si="37"/>
        <v>#NUM!</v>
      </c>
      <c r="BH775" t="e">
        <f t="shared" si="38"/>
        <v>#NUM!</v>
      </c>
      <c r="BI775" t="e">
        <f>VLOOKUP(H775,Sheet2!$A$1:$B$270,2,FALSE)</f>
        <v>#N/A</v>
      </c>
    </row>
    <row r="776" spans="15:61" hidden="1">
      <c r="O776" s="57"/>
      <c r="P776" s="57"/>
      <c r="AP776" s="57"/>
      <c r="BA776" s="57"/>
      <c r="BF776" s="6" t="e">
        <f t="shared" si="36"/>
        <v>#NUM!</v>
      </c>
      <c r="BG776" t="e">
        <f t="shared" si="37"/>
        <v>#NUM!</v>
      </c>
      <c r="BH776" t="e">
        <f t="shared" si="38"/>
        <v>#NUM!</v>
      </c>
      <c r="BI776" t="e">
        <f>VLOOKUP(H776,Sheet2!$A$1:$B$270,2,FALSE)</f>
        <v>#N/A</v>
      </c>
    </row>
    <row r="777" spans="15:61" hidden="1">
      <c r="O777" s="57"/>
      <c r="P777" s="57"/>
      <c r="AO777" s="57"/>
      <c r="AP777" s="57"/>
      <c r="BA777" s="57"/>
      <c r="BF777" s="6" t="e">
        <f t="shared" si="36"/>
        <v>#NUM!</v>
      </c>
      <c r="BG777" t="e">
        <f t="shared" si="37"/>
        <v>#NUM!</v>
      </c>
      <c r="BH777" t="e">
        <f t="shared" si="38"/>
        <v>#NUM!</v>
      </c>
      <c r="BI777" t="e">
        <f>VLOOKUP(H777,Sheet2!$A$1:$B$270,2,FALSE)</f>
        <v>#N/A</v>
      </c>
    </row>
    <row r="778" spans="15:61" hidden="1">
      <c r="O778" s="57"/>
      <c r="P778" s="57"/>
      <c r="AO778" s="57"/>
      <c r="AP778" s="57"/>
      <c r="BA778" s="57"/>
      <c r="BF778" s="6" t="e">
        <f t="shared" si="36"/>
        <v>#NUM!</v>
      </c>
      <c r="BG778" t="e">
        <f t="shared" si="37"/>
        <v>#NUM!</v>
      </c>
      <c r="BH778" t="e">
        <f t="shared" si="38"/>
        <v>#NUM!</v>
      </c>
      <c r="BI778" t="e">
        <f>VLOOKUP(H778,Sheet2!$A$1:$B$270,2,FALSE)</f>
        <v>#N/A</v>
      </c>
    </row>
    <row r="779" spans="15:61" hidden="1">
      <c r="O779" s="57"/>
      <c r="P779" s="57"/>
      <c r="AP779" s="57"/>
      <c r="BA779" s="57"/>
      <c r="BF779" s="6" t="e">
        <f t="shared" si="36"/>
        <v>#NUM!</v>
      </c>
      <c r="BG779" t="e">
        <f t="shared" si="37"/>
        <v>#NUM!</v>
      </c>
      <c r="BH779" t="e">
        <f t="shared" si="38"/>
        <v>#NUM!</v>
      </c>
      <c r="BI779" t="e">
        <f>VLOOKUP(H779,Sheet2!$A$1:$B$270,2,FALSE)</f>
        <v>#N/A</v>
      </c>
    </row>
    <row r="780" spans="15:61" hidden="1">
      <c r="O780" s="57"/>
      <c r="P780" s="57"/>
      <c r="AP780" s="57"/>
      <c r="BA780" s="57"/>
      <c r="BF780" s="6" t="e">
        <f t="shared" si="36"/>
        <v>#NUM!</v>
      </c>
      <c r="BG780" t="e">
        <f t="shared" si="37"/>
        <v>#NUM!</v>
      </c>
      <c r="BH780" t="e">
        <f t="shared" si="38"/>
        <v>#NUM!</v>
      </c>
      <c r="BI780" t="e">
        <f>VLOOKUP(H780,Sheet2!$A$1:$B$270,2,FALSE)</f>
        <v>#N/A</v>
      </c>
    </row>
    <row r="781" spans="15:61" hidden="1">
      <c r="O781" s="57"/>
      <c r="P781" s="57"/>
      <c r="AP781" s="57"/>
      <c r="BA781" s="57"/>
      <c r="BF781" s="6" t="e">
        <f t="shared" si="36"/>
        <v>#NUM!</v>
      </c>
      <c r="BG781" t="e">
        <f t="shared" si="37"/>
        <v>#NUM!</v>
      </c>
      <c r="BH781" t="e">
        <f t="shared" si="38"/>
        <v>#NUM!</v>
      </c>
      <c r="BI781" t="e">
        <f>VLOOKUP(H781,Sheet2!$A$1:$B$270,2,FALSE)</f>
        <v>#N/A</v>
      </c>
    </row>
    <row r="782" spans="15:61" hidden="1">
      <c r="O782" s="57"/>
      <c r="P782" s="57"/>
      <c r="AP782" s="57"/>
      <c r="BA782" s="57"/>
      <c r="BF782" s="6" t="e">
        <f t="shared" si="36"/>
        <v>#NUM!</v>
      </c>
      <c r="BG782" t="e">
        <f t="shared" si="37"/>
        <v>#NUM!</v>
      </c>
      <c r="BH782" t="e">
        <f t="shared" si="38"/>
        <v>#NUM!</v>
      </c>
      <c r="BI782" t="e">
        <f>VLOOKUP(H782,Sheet2!$A$1:$B$270,2,FALSE)</f>
        <v>#N/A</v>
      </c>
    </row>
    <row r="783" spans="15:61" hidden="1">
      <c r="O783" s="57"/>
      <c r="P783" s="57"/>
      <c r="AP783" s="57"/>
      <c r="BA783" s="57"/>
      <c r="BF783" s="6" t="e">
        <f t="shared" si="36"/>
        <v>#NUM!</v>
      </c>
      <c r="BG783" t="e">
        <f t="shared" si="37"/>
        <v>#NUM!</v>
      </c>
      <c r="BH783" t="e">
        <f t="shared" si="38"/>
        <v>#NUM!</v>
      </c>
      <c r="BI783" t="e">
        <f>VLOOKUP(H783,Sheet2!$A$1:$B$270,2,FALSE)</f>
        <v>#N/A</v>
      </c>
    </row>
    <row r="784" spans="15:61" hidden="1">
      <c r="O784" s="57"/>
      <c r="P784" s="57"/>
      <c r="AP784" s="57"/>
      <c r="BA784" s="57"/>
      <c r="BF784" s="6" t="e">
        <f t="shared" si="36"/>
        <v>#NUM!</v>
      </c>
      <c r="BG784" t="e">
        <f t="shared" si="37"/>
        <v>#NUM!</v>
      </c>
      <c r="BH784" t="e">
        <f t="shared" si="38"/>
        <v>#NUM!</v>
      </c>
      <c r="BI784" t="e">
        <f>VLOOKUP(H784,Sheet2!$A$1:$B$270,2,FALSE)</f>
        <v>#N/A</v>
      </c>
    </row>
    <row r="785" spans="15:61" hidden="1">
      <c r="O785" s="57"/>
      <c r="P785" s="57"/>
      <c r="AP785" s="57"/>
      <c r="BA785" s="57"/>
      <c r="BF785" s="6" t="e">
        <f t="shared" si="36"/>
        <v>#NUM!</v>
      </c>
      <c r="BG785" t="e">
        <f t="shared" si="37"/>
        <v>#NUM!</v>
      </c>
      <c r="BH785" t="e">
        <f t="shared" si="38"/>
        <v>#NUM!</v>
      </c>
      <c r="BI785" t="e">
        <f>VLOOKUP(H785,Sheet2!$A$1:$B$270,2,FALSE)</f>
        <v>#N/A</v>
      </c>
    </row>
    <row r="786" spans="15:61" hidden="1">
      <c r="O786" s="57"/>
      <c r="P786" s="57"/>
      <c r="AP786" s="57"/>
      <c r="BA786" s="57"/>
      <c r="BF786" s="6" t="e">
        <f t="shared" si="36"/>
        <v>#NUM!</v>
      </c>
      <c r="BG786" t="e">
        <f t="shared" si="37"/>
        <v>#NUM!</v>
      </c>
      <c r="BH786" t="e">
        <f t="shared" si="38"/>
        <v>#NUM!</v>
      </c>
      <c r="BI786" t="e">
        <f>VLOOKUP(H786,Sheet2!$A$1:$B$270,2,FALSE)</f>
        <v>#N/A</v>
      </c>
    </row>
    <row r="787" spans="15:61" hidden="1">
      <c r="O787" s="57"/>
      <c r="P787" s="57"/>
      <c r="AP787" s="57"/>
      <c r="BA787" s="57"/>
      <c r="BF787" s="6" t="e">
        <f t="shared" si="36"/>
        <v>#NUM!</v>
      </c>
      <c r="BG787" t="e">
        <f t="shared" si="37"/>
        <v>#NUM!</v>
      </c>
      <c r="BH787" t="e">
        <f t="shared" si="38"/>
        <v>#NUM!</v>
      </c>
      <c r="BI787" t="e">
        <f>VLOOKUP(H787,Sheet2!$A$1:$B$270,2,FALSE)</f>
        <v>#N/A</v>
      </c>
    </row>
    <row r="788" spans="15:61" hidden="1">
      <c r="O788" s="57"/>
      <c r="P788" s="57"/>
      <c r="AP788" s="57"/>
      <c r="BA788" s="57"/>
      <c r="BF788" s="6" t="e">
        <f t="shared" si="36"/>
        <v>#NUM!</v>
      </c>
      <c r="BG788" t="e">
        <f t="shared" si="37"/>
        <v>#NUM!</v>
      </c>
      <c r="BH788" t="e">
        <f t="shared" si="38"/>
        <v>#NUM!</v>
      </c>
      <c r="BI788" t="e">
        <f>VLOOKUP(H788,Sheet2!$A$1:$B$270,2,FALSE)</f>
        <v>#N/A</v>
      </c>
    </row>
    <row r="789" spans="15:61" hidden="1">
      <c r="O789" s="57"/>
      <c r="P789" s="57"/>
      <c r="AP789" s="57"/>
      <c r="BA789" s="57"/>
      <c r="BF789" s="6" t="e">
        <f t="shared" si="36"/>
        <v>#NUM!</v>
      </c>
      <c r="BG789" t="e">
        <f t="shared" si="37"/>
        <v>#NUM!</v>
      </c>
      <c r="BH789" t="e">
        <f t="shared" si="38"/>
        <v>#NUM!</v>
      </c>
      <c r="BI789" t="e">
        <f>VLOOKUP(H789,Sheet2!$A$1:$B$270,2,FALSE)</f>
        <v>#N/A</v>
      </c>
    </row>
    <row r="790" spans="15:61" hidden="1">
      <c r="O790" s="57"/>
      <c r="P790" s="57"/>
      <c r="AP790" s="57"/>
      <c r="BA790" s="57"/>
      <c r="BF790" s="6" t="e">
        <f t="shared" si="36"/>
        <v>#NUM!</v>
      </c>
      <c r="BG790" t="e">
        <f t="shared" si="37"/>
        <v>#NUM!</v>
      </c>
      <c r="BH790" t="e">
        <f t="shared" si="38"/>
        <v>#NUM!</v>
      </c>
      <c r="BI790" t="e">
        <f>VLOOKUP(H790,Sheet2!$A$1:$B$270,2,FALSE)</f>
        <v>#N/A</v>
      </c>
    </row>
    <row r="791" spans="15:61" hidden="1">
      <c r="O791" s="57"/>
      <c r="P791" s="57"/>
      <c r="AP791" s="57"/>
      <c r="BA791" s="57"/>
      <c r="BF791" s="6" t="e">
        <f t="shared" si="36"/>
        <v>#NUM!</v>
      </c>
      <c r="BG791" t="e">
        <f t="shared" si="37"/>
        <v>#NUM!</v>
      </c>
      <c r="BH791" t="e">
        <f t="shared" si="38"/>
        <v>#NUM!</v>
      </c>
      <c r="BI791" t="e">
        <f>VLOOKUP(H791,Sheet2!$A$1:$B$270,2,FALSE)</f>
        <v>#N/A</v>
      </c>
    </row>
    <row r="792" spans="15:61" hidden="1">
      <c r="O792" s="57"/>
      <c r="P792" s="57"/>
      <c r="AP792" s="57"/>
      <c r="BA792" s="57"/>
      <c r="BF792" s="6" t="e">
        <f t="shared" si="36"/>
        <v>#NUM!</v>
      </c>
      <c r="BG792" t="e">
        <f t="shared" si="37"/>
        <v>#NUM!</v>
      </c>
      <c r="BH792" t="e">
        <f t="shared" si="38"/>
        <v>#NUM!</v>
      </c>
      <c r="BI792" t="e">
        <f>VLOOKUP(H792,Sheet2!$A$1:$B$270,2,FALSE)</f>
        <v>#N/A</v>
      </c>
    </row>
    <row r="793" spans="15:61" hidden="1">
      <c r="O793" s="57"/>
      <c r="P793" s="57"/>
      <c r="AO793" s="57"/>
      <c r="AP793" s="57"/>
      <c r="BA793" s="57"/>
      <c r="BF793" s="6" t="e">
        <f t="shared" si="36"/>
        <v>#NUM!</v>
      </c>
      <c r="BG793" t="e">
        <f t="shared" si="37"/>
        <v>#NUM!</v>
      </c>
      <c r="BH793" t="e">
        <f t="shared" si="38"/>
        <v>#NUM!</v>
      </c>
      <c r="BI793" t="e">
        <f>VLOOKUP(H793,Sheet2!$A$1:$B$270,2,FALSE)</f>
        <v>#N/A</v>
      </c>
    </row>
    <row r="794" spans="15:61" hidden="1">
      <c r="O794" s="57"/>
      <c r="P794" s="57"/>
      <c r="AP794" s="57"/>
      <c r="BA794" s="57"/>
      <c r="BF794" s="6" t="e">
        <f t="shared" si="36"/>
        <v>#NUM!</v>
      </c>
      <c r="BG794" t="e">
        <f t="shared" si="37"/>
        <v>#NUM!</v>
      </c>
      <c r="BH794" t="e">
        <f t="shared" si="38"/>
        <v>#NUM!</v>
      </c>
      <c r="BI794" t="e">
        <f>VLOOKUP(H794,Sheet2!$A$1:$B$270,2,FALSE)</f>
        <v>#N/A</v>
      </c>
    </row>
    <row r="795" spans="15:61" hidden="1">
      <c r="O795" s="57"/>
      <c r="P795" s="57"/>
      <c r="AO795" s="57"/>
      <c r="AP795" s="57"/>
      <c r="BA795" s="57"/>
      <c r="BF795" s="6" t="e">
        <f t="shared" si="36"/>
        <v>#NUM!</v>
      </c>
      <c r="BG795" t="e">
        <f t="shared" si="37"/>
        <v>#NUM!</v>
      </c>
      <c r="BH795" t="e">
        <f t="shared" si="38"/>
        <v>#NUM!</v>
      </c>
      <c r="BI795" t="e">
        <f>VLOOKUP(H795,Sheet2!$A$1:$B$270,2,FALSE)</f>
        <v>#N/A</v>
      </c>
    </row>
    <row r="796" spans="15:61" hidden="1">
      <c r="O796" s="57"/>
      <c r="P796" s="57"/>
      <c r="AO796" s="57"/>
      <c r="BA796" s="57"/>
      <c r="BF796" s="6" t="e">
        <f t="shared" si="36"/>
        <v>#NUM!</v>
      </c>
      <c r="BG796" t="e">
        <f t="shared" si="37"/>
        <v>#NUM!</v>
      </c>
      <c r="BH796" t="e">
        <f t="shared" si="38"/>
        <v>#NUM!</v>
      </c>
      <c r="BI796" t="e">
        <f>VLOOKUP(H796,Sheet2!$A$1:$B$270,2,FALSE)</f>
        <v>#N/A</v>
      </c>
    </row>
    <row r="797" spans="15:61" hidden="1">
      <c r="O797" s="57"/>
      <c r="P797" s="57"/>
      <c r="AO797" s="57"/>
      <c r="AP797" s="57"/>
      <c r="BA797" s="57"/>
      <c r="BF797" s="6" t="e">
        <f t="shared" si="36"/>
        <v>#NUM!</v>
      </c>
      <c r="BG797" t="e">
        <f t="shared" si="37"/>
        <v>#NUM!</v>
      </c>
      <c r="BH797" t="e">
        <f t="shared" si="38"/>
        <v>#NUM!</v>
      </c>
      <c r="BI797" t="e">
        <f>VLOOKUP(H797,Sheet2!$A$1:$B$270,2,FALSE)</f>
        <v>#N/A</v>
      </c>
    </row>
    <row r="798" spans="15:61" hidden="1">
      <c r="O798" s="57"/>
      <c r="P798" s="57"/>
      <c r="AO798" s="57"/>
      <c r="BA798" s="57"/>
      <c r="BF798" s="6" t="e">
        <f t="shared" si="36"/>
        <v>#NUM!</v>
      </c>
      <c r="BG798" t="e">
        <f t="shared" si="37"/>
        <v>#NUM!</v>
      </c>
      <c r="BH798" t="e">
        <f t="shared" si="38"/>
        <v>#NUM!</v>
      </c>
      <c r="BI798" t="e">
        <f>VLOOKUP(H798,Sheet2!$A$1:$B$270,2,FALSE)</f>
        <v>#N/A</v>
      </c>
    </row>
    <row r="799" spans="15:61" hidden="1">
      <c r="O799" s="57"/>
      <c r="P799" s="57"/>
      <c r="AO799" s="57"/>
      <c r="BA799" s="57"/>
      <c r="BF799" s="6" t="e">
        <f t="shared" si="36"/>
        <v>#NUM!</v>
      </c>
      <c r="BG799" t="e">
        <f t="shared" si="37"/>
        <v>#NUM!</v>
      </c>
      <c r="BH799" t="e">
        <f t="shared" si="38"/>
        <v>#NUM!</v>
      </c>
      <c r="BI799" t="e">
        <f>VLOOKUP(H799,Sheet2!$A$1:$B$270,2,FALSE)</f>
        <v>#N/A</v>
      </c>
    </row>
    <row r="800" spans="15:61" hidden="1">
      <c r="O800" s="57"/>
      <c r="P800" s="57"/>
      <c r="AP800" s="57"/>
      <c r="BA800" s="57"/>
      <c r="BF800" s="6" t="e">
        <f t="shared" si="36"/>
        <v>#NUM!</v>
      </c>
      <c r="BG800" t="e">
        <f t="shared" si="37"/>
        <v>#NUM!</v>
      </c>
      <c r="BH800" t="e">
        <f t="shared" si="38"/>
        <v>#NUM!</v>
      </c>
      <c r="BI800" t="e">
        <f>VLOOKUP(H800,Sheet2!$A$1:$B$270,2,FALSE)</f>
        <v>#N/A</v>
      </c>
    </row>
    <row r="801" spans="15:61" hidden="1">
      <c r="O801" s="57"/>
      <c r="P801" s="57"/>
      <c r="AP801" s="57"/>
      <c r="BA801" s="57"/>
      <c r="BF801" s="6" t="e">
        <f t="shared" si="36"/>
        <v>#NUM!</v>
      </c>
      <c r="BG801" t="e">
        <f t="shared" si="37"/>
        <v>#NUM!</v>
      </c>
      <c r="BH801" t="e">
        <f t="shared" si="38"/>
        <v>#NUM!</v>
      </c>
      <c r="BI801" t="e">
        <f>VLOOKUP(H801,Sheet2!$A$1:$B$270,2,FALSE)</f>
        <v>#N/A</v>
      </c>
    </row>
    <row r="802" spans="15:61" hidden="1">
      <c r="O802" s="57"/>
      <c r="P802" s="57"/>
      <c r="AP802" s="57"/>
      <c r="BA802" s="57"/>
      <c r="BF802" s="6" t="e">
        <f t="shared" si="36"/>
        <v>#NUM!</v>
      </c>
      <c r="BG802" t="e">
        <f t="shared" si="37"/>
        <v>#NUM!</v>
      </c>
      <c r="BH802" t="e">
        <f t="shared" si="38"/>
        <v>#NUM!</v>
      </c>
      <c r="BI802" t="e">
        <f>VLOOKUP(H802,Sheet2!$A$1:$B$270,2,FALSE)</f>
        <v>#N/A</v>
      </c>
    </row>
    <row r="803" spans="15:61" hidden="1">
      <c r="O803" s="57"/>
      <c r="P803" s="57"/>
      <c r="BA803" s="57"/>
      <c r="BF803" s="6" t="e">
        <f t="shared" si="36"/>
        <v>#NUM!</v>
      </c>
      <c r="BG803" t="e">
        <f t="shared" si="37"/>
        <v>#NUM!</v>
      </c>
      <c r="BH803" t="e">
        <f t="shared" si="38"/>
        <v>#NUM!</v>
      </c>
      <c r="BI803" t="e">
        <f>VLOOKUP(H803,Sheet2!$A$1:$B$270,2,FALSE)</f>
        <v>#N/A</v>
      </c>
    </row>
    <row r="804" spans="15:61" hidden="1">
      <c r="O804" s="57"/>
      <c r="P804" s="57"/>
      <c r="AP804" s="57"/>
      <c r="BA804" s="57"/>
      <c r="BF804" s="6" t="e">
        <f t="shared" si="36"/>
        <v>#NUM!</v>
      </c>
      <c r="BG804" t="e">
        <f t="shared" si="37"/>
        <v>#NUM!</v>
      </c>
      <c r="BH804" t="e">
        <f t="shared" si="38"/>
        <v>#NUM!</v>
      </c>
      <c r="BI804" t="e">
        <f>VLOOKUP(H804,Sheet2!$A$1:$B$270,2,FALSE)</f>
        <v>#N/A</v>
      </c>
    </row>
    <row r="805" spans="15:61" hidden="1">
      <c r="O805" s="57"/>
      <c r="P805" s="57"/>
      <c r="AP805" s="57"/>
      <c r="BA805" s="57"/>
      <c r="BF805" s="6" t="e">
        <f t="shared" si="36"/>
        <v>#NUM!</v>
      </c>
      <c r="BG805" t="e">
        <f t="shared" si="37"/>
        <v>#NUM!</v>
      </c>
      <c r="BH805" t="e">
        <f t="shared" si="38"/>
        <v>#NUM!</v>
      </c>
      <c r="BI805" t="e">
        <f>VLOOKUP(H805,Sheet2!$A$1:$B$270,2,FALSE)</f>
        <v>#N/A</v>
      </c>
    </row>
    <row r="806" spans="15:61" hidden="1">
      <c r="O806" s="57"/>
      <c r="P806" s="57"/>
      <c r="AO806" s="57"/>
      <c r="AP806" s="57"/>
      <c r="BA806" s="57"/>
      <c r="BF806" s="6" t="e">
        <f t="shared" si="36"/>
        <v>#NUM!</v>
      </c>
      <c r="BG806" t="e">
        <f t="shared" si="37"/>
        <v>#NUM!</v>
      </c>
      <c r="BH806" t="e">
        <f t="shared" si="38"/>
        <v>#NUM!</v>
      </c>
      <c r="BI806" t="e">
        <f>VLOOKUP(H806,Sheet2!$A$1:$B$270,2,FALSE)</f>
        <v>#N/A</v>
      </c>
    </row>
    <row r="807" spans="15:61" hidden="1">
      <c r="O807" s="57"/>
      <c r="P807" s="57"/>
      <c r="AO807" s="57"/>
      <c r="AP807" s="57"/>
      <c r="BA807" s="57"/>
      <c r="BF807" s="6" t="e">
        <f t="shared" si="36"/>
        <v>#NUM!</v>
      </c>
      <c r="BG807" t="e">
        <f t="shared" si="37"/>
        <v>#NUM!</v>
      </c>
      <c r="BH807" t="e">
        <f t="shared" si="38"/>
        <v>#NUM!</v>
      </c>
      <c r="BI807" t="e">
        <f>VLOOKUP(H807,Sheet2!$A$1:$B$270,2,FALSE)</f>
        <v>#N/A</v>
      </c>
    </row>
    <row r="808" spans="15:61" hidden="1">
      <c r="O808" s="57"/>
      <c r="P808" s="57"/>
      <c r="AO808" s="57"/>
      <c r="AP808" s="57"/>
      <c r="BA808" s="57"/>
      <c r="BF808" s="6" t="e">
        <f t="shared" si="36"/>
        <v>#NUM!</v>
      </c>
      <c r="BG808" t="e">
        <f t="shared" si="37"/>
        <v>#NUM!</v>
      </c>
      <c r="BH808" t="e">
        <f t="shared" si="38"/>
        <v>#NUM!</v>
      </c>
      <c r="BI808" t="e">
        <f>VLOOKUP(H808,Sheet2!$A$1:$B$270,2,FALSE)</f>
        <v>#N/A</v>
      </c>
    </row>
    <row r="809" spans="15:61" hidden="1">
      <c r="O809" s="57"/>
      <c r="P809" s="57"/>
      <c r="BA809" s="57"/>
      <c r="BF809" s="6" t="e">
        <f t="shared" si="36"/>
        <v>#NUM!</v>
      </c>
      <c r="BG809" t="e">
        <f t="shared" si="37"/>
        <v>#NUM!</v>
      </c>
      <c r="BH809" t="e">
        <f t="shared" si="38"/>
        <v>#NUM!</v>
      </c>
      <c r="BI809" t="e">
        <f>VLOOKUP(H809,Sheet2!$A$1:$B$270,2,FALSE)</f>
        <v>#N/A</v>
      </c>
    </row>
    <row r="810" spans="15:61" hidden="1">
      <c r="O810" s="57"/>
      <c r="P810" s="57"/>
      <c r="BA810" s="57"/>
      <c r="BF810" s="6" t="e">
        <f t="shared" si="36"/>
        <v>#NUM!</v>
      </c>
      <c r="BG810" t="e">
        <f t="shared" si="37"/>
        <v>#NUM!</v>
      </c>
      <c r="BH810" t="e">
        <f t="shared" si="38"/>
        <v>#NUM!</v>
      </c>
      <c r="BI810" t="e">
        <f>VLOOKUP(H810,Sheet2!$A$1:$B$270,2,FALSE)</f>
        <v>#N/A</v>
      </c>
    </row>
    <row r="811" spans="15:61" hidden="1">
      <c r="O811" s="57"/>
      <c r="P811" s="57"/>
      <c r="BA811" s="57"/>
      <c r="BF811" s="6" t="e">
        <f t="shared" si="36"/>
        <v>#NUM!</v>
      </c>
      <c r="BG811" t="e">
        <f t="shared" si="37"/>
        <v>#NUM!</v>
      </c>
      <c r="BH811" t="e">
        <f t="shared" si="38"/>
        <v>#NUM!</v>
      </c>
      <c r="BI811" t="e">
        <f>VLOOKUP(H811,Sheet2!$A$1:$B$270,2,FALSE)</f>
        <v>#N/A</v>
      </c>
    </row>
    <row r="812" spans="15:61" hidden="1">
      <c r="O812" s="57"/>
      <c r="P812" s="57"/>
      <c r="AM812" s="58"/>
      <c r="AO812" s="57"/>
      <c r="BA812" s="57"/>
      <c r="BB812" s="58"/>
      <c r="BF812" s="6" t="e">
        <f t="shared" si="36"/>
        <v>#NUM!</v>
      </c>
      <c r="BG812" t="e">
        <f t="shared" si="37"/>
        <v>#NUM!</v>
      </c>
      <c r="BH812" t="e">
        <f t="shared" si="38"/>
        <v>#NUM!</v>
      </c>
      <c r="BI812" t="e">
        <f>VLOOKUP(H812,Sheet2!$A$1:$B$270,2,FALSE)</f>
        <v>#N/A</v>
      </c>
    </row>
    <row r="813" spans="15:61" hidden="1">
      <c r="O813" s="57"/>
      <c r="P813" s="57"/>
      <c r="BF813" s="6" t="e">
        <f t="shared" si="36"/>
        <v>#NUM!</v>
      </c>
      <c r="BG813" t="e">
        <f t="shared" si="37"/>
        <v>#NUM!</v>
      </c>
      <c r="BH813" t="e">
        <f t="shared" si="38"/>
        <v>#NUM!</v>
      </c>
      <c r="BI813" t="e">
        <f>VLOOKUP(H813,Sheet2!$A$1:$B$270,2,FALSE)</f>
        <v>#N/A</v>
      </c>
    </row>
    <row r="814" spans="15:61" hidden="1">
      <c r="O814" s="57"/>
      <c r="P814" s="57"/>
      <c r="AO814" s="57"/>
      <c r="AP814" s="57"/>
      <c r="BA814" s="57"/>
      <c r="BF814" s="6" t="e">
        <f t="shared" si="36"/>
        <v>#NUM!</v>
      </c>
      <c r="BG814" t="e">
        <f t="shared" si="37"/>
        <v>#NUM!</v>
      </c>
      <c r="BH814" t="e">
        <f t="shared" si="38"/>
        <v>#NUM!</v>
      </c>
      <c r="BI814" t="e">
        <f>VLOOKUP(H814,Sheet2!$A$1:$B$270,2,FALSE)</f>
        <v>#N/A</v>
      </c>
    </row>
    <row r="815" spans="15:61" hidden="1">
      <c r="O815" s="57"/>
      <c r="P815" s="57"/>
      <c r="AO815" s="57"/>
      <c r="AP815" s="57"/>
      <c r="BA815" s="57"/>
      <c r="BF815" s="6" t="e">
        <f t="shared" si="36"/>
        <v>#NUM!</v>
      </c>
      <c r="BG815" t="e">
        <f t="shared" si="37"/>
        <v>#NUM!</v>
      </c>
      <c r="BH815" t="e">
        <f t="shared" si="38"/>
        <v>#NUM!</v>
      </c>
      <c r="BI815" t="e">
        <f>VLOOKUP(H815,Sheet2!$A$1:$B$270,2,FALSE)</f>
        <v>#N/A</v>
      </c>
    </row>
    <row r="816" spans="15:61" hidden="1">
      <c r="O816" s="57"/>
      <c r="P816" s="57"/>
      <c r="AP816" s="57"/>
      <c r="BA816" s="57"/>
      <c r="BF816" s="6" t="e">
        <f t="shared" si="36"/>
        <v>#NUM!</v>
      </c>
      <c r="BG816" t="e">
        <f t="shared" si="37"/>
        <v>#NUM!</v>
      </c>
      <c r="BH816" t="e">
        <f t="shared" si="38"/>
        <v>#NUM!</v>
      </c>
      <c r="BI816" t="e">
        <f>VLOOKUP(H816,Sheet2!$A$1:$B$270,2,FALSE)</f>
        <v>#N/A</v>
      </c>
    </row>
    <row r="817" spans="15:61" hidden="1">
      <c r="O817" s="57"/>
      <c r="P817" s="57"/>
      <c r="AP817" s="57"/>
      <c r="BA817" s="57"/>
      <c r="BF817" s="6" t="e">
        <f t="shared" si="36"/>
        <v>#NUM!</v>
      </c>
      <c r="BG817" t="e">
        <f t="shared" si="37"/>
        <v>#NUM!</v>
      </c>
      <c r="BH817" t="e">
        <f t="shared" si="38"/>
        <v>#NUM!</v>
      </c>
      <c r="BI817" t="e">
        <f>VLOOKUP(H817,Sheet2!$A$1:$B$270,2,FALSE)</f>
        <v>#N/A</v>
      </c>
    </row>
    <row r="818" spans="15:61" hidden="1">
      <c r="O818" s="57"/>
      <c r="P818" s="57"/>
      <c r="BA818" s="57"/>
      <c r="BF818" s="6" t="e">
        <f t="shared" si="36"/>
        <v>#NUM!</v>
      </c>
      <c r="BG818" t="e">
        <f t="shared" si="37"/>
        <v>#NUM!</v>
      </c>
      <c r="BH818" t="e">
        <f t="shared" si="38"/>
        <v>#NUM!</v>
      </c>
      <c r="BI818" t="e">
        <f>VLOOKUP(H818,Sheet2!$A$1:$B$270,2,FALSE)</f>
        <v>#N/A</v>
      </c>
    </row>
    <row r="819" spans="15:61" hidden="1">
      <c r="O819" s="57"/>
      <c r="P819" s="57"/>
      <c r="AP819" s="57"/>
      <c r="BA819" s="57"/>
      <c r="BF819" s="6" t="e">
        <f t="shared" si="36"/>
        <v>#NUM!</v>
      </c>
      <c r="BG819" t="e">
        <f t="shared" si="37"/>
        <v>#NUM!</v>
      </c>
      <c r="BH819" t="e">
        <f t="shared" si="38"/>
        <v>#NUM!</v>
      </c>
      <c r="BI819" t="e">
        <f>VLOOKUP(H819,Sheet2!$A$1:$B$270,2,FALSE)</f>
        <v>#N/A</v>
      </c>
    </row>
    <row r="820" spans="15:61" hidden="1">
      <c r="O820" s="57"/>
      <c r="P820" s="57"/>
      <c r="AP820" s="57"/>
      <c r="BA820" s="57"/>
      <c r="BF820" s="6" t="e">
        <f t="shared" si="36"/>
        <v>#NUM!</v>
      </c>
      <c r="BG820" t="e">
        <f t="shared" si="37"/>
        <v>#NUM!</v>
      </c>
      <c r="BH820" t="e">
        <f t="shared" si="38"/>
        <v>#NUM!</v>
      </c>
      <c r="BI820" t="e">
        <f>VLOOKUP(H820,Sheet2!$A$1:$B$270,2,FALSE)</f>
        <v>#N/A</v>
      </c>
    </row>
    <row r="821" spans="15:61" hidden="1">
      <c r="O821" s="57"/>
      <c r="P821" s="57"/>
      <c r="BF821" s="6" t="e">
        <f t="shared" si="36"/>
        <v>#NUM!</v>
      </c>
      <c r="BG821" t="e">
        <f t="shared" si="37"/>
        <v>#NUM!</v>
      </c>
      <c r="BH821" t="e">
        <f t="shared" si="38"/>
        <v>#NUM!</v>
      </c>
      <c r="BI821" t="e">
        <f>VLOOKUP(H821,Sheet2!$A$1:$B$270,2,FALSE)</f>
        <v>#N/A</v>
      </c>
    </row>
    <row r="822" spans="15:61" hidden="1">
      <c r="O822" s="57"/>
      <c r="P822" s="57"/>
      <c r="AO822" s="57"/>
      <c r="AP822" s="57"/>
      <c r="BA822" s="57"/>
      <c r="BF822" s="6" t="e">
        <f t="shared" si="36"/>
        <v>#NUM!</v>
      </c>
      <c r="BG822" t="e">
        <f t="shared" si="37"/>
        <v>#NUM!</v>
      </c>
      <c r="BH822" t="e">
        <f t="shared" si="38"/>
        <v>#NUM!</v>
      </c>
      <c r="BI822" t="e">
        <f>VLOOKUP(H822,Sheet2!$A$1:$B$270,2,FALSE)</f>
        <v>#N/A</v>
      </c>
    </row>
    <row r="823" spans="15:61" hidden="1">
      <c r="O823" s="57"/>
      <c r="P823" s="57"/>
      <c r="AP823" s="57"/>
      <c r="BA823" s="57"/>
      <c r="BF823" s="6" t="e">
        <f t="shared" si="36"/>
        <v>#NUM!</v>
      </c>
      <c r="BG823" t="e">
        <f t="shared" si="37"/>
        <v>#NUM!</v>
      </c>
      <c r="BH823" t="e">
        <f t="shared" si="38"/>
        <v>#NUM!</v>
      </c>
      <c r="BI823" t="e">
        <f>VLOOKUP(H823,Sheet2!$A$1:$B$270,2,FALSE)</f>
        <v>#N/A</v>
      </c>
    </row>
    <row r="824" spans="15:61" hidden="1">
      <c r="O824" s="57"/>
      <c r="P824" s="57"/>
      <c r="AP824" s="57"/>
      <c r="BA824" s="57"/>
      <c r="BF824" s="6" t="e">
        <f t="shared" si="36"/>
        <v>#NUM!</v>
      </c>
      <c r="BG824" t="e">
        <f t="shared" si="37"/>
        <v>#NUM!</v>
      </c>
      <c r="BH824" t="e">
        <f t="shared" si="38"/>
        <v>#NUM!</v>
      </c>
      <c r="BI824" t="e">
        <f>VLOOKUP(H824,Sheet2!$A$1:$B$270,2,FALSE)</f>
        <v>#N/A</v>
      </c>
    </row>
    <row r="825" spans="15:61" hidden="1">
      <c r="O825" s="57"/>
      <c r="P825" s="57"/>
      <c r="AP825" s="57"/>
      <c r="BA825" s="57"/>
      <c r="BF825" s="6" t="e">
        <f t="shared" si="36"/>
        <v>#NUM!</v>
      </c>
      <c r="BG825" t="e">
        <f t="shared" si="37"/>
        <v>#NUM!</v>
      </c>
      <c r="BH825" t="e">
        <f t="shared" si="38"/>
        <v>#NUM!</v>
      </c>
      <c r="BI825" t="e">
        <f>VLOOKUP(H825,Sheet2!$A$1:$B$270,2,FALSE)</f>
        <v>#N/A</v>
      </c>
    </row>
    <row r="826" spans="15:61" hidden="1">
      <c r="O826" s="57"/>
      <c r="P826" s="57"/>
      <c r="AP826" s="57"/>
      <c r="BA826" s="57"/>
      <c r="BF826" s="6" t="e">
        <f t="shared" si="36"/>
        <v>#NUM!</v>
      </c>
      <c r="BG826" t="e">
        <f t="shared" si="37"/>
        <v>#NUM!</v>
      </c>
      <c r="BH826" t="e">
        <f t="shared" si="38"/>
        <v>#NUM!</v>
      </c>
      <c r="BI826" t="e">
        <f>VLOOKUP(H826,Sheet2!$A$1:$B$270,2,FALSE)</f>
        <v>#N/A</v>
      </c>
    </row>
    <row r="827" spans="15:61" hidden="1">
      <c r="O827" s="57"/>
      <c r="P827" s="57"/>
      <c r="AP827" s="57"/>
      <c r="BA827" s="57"/>
      <c r="BF827" s="6" t="e">
        <f t="shared" si="36"/>
        <v>#NUM!</v>
      </c>
      <c r="BG827" t="e">
        <f t="shared" si="37"/>
        <v>#NUM!</v>
      </c>
      <c r="BH827" t="e">
        <f t="shared" si="38"/>
        <v>#NUM!</v>
      </c>
      <c r="BI827" t="e">
        <f>VLOOKUP(H827,Sheet2!$A$1:$B$270,2,FALSE)</f>
        <v>#N/A</v>
      </c>
    </row>
    <row r="828" spans="15:61" hidden="1">
      <c r="O828" s="57"/>
      <c r="P828" s="57"/>
      <c r="AO828" s="57"/>
      <c r="AP828" s="57"/>
      <c r="BA828" s="57"/>
      <c r="BF828" s="6" t="e">
        <f t="shared" si="36"/>
        <v>#NUM!</v>
      </c>
      <c r="BG828" t="e">
        <f t="shared" si="37"/>
        <v>#NUM!</v>
      </c>
      <c r="BH828" t="e">
        <f t="shared" si="38"/>
        <v>#NUM!</v>
      </c>
      <c r="BI828" t="e">
        <f>VLOOKUP(H828,Sheet2!$A$1:$B$270,2,FALSE)</f>
        <v>#N/A</v>
      </c>
    </row>
    <row r="829" spans="15:61" hidden="1">
      <c r="O829" s="57"/>
      <c r="P829" s="57"/>
      <c r="AO829" s="57"/>
      <c r="AP829" s="57"/>
      <c r="BA829" s="57"/>
      <c r="BF829" s="6" t="e">
        <f t="shared" si="36"/>
        <v>#NUM!</v>
      </c>
      <c r="BG829" t="e">
        <f t="shared" si="37"/>
        <v>#NUM!</v>
      </c>
      <c r="BH829" t="e">
        <f t="shared" si="38"/>
        <v>#NUM!</v>
      </c>
      <c r="BI829" t="e">
        <f>VLOOKUP(H829,Sheet2!$A$1:$B$270,2,FALSE)</f>
        <v>#N/A</v>
      </c>
    </row>
    <row r="830" spans="15:61" hidden="1">
      <c r="O830" s="57"/>
      <c r="P830" s="57"/>
      <c r="AO830" s="57"/>
      <c r="AP830" s="57"/>
      <c r="BA830" s="57"/>
      <c r="BF830" s="6" t="e">
        <f t="shared" si="36"/>
        <v>#NUM!</v>
      </c>
      <c r="BG830" t="e">
        <f t="shared" si="37"/>
        <v>#NUM!</v>
      </c>
      <c r="BH830" t="e">
        <f t="shared" si="38"/>
        <v>#NUM!</v>
      </c>
      <c r="BI830" t="e">
        <f>VLOOKUP(H830,Sheet2!$A$1:$B$270,2,FALSE)</f>
        <v>#N/A</v>
      </c>
    </row>
    <row r="831" spans="15:61" hidden="1">
      <c r="O831" s="57"/>
      <c r="P831" s="57"/>
      <c r="AP831" s="57"/>
      <c r="BA831" s="57"/>
      <c r="BF831" s="6" t="e">
        <f t="shared" si="36"/>
        <v>#NUM!</v>
      </c>
      <c r="BG831" t="e">
        <f t="shared" si="37"/>
        <v>#NUM!</v>
      </c>
      <c r="BH831" t="e">
        <f t="shared" si="38"/>
        <v>#NUM!</v>
      </c>
      <c r="BI831" t="e">
        <f>VLOOKUP(H831,Sheet2!$A$1:$B$270,2,FALSE)</f>
        <v>#N/A</v>
      </c>
    </row>
    <row r="832" spans="15:61" hidden="1">
      <c r="O832" s="57"/>
      <c r="P832" s="57"/>
      <c r="AP832" s="57"/>
      <c r="BA832" s="57"/>
      <c r="BF832" s="6" t="e">
        <f t="shared" si="36"/>
        <v>#NUM!</v>
      </c>
      <c r="BG832" t="e">
        <f t="shared" si="37"/>
        <v>#NUM!</v>
      </c>
      <c r="BH832" t="e">
        <f t="shared" si="38"/>
        <v>#NUM!</v>
      </c>
      <c r="BI832" t="e">
        <f>VLOOKUP(H832,Sheet2!$A$1:$B$270,2,FALSE)</f>
        <v>#N/A</v>
      </c>
    </row>
    <row r="833" spans="15:61" hidden="1">
      <c r="O833" s="57"/>
      <c r="P833" s="57"/>
      <c r="AP833" s="57"/>
      <c r="BA833" s="57"/>
      <c r="BF833" s="6" t="e">
        <f t="shared" si="36"/>
        <v>#NUM!</v>
      </c>
      <c r="BG833" t="e">
        <f t="shared" si="37"/>
        <v>#NUM!</v>
      </c>
      <c r="BH833" t="e">
        <f t="shared" si="38"/>
        <v>#NUM!</v>
      </c>
      <c r="BI833" t="e">
        <f>VLOOKUP(H833,Sheet2!$A$1:$B$270,2,FALSE)</f>
        <v>#N/A</v>
      </c>
    </row>
    <row r="834" spans="15:61" hidden="1">
      <c r="O834" s="57"/>
      <c r="P834" s="57"/>
      <c r="AO834" s="57"/>
      <c r="BA834" s="57"/>
      <c r="BF834" s="6" t="e">
        <f t="shared" ref="BF834:BF897" si="39">DATE(BC834,BD834,BE834)</f>
        <v>#NUM!</v>
      </c>
      <c r="BG834" t="e">
        <f t="shared" ref="BG834:BG897" si="40">BF834-BA834</f>
        <v>#NUM!</v>
      </c>
      <c r="BH834" t="e">
        <f t="shared" ref="BH834:BH897" si="41">IF(BG834=1,"COMPLY",IF(BG834&lt;1,"COMPLY","NOT COMPLY"))</f>
        <v>#NUM!</v>
      </c>
      <c r="BI834" t="e">
        <f>VLOOKUP(H834,Sheet2!$A$1:$B$270,2,FALSE)</f>
        <v>#N/A</v>
      </c>
    </row>
    <row r="835" spans="15:61" hidden="1">
      <c r="O835" s="57"/>
      <c r="P835" s="57"/>
      <c r="AO835" s="57"/>
      <c r="BA835" s="57"/>
      <c r="BF835" s="6" t="e">
        <f t="shared" si="39"/>
        <v>#NUM!</v>
      </c>
      <c r="BG835" t="e">
        <f t="shared" si="40"/>
        <v>#NUM!</v>
      </c>
      <c r="BH835" t="e">
        <f t="shared" si="41"/>
        <v>#NUM!</v>
      </c>
      <c r="BI835" t="e">
        <f>VLOOKUP(H835,Sheet2!$A$1:$B$270,2,FALSE)</f>
        <v>#N/A</v>
      </c>
    </row>
    <row r="836" spans="15:61" hidden="1">
      <c r="O836" s="57"/>
      <c r="P836" s="57"/>
      <c r="AP836" s="57"/>
      <c r="BA836" s="57"/>
      <c r="BF836" s="6" t="e">
        <f t="shared" si="39"/>
        <v>#NUM!</v>
      </c>
      <c r="BG836" t="e">
        <f t="shared" si="40"/>
        <v>#NUM!</v>
      </c>
      <c r="BH836" t="e">
        <f t="shared" si="41"/>
        <v>#NUM!</v>
      </c>
      <c r="BI836" t="e">
        <f>VLOOKUP(H836,Sheet2!$A$1:$B$270,2,FALSE)</f>
        <v>#N/A</v>
      </c>
    </row>
    <row r="837" spans="15:61" hidden="1">
      <c r="O837" s="57"/>
      <c r="P837" s="57"/>
      <c r="BA837" s="57"/>
      <c r="BF837" s="6" t="e">
        <f t="shared" si="39"/>
        <v>#NUM!</v>
      </c>
      <c r="BG837" t="e">
        <f t="shared" si="40"/>
        <v>#NUM!</v>
      </c>
      <c r="BH837" t="e">
        <f t="shared" si="41"/>
        <v>#NUM!</v>
      </c>
      <c r="BI837" t="e">
        <f>VLOOKUP(H837,Sheet2!$A$1:$B$270,2,FALSE)</f>
        <v>#N/A</v>
      </c>
    </row>
    <row r="838" spans="15:61" hidden="1">
      <c r="O838" s="57"/>
      <c r="P838" s="57"/>
      <c r="AP838" s="57"/>
      <c r="BA838" s="57"/>
      <c r="BF838" s="6" t="e">
        <f t="shared" si="39"/>
        <v>#NUM!</v>
      </c>
      <c r="BG838" t="e">
        <f t="shared" si="40"/>
        <v>#NUM!</v>
      </c>
      <c r="BH838" t="e">
        <f t="shared" si="41"/>
        <v>#NUM!</v>
      </c>
      <c r="BI838" t="e">
        <f>VLOOKUP(H838,Sheet2!$A$1:$B$270,2,FALSE)</f>
        <v>#N/A</v>
      </c>
    </row>
    <row r="839" spans="15:61" hidden="1">
      <c r="O839" s="57"/>
      <c r="P839" s="57"/>
      <c r="AP839" s="57"/>
      <c r="BA839" s="57"/>
      <c r="BF839" s="6" t="e">
        <f t="shared" si="39"/>
        <v>#NUM!</v>
      </c>
      <c r="BG839" t="e">
        <f t="shared" si="40"/>
        <v>#NUM!</v>
      </c>
      <c r="BH839" t="e">
        <f t="shared" si="41"/>
        <v>#NUM!</v>
      </c>
      <c r="BI839" t="e">
        <f>VLOOKUP(H839,Sheet2!$A$1:$B$270,2,FALSE)</f>
        <v>#N/A</v>
      </c>
    </row>
    <row r="840" spans="15:61" hidden="1">
      <c r="O840" s="57"/>
      <c r="P840" s="57"/>
      <c r="BA840" s="57"/>
      <c r="BF840" s="6" t="e">
        <f t="shared" si="39"/>
        <v>#NUM!</v>
      </c>
      <c r="BG840" t="e">
        <f t="shared" si="40"/>
        <v>#NUM!</v>
      </c>
      <c r="BH840" t="e">
        <f t="shared" si="41"/>
        <v>#NUM!</v>
      </c>
      <c r="BI840" t="e">
        <f>VLOOKUP(H840,Sheet2!$A$1:$B$270,2,FALSE)</f>
        <v>#N/A</v>
      </c>
    </row>
    <row r="841" spans="15:61" hidden="1">
      <c r="O841" s="57"/>
      <c r="P841" s="57"/>
      <c r="AO841" s="57"/>
      <c r="AP841" s="57"/>
      <c r="BA841" s="57"/>
      <c r="BF841" s="6" t="e">
        <f t="shared" si="39"/>
        <v>#NUM!</v>
      </c>
      <c r="BG841" t="e">
        <f t="shared" si="40"/>
        <v>#NUM!</v>
      </c>
      <c r="BH841" t="e">
        <f t="shared" si="41"/>
        <v>#NUM!</v>
      </c>
      <c r="BI841" t="e">
        <f>VLOOKUP(H841,Sheet2!$A$1:$B$270,2,FALSE)</f>
        <v>#N/A</v>
      </c>
    </row>
    <row r="842" spans="15:61" hidden="1">
      <c r="O842" s="57"/>
      <c r="P842" s="57"/>
      <c r="BA842" s="57"/>
      <c r="BF842" s="6" t="e">
        <f t="shared" si="39"/>
        <v>#NUM!</v>
      </c>
      <c r="BG842" t="e">
        <f t="shared" si="40"/>
        <v>#NUM!</v>
      </c>
      <c r="BH842" t="e">
        <f t="shared" si="41"/>
        <v>#NUM!</v>
      </c>
      <c r="BI842" t="e">
        <f>VLOOKUP(H842,Sheet2!$A$1:$B$270,2,FALSE)</f>
        <v>#N/A</v>
      </c>
    </row>
    <row r="843" spans="15:61" hidden="1">
      <c r="O843" s="57"/>
      <c r="P843" s="57"/>
      <c r="BA843" s="57"/>
      <c r="BF843" s="6" t="e">
        <f t="shared" si="39"/>
        <v>#NUM!</v>
      </c>
      <c r="BG843" t="e">
        <f t="shared" si="40"/>
        <v>#NUM!</v>
      </c>
      <c r="BH843" t="e">
        <f t="shared" si="41"/>
        <v>#NUM!</v>
      </c>
      <c r="BI843" t="e">
        <f>VLOOKUP(H843,Sheet2!$A$1:$B$270,2,FALSE)</f>
        <v>#N/A</v>
      </c>
    </row>
    <row r="844" spans="15:61" hidden="1">
      <c r="O844" s="57"/>
      <c r="P844" s="57"/>
      <c r="AP844" s="57"/>
      <c r="BA844" s="57"/>
      <c r="BF844" s="6" t="e">
        <f t="shared" si="39"/>
        <v>#NUM!</v>
      </c>
      <c r="BG844" t="e">
        <f t="shared" si="40"/>
        <v>#NUM!</v>
      </c>
      <c r="BH844" t="e">
        <f t="shared" si="41"/>
        <v>#NUM!</v>
      </c>
      <c r="BI844" t="e">
        <f>VLOOKUP(H844,Sheet2!$A$1:$B$270,2,FALSE)</f>
        <v>#N/A</v>
      </c>
    </row>
    <row r="845" spans="15:61" hidden="1">
      <c r="O845" s="57"/>
      <c r="P845" s="57"/>
      <c r="AP845" s="57"/>
      <c r="BA845" s="57"/>
      <c r="BF845" s="6" t="e">
        <f t="shared" si="39"/>
        <v>#NUM!</v>
      </c>
      <c r="BG845" t="e">
        <f t="shared" si="40"/>
        <v>#NUM!</v>
      </c>
      <c r="BH845" t="e">
        <f t="shared" si="41"/>
        <v>#NUM!</v>
      </c>
      <c r="BI845" t="e">
        <f>VLOOKUP(H845,Sheet2!$A$1:$B$270,2,FALSE)</f>
        <v>#N/A</v>
      </c>
    </row>
    <row r="846" spans="15:61" hidden="1">
      <c r="O846" s="57"/>
      <c r="P846" s="57"/>
      <c r="BF846" s="6" t="e">
        <f t="shared" si="39"/>
        <v>#NUM!</v>
      </c>
      <c r="BG846" t="e">
        <f t="shared" si="40"/>
        <v>#NUM!</v>
      </c>
      <c r="BH846" t="e">
        <f t="shared" si="41"/>
        <v>#NUM!</v>
      </c>
      <c r="BI846" t="e">
        <f>VLOOKUP(H846,Sheet2!$A$1:$B$270,2,FALSE)</f>
        <v>#N/A</v>
      </c>
    </row>
    <row r="847" spans="15:61" hidden="1">
      <c r="O847" s="57"/>
      <c r="P847" s="57"/>
      <c r="AP847" s="57"/>
      <c r="BA847" s="57"/>
      <c r="BF847" s="6" t="e">
        <f t="shared" si="39"/>
        <v>#NUM!</v>
      </c>
      <c r="BG847" t="e">
        <f t="shared" si="40"/>
        <v>#NUM!</v>
      </c>
      <c r="BH847" t="e">
        <f t="shared" si="41"/>
        <v>#NUM!</v>
      </c>
      <c r="BI847" t="e">
        <f>VLOOKUP(H847,Sheet2!$A$1:$B$270,2,FALSE)</f>
        <v>#N/A</v>
      </c>
    </row>
    <row r="848" spans="15:61" hidden="1">
      <c r="O848" s="57"/>
      <c r="P848" s="57"/>
      <c r="AP848" s="57"/>
      <c r="BA848" s="57"/>
      <c r="BF848" s="6" t="e">
        <f t="shared" si="39"/>
        <v>#NUM!</v>
      </c>
      <c r="BG848" t="e">
        <f t="shared" si="40"/>
        <v>#NUM!</v>
      </c>
      <c r="BH848" t="e">
        <f t="shared" si="41"/>
        <v>#NUM!</v>
      </c>
      <c r="BI848" t="e">
        <f>VLOOKUP(H848,Sheet2!$A$1:$B$270,2,FALSE)</f>
        <v>#N/A</v>
      </c>
    </row>
    <row r="849" spans="15:61" hidden="1">
      <c r="O849" s="57"/>
      <c r="P849" s="57"/>
      <c r="AO849" s="57"/>
      <c r="AP849" s="57"/>
      <c r="BA849" s="57"/>
      <c r="BF849" s="6" t="e">
        <f t="shared" si="39"/>
        <v>#NUM!</v>
      </c>
      <c r="BG849" t="e">
        <f t="shared" si="40"/>
        <v>#NUM!</v>
      </c>
      <c r="BH849" t="e">
        <f t="shared" si="41"/>
        <v>#NUM!</v>
      </c>
      <c r="BI849" t="e">
        <f>VLOOKUP(H849,Sheet2!$A$1:$B$270,2,FALSE)</f>
        <v>#N/A</v>
      </c>
    </row>
    <row r="850" spans="15:61" hidden="1">
      <c r="O850" s="57"/>
      <c r="P850" s="57"/>
      <c r="AO850" s="57"/>
      <c r="AP850" s="57"/>
      <c r="BA850" s="57"/>
      <c r="BF850" s="6" t="e">
        <f t="shared" si="39"/>
        <v>#NUM!</v>
      </c>
      <c r="BG850" t="e">
        <f t="shared" si="40"/>
        <v>#NUM!</v>
      </c>
      <c r="BH850" t="e">
        <f t="shared" si="41"/>
        <v>#NUM!</v>
      </c>
      <c r="BI850" t="e">
        <f>VLOOKUP(H850,Sheet2!$A$1:$B$270,2,FALSE)</f>
        <v>#N/A</v>
      </c>
    </row>
    <row r="851" spans="15:61" hidden="1">
      <c r="O851" s="57"/>
      <c r="P851" s="57"/>
      <c r="AO851" s="57"/>
      <c r="AP851" s="57"/>
      <c r="BA851" s="57"/>
      <c r="BF851" s="6" t="e">
        <f t="shared" si="39"/>
        <v>#NUM!</v>
      </c>
      <c r="BG851" t="e">
        <f t="shared" si="40"/>
        <v>#NUM!</v>
      </c>
      <c r="BH851" t="e">
        <f t="shared" si="41"/>
        <v>#NUM!</v>
      </c>
      <c r="BI851" t="e">
        <f>VLOOKUP(H851,Sheet2!$A$1:$B$270,2,FALSE)</f>
        <v>#N/A</v>
      </c>
    </row>
    <row r="852" spans="15:61" hidden="1">
      <c r="O852" s="57"/>
      <c r="P852" s="57"/>
      <c r="AO852" s="57"/>
      <c r="AP852" s="57"/>
      <c r="BA852" s="57"/>
      <c r="BF852" s="6" t="e">
        <f t="shared" si="39"/>
        <v>#NUM!</v>
      </c>
      <c r="BG852" t="e">
        <f t="shared" si="40"/>
        <v>#NUM!</v>
      </c>
      <c r="BH852" t="e">
        <f t="shared" si="41"/>
        <v>#NUM!</v>
      </c>
      <c r="BI852" t="e">
        <f>VLOOKUP(H852,Sheet2!$A$1:$B$270,2,FALSE)</f>
        <v>#N/A</v>
      </c>
    </row>
    <row r="853" spans="15:61" hidden="1">
      <c r="O853" s="57"/>
      <c r="P853" s="57"/>
      <c r="AO853" s="57"/>
      <c r="AP853" s="57"/>
      <c r="BA853" s="57"/>
      <c r="BF853" s="6" t="e">
        <f t="shared" si="39"/>
        <v>#NUM!</v>
      </c>
      <c r="BG853" t="e">
        <f t="shared" si="40"/>
        <v>#NUM!</v>
      </c>
      <c r="BH853" t="e">
        <f t="shared" si="41"/>
        <v>#NUM!</v>
      </c>
      <c r="BI853" t="e">
        <f>VLOOKUP(H853,Sheet2!$A$1:$B$270,2,FALSE)</f>
        <v>#N/A</v>
      </c>
    </row>
    <row r="854" spans="15:61" hidden="1">
      <c r="O854" s="57"/>
      <c r="P854" s="57"/>
      <c r="AO854" s="57"/>
      <c r="BA854" s="57"/>
      <c r="BF854" s="6" t="e">
        <f t="shared" si="39"/>
        <v>#NUM!</v>
      </c>
      <c r="BG854" t="e">
        <f t="shared" si="40"/>
        <v>#NUM!</v>
      </c>
      <c r="BH854" t="e">
        <f t="shared" si="41"/>
        <v>#NUM!</v>
      </c>
      <c r="BI854" t="e">
        <f>VLOOKUP(H854,Sheet2!$A$1:$B$270,2,FALSE)</f>
        <v>#N/A</v>
      </c>
    </row>
    <row r="855" spans="15:61" hidden="1">
      <c r="O855" s="57"/>
      <c r="P855" s="57"/>
      <c r="AO855" s="57"/>
      <c r="AP855" s="57"/>
      <c r="BA855" s="57"/>
      <c r="BF855" s="6" t="e">
        <f t="shared" si="39"/>
        <v>#NUM!</v>
      </c>
      <c r="BG855" t="e">
        <f t="shared" si="40"/>
        <v>#NUM!</v>
      </c>
      <c r="BH855" t="e">
        <f t="shared" si="41"/>
        <v>#NUM!</v>
      </c>
      <c r="BI855" t="e">
        <f>VLOOKUP(H855,Sheet2!$A$1:$B$270,2,FALSE)</f>
        <v>#N/A</v>
      </c>
    </row>
    <row r="856" spans="15:61" hidden="1">
      <c r="O856" s="57"/>
      <c r="P856" s="57"/>
      <c r="AO856" s="57"/>
      <c r="AP856" s="57"/>
      <c r="BA856" s="57"/>
      <c r="BF856" s="6" t="e">
        <f t="shared" si="39"/>
        <v>#NUM!</v>
      </c>
      <c r="BG856" t="e">
        <f t="shared" si="40"/>
        <v>#NUM!</v>
      </c>
      <c r="BH856" t="e">
        <f t="shared" si="41"/>
        <v>#NUM!</v>
      </c>
      <c r="BI856" t="e">
        <f>VLOOKUP(H856,Sheet2!$A$1:$B$270,2,FALSE)</f>
        <v>#N/A</v>
      </c>
    </row>
    <row r="857" spans="15:61" hidden="1">
      <c r="O857" s="57"/>
      <c r="P857" s="57"/>
      <c r="AO857" s="57"/>
      <c r="BA857" s="57"/>
      <c r="BF857" s="6" t="e">
        <f t="shared" si="39"/>
        <v>#NUM!</v>
      </c>
      <c r="BG857" t="e">
        <f t="shared" si="40"/>
        <v>#NUM!</v>
      </c>
      <c r="BH857" t="e">
        <f t="shared" si="41"/>
        <v>#NUM!</v>
      </c>
      <c r="BI857" t="e">
        <f>VLOOKUP(H857,Sheet2!$A$1:$B$270,2,FALSE)</f>
        <v>#N/A</v>
      </c>
    </row>
    <row r="858" spans="15:61" hidden="1">
      <c r="O858" s="57"/>
      <c r="P858" s="57"/>
      <c r="AO858" s="57"/>
      <c r="AP858" s="57"/>
      <c r="BA858" s="57"/>
      <c r="BF858" s="6" t="e">
        <f t="shared" si="39"/>
        <v>#NUM!</v>
      </c>
      <c r="BG858" t="e">
        <f t="shared" si="40"/>
        <v>#NUM!</v>
      </c>
      <c r="BH858" t="e">
        <f t="shared" si="41"/>
        <v>#NUM!</v>
      </c>
      <c r="BI858" t="e">
        <f>VLOOKUP(H858,Sheet2!$A$1:$B$270,2,FALSE)</f>
        <v>#N/A</v>
      </c>
    </row>
    <row r="859" spans="15:61" hidden="1">
      <c r="O859" s="57"/>
      <c r="P859" s="57"/>
      <c r="AO859" s="57"/>
      <c r="AP859" s="57"/>
      <c r="BA859" s="57"/>
      <c r="BF859" s="6" t="e">
        <f t="shared" si="39"/>
        <v>#NUM!</v>
      </c>
      <c r="BG859" t="e">
        <f t="shared" si="40"/>
        <v>#NUM!</v>
      </c>
      <c r="BH859" t="e">
        <f t="shared" si="41"/>
        <v>#NUM!</v>
      </c>
      <c r="BI859" t="e">
        <f>VLOOKUP(H859,Sheet2!$A$1:$B$270,2,FALSE)</f>
        <v>#N/A</v>
      </c>
    </row>
    <row r="860" spans="15:61" hidden="1">
      <c r="O860" s="57"/>
      <c r="P860" s="57"/>
      <c r="AO860" s="57"/>
      <c r="AP860" s="57"/>
      <c r="BA860" s="57"/>
      <c r="BF860" s="6" t="e">
        <f t="shared" si="39"/>
        <v>#NUM!</v>
      </c>
      <c r="BG860" t="e">
        <f t="shared" si="40"/>
        <v>#NUM!</v>
      </c>
      <c r="BH860" t="e">
        <f t="shared" si="41"/>
        <v>#NUM!</v>
      </c>
      <c r="BI860" t="e">
        <f>VLOOKUP(H860,Sheet2!$A$1:$B$270,2,FALSE)</f>
        <v>#N/A</v>
      </c>
    </row>
    <row r="861" spans="15:61" hidden="1">
      <c r="O861" s="57"/>
      <c r="P861" s="57"/>
      <c r="AO861" s="57"/>
      <c r="AP861" s="57"/>
      <c r="BA861" s="57"/>
      <c r="BF861" s="6" t="e">
        <f t="shared" si="39"/>
        <v>#NUM!</v>
      </c>
      <c r="BG861" t="e">
        <f t="shared" si="40"/>
        <v>#NUM!</v>
      </c>
      <c r="BH861" t="e">
        <f t="shared" si="41"/>
        <v>#NUM!</v>
      </c>
      <c r="BI861" t="e">
        <f>VLOOKUP(H861,Sheet2!$A$1:$B$270,2,FALSE)</f>
        <v>#N/A</v>
      </c>
    </row>
    <row r="862" spans="15:61" hidden="1">
      <c r="O862" s="57"/>
      <c r="P862" s="57"/>
      <c r="AO862" s="57"/>
      <c r="AP862" s="57"/>
      <c r="BA862" s="57"/>
      <c r="BF862" s="6" t="e">
        <f t="shared" si="39"/>
        <v>#NUM!</v>
      </c>
      <c r="BG862" t="e">
        <f t="shared" si="40"/>
        <v>#NUM!</v>
      </c>
      <c r="BH862" t="e">
        <f t="shared" si="41"/>
        <v>#NUM!</v>
      </c>
      <c r="BI862" t="e">
        <f>VLOOKUP(H862,Sheet2!$A$1:$B$270,2,FALSE)</f>
        <v>#N/A</v>
      </c>
    </row>
    <row r="863" spans="15:61" hidden="1">
      <c r="O863" s="57"/>
      <c r="P863" s="57"/>
      <c r="AO863" s="57"/>
      <c r="AP863" s="57"/>
      <c r="BA863" s="57"/>
      <c r="BF863" s="6" t="e">
        <f t="shared" si="39"/>
        <v>#NUM!</v>
      </c>
      <c r="BG863" t="e">
        <f t="shared" si="40"/>
        <v>#NUM!</v>
      </c>
      <c r="BH863" t="e">
        <f t="shared" si="41"/>
        <v>#NUM!</v>
      </c>
      <c r="BI863" t="e">
        <f>VLOOKUP(H863,Sheet2!$A$1:$B$270,2,FALSE)</f>
        <v>#N/A</v>
      </c>
    </row>
    <row r="864" spans="15:61" hidden="1">
      <c r="O864" s="57"/>
      <c r="P864" s="57"/>
      <c r="AO864" s="57"/>
      <c r="AP864" s="57"/>
      <c r="BA864" s="57"/>
      <c r="BF864" s="6" t="e">
        <f t="shared" si="39"/>
        <v>#NUM!</v>
      </c>
      <c r="BG864" t="e">
        <f t="shared" si="40"/>
        <v>#NUM!</v>
      </c>
      <c r="BH864" t="e">
        <f t="shared" si="41"/>
        <v>#NUM!</v>
      </c>
      <c r="BI864" t="e">
        <f>VLOOKUP(H864,Sheet2!$A$1:$B$270,2,FALSE)</f>
        <v>#N/A</v>
      </c>
    </row>
    <row r="865" spans="15:61" hidden="1">
      <c r="O865" s="57"/>
      <c r="P865" s="57"/>
      <c r="AO865" s="57"/>
      <c r="AP865" s="57"/>
      <c r="BA865" s="57"/>
      <c r="BF865" s="6" t="e">
        <f t="shared" si="39"/>
        <v>#NUM!</v>
      </c>
      <c r="BG865" t="e">
        <f t="shared" si="40"/>
        <v>#NUM!</v>
      </c>
      <c r="BH865" t="e">
        <f t="shared" si="41"/>
        <v>#NUM!</v>
      </c>
      <c r="BI865" t="e">
        <f>VLOOKUP(H865,Sheet2!$A$1:$B$270,2,FALSE)</f>
        <v>#N/A</v>
      </c>
    </row>
    <row r="866" spans="15:61" hidden="1">
      <c r="O866" s="57"/>
      <c r="P866" s="57"/>
      <c r="AO866" s="57"/>
      <c r="AP866" s="57"/>
      <c r="BA866" s="57"/>
      <c r="BF866" s="6" t="e">
        <f t="shared" si="39"/>
        <v>#NUM!</v>
      </c>
      <c r="BG866" t="e">
        <f t="shared" si="40"/>
        <v>#NUM!</v>
      </c>
      <c r="BH866" t="e">
        <f t="shared" si="41"/>
        <v>#NUM!</v>
      </c>
      <c r="BI866" t="e">
        <f>VLOOKUP(H866,Sheet2!$A$1:$B$270,2,FALSE)</f>
        <v>#N/A</v>
      </c>
    </row>
    <row r="867" spans="15:61" hidden="1">
      <c r="O867" s="57"/>
      <c r="P867" s="57"/>
      <c r="AO867" s="57"/>
      <c r="AP867" s="57"/>
      <c r="BA867" s="57"/>
      <c r="BF867" s="6" t="e">
        <f t="shared" si="39"/>
        <v>#NUM!</v>
      </c>
      <c r="BG867" t="e">
        <f t="shared" si="40"/>
        <v>#NUM!</v>
      </c>
      <c r="BH867" t="e">
        <f t="shared" si="41"/>
        <v>#NUM!</v>
      </c>
      <c r="BI867" t="e">
        <f>VLOOKUP(H867,Sheet2!$A$1:$B$270,2,FALSE)</f>
        <v>#N/A</v>
      </c>
    </row>
    <row r="868" spans="15:61" hidden="1">
      <c r="O868" s="57"/>
      <c r="P868" s="57"/>
      <c r="AP868" s="57"/>
      <c r="BA868" s="57"/>
      <c r="BF868" s="6" t="e">
        <f t="shared" si="39"/>
        <v>#NUM!</v>
      </c>
      <c r="BG868" t="e">
        <f t="shared" si="40"/>
        <v>#NUM!</v>
      </c>
      <c r="BH868" t="e">
        <f t="shared" si="41"/>
        <v>#NUM!</v>
      </c>
      <c r="BI868" t="e">
        <f>VLOOKUP(H868,Sheet2!$A$1:$B$270,2,FALSE)</f>
        <v>#N/A</v>
      </c>
    </row>
    <row r="869" spans="15:61" hidden="1">
      <c r="O869" s="57"/>
      <c r="P869" s="57"/>
      <c r="AP869" s="57"/>
      <c r="BA869" s="57"/>
      <c r="BF869" s="6" t="e">
        <f t="shared" si="39"/>
        <v>#NUM!</v>
      </c>
      <c r="BG869" t="e">
        <f t="shared" si="40"/>
        <v>#NUM!</v>
      </c>
      <c r="BH869" t="e">
        <f t="shared" si="41"/>
        <v>#NUM!</v>
      </c>
      <c r="BI869" t="e">
        <f>VLOOKUP(H869,Sheet2!$A$1:$B$270,2,FALSE)</f>
        <v>#N/A</v>
      </c>
    </row>
    <row r="870" spans="15:61" hidden="1">
      <c r="O870" s="57"/>
      <c r="P870" s="57"/>
      <c r="BA870" s="57"/>
      <c r="BF870" s="6" t="e">
        <f t="shared" si="39"/>
        <v>#NUM!</v>
      </c>
      <c r="BG870" t="e">
        <f t="shared" si="40"/>
        <v>#NUM!</v>
      </c>
      <c r="BH870" t="e">
        <f t="shared" si="41"/>
        <v>#NUM!</v>
      </c>
      <c r="BI870" t="e">
        <f>VLOOKUP(H870,Sheet2!$A$1:$B$270,2,FALSE)</f>
        <v>#N/A</v>
      </c>
    </row>
    <row r="871" spans="15:61" hidden="1">
      <c r="O871" s="57"/>
      <c r="P871" s="57"/>
      <c r="AP871" s="57"/>
      <c r="BA871" s="57"/>
      <c r="BF871" s="6" t="e">
        <f t="shared" si="39"/>
        <v>#NUM!</v>
      </c>
      <c r="BG871" t="e">
        <f t="shared" si="40"/>
        <v>#NUM!</v>
      </c>
      <c r="BH871" t="e">
        <f t="shared" si="41"/>
        <v>#NUM!</v>
      </c>
      <c r="BI871" t="e">
        <f>VLOOKUP(H871,Sheet2!$A$1:$B$270,2,FALSE)</f>
        <v>#N/A</v>
      </c>
    </row>
    <row r="872" spans="15:61" hidden="1">
      <c r="O872" s="57"/>
      <c r="P872" s="57"/>
      <c r="AP872" s="57"/>
      <c r="BA872" s="57"/>
      <c r="BF872" s="6" t="e">
        <f t="shared" si="39"/>
        <v>#NUM!</v>
      </c>
      <c r="BG872" t="e">
        <f t="shared" si="40"/>
        <v>#NUM!</v>
      </c>
      <c r="BH872" t="e">
        <f t="shared" si="41"/>
        <v>#NUM!</v>
      </c>
      <c r="BI872" t="e">
        <f>VLOOKUP(H872,Sheet2!$A$1:$B$270,2,FALSE)</f>
        <v>#N/A</v>
      </c>
    </row>
    <row r="873" spans="15:61" hidden="1">
      <c r="O873" s="57"/>
      <c r="P873" s="57"/>
      <c r="AP873" s="57"/>
      <c r="BA873" s="57"/>
      <c r="BF873" s="6" t="e">
        <f t="shared" si="39"/>
        <v>#NUM!</v>
      </c>
      <c r="BG873" t="e">
        <f t="shared" si="40"/>
        <v>#NUM!</v>
      </c>
      <c r="BH873" t="e">
        <f t="shared" si="41"/>
        <v>#NUM!</v>
      </c>
      <c r="BI873" t="e">
        <f>VLOOKUP(H873,Sheet2!$A$1:$B$270,2,FALSE)</f>
        <v>#N/A</v>
      </c>
    </row>
    <row r="874" spans="15:61" hidden="1">
      <c r="O874" s="57"/>
      <c r="P874" s="57"/>
      <c r="AP874" s="57"/>
      <c r="BA874" s="57"/>
      <c r="BF874" s="6" t="e">
        <f t="shared" si="39"/>
        <v>#NUM!</v>
      </c>
      <c r="BG874" t="e">
        <f t="shared" si="40"/>
        <v>#NUM!</v>
      </c>
      <c r="BH874" t="e">
        <f t="shared" si="41"/>
        <v>#NUM!</v>
      </c>
      <c r="BI874" t="e">
        <f>VLOOKUP(H874,Sheet2!$A$1:$B$270,2,FALSE)</f>
        <v>#N/A</v>
      </c>
    </row>
    <row r="875" spans="15:61" hidden="1">
      <c r="O875" s="57"/>
      <c r="P875" s="57"/>
      <c r="AP875" s="57"/>
      <c r="BA875" s="57"/>
      <c r="BF875" s="6" t="e">
        <f t="shared" si="39"/>
        <v>#NUM!</v>
      </c>
      <c r="BG875" t="e">
        <f t="shared" si="40"/>
        <v>#NUM!</v>
      </c>
      <c r="BH875" t="e">
        <f t="shared" si="41"/>
        <v>#NUM!</v>
      </c>
      <c r="BI875" t="e">
        <f>VLOOKUP(H875,Sheet2!$A$1:$B$270,2,FALSE)</f>
        <v>#N/A</v>
      </c>
    </row>
    <row r="876" spans="15:61" hidden="1">
      <c r="O876" s="57"/>
      <c r="P876" s="57"/>
      <c r="AP876" s="57"/>
      <c r="BA876" s="57"/>
      <c r="BF876" s="6" t="e">
        <f t="shared" si="39"/>
        <v>#NUM!</v>
      </c>
      <c r="BG876" t="e">
        <f t="shared" si="40"/>
        <v>#NUM!</v>
      </c>
      <c r="BH876" t="e">
        <f t="shared" si="41"/>
        <v>#NUM!</v>
      </c>
      <c r="BI876" t="e">
        <f>VLOOKUP(H876,Sheet2!$A$1:$B$270,2,FALSE)</f>
        <v>#N/A</v>
      </c>
    </row>
    <row r="877" spans="15:61" hidden="1">
      <c r="O877" s="57"/>
      <c r="P877" s="57"/>
      <c r="AP877" s="57"/>
      <c r="BA877" s="57"/>
      <c r="BF877" s="6" t="e">
        <f t="shared" si="39"/>
        <v>#NUM!</v>
      </c>
      <c r="BG877" t="e">
        <f t="shared" si="40"/>
        <v>#NUM!</v>
      </c>
      <c r="BH877" t="e">
        <f t="shared" si="41"/>
        <v>#NUM!</v>
      </c>
      <c r="BI877" t="e">
        <f>VLOOKUP(H877,Sheet2!$A$1:$B$270,2,FALSE)</f>
        <v>#N/A</v>
      </c>
    </row>
    <row r="878" spans="15:61" hidden="1">
      <c r="O878" s="57"/>
      <c r="P878" s="57"/>
      <c r="AP878" s="57"/>
      <c r="BA878" s="57"/>
      <c r="BF878" s="6" t="e">
        <f t="shared" si="39"/>
        <v>#NUM!</v>
      </c>
      <c r="BG878" t="e">
        <f t="shared" si="40"/>
        <v>#NUM!</v>
      </c>
      <c r="BH878" t="e">
        <f t="shared" si="41"/>
        <v>#NUM!</v>
      </c>
      <c r="BI878" t="e">
        <f>VLOOKUP(H878,Sheet2!$A$1:$B$270,2,FALSE)</f>
        <v>#N/A</v>
      </c>
    </row>
    <row r="879" spans="15:61" hidden="1">
      <c r="O879" s="57"/>
      <c r="P879" s="57"/>
      <c r="AP879" s="57"/>
      <c r="BA879" s="57"/>
      <c r="BF879" s="6" t="e">
        <f t="shared" si="39"/>
        <v>#NUM!</v>
      </c>
      <c r="BG879" t="e">
        <f t="shared" si="40"/>
        <v>#NUM!</v>
      </c>
      <c r="BH879" t="e">
        <f t="shared" si="41"/>
        <v>#NUM!</v>
      </c>
      <c r="BI879" t="e">
        <f>VLOOKUP(H879,Sheet2!$A$1:$B$270,2,FALSE)</f>
        <v>#N/A</v>
      </c>
    </row>
    <row r="880" spans="15:61" hidden="1">
      <c r="O880" s="57"/>
      <c r="P880" s="57"/>
      <c r="AP880" s="57"/>
      <c r="BA880" s="57"/>
      <c r="BF880" s="6" t="e">
        <f t="shared" si="39"/>
        <v>#NUM!</v>
      </c>
      <c r="BG880" t="e">
        <f t="shared" si="40"/>
        <v>#NUM!</v>
      </c>
      <c r="BH880" t="e">
        <f t="shared" si="41"/>
        <v>#NUM!</v>
      </c>
      <c r="BI880" t="e">
        <f>VLOOKUP(H880,Sheet2!$A$1:$B$270,2,FALSE)</f>
        <v>#N/A</v>
      </c>
    </row>
    <row r="881" spans="15:61" hidden="1">
      <c r="O881" s="57"/>
      <c r="P881" s="57"/>
      <c r="AP881" s="57"/>
      <c r="BA881" s="57"/>
      <c r="BF881" s="6" t="e">
        <f t="shared" si="39"/>
        <v>#NUM!</v>
      </c>
      <c r="BG881" t="e">
        <f t="shared" si="40"/>
        <v>#NUM!</v>
      </c>
      <c r="BH881" t="e">
        <f t="shared" si="41"/>
        <v>#NUM!</v>
      </c>
      <c r="BI881" t="e">
        <f>VLOOKUP(H881,Sheet2!$A$1:$B$270,2,FALSE)</f>
        <v>#N/A</v>
      </c>
    </row>
    <row r="882" spans="15:61" hidden="1">
      <c r="O882" s="57"/>
      <c r="P882" s="57"/>
      <c r="AP882" s="57"/>
      <c r="BA882" s="57"/>
      <c r="BF882" s="6" t="e">
        <f t="shared" si="39"/>
        <v>#NUM!</v>
      </c>
      <c r="BG882" t="e">
        <f t="shared" si="40"/>
        <v>#NUM!</v>
      </c>
      <c r="BH882" t="e">
        <f t="shared" si="41"/>
        <v>#NUM!</v>
      </c>
      <c r="BI882" t="e">
        <f>VLOOKUP(H882,Sheet2!$A$1:$B$270,2,FALSE)</f>
        <v>#N/A</v>
      </c>
    </row>
    <row r="883" spans="15:61" hidden="1">
      <c r="O883" s="57"/>
      <c r="P883" s="57"/>
      <c r="AP883" s="57"/>
      <c r="BA883" s="57"/>
      <c r="BF883" s="6" t="e">
        <f t="shared" si="39"/>
        <v>#NUM!</v>
      </c>
      <c r="BG883" t="e">
        <f t="shared" si="40"/>
        <v>#NUM!</v>
      </c>
      <c r="BH883" t="e">
        <f t="shared" si="41"/>
        <v>#NUM!</v>
      </c>
      <c r="BI883" t="e">
        <f>VLOOKUP(H883,Sheet2!$A$1:$B$270,2,FALSE)</f>
        <v>#N/A</v>
      </c>
    </row>
    <row r="884" spans="15:61" hidden="1">
      <c r="O884" s="57"/>
      <c r="P884" s="57"/>
      <c r="AP884" s="57"/>
      <c r="BA884" s="57"/>
      <c r="BF884" s="6" t="e">
        <f t="shared" si="39"/>
        <v>#NUM!</v>
      </c>
      <c r="BG884" t="e">
        <f t="shared" si="40"/>
        <v>#NUM!</v>
      </c>
      <c r="BH884" t="e">
        <f t="shared" si="41"/>
        <v>#NUM!</v>
      </c>
      <c r="BI884" t="e">
        <f>VLOOKUP(H884,Sheet2!$A$1:$B$270,2,FALSE)</f>
        <v>#N/A</v>
      </c>
    </row>
    <row r="885" spans="15:61" hidden="1">
      <c r="O885" s="57"/>
      <c r="P885" s="57"/>
      <c r="BA885" s="57"/>
      <c r="BF885" s="6" t="e">
        <f t="shared" si="39"/>
        <v>#NUM!</v>
      </c>
      <c r="BG885" t="e">
        <f t="shared" si="40"/>
        <v>#NUM!</v>
      </c>
      <c r="BH885" t="e">
        <f t="shared" si="41"/>
        <v>#NUM!</v>
      </c>
      <c r="BI885" t="e">
        <f>VLOOKUP(H885,Sheet2!$A$1:$B$270,2,FALSE)</f>
        <v>#N/A</v>
      </c>
    </row>
    <row r="886" spans="15:61" hidden="1">
      <c r="O886" s="57"/>
      <c r="P886" s="57"/>
      <c r="AP886" s="57"/>
      <c r="BA886" s="57"/>
      <c r="BF886" s="6" t="e">
        <f t="shared" si="39"/>
        <v>#NUM!</v>
      </c>
      <c r="BG886" t="e">
        <f t="shared" si="40"/>
        <v>#NUM!</v>
      </c>
      <c r="BH886" t="e">
        <f t="shared" si="41"/>
        <v>#NUM!</v>
      </c>
      <c r="BI886" t="e">
        <f>VLOOKUP(H886,Sheet2!$A$1:$B$270,2,FALSE)</f>
        <v>#N/A</v>
      </c>
    </row>
    <row r="887" spans="15:61" hidden="1">
      <c r="O887" s="57"/>
      <c r="P887" s="57"/>
      <c r="AP887" s="57"/>
      <c r="BA887" s="57"/>
      <c r="BF887" s="6" t="e">
        <f t="shared" si="39"/>
        <v>#NUM!</v>
      </c>
      <c r="BG887" t="e">
        <f t="shared" si="40"/>
        <v>#NUM!</v>
      </c>
      <c r="BH887" t="e">
        <f t="shared" si="41"/>
        <v>#NUM!</v>
      </c>
      <c r="BI887" t="e">
        <f>VLOOKUP(H887,Sheet2!$A$1:$B$270,2,FALSE)</f>
        <v>#N/A</v>
      </c>
    </row>
    <row r="888" spans="15:61" hidden="1">
      <c r="O888" s="57"/>
      <c r="P888" s="57"/>
      <c r="BF888" s="6" t="e">
        <f t="shared" si="39"/>
        <v>#NUM!</v>
      </c>
      <c r="BG888" t="e">
        <f t="shared" si="40"/>
        <v>#NUM!</v>
      </c>
      <c r="BH888" t="e">
        <f t="shared" si="41"/>
        <v>#NUM!</v>
      </c>
      <c r="BI888" t="e">
        <f>VLOOKUP(H888,Sheet2!$A$1:$B$270,2,FALSE)</f>
        <v>#N/A</v>
      </c>
    </row>
    <row r="889" spans="15:61" hidden="1">
      <c r="O889" s="57"/>
      <c r="P889" s="57"/>
      <c r="AO889" s="57"/>
      <c r="BA889" s="57"/>
      <c r="BF889" s="6" t="e">
        <f t="shared" si="39"/>
        <v>#NUM!</v>
      </c>
      <c r="BG889" t="e">
        <f t="shared" si="40"/>
        <v>#NUM!</v>
      </c>
      <c r="BH889" t="e">
        <f t="shared" si="41"/>
        <v>#NUM!</v>
      </c>
      <c r="BI889" t="e">
        <f>VLOOKUP(H889,Sheet2!$A$1:$B$270,2,FALSE)</f>
        <v>#N/A</v>
      </c>
    </row>
    <row r="890" spans="15:61" hidden="1">
      <c r="O890" s="57"/>
      <c r="P890" s="57"/>
      <c r="AO890" s="57"/>
      <c r="AP890" s="57"/>
      <c r="BA890" s="57"/>
      <c r="BF890" s="6" t="e">
        <f t="shared" si="39"/>
        <v>#NUM!</v>
      </c>
      <c r="BG890" t="e">
        <f t="shared" si="40"/>
        <v>#NUM!</v>
      </c>
      <c r="BH890" t="e">
        <f t="shared" si="41"/>
        <v>#NUM!</v>
      </c>
      <c r="BI890" t="e">
        <f>VLOOKUP(H890,Sheet2!$A$1:$B$270,2,FALSE)</f>
        <v>#N/A</v>
      </c>
    </row>
    <row r="891" spans="15:61" hidden="1">
      <c r="O891" s="57"/>
      <c r="P891" s="57"/>
      <c r="BA891" s="57"/>
      <c r="BF891" s="6" t="e">
        <f t="shared" si="39"/>
        <v>#NUM!</v>
      </c>
      <c r="BG891" t="e">
        <f t="shared" si="40"/>
        <v>#NUM!</v>
      </c>
      <c r="BH891" t="e">
        <f t="shared" si="41"/>
        <v>#NUM!</v>
      </c>
      <c r="BI891" t="e">
        <f>VLOOKUP(H891,Sheet2!$A$1:$B$270,2,FALSE)</f>
        <v>#N/A</v>
      </c>
    </row>
    <row r="892" spans="15:61" hidden="1">
      <c r="O892" s="57"/>
      <c r="P892" s="57"/>
      <c r="BA892" s="57"/>
      <c r="BF892" s="6" t="e">
        <f t="shared" si="39"/>
        <v>#NUM!</v>
      </c>
      <c r="BG892" t="e">
        <f t="shared" si="40"/>
        <v>#NUM!</v>
      </c>
      <c r="BH892" t="e">
        <f t="shared" si="41"/>
        <v>#NUM!</v>
      </c>
      <c r="BI892" t="e">
        <f>VLOOKUP(H892,Sheet2!$A$1:$B$270,2,FALSE)</f>
        <v>#N/A</v>
      </c>
    </row>
    <row r="893" spans="15:61" hidden="1">
      <c r="O893" s="57"/>
      <c r="P893" s="57"/>
      <c r="AP893" s="57"/>
      <c r="BA893" s="57"/>
      <c r="BF893" s="6" t="e">
        <f t="shared" si="39"/>
        <v>#NUM!</v>
      </c>
      <c r="BG893" t="e">
        <f t="shared" si="40"/>
        <v>#NUM!</v>
      </c>
      <c r="BH893" t="e">
        <f t="shared" si="41"/>
        <v>#NUM!</v>
      </c>
      <c r="BI893" t="e">
        <f>VLOOKUP(H893,Sheet2!$A$1:$B$270,2,FALSE)</f>
        <v>#N/A</v>
      </c>
    </row>
    <row r="894" spans="15:61" hidden="1">
      <c r="O894" s="57"/>
      <c r="P894" s="57"/>
      <c r="AO894" s="57"/>
      <c r="AP894" s="57"/>
      <c r="BA894" s="57"/>
      <c r="BF894" s="6" t="e">
        <f t="shared" si="39"/>
        <v>#NUM!</v>
      </c>
      <c r="BG894" t="e">
        <f t="shared" si="40"/>
        <v>#NUM!</v>
      </c>
      <c r="BH894" t="e">
        <f t="shared" si="41"/>
        <v>#NUM!</v>
      </c>
      <c r="BI894" t="e">
        <f>VLOOKUP(H894,Sheet2!$A$1:$B$270,2,FALSE)</f>
        <v>#N/A</v>
      </c>
    </row>
    <row r="895" spans="15:61" hidden="1">
      <c r="O895" s="57"/>
      <c r="P895" s="57"/>
      <c r="AO895" s="57"/>
      <c r="AP895" s="57"/>
      <c r="BA895" s="57"/>
      <c r="BF895" s="6" t="e">
        <f t="shared" si="39"/>
        <v>#NUM!</v>
      </c>
      <c r="BG895" t="e">
        <f t="shared" si="40"/>
        <v>#NUM!</v>
      </c>
      <c r="BH895" t="e">
        <f t="shared" si="41"/>
        <v>#NUM!</v>
      </c>
      <c r="BI895" t="e">
        <f>VLOOKUP(H895,Sheet2!$A$1:$B$270,2,FALSE)</f>
        <v>#N/A</v>
      </c>
    </row>
    <row r="896" spans="15:61" hidden="1">
      <c r="O896" s="57"/>
      <c r="P896" s="57"/>
      <c r="AO896" s="57"/>
      <c r="AP896" s="57"/>
      <c r="BA896" s="57"/>
      <c r="BF896" s="6" t="e">
        <f t="shared" si="39"/>
        <v>#NUM!</v>
      </c>
      <c r="BG896" t="e">
        <f t="shared" si="40"/>
        <v>#NUM!</v>
      </c>
      <c r="BH896" t="e">
        <f t="shared" si="41"/>
        <v>#NUM!</v>
      </c>
      <c r="BI896" t="e">
        <f>VLOOKUP(H896,Sheet2!$A$1:$B$270,2,FALSE)</f>
        <v>#N/A</v>
      </c>
    </row>
    <row r="897" spans="15:61" hidden="1">
      <c r="O897" s="57"/>
      <c r="P897" s="57"/>
      <c r="BA897" s="57"/>
      <c r="BF897" s="6" t="e">
        <f t="shared" si="39"/>
        <v>#NUM!</v>
      </c>
      <c r="BG897" t="e">
        <f t="shared" si="40"/>
        <v>#NUM!</v>
      </c>
      <c r="BH897" t="e">
        <f t="shared" si="41"/>
        <v>#NUM!</v>
      </c>
      <c r="BI897" t="e">
        <f>VLOOKUP(H897,Sheet2!$A$1:$B$270,2,FALSE)</f>
        <v>#N/A</v>
      </c>
    </row>
    <row r="898" spans="15:61" hidden="1">
      <c r="O898" s="57"/>
      <c r="P898" s="57"/>
      <c r="AP898" s="57"/>
      <c r="BA898" s="57"/>
      <c r="BF898" s="6" t="e">
        <f t="shared" ref="BF898:BF961" si="42">DATE(BC898,BD898,BE898)</f>
        <v>#NUM!</v>
      </c>
      <c r="BG898" t="e">
        <f t="shared" ref="BG898:BG961" si="43">BF898-BA898</f>
        <v>#NUM!</v>
      </c>
      <c r="BH898" t="e">
        <f t="shared" ref="BH898:BH961" si="44">IF(BG898=1,"COMPLY",IF(BG898&lt;1,"COMPLY","NOT COMPLY"))</f>
        <v>#NUM!</v>
      </c>
      <c r="BI898" t="e">
        <f>VLOOKUP(H898,Sheet2!$A$1:$B$270,2,FALSE)</f>
        <v>#N/A</v>
      </c>
    </row>
    <row r="899" spans="15:61" hidden="1">
      <c r="O899" s="57"/>
      <c r="P899" s="57"/>
      <c r="AP899" s="57"/>
      <c r="BA899" s="57"/>
      <c r="BF899" s="6" t="e">
        <f t="shared" si="42"/>
        <v>#NUM!</v>
      </c>
      <c r="BG899" t="e">
        <f t="shared" si="43"/>
        <v>#NUM!</v>
      </c>
      <c r="BH899" t="e">
        <f t="shared" si="44"/>
        <v>#NUM!</v>
      </c>
      <c r="BI899" t="e">
        <f>VLOOKUP(H899,Sheet2!$A$1:$B$270,2,FALSE)</f>
        <v>#N/A</v>
      </c>
    </row>
    <row r="900" spans="15:61" hidden="1">
      <c r="O900" s="57"/>
      <c r="P900" s="57"/>
      <c r="AO900" s="57"/>
      <c r="BA900" s="57"/>
      <c r="BF900" s="6" t="e">
        <f t="shared" si="42"/>
        <v>#NUM!</v>
      </c>
      <c r="BG900" t="e">
        <f t="shared" si="43"/>
        <v>#NUM!</v>
      </c>
      <c r="BH900" t="e">
        <f t="shared" si="44"/>
        <v>#NUM!</v>
      </c>
      <c r="BI900" t="e">
        <f>VLOOKUP(H900,Sheet2!$A$1:$B$270,2,FALSE)</f>
        <v>#N/A</v>
      </c>
    </row>
    <row r="901" spans="15:61" hidden="1">
      <c r="O901" s="57"/>
      <c r="P901" s="57"/>
      <c r="AP901" s="57"/>
      <c r="BA901" s="57"/>
      <c r="BF901" s="6" t="e">
        <f t="shared" si="42"/>
        <v>#NUM!</v>
      </c>
      <c r="BG901" t="e">
        <f t="shared" si="43"/>
        <v>#NUM!</v>
      </c>
      <c r="BH901" t="e">
        <f t="shared" si="44"/>
        <v>#NUM!</v>
      </c>
      <c r="BI901" t="e">
        <f>VLOOKUP(H901,Sheet2!$A$1:$B$270,2,FALSE)</f>
        <v>#N/A</v>
      </c>
    </row>
    <row r="902" spans="15:61" hidden="1">
      <c r="O902" s="57"/>
      <c r="P902" s="57"/>
      <c r="AO902" s="57"/>
      <c r="AP902" s="57"/>
      <c r="BA902" s="57"/>
      <c r="BF902" s="6" t="e">
        <f t="shared" si="42"/>
        <v>#NUM!</v>
      </c>
      <c r="BG902" t="e">
        <f t="shared" si="43"/>
        <v>#NUM!</v>
      </c>
      <c r="BH902" t="e">
        <f t="shared" si="44"/>
        <v>#NUM!</v>
      </c>
      <c r="BI902" t="e">
        <f>VLOOKUP(H902,Sheet2!$A$1:$B$270,2,FALSE)</f>
        <v>#N/A</v>
      </c>
    </row>
    <row r="903" spans="15:61" hidden="1">
      <c r="O903" s="57"/>
      <c r="P903" s="57"/>
      <c r="AP903" s="57"/>
      <c r="BA903" s="57"/>
      <c r="BF903" s="6" t="e">
        <f t="shared" si="42"/>
        <v>#NUM!</v>
      </c>
      <c r="BG903" t="e">
        <f t="shared" si="43"/>
        <v>#NUM!</v>
      </c>
      <c r="BH903" t="e">
        <f t="shared" si="44"/>
        <v>#NUM!</v>
      </c>
      <c r="BI903" t="e">
        <f>VLOOKUP(H903,Sheet2!$A$1:$B$270,2,FALSE)</f>
        <v>#N/A</v>
      </c>
    </row>
    <row r="904" spans="15:61" hidden="1">
      <c r="O904" s="57"/>
      <c r="P904" s="57"/>
      <c r="AO904" s="57"/>
      <c r="AP904" s="57"/>
      <c r="BA904" s="57"/>
      <c r="BF904" s="6" t="e">
        <f t="shared" si="42"/>
        <v>#NUM!</v>
      </c>
      <c r="BG904" t="e">
        <f t="shared" si="43"/>
        <v>#NUM!</v>
      </c>
      <c r="BH904" t="e">
        <f t="shared" si="44"/>
        <v>#NUM!</v>
      </c>
      <c r="BI904" t="e">
        <f>VLOOKUP(H904,Sheet2!$A$1:$B$270,2,FALSE)</f>
        <v>#N/A</v>
      </c>
    </row>
    <row r="905" spans="15:61" hidden="1">
      <c r="O905" s="57"/>
      <c r="P905" s="57"/>
      <c r="AP905" s="57"/>
      <c r="BA905" s="57"/>
      <c r="BF905" s="6" t="e">
        <f t="shared" si="42"/>
        <v>#NUM!</v>
      </c>
      <c r="BG905" t="e">
        <f t="shared" si="43"/>
        <v>#NUM!</v>
      </c>
      <c r="BH905" t="e">
        <f t="shared" si="44"/>
        <v>#NUM!</v>
      </c>
      <c r="BI905" t="e">
        <f>VLOOKUP(H905,Sheet2!$A$1:$B$270,2,FALSE)</f>
        <v>#N/A</v>
      </c>
    </row>
    <row r="906" spans="15:61" hidden="1">
      <c r="O906" s="57"/>
      <c r="P906" s="57"/>
      <c r="AP906" s="57"/>
      <c r="BA906" s="57"/>
      <c r="BF906" s="6" t="e">
        <f t="shared" si="42"/>
        <v>#NUM!</v>
      </c>
      <c r="BG906" t="e">
        <f t="shared" si="43"/>
        <v>#NUM!</v>
      </c>
      <c r="BH906" t="e">
        <f t="shared" si="44"/>
        <v>#NUM!</v>
      </c>
      <c r="BI906" t="e">
        <f>VLOOKUP(H906,Sheet2!$A$1:$B$270,2,FALSE)</f>
        <v>#N/A</v>
      </c>
    </row>
    <row r="907" spans="15:61" hidden="1">
      <c r="O907" s="57"/>
      <c r="P907" s="57"/>
      <c r="AP907" s="57"/>
      <c r="BA907" s="57"/>
      <c r="BF907" s="6" t="e">
        <f t="shared" si="42"/>
        <v>#NUM!</v>
      </c>
      <c r="BG907" t="e">
        <f t="shared" si="43"/>
        <v>#NUM!</v>
      </c>
      <c r="BH907" t="e">
        <f t="shared" si="44"/>
        <v>#NUM!</v>
      </c>
      <c r="BI907" t="e">
        <f>VLOOKUP(H907,Sheet2!$A$1:$B$270,2,FALSE)</f>
        <v>#N/A</v>
      </c>
    </row>
    <row r="908" spans="15:61" hidden="1">
      <c r="O908" s="57"/>
      <c r="P908" s="57"/>
      <c r="AO908" s="57"/>
      <c r="AP908" s="57"/>
      <c r="BA908" s="57"/>
      <c r="BF908" s="6" t="e">
        <f t="shared" si="42"/>
        <v>#NUM!</v>
      </c>
      <c r="BG908" t="e">
        <f t="shared" si="43"/>
        <v>#NUM!</v>
      </c>
      <c r="BH908" t="e">
        <f t="shared" si="44"/>
        <v>#NUM!</v>
      </c>
      <c r="BI908" t="e">
        <f>VLOOKUP(H908,Sheet2!$A$1:$B$270,2,FALSE)</f>
        <v>#N/A</v>
      </c>
    </row>
    <row r="909" spans="15:61" hidden="1">
      <c r="O909" s="57"/>
      <c r="P909" s="57"/>
      <c r="AO909" s="57"/>
      <c r="BA909" s="57"/>
      <c r="BF909" s="6" t="e">
        <f t="shared" si="42"/>
        <v>#NUM!</v>
      </c>
      <c r="BG909" t="e">
        <f t="shared" si="43"/>
        <v>#NUM!</v>
      </c>
      <c r="BH909" t="e">
        <f t="shared" si="44"/>
        <v>#NUM!</v>
      </c>
      <c r="BI909" t="e">
        <f>VLOOKUP(H909,Sheet2!$A$1:$B$270,2,FALSE)</f>
        <v>#N/A</v>
      </c>
    </row>
    <row r="910" spans="15:61" hidden="1">
      <c r="O910" s="57"/>
      <c r="P910" s="57"/>
      <c r="AO910" s="57"/>
      <c r="AP910" s="57"/>
      <c r="BA910" s="57"/>
      <c r="BF910" s="6" t="e">
        <f t="shared" si="42"/>
        <v>#NUM!</v>
      </c>
      <c r="BG910" t="e">
        <f t="shared" si="43"/>
        <v>#NUM!</v>
      </c>
      <c r="BH910" t="e">
        <f t="shared" si="44"/>
        <v>#NUM!</v>
      </c>
      <c r="BI910" t="e">
        <f>VLOOKUP(H910,Sheet2!$A$1:$B$270,2,FALSE)</f>
        <v>#N/A</v>
      </c>
    </row>
    <row r="911" spans="15:61" hidden="1">
      <c r="O911" s="57"/>
      <c r="P911" s="57"/>
      <c r="AO911" s="57"/>
      <c r="BA911" s="57"/>
      <c r="BF911" s="6" t="e">
        <f t="shared" si="42"/>
        <v>#NUM!</v>
      </c>
      <c r="BG911" t="e">
        <f t="shared" si="43"/>
        <v>#NUM!</v>
      </c>
      <c r="BH911" t="e">
        <f t="shared" si="44"/>
        <v>#NUM!</v>
      </c>
      <c r="BI911" t="e">
        <f>VLOOKUP(H911,Sheet2!$A$1:$B$270,2,FALSE)</f>
        <v>#N/A</v>
      </c>
    </row>
    <row r="912" spans="15:61" hidden="1">
      <c r="O912" s="57"/>
      <c r="P912" s="57"/>
      <c r="AO912" s="57"/>
      <c r="AP912" s="57"/>
      <c r="BA912" s="57"/>
      <c r="BF912" s="6" t="e">
        <f t="shared" si="42"/>
        <v>#NUM!</v>
      </c>
      <c r="BG912" t="e">
        <f t="shared" si="43"/>
        <v>#NUM!</v>
      </c>
      <c r="BH912" t="e">
        <f t="shared" si="44"/>
        <v>#NUM!</v>
      </c>
      <c r="BI912" t="e">
        <f>VLOOKUP(H912,Sheet2!$A$1:$B$270,2,FALSE)</f>
        <v>#N/A</v>
      </c>
    </row>
    <row r="913" spans="15:61" hidden="1">
      <c r="O913" s="57"/>
      <c r="P913" s="57"/>
      <c r="AO913" s="57"/>
      <c r="AP913" s="57"/>
      <c r="BA913" s="57"/>
      <c r="BF913" s="6" t="e">
        <f t="shared" si="42"/>
        <v>#NUM!</v>
      </c>
      <c r="BG913" t="e">
        <f t="shared" si="43"/>
        <v>#NUM!</v>
      </c>
      <c r="BH913" t="e">
        <f t="shared" si="44"/>
        <v>#NUM!</v>
      </c>
      <c r="BI913" t="e">
        <f>VLOOKUP(H913,Sheet2!$A$1:$B$270,2,FALSE)</f>
        <v>#N/A</v>
      </c>
    </row>
    <row r="914" spans="15:61" hidden="1">
      <c r="O914" s="57"/>
      <c r="P914" s="57"/>
      <c r="AO914" s="57"/>
      <c r="AP914" s="57"/>
      <c r="BA914" s="57"/>
      <c r="BF914" s="6" t="e">
        <f t="shared" si="42"/>
        <v>#NUM!</v>
      </c>
      <c r="BG914" t="e">
        <f t="shared" si="43"/>
        <v>#NUM!</v>
      </c>
      <c r="BH914" t="e">
        <f t="shared" si="44"/>
        <v>#NUM!</v>
      </c>
      <c r="BI914" t="e">
        <f>VLOOKUP(H914,Sheet2!$A$1:$B$270,2,FALSE)</f>
        <v>#N/A</v>
      </c>
    </row>
    <row r="915" spans="15:61" hidden="1">
      <c r="O915" s="57"/>
      <c r="P915" s="57"/>
      <c r="AO915" s="57"/>
      <c r="AP915" s="57"/>
      <c r="BA915" s="57"/>
      <c r="BF915" s="6" t="e">
        <f t="shared" si="42"/>
        <v>#NUM!</v>
      </c>
      <c r="BG915" t="e">
        <f t="shared" si="43"/>
        <v>#NUM!</v>
      </c>
      <c r="BH915" t="e">
        <f t="shared" si="44"/>
        <v>#NUM!</v>
      </c>
      <c r="BI915" t="e">
        <f>VLOOKUP(H915,Sheet2!$A$1:$B$270,2,FALSE)</f>
        <v>#N/A</v>
      </c>
    </row>
    <row r="916" spans="15:61" hidden="1">
      <c r="O916" s="57"/>
      <c r="P916" s="57"/>
      <c r="AO916" s="57"/>
      <c r="AP916" s="57"/>
      <c r="BA916" s="57"/>
      <c r="BF916" s="6" t="e">
        <f t="shared" si="42"/>
        <v>#NUM!</v>
      </c>
      <c r="BG916" t="e">
        <f t="shared" si="43"/>
        <v>#NUM!</v>
      </c>
      <c r="BH916" t="e">
        <f t="shared" si="44"/>
        <v>#NUM!</v>
      </c>
      <c r="BI916" t="e">
        <f>VLOOKUP(H916,Sheet2!$A$1:$B$270,2,FALSE)</f>
        <v>#N/A</v>
      </c>
    </row>
    <row r="917" spans="15:61" hidden="1">
      <c r="O917" s="57"/>
      <c r="P917" s="57"/>
      <c r="AO917" s="57"/>
      <c r="AP917" s="57"/>
      <c r="BA917" s="57"/>
      <c r="BF917" s="6" t="e">
        <f t="shared" si="42"/>
        <v>#NUM!</v>
      </c>
      <c r="BG917" t="e">
        <f t="shared" si="43"/>
        <v>#NUM!</v>
      </c>
      <c r="BH917" t="e">
        <f t="shared" si="44"/>
        <v>#NUM!</v>
      </c>
      <c r="BI917" t="e">
        <f>VLOOKUP(H917,Sheet2!$A$1:$B$270,2,FALSE)</f>
        <v>#N/A</v>
      </c>
    </row>
    <row r="918" spans="15:61" hidden="1">
      <c r="O918" s="57"/>
      <c r="P918" s="57"/>
      <c r="AO918" s="57"/>
      <c r="AP918" s="57"/>
      <c r="BA918" s="57"/>
      <c r="BF918" s="6" t="e">
        <f t="shared" si="42"/>
        <v>#NUM!</v>
      </c>
      <c r="BG918" t="e">
        <f t="shared" si="43"/>
        <v>#NUM!</v>
      </c>
      <c r="BH918" t="e">
        <f t="shared" si="44"/>
        <v>#NUM!</v>
      </c>
      <c r="BI918" t="e">
        <f>VLOOKUP(H918,Sheet2!$A$1:$B$270,2,FALSE)</f>
        <v>#N/A</v>
      </c>
    </row>
    <row r="919" spans="15:61" hidden="1">
      <c r="O919" s="57"/>
      <c r="P919" s="57"/>
      <c r="AO919" s="57"/>
      <c r="AP919" s="57"/>
      <c r="BA919" s="57"/>
      <c r="BF919" s="6" t="e">
        <f t="shared" si="42"/>
        <v>#NUM!</v>
      </c>
      <c r="BG919" t="e">
        <f t="shared" si="43"/>
        <v>#NUM!</v>
      </c>
      <c r="BH919" t="e">
        <f t="shared" si="44"/>
        <v>#NUM!</v>
      </c>
      <c r="BI919" t="e">
        <f>VLOOKUP(H919,Sheet2!$A$1:$B$270,2,FALSE)</f>
        <v>#N/A</v>
      </c>
    </row>
    <row r="920" spans="15:61" hidden="1">
      <c r="O920" s="57"/>
      <c r="P920" s="57"/>
      <c r="AO920" s="57"/>
      <c r="AP920" s="57"/>
      <c r="BA920" s="57"/>
      <c r="BF920" s="6" t="e">
        <f t="shared" si="42"/>
        <v>#NUM!</v>
      </c>
      <c r="BG920" t="e">
        <f t="shared" si="43"/>
        <v>#NUM!</v>
      </c>
      <c r="BH920" t="e">
        <f t="shared" si="44"/>
        <v>#NUM!</v>
      </c>
      <c r="BI920" t="e">
        <f>VLOOKUP(H920,Sheet2!$A$1:$B$270,2,FALSE)</f>
        <v>#N/A</v>
      </c>
    </row>
    <row r="921" spans="15:61" hidden="1">
      <c r="O921" s="57"/>
      <c r="P921" s="57"/>
      <c r="AO921" s="57"/>
      <c r="AP921" s="57"/>
      <c r="BA921" s="57"/>
      <c r="BF921" s="6" t="e">
        <f t="shared" si="42"/>
        <v>#NUM!</v>
      </c>
      <c r="BG921" t="e">
        <f t="shared" si="43"/>
        <v>#NUM!</v>
      </c>
      <c r="BH921" t="e">
        <f t="shared" si="44"/>
        <v>#NUM!</v>
      </c>
      <c r="BI921" t="e">
        <f>VLOOKUP(H921,Sheet2!$A$1:$B$270,2,FALSE)</f>
        <v>#N/A</v>
      </c>
    </row>
    <row r="922" spans="15:61" hidden="1">
      <c r="O922" s="57"/>
      <c r="P922" s="57"/>
      <c r="AP922" s="57"/>
      <c r="BA922" s="57"/>
      <c r="BF922" s="6" t="e">
        <f t="shared" si="42"/>
        <v>#NUM!</v>
      </c>
      <c r="BG922" t="e">
        <f t="shared" si="43"/>
        <v>#NUM!</v>
      </c>
      <c r="BH922" t="e">
        <f t="shared" si="44"/>
        <v>#NUM!</v>
      </c>
      <c r="BI922" t="e">
        <f>VLOOKUP(H922,Sheet2!$A$1:$B$270,2,FALSE)</f>
        <v>#N/A</v>
      </c>
    </row>
    <row r="923" spans="15:61" hidden="1">
      <c r="O923" s="57"/>
      <c r="P923" s="57"/>
      <c r="AP923" s="57"/>
      <c r="BA923" s="57"/>
      <c r="BF923" s="6" t="e">
        <f t="shared" si="42"/>
        <v>#NUM!</v>
      </c>
      <c r="BG923" t="e">
        <f t="shared" si="43"/>
        <v>#NUM!</v>
      </c>
      <c r="BH923" t="e">
        <f t="shared" si="44"/>
        <v>#NUM!</v>
      </c>
      <c r="BI923" t="e">
        <f>VLOOKUP(H923,Sheet2!$A$1:$B$270,2,FALSE)</f>
        <v>#N/A</v>
      </c>
    </row>
    <row r="924" spans="15:61" hidden="1">
      <c r="O924" s="57"/>
      <c r="P924" s="57"/>
      <c r="AP924" s="57"/>
      <c r="BA924" s="57"/>
      <c r="BF924" s="6" t="e">
        <f t="shared" si="42"/>
        <v>#NUM!</v>
      </c>
      <c r="BG924" t="e">
        <f t="shared" si="43"/>
        <v>#NUM!</v>
      </c>
      <c r="BH924" t="e">
        <f t="shared" si="44"/>
        <v>#NUM!</v>
      </c>
      <c r="BI924" t="e">
        <f>VLOOKUP(H924,Sheet2!$A$1:$B$270,2,FALSE)</f>
        <v>#N/A</v>
      </c>
    </row>
    <row r="925" spans="15:61" hidden="1">
      <c r="O925" s="57"/>
      <c r="P925" s="57"/>
      <c r="AP925" s="57"/>
      <c r="BA925" s="57"/>
      <c r="BF925" s="6" t="e">
        <f t="shared" si="42"/>
        <v>#NUM!</v>
      </c>
      <c r="BG925" t="e">
        <f t="shared" si="43"/>
        <v>#NUM!</v>
      </c>
      <c r="BH925" t="e">
        <f t="shared" si="44"/>
        <v>#NUM!</v>
      </c>
      <c r="BI925" t="e">
        <f>VLOOKUP(H925,Sheet2!$A$1:$B$270,2,FALSE)</f>
        <v>#N/A</v>
      </c>
    </row>
    <row r="926" spans="15:61" hidden="1">
      <c r="O926" s="57"/>
      <c r="P926" s="57"/>
      <c r="AP926" s="57"/>
      <c r="BA926" s="57"/>
      <c r="BF926" s="6" t="e">
        <f t="shared" si="42"/>
        <v>#NUM!</v>
      </c>
      <c r="BG926" t="e">
        <f t="shared" si="43"/>
        <v>#NUM!</v>
      </c>
      <c r="BH926" t="e">
        <f t="shared" si="44"/>
        <v>#NUM!</v>
      </c>
      <c r="BI926" t="e">
        <f>VLOOKUP(H926,Sheet2!$A$1:$B$270,2,FALSE)</f>
        <v>#N/A</v>
      </c>
    </row>
    <row r="927" spans="15:61" hidden="1">
      <c r="O927" s="57"/>
      <c r="P927" s="57"/>
      <c r="AP927" s="57"/>
      <c r="BA927" s="57"/>
      <c r="BF927" s="6" t="e">
        <f t="shared" si="42"/>
        <v>#NUM!</v>
      </c>
      <c r="BG927" t="e">
        <f t="shared" si="43"/>
        <v>#NUM!</v>
      </c>
      <c r="BH927" t="e">
        <f t="shared" si="44"/>
        <v>#NUM!</v>
      </c>
      <c r="BI927" t="e">
        <f>VLOOKUP(H927,Sheet2!$A$1:$B$270,2,FALSE)</f>
        <v>#N/A</v>
      </c>
    </row>
    <row r="928" spans="15:61" hidden="1">
      <c r="O928" s="57"/>
      <c r="P928" s="57"/>
      <c r="AP928" s="57"/>
      <c r="BA928" s="57"/>
      <c r="BF928" s="6" t="e">
        <f t="shared" si="42"/>
        <v>#NUM!</v>
      </c>
      <c r="BG928" t="e">
        <f t="shared" si="43"/>
        <v>#NUM!</v>
      </c>
      <c r="BH928" t="e">
        <f t="shared" si="44"/>
        <v>#NUM!</v>
      </c>
      <c r="BI928" t="e">
        <f>VLOOKUP(H928,Sheet2!$A$1:$B$270,2,FALSE)</f>
        <v>#N/A</v>
      </c>
    </row>
    <row r="929" spans="15:61" hidden="1">
      <c r="O929" s="57"/>
      <c r="P929" s="57"/>
      <c r="AP929" s="57"/>
      <c r="BA929" s="57"/>
      <c r="BF929" s="6" t="e">
        <f t="shared" si="42"/>
        <v>#NUM!</v>
      </c>
      <c r="BG929" t="e">
        <f t="shared" si="43"/>
        <v>#NUM!</v>
      </c>
      <c r="BH929" t="e">
        <f t="shared" si="44"/>
        <v>#NUM!</v>
      </c>
      <c r="BI929" t="e">
        <f>VLOOKUP(H929,Sheet2!$A$1:$B$270,2,FALSE)</f>
        <v>#N/A</v>
      </c>
    </row>
    <row r="930" spans="15:61" hidden="1">
      <c r="O930" s="57"/>
      <c r="P930" s="57"/>
      <c r="AP930" s="57"/>
      <c r="BA930" s="57"/>
      <c r="BF930" s="6" t="e">
        <f t="shared" si="42"/>
        <v>#NUM!</v>
      </c>
      <c r="BG930" t="e">
        <f t="shared" si="43"/>
        <v>#NUM!</v>
      </c>
      <c r="BH930" t="e">
        <f t="shared" si="44"/>
        <v>#NUM!</v>
      </c>
      <c r="BI930" t="e">
        <f>VLOOKUP(H930,Sheet2!$A$1:$B$270,2,FALSE)</f>
        <v>#N/A</v>
      </c>
    </row>
    <row r="931" spans="15:61" hidden="1">
      <c r="O931" s="57"/>
      <c r="P931" s="57"/>
      <c r="AP931" s="57"/>
      <c r="BA931" s="57"/>
      <c r="BF931" s="6" t="e">
        <f t="shared" si="42"/>
        <v>#NUM!</v>
      </c>
      <c r="BG931" t="e">
        <f t="shared" si="43"/>
        <v>#NUM!</v>
      </c>
      <c r="BH931" t="e">
        <f t="shared" si="44"/>
        <v>#NUM!</v>
      </c>
      <c r="BI931" t="e">
        <f>VLOOKUP(H931,Sheet2!$A$1:$B$270,2,FALSE)</f>
        <v>#N/A</v>
      </c>
    </row>
    <row r="932" spans="15:61" hidden="1">
      <c r="O932" s="57"/>
      <c r="P932" s="57"/>
      <c r="AP932" s="57"/>
      <c r="BA932" s="57"/>
      <c r="BF932" s="6" t="e">
        <f t="shared" si="42"/>
        <v>#NUM!</v>
      </c>
      <c r="BG932" t="e">
        <f t="shared" si="43"/>
        <v>#NUM!</v>
      </c>
      <c r="BH932" t="e">
        <f t="shared" si="44"/>
        <v>#NUM!</v>
      </c>
      <c r="BI932" t="e">
        <f>VLOOKUP(H932,Sheet2!$A$1:$B$270,2,FALSE)</f>
        <v>#N/A</v>
      </c>
    </row>
    <row r="933" spans="15:61" hidden="1">
      <c r="O933" s="57"/>
      <c r="P933" s="57"/>
      <c r="AP933" s="57"/>
      <c r="BA933" s="57"/>
      <c r="BF933" s="6" t="e">
        <f t="shared" si="42"/>
        <v>#NUM!</v>
      </c>
      <c r="BG933" t="e">
        <f t="shared" si="43"/>
        <v>#NUM!</v>
      </c>
      <c r="BH933" t="e">
        <f t="shared" si="44"/>
        <v>#NUM!</v>
      </c>
      <c r="BI933" t="e">
        <f>VLOOKUP(H933,Sheet2!$A$1:$B$270,2,FALSE)</f>
        <v>#N/A</v>
      </c>
    </row>
    <row r="934" spans="15:61" hidden="1">
      <c r="O934" s="57"/>
      <c r="P934" s="57"/>
      <c r="AM934" s="58"/>
      <c r="BA934" s="57"/>
      <c r="BB934" s="58"/>
      <c r="BF934" s="6" t="e">
        <f t="shared" si="42"/>
        <v>#NUM!</v>
      </c>
      <c r="BG934" t="e">
        <f t="shared" si="43"/>
        <v>#NUM!</v>
      </c>
      <c r="BH934" t="e">
        <f t="shared" si="44"/>
        <v>#NUM!</v>
      </c>
      <c r="BI934" t="e">
        <f>VLOOKUP(H934,Sheet2!$A$1:$B$270,2,FALSE)</f>
        <v>#N/A</v>
      </c>
    </row>
    <row r="935" spans="15:61" hidden="1">
      <c r="O935" s="57"/>
      <c r="P935" s="57"/>
      <c r="AO935" s="57"/>
      <c r="AP935" s="57"/>
      <c r="BA935" s="57"/>
      <c r="BF935" s="6" t="e">
        <f t="shared" si="42"/>
        <v>#NUM!</v>
      </c>
      <c r="BG935" t="e">
        <f t="shared" si="43"/>
        <v>#NUM!</v>
      </c>
      <c r="BH935" t="e">
        <f t="shared" si="44"/>
        <v>#NUM!</v>
      </c>
      <c r="BI935" t="e">
        <f>VLOOKUP(H935,Sheet2!$A$1:$B$270,2,FALSE)</f>
        <v>#N/A</v>
      </c>
    </row>
    <row r="936" spans="15:61" hidden="1">
      <c r="O936" s="57"/>
      <c r="P936" s="57"/>
      <c r="AO936" s="57"/>
      <c r="AP936" s="57"/>
      <c r="BA936" s="57"/>
      <c r="BF936" s="6" t="e">
        <f t="shared" si="42"/>
        <v>#NUM!</v>
      </c>
      <c r="BG936" t="e">
        <f t="shared" si="43"/>
        <v>#NUM!</v>
      </c>
      <c r="BH936" t="e">
        <f t="shared" si="44"/>
        <v>#NUM!</v>
      </c>
      <c r="BI936" t="e">
        <f>VLOOKUP(H936,Sheet2!$A$1:$B$270,2,FALSE)</f>
        <v>#N/A</v>
      </c>
    </row>
    <row r="937" spans="15:61" hidden="1">
      <c r="O937" s="57"/>
      <c r="P937" s="57"/>
      <c r="AO937" s="57"/>
      <c r="AP937" s="57"/>
      <c r="BA937" s="57"/>
      <c r="BF937" s="6" t="e">
        <f t="shared" si="42"/>
        <v>#NUM!</v>
      </c>
      <c r="BG937" t="e">
        <f t="shared" si="43"/>
        <v>#NUM!</v>
      </c>
      <c r="BH937" t="e">
        <f t="shared" si="44"/>
        <v>#NUM!</v>
      </c>
      <c r="BI937" t="e">
        <f>VLOOKUP(H937,Sheet2!$A$1:$B$270,2,FALSE)</f>
        <v>#N/A</v>
      </c>
    </row>
    <row r="938" spans="15:61" hidden="1">
      <c r="O938" s="57"/>
      <c r="P938" s="57"/>
      <c r="AO938" s="57"/>
      <c r="BA938" s="57"/>
      <c r="BF938" s="6" t="e">
        <f t="shared" si="42"/>
        <v>#NUM!</v>
      </c>
      <c r="BG938" t="e">
        <f t="shared" si="43"/>
        <v>#NUM!</v>
      </c>
      <c r="BH938" t="e">
        <f t="shared" si="44"/>
        <v>#NUM!</v>
      </c>
      <c r="BI938" t="e">
        <f>VLOOKUP(H938,Sheet2!$A$1:$B$270,2,FALSE)</f>
        <v>#N/A</v>
      </c>
    </row>
    <row r="939" spans="15:61" hidden="1">
      <c r="O939" s="57"/>
      <c r="P939" s="57"/>
      <c r="AO939" s="57"/>
      <c r="AP939" s="57"/>
      <c r="BA939" s="57"/>
      <c r="BF939" s="6" t="e">
        <f t="shared" si="42"/>
        <v>#NUM!</v>
      </c>
      <c r="BG939" t="e">
        <f t="shared" si="43"/>
        <v>#NUM!</v>
      </c>
      <c r="BH939" t="e">
        <f t="shared" si="44"/>
        <v>#NUM!</v>
      </c>
      <c r="BI939" t="e">
        <f>VLOOKUP(H939,Sheet2!$A$1:$B$270,2,FALSE)</f>
        <v>#N/A</v>
      </c>
    </row>
    <row r="940" spans="15:61" hidden="1">
      <c r="O940" s="57"/>
      <c r="P940" s="57"/>
      <c r="AO940" s="57"/>
      <c r="AP940" s="57"/>
      <c r="BA940" s="57"/>
      <c r="BF940" s="6" t="e">
        <f t="shared" si="42"/>
        <v>#NUM!</v>
      </c>
      <c r="BG940" t="e">
        <f t="shared" si="43"/>
        <v>#NUM!</v>
      </c>
      <c r="BH940" t="e">
        <f t="shared" si="44"/>
        <v>#NUM!</v>
      </c>
      <c r="BI940" t="e">
        <f>VLOOKUP(H940,Sheet2!$A$1:$B$270,2,FALSE)</f>
        <v>#N/A</v>
      </c>
    </row>
    <row r="941" spans="15:61" hidden="1">
      <c r="O941" s="57"/>
      <c r="P941" s="57"/>
      <c r="AO941" s="57"/>
      <c r="AP941" s="57"/>
      <c r="BA941" s="57"/>
      <c r="BF941" s="6" t="e">
        <f t="shared" si="42"/>
        <v>#NUM!</v>
      </c>
      <c r="BG941" t="e">
        <f t="shared" si="43"/>
        <v>#NUM!</v>
      </c>
      <c r="BH941" t="e">
        <f t="shared" si="44"/>
        <v>#NUM!</v>
      </c>
      <c r="BI941" t="e">
        <f>VLOOKUP(H941,Sheet2!$A$1:$B$270,2,FALSE)</f>
        <v>#N/A</v>
      </c>
    </row>
    <row r="942" spans="15:61" hidden="1">
      <c r="O942" s="57"/>
      <c r="P942" s="57"/>
      <c r="AO942" s="57"/>
      <c r="AP942" s="57"/>
      <c r="BA942" s="57"/>
      <c r="BF942" s="6" t="e">
        <f t="shared" si="42"/>
        <v>#NUM!</v>
      </c>
      <c r="BG942" t="e">
        <f t="shared" si="43"/>
        <v>#NUM!</v>
      </c>
      <c r="BH942" t="e">
        <f t="shared" si="44"/>
        <v>#NUM!</v>
      </c>
      <c r="BI942" t="e">
        <f>VLOOKUP(H942,Sheet2!$A$1:$B$270,2,FALSE)</f>
        <v>#N/A</v>
      </c>
    </row>
    <row r="943" spans="15:61" hidden="1">
      <c r="O943" s="57"/>
      <c r="P943" s="57"/>
      <c r="AO943" s="57"/>
      <c r="AP943" s="57"/>
      <c r="BA943" s="57"/>
      <c r="BF943" s="6" t="e">
        <f t="shared" si="42"/>
        <v>#NUM!</v>
      </c>
      <c r="BG943" t="e">
        <f t="shared" si="43"/>
        <v>#NUM!</v>
      </c>
      <c r="BH943" t="e">
        <f t="shared" si="44"/>
        <v>#NUM!</v>
      </c>
      <c r="BI943" t="e">
        <f>VLOOKUP(H943,Sheet2!$A$1:$B$270,2,FALSE)</f>
        <v>#N/A</v>
      </c>
    </row>
    <row r="944" spans="15:61" hidden="1">
      <c r="O944" s="57"/>
      <c r="P944" s="57"/>
      <c r="AO944" s="57"/>
      <c r="BA944" s="57"/>
      <c r="BF944" s="6" t="e">
        <f t="shared" si="42"/>
        <v>#NUM!</v>
      </c>
      <c r="BG944" t="e">
        <f t="shared" si="43"/>
        <v>#NUM!</v>
      </c>
      <c r="BH944" t="e">
        <f t="shared" si="44"/>
        <v>#NUM!</v>
      </c>
      <c r="BI944" t="e">
        <f>VLOOKUP(H944,Sheet2!$A$1:$B$270,2,FALSE)</f>
        <v>#N/A</v>
      </c>
    </row>
    <row r="945" spans="15:61" hidden="1">
      <c r="O945" s="57"/>
      <c r="P945" s="57"/>
      <c r="AO945" s="57"/>
      <c r="BA945" s="57"/>
      <c r="BF945" s="6" t="e">
        <f t="shared" si="42"/>
        <v>#NUM!</v>
      </c>
      <c r="BG945" t="e">
        <f t="shared" si="43"/>
        <v>#NUM!</v>
      </c>
      <c r="BH945" t="e">
        <f t="shared" si="44"/>
        <v>#NUM!</v>
      </c>
      <c r="BI945" t="e">
        <f>VLOOKUP(H945,Sheet2!$A$1:$B$270,2,FALSE)</f>
        <v>#N/A</v>
      </c>
    </row>
    <row r="946" spans="15:61" hidden="1">
      <c r="O946" s="57"/>
      <c r="P946" s="57"/>
      <c r="AP946" s="57"/>
      <c r="BA946" s="57"/>
      <c r="BF946" s="6" t="e">
        <f t="shared" si="42"/>
        <v>#NUM!</v>
      </c>
      <c r="BG946" t="e">
        <f t="shared" si="43"/>
        <v>#NUM!</v>
      </c>
      <c r="BH946" t="e">
        <f t="shared" si="44"/>
        <v>#NUM!</v>
      </c>
      <c r="BI946" t="e">
        <f>VLOOKUP(H946,Sheet2!$A$1:$B$270,2,FALSE)</f>
        <v>#N/A</v>
      </c>
    </row>
    <row r="947" spans="15:61" hidden="1">
      <c r="O947" s="57"/>
      <c r="P947" s="57"/>
      <c r="AP947" s="57"/>
      <c r="BA947" s="57"/>
      <c r="BF947" s="6" t="e">
        <f t="shared" si="42"/>
        <v>#NUM!</v>
      </c>
      <c r="BG947" t="e">
        <f t="shared" si="43"/>
        <v>#NUM!</v>
      </c>
      <c r="BH947" t="e">
        <f t="shared" si="44"/>
        <v>#NUM!</v>
      </c>
      <c r="BI947" t="e">
        <f>VLOOKUP(H947,Sheet2!$A$1:$B$270,2,FALSE)</f>
        <v>#N/A</v>
      </c>
    </row>
    <row r="948" spans="15:61" hidden="1">
      <c r="O948" s="57"/>
      <c r="P948" s="57"/>
      <c r="AO948" s="57"/>
      <c r="BA948" s="57"/>
      <c r="BF948" s="6" t="e">
        <f t="shared" si="42"/>
        <v>#NUM!</v>
      </c>
      <c r="BG948" t="e">
        <f t="shared" si="43"/>
        <v>#NUM!</v>
      </c>
      <c r="BH948" t="e">
        <f t="shared" si="44"/>
        <v>#NUM!</v>
      </c>
      <c r="BI948" t="e">
        <f>VLOOKUP(H948,Sheet2!$A$1:$B$270,2,FALSE)</f>
        <v>#N/A</v>
      </c>
    </row>
    <row r="949" spans="15:61" hidden="1">
      <c r="O949" s="57"/>
      <c r="P949" s="57"/>
      <c r="AO949" s="57"/>
      <c r="BA949" s="57"/>
      <c r="BF949" s="6" t="e">
        <f t="shared" si="42"/>
        <v>#NUM!</v>
      </c>
      <c r="BG949" t="e">
        <f t="shared" si="43"/>
        <v>#NUM!</v>
      </c>
      <c r="BH949" t="e">
        <f t="shared" si="44"/>
        <v>#NUM!</v>
      </c>
      <c r="BI949" t="e">
        <f>VLOOKUP(H949,Sheet2!$A$1:$B$270,2,FALSE)</f>
        <v>#N/A</v>
      </c>
    </row>
    <row r="950" spans="15:61" hidden="1">
      <c r="O950" s="57"/>
      <c r="P950" s="57"/>
      <c r="AO950" s="57"/>
      <c r="AP950" s="57"/>
      <c r="BA950" s="57"/>
      <c r="BF950" s="6" t="e">
        <f t="shared" si="42"/>
        <v>#NUM!</v>
      </c>
      <c r="BG950" t="e">
        <f t="shared" si="43"/>
        <v>#NUM!</v>
      </c>
      <c r="BH950" t="e">
        <f t="shared" si="44"/>
        <v>#NUM!</v>
      </c>
      <c r="BI950" t="e">
        <f>VLOOKUP(H950,Sheet2!$A$1:$B$270,2,FALSE)</f>
        <v>#N/A</v>
      </c>
    </row>
    <row r="951" spans="15:61" hidden="1">
      <c r="O951" s="57"/>
      <c r="P951" s="57"/>
      <c r="BA951" s="57"/>
      <c r="BF951" s="6" t="e">
        <f t="shared" si="42"/>
        <v>#NUM!</v>
      </c>
      <c r="BG951" t="e">
        <f t="shared" si="43"/>
        <v>#NUM!</v>
      </c>
      <c r="BH951" t="e">
        <f t="shared" si="44"/>
        <v>#NUM!</v>
      </c>
      <c r="BI951" t="e">
        <f>VLOOKUP(H951,Sheet2!$A$1:$B$270,2,FALSE)</f>
        <v>#N/A</v>
      </c>
    </row>
    <row r="952" spans="15:61" hidden="1">
      <c r="O952" s="57"/>
      <c r="P952" s="57"/>
      <c r="AP952" s="57"/>
      <c r="BA952" s="57"/>
      <c r="BF952" s="6" t="e">
        <f t="shared" si="42"/>
        <v>#NUM!</v>
      </c>
      <c r="BG952" t="e">
        <f t="shared" si="43"/>
        <v>#NUM!</v>
      </c>
      <c r="BH952" t="e">
        <f t="shared" si="44"/>
        <v>#NUM!</v>
      </c>
      <c r="BI952" t="e">
        <f>VLOOKUP(H952,Sheet2!$A$1:$B$270,2,FALSE)</f>
        <v>#N/A</v>
      </c>
    </row>
    <row r="953" spans="15:61" hidden="1">
      <c r="O953" s="57"/>
      <c r="P953" s="57"/>
      <c r="AP953" s="57"/>
      <c r="BA953" s="57"/>
      <c r="BF953" s="6" t="e">
        <f t="shared" si="42"/>
        <v>#NUM!</v>
      </c>
      <c r="BG953" t="e">
        <f t="shared" si="43"/>
        <v>#NUM!</v>
      </c>
      <c r="BH953" t="e">
        <f t="shared" si="44"/>
        <v>#NUM!</v>
      </c>
      <c r="BI953" t="e">
        <f>VLOOKUP(H953,Sheet2!$A$1:$B$270,2,FALSE)</f>
        <v>#N/A</v>
      </c>
    </row>
    <row r="954" spans="15:61" hidden="1">
      <c r="O954" s="57"/>
      <c r="P954" s="57"/>
      <c r="AO954" s="57"/>
      <c r="AP954" s="57"/>
      <c r="BA954" s="57"/>
      <c r="BF954" s="6" t="e">
        <f t="shared" si="42"/>
        <v>#NUM!</v>
      </c>
      <c r="BG954" t="e">
        <f t="shared" si="43"/>
        <v>#NUM!</v>
      </c>
      <c r="BH954" t="e">
        <f t="shared" si="44"/>
        <v>#NUM!</v>
      </c>
      <c r="BI954" t="e">
        <f>VLOOKUP(H954,Sheet2!$A$1:$B$270,2,FALSE)</f>
        <v>#N/A</v>
      </c>
    </row>
    <row r="955" spans="15:61" hidden="1">
      <c r="O955" s="57"/>
      <c r="P955" s="57"/>
      <c r="AO955" s="57"/>
      <c r="AP955" s="57"/>
      <c r="BA955" s="57"/>
      <c r="BF955" s="6" t="e">
        <f t="shared" si="42"/>
        <v>#NUM!</v>
      </c>
      <c r="BG955" t="e">
        <f t="shared" si="43"/>
        <v>#NUM!</v>
      </c>
      <c r="BH955" t="e">
        <f t="shared" si="44"/>
        <v>#NUM!</v>
      </c>
      <c r="BI955" t="e">
        <f>VLOOKUP(H955,Sheet2!$A$1:$B$270,2,FALSE)</f>
        <v>#N/A</v>
      </c>
    </row>
    <row r="956" spans="15:61" hidden="1">
      <c r="O956" s="57"/>
      <c r="P956" s="57"/>
      <c r="AP956" s="57"/>
      <c r="BA956" s="57"/>
      <c r="BF956" s="6" t="e">
        <f t="shared" si="42"/>
        <v>#NUM!</v>
      </c>
      <c r="BG956" t="e">
        <f t="shared" si="43"/>
        <v>#NUM!</v>
      </c>
      <c r="BH956" t="e">
        <f t="shared" si="44"/>
        <v>#NUM!</v>
      </c>
      <c r="BI956" t="e">
        <f>VLOOKUP(H956,Sheet2!$A$1:$B$270,2,FALSE)</f>
        <v>#N/A</v>
      </c>
    </row>
    <row r="957" spans="15:61" hidden="1">
      <c r="O957" s="57"/>
      <c r="P957" s="57"/>
      <c r="AP957" s="57"/>
      <c r="BA957" s="57"/>
      <c r="BF957" s="6" t="e">
        <f t="shared" si="42"/>
        <v>#NUM!</v>
      </c>
      <c r="BG957" t="e">
        <f t="shared" si="43"/>
        <v>#NUM!</v>
      </c>
      <c r="BH957" t="e">
        <f t="shared" si="44"/>
        <v>#NUM!</v>
      </c>
      <c r="BI957" t="e">
        <f>VLOOKUP(H957,Sheet2!$A$1:$B$270,2,FALSE)</f>
        <v>#N/A</v>
      </c>
    </row>
    <row r="958" spans="15:61" hidden="1">
      <c r="O958" s="57"/>
      <c r="P958" s="57"/>
      <c r="AO958" s="57"/>
      <c r="AP958" s="57"/>
      <c r="BA958" s="57"/>
      <c r="BF958" s="6" t="e">
        <f t="shared" si="42"/>
        <v>#NUM!</v>
      </c>
      <c r="BG958" t="e">
        <f t="shared" si="43"/>
        <v>#NUM!</v>
      </c>
      <c r="BH958" t="e">
        <f t="shared" si="44"/>
        <v>#NUM!</v>
      </c>
      <c r="BI958" t="e">
        <f>VLOOKUP(H958,Sheet2!$A$1:$B$270,2,FALSE)</f>
        <v>#N/A</v>
      </c>
    </row>
    <row r="959" spans="15:61" hidden="1">
      <c r="O959" s="57"/>
      <c r="P959" s="57"/>
      <c r="AP959" s="57"/>
      <c r="BA959" s="57"/>
      <c r="BF959" s="6" t="e">
        <f t="shared" si="42"/>
        <v>#NUM!</v>
      </c>
      <c r="BG959" t="e">
        <f t="shared" si="43"/>
        <v>#NUM!</v>
      </c>
      <c r="BH959" t="e">
        <f t="shared" si="44"/>
        <v>#NUM!</v>
      </c>
      <c r="BI959" t="e">
        <f>VLOOKUP(H959,Sheet2!$A$1:$B$270,2,FALSE)</f>
        <v>#N/A</v>
      </c>
    </row>
    <row r="960" spans="15:61" hidden="1">
      <c r="O960" s="57"/>
      <c r="P960" s="57"/>
      <c r="AO960" s="57"/>
      <c r="AP960" s="57"/>
      <c r="BA960" s="57"/>
      <c r="BF960" s="6" t="e">
        <f t="shared" si="42"/>
        <v>#NUM!</v>
      </c>
      <c r="BG960" t="e">
        <f t="shared" si="43"/>
        <v>#NUM!</v>
      </c>
      <c r="BH960" t="e">
        <f t="shared" si="44"/>
        <v>#NUM!</v>
      </c>
      <c r="BI960" t="e">
        <f>VLOOKUP(H960,Sheet2!$A$1:$B$270,2,FALSE)</f>
        <v>#N/A</v>
      </c>
    </row>
    <row r="961" spans="15:61" hidden="1">
      <c r="O961" s="57"/>
      <c r="P961" s="57"/>
      <c r="AO961" s="57"/>
      <c r="BA961" s="57"/>
      <c r="BF961" s="6" t="e">
        <f t="shared" si="42"/>
        <v>#NUM!</v>
      </c>
      <c r="BG961" t="e">
        <f t="shared" si="43"/>
        <v>#NUM!</v>
      </c>
      <c r="BH961" t="e">
        <f t="shared" si="44"/>
        <v>#NUM!</v>
      </c>
      <c r="BI961" t="e">
        <f>VLOOKUP(H961,Sheet2!$A$1:$B$270,2,FALSE)</f>
        <v>#N/A</v>
      </c>
    </row>
    <row r="962" spans="15:61" hidden="1">
      <c r="O962" s="57"/>
      <c r="P962" s="57"/>
      <c r="AO962" s="57"/>
      <c r="AP962" s="57"/>
      <c r="BA962" s="57"/>
      <c r="BF962" s="6" t="e">
        <f t="shared" ref="BF962:BF1025" si="45">DATE(BC962,BD962,BE962)</f>
        <v>#NUM!</v>
      </c>
      <c r="BG962" t="e">
        <f t="shared" ref="BG962:BG1025" si="46">BF962-BA962</f>
        <v>#NUM!</v>
      </c>
      <c r="BH962" t="e">
        <f t="shared" ref="BH962:BH1025" si="47">IF(BG962=1,"COMPLY",IF(BG962&lt;1,"COMPLY","NOT COMPLY"))</f>
        <v>#NUM!</v>
      </c>
      <c r="BI962" t="e">
        <f>VLOOKUP(H962,Sheet2!$A$1:$B$270,2,FALSE)</f>
        <v>#N/A</v>
      </c>
    </row>
    <row r="963" spans="15:61" hidden="1">
      <c r="O963" s="57"/>
      <c r="P963" s="57"/>
      <c r="AP963" s="57"/>
      <c r="BA963" s="57"/>
      <c r="BF963" s="6" t="e">
        <f t="shared" si="45"/>
        <v>#NUM!</v>
      </c>
      <c r="BG963" t="e">
        <f t="shared" si="46"/>
        <v>#NUM!</v>
      </c>
      <c r="BH963" t="e">
        <f t="shared" si="47"/>
        <v>#NUM!</v>
      </c>
      <c r="BI963" t="e">
        <f>VLOOKUP(H963,Sheet2!$A$1:$B$270,2,FALSE)</f>
        <v>#N/A</v>
      </c>
    </row>
    <row r="964" spans="15:61" hidden="1">
      <c r="O964" s="57"/>
      <c r="P964" s="57"/>
      <c r="AP964" s="57"/>
      <c r="BA964" s="57"/>
      <c r="BF964" s="6" t="e">
        <f t="shared" si="45"/>
        <v>#NUM!</v>
      </c>
      <c r="BG964" t="e">
        <f t="shared" si="46"/>
        <v>#NUM!</v>
      </c>
      <c r="BH964" t="e">
        <f t="shared" si="47"/>
        <v>#NUM!</v>
      </c>
      <c r="BI964" t="e">
        <f>VLOOKUP(H964,Sheet2!$A$1:$B$270,2,FALSE)</f>
        <v>#N/A</v>
      </c>
    </row>
    <row r="965" spans="15:61" hidden="1">
      <c r="O965" s="57"/>
      <c r="P965" s="57"/>
      <c r="AP965" s="57"/>
      <c r="BA965" s="57"/>
      <c r="BF965" s="6" t="e">
        <f t="shared" si="45"/>
        <v>#NUM!</v>
      </c>
      <c r="BG965" t="e">
        <f t="shared" si="46"/>
        <v>#NUM!</v>
      </c>
      <c r="BH965" t="e">
        <f t="shared" si="47"/>
        <v>#NUM!</v>
      </c>
      <c r="BI965" t="e">
        <f>VLOOKUP(H965,Sheet2!$A$1:$B$270,2,FALSE)</f>
        <v>#N/A</v>
      </c>
    </row>
    <row r="966" spans="15:61" hidden="1">
      <c r="O966" s="57"/>
      <c r="P966" s="57"/>
      <c r="AP966" s="57"/>
      <c r="BA966" s="57"/>
      <c r="BF966" s="6" t="e">
        <f t="shared" si="45"/>
        <v>#NUM!</v>
      </c>
      <c r="BG966" t="e">
        <f t="shared" si="46"/>
        <v>#NUM!</v>
      </c>
      <c r="BH966" t="e">
        <f t="shared" si="47"/>
        <v>#NUM!</v>
      </c>
      <c r="BI966" t="e">
        <f>VLOOKUP(H966,Sheet2!$A$1:$B$270,2,FALSE)</f>
        <v>#N/A</v>
      </c>
    </row>
    <row r="967" spans="15:61" hidden="1">
      <c r="O967" s="57"/>
      <c r="P967" s="57"/>
      <c r="AP967" s="57"/>
      <c r="BA967" s="57"/>
      <c r="BF967" s="6" t="e">
        <f t="shared" si="45"/>
        <v>#NUM!</v>
      </c>
      <c r="BG967" t="e">
        <f t="shared" si="46"/>
        <v>#NUM!</v>
      </c>
      <c r="BH967" t="e">
        <f t="shared" si="47"/>
        <v>#NUM!</v>
      </c>
      <c r="BI967" t="e">
        <f>VLOOKUP(H967,Sheet2!$A$1:$B$270,2,FALSE)</f>
        <v>#N/A</v>
      </c>
    </row>
    <row r="968" spans="15:61" hidden="1">
      <c r="O968" s="57"/>
      <c r="P968" s="57"/>
      <c r="AP968" s="57"/>
      <c r="BA968" s="57"/>
      <c r="BF968" s="6" t="e">
        <f t="shared" si="45"/>
        <v>#NUM!</v>
      </c>
      <c r="BG968" t="e">
        <f t="shared" si="46"/>
        <v>#NUM!</v>
      </c>
      <c r="BH968" t="e">
        <f t="shared" si="47"/>
        <v>#NUM!</v>
      </c>
      <c r="BI968" t="e">
        <f>VLOOKUP(H968,Sheet2!$A$1:$B$270,2,FALSE)</f>
        <v>#N/A</v>
      </c>
    </row>
    <row r="969" spans="15:61" hidden="1">
      <c r="O969" s="57"/>
      <c r="P969" s="57"/>
      <c r="AP969" s="57"/>
      <c r="BA969" s="57"/>
      <c r="BF969" s="6" t="e">
        <f t="shared" si="45"/>
        <v>#NUM!</v>
      </c>
      <c r="BG969" t="e">
        <f t="shared" si="46"/>
        <v>#NUM!</v>
      </c>
      <c r="BH969" t="e">
        <f t="shared" si="47"/>
        <v>#NUM!</v>
      </c>
      <c r="BI969" t="e">
        <f>VLOOKUP(H969,Sheet2!$A$1:$B$270,2,FALSE)</f>
        <v>#N/A</v>
      </c>
    </row>
    <row r="970" spans="15:61" hidden="1">
      <c r="O970" s="57"/>
      <c r="P970" s="57"/>
      <c r="AP970" s="57"/>
      <c r="BA970" s="57"/>
      <c r="BF970" s="6" t="e">
        <f t="shared" si="45"/>
        <v>#NUM!</v>
      </c>
      <c r="BG970" t="e">
        <f t="shared" si="46"/>
        <v>#NUM!</v>
      </c>
      <c r="BH970" t="e">
        <f t="shared" si="47"/>
        <v>#NUM!</v>
      </c>
      <c r="BI970" t="e">
        <f>VLOOKUP(H970,Sheet2!$A$1:$B$270,2,FALSE)</f>
        <v>#N/A</v>
      </c>
    </row>
    <row r="971" spans="15:61" hidden="1">
      <c r="O971" s="57"/>
      <c r="P971" s="57"/>
      <c r="AP971" s="57"/>
      <c r="BA971" s="57"/>
      <c r="BF971" s="6" t="e">
        <f t="shared" si="45"/>
        <v>#NUM!</v>
      </c>
      <c r="BG971" t="e">
        <f t="shared" si="46"/>
        <v>#NUM!</v>
      </c>
      <c r="BH971" t="e">
        <f t="shared" si="47"/>
        <v>#NUM!</v>
      </c>
      <c r="BI971" t="e">
        <f>VLOOKUP(H971,Sheet2!$A$1:$B$270,2,FALSE)</f>
        <v>#N/A</v>
      </c>
    </row>
    <row r="972" spans="15:61" hidden="1">
      <c r="O972" s="57"/>
      <c r="P972" s="57"/>
      <c r="AP972" s="57"/>
      <c r="BA972" s="57"/>
      <c r="BF972" s="6" t="e">
        <f t="shared" si="45"/>
        <v>#NUM!</v>
      </c>
      <c r="BG972" t="e">
        <f t="shared" si="46"/>
        <v>#NUM!</v>
      </c>
      <c r="BH972" t="e">
        <f t="shared" si="47"/>
        <v>#NUM!</v>
      </c>
      <c r="BI972" t="e">
        <f>VLOOKUP(H972,Sheet2!$A$1:$B$270,2,FALSE)</f>
        <v>#N/A</v>
      </c>
    </row>
    <row r="973" spans="15:61" hidden="1">
      <c r="O973" s="57"/>
      <c r="P973" s="57"/>
      <c r="AP973" s="57"/>
      <c r="BA973" s="57"/>
      <c r="BF973" s="6" t="e">
        <f t="shared" si="45"/>
        <v>#NUM!</v>
      </c>
      <c r="BG973" t="e">
        <f t="shared" si="46"/>
        <v>#NUM!</v>
      </c>
      <c r="BH973" t="e">
        <f t="shared" si="47"/>
        <v>#NUM!</v>
      </c>
      <c r="BI973" t="e">
        <f>VLOOKUP(H973,Sheet2!$A$1:$B$270,2,FALSE)</f>
        <v>#N/A</v>
      </c>
    </row>
    <row r="974" spans="15:61" hidden="1">
      <c r="O974" s="57"/>
      <c r="P974" s="57"/>
      <c r="AP974" s="57"/>
      <c r="BA974" s="57"/>
      <c r="BF974" s="6" t="e">
        <f t="shared" si="45"/>
        <v>#NUM!</v>
      </c>
      <c r="BG974" t="e">
        <f t="shared" si="46"/>
        <v>#NUM!</v>
      </c>
      <c r="BH974" t="e">
        <f t="shared" si="47"/>
        <v>#NUM!</v>
      </c>
      <c r="BI974" t="e">
        <f>VLOOKUP(H974,Sheet2!$A$1:$B$270,2,FALSE)</f>
        <v>#N/A</v>
      </c>
    </row>
    <row r="975" spans="15:61" hidden="1">
      <c r="O975" s="57"/>
      <c r="P975" s="57"/>
      <c r="AO975" s="57"/>
      <c r="AP975" s="57"/>
      <c r="BA975" s="57"/>
      <c r="BF975" s="6" t="e">
        <f t="shared" si="45"/>
        <v>#NUM!</v>
      </c>
      <c r="BG975" t="e">
        <f t="shared" si="46"/>
        <v>#NUM!</v>
      </c>
      <c r="BH975" t="e">
        <f t="shared" si="47"/>
        <v>#NUM!</v>
      </c>
      <c r="BI975" t="e">
        <f>VLOOKUP(H975,Sheet2!$A$1:$B$270,2,FALSE)</f>
        <v>#N/A</v>
      </c>
    </row>
    <row r="976" spans="15:61" hidden="1">
      <c r="O976" s="57"/>
      <c r="P976" s="57"/>
      <c r="AO976" s="57"/>
      <c r="AP976" s="57"/>
      <c r="BA976" s="57"/>
      <c r="BF976" s="6" t="e">
        <f t="shared" si="45"/>
        <v>#NUM!</v>
      </c>
      <c r="BG976" t="e">
        <f t="shared" si="46"/>
        <v>#NUM!</v>
      </c>
      <c r="BH976" t="e">
        <f t="shared" si="47"/>
        <v>#NUM!</v>
      </c>
      <c r="BI976" t="e">
        <f>VLOOKUP(H976,Sheet2!$A$1:$B$270,2,FALSE)</f>
        <v>#N/A</v>
      </c>
    </row>
    <row r="977" spans="15:61" hidden="1">
      <c r="O977" s="57"/>
      <c r="P977" s="57"/>
      <c r="BA977" s="57"/>
      <c r="BF977" s="6" t="e">
        <f t="shared" si="45"/>
        <v>#NUM!</v>
      </c>
      <c r="BG977" t="e">
        <f t="shared" si="46"/>
        <v>#NUM!</v>
      </c>
      <c r="BH977" t="e">
        <f t="shared" si="47"/>
        <v>#NUM!</v>
      </c>
      <c r="BI977" t="e">
        <f>VLOOKUP(H977,Sheet2!$A$1:$B$270,2,FALSE)</f>
        <v>#N/A</v>
      </c>
    </row>
    <row r="978" spans="15:61" hidden="1">
      <c r="O978" s="57"/>
      <c r="P978" s="57"/>
      <c r="AP978" s="57"/>
      <c r="BA978" s="57"/>
      <c r="BF978" s="6" t="e">
        <f t="shared" si="45"/>
        <v>#NUM!</v>
      </c>
      <c r="BG978" t="e">
        <f t="shared" si="46"/>
        <v>#NUM!</v>
      </c>
      <c r="BH978" t="e">
        <f t="shared" si="47"/>
        <v>#NUM!</v>
      </c>
      <c r="BI978" t="e">
        <f>VLOOKUP(H978,Sheet2!$A$1:$B$270,2,FALSE)</f>
        <v>#N/A</v>
      </c>
    </row>
    <row r="979" spans="15:61" hidden="1">
      <c r="O979" s="57"/>
      <c r="P979" s="57"/>
      <c r="AP979" s="57"/>
      <c r="BA979" s="57"/>
      <c r="BF979" s="6" t="e">
        <f t="shared" si="45"/>
        <v>#NUM!</v>
      </c>
      <c r="BG979" t="e">
        <f t="shared" si="46"/>
        <v>#NUM!</v>
      </c>
      <c r="BH979" t="e">
        <f t="shared" si="47"/>
        <v>#NUM!</v>
      </c>
      <c r="BI979" t="e">
        <f>VLOOKUP(H979,Sheet2!$A$1:$B$270,2,FALSE)</f>
        <v>#N/A</v>
      </c>
    </row>
    <row r="980" spans="15:61" hidden="1">
      <c r="O980" s="57"/>
      <c r="P980" s="57"/>
      <c r="AO980" s="57"/>
      <c r="AP980" s="57"/>
      <c r="BA980" s="57"/>
      <c r="BF980" s="6" t="e">
        <f t="shared" si="45"/>
        <v>#NUM!</v>
      </c>
      <c r="BG980" t="e">
        <f t="shared" si="46"/>
        <v>#NUM!</v>
      </c>
      <c r="BH980" t="e">
        <f t="shared" si="47"/>
        <v>#NUM!</v>
      </c>
      <c r="BI980" t="e">
        <f>VLOOKUP(H980,Sheet2!$A$1:$B$270,2,FALSE)</f>
        <v>#N/A</v>
      </c>
    </row>
    <row r="981" spans="15:61" hidden="1">
      <c r="O981" s="57"/>
      <c r="P981" s="57"/>
      <c r="AO981" s="57"/>
      <c r="AP981" s="57"/>
      <c r="BA981" s="57"/>
      <c r="BF981" s="6" t="e">
        <f t="shared" si="45"/>
        <v>#NUM!</v>
      </c>
      <c r="BG981" t="e">
        <f t="shared" si="46"/>
        <v>#NUM!</v>
      </c>
      <c r="BH981" t="e">
        <f t="shared" si="47"/>
        <v>#NUM!</v>
      </c>
      <c r="BI981" t="e">
        <f>VLOOKUP(H981,Sheet2!$A$1:$B$270,2,FALSE)</f>
        <v>#N/A</v>
      </c>
    </row>
    <row r="982" spans="15:61" hidden="1">
      <c r="O982" s="57"/>
      <c r="P982" s="57"/>
      <c r="AO982" s="57"/>
      <c r="AP982" s="57"/>
      <c r="BA982" s="57"/>
      <c r="BF982" s="6" t="e">
        <f t="shared" si="45"/>
        <v>#NUM!</v>
      </c>
      <c r="BG982" t="e">
        <f t="shared" si="46"/>
        <v>#NUM!</v>
      </c>
      <c r="BH982" t="e">
        <f t="shared" si="47"/>
        <v>#NUM!</v>
      </c>
      <c r="BI982" t="e">
        <f>VLOOKUP(H982,Sheet2!$A$1:$B$270,2,FALSE)</f>
        <v>#N/A</v>
      </c>
    </row>
    <row r="983" spans="15:61" hidden="1">
      <c r="O983" s="57"/>
      <c r="P983" s="57"/>
      <c r="AO983" s="57"/>
      <c r="AP983" s="57"/>
      <c r="BA983" s="57"/>
      <c r="BF983" s="6" t="e">
        <f t="shared" si="45"/>
        <v>#NUM!</v>
      </c>
      <c r="BG983" t="e">
        <f t="shared" si="46"/>
        <v>#NUM!</v>
      </c>
      <c r="BH983" t="e">
        <f t="shared" si="47"/>
        <v>#NUM!</v>
      </c>
      <c r="BI983" t="e">
        <f>VLOOKUP(H983,Sheet2!$A$1:$B$270,2,FALSE)</f>
        <v>#N/A</v>
      </c>
    </row>
    <row r="984" spans="15:61" hidden="1">
      <c r="O984" s="57"/>
      <c r="P984" s="57"/>
      <c r="AO984" s="57"/>
      <c r="AP984" s="57"/>
      <c r="BA984" s="57"/>
      <c r="BF984" s="6" t="e">
        <f t="shared" si="45"/>
        <v>#NUM!</v>
      </c>
      <c r="BG984" t="e">
        <f t="shared" si="46"/>
        <v>#NUM!</v>
      </c>
      <c r="BH984" t="e">
        <f t="shared" si="47"/>
        <v>#NUM!</v>
      </c>
      <c r="BI984" t="e">
        <f>VLOOKUP(H984,Sheet2!$A$1:$B$270,2,FALSE)</f>
        <v>#N/A</v>
      </c>
    </row>
    <row r="985" spans="15:61" hidden="1">
      <c r="O985" s="57"/>
      <c r="P985" s="57"/>
      <c r="AO985" s="57"/>
      <c r="AP985" s="57"/>
      <c r="BA985" s="57"/>
      <c r="BF985" s="6" t="e">
        <f t="shared" si="45"/>
        <v>#NUM!</v>
      </c>
      <c r="BG985" t="e">
        <f t="shared" si="46"/>
        <v>#NUM!</v>
      </c>
      <c r="BH985" t="e">
        <f t="shared" si="47"/>
        <v>#NUM!</v>
      </c>
      <c r="BI985" t="e">
        <f>VLOOKUP(H985,Sheet2!$A$1:$B$270,2,FALSE)</f>
        <v>#N/A</v>
      </c>
    </row>
    <row r="986" spans="15:61" hidden="1">
      <c r="O986" s="57"/>
      <c r="P986" s="57"/>
      <c r="AO986" s="57"/>
      <c r="AP986" s="57"/>
      <c r="BA986" s="57"/>
      <c r="BF986" s="6" t="e">
        <f t="shared" si="45"/>
        <v>#NUM!</v>
      </c>
      <c r="BG986" t="e">
        <f t="shared" si="46"/>
        <v>#NUM!</v>
      </c>
      <c r="BH986" t="e">
        <f t="shared" si="47"/>
        <v>#NUM!</v>
      </c>
      <c r="BI986" t="e">
        <f>VLOOKUP(H986,Sheet2!$A$1:$B$270,2,FALSE)</f>
        <v>#N/A</v>
      </c>
    </row>
    <row r="987" spans="15:61" hidden="1">
      <c r="O987" s="57"/>
      <c r="P987" s="57"/>
      <c r="AO987" s="57"/>
      <c r="AP987" s="57"/>
      <c r="BA987" s="57"/>
      <c r="BF987" s="6" t="e">
        <f t="shared" si="45"/>
        <v>#NUM!</v>
      </c>
      <c r="BG987" t="e">
        <f t="shared" si="46"/>
        <v>#NUM!</v>
      </c>
      <c r="BH987" t="e">
        <f t="shared" si="47"/>
        <v>#NUM!</v>
      </c>
      <c r="BI987" t="e">
        <f>VLOOKUP(H987,Sheet2!$A$1:$B$270,2,FALSE)</f>
        <v>#N/A</v>
      </c>
    </row>
    <row r="988" spans="15:61" hidden="1">
      <c r="O988" s="57"/>
      <c r="P988" s="57"/>
      <c r="AO988" s="57"/>
      <c r="AP988" s="57"/>
      <c r="BA988" s="57"/>
      <c r="BF988" s="6" t="e">
        <f t="shared" si="45"/>
        <v>#NUM!</v>
      </c>
      <c r="BG988" t="e">
        <f t="shared" si="46"/>
        <v>#NUM!</v>
      </c>
      <c r="BH988" t="e">
        <f t="shared" si="47"/>
        <v>#NUM!</v>
      </c>
      <c r="BI988" t="e">
        <f>VLOOKUP(H988,Sheet2!$A$1:$B$270,2,FALSE)</f>
        <v>#N/A</v>
      </c>
    </row>
    <row r="989" spans="15:61" hidden="1">
      <c r="O989" s="57"/>
      <c r="P989" s="57"/>
      <c r="AO989" s="57"/>
      <c r="AP989" s="57"/>
      <c r="BA989" s="57"/>
      <c r="BF989" s="6" t="e">
        <f t="shared" si="45"/>
        <v>#NUM!</v>
      </c>
      <c r="BG989" t="e">
        <f t="shared" si="46"/>
        <v>#NUM!</v>
      </c>
      <c r="BH989" t="e">
        <f t="shared" si="47"/>
        <v>#NUM!</v>
      </c>
      <c r="BI989" t="e">
        <f>VLOOKUP(H989,Sheet2!$A$1:$B$270,2,FALSE)</f>
        <v>#N/A</v>
      </c>
    </row>
    <row r="990" spans="15:61" hidden="1">
      <c r="O990" s="57"/>
      <c r="P990" s="57"/>
      <c r="AO990" s="57"/>
      <c r="AP990" s="57"/>
      <c r="BA990" s="57"/>
      <c r="BF990" s="6" t="e">
        <f t="shared" si="45"/>
        <v>#NUM!</v>
      </c>
      <c r="BG990" t="e">
        <f t="shared" si="46"/>
        <v>#NUM!</v>
      </c>
      <c r="BH990" t="e">
        <f t="shared" si="47"/>
        <v>#NUM!</v>
      </c>
      <c r="BI990" t="e">
        <f>VLOOKUP(H990,Sheet2!$A$1:$B$270,2,FALSE)</f>
        <v>#N/A</v>
      </c>
    </row>
    <row r="991" spans="15:61" hidden="1">
      <c r="O991" s="57"/>
      <c r="P991" s="57"/>
      <c r="AP991" s="57"/>
      <c r="BA991" s="57"/>
      <c r="BF991" s="6" t="e">
        <f t="shared" si="45"/>
        <v>#NUM!</v>
      </c>
      <c r="BG991" t="e">
        <f t="shared" si="46"/>
        <v>#NUM!</v>
      </c>
      <c r="BH991" t="e">
        <f t="shared" si="47"/>
        <v>#NUM!</v>
      </c>
      <c r="BI991" t="e">
        <f>VLOOKUP(H991,Sheet2!$A$1:$B$270,2,FALSE)</f>
        <v>#N/A</v>
      </c>
    </row>
    <row r="992" spans="15:61" hidden="1">
      <c r="O992" s="57"/>
      <c r="P992" s="57"/>
      <c r="AP992" s="57"/>
      <c r="BA992" s="57"/>
      <c r="BF992" s="6" t="e">
        <f t="shared" si="45"/>
        <v>#NUM!</v>
      </c>
      <c r="BG992" t="e">
        <f t="shared" si="46"/>
        <v>#NUM!</v>
      </c>
      <c r="BH992" t="e">
        <f t="shared" si="47"/>
        <v>#NUM!</v>
      </c>
      <c r="BI992" t="e">
        <f>VLOOKUP(H992,Sheet2!$A$1:$B$270,2,FALSE)</f>
        <v>#N/A</v>
      </c>
    </row>
    <row r="993" spans="15:61" hidden="1">
      <c r="O993" s="57"/>
      <c r="P993" s="57"/>
      <c r="AP993" s="57"/>
      <c r="BA993" s="57"/>
      <c r="BF993" s="6" t="e">
        <f t="shared" si="45"/>
        <v>#NUM!</v>
      </c>
      <c r="BG993" t="e">
        <f t="shared" si="46"/>
        <v>#NUM!</v>
      </c>
      <c r="BH993" t="e">
        <f t="shared" si="47"/>
        <v>#NUM!</v>
      </c>
      <c r="BI993" t="e">
        <f>VLOOKUP(H993,Sheet2!$A$1:$B$270,2,FALSE)</f>
        <v>#N/A</v>
      </c>
    </row>
    <row r="994" spans="15:61" hidden="1">
      <c r="O994" s="57"/>
      <c r="P994" s="57"/>
      <c r="AP994" s="57"/>
      <c r="BA994" s="57"/>
      <c r="BF994" s="6" t="e">
        <f t="shared" si="45"/>
        <v>#NUM!</v>
      </c>
      <c r="BG994" t="e">
        <f t="shared" si="46"/>
        <v>#NUM!</v>
      </c>
      <c r="BH994" t="e">
        <f t="shared" si="47"/>
        <v>#NUM!</v>
      </c>
      <c r="BI994" t="e">
        <f>VLOOKUP(H994,Sheet2!$A$1:$B$270,2,FALSE)</f>
        <v>#N/A</v>
      </c>
    </row>
    <row r="995" spans="15:61" hidden="1">
      <c r="O995" s="57"/>
      <c r="P995" s="57"/>
      <c r="AP995" s="57"/>
      <c r="BA995" s="57"/>
      <c r="BF995" s="6" t="e">
        <f t="shared" si="45"/>
        <v>#NUM!</v>
      </c>
      <c r="BG995" t="e">
        <f t="shared" si="46"/>
        <v>#NUM!</v>
      </c>
      <c r="BH995" t="e">
        <f t="shared" si="47"/>
        <v>#NUM!</v>
      </c>
      <c r="BI995" t="e">
        <f>VLOOKUP(H995,Sheet2!$A$1:$B$270,2,FALSE)</f>
        <v>#N/A</v>
      </c>
    </row>
    <row r="996" spans="15:61" hidden="1">
      <c r="O996" s="57"/>
      <c r="P996" s="57"/>
      <c r="AP996" s="57"/>
      <c r="BA996" s="57"/>
      <c r="BF996" s="6" t="e">
        <f t="shared" si="45"/>
        <v>#NUM!</v>
      </c>
      <c r="BG996" t="e">
        <f t="shared" si="46"/>
        <v>#NUM!</v>
      </c>
      <c r="BH996" t="e">
        <f t="shared" si="47"/>
        <v>#NUM!</v>
      </c>
      <c r="BI996" t="e">
        <f>VLOOKUP(H996,Sheet2!$A$1:$B$270,2,FALSE)</f>
        <v>#N/A</v>
      </c>
    </row>
    <row r="997" spans="15:61" hidden="1">
      <c r="O997" s="57"/>
      <c r="P997" s="57"/>
      <c r="AP997" s="57"/>
      <c r="BA997" s="57"/>
      <c r="BF997" s="6" t="e">
        <f t="shared" si="45"/>
        <v>#NUM!</v>
      </c>
      <c r="BG997" t="e">
        <f t="shared" si="46"/>
        <v>#NUM!</v>
      </c>
      <c r="BH997" t="e">
        <f t="shared" si="47"/>
        <v>#NUM!</v>
      </c>
      <c r="BI997" t="e">
        <f>VLOOKUP(H997,Sheet2!$A$1:$B$270,2,FALSE)</f>
        <v>#N/A</v>
      </c>
    </row>
    <row r="998" spans="15:61" hidden="1">
      <c r="O998" s="57"/>
      <c r="P998" s="57"/>
      <c r="AP998" s="57"/>
      <c r="BA998" s="57"/>
      <c r="BF998" s="6" t="e">
        <f t="shared" si="45"/>
        <v>#NUM!</v>
      </c>
      <c r="BG998" t="e">
        <f t="shared" si="46"/>
        <v>#NUM!</v>
      </c>
      <c r="BH998" t="e">
        <f t="shared" si="47"/>
        <v>#NUM!</v>
      </c>
      <c r="BI998" t="e">
        <f>VLOOKUP(H998,Sheet2!$A$1:$B$270,2,FALSE)</f>
        <v>#N/A</v>
      </c>
    </row>
    <row r="999" spans="15:61" hidden="1">
      <c r="O999" s="57"/>
      <c r="P999" s="57"/>
      <c r="AP999" s="57"/>
      <c r="BA999" s="57"/>
      <c r="BF999" s="6" t="e">
        <f t="shared" si="45"/>
        <v>#NUM!</v>
      </c>
      <c r="BG999" t="e">
        <f t="shared" si="46"/>
        <v>#NUM!</v>
      </c>
      <c r="BH999" t="e">
        <f t="shared" si="47"/>
        <v>#NUM!</v>
      </c>
      <c r="BI999" t="e">
        <f>VLOOKUP(H999,Sheet2!$A$1:$B$270,2,FALSE)</f>
        <v>#N/A</v>
      </c>
    </row>
    <row r="1000" spans="15:61" hidden="1">
      <c r="O1000" s="57"/>
      <c r="P1000" s="57"/>
      <c r="AP1000" s="57"/>
      <c r="BA1000" s="57"/>
      <c r="BF1000" s="6" t="e">
        <f t="shared" si="45"/>
        <v>#NUM!</v>
      </c>
      <c r="BG1000" t="e">
        <f t="shared" si="46"/>
        <v>#NUM!</v>
      </c>
      <c r="BH1000" t="e">
        <f t="shared" si="47"/>
        <v>#NUM!</v>
      </c>
      <c r="BI1000" t="e">
        <f>VLOOKUP(H1000,Sheet2!$A$1:$B$270,2,FALSE)</f>
        <v>#N/A</v>
      </c>
    </row>
    <row r="1001" spans="15:61" hidden="1">
      <c r="O1001" s="57"/>
      <c r="P1001" s="57"/>
      <c r="AP1001" s="57"/>
      <c r="BA1001" s="57"/>
      <c r="BF1001" s="6" t="e">
        <f t="shared" si="45"/>
        <v>#NUM!</v>
      </c>
      <c r="BG1001" t="e">
        <f t="shared" si="46"/>
        <v>#NUM!</v>
      </c>
      <c r="BH1001" t="e">
        <f t="shared" si="47"/>
        <v>#NUM!</v>
      </c>
      <c r="BI1001" t="e">
        <f>VLOOKUP(H1001,Sheet2!$A$1:$B$270,2,FALSE)</f>
        <v>#N/A</v>
      </c>
    </row>
    <row r="1002" spans="15:61" hidden="1">
      <c r="O1002" s="57"/>
      <c r="P1002" s="57"/>
      <c r="AP1002" s="57"/>
      <c r="BA1002" s="57"/>
      <c r="BF1002" s="6" t="e">
        <f t="shared" si="45"/>
        <v>#NUM!</v>
      </c>
      <c r="BG1002" t="e">
        <f t="shared" si="46"/>
        <v>#NUM!</v>
      </c>
      <c r="BH1002" t="e">
        <f t="shared" si="47"/>
        <v>#NUM!</v>
      </c>
      <c r="BI1002" t="e">
        <f>VLOOKUP(H1002,Sheet2!$A$1:$B$270,2,FALSE)</f>
        <v>#N/A</v>
      </c>
    </row>
    <row r="1003" spans="15:61" hidden="1">
      <c r="O1003" s="57"/>
      <c r="P1003" s="57"/>
      <c r="AP1003" s="57"/>
      <c r="BA1003" s="57"/>
      <c r="BF1003" s="6" t="e">
        <f t="shared" si="45"/>
        <v>#NUM!</v>
      </c>
      <c r="BG1003" t="e">
        <f t="shared" si="46"/>
        <v>#NUM!</v>
      </c>
      <c r="BH1003" t="e">
        <f t="shared" si="47"/>
        <v>#NUM!</v>
      </c>
      <c r="BI1003" t="e">
        <f>VLOOKUP(H1003,Sheet2!$A$1:$B$270,2,FALSE)</f>
        <v>#N/A</v>
      </c>
    </row>
    <row r="1004" spans="15:61" hidden="1">
      <c r="O1004" s="57"/>
      <c r="P1004" s="57"/>
      <c r="AO1004" s="57"/>
      <c r="AP1004" s="57"/>
      <c r="BA1004" s="57"/>
      <c r="BF1004" s="6" t="e">
        <f t="shared" si="45"/>
        <v>#NUM!</v>
      </c>
      <c r="BG1004" t="e">
        <f t="shared" si="46"/>
        <v>#NUM!</v>
      </c>
      <c r="BH1004" t="e">
        <f t="shared" si="47"/>
        <v>#NUM!</v>
      </c>
      <c r="BI1004" t="e">
        <f>VLOOKUP(H1004,Sheet2!$A$1:$B$270,2,FALSE)</f>
        <v>#N/A</v>
      </c>
    </row>
    <row r="1005" spans="15:61" hidden="1">
      <c r="O1005" s="57"/>
      <c r="P1005" s="57"/>
      <c r="AP1005" s="57"/>
      <c r="BA1005" s="57"/>
      <c r="BF1005" s="6" t="e">
        <f t="shared" si="45"/>
        <v>#NUM!</v>
      </c>
      <c r="BG1005" t="e">
        <f t="shared" si="46"/>
        <v>#NUM!</v>
      </c>
      <c r="BH1005" t="e">
        <f t="shared" si="47"/>
        <v>#NUM!</v>
      </c>
      <c r="BI1005" t="e">
        <f>VLOOKUP(H1005,Sheet2!$A$1:$B$270,2,FALSE)</f>
        <v>#N/A</v>
      </c>
    </row>
    <row r="1006" spans="15:61" hidden="1">
      <c r="O1006" s="57"/>
      <c r="P1006" s="57"/>
      <c r="AP1006" s="57"/>
      <c r="BA1006" s="57"/>
      <c r="BF1006" s="6" t="e">
        <f t="shared" si="45"/>
        <v>#NUM!</v>
      </c>
      <c r="BG1006" t="e">
        <f t="shared" si="46"/>
        <v>#NUM!</v>
      </c>
      <c r="BH1006" t="e">
        <f t="shared" si="47"/>
        <v>#NUM!</v>
      </c>
      <c r="BI1006" t="e">
        <f>VLOOKUP(H1006,Sheet2!$A$1:$B$270,2,FALSE)</f>
        <v>#N/A</v>
      </c>
    </row>
    <row r="1007" spans="15:61" hidden="1">
      <c r="O1007" s="57"/>
      <c r="P1007" s="57"/>
      <c r="AP1007" s="57"/>
      <c r="BA1007" s="57"/>
      <c r="BF1007" s="6" t="e">
        <f t="shared" si="45"/>
        <v>#NUM!</v>
      </c>
      <c r="BG1007" t="e">
        <f t="shared" si="46"/>
        <v>#NUM!</v>
      </c>
      <c r="BH1007" t="e">
        <f t="shared" si="47"/>
        <v>#NUM!</v>
      </c>
      <c r="BI1007" t="e">
        <f>VLOOKUP(H1007,Sheet2!$A$1:$B$270,2,FALSE)</f>
        <v>#N/A</v>
      </c>
    </row>
    <row r="1008" spans="15:61" hidden="1">
      <c r="O1008" s="57"/>
      <c r="P1008" s="57"/>
      <c r="AO1008" s="57"/>
      <c r="AP1008" s="57"/>
      <c r="BA1008" s="57"/>
      <c r="BF1008" s="6" t="e">
        <f t="shared" si="45"/>
        <v>#NUM!</v>
      </c>
      <c r="BG1008" t="e">
        <f t="shared" si="46"/>
        <v>#NUM!</v>
      </c>
      <c r="BH1008" t="e">
        <f t="shared" si="47"/>
        <v>#NUM!</v>
      </c>
      <c r="BI1008" t="e">
        <f>VLOOKUP(H1008,Sheet2!$A$1:$B$270,2,FALSE)</f>
        <v>#N/A</v>
      </c>
    </row>
    <row r="1009" spans="15:61" hidden="1">
      <c r="O1009" s="57"/>
      <c r="P1009" s="57"/>
      <c r="AO1009" s="57"/>
      <c r="AP1009" s="57"/>
      <c r="BA1009" s="57"/>
      <c r="BF1009" s="6" t="e">
        <f t="shared" si="45"/>
        <v>#NUM!</v>
      </c>
      <c r="BG1009" t="e">
        <f t="shared" si="46"/>
        <v>#NUM!</v>
      </c>
      <c r="BH1009" t="e">
        <f t="shared" si="47"/>
        <v>#NUM!</v>
      </c>
      <c r="BI1009" t="e">
        <f>VLOOKUP(H1009,Sheet2!$A$1:$B$270,2,FALSE)</f>
        <v>#N/A</v>
      </c>
    </row>
    <row r="1010" spans="15:61" hidden="1">
      <c r="O1010" s="57"/>
      <c r="P1010" s="57"/>
      <c r="AP1010" s="57"/>
      <c r="BA1010" s="57"/>
      <c r="BF1010" s="6" t="e">
        <f t="shared" si="45"/>
        <v>#NUM!</v>
      </c>
      <c r="BG1010" t="e">
        <f t="shared" si="46"/>
        <v>#NUM!</v>
      </c>
      <c r="BH1010" t="e">
        <f t="shared" si="47"/>
        <v>#NUM!</v>
      </c>
      <c r="BI1010" t="e">
        <f>VLOOKUP(H1010,Sheet2!$A$1:$B$270,2,FALSE)</f>
        <v>#N/A</v>
      </c>
    </row>
    <row r="1011" spans="15:61" hidden="1">
      <c r="O1011" s="57"/>
      <c r="P1011" s="57"/>
      <c r="BA1011" s="57"/>
      <c r="BF1011" s="6" t="e">
        <f t="shared" si="45"/>
        <v>#NUM!</v>
      </c>
      <c r="BG1011" t="e">
        <f t="shared" si="46"/>
        <v>#NUM!</v>
      </c>
      <c r="BH1011" t="e">
        <f t="shared" si="47"/>
        <v>#NUM!</v>
      </c>
      <c r="BI1011" t="e">
        <f>VLOOKUP(H1011,Sheet2!$A$1:$B$270,2,FALSE)</f>
        <v>#N/A</v>
      </c>
    </row>
    <row r="1012" spans="15:61" hidden="1">
      <c r="O1012" s="57"/>
      <c r="P1012" s="57"/>
      <c r="AP1012" s="57"/>
      <c r="BA1012" s="57"/>
      <c r="BF1012" s="6" t="e">
        <f t="shared" si="45"/>
        <v>#NUM!</v>
      </c>
      <c r="BG1012" t="e">
        <f t="shared" si="46"/>
        <v>#NUM!</v>
      </c>
      <c r="BH1012" t="e">
        <f t="shared" si="47"/>
        <v>#NUM!</v>
      </c>
      <c r="BI1012" t="e">
        <f>VLOOKUP(H1012,Sheet2!$A$1:$B$270,2,FALSE)</f>
        <v>#N/A</v>
      </c>
    </row>
    <row r="1013" spans="15:61" hidden="1">
      <c r="O1013" s="57"/>
      <c r="P1013" s="57"/>
      <c r="AP1013" s="57"/>
      <c r="BA1013" s="57"/>
      <c r="BF1013" s="6" t="e">
        <f t="shared" si="45"/>
        <v>#NUM!</v>
      </c>
      <c r="BG1013" t="e">
        <f t="shared" si="46"/>
        <v>#NUM!</v>
      </c>
      <c r="BH1013" t="e">
        <f t="shared" si="47"/>
        <v>#NUM!</v>
      </c>
      <c r="BI1013" t="e">
        <f>VLOOKUP(H1013,Sheet2!$A$1:$B$270,2,FALSE)</f>
        <v>#N/A</v>
      </c>
    </row>
    <row r="1014" spans="15:61" hidden="1">
      <c r="O1014" s="57"/>
      <c r="P1014" s="57"/>
      <c r="AO1014" s="57"/>
      <c r="AP1014" s="57"/>
      <c r="BA1014" s="57"/>
      <c r="BF1014" s="6" t="e">
        <f t="shared" si="45"/>
        <v>#NUM!</v>
      </c>
      <c r="BG1014" t="e">
        <f t="shared" si="46"/>
        <v>#NUM!</v>
      </c>
      <c r="BH1014" t="e">
        <f t="shared" si="47"/>
        <v>#NUM!</v>
      </c>
      <c r="BI1014" t="e">
        <f>VLOOKUP(H1014,Sheet2!$A$1:$B$270,2,FALSE)</f>
        <v>#N/A</v>
      </c>
    </row>
    <row r="1015" spans="15:61" hidden="1">
      <c r="O1015" s="57"/>
      <c r="P1015" s="57"/>
      <c r="AP1015" s="57"/>
      <c r="BA1015" s="57"/>
      <c r="BF1015" s="6" t="e">
        <f t="shared" si="45"/>
        <v>#NUM!</v>
      </c>
      <c r="BG1015" t="e">
        <f t="shared" si="46"/>
        <v>#NUM!</v>
      </c>
      <c r="BH1015" t="e">
        <f t="shared" si="47"/>
        <v>#NUM!</v>
      </c>
      <c r="BI1015" t="e">
        <f>VLOOKUP(H1015,Sheet2!$A$1:$B$270,2,FALSE)</f>
        <v>#N/A</v>
      </c>
    </row>
    <row r="1016" spans="15:61" hidden="1">
      <c r="O1016" s="57"/>
      <c r="P1016" s="57"/>
      <c r="AP1016" s="57"/>
      <c r="BA1016" s="57"/>
      <c r="BF1016" s="6" t="e">
        <f t="shared" si="45"/>
        <v>#NUM!</v>
      </c>
      <c r="BG1016" t="e">
        <f t="shared" si="46"/>
        <v>#NUM!</v>
      </c>
      <c r="BH1016" t="e">
        <f t="shared" si="47"/>
        <v>#NUM!</v>
      </c>
      <c r="BI1016" t="e">
        <f>VLOOKUP(H1016,Sheet2!$A$1:$B$270,2,FALSE)</f>
        <v>#N/A</v>
      </c>
    </row>
    <row r="1017" spans="15:61" hidden="1">
      <c r="O1017" s="57"/>
      <c r="P1017" s="57"/>
      <c r="AP1017" s="57"/>
      <c r="BA1017" s="57"/>
      <c r="BF1017" s="6" t="e">
        <f t="shared" si="45"/>
        <v>#NUM!</v>
      </c>
      <c r="BG1017" t="e">
        <f t="shared" si="46"/>
        <v>#NUM!</v>
      </c>
      <c r="BH1017" t="e">
        <f t="shared" si="47"/>
        <v>#NUM!</v>
      </c>
      <c r="BI1017" t="e">
        <f>VLOOKUP(H1017,Sheet2!$A$1:$B$270,2,FALSE)</f>
        <v>#N/A</v>
      </c>
    </row>
    <row r="1018" spans="15:61" hidden="1">
      <c r="O1018" s="57"/>
      <c r="P1018" s="57"/>
      <c r="AP1018" s="57"/>
      <c r="BA1018" s="57"/>
      <c r="BF1018" s="6" t="e">
        <f t="shared" si="45"/>
        <v>#NUM!</v>
      </c>
      <c r="BG1018" t="e">
        <f t="shared" si="46"/>
        <v>#NUM!</v>
      </c>
      <c r="BH1018" t="e">
        <f t="shared" si="47"/>
        <v>#NUM!</v>
      </c>
      <c r="BI1018" t="e">
        <f>VLOOKUP(H1018,Sheet2!$A$1:$B$270,2,FALSE)</f>
        <v>#N/A</v>
      </c>
    </row>
    <row r="1019" spans="15:61" hidden="1">
      <c r="O1019" s="57"/>
      <c r="P1019" s="57"/>
      <c r="AO1019" s="57"/>
      <c r="AP1019" s="57"/>
      <c r="BA1019" s="57"/>
      <c r="BF1019" s="6" t="e">
        <f t="shared" si="45"/>
        <v>#NUM!</v>
      </c>
      <c r="BG1019" t="e">
        <f t="shared" si="46"/>
        <v>#NUM!</v>
      </c>
      <c r="BH1019" t="e">
        <f t="shared" si="47"/>
        <v>#NUM!</v>
      </c>
      <c r="BI1019" t="e">
        <f>VLOOKUP(H1019,Sheet2!$A$1:$B$270,2,FALSE)</f>
        <v>#N/A</v>
      </c>
    </row>
    <row r="1020" spans="15:61" hidden="1">
      <c r="O1020" s="57"/>
      <c r="P1020" s="57"/>
      <c r="AO1020" s="57"/>
      <c r="AP1020" s="57"/>
      <c r="BA1020" s="57"/>
      <c r="BF1020" s="6" t="e">
        <f t="shared" si="45"/>
        <v>#NUM!</v>
      </c>
      <c r="BG1020" t="e">
        <f t="shared" si="46"/>
        <v>#NUM!</v>
      </c>
      <c r="BH1020" t="e">
        <f t="shared" si="47"/>
        <v>#NUM!</v>
      </c>
      <c r="BI1020" t="e">
        <f>VLOOKUP(H1020,Sheet2!$A$1:$B$270,2,FALSE)</f>
        <v>#N/A</v>
      </c>
    </row>
    <row r="1021" spans="15:61" hidden="1">
      <c r="O1021" s="57"/>
      <c r="P1021" s="57"/>
      <c r="AO1021" s="57"/>
      <c r="AP1021" s="57"/>
      <c r="BA1021" s="57"/>
      <c r="BF1021" s="6" t="e">
        <f t="shared" si="45"/>
        <v>#NUM!</v>
      </c>
      <c r="BG1021" t="e">
        <f t="shared" si="46"/>
        <v>#NUM!</v>
      </c>
      <c r="BH1021" t="e">
        <f t="shared" si="47"/>
        <v>#NUM!</v>
      </c>
      <c r="BI1021" t="e">
        <f>VLOOKUP(H1021,Sheet2!$A$1:$B$270,2,FALSE)</f>
        <v>#N/A</v>
      </c>
    </row>
    <row r="1022" spans="15:61" hidden="1">
      <c r="O1022" s="57"/>
      <c r="P1022" s="57"/>
      <c r="AO1022" s="57"/>
      <c r="AP1022" s="57"/>
      <c r="BA1022" s="57"/>
      <c r="BF1022" s="6" t="e">
        <f t="shared" si="45"/>
        <v>#NUM!</v>
      </c>
      <c r="BG1022" t="e">
        <f t="shared" si="46"/>
        <v>#NUM!</v>
      </c>
      <c r="BH1022" t="e">
        <f t="shared" si="47"/>
        <v>#NUM!</v>
      </c>
      <c r="BI1022" t="e">
        <f>VLOOKUP(H1022,Sheet2!$A$1:$B$270,2,FALSE)</f>
        <v>#N/A</v>
      </c>
    </row>
    <row r="1023" spans="15:61" hidden="1">
      <c r="O1023" s="57"/>
      <c r="P1023" s="57"/>
      <c r="AO1023" s="57"/>
      <c r="AP1023" s="57"/>
      <c r="BA1023" s="57"/>
      <c r="BF1023" s="6" t="e">
        <f t="shared" si="45"/>
        <v>#NUM!</v>
      </c>
      <c r="BG1023" t="e">
        <f t="shared" si="46"/>
        <v>#NUM!</v>
      </c>
      <c r="BH1023" t="e">
        <f t="shared" si="47"/>
        <v>#NUM!</v>
      </c>
      <c r="BI1023" t="e">
        <f>VLOOKUP(H1023,Sheet2!$A$1:$B$270,2,FALSE)</f>
        <v>#N/A</v>
      </c>
    </row>
    <row r="1024" spans="15:61" hidden="1">
      <c r="O1024" s="57"/>
      <c r="P1024" s="57"/>
      <c r="AO1024" s="57"/>
      <c r="AP1024" s="57"/>
      <c r="BA1024" s="57"/>
      <c r="BF1024" s="6" t="e">
        <f t="shared" si="45"/>
        <v>#NUM!</v>
      </c>
      <c r="BG1024" t="e">
        <f t="shared" si="46"/>
        <v>#NUM!</v>
      </c>
      <c r="BH1024" t="e">
        <f t="shared" si="47"/>
        <v>#NUM!</v>
      </c>
      <c r="BI1024" t="e">
        <f>VLOOKUP(H1024,Sheet2!$A$1:$B$270,2,FALSE)</f>
        <v>#N/A</v>
      </c>
    </row>
    <row r="1025" spans="15:61" hidden="1">
      <c r="O1025" s="57"/>
      <c r="P1025" s="57"/>
      <c r="AP1025" s="57"/>
      <c r="BA1025" s="57"/>
      <c r="BF1025" s="6" t="e">
        <f t="shared" si="45"/>
        <v>#NUM!</v>
      </c>
      <c r="BG1025" t="e">
        <f t="shared" si="46"/>
        <v>#NUM!</v>
      </c>
      <c r="BH1025" t="e">
        <f t="shared" si="47"/>
        <v>#NUM!</v>
      </c>
      <c r="BI1025" t="e">
        <f>VLOOKUP(H1025,Sheet2!$A$1:$B$270,2,FALSE)</f>
        <v>#N/A</v>
      </c>
    </row>
    <row r="1026" spans="15:61" hidden="1">
      <c r="O1026" s="57"/>
      <c r="P1026" s="57"/>
      <c r="AP1026" s="57"/>
      <c r="BA1026" s="57"/>
      <c r="BF1026" s="6" t="e">
        <f t="shared" ref="BF1026:BF1089" si="48">DATE(BC1026,BD1026,BE1026)</f>
        <v>#NUM!</v>
      </c>
      <c r="BG1026" t="e">
        <f t="shared" ref="BG1026:BG1089" si="49">BF1026-BA1026</f>
        <v>#NUM!</v>
      </c>
      <c r="BH1026" t="e">
        <f t="shared" ref="BH1026:BH1089" si="50">IF(BG1026=1,"COMPLY",IF(BG1026&lt;1,"COMPLY","NOT COMPLY"))</f>
        <v>#NUM!</v>
      </c>
      <c r="BI1026" t="e">
        <f>VLOOKUP(H1026,Sheet2!$A$1:$B$270,2,FALSE)</f>
        <v>#N/A</v>
      </c>
    </row>
    <row r="1027" spans="15:61" hidden="1">
      <c r="O1027" s="57"/>
      <c r="P1027" s="57"/>
      <c r="AP1027" s="57"/>
      <c r="BA1027" s="57"/>
      <c r="BF1027" s="6" t="e">
        <f t="shared" si="48"/>
        <v>#NUM!</v>
      </c>
      <c r="BG1027" t="e">
        <f t="shared" si="49"/>
        <v>#NUM!</v>
      </c>
      <c r="BH1027" t="e">
        <f t="shared" si="50"/>
        <v>#NUM!</v>
      </c>
      <c r="BI1027" t="e">
        <f>VLOOKUP(H1027,Sheet2!$A$1:$B$270,2,FALSE)</f>
        <v>#N/A</v>
      </c>
    </row>
    <row r="1028" spans="15:61" hidden="1">
      <c r="O1028" s="57"/>
      <c r="P1028" s="57"/>
      <c r="AO1028" s="57"/>
      <c r="AP1028" s="57"/>
      <c r="BA1028" s="57"/>
      <c r="BF1028" s="6" t="e">
        <f t="shared" si="48"/>
        <v>#NUM!</v>
      </c>
      <c r="BG1028" t="e">
        <f t="shared" si="49"/>
        <v>#NUM!</v>
      </c>
      <c r="BH1028" t="e">
        <f t="shared" si="50"/>
        <v>#NUM!</v>
      </c>
      <c r="BI1028" t="e">
        <f>VLOOKUP(H1028,Sheet2!$A$1:$B$270,2,FALSE)</f>
        <v>#N/A</v>
      </c>
    </row>
    <row r="1029" spans="15:61" hidden="1">
      <c r="O1029" s="57"/>
      <c r="P1029" s="57"/>
      <c r="AO1029" s="57"/>
      <c r="AP1029" s="57"/>
      <c r="BA1029" s="57"/>
      <c r="BF1029" s="6" t="e">
        <f t="shared" si="48"/>
        <v>#NUM!</v>
      </c>
      <c r="BG1029" t="e">
        <f t="shared" si="49"/>
        <v>#NUM!</v>
      </c>
      <c r="BH1029" t="e">
        <f t="shared" si="50"/>
        <v>#NUM!</v>
      </c>
      <c r="BI1029" t="e">
        <f>VLOOKUP(H1029,Sheet2!$A$1:$B$270,2,FALSE)</f>
        <v>#N/A</v>
      </c>
    </row>
    <row r="1030" spans="15:61" hidden="1">
      <c r="O1030" s="57"/>
      <c r="P1030" s="57"/>
      <c r="AO1030" s="57"/>
      <c r="BA1030" s="57"/>
      <c r="BF1030" s="6" t="e">
        <f t="shared" si="48"/>
        <v>#NUM!</v>
      </c>
      <c r="BG1030" t="e">
        <f t="shared" si="49"/>
        <v>#NUM!</v>
      </c>
      <c r="BH1030" t="e">
        <f t="shared" si="50"/>
        <v>#NUM!</v>
      </c>
      <c r="BI1030" t="e">
        <f>VLOOKUP(H1030,Sheet2!$A$1:$B$270,2,FALSE)</f>
        <v>#N/A</v>
      </c>
    </row>
    <row r="1031" spans="15:61" hidden="1">
      <c r="O1031" s="57"/>
      <c r="P1031" s="57"/>
      <c r="AO1031" s="57"/>
      <c r="BA1031" s="57"/>
      <c r="BF1031" s="6" t="e">
        <f t="shared" si="48"/>
        <v>#NUM!</v>
      </c>
      <c r="BG1031" t="e">
        <f t="shared" si="49"/>
        <v>#NUM!</v>
      </c>
      <c r="BH1031" t="e">
        <f t="shared" si="50"/>
        <v>#NUM!</v>
      </c>
      <c r="BI1031" t="e">
        <f>VLOOKUP(H1031,Sheet2!$A$1:$B$270,2,FALSE)</f>
        <v>#N/A</v>
      </c>
    </row>
    <row r="1032" spans="15:61" hidden="1">
      <c r="O1032" s="57"/>
      <c r="P1032" s="57"/>
      <c r="AO1032" s="57"/>
      <c r="AP1032" s="57"/>
      <c r="BA1032" s="57"/>
      <c r="BF1032" s="6" t="e">
        <f t="shared" si="48"/>
        <v>#NUM!</v>
      </c>
      <c r="BG1032" t="e">
        <f t="shared" si="49"/>
        <v>#NUM!</v>
      </c>
      <c r="BH1032" t="e">
        <f t="shared" si="50"/>
        <v>#NUM!</v>
      </c>
      <c r="BI1032" t="e">
        <f>VLOOKUP(H1032,Sheet2!$A$1:$B$270,2,FALSE)</f>
        <v>#N/A</v>
      </c>
    </row>
    <row r="1033" spans="15:61" hidden="1">
      <c r="O1033" s="57"/>
      <c r="P1033" s="57"/>
      <c r="AO1033" s="57"/>
      <c r="AP1033" s="57"/>
      <c r="BA1033" s="57"/>
      <c r="BF1033" s="6" t="e">
        <f t="shared" si="48"/>
        <v>#NUM!</v>
      </c>
      <c r="BG1033" t="e">
        <f t="shared" si="49"/>
        <v>#NUM!</v>
      </c>
      <c r="BH1033" t="e">
        <f t="shared" si="50"/>
        <v>#NUM!</v>
      </c>
      <c r="BI1033" t="e">
        <f>VLOOKUP(H1033,Sheet2!$A$1:$B$270,2,FALSE)</f>
        <v>#N/A</v>
      </c>
    </row>
    <row r="1034" spans="15:61" hidden="1">
      <c r="O1034" s="57"/>
      <c r="P1034" s="57"/>
      <c r="AO1034" s="57"/>
      <c r="AP1034" s="57"/>
      <c r="BA1034" s="57"/>
      <c r="BF1034" s="6" t="e">
        <f t="shared" si="48"/>
        <v>#NUM!</v>
      </c>
      <c r="BG1034" t="e">
        <f t="shared" si="49"/>
        <v>#NUM!</v>
      </c>
      <c r="BH1034" t="e">
        <f t="shared" si="50"/>
        <v>#NUM!</v>
      </c>
      <c r="BI1034" t="e">
        <f>VLOOKUP(H1034,Sheet2!$A$1:$B$270,2,FALSE)</f>
        <v>#N/A</v>
      </c>
    </row>
    <row r="1035" spans="15:61" hidden="1">
      <c r="O1035" s="57"/>
      <c r="P1035" s="57"/>
      <c r="AO1035" s="57"/>
      <c r="AP1035" s="57"/>
      <c r="BA1035" s="57"/>
      <c r="BF1035" s="6" t="e">
        <f t="shared" si="48"/>
        <v>#NUM!</v>
      </c>
      <c r="BG1035" t="e">
        <f t="shared" si="49"/>
        <v>#NUM!</v>
      </c>
      <c r="BH1035" t="e">
        <f t="shared" si="50"/>
        <v>#NUM!</v>
      </c>
      <c r="BI1035" t="e">
        <f>VLOOKUP(H1035,Sheet2!$A$1:$B$270,2,FALSE)</f>
        <v>#N/A</v>
      </c>
    </row>
    <row r="1036" spans="15:61" hidden="1">
      <c r="O1036" s="57"/>
      <c r="P1036" s="57"/>
      <c r="AO1036" s="57"/>
      <c r="AP1036" s="57"/>
      <c r="BA1036" s="57"/>
      <c r="BF1036" s="6" t="e">
        <f t="shared" si="48"/>
        <v>#NUM!</v>
      </c>
      <c r="BG1036" t="e">
        <f t="shared" si="49"/>
        <v>#NUM!</v>
      </c>
      <c r="BH1036" t="e">
        <f t="shared" si="50"/>
        <v>#NUM!</v>
      </c>
      <c r="BI1036" t="e">
        <f>VLOOKUP(H1036,Sheet2!$A$1:$B$270,2,FALSE)</f>
        <v>#N/A</v>
      </c>
    </row>
    <row r="1037" spans="15:61" hidden="1">
      <c r="O1037" s="57"/>
      <c r="P1037" s="57"/>
      <c r="AO1037" s="57"/>
      <c r="AP1037" s="57"/>
      <c r="BA1037" s="57"/>
      <c r="BF1037" s="6" t="e">
        <f t="shared" si="48"/>
        <v>#NUM!</v>
      </c>
      <c r="BG1037" t="e">
        <f t="shared" si="49"/>
        <v>#NUM!</v>
      </c>
      <c r="BH1037" t="e">
        <f t="shared" si="50"/>
        <v>#NUM!</v>
      </c>
      <c r="BI1037" t="e">
        <f>VLOOKUP(H1037,Sheet2!$A$1:$B$270,2,FALSE)</f>
        <v>#N/A</v>
      </c>
    </row>
    <row r="1038" spans="15:61" hidden="1">
      <c r="O1038" s="57"/>
      <c r="P1038" s="57"/>
      <c r="AO1038" s="57"/>
      <c r="AP1038" s="57"/>
      <c r="BA1038" s="57"/>
      <c r="BF1038" s="6" t="e">
        <f t="shared" si="48"/>
        <v>#NUM!</v>
      </c>
      <c r="BG1038" t="e">
        <f t="shared" si="49"/>
        <v>#NUM!</v>
      </c>
      <c r="BH1038" t="e">
        <f t="shared" si="50"/>
        <v>#NUM!</v>
      </c>
      <c r="BI1038" t="e">
        <f>VLOOKUP(H1038,Sheet2!$A$1:$B$270,2,FALSE)</f>
        <v>#N/A</v>
      </c>
    </row>
    <row r="1039" spans="15:61" hidden="1">
      <c r="O1039" s="57"/>
      <c r="P1039" s="57"/>
      <c r="AP1039" s="57"/>
      <c r="BA1039" s="57"/>
      <c r="BF1039" s="6" t="e">
        <f t="shared" si="48"/>
        <v>#NUM!</v>
      </c>
      <c r="BG1039" t="e">
        <f t="shared" si="49"/>
        <v>#NUM!</v>
      </c>
      <c r="BH1039" t="e">
        <f t="shared" si="50"/>
        <v>#NUM!</v>
      </c>
      <c r="BI1039" t="e">
        <f>VLOOKUP(H1039,Sheet2!$A$1:$B$270,2,FALSE)</f>
        <v>#N/A</v>
      </c>
    </row>
    <row r="1040" spans="15:61" hidden="1">
      <c r="O1040" s="57"/>
      <c r="P1040" s="57"/>
      <c r="AP1040" s="57"/>
      <c r="BA1040" s="57"/>
      <c r="BF1040" s="6" t="e">
        <f t="shared" si="48"/>
        <v>#NUM!</v>
      </c>
      <c r="BG1040" t="e">
        <f t="shared" si="49"/>
        <v>#NUM!</v>
      </c>
      <c r="BH1040" t="e">
        <f t="shared" si="50"/>
        <v>#NUM!</v>
      </c>
      <c r="BI1040" t="e">
        <f>VLOOKUP(H1040,Sheet2!$A$1:$B$270,2,FALSE)</f>
        <v>#N/A</v>
      </c>
    </row>
    <row r="1041" spans="15:61" hidden="1">
      <c r="O1041" s="57"/>
      <c r="P1041" s="57"/>
      <c r="AP1041" s="57"/>
      <c r="BA1041" s="57"/>
      <c r="BF1041" s="6" t="e">
        <f t="shared" si="48"/>
        <v>#NUM!</v>
      </c>
      <c r="BG1041" t="e">
        <f t="shared" si="49"/>
        <v>#NUM!</v>
      </c>
      <c r="BH1041" t="e">
        <f t="shared" si="50"/>
        <v>#NUM!</v>
      </c>
      <c r="BI1041" t="e">
        <f>VLOOKUP(H1041,Sheet2!$A$1:$B$270,2,FALSE)</f>
        <v>#N/A</v>
      </c>
    </row>
    <row r="1042" spans="15:61" hidden="1">
      <c r="O1042" s="57"/>
      <c r="P1042" s="57"/>
      <c r="AP1042" s="57"/>
      <c r="BA1042" s="57"/>
      <c r="BF1042" s="6" t="e">
        <f t="shared" si="48"/>
        <v>#NUM!</v>
      </c>
      <c r="BG1042" t="e">
        <f t="shared" si="49"/>
        <v>#NUM!</v>
      </c>
      <c r="BH1042" t="e">
        <f t="shared" si="50"/>
        <v>#NUM!</v>
      </c>
      <c r="BI1042" t="e">
        <f>VLOOKUP(H1042,Sheet2!$A$1:$B$270,2,FALSE)</f>
        <v>#N/A</v>
      </c>
    </row>
    <row r="1043" spans="15:61" hidden="1">
      <c r="O1043" s="57"/>
      <c r="P1043" s="57"/>
      <c r="AP1043" s="57"/>
      <c r="BA1043" s="57"/>
      <c r="BF1043" s="6" t="e">
        <f t="shared" si="48"/>
        <v>#NUM!</v>
      </c>
      <c r="BG1043" t="e">
        <f t="shared" si="49"/>
        <v>#NUM!</v>
      </c>
      <c r="BH1043" t="e">
        <f t="shared" si="50"/>
        <v>#NUM!</v>
      </c>
      <c r="BI1043" t="e">
        <f>VLOOKUP(H1043,Sheet2!$A$1:$B$270,2,FALSE)</f>
        <v>#N/A</v>
      </c>
    </row>
    <row r="1044" spans="15:61" hidden="1">
      <c r="O1044" s="57"/>
      <c r="P1044" s="57"/>
      <c r="AP1044" s="57"/>
      <c r="BA1044" s="57"/>
      <c r="BF1044" s="6" t="e">
        <f t="shared" si="48"/>
        <v>#NUM!</v>
      </c>
      <c r="BG1044" t="e">
        <f t="shared" si="49"/>
        <v>#NUM!</v>
      </c>
      <c r="BH1044" t="e">
        <f t="shared" si="50"/>
        <v>#NUM!</v>
      </c>
      <c r="BI1044" t="e">
        <f>VLOOKUP(H1044,Sheet2!$A$1:$B$270,2,FALSE)</f>
        <v>#N/A</v>
      </c>
    </row>
    <row r="1045" spans="15:61" hidden="1">
      <c r="O1045" s="57"/>
      <c r="P1045" s="57"/>
      <c r="AP1045" s="57"/>
      <c r="BA1045" s="57"/>
      <c r="BF1045" s="6" t="e">
        <f t="shared" si="48"/>
        <v>#NUM!</v>
      </c>
      <c r="BG1045" t="e">
        <f t="shared" si="49"/>
        <v>#NUM!</v>
      </c>
      <c r="BH1045" t="e">
        <f t="shared" si="50"/>
        <v>#NUM!</v>
      </c>
      <c r="BI1045" t="e">
        <f>VLOOKUP(H1045,Sheet2!$A$1:$B$270,2,FALSE)</f>
        <v>#N/A</v>
      </c>
    </row>
    <row r="1046" spans="15:61" hidden="1">
      <c r="O1046" s="57"/>
      <c r="P1046" s="57"/>
      <c r="AP1046" s="57"/>
      <c r="BA1046" s="57"/>
      <c r="BF1046" s="6" t="e">
        <f t="shared" si="48"/>
        <v>#NUM!</v>
      </c>
      <c r="BG1046" t="e">
        <f t="shared" si="49"/>
        <v>#NUM!</v>
      </c>
      <c r="BH1046" t="e">
        <f t="shared" si="50"/>
        <v>#NUM!</v>
      </c>
      <c r="BI1046" t="e">
        <f>VLOOKUP(H1046,Sheet2!$A$1:$B$270,2,FALSE)</f>
        <v>#N/A</v>
      </c>
    </row>
    <row r="1047" spans="15:61" hidden="1">
      <c r="O1047" s="57"/>
      <c r="P1047" s="57"/>
      <c r="AP1047" s="57"/>
      <c r="BA1047" s="57"/>
      <c r="BF1047" s="6" t="e">
        <f t="shared" si="48"/>
        <v>#NUM!</v>
      </c>
      <c r="BG1047" t="e">
        <f t="shared" si="49"/>
        <v>#NUM!</v>
      </c>
      <c r="BH1047" t="e">
        <f t="shared" si="50"/>
        <v>#NUM!</v>
      </c>
      <c r="BI1047" t="e">
        <f>VLOOKUP(H1047,Sheet2!$A$1:$B$270,2,FALSE)</f>
        <v>#N/A</v>
      </c>
    </row>
    <row r="1048" spans="15:61" hidden="1">
      <c r="O1048" s="57"/>
      <c r="P1048" s="57"/>
      <c r="AP1048" s="57"/>
      <c r="BA1048" s="57"/>
      <c r="BF1048" s="6" t="e">
        <f t="shared" si="48"/>
        <v>#NUM!</v>
      </c>
      <c r="BG1048" t="e">
        <f t="shared" si="49"/>
        <v>#NUM!</v>
      </c>
      <c r="BH1048" t="e">
        <f t="shared" si="50"/>
        <v>#NUM!</v>
      </c>
      <c r="BI1048" t="e">
        <f>VLOOKUP(H1048,Sheet2!$A$1:$B$270,2,FALSE)</f>
        <v>#N/A</v>
      </c>
    </row>
    <row r="1049" spans="15:61" hidden="1">
      <c r="O1049" s="57"/>
      <c r="P1049" s="57"/>
      <c r="AP1049" s="57"/>
      <c r="BA1049" s="57"/>
      <c r="BF1049" s="6" t="e">
        <f t="shared" si="48"/>
        <v>#NUM!</v>
      </c>
      <c r="BG1049" t="e">
        <f t="shared" si="49"/>
        <v>#NUM!</v>
      </c>
      <c r="BH1049" t="e">
        <f t="shared" si="50"/>
        <v>#NUM!</v>
      </c>
      <c r="BI1049" t="e">
        <f>VLOOKUP(H1049,Sheet2!$A$1:$B$270,2,FALSE)</f>
        <v>#N/A</v>
      </c>
    </row>
    <row r="1050" spans="15:61" hidden="1">
      <c r="O1050" s="57"/>
      <c r="P1050" s="57"/>
      <c r="AP1050" s="57"/>
      <c r="BA1050" s="57"/>
      <c r="BF1050" s="6" t="e">
        <f t="shared" si="48"/>
        <v>#NUM!</v>
      </c>
      <c r="BG1050" t="e">
        <f t="shared" si="49"/>
        <v>#NUM!</v>
      </c>
      <c r="BH1050" t="e">
        <f t="shared" si="50"/>
        <v>#NUM!</v>
      </c>
      <c r="BI1050" t="e">
        <f>VLOOKUP(H1050,Sheet2!$A$1:$B$270,2,FALSE)</f>
        <v>#N/A</v>
      </c>
    </row>
    <row r="1051" spans="15:61" hidden="1">
      <c r="O1051" s="57"/>
      <c r="P1051" s="57"/>
      <c r="AP1051" s="57"/>
      <c r="BA1051" s="57"/>
      <c r="BF1051" s="6" t="e">
        <f t="shared" si="48"/>
        <v>#NUM!</v>
      </c>
      <c r="BG1051" t="e">
        <f t="shared" si="49"/>
        <v>#NUM!</v>
      </c>
      <c r="BH1051" t="e">
        <f t="shared" si="50"/>
        <v>#NUM!</v>
      </c>
      <c r="BI1051" t="e">
        <f>VLOOKUP(H1051,Sheet2!$A$1:$B$270,2,FALSE)</f>
        <v>#N/A</v>
      </c>
    </row>
    <row r="1052" spans="15:61" hidden="1">
      <c r="O1052" s="57"/>
      <c r="P1052" s="57"/>
      <c r="AP1052" s="57"/>
      <c r="BA1052" s="57"/>
      <c r="BF1052" s="6" t="e">
        <f t="shared" si="48"/>
        <v>#NUM!</v>
      </c>
      <c r="BG1052" t="e">
        <f t="shared" si="49"/>
        <v>#NUM!</v>
      </c>
      <c r="BH1052" t="e">
        <f t="shared" si="50"/>
        <v>#NUM!</v>
      </c>
      <c r="BI1052" t="e">
        <f>VLOOKUP(H1052,Sheet2!$A$1:$B$270,2,FALSE)</f>
        <v>#N/A</v>
      </c>
    </row>
    <row r="1053" spans="15:61" hidden="1">
      <c r="O1053" s="57"/>
      <c r="P1053" s="57"/>
      <c r="AP1053" s="57"/>
      <c r="BA1053" s="57"/>
      <c r="BF1053" s="6" t="e">
        <f t="shared" si="48"/>
        <v>#NUM!</v>
      </c>
      <c r="BG1053" t="e">
        <f t="shared" si="49"/>
        <v>#NUM!</v>
      </c>
      <c r="BH1053" t="e">
        <f t="shared" si="50"/>
        <v>#NUM!</v>
      </c>
      <c r="BI1053" t="e">
        <f>VLOOKUP(H1053,Sheet2!$A$1:$B$270,2,FALSE)</f>
        <v>#N/A</v>
      </c>
    </row>
    <row r="1054" spans="15:61" hidden="1">
      <c r="O1054" s="57"/>
      <c r="P1054" s="57"/>
      <c r="AP1054" s="57"/>
      <c r="BA1054" s="57"/>
      <c r="BF1054" s="6" t="e">
        <f t="shared" si="48"/>
        <v>#NUM!</v>
      </c>
      <c r="BG1054" t="e">
        <f t="shared" si="49"/>
        <v>#NUM!</v>
      </c>
      <c r="BH1054" t="e">
        <f t="shared" si="50"/>
        <v>#NUM!</v>
      </c>
      <c r="BI1054" t="e">
        <f>VLOOKUP(H1054,Sheet2!$A$1:$B$270,2,FALSE)</f>
        <v>#N/A</v>
      </c>
    </row>
    <row r="1055" spans="15:61" hidden="1">
      <c r="O1055" s="57"/>
      <c r="P1055" s="57"/>
      <c r="AP1055" s="57"/>
      <c r="BA1055" s="57"/>
      <c r="BF1055" s="6" t="e">
        <f t="shared" si="48"/>
        <v>#NUM!</v>
      </c>
      <c r="BG1055" t="e">
        <f t="shared" si="49"/>
        <v>#NUM!</v>
      </c>
      <c r="BH1055" t="e">
        <f t="shared" si="50"/>
        <v>#NUM!</v>
      </c>
      <c r="BI1055" t="e">
        <f>VLOOKUP(H1055,Sheet2!$A$1:$B$270,2,FALSE)</f>
        <v>#N/A</v>
      </c>
    </row>
    <row r="1056" spans="15:61" hidden="1">
      <c r="O1056" s="57"/>
      <c r="P1056" s="57"/>
      <c r="AO1056" s="57"/>
      <c r="BF1056" s="6" t="e">
        <f t="shared" si="48"/>
        <v>#NUM!</v>
      </c>
      <c r="BG1056" t="e">
        <f t="shared" si="49"/>
        <v>#NUM!</v>
      </c>
      <c r="BH1056" t="e">
        <f t="shared" si="50"/>
        <v>#NUM!</v>
      </c>
      <c r="BI1056" t="e">
        <f>VLOOKUP(H1056,Sheet2!$A$1:$B$270,2,FALSE)</f>
        <v>#N/A</v>
      </c>
    </row>
    <row r="1057" spans="15:61" hidden="1">
      <c r="O1057" s="57"/>
      <c r="P1057" s="57"/>
      <c r="AO1057" s="57"/>
      <c r="AP1057" s="57"/>
      <c r="BA1057" s="57"/>
      <c r="BF1057" s="6" t="e">
        <f t="shared" si="48"/>
        <v>#NUM!</v>
      </c>
      <c r="BG1057" t="e">
        <f t="shared" si="49"/>
        <v>#NUM!</v>
      </c>
      <c r="BH1057" t="e">
        <f t="shared" si="50"/>
        <v>#NUM!</v>
      </c>
      <c r="BI1057" t="e">
        <f>VLOOKUP(H1057,Sheet2!$A$1:$B$270,2,FALSE)</f>
        <v>#N/A</v>
      </c>
    </row>
    <row r="1058" spans="15:61" hidden="1">
      <c r="O1058" s="57"/>
      <c r="P1058" s="57"/>
      <c r="AO1058" s="57"/>
      <c r="AP1058" s="57"/>
      <c r="BA1058" s="57"/>
      <c r="BF1058" s="6" t="e">
        <f t="shared" si="48"/>
        <v>#NUM!</v>
      </c>
      <c r="BG1058" t="e">
        <f t="shared" si="49"/>
        <v>#NUM!</v>
      </c>
      <c r="BH1058" t="e">
        <f t="shared" si="50"/>
        <v>#NUM!</v>
      </c>
      <c r="BI1058" t="e">
        <f>VLOOKUP(H1058,Sheet2!$A$1:$B$270,2,FALSE)</f>
        <v>#N/A</v>
      </c>
    </row>
    <row r="1059" spans="15:61" hidden="1">
      <c r="O1059" s="57"/>
      <c r="P1059" s="57"/>
      <c r="AO1059" s="57"/>
      <c r="AP1059" s="57"/>
      <c r="BA1059" s="57"/>
      <c r="BF1059" s="6" t="e">
        <f t="shared" si="48"/>
        <v>#NUM!</v>
      </c>
      <c r="BG1059" t="e">
        <f t="shared" si="49"/>
        <v>#NUM!</v>
      </c>
      <c r="BH1059" t="e">
        <f t="shared" si="50"/>
        <v>#NUM!</v>
      </c>
      <c r="BI1059" t="e">
        <f>VLOOKUP(H1059,Sheet2!$A$1:$B$270,2,FALSE)</f>
        <v>#N/A</v>
      </c>
    </row>
    <row r="1060" spans="15:61" hidden="1">
      <c r="O1060" s="57"/>
      <c r="P1060" s="57"/>
      <c r="AP1060" s="57"/>
      <c r="BA1060" s="57"/>
      <c r="BF1060" s="6" t="e">
        <f t="shared" si="48"/>
        <v>#NUM!</v>
      </c>
      <c r="BG1060" t="e">
        <f t="shared" si="49"/>
        <v>#NUM!</v>
      </c>
      <c r="BH1060" t="e">
        <f t="shared" si="50"/>
        <v>#NUM!</v>
      </c>
      <c r="BI1060" t="e">
        <f>VLOOKUP(H1060,Sheet2!$A$1:$B$270,2,FALSE)</f>
        <v>#N/A</v>
      </c>
    </row>
    <row r="1061" spans="15:61" hidden="1">
      <c r="O1061" s="57"/>
      <c r="P1061" s="57"/>
      <c r="AP1061" s="57"/>
      <c r="BA1061" s="57"/>
      <c r="BF1061" s="6" t="e">
        <f t="shared" si="48"/>
        <v>#NUM!</v>
      </c>
      <c r="BG1061" t="e">
        <f t="shared" si="49"/>
        <v>#NUM!</v>
      </c>
      <c r="BH1061" t="e">
        <f t="shared" si="50"/>
        <v>#NUM!</v>
      </c>
      <c r="BI1061" t="e">
        <f>VLOOKUP(H1061,Sheet2!$A$1:$B$270,2,FALSE)</f>
        <v>#N/A</v>
      </c>
    </row>
    <row r="1062" spans="15:61" hidden="1">
      <c r="O1062" s="57"/>
      <c r="P1062" s="57"/>
      <c r="AP1062" s="57"/>
      <c r="BA1062" s="57"/>
      <c r="BF1062" s="6" t="e">
        <f t="shared" si="48"/>
        <v>#NUM!</v>
      </c>
      <c r="BG1062" t="e">
        <f t="shared" si="49"/>
        <v>#NUM!</v>
      </c>
      <c r="BH1062" t="e">
        <f t="shared" si="50"/>
        <v>#NUM!</v>
      </c>
      <c r="BI1062" t="e">
        <f>VLOOKUP(H1062,Sheet2!$A$1:$B$270,2,FALSE)</f>
        <v>#N/A</v>
      </c>
    </row>
    <row r="1063" spans="15:61" hidden="1">
      <c r="O1063" s="57"/>
      <c r="P1063" s="57"/>
      <c r="AO1063" s="57"/>
      <c r="AP1063" s="57"/>
      <c r="BA1063" s="57"/>
      <c r="BF1063" s="6" t="e">
        <f t="shared" si="48"/>
        <v>#NUM!</v>
      </c>
      <c r="BG1063" t="e">
        <f t="shared" si="49"/>
        <v>#NUM!</v>
      </c>
      <c r="BH1063" t="e">
        <f t="shared" si="50"/>
        <v>#NUM!</v>
      </c>
      <c r="BI1063" t="e">
        <f>VLOOKUP(H1063,Sheet2!$A$1:$B$270,2,FALSE)</f>
        <v>#N/A</v>
      </c>
    </row>
    <row r="1064" spans="15:61" hidden="1">
      <c r="O1064" s="57"/>
      <c r="P1064" s="57"/>
      <c r="AO1064" s="57"/>
      <c r="AP1064" s="57"/>
      <c r="BA1064" s="57"/>
      <c r="BF1064" s="6" t="e">
        <f t="shared" si="48"/>
        <v>#NUM!</v>
      </c>
      <c r="BG1064" t="e">
        <f t="shared" si="49"/>
        <v>#NUM!</v>
      </c>
      <c r="BH1064" t="e">
        <f t="shared" si="50"/>
        <v>#NUM!</v>
      </c>
      <c r="BI1064" t="e">
        <f>VLOOKUP(H1064,Sheet2!$A$1:$B$270,2,FALSE)</f>
        <v>#N/A</v>
      </c>
    </row>
    <row r="1065" spans="15:61" hidden="1">
      <c r="O1065" s="57"/>
      <c r="P1065" s="57"/>
      <c r="AO1065" s="57"/>
      <c r="AP1065" s="57"/>
      <c r="BA1065" s="57"/>
      <c r="BF1065" s="6" t="e">
        <f t="shared" si="48"/>
        <v>#NUM!</v>
      </c>
      <c r="BG1065" t="e">
        <f t="shared" si="49"/>
        <v>#NUM!</v>
      </c>
      <c r="BH1065" t="e">
        <f t="shared" si="50"/>
        <v>#NUM!</v>
      </c>
      <c r="BI1065" t="e">
        <f>VLOOKUP(H1065,Sheet2!$A$1:$B$270,2,FALSE)</f>
        <v>#N/A</v>
      </c>
    </row>
    <row r="1066" spans="15:61" hidden="1">
      <c r="O1066" s="57"/>
      <c r="P1066" s="57"/>
      <c r="AO1066" s="57"/>
      <c r="AP1066" s="57"/>
      <c r="BA1066" s="57"/>
      <c r="BF1066" s="6" t="e">
        <f t="shared" si="48"/>
        <v>#NUM!</v>
      </c>
      <c r="BG1066" t="e">
        <f t="shared" si="49"/>
        <v>#NUM!</v>
      </c>
      <c r="BH1066" t="e">
        <f t="shared" si="50"/>
        <v>#NUM!</v>
      </c>
      <c r="BI1066" t="e">
        <f>VLOOKUP(H1066,Sheet2!$A$1:$B$270,2,FALSE)</f>
        <v>#N/A</v>
      </c>
    </row>
    <row r="1067" spans="15:61" hidden="1">
      <c r="O1067" s="57"/>
      <c r="P1067" s="57"/>
      <c r="AP1067" s="57"/>
      <c r="BA1067" s="57"/>
      <c r="BF1067" s="6" t="e">
        <f t="shared" si="48"/>
        <v>#NUM!</v>
      </c>
      <c r="BG1067" t="e">
        <f t="shared" si="49"/>
        <v>#NUM!</v>
      </c>
      <c r="BH1067" t="e">
        <f t="shared" si="50"/>
        <v>#NUM!</v>
      </c>
      <c r="BI1067" t="e">
        <f>VLOOKUP(H1067,Sheet2!$A$1:$B$270,2,FALSE)</f>
        <v>#N/A</v>
      </c>
    </row>
    <row r="1068" spans="15:61" hidden="1">
      <c r="O1068" s="57"/>
      <c r="P1068" s="57"/>
      <c r="AP1068" s="57"/>
      <c r="BA1068" s="57"/>
      <c r="BF1068" s="6" t="e">
        <f t="shared" si="48"/>
        <v>#NUM!</v>
      </c>
      <c r="BG1068" t="e">
        <f t="shared" si="49"/>
        <v>#NUM!</v>
      </c>
      <c r="BH1068" t="e">
        <f t="shared" si="50"/>
        <v>#NUM!</v>
      </c>
      <c r="BI1068" t="e">
        <f>VLOOKUP(H1068,Sheet2!$A$1:$B$270,2,FALSE)</f>
        <v>#N/A</v>
      </c>
    </row>
    <row r="1069" spans="15:61" hidden="1">
      <c r="O1069" s="57"/>
      <c r="P1069" s="57"/>
      <c r="AP1069" s="57"/>
      <c r="BA1069" s="57"/>
      <c r="BF1069" s="6" t="e">
        <f t="shared" si="48"/>
        <v>#NUM!</v>
      </c>
      <c r="BG1069" t="e">
        <f t="shared" si="49"/>
        <v>#NUM!</v>
      </c>
      <c r="BH1069" t="e">
        <f t="shared" si="50"/>
        <v>#NUM!</v>
      </c>
      <c r="BI1069" t="e">
        <f>VLOOKUP(H1069,Sheet2!$A$1:$B$270,2,FALSE)</f>
        <v>#N/A</v>
      </c>
    </row>
    <row r="1070" spans="15:61" hidden="1">
      <c r="O1070" s="57"/>
      <c r="P1070" s="57"/>
      <c r="AP1070" s="57"/>
      <c r="BA1070" s="57"/>
      <c r="BF1070" s="6" t="e">
        <f t="shared" si="48"/>
        <v>#NUM!</v>
      </c>
      <c r="BG1070" t="e">
        <f t="shared" si="49"/>
        <v>#NUM!</v>
      </c>
      <c r="BH1070" t="e">
        <f t="shared" si="50"/>
        <v>#NUM!</v>
      </c>
      <c r="BI1070" t="e">
        <f>VLOOKUP(H1070,Sheet2!$A$1:$B$270,2,FALSE)</f>
        <v>#N/A</v>
      </c>
    </row>
    <row r="1071" spans="15:61" hidden="1">
      <c r="O1071" s="57"/>
      <c r="P1071" s="57"/>
      <c r="AO1071" s="57"/>
      <c r="AP1071" s="57"/>
      <c r="BA1071" s="57"/>
      <c r="BF1071" s="6" t="e">
        <f t="shared" si="48"/>
        <v>#NUM!</v>
      </c>
      <c r="BG1071" t="e">
        <f t="shared" si="49"/>
        <v>#NUM!</v>
      </c>
      <c r="BH1071" t="e">
        <f t="shared" si="50"/>
        <v>#NUM!</v>
      </c>
      <c r="BI1071" t="e">
        <f>VLOOKUP(H1071,Sheet2!$A$1:$B$270,2,FALSE)</f>
        <v>#N/A</v>
      </c>
    </row>
    <row r="1072" spans="15:61" hidden="1">
      <c r="O1072" s="57"/>
      <c r="P1072" s="57"/>
      <c r="AO1072" s="57"/>
      <c r="BA1072" s="57"/>
      <c r="BF1072" s="6" t="e">
        <f t="shared" si="48"/>
        <v>#NUM!</v>
      </c>
      <c r="BG1072" t="e">
        <f t="shared" si="49"/>
        <v>#NUM!</v>
      </c>
      <c r="BH1072" t="e">
        <f t="shared" si="50"/>
        <v>#NUM!</v>
      </c>
      <c r="BI1072" t="e">
        <f>VLOOKUP(H1072,Sheet2!$A$1:$B$270,2,FALSE)</f>
        <v>#N/A</v>
      </c>
    </row>
    <row r="1073" spans="15:61" hidden="1">
      <c r="O1073" s="57"/>
      <c r="P1073" s="57"/>
      <c r="AO1073" s="57"/>
      <c r="AP1073" s="57"/>
      <c r="BA1073" s="57"/>
      <c r="BF1073" s="6" t="e">
        <f t="shared" si="48"/>
        <v>#NUM!</v>
      </c>
      <c r="BG1073" t="e">
        <f t="shared" si="49"/>
        <v>#NUM!</v>
      </c>
      <c r="BH1073" t="e">
        <f t="shared" si="50"/>
        <v>#NUM!</v>
      </c>
      <c r="BI1073" t="e">
        <f>VLOOKUP(H1073,Sheet2!$A$1:$B$270,2,FALSE)</f>
        <v>#N/A</v>
      </c>
    </row>
    <row r="1074" spans="15:61" hidden="1">
      <c r="O1074" s="57"/>
      <c r="P1074" s="57"/>
      <c r="AO1074" s="57"/>
      <c r="BA1074" s="57"/>
      <c r="BF1074" s="6" t="e">
        <f t="shared" si="48"/>
        <v>#NUM!</v>
      </c>
      <c r="BG1074" t="e">
        <f t="shared" si="49"/>
        <v>#NUM!</v>
      </c>
      <c r="BH1074" t="e">
        <f t="shared" si="50"/>
        <v>#NUM!</v>
      </c>
      <c r="BI1074" t="e">
        <f>VLOOKUP(H1074,Sheet2!$A$1:$B$270,2,FALSE)</f>
        <v>#N/A</v>
      </c>
    </row>
    <row r="1075" spans="15:61" hidden="1">
      <c r="O1075" s="57"/>
      <c r="P1075" s="57"/>
      <c r="AO1075" s="57"/>
      <c r="AP1075" s="57"/>
      <c r="BA1075" s="57"/>
      <c r="BF1075" s="6" t="e">
        <f t="shared" si="48"/>
        <v>#NUM!</v>
      </c>
      <c r="BG1075" t="e">
        <f t="shared" si="49"/>
        <v>#NUM!</v>
      </c>
      <c r="BH1075" t="e">
        <f t="shared" si="50"/>
        <v>#NUM!</v>
      </c>
      <c r="BI1075" t="e">
        <f>VLOOKUP(H1075,Sheet2!$A$1:$B$270,2,FALSE)</f>
        <v>#N/A</v>
      </c>
    </row>
    <row r="1076" spans="15:61" hidden="1">
      <c r="O1076" s="57"/>
      <c r="P1076" s="57"/>
      <c r="AO1076" s="57"/>
      <c r="AP1076" s="57"/>
      <c r="BA1076" s="57"/>
      <c r="BF1076" s="6" t="e">
        <f t="shared" si="48"/>
        <v>#NUM!</v>
      </c>
      <c r="BG1076" t="e">
        <f t="shared" si="49"/>
        <v>#NUM!</v>
      </c>
      <c r="BH1076" t="e">
        <f t="shared" si="50"/>
        <v>#NUM!</v>
      </c>
      <c r="BI1076" t="e">
        <f>VLOOKUP(H1076,Sheet2!$A$1:$B$270,2,FALSE)</f>
        <v>#N/A</v>
      </c>
    </row>
    <row r="1077" spans="15:61" hidden="1">
      <c r="O1077" s="57"/>
      <c r="P1077" s="57"/>
      <c r="AO1077" s="57"/>
      <c r="AP1077" s="57"/>
      <c r="BA1077" s="57"/>
      <c r="BF1077" s="6" t="e">
        <f t="shared" si="48"/>
        <v>#NUM!</v>
      </c>
      <c r="BG1077" t="e">
        <f t="shared" si="49"/>
        <v>#NUM!</v>
      </c>
      <c r="BH1077" t="e">
        <f t="shared" si="50"/>
        <v>#NUM!</v>
      </c>
      <c r="BI1077" t="e">
        <f>VLOOKUP(H1077,Sheet2!$A$1:$B$270,2,FALSE)</f>
        <v>#N/A</v>
      </c>
    </row>
    <row r="1078" spans="15:61" hidden="1">
      <c r="O1078" s="57"/>
      <c r="P1078" s="57"/>
      <c r="AO1078" s="57"/>
      <c r="AP1078" s="57"/>
      <c r="BA1078" s="57"/>
      <c r="BF1078" s="6" t="e">
        <f t="shared" si="48"/>
        <v>#NUM!</v>
      </c>
      <c r="BG1078" t="e">
        <f t="shared" si="49"/>
        <v>#NUM!</v>
      </c>
      <c r="BH1078" t="e">
        <f t="shared" si="50"/>
        <v>#NUM!</v>
      </c>
      <c r="BI1078" t="e">
        <f>VLOOKUP(H1078,Sheet2!$A$1:$B$270,2,FALSE)</f>
        <v>#N/A</v>
      </c>
    </row>
    <row r="1079" spans="15:61" hidden="1">
      <c r="O1079" s="57"/>
      <c r="P1079" s="57"/>
      <c r="AP1079" s="57"/>
      <c r="BA1079" s="57"/>
      <c r="BF1079" s="6" t="e">
        <f t="shared" si="48"/>
        <v>#NUM!</v>
      </c>
      <c r="BG1079" t="e">
        <f t="shared" si="49"/>
        <v>#NUM!</v>
      </c>
      <c r="BH1079" t="e">
        <f t="shared" si="50"/>
        <v>#NUM!</v>
      </c>
      <c r="BI1079" t="e">
        <f>VLOOKUP(H1079,Sheet2!$A$1:$B$270,2,FALSE)</f>
        <v>#N/A</v>
      </c>
    </row>
    <row r="1080" spans="15:61" hidden="1">
      <c r="O1080" s="57"/>
      <c r="P1080" s="57"/>
      <c r="AP1080" s="57"/>
      <c r="BA1080" s="57"/>
      <c r="BF1080" s="6" t="e">
        <f t="shared" si="48"/>
        <v>#NUM!</v>
      </c>
      <c r="BG1080" t="e">
        <f t="shared" si="49"/>
        <v>#NUM!</v>
      </c>
      <c r="BH1080" t="e">
        <f t="shared" si="50"/>
        <v>#NUM!</v>
      </c>
      <c r="BI1080" t="e">
        <f>VLOOKUP(H1080,Sheet2!$A$1:$B$270,2,FALSE)</f>
        <v>#N/A</v>
      </c>
    </row>
    <row r="1081" spans="15:61" hidden="1">
      <c r="O1081" s="57"/>
      <c r="P1081" s="57"/>
      <c r="AP1081" s="57"/>
      <c r="BA1081" s="57"/>
      <c r="BF1081" s="6" t="e">
        <f t="shared" si="48"/>
        <v>#NUM!</v>
      </c>
      <c r="BG1081" t="e">
        <f t="shared" si="49"/>
        <v>#NUM!</v>
      </c>
      <c r="BH1081" t="e">
        <f t="shared" si="50"/>
        <v>#NUM!</v>
      </c>
      <c r="BI1081" t="e">
        <f>VLOOKUP(H1081,Sheet2!$A$1:$B$270,2,FALSE)</f>
        <v>#N/A</v>
      </c>
    </row>
    <row r="1082" spans="15:61" hidden="1">
      <c r="O1082" s="57"/>
      <c r="P1082" s="57"/>
      <c r="AP1082" s="57"/>
      <c r="BA1082" s="57"/>
      <c r="BF1082" s="6" t="e">
        <f t="shared" si="48"/>
        <v>#NUM!</v>
      </c>
      <c r="BG1082" t="e">
        <f t="shared" si="49"/>
        <v>#NUM!</v>
      </c>
      <c r="BH1082" t="e">
        <f t="shared" si="50"/>
        <v>#NUM!</v>
      </c>
      <c r="BI1082" t="e">
        <f>VLOOKUP(H1082,Sheet2!$A$1:$B$270,2,FALSE)</f>
        <v>#N/A</v>
      </c>
    </row>
    <row r="1083" spans="15:61" hidden="1">
      <c r="O1083" s="57"/>
      <c r="P1083" s="57"/>
      <c r="BA1083" s="57"/>
      <c r="BF1083" s="6" t="e">
        <f t="shared" si="48"/>
        <v>#NUM!</v>
      </c>
      <c r="BG1083" t="e">
        <f t="shared" si="49"/>
        <v>#NUM!</v>
      </c>
      <c r="BH1083" t="e">
        <f t="shared" si="50"/>
        <v>#NUM!</v>
      </c>
      <c r="BI1083" t="e">
        <f>VLOOKUP(H1083,Sheet2!$A$1:$B$270,2,FALSE)</f>
        <v>#N/A</v>
      </c>
    </row>
    <row r="1084" spans="15:61" hidden="1">
      <c r="O1084" s="57"/>
      <c r="P1084" s="57"/>
      <c r="AP1084" s="57"/>
      <c r="BA1084" s="57"/>
      <c r="BF1084" s="6" t="e">
        <f t="shared" si="48"/>
        <v>#NUM!</v>
      </c>
      <c r="BG1084" t="e">
        <f t="shared" si="49"/>
        <v>#NUM!</v>
      </c>
      <c r="BH1084" t="e">
        <f t="shared" si="50"/>
        <v>#NUM!</v>
      </c>
      <c r="BI1084" t="e">
        <f>VLOOKUP(H1084,Sheet2!$A$1:$B$270,2,FALSE)</f>
        <v>#N/A</v>
      </c>
    </row>
    <row r="1085" spans="15:61" hidden="1">
      <c r="O1085" s="57"/>
      <c r="P1085" s="57"/>
      <c r="AP1085" s="57"/>
      <c r="BA1085" s="57"/>
      <c r="BF1085" s="6" t="e">
        <f t="shared" si="48"/>
        <v>#NUM!</v>
      </c>
      <c r="BG1085" t="e">
        <f t="shared" si="49"/>
        <v>#NUM!</v>
      </c>
      <c r="BH1085" t="e">
        <f t="shared" si="50"/>
        <v>#NUM!</v>
      </c>
      <c r="BI1085" t="e">
        <f>VLOOKUP(H1085,Sheet2!$A$1:$B$270,2,FALSE)</f>
        <v>#N/A</v>
      </c>
    </row>
    <row r="1086" spans="15:61" hidden="1">
      <c r="O1086" s="57"/>
      <c r="P1086" s="57"/>
      <c r="AP1086" s="57"/>
      <c r="BA1086" s="57"/>
      <c r="BF1086" s="6" t="e">
        <f t="shared" si="48"/>
        <v>#NUM!</v>
      </c>
      <c r="BG1086" t="e">
        <f t="shared" si="49"/>
        <v>#NUM!</v>
      </c>
      <c r="BH1086" t="e">
        <f t="shared" si="50"/>
        <v>#NUM!</v>
      </c>
      <c r="BI1086" t="e">
        <f>VLOOKUP(H1086,Sheet2!$A$1:$B$270,2,FALSE)</f>
        <v>#N/A</v>
      </c>
    </row>
    <row r="1087" spans="15:61" hidden="1">
      <c r="O1087" s="57"/>
      <c r="P1087" s="57"/>
      <c r="AP1087" s="57"/>
      <c r="BA1087" s="57"/>
      <c r="BF1087" s="6" t="e">
        <f t="shared" si="48"/>
        <v>#NUM!</v>
      </c>
      <c r="BG1087" t="e">
        <f t="shared" si="49"/>
        <v>#NUM!</v>
      </c>
      <c r="BH1087" t="e">
        <f t="shared" si="50"/>
        <v>#NUM!</v>
      </c>
      <c r="BI1087" t="e">
        <f>VLOOKUP(H1087,Sheet2!$A$1:$B$270,2,FALSE)</f>
        <v>#N/A</v>
      </c>
    </row>
    <row r="1088" spans="15:61" hidden="1">
      <c r="O1088" s="57"/>
      <c r="P1088" s="57"/>
      <c r="AP1088" s="57"/>
      <c r="BA1088" s="57"/>
      <c r="BF1088" s="6" t="e">
        <f t="shared" si="48"/>
        <v>#NUM!</v>
      </c>
      <c r="BG1088" t="e">
        <f t="shared" si="49"/>
        <v>#NUM!</v>
      </c>
      <c r="BH1088" t="e">
        <f t="shared" si="50"/>
        <v>#NUM!</v>
      </c>
      <c r="BI1088" t="e">
        <f>VLOOKUP(H1088,Sheet2!$A$1:$B$270,2,FALSE)</f>
        <v>#N/A</v>
      </c>
    </row>
    <row r="1089" spans="15:61" hidden="1">
      <c r="O1089" s="57"/>
      <c r="P1089" s="57"/>
      <c r="AP1089" s="57"/>
      <c r="BA1089" s="57"/>
      <c r="BF1089" s="6" t="e">
        <f t="shared" si="48"/>
        <v>#NUM!</v>
      </c>
      <c r="BG1089" t="e">
        <f t="shared" si="49"/>
        <v>#NUM!</v>
      </c>
      <c r="BH1089" t="e">
        <f t="shared" si="50"/>
        <v>#NUM!</v>
      </c>
      <c r="BI1089" t="e">
        <f>VLOOKUP(H1089,Sheet2!$A$1:$B$270,2,FALSE)</f>
        <v>#N/A</v>
      </c>
    </row>
    <row r="1090" spans="15:61" hidden="1">
      <c r="O1090" s="57"/>
      <c r="P1090" s="57"/>
      <c r="AP1090" s="57"/>
      <c r="BA1090" s="57"/>
      <c r="BF1090" s="6" t="e">
        <f t="shared" ref="BF1090:BF1153" si="51">DATE(BC1090,BD1090,BE1090)</f>
        <v>#NUM!</v>
      </c>
      <c r="BG1090" t="e">
        <f t="shared" ref="BG1090:BG1153" si="52">BF1090-BA1090</f>
        <v>#NUM!</v>
      </c>
      <c r="BH1090" t="e">
        <f t="shared" ref="BH1090:BH1153" si="53">IF(BG1090=1,"COMPLY",IF(BG1090&lt;1,"COMPLY","NOT COMPLY"))</f>
        <v>#NUM!</v>
      </c>
      <c r="BI1090" t="e">
        <f>VLOOKUP(H1090,Sheet2!$A$1:$B$270,2,FALSE)</f>
        <v>#N/A</v>
      </c>
    </row>
    <row r="1091" spans="15:61" hidden="1">
      <c r="O1091" s="57"/>
      <c r="P1091" s="57"/>
      <c r="AP1091" s="57"/>
      <c r="BA1091" s="57"/>
      <c r="BF1091" s="6" t="e">
        <f t="shared" si="51"/>
        <v>#NUM!</v>
      </c>
      <c r="BG1091" t="e">
        <f t="shared" si="52"/>
        <v>#NUM!</v>
      </c>
      <c r="BH1091" t="e">
        <f t="shared" si="53"/>
        <v>#NUM!</v>
      </c>
      <c r="BI1091" t="e">
        <f>VLOOKUP(H1091,Sheet2!$A$1:$B$270,2,FALSE)</f>
        <v>#N/A</v>
      </c>
    </row>
    <row r="1092" spans="15:61" hidden="1">
      <c r="O1092" s="57"/>
      <c r="P1092" s="57"/>
      <c r="AP1092" s="57"/>
      <c r="BA1092" s="57"/>
      <c r="BF1092" s="6" t="e">
        <f t="shared" si="51"/>
        <v>#NUM!</v>
      </c>
      <c r="BG1092" t="e">
        <f t="shared" si="52"/>
        <v>#NUM!</v>
      </c>
      <c r="BH1092" t="e">
        <f t="shared" si="53"/>
        <v>#NUM!</v>
      </c>
      <c r="BI1092" t="e">
        <f>VLOOKUP(H1092,Sheet2!$A$1:$B$270,2,FALSE)</f>
        <v>#N/A</v>
      </c>
    </row>
    <row r="1093" spans="15:61" hidden="1">
      <c r="O1093" s="57"/>
      <c r="P1093" s="57"/>
      <c r="BA1093" s="57"/>
      <c r="BF1093" s="6" t="e">
        <f t="shared" si="51"/>
        <v>#NUM!</v>
      </c>
      <c r="BG1093" t="e">
        <f t="shared" si="52"/>
        <v>#NUM!</v>
      </c>
      <c r="BH1093" t="e">
        <f t="shared" si="53"/>
        <v>#NUM!</v>
      </c>
      <c r="BI1093" t="e">
        <f>VLOOKUP(H1093,Sheet2!$A$1:$B$270,2,FALSE)</f>
        <v>#N/A</v>
      </c>
    </row>
    <row r="1094" spans="15:61" hidden="1">
      <c r="O1094" s="57"/>
      <c r="P1094" s="57"/>
      <c r="AP1094" s="57"/>
      <c r="BA1094" s="57"/>
      <c r="BF1094" s="6" t="e">
        <f t="shared" si="51"/>
        <v>#NUM!</v>
      </c>
      <c r="BG1094" t="e">
        <f t="shared" si="52"/>
        <v>#NUM!</v>
      </c>
      <c r="BH1094" t="e">
        <f t="shared" si="53"/>
        <v>#NUM!</v>
      </c>
      <c r="BI1094" t="e">
        <f>VLOOKUP(H1094,Sheet2!$A$1:$B$270,2,FALSE)</f>
        <v>#N/A</v>
      </c>
    </row>
    <row r="1095" spans="15:61" hidden="1">
      <c r="O1095" s="57"/>
      <c r="P1095" s="57"/>
      <c r="AP1095" s="57"/>
      <c r="BA1095" s="57"/>
      <c r="BF1095" s="6" t="e">
        <f t="shared" si="51"/>
        <v>#NUM!</v>
      </c>
      <c r="BG1095" t="e">
        <f t="shared" si="52"/>
        <v>#NUM!</v>
      </c>
      <c r="BH1095" t="e">
        <f t="shared" si="53"/>
        <v>#NUM!</v>
      </c>
      <c r="BI1095" t="e">
        <f>VLOOKUP(H1095,Sheet2!$A$1:$B$270,2,FALSE)</f>
        <v>#N/A</v>
      </c>
    </row>
    <row r="1096" spans="15:61" hidden="1">
      <c r="O1096" s="57"/>
      <c r="P1096" s="57"/>
      <c r="AP1096" s="57"/>
      <c r="BA1096" s="57"/>
      <c r="BF1096" s="6" t="e">
        <f t="shared" si="51"/>
        <v>#NUM!</v>
      </c>
      <c r="BG1096" t="e">
        <f t="shared" si="52"/>
        <v>#NUM!</v>
      </c>
      <c r="BH1096" t="e">
        <f t="shared" si="53"/>
        <v>#NUM!</v>
      </c>
      <c r="BI1096" t="e">
        <f>VLOOKUP(H1096,Sheet2!$A$1:$B$270,2,FALSE)</f>
        <v>#N/A</v>
      </c>
    </row>
    <row r="1097" spans="15:61" hidden="1">
      <c r="O1097" s="57"/>
      <c r="P1097" s="57"/>
      <c r="AP1097" s="57"/>
      <c r="BA1097" s="57"/>
      <c r="BF1097" s="6" t="e">
        <f t="shared" si="51"/>
        <v>#NUM!</v>
      </c>
      <c r="BG1097" t="e">
        <f t="shared" si="52"/>
        <v>#NUM!</v>
      </c>
      <c r="BH1097" t="e">
        <f t="shared" si="53"/>
        <v>#NUM!</v>
      </c>
      <c r="BI1097" t="e">
        <f>VLOOKUP(H1097,Sheet2!$A$1:$B$270,2,FALSE)</f>
        <v>#N/A</v>
      </c>
    </row>
    <row r="1098" spans="15:61" hidden="1">
      <c r="O1098" s="57"/>
      <c r="P1098" s="57"/>
      <c r="AP1098" s="57"/>
      <c r="BA1098" s="57"/>
      <c r="BF1098" s="6" t="e">
        <f t="shared" si="51"/>
        <v>#NUM!</v>
      </c>
      <c r="BG1098" t="e">
        <f t="shared" si="52"/>
        <v>#NUM!</v>
      </c>
      <c r="BH1098" t="e">
        <f t="shared" si="53"/>
        <v>#NUM!</v>
      </c>
      <c r="BI1098" t="e">
        <f>VLOOKUP(H1098,Sheet2!$A$1:$B$270,2,FALSE)</f>
        <v>#N/A</v>
      </c>
    </row>
    <row r="1099" spans="15:61" hidden="1">
      <c r="O1099" s="57"/>
      <c r="P1099" s="57"/>
      <c r="AO1099" s="57"/>
      <c r="AP1099" s="57"/>
      <c r="BA1099" s="57"/>
      <c r="BF1099" s="6" t="e">
        <f t="shared" si="51"/>
        <v>#NUM!</v>
      </c>
      <c r="BG1099" t="e">
        <f t="shared" si="52"/>
        <v>#NUM!</v>
      </c>
      <c r="BH1099" t="e">
        <f t="shared" si="53"/>
        <v>#NUM!</v>
      </c>
      <c r="BI1099" t="e">
        <f>VLOOKUP(H1099,Sheet2!$A$1:$B$270,2,FALSE)</f>
        <v>#N/A</v>
      </c>
    </row>
    <row r="1100" spans="15:61" hidden="1">
      <c r="O1100" s="57"/>
      <c r="P1100" s="57"/>
      <c r="AO1100" s="57"/>
      <c r="AP1100" s="57"/>
      <c r="BA1100" s="57"/>
      <c r="BF1100" s="6" t="e">
        <f t="shared" si="51"/>
        <v>#NUM!</v>
      </c>
      <c r="BG1100" t="e">
        <f t="shared" si="52"/>
        <v>#NUM!</v>
      </c>
      <c r="BH1100" t="e">
        <f t="shared" si="53"/>
        <v>#NUM!</v>
      </c>
      <c r="BI1100" t="e">
        <f>VLOOKUP(H1100,Sheet2!$A$1:$B$270,2,FALSE)</f>
        <v>#N/A</v>
      </c>
    </row>
    <row r="1101" spans="15:61" hidden="1">
      <c r="O1101" s="57"/>
      <c r="P1101" s="57"/>
      <c r="AO1101" s="57"/>
      <c r="AP1101" s="57"/>
      <c r="BA1101" s="57"/>
      <c r="BF1101" s="6" t="e">
        <f t="shared" si="51"/>
        <v>#NUM!</v>
      </c>
      <c r="BG1101" t="e">
        <f t="shared" si="52"/>
        <v>#NUM!</v>
      </c>
      <c r="BH1101" t="e">
        <f t="shared" si="53"/>
        <v>#NUM!</v>
      </c>
      <c r="BI1101" t="e">
        <f>VLOOKUP(H1101,Sheet2!$A$1:$B$270,2,FALSE)</f>
        <v>#N/A</v>
      </c>
    </row>
    <row r="1102" spans="15:61" hidden="1">
      <c r="O1102" s="57"/>
      <c r="P1102" s="57"/>
      <c r="AO1102" s="57"/>
      <c r="AP1102" s="57"/>
      <c r="BA1102" s="57"/>
      <c r="BF1102" s="6" t="e">
        <f t="shared" si="51"/>
        <v>#NUM!</v>
      </c>
      <c r="BG1102" t="e">
        <f t="shared" si="52"/>
        <v>#NUM!</v>
      </c>
      <c r="BH1102" t="e">
        <f t="shared" si="53"/>
        <v>#NUM!</v>
      </c>
      <c r="BI1102" t="e">
        <f>VLOOKUP(H1102,Sheet2!$A$1:$B$270,2,FALSE)</f>
        <v>#N/A</v>
      </c>
    </row>
    <row r="1103" spans="15:61" hidden="1">
      <c r="O1103" s="57"/>
      <c r="P1103" s="57"/>
      <c r="AO1103" s="57"/>
      <c r="AP1103" s="57"/>
      <c r="BA1103" s="57"/>
      <c r="BF1103" s="6" t="e">
        <f t="shared" si="51"/>
        <v>#NUM!</v>
      </c>
      <c r="BG1103" t="e">
        <f t="shared" si="52"/>
        <v>#NUM!</v>
      </c>
      <c r="BH1103" t="e">
        <f t="shared" si="53"/>
        <v>#NUM!</v>
      </c>
      <c r="BI1103" t="e">
        <f>VLOOKUP(H1103,Sheet2!$A$1:$B$270,2,FALSE)</f>
        <v>#N/A</v>
      </c>
    </row>
    <row r="1104" spans="15:61" hidden="1">
      <c r="O1104" s="57"/>
      <c r="P1104" s="57"/>
      <c r="AP1104" s="57"/>
      <c r="BA1104" s="57"/>
      <c r="BF1104" s="6" t="e">
        <f t="shared" si="51"/>
        <v>#NUM!</v>
      </c>
      <c r="BG1104" t="e">
        <f t="shared" si="52"/>
        <v>#NUM!</v>
      </c>
      <c r="BH1104" t="e">
        <f t="shared" si="53"/>
        <v>#NUM!</v>
      </c>
      <c r="BI1104" t="e">
        <f>VLOOKUP(H1104,Sheet2!$A$1:$B$270,2,FALSE)</f>
        <v>#N/A</v>
      </c>
    </row>
    <row r="1105" spans="15:61" hidden="1">
      <c r="O1105" s="57"/>
      <c r="P1105" s="57"/>
      <c r="AP1105" s="57"/>
      <c r="BA1105" s="57"/>
      <c r="BF1105" s="6" t="e">
        <f t="shared" si="51"/>
        <v>#NUM!</v>
      </c>
      <c r="BG1105" t="e">
        <f t="shared" si="52"/>
        <v>#NUM!</v>
      </c>
      <c r="BH1105" t="e">
        <f t="shared" si="53"/>
        <v>#NUM!</v>
      </c>
      <c r="BI1105" t="e">
        <f>VLOOKUP(H1105,Sheet2!$A$1:$B$270,2,FALSE)</f>
        <v>#N/A</v>
      </c>
    </row>
    <row r="1106" spans="15:61" hidden="1">
      <c r="O1106" s="57"/>
      <c r="P1106" s="57"/>
      <c r="AP1106" s="57"/>
      <c r="BA1106" s="57"/>
      <c r="BF1106" s="6" t="e">
        <f t="shared" si="51"/>
        <v>#NUM!</v>
      </c>
      <c r="BG1106" t="e">
        <f t="shared" si="52"/>
        <v>#NUM!</v>
      </c>
      <c r="BH1106" t="e">
        <f t="shared" si="53"/>
        <v>#NUM!</v>
      </c>
      <c r="BI1106" t="e">
        <f>VLOOKUP(H1106,Sheet2!$A$1:$B$270,2,FALSE)</f>
        <v>#N/A</v>
      </c>
    </row>
    <row r="1107" spans="15:61" hidden="1">
      <c r="O1107" s="57"/>
      <c r="P1107" s="57"/>
      <c r="AP1107" s="57"/>
      <c r="BA1107" s="57"/>
      <c r="BF1107" s="6" t="e">
        <f t="shared" si="51"/>
        <v>#NUM!</v>
      </c>
      <c r="BG1107" t="e">
        <f t="shared" si="52"/>
        <v>#NUM!</v>
      </c>
      <c r="BH1107" t="e">
        <f t="shared" si="53"/>
        <v>#NUM!</v>
      </c>
      <c r="BI1107" t="e">
        <f>VLOOKUP(H1107,Sheet2!$A$1:$B$270,2,FALSE)</f>
        <v>#N/A</v>
      </c>
    </row>
    <row r="1108" spans="15:61" hidden="1">
      <c r="O1108" s="57"/>
      <c r="P1108" s="57"/>
      <c r="AP1108" s="57"/>
      <c r="BA1108" s="57"/>
      <c r="BF1108" s="6" t="e">
        <f t="shared" si="51"/>
        <v>#NUM!</v>
      </c>
      <c r="BG1108" t="e">
        <f t="shared" si="52"/>
        <v>#NUM!</v>
      </c>
      <c r="BH1108" t="e">
        <f t="shared" si="53"/>
        <v>#NUM!</v>
      </c>
      <c r="BI1108" t="e">
        <f>VLOOKUP(H1108,Sheet2!$A$1:$B$270,2,FALSE)</f>
        <v>#N/A</v>
      </c>
    </row>
    <row r="1109" spans="15:61" hidden="1">
      <c r="O1109" s="57"/>
      <c r="P1109" s="57"/>
      <c r="AP1109" s="57"/>
      <c r="BA1109" s="57"/>
      <c r="BF1109" s="6" t="e">
        <f t="shared" si="51"/>
        <v>#NUM!</v>
      </c>
      <c r="BG1109" t="e">
        <f t="shared" si="52"/>
        <v>#NUM!</v>
      </c>
      <c r="BH1109" t="e">
        <f t="shared" si="53"/>
        <v>#NUM!</v>
      </c>
      <c r="BI1109" t="e">
        <f>VLOOKUP(H1109,Sheet2!$A$1:$B$270,2,FALSE)</f>
        <v>#N/A</v>
      </c>
    </row>
    <row r="1110" spans="15:61" hidden="1">
      <c r="O1110" s="57"/>
      <c r="P1110" s="57"/>
      <c r="AP1110" s="57"/>
      <c r="BA1110" s="57"/>
      <c r="BF1110" s="6" t="e">
        <f t="shared" si="51"/>
        <v>#NUM!</v>
      </c>
      <c r="BG1110" t="e">
        <f t="shared" si="52"/>
        <v>#NUM!</v>
      </c>
      <c r="BH1110" t="e">
        <f t="shared" si="53"/>
        <v>#NUM!</v>
      </c>
      <c r="BI1110" t="e">
        <f>VLOOKUP(H1110,Sheet2!$A$1:$B$270,2,FALSE)</f>
        <v>#N/A</v>
      </c>
    </row>
    <row r="1111" spans="15:61" hidden="1">
      <c r="O1111" s="57"/>
      <c r="P1111" s="57"/>
      <c r="AP1111" s="57"/>
      <c r="BA1111" s="57"/>
      <c r="BF1111" s="6" t="e">
        <f t="shared" si="51"/>
        <v>#NUM!</v>
      </c>
      <c r="BG1111" t="e">
        <f t="shared" si="52"/>
        <v>#NUM!</v>
      </c>
      <c r="BH1111" t="e">
        <f t="shared" si="53"/>
        <v>#NUM!</v>
      </c>
      <c r="BI1111" t="e">
        <f>VLOOKUP(H1111,Sheet2!$A$1:$B$270,2,FALSE)</f>
        <v>#N/A</v>
      </c>
    </row>
    <row r="1112" spans="15:61" hidden="1">
      <c r="O1112" s="57"/>
      <c r="P1112" s="57"/>
      <c r="AP1112" s="57"/>
      <c r="BA1112" s="57"/>
      <c r="BF1112" s="6" t="e">
        <f t="shared" si="51"/>
        <v>#NUM!</v>
      </c>
      <c r="BG1112" t="e">
        <f t="shared" si="52"/>
        <v>#NUM!</v>
      </c>
      <c r="BH1112" t="e">
        <f t="shared" si="53"/>
        <v>#NUM!</v>
      </c>
      <c r="BI1112" t="e">
        <f>VLOOKUP(H1112,Sheet2!$A$1:$B$270,2,FALSE)</f>
        <v>#N/A</v>
      </c>
    </row>
    <row r="1113" spans="15:61" hidden="1">
      <c r="O1113" s="57"/>
      <c r="P1113" s="57"/>
      <c r="AP1113" s="57"/>
      <c r="BA1113" s="57"/>
      <c r="BF1113" s="6" t="e">
        <f t="shared" si="51"/>
        <v>#NUM!</v>
      </c>
      <c r="BG1113" t="e">
        <f t="shared" si="52"/>
        <v>#NUM!</v>
      </c>
      <c r="BH1113" t="e">
        <f t="shared" si="53"/>
        <v>#NUM!</v>
      </c>
      <c r="BI1113" t="e">
        <f>VLOOKUP(H1113,Sheet2!$A$1:$B$270,2,FALSE)</f>
        <v>#N/A</v>
      </c>
    </row>
    <row r="1114" spans="15:61" hidden="1">
      <c r="O1114" s="57"/>
      <c r="P1114" s="57"/>
      <c r="AP1114" s="57"/>
      <c r="BA1114" s="57"/>
      <c r="BF1114" s="6" t="e">
        <f t="shared" si="51"/>
        <v>#NUM!</v>
      </c>
      <c r="BG1114" t="e">
        <f t="shared" si="52"/>
        <v>#NUM!</v>
      </c>
      <c r="BH1114" t="e">
        <f t="shared" si="53"/>
        <v>#NUM!</v>
      </c>
      <c r="BI1114" t="e">
        <f>VLOOKUP(H1114,Sheet2!$A$1:$B$270,2,FALSE)</f>
        <v>#N/A</v>
      </c>
    </row>
    <row r="1115" spans="15:61" hidden="1">
      <c r="O1115" s="57"/>
      <c r="P1115" s="57"/>
      <c r="AP1115" s="57"/>
      <c r="BA1115" s="57"/>
      <c r="BF1115" s="6" t="e">
        <f t="shared" si="51"/>
        <v>#NUM!</v>
      </c>
      <c r="BG1115" t="e">
        <f t="shared" si="52"/>
        <v>#NUM!</v>
      </c>
      <c r="BH1115" t="e">
        <f t="shared" si="53"/>
        <v>#NUM!</v>
      </c>
      <c r="BI1115" t="e">
        <f>VLOOKUP(H1115,Sheet2!$A$1:$B$270,2,FALSE)</f>
        <v>#N/A</v>
      </c>
    </row>
    <row r="1116" spans="15:61" hidden="1">
      <c r="O1116" s="57"/>
      <c r="P1116" s="57"/>
      <c r="AP1116" s="57"/>
      <c r="BA1116" s="57"/>
      <c r="BF1116" s="6" t="e">
        <f t="shared" si="51"/>
        <v>#NUM!</v>
      </c>
      <c r="BG1116" t="e">
        <f t="shared" si="52"/>
        <v>#NUM!</v>
      </c>
      <c r="BH1116" t="e">
        <f t="shared" si="53"/>
        <v>#NUM!</v>
      </c>
      <c r="BI1116" t="e">
        <f>VLOOKUP(H1116,Sheet2!$A$1:$B$270,2,FALSE)</f>
        <v>#N/A</v>
      </c>
    </row>
    <row r="1117" spans="15:61" hidden="1">
      <c r="O1117" s="57"/>
      <c r="P1117" s="57"/>
      <c r="AP1117" s="57"/>
      <c r="BA1117" s="57"/>
      <c r="BF1117" s="6" t="e">
        <f t="shared" si="51"/>
        <v>#NUM!</v>
      </c>
      <c r="BG1117" t="e">
        <f t="shared" si="52"/>
        <v>#NUM!</v>
      </c>
      <c r="BH1117" t="e">
        <f t="shared" si="53"/>
        <v>#NUM!</v>
      </c>
      <c r="BI1117" t="e">
        <f>VLOOKUP(H1117,Sheet2!$A$1:$B$270,2,FALSE)</f>
        <v>#N/A</v>
      </c>
    </row>
    <row r="1118" spans="15:61" hidden="1">
      <c r="O1118" s="57"/>
      <c r="P1118" s="57"/>
      <c r="AP1118" s="57"/>
      <c r="BA1118" s="57"/>
      <c r="BF1118" s="6" t="e">
        <f t="shared" si="51"/>
        <v>#NUM!</v>
      </c>
      <c r="BG1118" t="e">
        <f t="shared" si="52"/>
        <v>#NUM!</v>
      </c>
      <c r="BH1118" t="e">
        <f t="shared" si="53"/>
        <v>#NUM!</v>
      </c>
      <c r="BI1118" t="e">
        <f>VLOOKUP(H1118,Sheet2!$A$1:$B$270,2,FALSE)</f>
        <v>#N/A</v>
      </c>
    </row>
    <row r="1119" spans="15:61" hidden="1">
      <c r="O1119" s="57"/>
      <c r="P1119" s="57"/>
      <c r="AP1119" s="57"/>
      <c r="BA1119" s="57"/>
      <c r="BF1119" s="6" t="e">
        <f t="shared" si="51"/>
        <v>#NUM!</v>
      </c>
      <c r="BG1119" t="e">
        <f t="shared" si="52"/>
        <v>#NUM!</v>
      </c>
      <c r="BH1119" t="e">
        <f t="shared" si="53"/>
        <v>#NUM!</v>
      </c>
      <c r="BI1119" t="e">
        <f>VLOOKUP(H1119,Sheet2!$A$1:$B$270,2,FALSE)</f>
        <v>#N/A</v>
      </c>
    </row>
    <row r="1120" spans="15:61" hidden="1">
      <c r="O1120" s="57"/>
      <c r="P1120" s="57"/>
      <c r="AO1120" s="57"/>
      <c r="AP1120" s="57"/>
      <c r="BA1120" s="57"/>
      <c r="BF1120" s="6" t="e">
        <f t="shared" si="51"/>
        <v>#NUM!</v>
      </c>
      <c r="BG1120" t="e">
        <f t="shared" si="52"/>
        <v>#NUM!</v>
      </c>
      <c r="BH1120" t="e">
        <f t="shared" si="53"/>
        <v>#NUM!</v>
      </c>
      <c r="BI1120" t="e">
        <f>VLOOKUP(H1120,Sheet2!$A$1:$B$270,2,FALSE)</f>
        <v>#N/A</v>
      </c>
    </row>
    <row r="1121" spans="15:61" hidden="1">
      <c r="O1121" s="57"/>
      <c r="P1121" s="57"/>
      <c r="AO1121" s="57"/>
      <c r="AP1121" s="57"/>
      <c r="BA1121" s="57"/>
      <c r="BF1121" s="6" t="e">
        <f t="shared" si="51"/>
        <v>#NUM!</v>
      </c>
      <c r="BG1121" t="e">
        <f t="shared" si="52"/>
        <v>#NUM!</v>
      </c>
      <c r="BH1121" t="e">
        <f t="shared" si="53"/>
        <v>#NUM!</v>
      </c>
      <c r="BI1121" t="e">
        <f>VLOOKUP(H1121,Sheet2!$A$1:$B$270,2,FALSE)</f>
        <v>#N/A</v>
      </c>
    </row>
    <row r="1122" spans="15:61" hidden="1">
      <c r="O1122" s="57"/>
      <c r="P1122" s="57"/>
      <c r="AO1122" s="57"/>
      <c r="BA1122" s="57"/>
      <c r="BF1122" s="6" t="e">
        <f t="shared" si="51"/>
        <v>#NUM!</v>
      </c>
      <c r="BG1122" t="e">
        <f t="shared" si="52"/>
        <v>#NUM!</v>
      </c>
      <c r="BH1122" t="e">
        <f t="shared" si="53"/>
        <v>#NUM!</v>
      </c>
      <c r="BI1122" t="e">
        <f>VLOOKUP(H1122,Sheet2!$A$1:$B$270,2,FALSE)</f>
        <v>#N/A</v>
      </c>
    </row>
    <row r="1123" spans="15:61" hidden="1">
      <c r="O1123" s="57"/>
      <c r="P1123" s="57"/>
      <c r="AP1123" s="57"/>
      <c r="BA1123" s="57"/>
      <c r="BF1123" s="6" t="e">
        <f t="shared" si="51"/>
        <v>#NUM!</v>
      </c>
      <c r="BG1123" t="e">
        <f t="shared" si="52"/>
        <v>#NUM!</v>
      </c>
      <c r="BH1123" t="e">
        <f t="shared" si="53"/>
        <v>#NUM!</v>
      </c>
      <c r="BI1123" t="e">
        <f>VLOOKUP(H1123,Sheet2!$A$1:$B$270,2,FALSE)</f>
        <v>#N/A</v>
      </c>
    </row>
    <row r="1124" spans="15:61" hidden="1">
      <c r="O1124" s="57"/>
      <c r="P1124" s="57"/>
      <c r="AP1124" s="57"/>
      <c r="BA1124" s="57"/>
      <c r="BF1124" s="6" t="e">
        <f t="shared" si="51"/>
        <v>#NUM!</v>
      </c>
      <c r="BG1124" t="e">
        <f t="shared" si="52"/>
        <v>#NUM!</v>
      </c>
      <c r="BH1124" t="e">
        <f t="shared" si="53"/>
        <v>#NUM!</v>
      </c>
      <c r="BI1124" t="e">
        <f>VLOOKUP(H1124,Sheet2!$A$1:$B$270,2,FALSE)</f>
        <v>#N/A</v>
      </c>
    </row>
    <row r="1125" spans="15:61" hidden="1">
      <c r="O1125" s="57"/>
      <c r="P1125" s="57"/>
      <c r="AP1125" s="57"/>
      <c r="BA1125" s="57"/>
      <c r="BF1125" s="6" t="e">
        <f t="shared" si="51"/>
        <v>#NUM!</v>
      </c>
      <c r="BG1125" t="e">
        <f t="shared" si="52"/>
        <v>#NUM!</v>
      </c>
      <c r="BH1125" t="e">
        <f t="shared" si="53"/>
        <v>#NUM!</v>
      </c>
      <c r="BI1125" t="e">
        <f>VLOOKUP(H1125,Sheet2!$A$1:$B$270,2,FALSE)</f>
        <v>#N/A</v>
      </c>
    </row>
    <row r="1126" spans="15:61" hidden="1">
      <c r="O1126" s="57"/>
      <c r="P1126" s="57"/>
      <c r="AP1126" s="57"/>
      <c r="BA1126" s="57"/>
      <c r="BF1126" s="6" t="e">
        <f t="shared" si="51"/>
        <v>#NUM!</v>
      </c>
      <c r="BG1126" t="e">
        <f t="shared" si="52"/>
        <v>#NUM!</v>
      </c>
      <c r="BH1126" t="e">
        <f t="shared" si="53"/>
        <v>#NUM!</v>
      </c>
      <c r="BI1126" t="e">
        <f>VLOOKUP(H1126,Sheet2!$A$1:$B$270,2,FALSE)</f>
        <v>#N/A</v>
      </c>
    </row>
    <row r="1127" spans="15:61" hidden="1">
      <c r="O1127" s="57"/>
      <c r="P1127" s="57"/>
      <c r="AO1127" s="57"/>
      <c r="AP1127" s="57"/>
      <c r="BA1127" s="57"/>
      <c r="BF1127" s="6" t="e">
        <f t="shared" si="51"/>
        <v>#NUM!</v>
      </c>
      <c r="BG1127" t="e">
        <f t="shared" si="52"/>
        <v>#NUM!</v>
      </c>
      <c r="BH1127" t="e">
        <f t="shared" si="53"/>
        <v>#NUM!</v>
      </c>
      <c r="BI1127" t="e">
        <f>VLOOKUP(H1127,Sheet2!$A$1:$B$270,2,FALSE)</f>
        <v>#N/A</v>
      </c>
    </row>
    <row r="1128" spans="15:61" hidden="1">
      <c r="O1128" s="57"/>
      <c r="P1128" s="57"/>
      <c r="AO1128" s="57"/>
      <c r="BA1128" s="57"/>
      <c r="BF1128" s="6" t="e">
        <f t="shared" si="51"/>
        <v>#NUM!</v>
      </c>
      <c r="BG1128" t="e">
        <f t="shared" si="52"/>
        <v>#NUM!</v>
      </c>
      <c r="BH1128" t="e">
        <f t="shared" si="53"/>
        <v>#NUM!</v>
      </c>
      <c r="BI1128" t="e">
        <f>VLOOKUP(H1128,Sheet2!$A$1:$B$270,2,FALSE)</f>
        <v>#N/A</v>
      </c>
    </row>
    <row r="1129" spans="15:61" hidden="1">
      <c r="O1129" s="57"/>
      <c r="P1129" s="57"/>
      <c r="AO1129" s="57"/>
      <c r="AP1129" s="57"/>
      <c r="BA1129" s="57"/>
      <c r="BF1129" s="6" t="e">
        <f t="shared" si="51"/>
        <v>#NUM!</v>
      </c>
      <c r="BG1129" t="e">
        <f t="shared" si="52"/>
        <v>#NUM!</v>
      </c>
      <c r="BH1129" t="e">
        <f t="shared" si="53"/>
        <v>#NUM!</v>
      </c>
      <c r="BI1129" t="e">
        <f>VLOOKUP(H1129,Sheet2!$A$1:$B$270,2,FALSE)</f>
        <v>#N/A</v>
      </c>
    </row>
    <row r="1130" spans="15:61" hidden="1">
      <c r="O1130" s="57"/>
      <c r="P1130" s="57"/>
      <c r="AO1130" s="57"/>
      <c r="AP1130" s="57"/>
      <c r="BA1130" s="57"/>
      <c r="BF1130" s="6" t="e">
        <f t="shared" si="51"/>
        <v>#NUM!</v>
      </c>
      <c r="BG1130" t="e">
        <f t="shared" si="52"/>
        <v>#NUM!</v>
      </c>
      <c r="BH1130" t="e">
        <f t="shared" si="53"/>
        <v>#NUM!</v>
      </c>
      <c r="BI1130" t="e">
        <f>VLOOKUP(H1130,Sheet2!$A$1:$B$270,2,FALSE)</f>
        <v>#N/A</v>
      </c>
    </row>
    <row r="1131" spans="15:61" hidden="1">
      <c r="O1131" s="57"/>
      <c r="P1131" s="57"/>
      <c r="AO1131" s="57"/>
      <c r="AP1131" s="57"/>
      <c r="BA1131" s="57"/>
      <c r="BF1131" s="6" t="e">
        <f t="shared" si="51"/>
        <v>#NUM!</v>
      </c>
      <c r="BG1131" t="e">
        <f t="shared" si="52"/>
        <v>#NUM!</v>
      </c>
      <c r="BH1131" t="e">
        <f t="shared" si="53"/>
        <v>#NUM!</v>
      </c>
      <c r="BI1131" t="e">
        <f>VLOOKUP(H1131,Sheet2!$A$1:$B$270,2,FALSE)</f>
        <v>#N/A</v>
      </c>
    </row>
    <row r="1132" spans="15:61" hidden="1">
      <c r="O1132" s="57"/>
      <c r="P1132" s="57"/>
      <c r="AP1132" s="57"/>
      <c r="BA1132" s="57"/>
      <c r="BF1132" s="6" t="e">
        <f t="shared" si="51"/>
        <v>#NUM!</v>
      </c>
      <c r="BG1132" t="e">
        <f t="shared" si="52"/>
        <v>#NUM!</v>
      </c>
      <c r="BH1132" t="e">
        <f t="shared" si="53"/>
        <v>#NUM!</v>
      </c>
      <c r="BI1132" t="e">
        <f>VLOOKUP(H1132,Sheet2!$A$1:$B$270,2,FALSE)</f>
        <v>#N/A</v>
      </c>
    </row>
    <row r="1133" spans="15:61" hidden="1">
      <c r="O1133" s="57"/>
      <c r="P1133" s="57"/>
      <c r="BA1133" s="57"/>
      <c r="BF1133" s="6" t="e">
        <f t="shared" si="51"/>
        <v>#NUM!</v>
      </c>
      <c r="BG1133" t="e">
        <f t="shared" si="52"/>
        <v>#NUM!</v>
      </c>
      <c r="BH1133" t="e">
        <f t="shared" si="53"/>
        <v>#NUM!</v>
      </c>
      <c r="BI1133" t="e">
        <f>VLOOKUP(H1133,Sheet2!$A$1:$B$270,2,FALSE)</f>
        <v>#N/A</v>
      </c>
    </row>
    <row r="1134" spans="15:61" hidden="1">
      <c r="O1134" s="57"/>
      <c r="P1134" s="57"/>
      <c r="AP1134" s="57"/>
      <c r="BA1134" s="57"/>
      <c r="BF1134" s="6" t="e">
        <f t="shared" si="51"/>
        <v>#NUM!</v>
      </c>
      <c r="BG1134" t="e">
        <f t="shared" si="52"/>
        <v>#NUM!</v>
      </c>
      <c r="BH1134" t="e">
        <f t="shared" si="53"/>
        <v>#NUM!</v>
      </c>
      <c r="BI1134" t="e">
        <f>VLOOKUP(H1134,Sheet2!$A$1:$B$270,2,FALSE)</f>
        <v>#N/A</v>
      </c>
    </row>
    <row r="1135" spans="15:61" hidden="1">
      <c r="O1135" s="57"/>
      <c r="P1135" s="57"/>
      <c r="AP1135" s="57"/>
      <c r="BA1135" s="57"/>
      <c r="BF1135" s="6" t="e">
        <f t="shared" si="51"/>
        <v>#NUM!</v>
      </c>
      <c r="BG1135" t="e">
        <f t="shared" si="52"/>
        <v>#NUM!</v>
      </c>
      <c r="BH1135" t="e">
        <f t="shared" si="53"/>
        <v>#NUM!</v>
      </c>
      <c r="BI1135" t="e">
        <f>VLOOKUP(H1135,Sheet2!$A$1:$B$270,2,FALSE)</f>
        <v>#N/A</v>
      </c>
    </row>
    <row r="1136" spans="15:61" hidden="1">
      <c r="O1136" s="57"/>
      <c r="P1136" s="57"/>
      <c r="AP1136" s="57"/>
      <c r="BA1136" s="57"/>
      <c r="BF1136" s="6" t="e">
        <f t="shared" si="51"/>
        <v>#NUM!</v>
      </c>
      <c r="BG1136" t="e">
        <f t="shared" si="52"/>
        <v>#NUM!</v>
      </c>
      <c r="BH1136" t="e">
        <f t="shared" si="53"/>
        <v>#NUM!</v>
      </c>
      <c r="BI1136" t="e">
        <f>VLOOKUP(H1136,Sheet2!$A$1:$B$270,2,FALSE)</f>
        <v>#N/A</v>
      </c>
    </row>
    <row r="1137" spans="15:61" hidden="1">
      <c r="O1137" s="57"/>
      <c r="P1137" s="57"/>
      <c r="BA1137" s="57"/>
      <c r="BF1137" s="6" t="e">
        <f t="shared" si="51"/>
        <v>#NUM!</v>
      </c>
      <c r="BG1137" t="e">
        <f t="shared" si="52"/>
        <v>#NUM!</v>
      </c>
      <c r="BH1137" t="e">
        <f t="shared" si="53"/>
        <v>#NUM!</v>
      </c>
      <c r="BI1137" t="e">
        <f>VLOOKUP(H1137,Sheet2!$A$1:$B$270,2,FALSE)</f>
        <v>#N/A</v>
      </c>
    </row>
    <row r="1138" spans="15:61" hidden="1">
      <c r="O1138" s="57"/>
      <c r="P1138" s="57"/>
      <c r="AP1138" s="57"/>
      <c r="BA1138" s="57"/>
      <c r="BF1138" s="6" t="e">
        <f t="shared" si="51"/>
        <v>#NUM!</v>
      </c>
      <c r="BG1138" t="e">
        <f t="shared" si="52"/>
        <v>#NUM!</v>
      </c>
      <c r="BH1138" t="e">
        <f t="shared" si="53"/>
        <v>#NUM!</v>
      </c>
      <c r="BI1138" t="e">
        <f>VLOOKUP(H1138,Sheet2!$A$1:$B$270,2,FALSE)</f>
        <v>#N/A</v>
      </c>
    </row>
    <row r="1139" spans="15:61" hidden="1">
      <c r="O1139" s="57"/>
      <c r="P1139" s="57"/>
      <c r="AP1139" s="57"/>
      <c r="BA1139" s="57"/>
      <c r="BF1139" s="6" t="e">
        <f t="shared" si="51"/>
        <v>#NUM!</v>
      </c>
      <c r="BG1139" t="e">
        <f t="shared" si="52"/>
        <v>#NUM!</v>
      </c>
      <c r="BH1139" t="e">
        <f t="shared" si="53"/>
        <v>#NUM!</v>
      </c>
      <c r="BI1139" t="e">
        <f>VLOOKUP(H1139,Sheet2!$A$1:$B$270,2,FALSE)</f>
        <v>#N/A</v>
      </c>
    </row>
    <row r="1140" spans="15:61" hidden="1">
      <c r="O1140" s="57"/>
      <c r="P1140" s="57"/>
      <c r="AP1140" s="57"/>
      <c r="BA1140" s="57"/>
      <c r="BF1140" s="6" t="e">
        <f t="shared" si="51"/>
        <v>#NUM!</v>
      </c>
      <c r="BG1140" t="e">
        <f t="shared" si="52"/>
        <v>#NUM!</v>
      </c>
      <c r="BH1140" t="e">
        <f t="shared" si="53"/>
        <v>#NUM!</v>
      </c>
      <c r="BI1140" t="e">
        <f>VLOOKUP(H1140,Sheet2!$A$1:$B$270,2,FALSE)</f>
        <v>#N/A</v>
      </c>
    </row>
    <row r="1141" spans="15:61" hidden="1">
      <c r="O1141" s="57"/>
      <c r="P1141" s="57"/>
      <c r="AP1141" s="57"/>
      <c r="BA1141" s="57"/>
      <c r="BF1141" s="6" t="e">
        <f t="shared" si="51"/>
        <v>#NUM!</v>
      </c>
      <c r="BG1141" t="e">
        <f t="shared" si="52"/>
        <v>#NUM!</v>
      </c>
      <c r="BH1141" t="e">
        <f t="shared" si="53"/>
        <v>#NUM!</v>
      </c>
      <c r="BI1141" t="e">
        <f>VLOOKUP(H1141,Sheet2!$A$1:$B$270,2,FALSE)</f>
        <v>#N/A</v>
      </c>
    </row>
    <row r="1142" spans="15:61" hidden="1">
      <c r="O1142" s="57"/>
      <c r="P1142" s="57"/>
      <c r="AP1142" s="57"/>
      <c r="BA1142" s="57"/>
      <c r="BF1142" s="6" t="e">
        <f t="shared" si="51"/>
        <v>#NUM!</v>
      </c>
      <c r="BG1142" t="e">
        <f t="shared" si="52"/>
        <v>#NUM!</v>
      </c>
      <c r="BH1142" t="e">
        <f t="shared" si="53"/>
        <v>#NUM!</v>
      </c>
      <c r="BI1142" t="e">
        <f>VLOOKUP(H1142,Sheet2!$A$1:$B$270,2,FALSE)</f>
        <v>#N/A</v>
      </c>
    </row>
    <row r="1143" spans="15:61" hidden="1">
      <c r="O1143" s="57"/>
      <c r="P1143" s="57"/>
      <c r="AO1143" s="57"/>
      <c r="AP1143" s="57"/>
      <c r="BA1143" s="57"/>
      <c r="BF1143" s="6" t="e">
        <f t="shared" si="51"/>
        <v>#NUM!</v>
      </c>
      <c r="BG1143" t="e">
        <f t="shared" si="52"/>
        <v>#NUM!</v>
      </c>
      <c r="BH1143" t="e">
        <f t="shared" si="53"/>
        <v>#NUM!</v>
      </c>
      <c r="BI1143" t="e">
        <f>VLOOKUP(H1143,Sheet2!$A$1:$B$270,2,FALSE)</f>
        <v>#N/A</v>
      </c>
    </row>
    <row r="1144" spans="15:61" hidden="1">
      <c r="O1144" s="57"/>
      <c r="P1144" s="57"/>
      <c r="AO1144" s="57"/>
      <c r="AP1144" s="57"/>
      <c r="BA1144" s="57"/>
      <c r="BF1144" s="6" t="e">
        <f t="shared" si="51"/>
        <v>#NUM!</v>
      </c>
      <c r="BG1144" t="e">
        <f t="shared" si="52"/>
        <v>#NUM!</v>
      </c>
      <c r="BH1144" t="e">
        <f t="shared" si="53"/>
        <v>#NUM!</v>
      </c>
      <c r="BI1144" t="e">
        <f>VLOOKUP(H1144,Sheet2!$A$1:$B$270,2,FALSE)</f>
        <v>#N/A</v>
      </c>
    </row>
    <row r="1145" spans="15:61" hidden="1">
      <c r="O1145" s="57"/>
      <c r="P1145" s="57"/>
      <c r="AP1145" s="57"/>
      <c r="BA1145" s="57"/>
      <c r="BF1145" s="6" t="e">
        <f t="shared" si="51"/>
        <v>#NUM!</v>
      </c>
      <c r="BG1145" t="e">
        <f t="shared" si="52"/>
        <v>#NUM!</v>
      </c>
      <c r="BH1145" t="e">
        <f t="shared" si="53"/>
        <v>#NUM!</v>
      </c>
      <c r="BI1145" t="e">
        <f>VLOOKUP(H1145,Sheet2!$A$1:$B$270,2,FALSE)</f>
        <v>#N/A</v>
      </c>
    </row>
    <row r="1146" spans="15:61" hidden="1">
      <c r="O1146" s="57"/>
      <c r="P1146" s="57"/>
      <c r="AP1146" s="57"/>
      <c r="BA1146" s="57"/>
      <c r="BF1146" s="6" t="e">
        <f t="shared" si="51"/>
        <v>#NUM!</v>
      </c>
      <c r="BG1146" t="e">
        <f t="shared" si="52"/>
        <v>#NUM!</v>
      </c>
      <c r="BH1146" t="e">
        <f t="shared" si="53"/>
        <v>#NUM!</v>
      </c>
      <c r="BI1146" t="e">
        <f>VLOOKUP(H1146,Sheet2!$A$1:$B$270,2,FALSE)</f>
        <v>#N/A</v>
      </c>
    </row>
    <row r="1147" spans="15:61" hidden="1">
      <c r="O1147" s="57"/>
      <c r="P1147" s="57"/>
      <c r="AO1147" s="57"/>
      <c r="AP1147" s="57"/>
      <c r="BA1147" s="57"/>
      <c r="BF1147" s="6" t="e">
        <f t="shared" si="51"/>
        <v>#NUM!</v>
      </c>
      <c r="BG1147" t="e">
        <f t="shared" si="52"/>
        <v>#NUM!</v>
      </c>
      <c r="BH1147" t="e">
        <f t="shared" si="53"/>
        <v>#NUM!</v>
      </c>
      <c r="BI1147" t="e">
        <f>VLOOKUP(H1147,Sheet2!$A$1:$B$270,2,FALSE)</f>
        <v>#N/A</v>
      </c>
    </row>
    <row r="1148" spans="15:61" hidden="1">
      <c r="O1148" s="57"/>
      <c r="P1148" s="57"/>
      <c r="AO1148" s="57"/>
      <c r="AP1148" s="57"/>
      <c r="BA1148" s="57"/>
      <c r="BF1148" s="6" t="e">
        <f t="shared" si="51"/>
        <v>#NUM!</v>
      </c>
      <c r="BG1148" t="e">
        <f t="shared" si="52"/>
        <v>#NUM!</v>
      </c>
      <c r="BH1148" t="e">
        <f t="shared" si="53"/>
        <v>#NUM!</v>
      </c>
      <c r="BI1148" t="e">
        <f>VLOOKUP(H1148,Sheet2!$A$1:$B$270,2,FALSE)</f>
        <v>#N/A</v>
      </c>
    </row>
    <row r="1149" spans="15:61" hidden="1">
      <c r="O1149" s="57"/>
      <c r="P1149" s="57"/>
      <c r="AO1149" s="57"/>
      <c r="AP1149" s="57"/>
      <c r="BA1149" s="57"/>
      <c r="BF1149" s="6" t="e">
        <f t="shared" si="51"/>
        <v>#NUM!</v>
      </c>
      <c r="BG1149" t="e">
        <f t="shared" si="52"/>
        <v>#NUM!</v>
      </c>
      <c r="BH1149" t="e">
        <f t="shared" si="53"/>
        <v>#NUM!</v>
      </c>
      <c r="BI1149" t="e">
        <f>VLOOKUP(H1149,Sheet2!$A$1:$B$270,2,FALSE)</f>
        <v>#N/A</v>
      </c>
    </row>
    <row r="1150" spans="15:61" hidden="1">
      <c r="O1150" s="57"/>
      <c r="P1150" s="57"/>
      <c r="AP1150" s="57"/>
      <c r="BA1150" s="57"/>
      <c r="BF1150" s="6" t="e">
        <f t="shared" si="51"/>
        <v>#NUM!</v>
      </c>
      <c r="BG1150" t="e">
        <f t="shared" si="52"/>
        <v>#NUM!</v>
      </c>
      <c r="BH1150" t="e">
        <f t="shared" si="53"/>
        <v>#NUM!</v>
      </c>
      <c r="BI1150" t="e">
        <f>VLOOKUP(H1150,Sheet2!$A$1:$B$270,2,FALSE)</f>
        <v>#N/A</v>
      </c>
    </row>
    <row r="1151" spans="15:61" hidden="1">
      <c r="O1151" s="57"/>
      <c r="P1151" s="57"/>
      <c r="AP1151" s="57"/>
      <c r="BA1151" s="57"/>
      <c r="BF1151" s="6" t="e">
        <f t="shared" si="51"/>
        <v>#NUM!</v>
      </c>
      <c r="BG1151" t="e">
        <f t="shared" si="52"/>
        <v>#NUM!</v>
      </c>
      <c r="BH1151" t="e">
        <f t="shared" si="53"/>
        <v>#NUM!</v>
      </c>
      <c r="BI1151" t="e">
        <f>VLOOKUP(H1151,Sheet2!$A$1:$B$270,2,FALSE)</f>
        <v>#N/A</v>
      </c>
    </row>
    <row r="1152" spans="15:61" hidden="1">
      <c r="O1152" s="57"/>
      <c r="P1152" s="57"/>
      <c r="AO1152" s="57"/>
      <c r="AP1152" s="57"/>
      <c r="BA1152" s="57"/>
      <c r="BF1152" s="6" t="e">
        <f t="shared" si="51"/>
        <v>#NUM!</v>
      </c>
      <c r="BG1152" t="e">
        <f t="shared" si="52"/>
        <v>#NUM!</v>
      </c>
      <c r="BH1152" t="e">
        <f t="shared" si="53"/>
        <v>#NUM!</v>
      </c>
      <c r="BI1152" t="e">
        <f>VLOOKUP(H1152,Sheet2!$A$1:$B$270,2,FALSE)</f>
        <v>#N/A</v>
      </c>
    </row>
    <row r="1153" spans="15:61" hidden="1">
      <c r="O1153" s="57"/>
      <c r="P1153" s="57"/>
      <c r="AO1153" s="57"/>
      <c r="AP1153" s="57"/>
      <c r="BA1153" s="57"/>
      <c r="BF1153" s="6" t="e">
        <f t="shared" si="51"/>
        <v>#NUM!</v>
      </c>
      <c r="BG1153" t="e">
        <f t="shared" si="52"/>
        <v>#NUM!</v>
      </c>
      <c r="BH1153" t="e">
        <f t="shared" si="53"/>
        <v>#NUM!</v>
      </c>
      <c r="BI1153" t="e">
        <f>VLOOKUP(H1153,Sheet2!$A$1:$B$270,2,FALSE)</f>
        <v>#N/A</v>
      </c>
    </row>
    <row r="1154" spans="15:61" hidden="1">
      <c r="O1154" s="57"/>
      <c r="P1154" s="57"/>
      <c r="AP1154" s="57"/>
      <c r="BA1154" s="57"/>
      <c r="BF1154" s="6" t="e">
        <f t="shared" ref="BF1154:BF1217" si="54">DATE(BC1154,BD1154,BE1154)</f>
        <v>#NUM!</v>
      </c>
      <c r="BG1154" t="e">
        <f t="shared" ref="BG1154:BG1217" si="55">BF1154-BA1154</f>
        <v>#NUM!</v>
      </c>
      <c r="BH1154" t="e">
        <f t="shared" ref="BH1154:BH1217" si="56">IF(BG1154=1,"COMPLY",IF(BG1154&lt;1,"COMPLY","NOT COMPLY"))</f>
        <v>#NUM!</v>
      </c>
      <c r="BI1154" t="e">
        <f>VLOOKUP(H1154,Sheet2!$A$1:$B$270,2,FALSE)</f>
        <v>#N/A</v>
      </c>
    </row>
    <row r="1155" spans="15:61" hidden="1">
      <c r="O1155" s="57"/>
      <c r="P1155" s="57"/>
      <c r="AO1155" s="57"/>
      <c r="AP1155" s="57"/>
      <c r="BA1155" s="57"/>
      <c r="BF1155" s="6" t="e">
        <f t="shared" si="54"/>
        <v>#NUM!</v>
      </c>
      <c r="BG1155" t="e">
        <f t="shared" si="55"/>
        <v>#NUM!</v>
      </c>
      <c r="BH1155" t="e">
        <f t="shared" si="56"/>
        <v>#NUM!</v>
      </c>
      <c r="BI1155" t="e">
        <f>VLOOKUP(H1155,Sheet2!$A$1:$B$270,2,FALSE)</f>
        <v>#N/A</v>
      </c>
    </row>
    <row r="1156" spans="15:61" hidden="1">
      <c r="O1156" s="57"/>
      <c r="P1156" s="57"/>
      <c r="AO1156" s="57"/>
      <c r="BA1156" s="57"/>
      <c r="BF1156" s="6" t="e">
        <f t="shared" si="54"/>
        <v>#NUM!</v>
      </c>
      <c r="BG1156" t="e">
        <f t="shared" si="55"/>
        <v>#NUM!</v>
      </c>
      <c r="BH1156" t="e">
        <f t="shared" si="56"/>
        <v>#NUM!</v>
      </c>
      <c r="BI1156" t="e">
        <f>VLOOKUP(H1156,Sheet2!$A$1:$B$270,2,FALSE)</f>
        <v>#N/A</v>
      </c>
    </row>
    <row r="1157" spans="15:61" hidden="1">
      <c r="O1157" s="57"/>
      <c r="P1157" s="57"/>
      <c r="AO1157" s="57"/>
      <c r="AP1157" s="57"/>
      <c r="BA1157" s="57"/>
      <c r="BF1157" s="6" t="e">
        <f t="shared" si="54"/>
        <v>#NUM!</v>
      </c>
      <c r="BG1157" t="e">
        <f t="shared" si="55"/>
        <v>#NUM!</v>
      </c>
      <c r="BH1157" t="e">
        <f t="shared" si="56"/>
        <v>#NUM!</v>
      </c>
      <c r="BI1157" t="e">
        <f>VLOOKUP(H1157,Sheet2!$A$1:$B$270,2,FALSE)</f>
        <v>#N/A</v>
      </c>
    </row>
    <row r="1158" spans="15:61" hidden="1">
      <c r="O1158" s="57"/>
      <c r="P1158" s="57"/>
      <c r="AO1158" s="57"/>
      <c r="AP1158" s="57"/>
      <c r="BA1158" s="57"/>
      <c r="BF1158" s="6" t="e">
        <f t="shared" si="54"/>
        <v>#NUM!</v>
      </c>
      <c r="BG1158" t="e">
        <f t="shared" si="55"/>
        <v>#NUM!</v>
      </c>
      <c r="BH1158" t="e">
        <f t="shared" si="56"/>
        <v>#NUM!</v>
      </c>
      <c r="BI1158" t="e">
        <f>VLOOKUP(H1158,Sheet2!$A$1:$B$270,2,FALSE)</f>
        <v>#N/A</v>
      </c>
    </row>
    <row r="1159" spans="15:61" hidden="1">
      <c r="O1159" s="57"/>
      <c r="P1159" s="57"/>
      <c r="AO1159" s="57"/>
      <c r="AP1159" s="57"/>
      <c r="BA1159" s="57"/>
      <c r="BF1159" s="6" t="e">
        <f t="shared" si="54"/>
        <v>#NUM!</v>
      </c>
      <c r="BG1159" t="e">
        <f t="shared" si="55"/>
        <v>#NUM!</v>
      </c>
      <c r="BH1159" t="e">
        <f t="shared" si="56"/>
        <v>#NUM!</v>
      </c>
      <c r="BI1159" t="e">
        <f>VLOOKUP(H1159,Sheet2!$A$1:$B$270,2,FALSE)</f>
        <v>#N/A</v>
      </c>
    </row>
    <row r="1160" spans="15:61" hidden="1">
      <c r="O1160" s="57"/>
      <c r="P1160" s="57"/>
      <c r="AP1160" s="57"/>
      <c r="BA1160" s="57"/>
      <c r="BF1160" s="6" t="e">
        <f t="shared" si="54"/>
        <v>#NUM!</v>
      </c>
      <c r="BG1160" t="e">
        <f t="shared" si="55"/>
        <v>#NUM!</v>
      </c>
      <c r="BH1160" t="e">
        <f t="shared" si="56"/>
        <v>#NUM!</v>
      </c>
      <c r="BI1160" t="e">
        <f>VLOOKUP(H1160,Sheet2!$A$1:$B$270,2,FALSE)</f>
        <v>#N/A</v>
      </c>
    </row>
    <row r="1161" spans="15:61" hidden="1">
      <c r="O1161" s="57"/>
      <c r="P1161" s="57"/>
      <c r="AP1161" s="57"/>
      <c r="BA1161" s="57"/>
      <c r="BF1161" s="6" t="e">
        <f t="shared" si="54"/>
        <v>#NUM!</v>
      </c>
      <c r="BG1161" t="e">
        <f t="shared" si="55"/>
        <v>#NUM!</v>
      </c>
      <c r="BH1161" t="e">
        <f t="shared" si="56"/>
        <v>#NUM!</v>
      </c>
      <c r="BI1161" t="e">
        <f>VLOOKUP(H1161,Sheet2!$A$1:$B$270,2,FALSE)</f>
        <v>#N/A</v>
      </c>
    </row>
    <row r="1162" spans="15:61" hidden="1">
      <c r="O1162" s="57"/>
      <c r="P1162" s="57"/>
      <c r="AP1162" s="57"/>
      <c r="BA1162" s="57"/>
      <c r="BF1162" s="6" t="e">
        <f t="shared" si="54"/>
        <v>#NUM!</v>
      </c>
      <c r="BG1162" t="e">
        <f t="shared" si="55"/>
        <v>#NUM!</v>
      </c>
      <c r="BH1162" t="e">
        <f t="shared" si="56"/>
        <v>#NUM!</v>
      </c>
      <c r="BI1162" t="e">
        <f>VLOOKUP(H1162,Sheet2!$A$1:$B$270,2,FALSE)</f>
        <v>#N/A</v>
      </c>
    </row>
    <row r="1163" spans="15:61" hidden="1">
      <c r="O1163" s="57"/>
      <c r="P1163" s="57"/>
      <c r="AP1163" s="57"/>
      <c r="BA1163" s="57"/>
      <c r="BF1163" s="6" t="e">
        <f t="shared" si="54"/>
        <v>#NUM!</v>
      </c>
      <c r="BG1163" t="e">
        <f t="shared" si="55"/>
        <v>#NUM!</v>
      </c>
      <c r="BH1163" t="e">
        <f t="shared" si="56"/>
        <v>#NUM!</v>
      </c>
      <c r="BI1163" t="e">
        <f>VLOOKUP(H1163,Sheet2!$A$1:$B$270,2,FALSE)</f>
        <v>#N/A</v>
      </c>
    </row>
    <row r="1164" spans="15:61" hidden="1">
      <c r="O1164" s="57"/>
      <c r="P1164" s="57"/>
      <c r="AO1164" s="57"/>
      <c r="AP1164" s="57"/>
      <c r="BA1164" s="57"/>
      <c r="BF1164" s="6" t="e">
        <f t="shared" si="54"/>
        <v>#NUM!</v>
      </c>
      <c r="BG1164" t="e">
        <f t="shared" si="55"/>
        <v>#NUM!</v>
      </c>
      <c r="BH1164" t="e">
        <f t="shared" si="56"/>
        <v>#NUM!</v>
      </c>
      <c r="BI1164" t="e">
        <f>VLOOKUP(H1164,Sheet2!$A$1:$B$270,2,FALSE)</f>
        <v>#N/A</v>
      </c>
    </row>
    <row r="1165" spans="15:61" hidden="1">
      <c r="O1165" s="57"/>
      <c r="P1165" s="57"/>
      <c r="AP1165" s="57"/>
      <c r="BA1165" s="57"/>
      <c r="BF1165" s="6" t="e">
        <f t="shared" si="54"/>
        <v>#NUM!</v>
      </c>
      <c r="BG1165" t="e">
        <f t="shared" si="55"/>
        <v>#NUM!</v>
      </c>
      <c r="BH1165" t="e">
        <f t="shared" si="56"/>
        <v>#NUM!</v>
      </c>
      <c r="BI1165" t="e">
        <f>VLOOKUP(H1165,Sheet2!$A$1:$B$270,2,FALSE)</f>
        <v>#N/A</v>
      </c>
    </row>
    <row r="1166" spans="15:61" hidden="1">
      <c r="O1166" s="57"/>
      <c r="P1166" s="57"/>
      <c r="AP1166" s="57"/>
      <c r="BA1166" s="57"/>
      <c r="BF1166" s="6" t="e">
        <f t="shared" si="54"/>
        <v>#NUM!</v>
      </c>
      <c r="BG1166" t="e">
        <f t="shared" si="55"/>
        <v>#NUM!</v>
      </c>
      <c r="BH1166" t="e">
        <f t="shared" si="56"/>
        <v>#NUM!</v>
      </c>
      <c r="BI1166" t="e">
        <f>VLOOKUP(H1166,Sheet2!$A$1:$B$270,2,FALSE)</f>
        <v>#N/A</v>
      </c>
    </row>
    <row r="1167" spans="15:61" hidden="1">
      <c r="O1167" s="57"/>
      <c r="P1167" s="57"/>
      <c r="AO1167" s="57"/>
      <c r="AP1167" s="57"/>
      <c r="BA1167" s="57"/>
      <c r="BF1167" s="6" t="e">
        <f t="shared" si="54"/>
        <v>#NUM!</v>
      </c>
      <c r="BG1167" t="e">
        <f t="shared" si="55"/>
        <v>#NUM!</v>
      </c>
      <c r="BH1167" t="e">
        <f t="shared" si="56"/>
        <v>#NUM!</v>
      </c>
      <c r="BI1167" t="e">
        <f>VLOOKUP(H1167,Sheet2!$A$1:$B$270,2,FALSE)</f>
        <v>#N/A</v>
      </c>
    </row>
    <row r="1168" spans="15:61" hidden="1">
      <c r="O1168" s="57"/>
      <c r="P1168" s="57"/>
      <c r="AO1168" s="57"/>
      <c r="AP1168" s="57"/>
      <c r="BA1168" s="57"/>
      <c r="BF1168" s="6" t="e">
        <f t="shared" si="54"/>
        <v>#NUM!</v>
      </c>
      <c r="BG1168" t="e">
        <f t="shared" si="55"/>
        <v>#NUM!</v>
      </c>
      <c r="BH1168" t="e">
        <f t="shared" si="56"/>
        <v>#NUM!</v>
      </c>
      <c r="BI1168" t="e">
        <f>VLOOKUP(H1168,Sheet2!$A$1:$B$270,2,FALSE)</f>
        <v>#N/A</v>
      </c>
    </row>
    <row r="1169" spans="15:61" hidden="1">
      <c r="O1169" s="57"/>
      <c r="P1169" s="57"/>
      <c r="AO1169" s="57"/>
      <c r="AP1169" s="57"/>
      <c r="BA1169" s="57"/>
      <c r="BF1169" s="6" t="e">
        <f t="shared" si="54"/>
        <v>#NUM!</v>
      </c>
      <c r="BG1169" t="e">
        <f t="shared" si="55"/>
        <v>#NUM!</v>
      </c>
      <c r="BH1169" t="e">
        <f t="shared" si="56"/>
        <v>#NUM!</v>
      </c>
      <c r="BI1169" t="e">
        <f>VLOOKUP(H1169,Sheet2!$A$1:$B$270,2,FALSE)</f>
        <v>#N/A</v>
      </c>
    </row>
    <row r="1170" spans="15:61" hidden="1">
      <c r="O1170" s="57"/>
      <c r="P1170" s="57"/>
      <c r="AO1170" s="57"/>
      <c r="AP1170" s="57"/>
      <c r="BA1170" s="57"/>
      <c r="BF1170" s="6" t="e">
        <f t="shared" si="54"/>
        <v>#NUM!</v>
      </c>
      <c r="BG1170" t="e">
        <f t="shared" si="55"/>
        <v>#NUM!</v>
      </c>
      <c r="BH1170" t="e">
        <f t="shared" si="56"/>
        <v>#NUM!</v>
      </c>
      <c r="BI1170" t="e">
        <f>VLOOKUP(H1170,Sheet2!$A$1:$B$270,2,FALSE)</f>
        <v>#N/A</v>
      </c>
    </row>
    <row r="1171" spans="15:61" hidden="1">
      <c r="O1171" s="57"/>
      <c r="P1171" s="57"/>
      <c r="AO1171" s="57"/>
      <c r="BA1171" s="57"/>
      <c r="BF1171" s="6" t="e">
        <f t="shared" si="54"/>
        <v>#NUM!</v>
      </c>
      <c r="BG1171" t="e">
        <f t="shared" si="55"/>
        <v>#NUM!</v>
      </c>
      <c r="BH1171" t="e">
        <f t="shared" si="56"/>
        <v>#NUM!</v>
      </c>
      <c r="BI1171" t="e">
        <f>VLOOKUP(H1171,Sheet2!$A$1:$B$270,2,FALSE)</f>
        <v>#N/A</v>
      </c>
    </row>
    <row r="1172" spans="15:61" hidden="1">
      <c r="O1172" s="57"/>
      <c r="P1172" s="57"/>
      <c r="AO1172" s="57"/>
      <c r="AP1172" s="57"/>
      <c r="BA1172" s="57"/>
      <c r="BF1172" s="6" t="e">
        <f t="shared" si="54"/>
        <v>#NUM!</v>
      </c>
      <c r="BG1172" t="e">
        <f t="shared" si="55"/>
        <v>#NUM!</v>
      </c>
      <c r="BH1172" t="e">
        <f t="shared" si="56"/>
        <v>#NUM!</v>
      </c>
      <c r="BI1172" t="e">
        <f>VLOOKUP(H1172,Sheet2!$A$1:$B$270,2,FALSE)</f>
        <v>#N/A</v>
      </c>
    </row>
    <row r="1173" spans="15:61" hidden="1">
      <c r="O1173" s="57"/>
      <c r="P1173" s="57"/>
      <c r="AO1173" s="57"/>
      <c r="BA1173" s="57"/>
      <c r="BF1173" s="6" t="e">
        <f t="shared" si="54"/>
        <v>#NUM!</v>
      </c>
      <c r="BG1173" t="e">
        <f t="shared" si="55"/>
        <v>#NUM!</v>
      </c>
      <c r="BH1173" t="e">
        <f t="shared" si="56"/>
        <v>#NUM!</v>
      </c>
      <c r="BI1173" t="e">
        <f>VLOOKUP(H1173,Sheet2!$A$1:$B$270,2,FALSE)</f>
        <v>#N/A</v>
      </c>
    </row>
    <row r="1174" spans="15:61" hidden="1">
      <c r="O1174" s="57"/>
      <c r="P1174" s="57"/>
      <c r="AP1174" s="57"/>
      <c r="BA1174" s="57"/>
      <c r="BF1174" s="6" t="e">
        <f t="shared" si="54"/>
        <v>#NUM!</v>
      </c>
      <c r="BG1174" t="e">
        <f t="shared" si="55"/>
        <v>#NUM!</v>
      </c>
      <c r="BH1174" t="e">
        <f t="shared" si="56"/>
        <v>#NUM!</v>
      </c>
      <c r="BI1174" t="e">
        <f>VLOOKUP(H1174,Sheet2!$A$1:$B$270,2,FALSE)</f>
        <v>#N/A</v>
      </c>
    </row>
    <row r="1175" spans="15:61" hidden="1">
      <c r="O1175" s="57"/>
      <c r="P1175" s="57"/>
      <c r="BA1175" s="57"/>
      <c r="BF1175" s="6" t="e">
        <f t="shared" si="54"/>
        <v>#NUM!</v>
      </c>
      <c r="BG1175" t="e">
        <f t="shared" si="55"/>
        <v>#NUM!</v>
      </c>
      <c r="BH1175" t="e">
        <f t="shared" si="56"/>
        <v>#NUM!</v>
      </c>
      <c r="BI1175" t="e">
        <f>VLOOKUP(H1175,Sheet2!$A$1:$B$270,2,FALSE)</f>
        <v>#N/A</v>
      </c>
    </row>
    <row r="1176" spans="15:61" hidden="1">
      <c r="O1176" s="57"/>
      <c r="P1176" s="57"/>
      <c r="BA1176" s="57"/>
      <c r="BF1176" s="6" t="e">
        <f t="shared" si="54"/>
        <v>#NUM!</v>
      </c>
      <c r="BG1176" t="e">
        <f t="shared" si="55"/>
        <v>#NUM!</v>
      </c>
      <c r="BH1176" t="e">
        <f t="shared" si="56"/>
        <v>#NUM!</v>
      </c>
      <c r="BI1176" t="e">
        <f>VLOOKUP(H1176,Sheet2!$A$1:$B$270,2,FALSE)</f>
        <v>#N/A</v>
      </c>
    </row>
    <row r="1177" spans="15:61" hidden="1">
      <c r="O1177" s="57"/>
      <c r="P1177" s="57"/>
      <c r="AO1177" s="57"/>
      <c r="AP1177" s="57"/>
      <c r="BA1177" s="57"/>
      <c r="BF1177" s="6" t="e">
        <f t="shared" si="54"/>
        <v>#NUM!</v>
      </c>
      <c r="BG1177" t="e">
        <f t="shared" si="55"/>
        <v>#NUM!</v>
      </c>
      <c r="BH1177" t="e">
        <f t="shared" si="56"/>
        <v>#NUM!</v>
      </c>
      <c r="BI1177" t="e">
        <f>VLOOKUP(H1177,Sheet2!$A$1:$B$270,2,FALSE)</f>
        <v>#N/A</v>
      </c>
    </row>
    <row r="1178" spans="15:61" hidden="1">
      <c r="O1178" s="57"/>
      <c r="P1178" s="57"/>
      <c r="AO1178" s="57"/>
      <c r="AP1178" s="57"/>
      <c r="BA1178" s="57"/>
      <c r="BF1178" s="6" t="e">
        <f t="shared" si="54"/>
        <v>#NUM!</v>
      </c>
      <c r="BG1178" t="e">
        <f t="shared" si="55"/>
        <v>#NUM!</v>
      </c>
      <c r="BH1178" t="e">
        <f t="shared" si="56"/>
        <v>#NUM!</v>
      </c>
      <c r="BI1178" t="e">
        <f>VLOOKUP(H1178,Sheet2!$A$1:$B$270,2,FALSE)</f>
        <v>#N/A</v>
      </c>
    </row>
    <row r="1179" spans="15:61" hidden="1">
      <c r="O1179" s="57"/>
      <c r="P1179" s="57"/>
      <c r="AP1179" s="57"/>
      <c r="BA1179" s="57"/>
      <c r="BF1179" s="6" t="e">
        <f t="shared" si="54"/>
        <v>#NUM!</v>
      </c>
      <c r="BG1179" t="e">
        <f t="shared" si="55"/>
        <v>#NUM!</v>
      </c>
      <c r="BH1179" t="e">
        <f t="shared" si="56"/>
        <v>#NUM!</v>
      </c>
      <c r="BI1179" t="e">
        <f>VLOOKUP(H1179,Sheet2!$A$1:$B$270,2,FALSE)</f>
        <v>#N/A</v>
      </c>
    </row>
    <row r="1180" spans="15:61" hidden="1">
      <c r="O1180" s="57"/>
      <c r="P1180" s="57"/>
      <c r="AP1180" s="57"/>
      <c r="BA1180" s="57"/>
      <c r="BF1180" s="6" t="e">
        <f t="shared" si="54"/>
        <v>#NUM!</v>
      </c>
      <c r="BG1180" t="e">
        <f t="shared" si="55"/>
        <v>#NUM!</v>
      </c>
      <c r="BH1180" t="e">
        <f t="shared" si="56"/>
        <v>#NUM!</v>
      </c>
      <c r="BI1180" t="e">
        <f>VLOOKUP(H1180,Sheet2!$A$1:$B$270,2,FALSE)</f>
        <v>#N/A</v>
      </c>
    </row>
    <row r="1181" spans="15:61" hidden="1">
      <c r="O1181" s="57"/>
      <c r="P1181" s="57"/>
      <c r="AO1181" s="57"/>
      <c r="AP1181" s="57"/>
      <c r="BA1181" s="57"/>
      <c r="BF1181" s="6" t="e">
        <f t="shared" si="54"/>
        <v>#NUM!</v>
      </c>
      <c r="BG1181" t="e">
        <f t="shared" si="55"/>
        <v>#NUM!</v>
      </c>
      <c r="BH1181" t="e">
        <f t="shared" si="56"/>
        <v>#NUM!</v>
      </c>
      <c r="BI1181" t="e">
        <f>VLOOKUP(H1181,Sheet2!$A$1:$B$270,2,FALSE)</f>
        <v>#N/A</v>
      </c>
    </row>
    <row r="1182" spans="15:61" hidden="1">
      <c r="O1182" s="57"/>
      <c r="P1182" s="57"/>
      <c r="AO1182" s="57"/>
      <c r="AP1182" s="57"/>
      <c r="BA1182" s="57"/>
      <c r="BF1182" s="6" t="e">
        <f t="shared" si="54"/>
        <v>#NUM!</v>
      </c>
      <c r="BG1182" t="e">
        <f t="shared" si="55"/>
        <v>#NUM!</v>
      </c>
      <c r="BH1182" t="e">
        <f t="shared" si="56"/>
        <v>#NUM!</v>
      </c>
      <c r="BI1182" t="e">
        <f>VLOOKUP(H1182,Sheet2!$A$1:$B$270,2,FALSE)</f>
        <v>#N/A</v>
      </c>
    </row>
    <row r="1183" spans="15:61" hidden="1">
      <c r="O1183" s="57"/>
      <c r="P1183" s="57"/>
      <c r="AP1183" s="57"/>
      <c r="BA1183" s="57"/>
      <c r="BF1183" s="6" t="e">
        <f t="shared" si="54"/>
        <v>#NUM!</v>
      </c>
      <c r="BG1183" t="e">
        <f t="shared" si="55"/>
        <v>#NUM!</v>
      </c>
      <c r="BH1183" t="e">
        <f t="shared" si="56"/>
        <v>#NUM!</v>
      </c>
      <c r="BI1183" t="e">
        <f>VLOOKUP(H1183,Sheet2!$A$1:$B$270,2,FALSE)</f>
        <v>#N/A</v>
      </c>
    </row>
    <row r="1184" spans="15:61" hidden="1">
      <c r="O1184" s="57"/>
      <c r="P1184" s="57"/>
      <c r="AP1184" s="57"/>
      <c r="BA1184" s="57"/>
      <c r="BF1184" s="6" t="e">
        <f t="shared" si="54"/>
        <v>#NUM!</v>
      </c>
      <c r="BG1184" t="e">
        <f t="shared" si="55"/>
        <v>#NUM!</v>
      </c>
      <c r="BH1184" t="e">
        <f t="shared" si="56"/>
        <v>#NUM!</v>
      </c>
      <c r="BI1184" t="e">
        <f>VLOOKUP(H1184,Sheet2!$A$1:$B$270,2,FALSE)</f>
        <v>#N/A</v>
      </c>
    </row>
    <row r="1185" spans="15:61" hidden="1">
      <c r="O1185" s="57"/>
      <c r="P1185" s="57"/>
      <c r="AP1185" s="57"/>
      <c r="BA1185" s="57"/>
      <c r="BF1185" s="6" t="e">
        <f t="shared" si="54"/>
        <v>#NUM!</v>
      </c>
      <c r="BG1185" t="e">
        <f t="shared" si="55"/>
        <v>#NUM!</v>
      </c>
      <c r="BH1185" t="e">
        <f t="shared" si="56"/>
        <v>#NUM!</v>
      </c>
      <c r="BI1185" t="e">
        <f>VLOOKUP(H1185,Sheet2!$A$1:$B$270,2,FALSE)</f>
        <v>#N/A</v>
      </c>
    </row>
    <row r="1186" spans="15:61" hidden="1">
      <c r="O1186" s="57"/>
      <c r="P1186" s="57"/>
      <c r="AO1186" s="57"/>
      <c r="BA1186" s="57"/>
      <c r="BF1186" s="6" t="e">
        <f t="shared" si="54"/>
        <v>#NUM!</v>
      </c>
      <c r="BG1186" t="e">
        <f t="shared" si="55"/>
        <v>#NUM!</v>
      </c>
      <c r="BH1186" t="e">
        <f t="shared" si="56"/>
        <v>#NUM!</v>
      </c>
      <c r="BI1186" t="e">
        <f>VLOOKUP(H1186,Sheet2!$A$1:$B$270,2,FALSE)</f>
        <v>#N/A</v>
      </c>
    </row>
    <row r="1187" spans="15:61" hidden="1">
      <c r="O1187" s="57"/>
      <c r="P1187" s="57"/>
      <c r="AP1187" s="57"/>
      <c r="BA1187" s="57"/>
      <c r="BF1187" s="6" t="e">
        <f t="shared" si="54"/>
        <v>#NUM!</v>
      </c>
      <c r="BG1187" t="e">
        <f t="shared" si="55"/>
        <v>#NUM!</v>
      </c>
      <c r="BH1187" t="e">
        <f t="shared" si="56"/>
        <v>#NUM!</v>
      </c>
      <c r="BI1187" t="e">
        <f>VLOOKUP(H1187,Sheet2!$A$1:$B$270,2,FALSE)</f>
        <v>#N/A</v>
      </c>
    </row>
    <row r="1188" spans="15:61" hidden="1">
      <c r="O1188" s="57"/>
      <c r="P1188" s="57"/>
      <c r="AP1188" s="57"/>
      <c r="BA1188" s="57"/>
      <c r="BF1188" s="6" t="e">
        <f t="shared" si="54"/>
        <v>#NUM!</v>
      </c>
      <c r="BG1188" t="e">
        <f t="shared" si="55"/>
        <v>#NUM!</v>
      </c>
      <c r="BH1188" t="e">
        <f t="shared" si="56"/>
        <v>#NUM!</v>
      </c>
      <c r="BI1188" t="e">
        <f>VLOOKUP(H1188,Sheet2!$A$1:$B$270,2,FALSE)</f>
        <v>#N/A</v>
      </c>
    </row>
    <row r="1189" spans="15:61" hidden="1">
      <c r="O1189" s="57"/>
      <c r="P1189" s="57"/>
      <c r="AP1189" s="57"/>
      <c r="BA1189" s="57"/>
      <c r="BF1189" s="6" t="e">
        <f t="shared" si="54"/>
        <v>#NUM!</v>
      </c>
      <c r="BG1189" t="e">
        <f t="shared" si="55"/>
        <v>#NUM!</v>
      </c>
      <c r="BH1189" t="e">
        <f t="shared" si="56"/>
        <v>#NUM!</v>
      </c>
      <c r="BI1189" t="e">
        <f>VLOOKUP(H1189,Sheet2!$A$1:$B$270,2,FALSE)</f>
        <v>#N/A</v>
      </c>
    </row>
    <row r="1190" spans="15:61" hidden="1">
      <c r="O1190" s="57"/>
      <c r="P1190" s="57"/>
      <c r="AO1190" s="57"/>
      <c r="AP1190" s="57"/>
      <c r="BA1190" s="57"/>
      <c r="BF1190" s="6" t="e">
        <f t="shared" si="54"/>
        <v>#NUM!</v>
      </c>
      <c r="BG1190" t="e">
        <f t="shared" si="55"/>
        <v>#NUM!</v>
      </c>
      <c r="BH1190" t="e">
        <f t="shared" si="56"/>
        <v>#NUM!</v>
      </c>
      <c r="BI1190" t="e">
        <f>VLOOKUP(H1190,Sheet2!$A$1:$B$270,2,FALSE)</f>
        <v>#N/A</v>
      </c>
    </row>
    <row r="1191" spans="15:61" hidden="1">
      <c r="O1191" s="57"/>
      <c r="P1191" s="57"/>
      <c r="AP1191" s="57"/>
      <c r="BA1191" s="57"/>
      <c r="BF1191" s="6" t="e">
        <f t="shared" si="54"/>
        <v>#NUM!</v>
      </c>
      <c r="BG1191" t="e">
        <f t="shared" si="55"/>
        <v>#NUM!</v>
      </c>
      <c r="BH1191" t="e">
        <f t="shared" si="56"/>
        <v>#NUM!</v>
      </c>
      <c r="BI1191" t="e">
        <f>VLOOKUP(H1191,Sheet2!$A$1:$B$270,2,FALSE)</f>
        <v>#N/A</v>
      </c>
    </row>
    <row r="1192" spans="15:61" hidden="1">
      <c r="O1192" s="57"/>
      <c r="P1192" s="57"/>
      <c r="AP1192" s="57"/>
      <c r="BA1192" s="57"/>
      <c r="BF1192" s="6" t="e">
        <f t="shared" si="54"/>
        <v>#NUM!</v>
      </c>
      <c r="BG1192" t="e">
        <f t="shared" si="55"/>
        <v>#NUM!</v>
      </c>
      <c r="BH1192" t="e">
        <f t="shared" si="56"/>
        <v>#NUM!</v>
      </c>
      <c r="BI1192" t="e">
        <f>VLOOKUP(H1192,Sheet2!$A$1:$B$270,2,FALSE)</f>
        <v>#N/A</v>
      </c>
    </row>
    <row r="1193" spans="15:61" hidden="1">
      <c r="O1193" s="57"/>
      <c r="P1193" s="57"/>
      <c r="AO1193" s="57"/>
      <c r="AP1193" s="57"/>
      <c r="BA1193" s="57"/>
      <c r="BF1193" s="6" t="e">
        <f t="shared" si="54"/>
        <v>#NUM!</v>
      </c>
      <c r="BG1193" t="e">
        <f t="shared" si="55"/>
        <v>#NUM!</v>
      </c>
      <c r="BH1193" t="e">
        <f t="shared" si="56"/>
        <v>#NUM!</v>
      </c>
      <c r="BI1193" t="e">
        <f>VLOOKUP(H1193,Sheet2!$A$1:$B$270,2,FALSE)</f>
        <v>#N/A</v>
      </c>
    </row>
    <row r="1194" spans="15:61" hidden="1">
      <c r="O1194" s="57"/>
      <c r="P1194" s="57"/>
      <c r="AO1194" s="57"/>
      <c r="BA1194" s="57"/>
      <c r="BF1194" s="6" t="e">
        <f t="shared" si="54"/>
        <v>#NUM!</v>
      </c>
      <c r="BG1194" t="e">
        <f t="shared" si="55"/>
        <v>#NUM!</v>
      </c>
      <c r="BH1194" t="e">
        <f t="shared" si="56"/>
        <v>#NUM!</v>
      </c>
      <c r="BI1194" t="e">
        <f>VLOOKUP(H1194,Sheet2!$A$1:$B$270,2,FALSE)</f>
        <v>#N/A</v>
      </c>
    </row>
    <row r="1195" spans="15:61" hidden="1">
      <c r="O1195" s="57"/>
      <c r="P1195" s="57"/>
      <c r="AO1195" s="57"/>
      <c r="AP1195" s="57"/>
      <c r="BA1195" s="57"/>
      <c r="BF1195" s="6" t="e">
        <f t="shared" si="54"/>
        <v>#NUM!</v>
      </c>
      <c r="BG1195" t="e">
        <f t="shared" si="55"/>
        <v>#NUM!</v>
      </c>
      <c r="BH1195" t="e">
        <f t="shared" si="56"/>
        <v>#NUM!</v>
      </c>
      <c r="BI1195" t="e">
        <f>VLOOKUP(H1195,Sheet2!$A$1:$B$270,2,FALSE)</f>
        <v>#N/A</v>
      </c>
    </row>
    <row r="1196" spans="15:61" hidden="1">
      <c r="O1196" s="57"/>
      <c r="P1196" s="57"/>
      <c r="AO1196" s="57"/>
      <c r="AP1196" s="57"/>
      <c r="BA1196" s="57"/>
      <c r="BF1196" s="6" t="e">
        <f t="shared" si="54"/>
        <v>#NUM!</v>
      </c>
      <c r="BG1196" t="e">
        <f t="shared" si="55"/>
        <v>#NUM!</v>
      </c>
      <c r="BH1196" t="e">
        <f t="shared" si="56"/>
        <v>#NUM!</v>
      </c>
      <c r="BI1196" t="e">
        <f>VLOOKUP(H1196,Sheet2!$A$1:$B$270,2,FALSE)</f>
        <v>#N/A</v>
      </c>
    </row>
    <row r="1197" spans="15:61" hidden="1">
      <c r="O1197" s="57"/>
      <c r="P1197" s="57"/>
      <c r="AO1197" s="57"/>
      <c r="AP1197" s="57"/>
      <c r="BA1197" s="57"/>
      <c r="BF1197" s="6" t="e">
        <f t="shared" si="54"/>
        <v>#NUM!</v>
      </c>
      <c r="BG1197" t="e">
        <f t="shared" si="55"/>
        <v>#NUM!</v>
      </c>
      <c r="BH1197" t="e">
        <f t="shared" si="56"/>
        <v>#NUM!</v>
      </c>
      <c r="BI1197" t="e">
        <f>VLOOKUP(H1197,Sheet2!$A$1:$B$270,2,FALSE)</f>
        <v>#N/A</v>
      </c>
    </row>
    <row r="1198" spans="15:61" hidden="1">
      <c r="O1198" s="57"/>
      <c r="P1198" s="57"/>
      <c r="AP1198" s="57"/>
      <c r="BA1198" s="57"/>
      <c r="BF1198" s="6" t="e">
        <f t="shared" si="54"/>
        <v>#NUM!</v>
      </c>
      <c r="BG1198" t="e">
        <f t="shared" si="55"/>
        <v>#NUM!</v>
      </c>
      <c r="BH1198" t="e">
        <f t="shared" si="56"/>
        <v>#NUM!</v>
      </c>
      <c r="BI1198" t="e">
        <f>VLOOKUP(H1198,Sheet2!$A$1:$B$270,2,FALSE)</f>
        <v>#N/A</v>
      </c>
    </row>
    <row r="1199" spans="15:61" hidden="1">
      <c r="O1199" s="57"/>
      <c r="P1199" s="57"/>
      <c r="AP1199" s="57"/>
      <c r="BA1199" s="57"/>
      <c r="BF1199" s="6" t="e">
        <f t="shared" si="54"/>
        <v>#NUM!</v>
      </c>
      <c r="BG1199" t="e">
        <f t="shared" si="55"/>
        <v>#NUM!</v>
      </c>
      <c r="BH1199" t="e">
        <f t="shared" si="56"/>
        <v>#NUM!</v>
      </c>
      <c r="BI1199" t="e">
        <f>VLOOKUP(H1199,Sheet2!$A$1:$B$270,2,FALSE)</f>
        <v>#N/A</v>
      </c>
    </row>
    <row r="1200" spans="15:61" hidden="1">
      <c r="O1200" s="57"/>
      <c r="P1200" s="57"/>
      <c r="BA1200" s="57"/>
      <c r="BF1200" s="6" t="e">
        <f t="shared" si="54"/>
        <v>#NUM!</v>
      </c>
      <c r="BG1200" t="e">
        <f t="shared" si="55"/>
        <v>#NUM!</v>
      </c>
      <c r="BH1200" t="e">
        <f t="shared" si="56"/>
        <v>#NUM!</v>
      </c>
      <c r="BI1200" t="e">
        <f>VLOOKUP(H1200,Sheet2!$A$1:$B$270,2,FALSE)</f>
        <v>#N/A</v>
      </c>
    </row>
    <row r="1201" spans="15:61" hidden="1">
      <c r="O1201" s="57"/>
      <c r="P1201" s="57"/>
      <c r="BA1201" s="57"/>
      <c r="BF1201" s="6" t="e">
        <f t="shared" si="54"/>
        <v>#NUM!</v>
      </c>
      <c r="BG1201" t="e">
        <f t="shared" si="55"/>
        <v>#NUM!</v>
      </c>
      <c r="BH1201" t="e">
        <f t="shared" si="56"/>
        <v>#NUM!</v>
      </c>
      <c r="BI1201" t="e">
        <f>VLOOKUP(H1201,Sheet2!$A$1:$B$270,2,FALSE)</f>
        <v>#N/A</v>
      </c>
    </row>
    <row r="1202" spans="15:61" hidden="1">
      <c r="O1202" s="57"/>
      <c r="P1202" s="57"/>
      <c r="BA1202" s="57"/>
      <c r="BF1202" s="6" t="e">
        <f t="shared" si="54"/>
        <v>#NUM!</v>
      </c>
      <c r="BG1202" t="e">
        <f t="shared" si="55"/>
        <v>#NUM!</v>
      </c>
      <c r="BH1202" t="e">
        <f t="shared" si="56"/>
        <v>#NUM!</v>
      </c>
      <c r="BI1202" t="e">
        <f>VLOOKUP(H1202,Sheet2!$A$1:$B$270,2,FALSE)</f>
        <v>#N/A</v>
      </c>
    </row>
    <row r="1203" spans="15:61" hidden="1">
      <c r="O1203" s="57"/>
      <c r="P1203" s="57"/>
      <c r="AP1203" s="57"/>
      <c r="BA1203" s="57"/>
      <c r="BF1203" s="6" t="e">
        <f t="shared" si="54"/>
        <v>#NUM!</v>
      </c>
      <c r="BG1203" t="e">
        <f t="shared" si="55"/>
        <v>#NUM!</v>
      </c>
      <c r="BH1203" t="e">
        <f t="shared" si="56"/>
        <v>#NUM!</v>
      </c>
      <c r="BI1203" t="e">
        <f>VLOOKUP(H1203,Sheet2!$A$1:$B$270,2,FALSE)</f>
        <v>#N/A</v>
      </c>
    </row>
    <row r="1204" spans="15:61" hidden="1">
      <c r="O1204" s="57"/>
      <c r="P1204" s="57"/>
      <c r="BA1204" s="57"/>
      <c r="BF1204" s="6" t="e">
        <f t="shared" si="54"/>
        <v>#NUM!</v>
      </c>
      <c r="BG1204" t="e">
        <f t="shared" si="55"/>
        <v>#NUM!</v>
      </c>
      <c r="BH1204" t="e">
        <f t="shared" si="56"/>
        <v>#NUM!</v>
      </c>
      <c r="BI1204" t="e">
        <f>VLOOKUP(H1204,Sheet2!$A$1:$B$270,2,FALSE)</f>
        <v>#N/A</v>
      </c>
    </row>
    <row r="1205" spans="15:61" hidden="1">
      <c r="O1205" s="57"/>
      <c r="P1205" s="57"/>
      <c r="AP1205" s="57"/>
      <c r="BA1205" s="57"/>
      <c r="BF1205" s="6" t="e">
        <f t="shared" si="54"/>
        <v>#NUM!</v>
      </c>
      <c r="BG1205" t="e">
        <f t="shared" si="55"/>
        <v>#NUM!</v>
      </c>
      <c r="BH1205" t="e">
        <f t="shared" si="56"/>
        <v>#NUM!</v>
      </c>
      <c r="BI1205" t="e">
        <f>VLOOKUP(H1205,Sheet2!$A$1:$B$270,2,FALSE)</f>
        <v>#N/A</v>
      </c>
    </row>
    <row r="1206" spans="15:61" hidden="1">
      <c r="O1206" s="57"/>
      <c r="P1206" s="57"/>
      <c r="AP1206" s="57"/>
      <c r="BA1206" s="57"/>
      <c r="BF1206" s="6" t="e">
        <f t="shared" si="54"/>
        <v>#NUM!</v>
      </c>
      <c r="BG1206" t="e">
        <f t="shared" si="55"/>
        <v>#NUM!</v>
      </c>
      <c r="BH1206" t="e">
        <f t="shared" si="56"/>
        <v>#NUM!</v>
      </c>
      <c r="BI1206" t="e">
        <f>VLOOKUP(H1206,Sheet2!$A$1:$B$270,2,FALSE)</f>
        <v>#N/A</v>
      </c>
    </row>
    <row r="1207" spans="15:61" hidden="1">
      <c r="O1207" s="57"/>
      <c r="P1207" s="57"/>
      <c r="AP1207" s="57"/>
      <c r="BA1207" s="57"/>
      <c r="BF1207" s="6" t="e">
        <f t="shared" si="54"/>
        <v>#NUM!</v>
      </c>
      <c r="BG1207" t="e">
        <f t="shared" si="55"/>
        <v>#NUM!</v>
      </c>
      <c r="BH1207" t="e">
        <f t="shared" si="56"/>
        <v>#NUM!</v>
      </c>
      <c r="BI1207" t="e">
        <f>VLOOKUP(H1207,Sheet2!$A$1:$B$270,2,FALSE)</f>
        <v>#N/A</v>
      </c>
    </row>
    <row r="1208" spans="15:61" hidden="1">
      <c r="O1208" s="57"/>
      <c r="P1208" s="57"/>
      <c r="AP1208" s="57"/>
      <c r="BA1208" s="57"/>
      <c r="BF1208" s="6" t="e">
        <f t="shared" si="54"/>
        <v>#NUM!</v>
      </c>
      <c r="BG1208" t="e">
        <f t="shared" si="55"/>
        <v>#NUM!</v>
      </c>
      <c r="BH1208" t="e">
        <f t="shared" si="56"/>
        <v>#NUM!</v>
      </c>
      <c r="BI1208" t="e">
        <f>VLOOKUP(H1208,Sheet2!$A$1:$B$270,2,FALSE)</f>
        <v>#N/A</v>
      </c>
    </row>
    <row r="1209" spans="15:61" hidden="1">
      <c r="O1209" s="57"/>
      <c r="P1209" s="57"/>
      <c r="AP1209" s="57"/>
      <c r="BA1209" s="57"/>
      <c r="BF1209" s="6" t="e">
        <f t="shared" si="54"/>
        <v>#NUM!</v>
      </c>
      <c r="BG1209" t="e">
        <f t="shared" si="55"/>
        <v>#NUM!</v>
      </c>
      <c r="BH1209" t="e">
        <f t="shared" si="56"/>
        <v>#NUM!</v>
      </c>
      <c r="BI1209" t="e">
        <f>VLOOKUP(H1209,Sheet2!$A$1:$B$270,2,FALSE)</f>
        <v>#N/A</v>
      </c>
    </row>
    <row r="1210" spans="15:61" hidden="1">
      <c r="O1210" s="57"/>
      <c r="P1210" s="57"/>
      <c r="AP1210" s="57"/>
      <c r="BA1210" s="57"/>
      <c r="BF1210" s="6" t="e">
        <f t="shared" si="54"/>
        <v>#NUM!</v>
      </c>
      <c r="BG1210" t="e">
        <f t="shared" si="55"/>
        <v>#NUM!</v>
      </c>
      <c r="BH1210" t="e">
        <f t="shared" si="56"/>
        <v>#NUM!</v>
      </c>
      <c r="BI1210" t="e">
        <f>VLOOKUP(H1210,Sheet2!$A$1:$B$270,2,FALSE)</f>
        <v>#N/A</v>
      </c>
    </row>
    <row r="1211" spans="15:61" hidden="1">
      <c r="O1211" s="57"/>
      <c r="P1211" s="57"/>
      <c r="BA1211" s="57"/>
      <c r="BF1211" s="6" t="e">
        <f t="shared" si="54"/>
        <v>#NUM!</v>
      </c>
      <c r="BG1211" t="e">
        <f t="shared" si="55"/>
        <v>#NUM!</v>
      </c>
      <c r="BH1211" t="e">
        <f t="shared" si="56"/>
        <v>#NUM!</v>
      </c>
      <c r="BI1211" t="e">
        <f>VLOOKUP(H1211,Sheet2!$A$1:$B$270,2,FALSE)</f>
        <v>#N/A</v>
      </c>
    </row>
    <row r="1212" spans="15:61" hidden="1">
      <c r="O1212" s="57"/>
      <c r="P1212" s="57"/>
      <c r="AP1212" s="57"/>
      <c r="BA1212" s="57"/>
      <c r="BF1212" s="6" t="e">
        <f t="shared" si="54"/>
        <v>#NUM!</v>
      </c>
      <c r="BG1212" t="e">
        <f t="shared" si="55"/>
        <v>#NUM!</v>
      </c>
      <c r="BH1212" t="e">
        <f t="shared" si="56"/>
        <v>#NUM!</v>
      </c>
      <c r="BI1212" t="e">
        <f>VLOOKUP(H1212,Sheet2!$A$1:$B$270,2,FALSE)</f>
        <v>#N/A</v>
      </c>
    </row>
    <row r="1213" spans="15:61" hidden="1">
      <c r="O1213" s="57"/>
      <c r="P1213" s="57"/>
      <c r="AP1213" s="57"/>
      <c r="BA1213" s="57"/>
      <c r="BF1213" s="6" t="e">
        <f t="shared" si="54"/>
        <v>#NUM!</v>
      </c>
      <c r="BG1213" t="e">
        <f t="shared" si="55"/>
        <v>#NUM!</v>
      </c>
      <c r="BH1213" t="e">
        <f t="shared" si="56"/>
        <v>#NUM!</v>
      </c>
      <c r="BI1213" t="e">
        <f>VLOOKUP(H1213,Sheet2!$A$1:$B$270,2,FALSE)</f>
        <v>#N/A</v>
      </c>
    </row>
    <row r="1214" spans="15:61" hidden="1">
      <c r="O1214" s="57"/>
      <c r="P1214" s="57"/>
      <c r="AP1214" s="57"/>
      <c r="BA1214" s="57"/>
      <c r="BF1214" s="6" t="e">
        <f t="shared" si="54"/>
        <v>#NUM!</v>
      </c>
      <c r="BG1214" t="e">
        <f t="shared" si="55"/>
        <v>#NUM!</v>
      </c>
      <c r="BH1214" t="e">
        <f t="shared" si="56"/>
        <v>#NUM!</v>
      </c>
      <c r="BI1214" t="e">
        <f>VLOOKUP(H1214,Sheet2!$A$1:$B$270,2,FALSE)</f>
        <v>#N/A</v>
      </c>
    </row>
    <row r="1215" spans="15:61" hidden="1">
      <c r="O1215" s="57"/>
      <c r="P1215" s="57"/>
      <c r="AP1215" s="57"/>
      <c r="BA1215" s="57"/>
      <c r="BF1215" s="6" t="e">
        <f t="shared" si="54"/>
        <v>#NUM!</v>
      </c>
      <c r="BG1215" t="e">
        <f t="shared" si="55"/>
        <v>#NUM!</v>
      </c>
      <c r="BH1215" t="e">
        <f t="shared" si="56"/>
        <v>#NUM!</v>
      </c>
      <c r="BI1215" t="e">
        <f>VLOOKUP(H1215,Sheet2!$A$1:$B$270,2,FALSE)</f>
        <v>#N/A</v>
      </c>
    </row>
    <row r="1216" spans="15:61" hidden="1">
      <c r="O1216" s="57"/>
      <c r="P1216" s="57"/>
      <c r="AP1216" s="57"/>
      <c r="BA1216" s="57"/>
      <c r="BF1216" s="6" t="e">
        <f t="shared" si="54"/>
        <v>#NUM!</v>
      </c>
      <c r="BG1216" t="e">
        <f t="shared" si="55"/>
        <v>#NUM!</v>
      </c>
      <c r="BH1216" t="e">
        <f t="shared" si="56"/>
        <v>#NUM!</v>
      </c>
      <c r="BI1216" t="e">
        <f>VLOOKUP(H1216,Sheet2!$A$1:$B$270,2,FALSE)</f>
        <v>#N/A</v>
      </c>
    </row>
    <row r="1217" spans="15:61" hidden="1">
      <c r="O1217" s="57"/>
      <c r="P1217" s="57"/>
      <c r="AP1217" s="57"/>
      <c r="BA1217" s="57"/>
      <c r="BF1217" s="6" t="e">
        <f t="shared" si="54"/>
        <v>#NUM!</v>
      </c>
      <c r="BG1217" t="e">
        <f t="shared" si="55"/>
        <v>#NUM!</v>
      </c>
      <c r="BH1217" t="e">
        <f t="shared" si="56"/>
        <v>#NUM!</v>
      </c>
      <c r="BI1217" t="e">
        <f>VLOOKUP(H1217,Sheet2!$A$1:$B$270,2,FALSE)</f>
        <v>#N/A</v>
      </c>
    </row>
    <row r="1218" spans="15:61" hidden="1">
      <c r="O1218" s="57"/>
      <c r="P1218" s="57"/>
      <c r="AP1218" s="57"/>
      <c r="BA1218" s="57"/>
      <c r="BF1218" s="6" t="e">
        <f t="shared" ref="BF1218:BF1281" si="57">DATE(BC1218,BD1218,BE1218)</f>
        <v>#NUM!</v>
      </c>
      <c r="BG1218" t="e">
        <f t="shared" ref="BG1218:BG1281" si="58">BF1218-BA1218</f>
        <v>#NUM!</v>
      </c>
      <c r="BH1218" t="e">
        <f t="shared" ref="BH1218:BH1281" si="59">IF(BG1218=1,"COMPLY",IF(BG1218&lt;1,"COMPLY","NOT COMPLY"))</f>
        <v>#NUM!</v>
      </c>
      <c r="BI1218" t="e">
        <f>VLOOKUP(H1218,Sheet2!$A$1:$B$270,2,FALSE)</f>
        <v>#N/A</v>
      </c>
    </row>
    <row r="1219" spans="15:61" hidden="1">
      <c r="O1219" s="57"/>
      <c r="P1219" s="57"/>
      <c r="AP1219" s="57"/>
      <c r="BA1219" s="57"/>
      <c r="BF1219" s="6" t="e">
        <f t="shared" si="57"/>
        <v>#NUM!</v>
      </c>
      <c r="BG1219" t="e">
        <f t="shared" si="58"/>
        <v>#NUM!</v>
      </c>
      <c r="BH1219" t="e">
        <f t="shared" si="59"/>
        <v>#NUM!</v>
      </c>
      <c r="BI1219" t="e">
        <f>VLOOKUP(H1219,Sheet2!$A$1:$B$270,2,FALSE)</f>
        <v>#N/A</v>
      </c>
    </row>
    <row r="1220" spans="15:61" hidden="1">
      <c r="O1220" s="57"/>
      <c r="P1220" s="57"/>
      <c r="AP1220" s="57"/>
      <c r="BA1220" s="57"/>
      <c r="BF1220" s="6" t="e">
        <f t="shared" si="57"/>
        <v>#NUM!</v>
      </c>
      <c r="BG1220" t="e">
        <f t="shared" si="58"/>
        <v>#NUM!</v>
      </c>
      <c r="BH1220" t="e">
        <f t="shared" si="59"/>
        <v>#NUM!</v>
      </c>
      <c r="BI1220" t="e">
        <f>VLOOKUP(H1220,Sheet2!$A$1:$B$270,2,FALSE)</f>
        <v>#N/A</v>
      </c>
    </row>
    <row r="1221" spans="15:61" hidden="1">
      <c r="O1221" s="57"/>
      <c r="P1221" s="57"/>
      <c r="AP1221" s="57"/>
      <c r="BA1221" s="57"/>
      <c r="BF1221" s="6" t="e">
        <f t="shared" si="57"/>
        <v>#NUM!</v>
      </c>
      <c r="BG1221" t="e">
        <f t="shared" si="58"/>
        <v>#NUM!</v>
      </c>
      <c r="BH1221" t="e">
        <f t="shared" si="59"/>
        <v>#NUM!</v>
      </c>
      <c r="BI1221" t="e">
        <f>VLOOKUP(H1221,Sheet2!$A$1:$B$270,2,FALSE)</f>
        <v>#N/A</v>
      </c>
    </row>
    <row r="1222" spans="15:61" hidden="1">
      <c r="O1222" s="57"/>
      <c r="P1222" s="57"/>
      <c r="AO1222" s="57"/>
      <c r="AP1222" s="57"/>
      <c r="BA1222" s="57"/>
      <c r="BF1222" s="6" t="e">
        <f t="shared" si="57"/>
        <v>#NUM!</v>
      </c>
      <c r="BG1222" t="e">
        <f t="shared" si="58"/>
        <v>#NUM!</v>
      </c>
      <c r="BH1222" t="e">
        <f t="shared" si="59"/>
        <v>#NUM!</v>
      </c>
      <c r="BI1222" t="e">
        <f>VLOOKUP(H1222,Sheet2!$A$1:$B$270,2,FALSE)</f>
        <v>#N/A</v>
      </c>
    </row>
    <row r="1223" spans="15:61" hidden="1">
      <c r="O1223" s="57"/>
      <c r="P1223" s="57"/>
      <c r="AP1223" s="57"/>
      <c r="BA1223" s="57"/>
      <c r="BF1223" s="6" t="e">
        <f t="shared" si="57"/>
        <v>#NUM!</v>
      </c>
      <c r="BG1223" t="e">
        <f t="shared" si="58"/>
        <v>#NUM!</v>
      </c>
      <c r="BH1223" t="e">
        <f t="shared" si="59"/>
        <v>#NUM!</v>
      </c>
      <c r="BI1223" t="e">
        <f>VLOOKUP(H1223,Sheet2!$A$1:$B$270,2,FALSE)</f>
        <v>#N/A</v>
      </c>
    </row>
    <row r="1224" spans="15:61" hidden="1">
      <c r="O1224" s="57"/>
      <c r="P1224" s="57"/>
      <c r="AP1224" s="57"/>
      <c r="BA1224" s="57"/>
      <c r="BF1224" s="6" t="e">
        <f t="shared" si="57"/>
        <v>#NUM!</v>
      </c>
      <c r="BG1224" t="e">
        <f t="shared" si="58"/>
        <v>#NUM!</v>
      </c>
      <c r="BH1224" t="e">
        <f t="shared" si="59"/>
        <v>#NUM!</v>
      </c>
      <c r="BI1224" t="e">
        <f>VLOOKUP(H1224,Sheet2!$A$1:$B$270,2,FALSE)</f>
        <v>#N/A</v>
      </c>
    </row>
    <row r="1225" spans="15:61" hidden="1">
      <c r="O1225" s="57"/>
      <c r="P1225" s="57"/>
      <c r="BA1225" s="57"/>
      <c r="BF1225" s="6" t="e">
        <f t="shared" si="57"/>
        <v>#NUM!</v>
      </c>
      <c r="BG1225" t="e">
        <f t="shared" si="58"/>
        <v>#NUM!</v>
      </c>
      <c r="BH1225" t="e">
        <f t="shared" si="59"/>
        <v>#NUM!</v>
      </c>
      <c r="BI1225" t="e">
        <f>VLOOKUP(H1225,Sheet2!$A$1:$B$270,2,FALSE)</f>
        <v>#N/A</v>
      </c>
    </row>
    <row r="1226" spans="15:61" hidden="1">
      <c r="O1226" s="57"/>
      <c r="P1226" s="57"/>
      <c r="AP1226" s="57"/>
      <c r="BA1226" s="57"/>
      <c r="BF1226" s="6" t="e">
        <f t="shared" si="57"/>
        <v>#NUM!</v>
      </c>
      <c r="BG1226" t="e">
        <f t="shared" si="58"/>
        <v>#NUM!</v>
      </c>
      <c r="BH1226" t="e">
        <f t="shared" si="59"/>
        <v>#NUM!</v>
      </c>
      <c r="BI1226" t="e">
        <f>VLOOKUP(H1226,Sheet2!$A$1:$B$270,2,FALSE)</f>
        <v>#N/A</v>
      </c>
    </row>
    <row r="1227" spans="15:61" hidden="1">
      <c r="O1227" s="57"/>
      <c r="P1227" s="57"/>
      <c r="AP1227" s="57"/>
      <c r="BA1227" s="57"/>
      <c r="BF1227" s="6" t="e">
        <f t="shared" si="57"/>
        <v>#NUM!</v>
      </c>
      <c r="BG1227" t="e">
        <f t="shared" si="58"/>
        <v>#NUM!</v>
      </c>
      <c r="BH1227" t="e">
        <f t="shared" si="59"/>
        <v>#NUM!</v>
      </c>
      <c r="BI1227" t="e">
        <f>VLOOKUP(H1227,Sheet2!$A$1:$B$270,2,FALSE)</f>
        <v>#N/A</v>
      </c>
    </row>
    <row r="1228" spans="15:61" hidden="1">
      <c r="O1228" s="57"/>
      <c r="P1228" s="57"/>
      <c r="AP1228" s="57"/>
      <c r="BA1228" s="57"/>
      <c r="BF1228" s="6" t="e">
        <f t="shared" si="57"/>
        <v>#NUM!</v>
      </c>
      <c r="BG1228" t="e">
        <f t="shared" si="58"/>
        <v>#NUM!</v>
      </c>
      <c r="BH1228" t="e">
        <f t="shared" si="59"/>
        <v>#NUM!</v>
      </c>
      <c r="BI1228" t="e">
        <f>VLOOKUP(H1228,Sheet2!$A$1:$B$270,2,FALSE)</f>
        <v>#N/A</v>
      </c>
    </row>
    <row r="1229" spans="15:61" hidden="1">
      <c r="O1229" s="57"/>
      <c r="P1229" s="57"/>
      <c r="AP1229" s="57"/>
      <c r="BA1229" s="57"/>
      <c r="BF1229" s="6" t="e">
        <f t="shared" si="57"/>
        <v>#NUM!</v>
      </c>
      <c r="BG1229" t="e">
        <f t="shared" si="58"/>
        <v>#NUM!</v>
      </c>
      <c r="BH1229" t="e">
        <f t="shared" si="59"/>
        <v>#NUM!</v>
      </c>
      <c r="BI1229" t="e">
        <f>VLOOKUP(H1229,Sheet2!$A$1:$B$270,2,FALSE)</f>
        <v>#N/A</v>
      </c>
    </row>
    <row r="1230" spans="15:61" hidden="1">
      <c r="O1230" s="57"/>
      <c r="P1230" s="57"/>
      <c r="AO1230" s="57"/>
      <c r="AP1230" s="57"/>
      <c r="BA1230" s="57"/>
      <c r="BF1230" s="6" t="e">
        <f t="shared" si="57"/>
        <v>#NUM!</v>
      </c>
      <c r="BG1230" t="e">
        <f t="shared" si="58"/>
        <v>#NUM!</v>
      </c>
      <c r="BH1230" t="e">
        <f t="shared" si="59"/>
        <v>#NUM!</v>
      </c>
      <c r="BI1230" t="e">
        <f>VLOOKUP(H1230,Sheet2!$A$1:$B$270,2,FALSE)</f>
        <v>#N/A</v>
      </c>
    </row>
    <row r="1231" spans="15:61" hidden="1">
      <c r="O1231" s="57"/>
      <c r="P1231" s="57"/>
      <c r="AO1231" s="57"/>
      <c r="AP1231" s="57"/>
      <c r="BA1231" s="57"/>
      <c r="BF1231" s="6" t="e">
        <f t="shared" si="57"/>
        <v>#NUM!</v>
      </c>
      <c r="BG1231" t="e">
        <f t="shared" si="58"/>
        <v>#NUM!</v>
      </c>
      <c r="BH1231" t="e">
        <f t="shared" si="59"/>
        <v>#NUM!</v>
      </c>
      <c r="BI1231" t="e">
        <f>VLOOKUP(H1231,Sheet2!$A$1:$B$270,2,FALSE)</f>
        <v>#N/A</v>
      </c>
    </row>
    <row r="1232" spans="15:61" hidden="1">
      <c r="O1232" s="57"/>
      <c r="P1232" s="57"/>
      <c r="AP1232" s="57"/>
      <c r="BA1232" s="57"/>
      <c r="BF1232" s="6" t="e">
        <f t="shared" si="57"/>
        <v>#NUM!</v>
      </c>
      <c r="BG1232" t="e">
        <f t="shared" si="58"/>
        <v>#NUM!</v>
      </c>
      <c r="BH1232" t="e">
        <f t="shared" si="59"/>
        <v>#NUM!</v>
      </c>
      <c r="BI1232" t="e">
        <f>VLOOKUP(H1232,Sheet2!$A$1:$B$270,2,FALSE)</f>
        <v>#N/A</v>
      </c>
    </row>
    <row r="1233" spans="15:61" hidden="1">
      <c r="O1233" s="57"/>
      <c r="P1233" s="57"/>
      <c r="AO1233" s="57"/>
      <c r="BA1233" s="57"/>
      <c r="BF1233" s="6" t="e">
        <f t="shared" si="57"/>
        <v>#NUM!</v>
      </c>
      <c r="BG1233" t="e">
        <f t="shared" si="58"/>
        <v>#NUM!</v>
      </c>
      <c r="BH1233" t="e">
        <f t="shared" si="59"/>
        <v>#NUM!</v>
      </c>
      <c r="BI1233" t="e">
        <f>VLOOKUP(H1233,Sheet2!$A$1:$B$270,2,FALSE)</f>
        <v>#N/A</v>
      </c>
    </row>
    <row r="1234" spans="15:61" hidden="1">
      <c r="O1234" s="57"/>
      <c r="P1234" s="57"/>
      <c r="AP1234" s="57"/>
      <c r="BA1234" s="57"/>
      <c r="BF1234" s="6" t="e">
        <f t="shared" si="57"/>
        <v>#NUM!</v>
      </c>
      <c r="BG1234" t="e">
        <f t="shared" si="58"/>
        <v>#NUM!</v>
      </c>
      <c r="BH1234" t="e">
        <f t="shared" si="59"/>
        <v>#NUM!</v>
      </c>
      <c r="BI1234" t="e">
        <f>VLOOKUP(H1234,Sheet2!$A$1:$B$270,2,FALSE)</f>
        <v>#N/A</v>
      </c>
    </row>
    <row r="1235" spans="15:61" hidden="1">
      <c r="O1235" s="57"/>
      <c r="P1235" s="57"/>
      <c r="AO1235" s="57"/>
      <c r="AP1235" s="57"/>
      <c r="BA1235" s="57"/>
      <c r="BF1235" s="6" t="e">
        <f t="shared" si="57"/>
        <v>#NUM!</v>
      </c>
      <c r="BG1235" t="e">
        <f t="shared" si="58"/>
        <v>#NUM!</v>
      </c>
      <c r="BH1235" t="e">
        <f t="shared" si="59"/>
        <v>#NUM!</v>
      </c>
      <c r="BI1235" t="e">
        <f>VLOOKUP(H1235,Sheet2!$A$1:$B$270,2,FALSE)</f>
        <v>#N/A</v>
      </c>
    </row>
    <row r="1236" spans="15:61" hidden="1">
      <c r="O1236" s="57"/>
      <c r="P1236" s="57"/>
      <c r="AP1236" s="57"/>
      <c r="BA1236" s="57"/>
      <c r="BF1236" s="6" t="e">
        <f t="shared" si="57"/>
        <v>#NUM!</v>
      </c>
      <c r="BG1236" t="e">
        <f t="shared" si="58"/>
        <v>#NUM!</v>
      </c>
      <c r="BH1236" t="e">
        <f t="shared" si="59"/>
        <v>#NUM!</v>
      </c>
      <c r="BI1236" t="e">
        <f>VLOOKUP(H1236,Sheet2!$A$1:$B$270,2,FALSE)</f>
        <v>#N/A</v>
      </c>
    </row>
    <row r="1237" spans="15:61" hidden="1">
      <c r="O1237" s="57"/>
      <c r="P1237" s="57"/>
      <c r="AO1237" s="57"/>
      <c r="AP1237" s="57"/>
      <c r="BA1237" s="57"/>
      <c r="BF1237" s="6" t="e">
        <f t="shared" si="57"/>
        <v>#NUM!</v>
      </c>
      <c r="BG1237" t="e">
        <f t="shared" si="58"/>
        <v>#NUM!</v>
      </c>
      <c r="BH1237" t="e">
        <f t="shared" si="59"/>
        <v>#NUM!</v>
      </c>
      <c r="BI1237" t="e">
        <f>VLOOKUP(H1237,Sheet2!$A$1:$B$270,2,FALSE)</f>
        <v>#N/A</v>
      </c>
    </row>
    <row r="1238" spans="15:61" hidden="1">
      <c r="O1238" s="57"/>
      <c r="P1238" s="57"/>
      <c r="AO1238" s="57"/>
      <c r="AP1238" s="57"/>
      <c r="BA1238" s="57"/>
      <c r="BF1238" s="6" t="e">
        <f t="shared" si="57"/>
        <v>#NUM!</v>
      </c>
      <c r="BG1238" t="e">
        <f t="shared" si="58"/>
        <v>#NUM!</v>
      </c>
      <c r="BH1238" t="e">
        <f t="shared" si="59"/>
        <v>#NUM!</v>
      </c>
      <c r="BI1238" t="e">
        <f>VLOOKUP(H1238,Sheet2!$A$1:$B$270,2,FALSE)</f>
        <v>#N/A</v>
      </c>
    </row>
    <row r="1239" spans="15:61" hidden="1">
      <c r="O1239" s="57"/>
      <c r="P1239" s="57"/>
      <c r="AO1239" s="57"/>
      <c r="AP1239" s="57"/>
      <c r="BA1239" s="57"/>
      <c r="BF1239" s="6" t="e">
        <f t="shared" si="57"/>
        <v>#NUM!</v>
      </c>
      <c r="BG1239" t="e">
        <f t="shared" si="58"/>
        <v>#NUM!</v>
      </c>
      <c r="BH1239" t="e">
        <f t="shared" si="59"/>
        <v>#NUM!</v>
      </c>
      <c r="BI1239" t="e">
        <f>VLOOKUP(H1239,Sheet2!$A$1:$B$270,2,FALSE)</f>
        <v>#N/A</v>
      </c>
    </row>
    <row r="1240" spans="15:61" hidden="1">
      <c r="O1240" s="57"/>
      <c r="P1240" s="57"/>
      <c r="AO1240" s="57"/>
      <c r="AP1240" s="57"/>
      <c r="BA1240" s="57"/>
      <c r="BF1240" s="6" t="e">
        <f t="shared" si="57"/>
        <v>#NUM!</v>
      </c>
      <c r="BG1240" t="e">
        <f t="shared" si="58"/>
        <v>#NUM!</v>
      </c>
      <c r="BH1240" t="e">
        <f t="shared" si="59"/>
        <v>#NUM!</v>
      </c>
      <c r="BI1240" t="e">
        <f>VLOOKUP(H1240,Sheet2!$A$1:$B$270,2,FALSE)</f>
        <v>#N/A</v>
      </c>
    </row>
    <row r="1241" spans="15:61" hidden="1">
      <c r="O1241" s="57"/>
      <c r="P1241" s="57"/>
      <c r="AO1241" s="57"/>
      <c r="AP1241" s="57"/>
      <c r="BA1241" s="57"/>
      <c r="BF1241" s="6" t="e">
        <f t="shared" si="57"/>
        <v>#NUM!</v>
      </c>
      <c r="BG1241" t="e">
        <f t="shared" si="58"/>
        <v>#NUM!</v>
      </c>
      <c r="BH1241" t="e">
        <f t="shared" si="59"/>
        <v>#NUM!</v>
      </c>
      <c r="BI1241" t="e">
        <f>VLOOKUP(H1241,Sheet2!$A$1:$B$270,2,FALSE)</f>
        <v>#N/A</v>
      </c>
    </row>
    <row r="1242" spans="15:61" hidden="1">
      <c r="O1242" s="57"/>
      <c r="P1242" s="57"/>
      <c r="AO1242" s="57"/>
      <c r="AP1242" s="57"/>
      <c r="BA1242" s="57"/>
      <c r="BF1242" s="6" t="e">
        <f t="shared" si="57"/>
        <v>#NUM!</v>
      </c>
      <c r="BG1242" t="e">
        <f t="shared" si="58"/>
        <v>#NUM!</v>
      </c>
      <c r="BH1242" t="e">
        <f t="shared" si="59"/>
        <v>#NUM!</v>
      </c>
      <c r="BI1242" t="e">
        <f>VLOOKUP(H1242,Sheet2!$A$1:$B$270,2,FALSE)</f>
        <v>#N/A</v>
      </c>
    </row>
    <row r="1243" spans="15:61" hidden="1">
      <c r="O1243" s="57"/>
      <c r="P1243" s="57"/>
      <c r="AO1243" s="57"/>
      <c r="AP1243" s="57"/>
      <c r="BA1243" s="57"/>
      <c r="BF1243" s="6" t="e">
        <f t="shared" si="57"/>
        <v>#NUM!</v>
      </c>
      <c r="BG1243" t="e">
        <f t="shared" si="58"/>
        <v>#NUM!</v>
      </c>
      <c r="BH1243" t="e">
        <f t="shared" si="59"/>
        <v>#NUM!</v>
      </c>
      <c r="BI1243" t="e">
        <f>VLOOKUP(H1243,Sheet2!$A$1:$B$270,2,FALSE)</f>
        <v>#N/A</v>
      </c>
    </row>
    <row r="1244" spans="15:61" hidden="1">
      <c r="O1244" s="57"/>
      <c r="P1244" s="57"/>
      <c r="AO1244" s="57"/>
      <c r="AP1244" s="57"/>
      <c r="BA1244" s="57"/>
      <c r="BF1244" s="6" t="e">
        <f t="shared" si="57"/>
        <v>#NUM!</v>
      </c>
      <c r="BG1244" t="e">
        <f t="shared" si="58"/>
        <v>#NUM!</v>
      </c>
      <c r="BH1244" t="e">
        <f t="shared" si="59"/>
        <v>#NUM!</v>
      </c>
      <c r="BI1244" t="e">
        <f>VLOOKUP(H1244,Sheet2!$A$1:$B$270,2,FALSE)</f>
        <v>#N/A</v>
      </c>
    </row>
    <row r="1245" spans="15:61" hidden="1">
      <c r="O1245" s="57"/>
      <c r="P1245" s="57"/>
      <c r="AO1245" s="57"/>
      <c r="AP1245" s="57"/>
      <c r="BA1245" s="57"/>
      <c r="BF1245" s="6" t="e">
        <f t="shared" si="57"/>
        <v>#NUM!</v>
      </c>
      <c r="BG1245" t="e">
        <f t="shared" si="58"/>
        <v>#NUM!</v>
      </c>
      <c r="BH1245" t="e">
        <f t="shared" si="59"/>
        <v>#NUM!</v>
      </c>
      <c r="BI1245" t="e">
        <f>VLOOKUP(H1245,Sheet2!$A$1:$B$270,2,FALSE)</f>
        <v>#N/A</v>
      </c>
    </row>
    <row r="1246" spans="15:61" hidden="1">
      <c r="O1246" s="57"/>
      <c r="P1246" s="57"/>
      <c r="AP1246" s="57"/>
      <c r="BA1246" s="57"/>
      <c r="BF1246" s="6" t="e">
        <f t="shared" si="57"/>
        <v>#NUM!</v>
      </c>
      <c r="BG1246" t="e">
        <f t="shared" si="58"/>
        <v>#NUM!</v>
      </c>
      <c r="BH1246" t="e">
        <f t="shared" si="59"/>
        <v>#NUM!</v>
      </c>
      <c r="BI1246" t="e">
        <f>VLOOKUP(H1246,Sheet2!$A$1:$B$270,2,FALSE)</f>
        <v>#N/A</v>
      </c>
    </row>
    <row r="1247" spans="15:61" hidden="1">
      <c r="O1247" s="57"/>
      <c r="P1247" s="57"/>
      <c r="BA1247" s="57"/>
      <c r="BF1247" s="6" t="e">
        <f t="shared" si="57"/>
        <v>#NUM!</v>
      </c>
      <c r="BG1247" t="e">
        <f t="shared" si="58"/>
        <v>#NUM!</v>
      </c>
      <c r="BH1247" t="e">
        <f t="shared" si="59"/>
        <v>#NUM!</v>
      </c>
      <c r="BI1247" t="e">
        <f>VLOOKUP(H1247,Sheet2!$A$1:$B$270,2,FALSE)</f>
        <v>#N/A</v>
      </c>
    </row>
    <row r="1248" spans="15:61" hidden="1">
      <c r="O1248" s="57"/>
      <c r="P1248" s="57"/>
      <c r="AP1248" s="57"/>
      <c r="BA1248" s="57"/>
      <c r="BF1248" s="6" t="e">
        <f t="shared" si="57"/>
        <v>#NUM!</v>
      </c>
      <c r="BG1248" t="e">
        <f t="shared" si="58"/>
        <v>#NUM!</v>
      </c>
      <c r="BH1248" t="e">
        <f t="shared" si="59"/>
        <v>#NUM!</v>
      </c>
      <c r="BI1248" t="e">
        <f>VLOOKUP(H1248,Sheet2!$A$1:$B$270,2,FALSE)</f>
        <v>#N/A</v>
      </c>
    </row>
    <row r="1249" spans="15:61" hidden="1">
      <c r="O1249" s="57"/>
      <c r="P1249" s="57"/>
      <c r="AP1249" s="57"/>
      <c r="BA1249" s="57"/>
      <c r="BF1249" s="6" t="e">
        <f t="shared" si="57"/>
        <v>#NUM!</v>
      </c>
      <c r="BG1249" t="e">
        <f t="shared" si="58"/>
        <v>#NUM!</v>
      </c>
      <c r="BH1249" t="e">
        <f t="shared" si="59"/>
        <v>#NUM!</v>
      </c>
      <c r="BI1249" t="e">
        <f>VLOOKUP(H1249,Sheet2!$A$1:$B$270,2,FALSE)</f>
        <v>#N/A</v>
      </c>
    </row>
    <row r="1250" spans="15:61" hidden="1">
      <c r="O1250" s="57"/>
      <c r="P1250" s="57"/>
      <c r="AP1250" s="57"/>
      <c r="BA1250" s="57"/>
      <c r="BF1250" s="6" t="e">
        <f t="shared" si="57"/>
        <v>#NUM!</v>
      </c>
      <c r="BG1250" t="e">
        <f t="shared" si="58"/>
        <v>#NUM!</v>
      </c>
      <c r="BH1250" t="e">
        <f t="shared" si="59"/>
        <v>#NUM!</v>
      </c>
      <c r="BI1250" t="e">
        <f>VLOOKUP(H1250,Sheet2!$A$1:$B$270,2,FALSE)</f>
        <v>#N/A</v>
      </c>
    </row>
    <row r="1251" spans="15:61" hidden="1">
      <c r="O1251" s="57"/>
      <c r="P1251" s="57"/>
      <c r="BA1251" s="57"/>
      <c r="BF1251" s="6" t="e">
        <f t="shared" si="57"/>
        <v>#NUM!</v>
      </c>
      <c r="BG1251" t="e">
        <f t="shared" si="58"/>
        <v>#NUM!</v>
      </c>
      <c r="BH1251" t="e">
        <f t="shared" si="59"/>
        <v>#NUM!</v>
      </c>
      <c r="BI1251" t="e">
        <f>VLOOKUP(H1251,Sheet2!$A$1:$B$270,2,FALSE)</f>
        <v>#N/A</v>
      </c>
    </row>
    <row r="1252" spans="15:61" hidden="1">
      <c r="O1252" s="57"/>
      <c r="P1252" s="57"/>
      <c r="AP1252" s="57"/>
      <c r="BA1252" s="57"/>
      <c r="BF1252" s="6" t="e">
        <f t="shared" si="57"/>
        <v>#NUM!</v>
      </c>
      <c r="BG1252" t="e">
        <f t="shared" si="58"/>
        <v>#NUM!</v>
      </c>
      <c r="BH1252" t="e">
        <f t="shared" si="59"/>
        <v>#NUM!</v>
      </c>
      <c r="BI1252" t="e">
        <f>VLOOKUP(H1252,Sheet2!$A$1:$B$270,2,FALSE)</f>
        <v>#N/A</v>
      </c>
    </row>
    <row r="1253" spans="15:61" hidden="1">
      <c r="O1253" s="57"/>
      <c r="P1253" s="57"/>
      <c r="AP1253" s="57"/>
      <c r="BA1253" s="57"/>
      <c r="BF1253" s="6" t="e">
        <f t="shared" si="57"/>
        <v>#NUM!</v>
      </c>
      <c r="BG1253" t="e">
        <f t="shared" si="58"/>
        <v>#NUM!</v>
      </c>
      <c r="BH1253" t="e">
        <f t="shared" si="59"/>
        <v>#NUM!</v>
      </c>
      <c r="BI1253" t="e">
        <f>VLOOKUP(H1253,Sheet2!$A$1:$B$270,2,FALSE)</f>
        <v>#N/A</v>
      </c>
    </row>
    <row r="1254" spans="15:61" hidden="1">
      <c r="O1254" s="57"/>
      <c r="P1254" s="57"/>
      <c r="AP1254" s="57"/>
      <c r="BA1254" s="57"/>
      <c r="BF1254" s="6" t="e">
        <f t="shared" si="57"/>
        <v>#NUM!</v>
      </c>
      <c r="BG1254" t="e">
        <f t="shared" si="58"/>
        <v>#NUM!</v>
      </c>
      <c r="BH1254" t="e">
        <f t="shared" si="59"/>
        <v>#NUM!</v>
      </c>
      <c r="BI1254" t="e">
        <f>VLOOKUP(H1254,Sheet2!$A$1:$B$270,2,FALSE)</f>
        <v>#N/A</v>
      </c>
    </row>
    <row r="1255" spans="15:61" hidden="1">
      <c r="O1255" s="57"/>
      <c r="P1255" s="57"/>
      <c r="AP1255" s="57"/>
      <c r="BA1255" s="57"/>
      <c r="BF1255" s="6" t="e">
        <f t="shared" si="57"/>
        <v>#NUM!</v>
      </c>
      <c r="BG1255" t="e">
        <f t="shared" si="58"/>
        <v>#NUM!</v>
      </c>
      <c r="BH1255" t="e">
        <f t="shared" si="59"/>
        <v>#NUM!</v>
      </c>
      <c r="BI1255" t="e">
        <f>VLOOKUP(H1255,Sheet2!$A$1:$B$270,2,FALSE)</f>
        <v>#N/A</v>
      </c>
    </row>
    <row r="1256" spans="15:61" hidden="1">
      <c r="O1256" s="57"/>
      <c r="P1256" s="57"/>
      <c r="AP1256" s="57"/>
      <c r="BA1256" s="57"/>
      <c r="BF1256" s="6" t="e">
        <f t="shared" si="57"/>
        <v>#NUM!</v>
      </c>
      <c r="BG1256" t="e">
        <f t="shared" si="58"/>
        <v>#NUM!</v>
      </c>
      <c r="BH1256" t="e">
        <f t="shared" si="59"/>
        <v>#NUM!</v>
      </c>
      <c r="BI1256" t="e">
        <f>VLOOKUP(H1256,Sheet2!$A$1:$B$270,2,FALSE)</f>
        <v>#N/A</v>
      </c>
    </row>
    <row r="1257" spans="15:61" hidden="1">
      <c r="O1257" s="57"/>
      <c r="P1257" s="57"/>
      <c r="AP1257" s="57"/>
      <c r="BA1257" s="57"/>
      <c r="BF1257" s="6" t="e">
        <f t="shared" si="57"/>
        <v>#NUM!</v>
      </c>
      <c r="BG1257" t="e">
        <f t="shared" si="58"/>
        <v>#NUM!</v>
      </c>
      <c r="BH1257" t="e">
        <f t="shared" si="59"/>
        <v>#NUM!</v>
      </c>
      <c r="BI1257" t="e">
        <f>VLOOKUP(H1257,Sheet2!$A$1:$B$270,2,FALSE)</f>
        <v>#N/A</v>
      </c>
    </row>
    <row r="1258" spans="15:61" hidden="1">
      <c r="O1258" s="57"/>
      <c r="P1258" s="57"/>
      <c r="AP1258" s="57"/>
      <c r="BA1258" s="57"/>
      <c r="BF1258" s="6" t="e">
        <f t="shared" si="57"/>
        <v>#NUM!</v>
      </c>
      <c r="BG1258" t="e">
        <f t="shared" si="58"/>
        <v>#NUM!</v>
      </c>
      <c r="BH1258" t="e">
        <f t="shared" si="59"/>
        <v>#NUM!</v>
      </c>
      <c r="BI1258" t="e">
        <f>VLOOKUP(H1258,Sheet2!$A$1:$B$270,2,FALSE)</f>
        <v>#N/A</v>
      </c>
    </row>
    <row r="1259" spans="15:61" hidden="1">
      <c r="O1259" s="57"/>
      <c r="P1259" s="57"/>
      <c r="AP1259" s="57"/>
      <c r="BA1259" s="57"/>
      <c r="BF1259" s="6" t="e">
        <f t="shared" si="57"/>
        <v>#NUM!</v>
      </c>
      <c r="BG1259" t="e">
        <f t="shared" si="58"/>
        <v>#NUM!</v>
      </c>
      <c r="BH1259" t="e">
        <f t="shared" si="59"/>
        <v>#NUM!</v>
      </c>
      <c r="BI1259" t="e">
        <f>VLOOKUP(H1259,Sheet2!$A$1:$B$270,2,FALSE)</f>
        <v>#N/A</v>
      </c>
    </row>
    <row r="1260" spans="15:61" hidden="1">
      <c r="O1260" s="57"/>
      <c r="P1260" s="57"/>
      <c r="AP1260" s="57"/>
      <c r="BA1260" s="57"/>
      <c r="BF1260" s="6" t="e">
        <f t="shared" si="57"/>
        <v>#NUM!</v>
      </c>
      <c r="BG1260" t="e">
        <f t="shared" si="58"/>
        <v>#NUM!</v>
      </c>
      <c r="BH1260" t="e">
        <f t="shared" si="59"/>
        <v>#NUM!</v>
      </c>
      <c r="BI1260" t="e">
        <f>VLOOKUP(H1260,Sheet2!$A$1:$B$270,2,FALSE)</f>
        <v>#N/A</v>
      </c>
    </row>
    <row r="1261" spans="15:61" hidden="1">
      <c r="O1261" s="57"/>
      <c r="P1261" s="57"/>
      <c r="AP1261" s="57"/>
      <c r="BA1261" s="57"/>
      <c r="BF1261" s="6" t="e">
        <f t="shared" si="57"/>
        <v>#NUM!</v>
      </c>
      <c r="BG1261" t="e">
        <f t="shared" si="58"/>
        <v>#NUM!</v>
      </c>
      <c r="BH1261" t="e">
        <f t="shared" si="59"/>
        <v>#NUM!</v>
      </c>
      <c r="BI1261" t="e">
        <f>VLOOKUP(H1261,Sheet2!$A$1:$B$270,2,FALSE)</f>
        <v>#N/A</v>
      </c>
    </row>
    <row r="1262" spans="15:61" hidden="1">
      <c r="O1262" s="57"/>
      <c r="P1262" s="57"/>
      <c r="AP1262" s="57"/>
      <c r="BA1262" s="57"/>
      <c r="BF1262" s="6" t="e">
        <f t="shared" si="57"/>
        <v>#NUM!</v>
      </c>
      <c r="BG1262" t="e">
        <f t="shared" si="58"/>
        <v>#NUM!</v>
      </c>
      <c r="BH1262" t="e">
        <f t="shared" si="59"/>
        <v>#NUM!</v>
      </c>
      <c r="BI1262" t="e">
        <f>VLOOKUP(H1262,Sheet2!$A$1:$B$270,2,FALSE)</f>
        <v>#N/A</v>
      </c>
    </row>
    <row r="1263" spans="15:61" hidden="1">
      <c r="O1263" s="57"/>
      <c r="P1263" s="57"/>
      <c r="AP1263" s="57"/>
      <c r="BA1263" s="57"/>
      <c r="BF1263" s="6" t="e">
        <f t="shared" si="57"/>
        <v>#NUM!</v>
      </c>
      <c r="BG1263" t="e">
        <f t="shared" si="58"/>
        <v>#NUM!</v>
      </c>
      <c r="BH1263" t="e">
        <f t="shared" si="59"/>
        <v>#NUM!</v>
      </c>
      <c r="BI1263" t="e">
        <f>VLOOKUP(H1263,Sheet2!$A$1:$B$270,2,FALSE)</f>
        <v>#N/A</v>
      </c>
    </row>
    <row r="1264" spans="15:61" hidden="1">
      <c r="O1264" s="57"/>
      <c r="P1264" s="57"/>
      <c r="AP1264" s="57"/>
      <c r="BA1264" s="57"/>
      <c r="BF1264" s="6" t="e">
        <f t="shared" si="57"/>
        <v>#NUM!</v>
      </c>
      <c r="BG1264" t="e">
        <f t="shared" si="58"/>
        <v>#NUM!</v>
      </c>
      <c r="BH1264" t="e">
        <f t="shared" si="59"/>
        <v>#NUM!</v>
      </c>
      <c r="BI1264" t="e">
        <f>VLOOKUP(H1264,Sheet2!$A$1:$B$270,2,FALSE)</f>
        <v>#N/A</v>
      </c>
    </row>
    <row r="1265" spans="15:61" hidden="1">
      <c r="O1265" s="57"/>
      <c r="P1265" s="57"/>
      <c r="AO1265" s="57"/>
      <c r="AP1265" s="57"/>
      <c r="BA1265" s="57"/>
      <c r="BF1265" s="6" t="e">
        <f t="shared" si="57"/>
        <v>#NUM!</v>
      </c>
      <c r="BG1265" t="e">
        <f t="shared" si="58"/>
        <v>#NUM!</v>
      </c>
      <c r="BH1265" t="e">
        <f t="shared" si="59"/>
        <v>#NUM!</v>
      </c>
      <c r="BI1265" t="e">
        <f>VLOOKUP(H1265,Sheet2!$A$1:$B$270,2,FALSE)</f>
        <v>#N/A</v>
      </c>
    </row>
    <row r="1266" spans="15:61" hidden="1">
      <c r="O1266" s="57"/>
      <c r="P1266" s="57"/>
      <c r="AO1266" s="57"/>
      <c r="AP1266" s="57"/>
      <c r="BA1266" s="57"/>
      <c r="BF1266" s="6" t="e">
        <f t="shared" si="57"/>
        <v>#NUM!</v>
      </c>
      <c r="BG1266" t="e">
        <f t="shared" si="58"/>
        <v>#NUM!</v>
      </c>
      <c r="BH1266" t="e">
        <f t="shared" si="59"/>
        <v>#NUM!</v>
      </c>
      <c r="BI1266" t="e">
        <f>VLOOKUP(H1266,Sheet2!$A$1:$B$270,2,FALSE)</f>
        <v>#N/A</v>
      </c>
    </row>
    <row r="1267" spans="15:61" hidden="1">
      <c r="O1267" s="57"/>
      <c r="P1267" s="57"/>
      <c r="AO1267" s="57"/>
      <c r="BA1267" s="57"/>
      <c r="BF1267" s="6" t="e">
        <f t="shared" si="57"/>
        <v>#NUM!</v>
      </c>
      <c r="BG1267" t="e">
        <f t="shared" si="58"/>
        <v>#NUM!</v>
      </c>
      <c r="BH1267" t="e">
        <f t="shared" si="59"/>
        <v>#NUM!</v>
      </c>
      <c r="BI1267" t="e">
        <f>VLOOKUP(H1267,Sheet2!$A$1:$B$270,2,FALSE)</f>
        <v>#N/A</v>
      </c>
    </row>
    <row r="1268" spans="15:61" hidden="1">
      <c r="O1268" s="57"/>
      <c r="P1268" s="57"/>
      <c r="AP1268" s="57"/>
      <c r="BA1268" s="57"/>
      <c r="BF1268" s="6" t="e">
        <f t="shared" si="57"/>
        <v>#NUM!</v>
      </c>
      <c r="BG1268" t="e">
        <f t="shared" si="58"/>
        <v>#NUM!</v>
      </c>
      <c r="BH1268" t="e">
        <f t="shared" si="59"/>
        <v>#NUM!</v>
      </c>
      <c r="BI1268" t="e">
        <f>VLOOKUP(H1268,Sheet2!$A$1:$B$270,2,FALSE)</f>
        <v>#N/A</v>
      </c>
    </row>
    <row r="1269" spans="15:61" hidden="1">
      <c r="O1269" s="57"/>
      <c r="P1269" s="57"/>
      <c r="AO1269" s="57"/>
      <c r="BA1269" s="57"/>
      <c r="BF1269" s="6" t="e">
        <f t="shared" si="57"/>
        <v>#NUM!</v>
      </c>
      <c r="BG1269" t="e">
        <f t="shared" si="58"/>
        <v>#NUM!</v>
      </c>
      <c r="BH1269" t="e">
        <f t="shared" si="59"/>
        <v>#NUM!</v>
      </c>
      <c r="BI1269" t="e">
        <f>VLOOKUP(H1269,Sheet2!$A$1:$B$270,2,FALSE)</f>
        <v>#N/A</v>
      </c>
    </row>
    <row r="1270" spans="15:61" hidden="1">
      <c r="O1270" s="57"/>
      <c r="P1270" s="57"/>
      <c r="AO1270" s="57"/>
      <c r="AP1270" s="57"/>
      <c r="BA1270" s="57"/>
      <c r="BF1270" s="6" t="e">
        <f t="shared" si="57"/>
        <v>#NUM!</v>
      </c>
      <c r="BG1270" t="e">
        <f t="shared" si="58"/>
        <v>#NUM!</v>
      </c>
      <c r="BH1270" t="e">
        <f t="shared" si="59"/>
        <v>#NUM!</v>
      </c>
      <c r="BI1270" t="e">
        <f>VLOOKUP(H1270,Sheet2!$A$1:$B$270,2,FALSE)</f>
        <v>#N/A</v>
      </c>
    </row>
    <row r="1271" spans="15:61" hidden="1">
      <c r="O1271" s="57"/>
      <c r="P1271" s="57"/>
      <c r="AP1271" s="57"/>
      <c r="BA1271" s="57"/>
      <c r="BF1271" s="6" t="e">
        <f t="shared" si="57"/>
        <v>#NUM!</v>
      </c>
      <c r="BG1271" t="e">
        <f t="shared" si="58"/>
        <v>#NUM!</v>
      </c>
      <c r="BH1271" t="e">
        <f t="shared" si="59"/>
        <v>#NUM!</v>
      </c>
      <c r="BI1271" t="e">
        <f>VLOOKUP(H1271,Sheet2!$A$1:$B$270,2,FALSE)</f>
        <v>#N/A</v>
      </c>
    </row>
    <row r="1272" spans="15:61" hidden="1">
      <c r="O1272" s="57"/>
      <c r="P1272" s="57"/>
      <c r="AP1272" s="57"/>
      <c r="BA1272" s="57"/>
      <c r="BF1272" s="6" t="e">
        <f t="shared" si="57"/>
        <v>#NUM!</v>
      </c>
      <c r="BG1272" t="e">
        <f t="shared" si="58"/>
        <v>#NUM!</v>
      </c>
      <c r="BH1272" t="e">
        <f t="shared" si="59"/>
        <v>#NUM!</v>
      </c>
      <c r="BI1272" t="e">
        <f>VLOOKUP(H1272,Sheet2!$A$1:$B$270,2,FALSE)</f>
        <v>#N/A</v>
      </c>
    </row>
    <row r="1273" spans="15:61" hidden="1">
      <c r="O1273" s="57"/>
      <c r="P1273" s="57"/>
      <c r="BA1273" s="57"/>
      <c r="BF1273" s="6" t="e">
        <f t="shared" si="57"/>
        <v>#NUM!</v>
      </c>
      <c r="BG1273" t="e">
        <f t="shared" si="58"/>
        <v>#NUM!</v>
      </c>
      <c r="BH1273" t="e">
        <f t="shared" si="59"/>
        <v>#NUM!</v>
      </c>
      <c r="BI1273" t="e">
        <f>VLOOKUP(H1273,Sheet2!$A$1:$B$270,2,FALSE)</f>
        <v>#N/A</v>
      </c>
    </row>
    <row r="1274" spans="15:61" hidden="1">
      <c r="O1274" s="57"/>
      <c r="P1274" s="57"/>
      <c r="AO1274" s="57"/>
      <c r="AP1274" s="57"/>
      <c r="BA1274" s="57"/>
      <c r="BF1274" s="6" t="e">
        <f t="shared" si="57"/>
        <v>#NUM!</v>
      </c>
      <c r="BG1274" t="e">
        <f t="shared" si="58"/>
        <v>#NUM!</v>
      </c>
      <c r="BH1274" t="e">
        <f t="shared" si="59"/>
        <v>#NUM!</v>
      </c>
      <c r="BI1274" t="e">
        <f>VLOOKUP(H1274,Sheet2!$A$1:$B$270,2,FALSE)</f>
        <v>#N/A</v>
      </c>
    </row>
    <row r="1275" spans="15:61" hidden="1">
      <c r="O1275" s="57"/>
      <c r="P1275" s="57"/>
      <c r="AO1275" s="57"/>
      <c r="BA1275" s="57"/>
      <c r="BF1275" s="6" t="e">
        <f t="shared" si="57"/>
        <v>#NUM!</v>
      </c>
      <c r="BG1275" t="e">
        <f t="shared" si="58"/>
        <v>#NUM!</v>
      </c>
      <c r="BH1275" t="e">
        <f t="shared" si="59"/>
        <v>#NUM!</v>
      </c>
      <c r="BI1275" t="e">
        <f>VLOOKUP(H1275,Sheet2!$A$1:$B$270,2,FALSE)</f>
        <v>#N/A</v>
      </c>
    </row>
    <row r="1276" spans="15:61" hidden="1">
      <c r="O1276" s="57"/>
      <c r="P1276" s="57"/>
      <c r="AO1276" s="57"/>
      <c r="AP1276" s="57"/>
      <c r="BA1276" s="57"/>
      <c r="BF1276" s="6" t="e">
        <f t="shared" si="57"/>
        <v>#NUM!</v>
      </c>
      <c r="BG1276" t="e">
        <f t="shared" si="58"/>
        <v>#NUM!</v>
      </c>
      <c r="BH1276" t="e">
        <f t="shared" si="59"/>
        <v>#NUM!</v>
      </c>
      <c r="BI1276" t="e">
        <f>VLOOKUP(H1276,Sheet2!$A$1:$B$270,2,FALSE)</f>
        <v>#N/A</v>
      </c>
    </row>
    <row r="1277" spans="15:61" hidden="1">
      <c r="O1277" s="57"/>
      <c r="P1277" s="57"/>
      <c r="AO1277" s="57"/>
      <c r="AP1277" s="57"/>
      <c r="BA1277" s="57"/>
      <c r="BF1277" s="6" t="e">
        <f t="shared" si="57"/>
        <v>#NUM!</v>
      </c>
      <c r="BG1277" t="e">
        <f t="shared" si="58"/>
        <v>#NUM!</v>
      </c>
      <c r="BH1277" t="e">
        <f t="shared" si="59"/>
        <v>#NUM!</v>
      </c>
      <c r="BI1277" t="e">
        <f>VLOOKUP(H1277,Sheet2!$A$1:$B$270,2,FALSE)</f>
        <v>#N/A</v>
      </c>
    </row>
    <row r="1278" spans="15:61" hidden="1">
      <c r="O1278" s="57"/>
      <c r="P1278" s="57"/>
      <c r="AO1278" s="57"/>
      <c r="BA1278" s="57"/>
      <c r="BF1278" s="6" t="e">
        <f t="shared" si="57"/>
        <v>#NUM!</v>
      </c>
      <c r="BG1278" t="e">
        <f t="shared" si="58"/>
        <v>#NUM!</v>
      </c>
      <c r="BH1278" t="e">
        <f t="shared" si="59"/>
        <v>#NUM!</v>
      </c>
      <c r="BI1278" t="e">
        <f>VLOOKUP(H1278,Sheet2!$A$1:$B$270,2,FALSE)</f>
        <v>#N/A</v>
      </c>
    </row>
    <row r="1279" spans="15:61" hidden="1">
      <c r="O1279" s="57"/>
      <c r="P1279" s="57"/>
      <c r="AP1279" s="57"/>
      <c r="BA1279" s="57"/>
      <c r="BF1279" s="6" t="e">
        <f t="shared" si="57"/>
        <v>#NUM!</v>
      </c>
      <c r="BG1279" t="e">
        <f t="shared" si="58"/>
        <v>#NUM!</v>
      </c>
      <c r="BH1279" t="e">
        <f t="shared" si="59"/>
        <v>#NUM!</v>
      </c>
      <c r="BI1279" t="e">
        <f>VLOOKUP(H1279,Sheet2!$A$1:$B$270,2,FALSE)</f>
        <v>#N/A</v>
      </c>
    </row>
    <row r="1280" spans="15:61" hidden="1">
      <c r="O1280" s="57"/>
      <c r="P1280" s="57"/>
      <c r="BA1280" s="57"/>
      <c r="BF1280" s="6" t="e">
        <f t="shared" si="57"/>
        <v>#NUM!</v>
      </c>
      <c r="BG1280" t="e">
        <f t="shared" si="58"/>
        <v>#NUM!</v>
      </c>
      <c r="BH1280" t="e">
        <f t="shared" si="59"/>
        <v>#NUM!</v>
      </c>
      <c r="BI1280" t="e">
        <f>VLOOKUP(H1280,Sheet2!$A$1:$B$270,2,FALSE)</f>
        <v>#N/A</v>
      </c>
    </row>
    <row r="1281" spans="15:61" hidden="1">
      <c r="O1281" s="57"/>
      <c r="P1281" s="57"/>
      <c r="BA1281" s="57"/>
      <c r="BF1281" s="6" t="e">
        <f t="shared" si="57"/>
        <v>#NUM!</v>
      </c>
      <c r="BG1281" t="e">
        <f t="shared" si="58"/>
        <v>#NUM!</v>
      </c>
      <c r="BH1281" t="e">
        <f t="shared" si="59"/>
        <v>#NUM!</v>
      </c>
      <c r="BI1281" t="e">
        <f>VLOOKUP(H1281,Sheet2!$A$1:$B$270,2,FALSE)</f>
        <v>#N/A</v>
      </c>
    </row>
    <row r="1282" spans="15:61" hidden="1">
      <c r="O1282" s="57"/>
      <c r="P1282" s="57"/>
      <c r="BA1282" s="57"/>
      <c r="BF1282" s="6" t="e">
        <f t="shared" ref="BF1282:BF1345" si="60">DATE(BC1282,BD1282,BE1282)</f>
        <v>#NUM!</v>
      </c>
      <c r="BG1282" t="e">
        <f t="shared" ref="BG1282:BG1345" si="61">BF1282-BA1282</f>
        <v>#NUM!</v>
      </c>
      <c r="BH1282" t="e">
        <f t="shared" ref="BH1282:BH1345" si="62">IF(BG1282=1,"COMPLY",IF(BG1282&lt;1,"COMPLY","NOT COMPLY"))</f>
        <v>#NUM!</v>
      </c>
      <c r="BI1282" t="e">
        <f>VLOOKUP(H1282,Sheet2!$A$1:$B$270,2,FALSE)</f>
        <v>#N/A</v>
      </c>
    </row>
    <row r="1283" spans="15:61" hidden="1">
      <c r="O1283" s="57"/>
      <c r="P1283" s="57"/>
      <c r="AP1283" s="57"/>
      <c r="BA1283" s="57"/>
      <c r="BF1283" s="6" t="e">
        <f t="shared" si="60"/>
        <v>#NUM!</v>
      </c>
      <c r="BG1283" t="e">
        <f t="shared" si="61"/>
        <v>#NUM!</v>
      </c>
      <c r="BH1283" t="e">
        <f t="shared" si="62"/>
        <v>#NUM!</v>
      </c>
      <c r="BI1283" t="e">
        <f>VLOOKUP(H1283,Sheet2!$A$1:$B$270,2,FALSE)</f>
        <v>#N/A</v>
      </c>
    </row>
    <row r="1284" spans="15:61" hidden="1">
      <c r="O1284" s="57"/>
      <c r="P1284" s="57"/>
      <c r="AP1284" s="57"/>
      <c r="BA1284" s="57"/>
      <c r="BF1284" s="6" t="e">
        <f t="shared" si="60"/>
        <v>#NUM!</v>
      </c>
      <c r="BG1284" t="e">
        <f t="shared" si="61"/>
        <v>#NUM!</v>
      </c>
      <c r="BH1284" t="e">
        <f t="shared" si="62"/>
        <v>#NUM!</v>
      </c>
      <c r="BI1284" t="e">
        <f>VLOOKUP(H1284,Sheet2!$A$1:$B$270,2,FALSE)</f>
        <v>#N/A</v>
      </c>
    </row>
    <row r="1285" spans="15:61" hidden="1">
      <c r="O1285" s="57"/>
      <c r="P1285" s="57"/>
      <c r="AO1285" s="57"/>
      <c r="AP1285" s="57"/>
      <c r="BA1285" s="57"/>
      <c r="BF1285" s="6" t="e">
        <f t="shared" si="60"/>
        <v>#NUM!</v>
      </c>
      <c r="BG1285" t="e">
        <f t="shared" si="61"/>
        <v>#NUM!</v>
      </c>
      <c r="BH1285" t="e">
        <f t="shared" si="62"/>
        <v>#NUM!</v>
      </c>
      <c r="BI1285" t="e">
        <f>VLOOKUP(H1285,Sheet2!$A$1:$B$270,2,FALSE)</f>
        <v>#N/A</v>
      </c>
    </row>
    <row r="1286" spans="15:61" hidden="1">
      <c r="O1286" s="57"/>
      <c r="P1286" s="57"/>
      <c r="AP1286" s="57"/>
      <c r="BA1286" s="57"/>
      <c r="BF1286" s="6" t="e">
        <f t="shared" si="60"/>
        <v>#NUM!</v>
      </c>
      <c r="BG1286" t="e">
        <f t="shared" si="61"/>
        <v>#NUM!</v>
      </c>
      <c r="BH1286" t="e">
        <f t="shared" si="62"/>
        <v>#NUM!</v>
      </c>
      <c r="BI1286" t="e">
        <f>VLOOKUP(H1286,Sheet2!$A$1:$B$270,2,FALSE)</f>
        <v>#N/A</v>
      </c>
    </row>
    <row r="1287" spans="15:61" hidden="1">
      <c r="O1287" s="57"/>
      <c r="P1287" s="57"/>
      <c r="AO1287" s="57"/>
      <c r="AP1287" s="57"/>
      <c r="BA1287" s="57"/>
      <c r="BF1287" s="6" t="e">
        <f t="shared" si="60"/>
        <v>#NUM!</v>
      </c>
      <c r="BG1287" t="e">
        <f t="shared" si="61"/>
        <v>#NUM!</v>
      </c>
      <c r="BH1287" t="e">
        <f t="shared" si="62"/>
        <v>#NUM!</v>
      </c>
      <c r="BI1287" t="e">
        <f>VLOOKUP(H1287,Sheet2!$A$1:$B$270,2,FALSE)</f>
        <v>#N/A</v>
      </c>
    </row>
    <row r="1288" spans="15:61" hidden="1">
      <c r="O1288" s="57"/>
      <c r="P1288" s="57"/>
      <c r="AO1288" s="57"/>
      <c r="AP1288" s="57"/>
      <c r="BA1288" s="57"/>
      <c r="BF1288" s="6" t="e">
        <f t="shared" si="60"/>
        <v>#NUM!</v>
      </c>
      <c r="BG1288" t="e">
        <f t="shared" si="61"/>
        <v>#NUM!</v>
      </c>
      <c r="BH1288" t="e">
        <f t="shared" si="62"/>
        <v>#NUM!</v>
      </c>
      <c r="BI1288" t="e">
        <f>VLOOKUP(H1288,Sheet2!$A$1:$B$270,2,FALSE)</f>
        <v>#N/A</v>
      </c>
    </row>
    <row r="1289" spans="15:61" hidden="1">
      <c r="O1289" s="57"/>
      <c r="P1289" s="57"/>
      <c r="AO1289" s="57"/>
      <c r="AP1289" s="57"/>
      <c r="BA1289" s="57"/>
      <c r="BF1289" s="6" t="e">
        <f t="shared" si="60"/>
        <v>#NUM!</v>
      </c>
      <c r="BG1289" t="e">
        <f t="shared" si="61"/>
        <v>#NUM!</v>
      </c>
      <c r="BH1289" t="e">
        <f t="shared" si="62"/>
        <v>#NUM!</v>
      </c>
      <c r="BI1289" t="e">
        <f>VLOOKUP(H1289,Sheet2!$A$1:$B$270,2,FALSE)</f>
        <v>#N/A</v>
      </c>
    </row>
    <row r="1290" spans="15:61" hidden="1">
      <c r="O1290" s="57"/>
      <c r="P1290" s="57"/>
      <c r="AP1290" s="57"/>
      <c r="BA1290" s="57"/>
      <c r="BF1290" s="6" t="e">
        <f t="shared" si="60"/>
        <v>#NUM!</v>
      </c>
      <c r="BG1290" t="e">
        <f t="shared" si="61"/>
        <v>#NUM!</v>
      </c>
      <c r="BH1290" t="e">
        <f t="shared" si="62"/>
        <v>#NUM!</v>
      </c>
      <c r="BI1290" t="e">
        <f>VLOOKUP(H1290,Sheet2!$A$1:$B$270,2,FALSE)</f>
        <v>#N/A</v>
      </c>
    </row>
    <row r="1291" spans="15:61" hidden="1">
      <c r="O1291" s="57"/>
      <c r="P1291" s="57"/>
      <c r="AP1291" s="57"/>
      <c r="BA1291" s="57"/>
      <c r="BF1291" s="6" t="e">
        <f t="shared" si="60"/>
        <v>#NUM!</v>
      </c>
      <c r="BG1291" t="e">
        <f t="shared" si="61"/>
        <v>#NUM!</v>
      </c>
      <c r="BH1291" t="e">
        <f t="shared" si="62"/>
        <v>#NUM!</v>
      </c>
      <c r="BI1291" t="e">
        <f>VLOOKUP(H1291,Sheet2!$A$1:$B$270,2,FALSE)</f>
        <v>#N/A</v>
      </c>
    </row>
    <row r="1292" spans="15:61" hidden="1">
      <c r="O1292" s="57"/>
      <c r="P1292" s="57"/>
      <c r="AO1292" s="57"/>
      <c r="AP1292" s="57"/>
      <c r="BA1292" s="57"/>
      <c r="BF1292" s="6" t="e">
        <f t="shared" si="60"/>
        <v>#NUM!</v>
      </c>
      <c r="BG1292" t="e">
        <f t="shared" si="61"/>
        <v>#NUM!</v>
      </c>
      <c r="BH1292" t="e">
        <f t="shared" si="62"/>
        <v>#NUM!</v>
      </c>
      <c r="BI1292" t="e">
        <f>VLOOKUP(H1292,Sheet2!$A$1:$B$270,2,FALSE)</f>
        <v>#N/A</v>
      </c>
    </row>
    <row r="1293" spans="15:61" hidden="1">
      <c r="O1293" s="57"/>
      <c r="P1293" s="57"/>
      <c r="AO1293" s="57"/>
      <c r="AP1293" s="57"/>
      <c r="BA1293" s="57"/>
      <c r="BF1293" s="6" t="e">
        <f t="shared" si="60"/>
        <v>#NUM!</v>
      </c>
      <c r="BG1293" t="e">
        <f t="shared" si="61"/>
        <v>#NUM!</v>
      </c>
      <c r="BH1293" t="e">
        <f t="shared" si="62"/>
        <v>#NUM!</v>
      </c>
      <c r="BI1293" t="e">
        <f>VLOOKUP(H1293,Sheet2!$A$1:$B$270,2,FALSE)</f>
        <v>#N/A</v>
      </c>
    </row>
    <row r="1294" spans="15:61" hidden="1">
      <c r="O1294" s="57"/>
      <c r="P1294" s="57"/>
      <c r="AO1294" s="57"/>
      <c r="AP1294" s="57"/>
      <c r="BA1294" s="57"/>
      <c r="BF1294" s="6" t="e">
        <f t="shared" si="60"/>
        <v>#NUM!</v>
      </c>
      <c r="BG1294" t="e">
        <f t="shared" si="61"/>
        <v>#NUM!</v>
      </c>
      <c r="BH1294" t="e">
        <f t="shared" si="62"/>
        <v>#NUM!</v>
      </c>
      <c r="BI1294" t="e">
        <f>VLOOKUP(H1294,Sheet2!$A$1:$B$270,2,FALSE)</f>
        <v>#N/A</v>
      </c>
    </row>
    <row r="1295" spans="15:61" hidden="1">
      <c r="O1295" s="57"/>
      <c r="P1295" s="57"/>
      <c r="AO1295" s="57"/>
      <c r="BA1295" s="57"/>
      <c r="BF1295" s="6" t="e">
        <f t="shared" si="60"/>
        <v>#NUM!</v>
      </c>
      <c r="BG1295" t="e">
        <f t="shared" si="61"/>
        <v>#NUM!</v>
      </c>
      <c r="BH1295" t="e">
        <f t="shared" si="62"/>
        <v>#NUM!</v>
      </c>
      <c r="BI1295" t="e">
        <f>VLOOKUP(H1295,Sheet2!$A$1:$B$270,2,FALSE)</f>
        <v>#N/A</v>
      </c>
    </row>
    <row r="1296" spans="15:61" hidden="1">
      <c r="O1296" s="57"/>
      <c r="P1296" s="57"/>
      <c r="AO1296" s="57"/>
      <c r="BA1296" s="57"/>
      <c r="BF1296" s="6" t="e">
        <f t="shared" si="60"/>
        <v>#NUM!</v>
      </c>
      <c r="BG1296" t="e">
        <f t="shared" si="61"/>
        <v>#NUM!</v>
      </c>
      <c r="BH1296" t="e">
        <f t="shared" si="62"/>
        <v>#NUM!</v>
      </c>
      <c r="BI1296" t="e">
        <f>VLOOKUP(H1296,Sheet2!$A$1:$B$270,2,FALSE)</f>
        <v>#N/A</v>
      </c>
    </row>
    <row r="1297" spans="15:61" hidden="1">
      <c r="O1297" s="57"/>
      <c r="P1297" s="57"/>
      <c r="AO1297" s="57"/>
      <c r="BA1297" s="57"/>
      <c r="BF1297" s="6" t="e">
        <f t="shared" si="60"/>
        <v>#NUM!</v>
      </c>
      <c r="BG1297" t="e">
        <f t="shared" si="61"/>
        <v>#NUM!</v>
      </c>
      <c r="BH1297" t="e">
        <f t="shared" si="62"/>
        <v>#NUM!</v>
      </c>
      <c r="BI1297" t="e">
        <f>VLOOKUP(H1297,Sheet2!$A$1:$B$270,2,FALSE)</f>
        <v>#N/A</v>
      </c>
    </row>
    <row r="1298" spans="15:61" hidden="1">
      <c r="O1298" s="57"/>
      <c r="P1298" s="57"/>
      <c r="AP1298" s="57"/>
      <c r="BA1298" s="57"/>
      <c r="BF1298" s="6" t="e">
        <f t="shared" si="60"/>
        <v>#NUM!</v>
      </c>
      <c r="BG1298" t="e">
        <f t="shared" si="61"/>
        <v>#NUM!</v>
      </c>
      <c r="BH1298" t="e">
        <f t="shared" si="62"/>
        <v>#NUM!</v>
      </c>
      <c r="BI1298" t="e">
        <f>VLOOKUP(H1298,Sheet2!$A$1:$B$270,2,FALSE)</f>
        <v>#N/A</v>
      </c>
    </row>
    <row r="1299" spans="15:61" hidden="1">
      <c r="O1299" s="57"/>
      <c r="P1299" s="57"/>
      <c r="AP1299" s="57"/>
      <c r="BA1299" s="57"/>
      <c r="BF1299" s="6" t="e">
        <f t="shared" si="60"/>
        <v>#NUM!</v>
      </c>
      <c r="BG1299" t="e">
        <f t="shared" si="61"/>
        <v>#NUM!</v>
      </c>
      <c r="BH1299" t="e">
        <f t="shared" si="62"/>
        <v>#NUM!</v>
      </c>
      <c r="BI1299" t="e">
        <f>VLOOKUP(H1299,Sheet2!$A$1:$B$270,2,FALSE)</f>
        <v>#N/A</v>
      </c>
    </row>
    <row r="1300" spans="15:61" hidden="1">
      <c r="O1300" s="57"/>
      <c r="P1300" s="57"/>
      <c r="BA1300" s="57"/>
      <c r="BF1300" s="6" t="e">
        <f t="shared" si="60"/>
        <v>#NUM!</v>
      </c>
      <c r="BG1300" t="e">
        <f t="shared" si="61"/>
        <v>#NUM!</v>
      </c>
      <c r="BH1300" t="e">
        <f t="shared" si="62"/>
        <v>#NUM!</v>
      </c>
      <c r="BI1300" t="e">
        <f>VLOOKUP(H1300,Sheet2!$A$1:$B$270,2,FALSE)</f>
        <v>#N/A</v>
      </c>
    </row>
    <row r="1301" spans="15:61" hidden="1">
      <c r="O1301" s="57"/>
      <c r="P1301" s="57"/>
      <c r="BA1301" s="57"/>
      <c r="BF1301" s="6" t="e">
        <f t="shared" si="60"/>
        <v>#NUM!</v>
      </c>
      <c r="BG1301" t="e">
        <f t="shared" si="61"/>
        <v>#NUM!</v>
      </c>
      <c r="BH1301" t="e">
        <f t="shared" si="62"/>
        <v>#NUM!</v>
      </c>
      <c r="BI1301" t="e">
        <f>VLOOKUP(H1301,Sheet2!$A$1:$B$270,2,FALSE)</f>
        <v>#N/A</v>
      </c>
    </row>
    <row r="1302" spans="15:61" hidden="1">
      <c r="O1302" s="57"/>
      <c r="P1302" s="57"/>
      <c r="AP1302" s="57"/>
      <c r="BA1302" s="57"/>
      <c r="BF1302" s="6" t="e">
        <f t="shared" si="60"/>
        <v>#NUM!</v>
      </c>
      <c r="BG1302" t="e">
        <f t="shared" si="61"/>
        <v>#NUM!</v>
      </c>
      <c r="BH1302" t="e">
        <f t="shared" si="62"/>
        <v>#NUM!</v>
      </c>
      <c r="BI1302" t="e">
        <f>VLOOKUP(H1302,Sheet2!$A$1:$B$270,2,FALSE)</f>
        <v>#N/A</v>
      </c>
    </row>
    <row r="1303" spans="15:61" hidden="1">
      <c r="O1303" s="57"/>
      <c r="P1303" s="57"/>
      <c r="AP1303" s="57"/>
      <c r="BA1303" s="57"/>
      <c r="BF1303" s="6" t="e">
        <f t="shared" si="60"/>
        <v>#NUM!</v>
      </c>
      <c r="BG1303" t="e">
        <f t="shared" si="61"/>
        <v>#NUM!</v>
      </c>
      <c r="BH1303" t="e">
        <f t="shared" si="62"/>
        <v>#NUM!</v>
      </c>
      <c r="BI1303" t="e">
        <f>VLOOKUP(H1303,Sheet2!$A$1:$B$270,2,FALSE)</f>
        <v>#N/A</v>
      </c>
    </row>
    <row r="1304" spans="15:61" hidden="1">
      <c r="O1304" s="57"/>
      <c r="P1304" s="57"/>
      <c r="AP1304" s="57"/>
      <c r="BA1304" s="57"/>
      <c r="BF1304" s="6" t="e">
        <f t="shared" si="60"/>
        <v>#NUM!</v>
      </c>
      <c r="BG1304" t="e">
        <f t="shared" si="61"/>
        <v>#NUM!</v>
      </c>
      <c r="BH1304" t="e">
        <f t="shared" si="62"/>
        <v>#NUM!</v>
      </c>
      <c r="BI1304" t="e">
        <f>VLOOKUP(H1304,Sheet2!$A$1:$B$270,2,FALSE)</f>
        <v>#N/A</v>
      </c>
    </row>
    <row r="1305" spans="15:61" hidden="1">
      <c r="O1305" s="57"/>
      <c r="P1305" s="57"/>
      <c r="AO1305" s="57"/>
      <c r="AP1305" s="57"/>
      <c r="BA1305" s="57"/>
      <c r="BF1305" s="6" t="e">
        <f t="shared" si="60"/>
        <v>#NUM!</v>
      </c>
      <c r="BG1305" t="e">
        <f t="shared" si="61"/>
        <v>#NUM!</v>
      </c>
      <c r="BH1305" t="e">
        <f t="shared" si="62"/>
        <v>#NUM!</v>
      </c>
      <c r="BI1305" t="e">
        <f>VLOOKUP(H1305,Sheet2!$A$1:$B$270,2,FALSE)</f>
        <v>#N/A</v>
      </c>
    </row>
    <row r="1306" spans="15:61" hidden="1">
      <c r="O1306" s="57"/>
      <c r="P1306" s="57"/>
      <c r="AO1306" s="57"/>
      <c r="AP1306" s="57"/>
      <c r="BA1306" s="57"/>
      <c r="BF1306" s="6" t="e">
        <f t="shared" si="60"/>
        <v>#NUM!</v>
      </c>
      <c r="BG1306" t="e">
        <f t="shared" si="61"/>
        <v>#NUM!</v>
      </c>
      <c r="BH1306" t="e">
        <f t="shared" si="62"/>
        <v>#NUM!</v>
      </c>
      <c r="BI1306" t="e">
        <f>VLOOKUP(H1306,Sheet2!$A$1:$B$270,2,FALSE)</f>
        <v>#N/A</v>
      </c>
    </row>
    <row r="1307" spans="15:61" hidden="1">
      <c r="O1307" s="57"/>
      <c r="P1307" s="57"/>
      <c r="AO1307" s="57"/>
      <c r="AP1307" s="57"/>
      <c r="BA1307" s="57"/>
      <c r="BF1307" s="6" t="e">
        <f t="shared" si="60"/>
        <v>#NUM!</v>
      </c>
      <c r="BG1307" t="e">
        <f t="shared" si="61"/>
        <v>#NUM!</v>
      </c>
      <c r="BH1307" t="e">
        <f t="shared" si="62"/>
        <v>#NUM!</v>
      </c>
      <c r="BI1307" t="e">
        <f>VLOOKUP(H1307,Sheet2!$A$1:$B$270,2,FALSE)</f>
        <v>#N/A</v>
      </c>
    </row>
    <row r="1308" spans="15:61" hidden="1">
      <c r="O1308" s="57"/>
      <c r="P1308" s="57"/>
      <c r="AO1308" s="57"/>
      <c r="AP1308" s="57"/>
      <c r="BA1308" s="57"/>
      <c r="BF1308" s="6" t="e">
        <f t="shared" si="60"/>
        <v>#NUM!</v>
      </c>
      <c r="BG1308" t="e">
        <f t="shared" si="61"/>
        <v>#NUM!</v>
      </c>
      <c r="BH1308" t="e">
        <f t="shared" si="62"/>
        <v>#NUM!</v>
      </c>
      <c r="BI1308" t="e">
        <f>VLOOKUP(H1308,Sheet2!$A$1:$B$270,2,FALSE)</f>
        <v>#N/A</v>
      </c>
    </row>
    <row r="1309" spans="15:61" hidden="1">
      <c r="O1309" s="57"/>
      <c r="P1309" s="57"/>
      <c r="AO1309" s="57"/>
      <c r="AP1309" s="57"/>
      <c r="BA1309" s="57"/>
      <c r="BF1309" s="6" t="e">
        <f t="shared" si="60"/>
        <v>#NUM!</v>
      </c>
      <c r="BG1309" t="e">
        <f t="shared" si="61"/>
        <v>#NUM!</v>
      </c>
      <c r="BH1309" t="e">
        <f t="shared" si="62"/>
        <v>#NUM!</v>
      </c>
      <c r="BI1309" t="e">
        <f>VLOOKUP(H1309,Sheet2!$A$1:$B$270,2,FALSE)</f>
        <v>#N/A</v>
      </c>
    </row>
    <row r="1310" spans="15:61" hidden="1">
      <c r="O1310" s="57"/>
      <c r="P1310" s="57"/>
      <c r="AO1310" s="57"/>
      <c r="AP1310" s="57"/>
      <c r="BA1310" s="57"/>
      <c r="BF1310" s="6" t="e">
        <f t="shared" si="60"/>
        <v>#NUM!</v>
      </c>
      <c r="BG1310" t="e">
        <f t="shared" si="61"/>
        <v>#NUM!</v>
      </c>
      <c r="BH1310" t="e">
        <f t="shared" si="62"/>
        <v>#NUM!</v>
      </c>
      <c r="BI1310" t="e">
        <f>VLOOKUP(H1310,Sheet2!$A$1:$B$270,2,FALSE)</f>
        <v>#N/A</v>
      </c>
    </row>
    <row r="1311" spans="15:61" hidden="1">
      <c r="O1311" s="57"/>
      <c r="P1311" s="57"/>
      <c r="AO1311" s="57"/>
      <c r="AP1311" s="57"/>
      <c r="BA1311" s="57"/>
      <c r="BF1311" s="6" t="e">
        <f t="shared" si="60"/>
        <v>#NUM!</v>
      </c>
      <c r="BG1311" t="e">
        <f t="shared" si="61"/>
        <v>#NUM!</v>
      </c>
      <c r="BH1311" t="e">
        <f t="shared" si="62"/>
        <v>#NUM!</v>
      </c>
      <c r="BI1311" t="e">
        <f>VLOOKUP(H1311,Sheet2!$A$1:$B$270,2,FALSE)</f>
        <v>#N/A</v>
      </c>
    </row>
    <row r="1312" spans="15:61" hidden="1">
      <c r="O1312" s="57"/>
      <c r="P1312" s="57"/>
      <c r="AO1312" s="57"/>
      <c r="BA1312" s="57"/>
      <c r="BF1312" s="6" t="e">
        <f t="shared" si="60"/>
        <v>#NUM!</v>
      </c>
      <c r="BG1312" t="e">
        <f t="shared" si="61"/>
        <v>#NUM!</v>
      </c>
      <c r="BH1312" t="e">
        <f t="shared" si="62"/>
        <v>#NUM!</v>
      </c>
      <c r="BI1312" t="e">
        <f>VLOOKUP(H1312,Sheet2!$A$1:$B$270,2,FALSE)</f>
        <v>#N/A</v>
      </c>
    </row>
    <row r="1313" spans="15:61" hidden="1">
      <c r="O1313" s="57"/>
      <c r="P1313" s="57"/>
      <c r="AP1313" s="57"/>
      <c r="BA1313" s="57"/>
      <c r="BF1313" s="6" t="e">
        <f t="shared" si="60"/>
        <v>#NUM!</v>
      </c>
      <c r="BG1313" t="e">
        <f t="shared" si="61"/>
        <v>#NUM!</v>
      </c>
      <c r="BH1313" t="e">
        <f t="shared" si="62"/>
        <v>#NUM!</v>
      </c>
      <c r="BI1313" t="e">
        <f>VLOOKUP(H1313,Sheet2!$A$1:$B$270,2,FALSE)</f>
        <v>#N/A</v>
      </c>
    </row>
    <row r="1314" spans="15:61" hidden="1">
      <c r="O1314" s="57"/>
      <c r="P1314" s="57"/>
      <c r="AP1314" s="57"/>
      <c r="BA1314" s="57"/>
      <c r="BF1314" s="6" t="e">
        <f t="shared" si="60"/>
        <v>#NUM!</v>
      </c>
      <c r="BG1314" t="e">
        <f t="shared" si="61"/>
        <v>#NUM!</v>
      </c>
      <c r="BH1314" t="e">
        <f t="shared" si="62"/>
        <v>#NUM!</v>
      </c>
      <c r="BI1314" t="e">
        <f>VLOOKUP(H1314,Sheet2!$A$1:$B$270,2,FALSE)</f>
        <v>#N/A</v>
      </c>
    </row>
    <row r="1315" spans="15:61" hidden="1">
      <c r="O1315" s="57"/>
      <c r="P1315" s="57"/>
      <c r="AP1315" s="57"/>
      <c r="BA1315" s="57"/>
      <c r="BF1315" s="6" t="e">
        <f t="shared" si="60"/>
        <v>#NUM!</v>
      </c>
      <c r="BG1315" t="e">
        <f t="shared" si="61"/>
        <v>#NUM!</v>
      </c>
      <c r="BH1315" t="e">
        <f t="shared" si="62"/>
        <v>#NUM!</v>
      </c>
      <c r="BI1315" t="e">
        <f>VLOOKUP(H1315,Sheet2!$A$1:$B$270,2,FALSE)</f>
        <v>#N/A</v>
      </c>
    </row>
    <row r="1316" spans="15:61" hidden="1">
      <c r="O1316" s="57"/>
      <c r="P1316" s="57"/>
      <c r="BA1316" s="57"/>
      <c r="BF1316" s="6" t="e">
        <f t="shared" si="60"/>
        <v>#NUM!</v>
      </c>
      <c r="BG1316" t="e">
        <f t="shared" si="61"/>
        <v>#NUM!</v>
      </c>
      <c r="BH1316" t="e">
        <f t="shared" si="62"/>
        <v>#NUM!</v>
      </c>
      <c r="BI1316" t="e">
        <f>VLOOKUP(H1316,Sheet2!$A$1:$B$270,2,FALSE)</f>
        <v>#N/A</v>
      </c>
    </row>
    <row r="1317" spans="15:61" hidden="1">
      <c r="O1317" s="57"/>
      <c r="P1317" s="57"/>
      <c r="AO1317" s="57"/>
      <c r="AP1317" s="57"/>
      <c r="BA1317" s="57"/>
      <c r="BF1317" s="6" t="e">
        <f t="shared" si="60"/>
        <v>#NUM!</v>
      </c>
      <c r="BG1317" t="e">
        <f t="shared" si="61"/>
        <v>#NUM!</v>
      </c>
      <c r="BH1317" t="e">
        <f t="shared" si="62"/>
        <v>#NUM!</v>
      </c>
      <c r="BI1317" t="e">
        <f>VLOOKUP(H1317,Sheet2!$A$1:$B$270,2,FALSE)</f>
        <v>#N/A</v>
      </c>
    </row>
    <row r="1318" spans="15:61" hidden="1">
      <c r="O1318" s="57"/>
      <c r="P1318" s="57"/>
      <c r="AO1318" s="57"/>
      <c r="BA1318" s="57"/>
      <c r="BF1318" s="6" t="e">
        <f t="shared" si="60"/>
        <v>#NUM!</v>
      </c>
      <c r="BG1318" t="e">
        <f t="shared" si="61"/>
        <v>#NUM!</v>
      </c>
      <c r="BH1318" t="e">
        <f t="shared" si="62"/>
        <v>#NUM!</v>
      </c>
      <c r="BI1318" t="e">
        <f>VLOOKUP(H1318,Sheet2!$A$1:$B$270,2,FALSE)</f>
        <v>#N/A</v>
      </c>
    </row>
    <row r="1319" spans="15:61" hidden="1">
      <c r="O1319" s="57"/>
      <c r="P1319" s="57"/>
      <c r="AO1319" s="57"/>
      <c r="AP1319" s="57"/>
      <c r="BA1319" s="57"/>
      <c r="BF1319" s="6" t="e">
        <f t="shared" si="60"/>
        <v>#NUM!</v>
      </c>
      <c r="BG1319" t="e">
        <f t="shared" si="61"/>
        <v>#NUM!</v>
      </c>
      <c r="BH1319" t="e">
        <f t="shared" si="62"/>
        <v>#NUM!</v>
      </c>
      <c r="BI1319" t="e">
        <f>VLOOKUP(H1319,Sheet2!$A$1:$B$270,2,FALSE)</f>
        <v>#N/A</v>
      </c>
    </row>
    <row r="1320" spans="15:61" hidden="1">
      <c r="O1320" s="57"/>
      <c r="P1320" s="57"/>
      <c r="AO1320" s="57"/>
      <c r="BA1320" s="57"/>
      <c r="BF1320" s="6" t="e">
        <f t="shared" si="60"/>
        <v>#NUM!</v>
      </c>
      <c r="BG1320" t="e">
        <f t="shared" si="61"/>
        <v>#NUM!</v>
      </c>
      <c r="BH1320" t="e">
        <f t="shared" si="62"/>
        <v>#NUM!</v>
      </c>
      <c r="BI1320" t="e">
        <f>VLOOKUP(H1320,Sheet2!$A$1:$B$270,2,FALSE)</f>
        <v>#N/A</v>
      </c>
    </row>
    <row r="1321" spans="15:61" hidden="1">
      <c r="O1321" s="57"/>
      <c r="P1321" s="57"/>
      <c r="AP1321" s="57"/>
      <c r="BA1321" s="57"/>
      <c r="BF1321" s="6" t="e">
        <f t="shared" si="60"/>
        <v>#NUM!</v>
      </c>
      <c r="BG1321" t="e">
        <f t="shared" si="61"/>
        <v>#NUM!</v>
      </c>
      <c r="BH1321" t="e">
        <f t="shared" si="62"/>
        <v>#NUM!</v>
      </c>
      <c r="BI1321" t="e">
        <f>VLOOKUP(H1321,Sheet2!$A$1:$B$270,2,FALSE)</f>
        <v>#N/A</v>
      </c>
    </row>
    <row r="1322" spans="15:61" hidden="1">
      <c r="O1322" s="57"/>
      <c r="P1322" s="57"/>
      <c r="AP1322" s="57"/>
      <c r="BA1322" s="57"/>
      <c r="BF1322" s="6" t="e">
        <f t="shared" si="60"/>
        <v>#NUM!</v>
      </c>
      <c r="BG1322" t="e">
        <f t="shared" si="61"/>
        <v>#NUM!</v>
      </c>
      <c r="BH1322" t="e">
        <f t="shared" si="62"/>
        <v>#NUM!</v>
      </c>
      <c r="BI1322" t="e">
        <f>VLOOKUP(H1322,Sheet2!$A$1:$B$270,2,FALSE)</f>
        <v>#N/A</v>
      </c>
    </row>
    <row r="1323" spans="15:61" hidden="1">
      <c r="O1323" s="57"/>
      <c r="P1323" s="57"/>
      <c r="AP1323" s="57"/>
      <c r="BA1323" s="57"/>
      <c r="BF1323" s="6" t="e">
        <f t="shared" si="60"/>
        <v>#NUM!</v>
      </c>
      <c r="BG1323" t="e">
        <f t="shared" si="61"/>
        <v>#NUM!</v>
      </c>
      <c r="BH1323" t="e">
        <f t="shared" si="62"/>
        <v>#NUM!</v>
      </c>
      <c r="BI1323" t="e">
        <f>VLOOKUP(H1323,Sheet2!$A$1:$B$270,2,FALSE)</f>
        <v>#N/A</v>
      </c>
    </row>
    <row r="1324" spans="15:61" hidden="1">
      <c r="O1324" s="57"/>
      <c r="P1324" s="57"/>
      <c r="AO1324" s="57"/>
      <c r="BA1324" s="57"/>
      <c r="BF1324" s="6" t="e">
        <f t="shared" si="60"/>
        <v>#NUM!</v>
      </c>
      <c r="BG1324" t="e">
        <f t="shared" si="61"/>
        <v>#NUM!</v>
      </c>
      <c r="BH1324" t="e">
        <f t="shared" si="62"/>
        <v>#NUM!</v>
      </c>
      <c r="BI1324" t="e">
        <f>VLOOKUP(H1324,Sheet2!$A$1:$B$270,2,FALSE)</f>
        <v>#N/A</v>
      </c>
    </row>
    <row r="1325" spans="15:61" hidden="1">
      <c r="O1325" s="57"/>
      <c r="P1325" s="57"/>
      <c r="BA1325" s="57"/>
      <c r="BF1325" s="6" t="e">
        <f t="shared" si="60"/>
        <v>#NUM!</v>
      </c>
      <c r="BG1325" t="e">
        <f t="shared" si="61"/>
        <v>#NUM!</v>
      </c>
      <c r="BH1325" t="e">
        <f t="shared" si="62"/>
        <v>#NUM!</v>
      </c>
      <c r="BI1325" t="e">
        <f>VLOOKUP(H1325,Sheet2!$A$1:$B$270,2,FALSE)</f>
        <v>#N/A</v>
      </c>
    </row>
    <row r="1326" spans="15:61" hidden="1">
      <c r="O1326" s="57"/>
      <c r="P1326" s="57"/>
      <c r="BA1326" s="57"/>
      <c r="BF1326" s="6" t="e">
        <f t="shared" si="60"/>
        <v>#NUM!</v>
      </c>
      <c r="BG1326" t="e">
        <f t="shared" si="61"/>
        <v>#NUM!</v>
      </c>
      <c r="BH1326" t="e">
        <f t="shared" si="62"/>
        <v>#NUM!</v>
      </c>
      <c r="BI1326" t="e">
        <f>VLOOKUP(H1326,Sheet2!$A$1:$B$270,2,FALSE)</f>
        <v>#N/A</v>
      </c>
    </row>
    <row r="1327" spans="15:61" hidden="1">
      <c r="O1327" s="57"/>
      <c r="P1327" s="57"/>
      <c r="AO1327" s="57"/>
      <c r="AP1327" s="57"/>
      <c r="BA1327" s="57"/>
      <c r="BF1327" s="6" t="e">
        <f t="shared" si="60"/>
        <v>#NUM!</v>
      </c>
      <c r="BG1327" t="e">
        <f t="shared" si="61"/>
        <v>#NUM!</v>
      </c>
      <c r="BH1327" t="e">
        <f t="shared" si="62"/>
        <v>#NUM!</v>
      </c>
      <c r="BI1327" t="e">
        <f>VLOOKUP(H1327,Sheet2!$A$1:$B$270,2,FALSE)</f>
        <v>#N/A</v>
      </c>
    </row>
    <row r="1328" spans="15:61" hidden="1">
      <c r="O1328" s="57"/>
      <c r="P1328" s="57"/>
      <c r="AO1328" s="57"/>
      <c r="BA1328" s="57"/>
      <c r="BF1328" s="6" t="e">
        <f t="shared" si="60"/>
        <v>#NUM!</v>
      </c>
      <c r="BG1328" t="e">
        <f t="shared" si="61"/>
        <v>#NUM!</v>
      </c>
      <c r="BH1328" t="e">
        <f t="shared" si="62"/>
        <v>#NUM!</v>
      </c>
      <c r="BI1328" t="e">
        <f>VLOOKUP(H1328,Sheet2!$A$1:$B$270,2,FALSE)</f>
        <v>#N/A</v>
      </c>
    </row>
    <row r="1329" spans="15:61" hidden="1">
      <c r="O1329" s="57"/>
      <c r="P1329" s="57"/>
      <c r="AO1329" s="57"/>
      <c r="BA1329" s="57"/>
      <c r="BF1329" s="6" t="e">
        <f t="shared" si="60"/>
        <v>#NUM!</v>
      </c>
      <c r="BG1329" t="e">
        <f t="shared" si="61"/>
        <v>#NUM!</v>
      </c>
      <c r="BH1329" t="e">
        <f t="shared" si="62"/>
        <v>#NUM!</v>
      </c>
      <c r="BI1329" t="e">
        <f>VLOOKUP(H1329,Sheet2!$A$1:$B$270,2,FALSE)</f>
        <v>#N/A</v>
      </c>
    </row>
    <row r="1330" spans="15:61" hidden="1">
      <c r="O1330" s="57"/>
      <c r="P1330" s="57"/>
      <c r="AO1330" s="57"/>
      <c r="BA1330" s="57"/>
      <c r="BF1330" s="6" t="e">
        <f t="shared" si="60"/>
        <v>#NUM!</v>
      </c>
      <c r="BG1330" t="e">
        <f t="shared" si="61"/>
        <v>#NUM!</v>
      </c>
      <c r="BH1330" t="e">
        <f t="shared" si="62"/>
        <v>#NUM!</v>
      </c>
      <c r="BI1330" t="e">
        <f>VLOOKUP(H1330,Sheet2!$A$1:$B$270,2,FALSE)</f>
        <v>#N/A</v>
      </c>
    </row>
    <row r="1331" spans="15:61" hidden="1">
      <c r="O1331" s="57"/>
      <c r="P1331" s="57"/>
      <c r="AO1331" s="57"/>
      <c r="AP1331" s="57"/>
      <c r="BA1331" s="57"/>
      <c r="BF1331" s="6" t="e">
        <f t="shared" si="60"/>
        <v>#NUM!</v>
      </c>
      <c r="BG1331" t="e">
        <f t="shared" si="61"/>
        <v>#NUM!</v>
      </c>
      <c r="BH1331" t="e">
        <f t="shared" si="62"/>
        <v>#NUM!</v>
      </c>
      <c r="BI1331" t="e">
        <f>VLOOKUP(H1331,Sheet2!$A$1:$B$270,2,FALSE)</f>
        <v>#N/A</v>
      </c>
    </row>
    <row r="1332" spans="15:61" hidden="1">
      <c r="O1332" s="57"/>
      <c r="P1332" s="57"/>
      <c r="AP1332" s="57"/>
      <c r="BA1332" s="57"/>
      <c r="BF1332" s="6" t="e">
        <f t="shared" si="60"/>
        <v>#NUM!</v>
      </c>
      <c r="BG1332" t="e">
        <f t="shared" si="61"/>
        <v>#NUM!</v>
      </c>
      <c r="BH1332" t="e">
        <f t="shared" si="62"/>
        <v>#NUM!</v>
      </c>
      <c r="BI1332" t="e">
        <f>VLOOKUP(H1332,Sheet2!$A$1:$B$270,2,FALSE)</f>
        <v>#N/A</v>
      </c>
    </row>
    <row r="1333" spans="15:61" hidden="1">
      <c r="O1333" s="57"/>
      <c r="P1333" s="57"/>
      <c r="BA1333" s="57"/>
      <c r="BF1333" s="6" t="e">
        <f t="shared" si="60"/>
        <v>#NUM!</v>
      </c>
      <c r="BG1333" t="e">
        <f t="shared" si="61"/>
        <v>#NUM!</v>
      </c>
      <c r="BH1333" t="e">
        <f t="shared" si="62"/>
        <v>#NUM!</v>
      </c>
      <c r="BI1333" t="e">
        <f>VLOOKUP(H1333,Sheet2!$A$1:$B$270,2,FALSE)</f>
        <v>#N/A</v>
      </c>
    </row>
    <row r="1334" spans="15:61" hidden="1">
      <c r="O1334" s="57"/>
      <c r="P1334" s="57"/>
      <c r="BA1334" s="57"/>
      <c r="BF1334" s="6" t="e">
        <f t="shared" si="60"/>
        <v>#NUM!</v>
      </c>
      <c r="BG1334" t="e">
        <f t="shared" si="61"/>
        <v>#NUM!</v>
      </c>
      <c r="BH1334" t="e">
        <f t="shared" si="62"/>
        <v>#NUM!</v>
      </c>
      <c r="BI1334" t="e">
        <f>VLOOKUP(H1334,Sheet2!$A$1:$B$270,2,FALSE)</f>
        <v>#N/A</v>
      </c>
    </row>
    <row r="1335" spans="15:61" hidden="1">
      <c r="O1335" s="57"/>
      <c r="P1335" s="57"/>
      <c r="BA1335" s="57"/>
      <c r="BF1335" s="6" t="e">
        <f t="shared" si="60"/>
        <v>#NUM!</v>
      </c>
      <c r="BG1335" t="e">
        <f t="shared" si="61"/>
        <v>#NUM!</v>
      </c>
      <c r="BH1335" t="e">
        <f t="shared" si="62"/>
        <v>#NUM!</v>
      </c>
      <c r="BI1335" t="e">
        <f>VLOOKUP(H1335,Sheet2!$A$1:$B$270,2,FALSE)</f>
        <v>#N/A</v>
      </c>
    </row>
    <row r="1336" spans="15:61" hidden="1">
      <c r="O1336" s="57"/>
      <c r="P1336" s="57"/>
      <c r="AP1336" s="57"/>
      <c r="BA1336" s="57"/>
      <c r="BF1336" s="6" t="e">
        <f t="shared" si="60"/>
        <v>#NUM!</v>
      </c>
      <c r="BG1336" t="e">
        <f t="shared" si="61"/>
        <v>#NUM!</v>
      </c>
      <c r="BH1336" t="e">
        <f t="shared" si="62"/>
        <v>#NUM!</v>
      </c>
      <c r="BI1336" t="e">
        <f>VLOOKUP(H1336,Sheet2!$A$1:$B$270,2,FALSE)</f>
        <v>#N/A</v>
      </c>
    </row>
    <row r="1337" spans="15:61" hidden="1">
      <c r="O1337" s="57"/>
      <c r="P1337" s="57"/>
      <c r="BA1337" s="57"/>
      <c r="BF1337" s="6" t="e">
        <f t="shared" si="60"/>
        <v>#NUM!</v>
      </c>
      <c r="BG1337" t="e">
        <f t="shared" si="61"/>
        <v>#NUM!</v>
      </c>
      <c r="BH1337" t="e">
        <f t="shared" si="62"/>
        <v>#NUM!</v>
      </c>
      <c r="BI1337" t="e">
        <f>VLOOKUP(H1337,Sheet2!$A$1:$B$270,2,FALSE)</f>
        <v>#N/A</v>
      </c>
    </row>
    <row r="1338" spans="15:61" hidden="1">
      <c r="O1338" s="57"/>
      <c r="P1338" s="57"/>
      <c r="AP1338" s="57"/>
      <c r="BA1338" s="57"/>
      <c r="BF1338" s="6" t="e">
        <f t="shared" si="60"/>
        <v>#NUM!</v>
      </c>
      <c r="BG1338" t="e">
        <f t="shared" si="61"/>
        <v>#NUM!</v>
      </c>
      <c r="BH1338" t="e">
        <f t="shared" si="62"/>
        <v>#NUM!</v>
      </c>
      <c r="BI1338" t="e">
        <f>VLOOKUP(H1338,Sheet2!$A$1:$B$270,2,FALSE)</f>
        <v>#N/A</v>
      </c>
    </row>
    <row r="1339" spans="15:61" hidden="1">
      <c r="O1339" s="57"/>
      <c r="P1339" s="57"/>
      <c r="AO1339" s="57"/>
      <c r="AP1339" s="57"/>
      <c r="BA1339" s="57"/>
      <c r="BF1339" s="6" t="e">
        <f t="shared" si="60"/>
        <v>#NUM!</v>
      </c>
      <c r="BG1339" t="e">
        <f t="shared" si="61"/>
        <v>#NUM!</v>
      </c>
      <c r="BH1339" t="e">
        <f t="shared" si="62"/>
        <v>#NUM!</v>
      </c>
      <c r="BI1339" t="e">
        <f>VLOOKUP(H1339,Sheet2!$A$1:$B$270,2,FALSE)</f>
        <v>#N/A</v>
      </c>
    </row>
    <row r="1340" spans="15:61" hidden="1">
      <c r="O1340" s="57"/>
      <c r="P1340" s="57"/>
      <c r="AO1340" s="57"/>
      <c r="BF1340" s="6" t="e">
        <f t="shared" si="60"/>
        <v>#NUM!</v>
      </c>
      <c r="BG1340" t="e">
        <f t="shared" si="61"/>
        <v>#NUM!</v>
      </c>
      <c r="BH1340" t="e">
        <f t="shared" si="62"/>
        <v>#NUM!</v>
      </c>
      <c r="BI1340" t="e">
        <f>VLOOKUP(H1340,Sheet2!$A$1:$B$270,2,FALSE)</f>
        <v>#N/A</v>
      </c>
    </row>
    <row r="1341" spans="15:61" hidden="1">
      <c r="O1341" s="57"/>
      <c r="P1341" s="57"/>
      <c r="BA1341" s="57"/>
      <c r="BF1341" s="6" t="e">
        <f t="shared" si="60"/>
        <v>#NUM!</v>
      </c>
      <c r="BG1341" t="e">
        <f t="shared" si="61"/>
        <v>#NUM!</v>
      </c>
      <c r="BH1341" t="e">
        <f t="shared" si="62"/>
        <v>#NUM!</v>
      </c>
      <c r="BI1341" t="e">
        <f>VLOOKUP(H1341,Sheet2!$A$1:$B$270,2,FALSE)</f>
        <v>#N/A</v>
      </c>
    </row>
    <row r="1342" spans="15:61" hidden="1">
      <c r="O1342" s="57"/>
      <c r="P1342" s="57"/>
      <c r="AP1342" s="57"/>
      <c r="BA1342" s="57"/>
      <c r="BF1342" s="6" t="e">
        <f t="shared" si="60"/>
        <v>#NUM!</v>
      </c>
      <c r="BG1342" t="e">
        <f t="shared" si="61"/>
        <v>#NUM!</v>
      </c>
      <c r="BH1342" t="e">
        <f t="shared" si="62"/>
        <v>#NUM!</v>
      </c>
      <c r="BI1342" t="e">
        <f>VLOOKUP(H1342,Sheet2!$A$1:$B$270,2,FALSE)</f>
        <v>#N/A</v>
      </c>
    </row>
    <row r="1343" spans="15:61" hidden="1">
      <c r="O1343" s="57"/>
      <c r="P1343" s="57"/>
      <c r="AP1343" s="57"/>
      <c r="BA1343" s="57"/>
      <c r="BF1343" s="6" t="e">
        <f t="shared" si="60"/>
        <v>#NUM!</v>
      </c>
      <c r="BG1343" t="e">
        <f t="shared" si="61"/>
        <v>#NUM!</v>
      </c>
      <c r="BH1343" t="e">
        <f t="shared" si="62"/>
        <v>#NUM!</v>
      </c>
      <c r="BI1343" t="e">
        <f>VLOOKUP(H1343,Sheet2!$A$1:$B$270,2,FALSE)</f>
        <v>#N/A</v>
      </c>
    </row>
    <row r="1344" spans="15:61" hidden="1">
      <c r="O1344" s="57"/>
      <c r="P1344" s="57"/>
      <c r="AP1344" s="57"/>
      <c r="BA1344" s="57"/>
      <c r="BF1344" s="6" t="e">
        <f t="shared" si="60"/>
        <v>#NUM!</v>
      </c>
      <c r="BG1344" t="e">
        <f t="shared" si="61"/>
        <v>#NUM!</v>
      </c>
      <c r="BH1344" t="e">
        <f t="shared" si="62"/>
        <v>#NUM!</v>
      </c>
      <c r="BI1344" t="e">
        <f>VLOOKUP(H1344,Sheet2!$A$1:$B$270,2,FALSE)</f>
        <v>#N/A</v>
      </c>
    </row>
    <row r="1345" spans="15:61" hidden="1">
      <c r="O1345" s="57"/>
      <c r="P1345" s="57"/>
      <c r="AP1345" s="57"/>
      <c r="BA1345" s="57"/>
      <c r="BF1345" s="6" t="e">
        <f t="shared" si="60"/>
        <v>#NUM!</v>
      </c>
      <c r="BG1345" t="e">
        <f t="shared" si="61"/>
        <v>#NUM!</v>
      </c>
      <c r="BH1345" t="e">
        <f t="shared" si="62"/>
        <v>#NUM!</v>
      </c>
      <c r="BI1345" t="e">
        <f>VLOOKUP(H1345,Sheet2!$A$1:$B$270,2,FALSE)</f>
        <v>#N/A</v>
      </c>
    </row>
    <row r="1346" spans="15:61" hidden="1">
      <c r="O1346" s="57"/>
      <c r="P1346" s="57"/>
      <c r="AP1346" s="57"/>
      <c r="BA1346" s="57"/>
      <c r="BF1346" s="6" t="e">
        <f t="shared" ref="BF1346:BF1409" si="63">DATE(BC1346,BD1346,BE1346)</f>
        <v>#NUM!</v>
      </c>
      <c r="BG1346" t="e">
        <f t="shared" ref="BG1346:BG1409" si="64">BF1346-BA1346</f>
        <v>#NUM!</v>
      </c>
      <c r="BH1346" t="e">
        <f t="shared" ref="BH1346:BH1409" si="65">IF(BG1346=1,"COMPLY",IF(BG1346&lt;1,"COMPLY","NOT COMPLY"))</f>
        <v>#NUM!</v>
      </c>
      <c r="BI1346" t="e">
        <f>VLOOKUP(H1346,Sheet2!$A$1:$B$270,2,FALSE)</f>
        <v>#N/A</v>
      </c>
    </row>
    <row r="1347" spans="15:61" hidden="1">
      <c r="O1347" s="57"/>
      <c r="P1347" s="57"/>
      <c r="AP1347" s="57"/>
      <c r="BA1347" s="57"/>
      <c r="BF1347" s="6" t="e">
        <f t="shared" si="63"/>
        <v>#NUM!</v>
      </c>
      <c r="BG1347" t="e">
        <f t="shared" si="64"/>
        <v>#NUM!</v>
      </c>
      <c r="BH1347" t="e">
        <f t="shared" si="65"/>
        <v>#NUM!</v>
      </c>
      <c r="BI1347" t="e">
        <f>VLOOKUP(H1347,Sheet2!$A$1:$B$270,2,FALSE)</f>
        <v>#N/A</v>
      </c>
    </row>
    <row r="1348" spans="15:61" hidden="1">
      <c r="O1348" s="57"/>
      <c r="P1348" s="57"/>
      <c r="AP1348" s="57"/>
      <c r="BA1348" s="57"/>
      <c r="BF1348" s="6" t="e">
        <f t="shared" si="63"/>
        <v>#NUM!</v>
      </c>
      <c r="BG1348" t="e">
        <f t="shared" si="64"/>
        <v>#NUM!</v>
      </c>
      <c r="BH1348" t="e">
        <f t="shared" si="65"/>
        <v>#NUM!</v>
      </c>
      <c r="BI1348" t="e">
        <f>VLOOKUP(H1348,Sheet2!$A$1:$B$270,2,FALSE)</f>
        <v>#N/A</v>
      </c>
    </row>
    <row r="1349" spans="15:61" hidden="1">
      <c r="O1349" s="57"/>
      <c r="P1349" s="57"/>
      <c r="AO1349" s="57"/>
      <c r="BF1349" s="6" t="e">
        <f t="shared" si="63"/>
        <v>#NUM!</v>
      </c>
      <c r="BG1349" t="e">
        <f t="shared" si="64"/>
        <v>#NUM!</v>
      </c>
      <c r="BH1349" t="e">
        <f t="shared" si="65"/>
        <v>#NUM!</v>
      </c>
      <c r="BI1349" t="e">
        <f>VLOOKUP(H1349,Sheet2!$A$1:$B$270,2,FALSE)</f>
        <v>#N/A</v>
      </c>
    </row>
    <row r="1350" spans="15:61" hidden="1">
      <c r="O1350" s="57"/>
      <c r="P1350" s="57"/>
      <c r="AO1350" s="57"/>
      <c r="BF1350" s="6" t="e">
        <f t="shared" si="63"/>
        <v>#NUM!</v>
      </c>
      <c r="BG1350" t="e">
        <f t="shared" si="64"/>
        <v>#NUM!</v>
      </c>
      <c r="BH1350" t="e">
        <f t="shared" si="65"/>
        <v>#NUM!</v>
      </c>
      <c r="BI1350" t="e">
        <f>VLOOKUP(H1350,Sheet2!$A$1:$B$270,2,FALSE)</f>
        <v>#N/A</v>
      </c>
    </row>
    <row r="1351" spans="15:61" hidden="1">
      <c r="O1351" s="57"/>
      <c r="P1351" s="57"/>
      <c r="AO1351" s="57"/>
      <c r="BF1351" s="6" t="e">
        <f t="shared" si="63"/>
        <v>#NUM!</v>
      </c>
      <c r="BG1351" t="e">
        <f t="shared" si="64"/>
        <v>#NUM!</v>
      </c>
      <c r="BH1351" t="e">
        <f t="shared" si="65"/>
        <v>#NUM!</v>
      </c>
      <c r="BI1351" t="e">
        <f>VLOOKUP(H1351,Sheet2!$A$1:$B$270,2,FALSE)</f>
        <v>#N/A</v>
      </c>
    </row>
    <row r="1352" spans="15:61" hidden="1">
      <c r="O1352" s="57"/>
      <c r="P1352" s="57"/>
      <c r="AO1352" s="57"/>
      <c r="BF1352" s="6" t="e">
        <f t="shared" si="63"/>
        <v>#NUM!</v>
      </c>
      <c r="BG1352" t="e">
        <f t="shared" si="64"/>
        <v>#NUM!</v>
      </c>
      <c r="BH1352" t="e">
        <f t="shared" si="65"/>
        <v>#NUM!</v>
      </c>
      <c r="BI1352" t="e">
        <f>VLOOKUP(H1352,Sheet2!$A$1:$B$270,2,FALSE)</f>
        <v>#N/A</v>
      </c>
    </row>
    <row r="1353" spans="15:61" hidden="1">
      <c r="O1353" s="57"/>
      <c r="P1353" s="57"/>
      <c r="AO1353" s="57"/>
      <c r="BF1353" s="6" t="e">
        <f t="shared" si="63"/>
        <v>#NUM!</v>
      </c>
      <c r="BG1353" t="e">
        <f t="shared" si="64"/>
        <v>#NUM!</v>
      </c>
      <c r="BH1353" t="e">
        <f t="shared" si="65"/>
        <v>#NUM!</v>
      </c>
      <c r="BI1353" t="e">
        <f>VLOOKUP(H1353,Sheet2!$A$1:$B$270,2,FALSE)</f>
        <v>#N/A</v>
      </c>
    </row>
    <row r="1354" spans="15:61" hidden="1">
      <c r="O1354" s="57"/>
      <c r="P1354" s="57"/>
      <c r="AO1354" s="57"/>
      <c r="BF1354" s="6" t="e">
        <f t="shared" si="63"/>
        <v>#NUM!</v>
      </c>
      <c r="BG1354" t="e">
        <f t="shared" si="64"/>
        <v>#NUM!</v>
      </c>
      <c r="BH1354" t="e">
        <f t="shared" si="65"/>
        <v>#NUM!</v>
      </c>
      <c r="BI1354" t="e">
        <f>VLOOKUP(H1354,Sheet2!$A$1:$B$270,2,FALSE)</f>
        <v>#N/A</v>
      </c>
    </row>
    <row r="1355" spans="15:61" hidden="1">
      <c r="O1355" s="57"/>
      <c r="P1355" s="57"/>
      <c r="AO1355" s="57"/>
      <c r="AP1355" s="57"/>
      <c r="BA1355" s="57"/>
      <c r="BF1355" s="6" t="e">
        <f t="shared" si="63"/>
        <v>#NUM!</v>
      </c>
      <c r="BG1355" t="e">
        <f t="shared" si="64"/>
        <v>#NUM!</v>
      </c>
      <c r="BH1355" t="e">
        <f t="shared" si="65"/>
        <v>#NUM!</v>
      </c>
      <c r="BI1355" t="e">
        <f>VLOOKUP(H1355,Sheet2!$A$1:$B$270,2,FALSE)</f>
        <v>#N/A</v>
      </c>
    </row>
    <row r="1356" spans="15:61" hidden="1">
      <c r="O1356" s="57"/>
      <c r="P1356" s="57"/>
      <c r="AO1356" s="57"/>
      <c r="AP1356" s="57"/>
      <c r="BA1356" s="57"/>
      <c r="BF1356" s="6" t="e">
        <f t="shared" si="63"/>
        <v>#NUM!</v>
      </c>
      <c r="BG1356" t="e">
        <f t="shared" si="64"/>
        <v>#NUM!</v>
      </c>
      <c r="BH1356" t="e">
        <f t="shared" si="65"/>
        <v>#NUM!</v>
      </c>
      <c r="BI1356" t="e">
        <f>VLOOKUP(H1356,Sheet2!$A$1:$B$270,2,FALSE)</f>
        <v>#N/A</v>
      </c>
    </row>
    <row r="1357" spans="15:61" hidden="1">
      <c r="O1357" s="57"/>
      <c r="P1357" s="57"/>
      <c r="AO1357" s="57"/>
      <c r="BA1357" s="57"/>
      <c r="BF1357" s="6" t="e">
        <f t="shared" si="63"/>
        <v>#NUM!</v>
      </c>
      <c r="BG1357" t="e">
        <f t="shared" si="64"/>
        <v>#NUM!</v>
      </c>
      <c r="BH1357" t="e">
        <f t="shared" si="65"/>
        <v>#NUM!</v>
      </c>
      <c r="BI1357" t="e">
        <f>VLOOKUP(H1357,Sheet2!$A$1:$B$270,2,FALSE)</f>
        <v>#N/A</v>
      </c>
    </row>
    <row r="1358" spans="15:61" hidden="1">
      <c r="O1358" s="57"/>
      <c r="P1358" s="57"/>
      <c r="AO1358" s="57"/>
      <c r="BA1358" s="57"/>
      <c r="BF1358" s="6" t="e">
        <f t="shared" si="63"/>
        <v>#NUM!</v>
      </c>
      <c r="BG1358" t="e">
        <f t="shared" si="64"/>
        <v>#NUM!</v>
      </c>
      <c r="BH1358" t="e">
        <f t="shared" si="65"/>
        <v>#NUM!</v>
      </c>
      <c r="BI1358" t="e">
        <f>VLOOKUP(H1358,Sheet2!$A$1:$B$270,2,FALSE)</f>
        <v>#N/A</v>
      </c>
    </row>
    <row r="1359" spans="15:61" hidden="1">
      <c r="O1359" s="57"/>
      <c r="P1359" s="57"/>
      <c r="AO1359" s="57"/>
      <c r="BA1359" s="57"/>
      <c r="BF1359" s="6" t="e">
        <f t="shared" si="63"/>
        <v>#NUM!</v>
      </c>
      <c r="BG1359" t="e">
        <f t="shared" si="64"/>
        <v>#NUM!</v>
      </c>
      <c r="BH1359" t="e">
        <f t="shared" si="65"/>
        <v>#NUM!</v>
      </c>
      <c r="BI1359" t="e">
        <f>VLOOKUP(H1359,Sheet2!$A$1:$B$270,2,FALSE)</f>
        <v>#N/A</v>
      </c>
    </row>
    <row r="1360" spans="15:61" hidden="1">
      <c r="O1360" s="57"/>
      <c r="P1360" s="57"/>
      <c r="AO1360" s="57"/>
      <c r="BA1360" s="57"/>
      <c r="BF1360" s="6" t="e">
        <f t="shared" si="63"/>
        <v>#NUM!</v>
      </c>
      <c r="BG1360" t="e">
        <f t="shared" si="64"/>
        <v>#NUM!</v>
      </c>
      <c r="BH1360" t="e">
        <f t="shared" si="65"/>
        <v>#NUM!</v>
      </c>
      <c r="BI1360" t="e">
        <f>VLOOKUP(H1360,Sheet2!$A$1:$B$270,2,FALSE)</f>
        <v>#N/A</v>
      </c>
    </row>
    <row r="1361" spans="15:61" hidden="1">
      <c r="O1361" s="57"/>
      <c r="P1361" s="57"/>
      <c r="AO1361" s="57"/>
      <c r="AP1361" s="57"/>
      <c r="BA1361" s="57"/>
      <c r="BF1361" s="6" t="e">
        <f t="shared" si="63"/>
        <v>#NUM!</v>
      </c>
      <c r="BG1361" t="e">
        <f t="shared" si="64"/>
        <v>#NUM!</v>
      </c>
      <c r="BH1361" t="e">
        <f t="shared" si="65"/>
        <v>#NUM!</v>
      </c>
      <c r="BI1361" t="e">
        <f>VLOOKUP(H1361,Sheet2!$A$1:$B$270,2,FALSE)</f>
        <v>#N/A</v>
      </c>
    </row>
    <row r="1362" spans="15:61" hidden="1">
      <c r="O1362" s="57"/>
      <c r="P1362" s="57"/>
      <c r="AO1362" s="57"/>
      <c r="BA1362" s="57"/>
      <c r="BF1362" s="6" t="e">
        <f t="shared" si="63"/>
        <v>#NUM!</v>
      </c>
      <c r="BG1362" t="e">
        <f t="shared" si="64"/>
        <v>#NUM!</v>
      </c>
      <c r="BH1362" t="e">
        <f t="shared" si="65"/>
        <v>#NUM!</v>
      </c>
      <c r="BI1362" t="e">
        <f>VLOOKUP(H1362,Sheet2!$A$1:$B$270,2,FALSE)</f>
        <v>#N/A</v>
      </c>
    </row>
    <row r="1363" spans="15:61" hidden="1">
      <c r="O1363" s="57"/>
      <c r="P1363" s="57"/>
      <c r="AO1363" s="57"/>
      <c r="BA1363" s="57"/>
      <c r="BF1363" s="6" t="e">
        <f t="shared" si="63"/>
        <v>#NUM!</v>
      </c>
      <c r="BG1363" t="e">
        <f t="shared" si="64"/>
        <v>#NUM!</v>
      </c>
      <c r="BH1363" t="e">
        <f t="shared" si="65"/>
        <v>#NUM!</v>
      </c>
      <c r="BI1363" t="e">
        <f>VLOOKUP(H1363,Sheet2!$A$1:$B$270,2,FALSE)</f>
        <v>#N/A</v>
      </c>
    </row>
    <row r="1364" spans="15:61" hidden="1">
      <c r="O1364" s="57"/>
      <c r="P1364" s="57"/>
      <c r="AP1364" s="57"/>
      <c r="BA1364" s="57"/>
      <c r="BF1364" s="6" t="e">
        <f t="shared" si="63"/>
        <v>#NUM!</v>
      </c>
      <c r="BG1364" t="e">
        <f t="shared" si="64"/>
        <v>#NUM!</v>
      </c>
      <c r="BH1364" t="e">
        <f t="shared" si="65"/>
        <v>#NUM!</v>
      </c>
      <c r="BI1364" t="e">
        <f>VLOOKUP(H1364,Sheet2!$A$1:$B$270,2,FALSE)</f>
        <v>#N/A</v>
      </c>
    </row>
    <row r="1365" spans="15:61" hidden="1">
      <c r="O1365" s="57"/>
      <c r="P1365" s="57"/>
      <c r="AP1365" s="57"/>
      <c r="BA1365" s="57"/>
      <c r="BF1365" s="6" t="e">
        <f t="shared" si="63"/>
        <v>#NUM!</v>
      </c>
      <c r="BG1365" t="e">
        <f t="shared" si="64"/>
        <v>#NUM!</v>
      </c>
      <c r="BH1365" t="e">
        <f t="shared" si="65"/>
        <v>#NUM!</v>
      </c>
      <c r="BI1365" t="e">
        <f>VLOOKUP(H1365,Sheet2!$A$1:$B$270,2,FALSE)</f>
        <v>#N/A</v>
      </c>
    </row>
    <row r="1366" spans="15:61" hidden="1">
      <c r="O1366" s="57"/>
      <c r="P1366" s="57"/>
      <c r="AP1366" s="57"/>
      <c r="BA1366" s="57"/>
      <c r="BF1366" s="6" t="e">
        <f t="shared" si="63"/>
        <v>#NUM!</v>
      </c>
      <c r="BG1366" t="e">
        <f t="shared" si="64"/>
        <v>#NUM!</v>
      </c>
      <c r="BH1366" t="e">
        <f t="shared" si="65"/>
        <v>#NUM!</v>
      </c>
      <c r="BI1366" t="e">
        <f>VLOOKUP(H1366,Sheet2!$A$1:$B$270,2,FALSE)</f>
        <v>#N/A</v>
      </c>
    </row>
    <row r="1367" spans="15:61" hidden="1">
      <c r="O1367" s="57"/>
      <c r="P1367" s="57"/>
      <c r="AP1367" s="57"/>
      <c r="BA1367" s="57"/>
      <c r="BF1367" s="6" t="e">
        <f t="shared" si="63"/>
        <v>#NUM!</v>
      </c>
      <c r="BG1367" t="e">
        <f t="shared" si="64"/>
        <v>#NUM!</v>
      </c>
      <c r="BH1367" t="e">
        <f t="shared" si="65"/>
        <v>#NUM!</v>
      </c>
      <c r="BI1367" t="e">
        <f>VLOOKUP(H1367,Sheet2!$A$1:$B$270,2,FALSE)</f>
        <v>#N/A</v>
      </c>
    </row>
    <row r="1368" spans="15:61" hidden="1">
      <c r="O1368" s="57"/>
      <c r="P1368" s="57"/>
      <c r="AP1368" s="57"/>
      <c r="BA1368" s="57"/>
      <c r="BF1368" s="6" t="e">
        <f t="shared" si="63"/>
        <v>#NUM!</v>
      </c>
      <c r="BG1368" t="e">
        <f t="shared" si="64"/>
        <v>#NUM!</v>
      </c>
      <c r="BH1368" t="e">
        <f t="shared" si="65"/>
        <v>#NUM!</v>
      </c>
      <c r="BI1368" t="e">
        <f>VLOOKUP(H1368,Sheet2!$A$1:$B$270,2,FALSE)</f>
        <v>#N/A</v>
      </c>
    </row>
    <row r="1369" spans="15:61" hidden="1">
      <c r="O1369" s="57"/>
      <c r="P1369" s="57"/>
      <c r="AP1369" s="57"/>
      <c r="BA1369" s="57"/>
      <c r="BF1369" s="6" t="e">
        <f t="shared" si="63"/>
        <v>#NUM!</v>
      </c>
      <c r="BG1369" t="e">
        <f t="shared" si="64"/>
        <v>#NUM!</v>
      </c>
      <c r="BH1369" t="e">
        <f t="shared" si="65"/>
        <v>#NUM!</v>
      </c>
      <c r="BI1369" t="e">
        <f>VLOOKUP(H1369,Sheet2!$A$1:$B$270,2,FALSE)</f>
        <v>#N/A</v>
      </c>
    </row>
    <row r="1370" spans="15:61" hidden="1">
      <c r="O1370" s="57"/>
      <c r="P1370" s="57"/>
      <c r="AP1370" s="57"/>
      <c r="BA1370" s="57"/>
      <c r="BF1370" s="6" t="e">
        <f t="shared" si="63"/>
        <v>#NUM!</v>
      </c>
      <c r="BG1370" t="e">
        <f t="shared" si="64"/>
        <v>#NUM!</v>
      </c>
      <c r="BH1370" t="e">
        <f t="shared" si="65"/>
        <v>#NUM!</v>
      </c>
      <c r="BI1370" t="e">
        <f>VLOOKUP(H1370,Sheet2!$A$1:$B$270,2,FALSE)</f>
        <v>#N/A</v>
      </c>
    </row>
    <row r="1371" spans="15:61" hidden="1">
      <c r="O1371" s="57"/>
      <c r="P1371" s="57"/>
      <c r="BA1371" s="57"/>
      <c r="BF1371" s="6" t="e">
        <f t="shared" si="63"/>
        <v>#NUM!</v>
      </c>
      <c r="BG1371" t="e">
        <f t="shared" si="64"/>
        <v>#NUM!</v>
      </c>
      <c r="BH1371" t="e">
        <f t="shared" si="65"/>
        <v>#NUM!</v>
      </c>
      <c r="BI1371" t="e">
        <f>VLOOKUP(H1371,Sheet2!$A$1:$B$270,2,FALSE)</f>
        <v>#N/A</v>
      </c>
    </row>
    <row r="1372" spans="15:61" hidden="1">
      <c r="O1372" s="57"/>
      <c r="P1372" s="57"/>
      <c r="AP1372" s="57"/>
      <c r="BA1372" s="57"/>
      <c r="BF1372" s="6" t="e">
        <f t="shared" si="63"/>
        <v>#NUM!</v>
      </c>
      <c r="BG1372" t="e">
        <f t="shared" si="64"/>
        <v>#NUM!</v>
      </c>
      <c r="BH1372" t="e">
        <f t="shared" si="65"/>
        <v>#NUM!</v>
      </c>
      <c r="BI1372" t="e">
        <f>VLOOKUP(H1372,Sheet2!$A$1:$B$270,2,FALSE)</f>
        <v>#N/A</v>
      </c>
    </row>
    <row r="1373" spans="15:61" hidden="1">
      <c r="O1373" s="57"/>
      <c r="P1373" s="57"/>
      <c r="AP1373" s="57"/>
      <c r="BA1373" s="57"/>
      <c r="BF1373" s="6" t="e">
        <f t="shared" si="63"/>
        <v>#NUM!</v>
      </c>
      <c r="BG1373" t="e">
        <f t="shared" si="64"/>
        <v>#NUM!</v>
      </c>
      <c r="BH1373" t="e">
        <f t="shared" si="65"/>
        <v>#NUM!</v>
      </c>
      <c r="BI1373" t="e">
        <f>VLOOKUP(H1373,Sheet2!$A$1:$B$270,2,FALSE)</f>
        <v>#N/A</v>
      </c>
    </row>
    <row r="1374" spans="15:61" hidden="1">
      <c r="O1374" s="57"/>
      <c r="P1374" s="57"/>
      <c r="AP1374" s="57"/>
      <c r="BA1374" s="57"/>
      <c r="BF1374" s="6" t="e">
        <f t="shared" si="63"/>
        <v>#NUM!</v>
      </c>
      <c r="BG1374" t="e">
        <f t="shared" si="64"/>
        <v>#NUM!</v>
      </c>
      <c r="BH1374" t="e">
        <f t="shared" si="65"/>
        <v>#NUM!</v>
      </c>
      <c r="BI1374" t="e">
        <f>VLOOKUP(H1374,Sheet2!$A$1:$B$270,2,FALSE)</f>
        <v>#N/A</v>
      </c>
    </row>
    <row r="1375" spans="15:61" hidden="1">
      <c r="O1375" s="57"/>
      <c r="P1375" s="57"/>
      <c r="BA1375" s="57"/>
      <c r="BF1375" s="6" t="e">
        <f t="shared" si="63"/>
        <v>#NUM!</v>
      </c>
      <c r="BG1375" t="e">
        <f t="shared" si="64"/>
        <v>#NUM!</v>
      </c>
      <c r="BH1375" t="e">
        <f t="shared" si="65"/>
        <v>#NUM!</v>
      </c>
      <c r="BI1375" t="e">
        <f>VLOOKUP(H1375,Sheet2!$A$1:$B$270,2,FALSE)</f>
        <v>#N/A</v>
      </c>
    </row>
    <row r="1376" spans="15:61" hidden="1">
      <c r="O1376" s="57"/>
      <c r="P1376" s="57"/>
      <c r="BA1376" s="57"/>
      <c r="BF1376" s="6" t="e">
        <f t="shared" si="63"/>
        <v>#NUM!</v>
      </c>
      <c r="BG1376" t="e">
        <f t="shared" si="64"/>
        <v>#NUM!</v>
      </c>
      <c r="BH1376" t="e">
        <f t="shared" si="65"/>
        <v>#NUM!</v>
      </c>
      <c r="BI1376" t="e">
        <f>VLOOKUP(H1376,Sheet2!$A$1:$B$270,2,FALSE)</f>
        <v>#N/A</v>
      </c>
    </row>
    <row r="1377" spans="15:61" hidden="1">
      <c r="O1377" s="57"/>
      <c r="P1377" s="57"/>
      <c r="AO1377" s="57"/>
      <c r="AP1377" s="57"/>
      <c r="BA1377" s="57"/>
      <c r="BF1377" s="6" t="e">
        <f t="shared" si="63"/>
        <v>#NUM!</v>
      </c>
      <c r="BG1377" t="e">
        <f t="shared" si="64"/>
        <v>#NUM!</v>
      </c>
      <c r="BH1377" t="e">
        <f t="shared" si="65"/>
        <v>#NUM!</v>
      </c>
      <c r="BI1377" t="e">
        <f>VLOOKUP(H1377,Sheet2!$A$1:$B$270,2,FALSE)</f>
        <v>#N/A</v>
      </c>
    </row>
    <row r="1378" spans="15:61" hidden="1">
      <c r="O1378" s="57"/>
      <c r="P1378" s="57"/>
      <c r="BA1378" s="57"/>
      <c r="BF1378" s="6" t="e">
        <f t="shared" si="63"/>
        <v>#NUM!</v>
      </c>
      <c r="BG1378" t="e">
        <f t="shared" si="64"/>
        <v>#NUM!</v>
      </c>
      <c r="BH1378" t="e">
        <f t="shared" si="65"/>
        <v>#NUM!</v>
      </c>
      <c r="BI1378" t="e">
        <f>VLOOKUP(H1378,Sheet2!$A$1:$B$270,2,FALSE)</f>
        <v>#N/A</v>
      </c>
    </row>
    <row r="1379" spans="15:61" hidden="1">
      <c r="O1379" s="57"/>
      <c r="P1379" s="57"/>
      <c r="BA1379" s="57"/>
      <c r="BF1379" s="6" t="e">
        <f t="shared" si="63"/>
        <v>#NUM!</v>
      </c>
      <c r="BG1379" t="e">
        <f t="shared" si="64"/>
        <v>#NUM!</v>
      </c>
      <c r="BH1379" t="e">
        <f t="shared" si="65"/>
        <v>#NUM!</v>
      </c>
      <c r="BI1379" t="e">
        <f>VLOOKUP(H1379,Sheet2!$A$1:$B$270,2,FALSE)</f>
        <v>#N/A</v>
      </c>
    </row>
    <row r="1380" spans="15:61" hidden="1">
      <c r="O1380" s="57"/>
      <c r="P1380" s="57"/>
      <c r="AP1380" s="57"/>
      <c r="BA1380" s="57"/>
      <c r="BF1380" s="6" t="e">
        <f t="shared" si="63"/>
        <v>#NUM!</v>
      </c>
      <c r="BG1380" t="e">
        <f t="shared" si="64"/>
        <v>#NUM!</v>
      </c>
      <c r="BH1380" t="e">
        <f t="shared" si="65"/>
        <v>#NUM!</v>
      </c>
      <c r="BI1380" t="e">
        <f>VLOOKUP(H1380,Sheet2!$A$1:$B$270,2,FALSE)</f>
        <v>#N/A</v>
      </c>
    </row>
    <row r="1381" spans="15:61" hidden="1">
      <c r="O1381" s="57"/>
      <c r="P1381" s="57"/>
      <c r="AP1381" s="57"/>
      <c r="BA1381" s="57"/>
      <c r="BF1381" s="6" t="e">
        <f t="shared" si="63"/>
        <v>#NUM!</v>
      </c>
      <c r="BG1381" t="e">
        <f t="shared" si="64"/>
        <v>#NUM!</v>
      </c>
      <c r="BH1381" t="e">
        <f t="shared" si="65"/>
        <v>#NUM!</v>
      </c>
      <c r="BI1381" t="e">
        <f>VLOOKUP(H1381,Sheet2!$A$1:$B$270,2,FALSE)</f>
        <v>#N/A</v>
      </c>
    </row>
    <row r="1382" spans="15:61" hidden="1">
      <c r="O1382" s="57"/>
      <c r="P1382" s="57"/>
      <c r="BA1382" s="57"/>
      <c r="BF1382" s="6" t="e">
        <f t="shared" si="63"/>
        <v>#NUM!</v>
      </c>
      <c r="BG1382" t="e">
        <f t="shared" si="64"/>
        <v>#NUM!</v>
      </c>
      <c r="BH1382" t="e">
        <f t="shared" si="65"/>
        <v>#NUM!</v>
      </c>
      <c r="BI1382" t="e">
        <f>VLOOKUP(H1382,Sheet2!$A$1:$B$270,2,FALSE)</f>
        <v>#N/A</v>
      </c>
    </row>
    <row r="1383" spans="15:61" hidden="1">
      <c r="O1383" s="57"/>
      <c r="P1383" s="57"/>
      <c r="BA1383" s="57"/>
      <c r="BF1383" s="6" t="e">
        <f t="shared" si="63"/>
        <v>#NUM!</v>
      </c>
      <c r="BG1383" t="e">
        <f t="shared" si="64"/>
        <v>#NUM!</v>
      </c>
      <c r="BH1383" t="e">
        <f t="shared" si="65"/>
        <v>#NUM!</v>
      </c>
      <c r="BI1383" t="e">
        <f>VLOOKUP(H1383,Sheet2!$A$1:$B$270,2,FALSE)</f>
        <v>#N/A</v>
      </c>
    </row>
    <row r="1384" spans="15:61" hidden="1">
      <c r="O1384" s="57"/>
      <c r="P1384" s="57"/>
      <c r="AO1384" s="57"/>
      <c r="AP1384" s="57"/>
      <c r="BA1384" s="57"/>
      <c r="BF1384" s="6" t="e">
        <f t="shared" si="63"/>
        <v>#NUM!</v>
      </c>
      <c r="BG1384" t="e">
        <f t="shared" si="64"/>
        <v>#NUM!</v>
      </c>
      <c r="BH1384" t="e">
        <f t="shared" si="65"/>
        <v>#NUM!</v>
      </c>
      <c r="BI1384" t="e">
        <f>VLOOKUP(H1384,Sheet2!$A$1:$B$270,2,FALSE)</f>
        <v>#N/A</v>
      </c>
    </row>
    <row r="1385" spans="15:61" hidden="1">
      <c r="O1385" s="57"/>
      <c r="P1385" s="57"/>
      <c r="AO1385" s="57"/>
      <c r="AP1385" s="57"/>
      <c r="BA1385" s="57"/>
      <c r="BF1385" s="6" t="e">
        <f t="shared" si="63"/>
        <v>#NUM!</v>
      </c>
      <c r="BG1385" t="e">
        <f t="shared" si="64"/>
        <v>#NUM!</v>
      </c>
      <c r="BH1385" t="e">
        <f t="shared" si="65"/>
        <v>#NUM!</v>
      </c>
      <c r="BI1385" t="e">
        <f>VLOOKUP(H1385,Sheet2!$A$1:$B$270,2,FALSE)</f>
        <v>#N/A</v>
      </c>
    </row>
    <row r="1386" spans="15:61" hidden="1">
      <c r="O1386" s="57"/>
      <c r="P1386" s="57"/>
      <c r="AO1386" s="57"/>
      <c r="AP1386" s="57"/>
      <c r="BA1386" s="57"/>
      <c r="BF1386" s="6" t="e">
        <f t="shared" si="63"/>
        <v>#NUM!</v>
      </c>
      <c r="BG1386" t="e">
        <f t="shared" si="64"/>
        <v>#NUM!</v>
      </c>
      <c r="BH1386" t="e">
        <f t="shared" si="65"/>
        <v>#NUM!</v>
      </c>
      <c r="BI1386" t="e">
        <f>VLOOKUP(H1386,Sheet2!$A$1:$B$270,2,FALSE)</f>
        <v>#N/A</v>
      </c>
    </row>
    <row r="1387" spans="15:61" hidden="1">
      <c r="O1387" s="57"/>
      <c r="P1387" s="57"/>
      <c r="AO1387" s="57"/>
      <c r="AP1387" s="57"/>
      <c r="BA1387" s="57"/>
      <c r="BF1387" s="6" t="e">
        <f t="shared" si="63"/>
        <v>#NUM!</v>
      </c>
      <c r="BG1387" t="e">
        <f t="shared" si="64"/>
        <v>#NUM!</v>
      </c>
      <c r="BH1387" t="e">
        <f t="shared" si="65"/>
        <v>#NUM!</v>
      </c>
      <c r="BI1387" t="e">
        <f>VLOOKUP(H1387,Sheet2!$A$1:$B$270,2,FALSE)</f>
        <v>#N/A</v>
      </c>
    </row>
    <row r="1388" spans="15:61" hidden="1">
      <c r="O1388" s="57"/>
      <c r="P1388" s="57"/>
      <c r="AO1388" s="57"/>
      <c r="BA1388" s="57"/>
      <c r="BF1388" s="6" t="e">
        <f t="shared" si="63"/>
        <v>#NUM!</v>
      </c>
      <c r="BG1388" t="e">
        <f t="shared" si="64"/>
        <v>#NUM!</v>
      </c>
      <c r="BH1388" t="e">
        <f t="shared" si="65"/>
        <v>#NUM!</v>
      </c>
      <c r="BI1388" t="e">
        <f>VLOOKUP(H1388,Sheet2!$A$1:$B$270,2,FALSE)</f>
        <v>#N/A</v>
      </c>
    </row>
    <row r="1389" spans="15:61" hidden="1">
      <c r="O1389" s="57"/>
      <c r="P1389" s="57"/>
      <c r="AO1389" s="57"/>
      <c r="BA1389" s="57"/>
      <c r="BF1389" s="6" t="e">
        <f t="shared" si="63"/>
        <v>#NUM!</v>
      </c>
      <c r="BG1389" t="e">
        <f t="shared" si="64"/>
        <v>#NUM!</v>
      </c>
      <c r="BH1389" t="e">
        <f t="shared" si="65"/>
        <v>#NUM!</v>
      </c>
      <c r="BI1389" t="e">
        <f>VLOOKUP(H1389,Sheet2!$A$1:$B$270,2,FALSE)</f>
        <v>#N/A</v>
      </c>
    </row>
    <row r="1390" spans="15:61" hidden="1">
      <c r="O1390" s="57"/>
      <c r="P1390" s="57"/>
      <c r="AO1390" s="57"/>
      <c r="BA1390" s="57"/>
      <c r="BF1390" s="6" t="e">
        <f t="shared" si="63"/>
        <v>#NUM!</v>
      </c>
      <c r="BG1390" t="e">
        <f t="shared" si="64"/>
        <v>#NUM!</v>
      </c>
      <c r="BH1390" t="e">
        <f t="shared" si="65"/>
        <v>#NUM!</v>
      </c>
      <c r="BI1390" t="e">
        <f>VLOOKUP(H1390,Sheet2!$A$1:$B$270,2,FALSE)</f>
        <v>#N/A</v>
      </c>
    </row>
    <row r="1391" spans="15:61" hidden="1">
      <c r="O1391" s="57"/>
      <c r="P1391" s="57"/>
      <c r="AO1391" s="57"/>
      <c r="BA1391" s="57"/>
      <c r="BF1391" s="6" t="e">
        <f t="shared" si="63"/>
        <v>#NUM!</v>
      </c>
      <c r="BG1391" t="e">
        <f t="shared" si="64"/>
        <v>#NUM!</v>
      </c>
      <c r="BH1391" t="e">
        <f t="shared" si="65"/>
        <v>#NUM!</v>
      </c>
      <c r="BI1391" t="e">
        <f>VLOOKUP(H1391,Sheet2!$A$1:$B$270,2,FALSE)</f>
        <v>#N/A</v>
      </c>
    </row>
    <row r="1392" spans="15:61" hidden="1">
      <c r="O1392" s="57"/>
      <c r="P1392" s="57"/>
      <c r="AO1392" s="57"/>
      <c r="AP1392" s="57"/>
      <c r="BA1392" s="57"/>
      <c r="BF1392" s="6" t="e">
        <f t="shared" si="63"/>
        <v>#NUM!</v>
      </c>
      <c r="BG1392" t="e">
        <f t="shared" si="64"/>
        <v>#NUM!</v>
      </c>
      <c r="BH1392" t="e">
        <f t="shared" si="65"/>
        <v>#NUM!</v>
      </c>
      <c r="BI1392" t="e">
        <f>VLOOKUP(H1392,Sheet2!$A$1:$B$270,2,FALSE)</f>
        <v>#N/A</v>
      </c>
    </row>
    <row r="1393" spans="15:61" hidden="1">
      <c r="O1393" s="57"/>
      <c r="P1393" s="57"/>
      <c r="AO1393" s="57"/>
      <c r="BA1393" s="57"/>
      <c r="BF1393" s="6" t="e">
        <f t="shared" si="63"/>
        <v>#NUM!</v>
      </c>
      <c r="BG1393" t="e">
        <f t="shared" si="64"/>
        <v>#NUM!</v>
      </c>
      <c r="BH1393" t="e">
        <f t="shared" si="65"/>
        <v>#NUM!</v>
      </c>
      <c r="BI1393" t="e">
        <f>VLOOKUP(H1393,Sheet2!$A$1:$B$270,2,FALSE)</f>
        <v>#N/A</v>
      </c>
    </row>
    <row r="1394" spans="15:61" hidden="1">
      <c r="O1394" s="57"/>
      <c r="P1394" s="57"/>
      <c r="AO1394" s="57"/>
      <c r="BA1394" s="57"/>
      <c r="BF1394" s="6" t="e">
        <f t="shared" si="63"/>
        <v>#NUM!</v>
      </c>
      <c r="BG1394" t="e">
        <f t="shared" si="64"/>
        <v>#NUM!</v>
      </c>
      <c r="BH1394" t="e">
        <f t="shared" si="65"/>
        <v>#NUM!</v>
      </c>
      <c r="BI1394" t="e">
        <f>VLOOKUP(H1394,Sheet2!$A$1:$B$270,2,FALSE)</f>
        <v>#N/A</v>
      </c>
    </row>
    <row r="1395" spans="15:61" hidden="1">
      <c r="O1395" s="57"/>
      <c r="P1395" s="57"/>
      <c r="AO1395" s="57"/>
      <c r="BA1395" s="57"/>
      <c r="BF1395" s="6" t="e">
        <f t="shared" si="63"/>
        <v>#NUM!</v>
      </c>
      <c r="BG1395" t="e">
        <f t="shared" si="64"/>
        <v>#NUM!</v>
      </c>
      <c r="BH1395" t="e">
        <f t="shared" si="65"/>
        <v>#NUM!</v>
      </c>
      <c r="BI1395" t="e">
        <f>VLOOKUP(H1395,Sheet2!$A$1:$B$270,2,FALSE)</f>
        <v>#N/A</v>
      </c>
    </row>
    <row r="1396" spans="15:61" hidden="1">
      <c r="O1396" s="57"/>
      <c r="P1396" s="57"/>
      <c r="AO1396" s="57"/>
      <c r="AP1396" s="57"/>
      <c r="BA1396" s="57"/>
      <c r="BF1396" s="6" t="e">
        <f t="shared" si="63"/>
        <v>#NUM!</v>
      </c>
      <c r="BG1396" t="e">
        <f t="shared" si="64"/>
        <v>#NUM!</v>
      </c>
      <c r="BH1396" t="e">
        <f t="shared" si="65"/>
        <v>#NUM!</v>
      </c>
      <c r="BI1396" t="e">
        <f>VLOOKUP(H1396,Sheet2!$A$1:$B$270,2,FALSE)</f>
        <v>#N/A</v>
      </c>
    </row>
    <row r="1397" spans="15:61" hidden="1">
      <c r="O1397" s="57"/>
      <c r="P1397" s="57"/>
      <c r="AO1397" s="57"/>
      <c r="BA1397" s="57"/>
      <c r="BF1397" s="6" t="e">
        <f t="shared" si="63"/>
        <v>#NUM!</v>
      </c>
      <c r="BG1397" t="e">
        <f t="shared" si="64"/>
        <v>#NUM!</v>
      </c>
      <c r="BH1397" t="e">
        <f t="shared" si="65"/>
        <v>#NUM!</v>
      </c>
      <c r="BI1397" t="e">
        <f>VLOOKUP(H1397,Sheet2!$A$1:$B$270,2,FALSE)</f>
        <v>#N/A</v>
      </c>
    </row>
    <row r="1398" spans="15:61" hidden="1">
      <c r="O1398" s="57"/>
      <c r="P1398" s="57"/>
      <c r="AO1398" s="57"/>
      <c r="BA1398" s="57"/>
      <c r="BF1398" s="6" t="e">
        <f t="shared" si="63"/>
        <v>#NUM!</v>
      </c>
      <c r="BG1398" t="e">
        <f t="shared" si="64"/>
        <v>#NUM!</v>
      </c>
      <c r="BH1398" t="e">
        <f t="shared" si="65"/>
        <v>#NUM!</v>
      </c>
      <c r="BI1398" t="e">
        <f>VLOOKUP(H1398,Sheet2!$A$1:$B$270,2,FALSE)</f>
        <v>#N/A</v>
      </c>
    </row>
    <row r="1399" spans="15:61" hidden="1">
      <c r="O1399" s="57"/>
      <c r="P1399" s="57"/>
      <c r="AO1399" s="57"/>
      <c r="BA1399" s="57"/>
      <c r="BF1399" s="6" t="e">
        <f t="shared" si="63"/>
        <v>#NUM!</v>
      </c>
      <c r="BG1399" t="e">
        <f t="shared" si="64"/>
        <v>#NUM!</v>
      </c>
      <c r="BH1399" t="e">
        <f t="shared" si="65"/>
        <v>#NUM!</v>
      </c>
      <c r="BI1399" t="e">
        <f>VLOOKUP(H1399,Sheet2!$A$1:$B$270,2,FALSE)</f>
        <v>#N/A</v>
      </c>
    </row>
    <row r="1400" spans="15:61" hidden="1">
      <c r="O1400" s="57"/>
      <c r="P1400" s="57"/>
      <c r="BA1400" s="57"/>
      <c r="BF1400" s="6" t="e">
        <f t="shared" si="63"/>
        <v>#NUM!</v>
      </c>
      <c r="BG1400" t="e">
        <f t="shared" si="64"/>
        <v>#NUM!</v>
      </c>
      <c r="BH1400" t="e">
        <f t="shared" si="65"/>
        <v>#NUM!</v>
      </c>
      <c r="BI1400" t="e">
        <f>VLOOKUP(H1400,Sheet2!$A$1:$B$270,2,FALSE)</f>
        <v>#N/A</v>
      </c>
    </row>
    <row r="1401" spans="15:61" hidden="1">
      <c r="O1401" s="57"/>
      <c r="P1401" s="57"/>
      <c r="BA1401" s="57"/>
      <c r="BF1401" s="6" t="e">
        <f t="shared" si="63"/>
        <v>#NUM!</v>
      </c>
      <c r="BG1401" t="e">
        <f t="shared" si="64"/>
        <v>#NUM!</v>
      </c>
      <c r="BH1401" t="e">
        <f t="shared" si="65"/>
        <v>#NUM!</v>
      </c>
      <c r="BI1401" t="e">
        <f>VLOOKUP(H1401,Sheet2!$A$1:$B$270,2,FALSE)</f>
        <v>#N/A</v>
      </c>
    </row>
    <row r="1402" spans="15:61" hidden="1">
      <c r="O1402" s="57"/>
      <c r="P1402" s="57"/>
      <c r="AP1402" s="57"/>
      <c r="BA1402" s="57"/>
      <c r="BF1402" s="6" t="e">
        <f t="shared" si="63"/>
        <v>#NUM!</v>
      </c>
      <c r="BG1402" t="e">
        <f t="shared" si="64"/>
        <v>#NUM!</v>
      </c>
      <c r="BH1402" t="e">
        <f t="shared" si="65"/>
        <v>#NUM!</v>
      </c>
      <c r="BI1402" t="e">
        <f>VLOOKUP(H1402,Sheet2!$A$1:$B$270,2,FALSE)</f>
        <v>#N/A</v>
      </c>
    </row>
    <row r="1403" spans="15:61" hidden="1">
      <c r="O1403" s="57"/>
      <c r="P1403" s="57"/>
      <c r="AP1403" s="57"/>
      <c r="BA1403" s="57"/>
      <c r="BF1403" s="6" t="e">
        <f t="shared" si="63"/>
        <v>#NUM!</v>
      </c>
      <c r="BG1403" t="e">
        <f t="shared" si="64"/>
        <v>#NUM!</v>
      </c>
      <c r="BH1403" t="e">
        <f t="shared" si="65"/>
        <v>#NUM!</v>
      </c>
      <c r="BI1403" t="e">
        <f>VLOOKUP(H1403,Sheet2!$A$1:$B$270,2,FALSE)</f>
        <v>#N/A</v>
      </c>
    </row>
    <row r="1404" spans="15:61" hidden="1">
      <c r="O1404" s="57"/>
      <c r="P1404" s="57"/>
      <c r="BA1404" s="57"/>
      <c r="BF1404" s="6" t="e">
        <f t="shared" si="63"/>
        <v>#NUM!</v>
      </c>
      <c r="BG1404" t="e">
        <f t="shared" si="64"/>
        <v>#NUM!</v>
      </c>
      <c r="BH1404" t="e">
        <f t="shared" si="65"/>
        <v>#NUM!</v>
      </c>
      <c r="BI1404" t="e">
        <f>VLOOKUP(H1404,Sheet2!$A$1:$B$270,2,FALSE)</f>
        <v>#N/A</v>
      </c>
    </row>
    <row r="1405" spans="15:61" hidden="1">
      <c r="O1405" s="57"/>
      <c r="P1405" s="57"/>
      <c r="BA1405" s="57"/>
      <c r="BF1405" s="6" t="e">
        <f t="shared" si="63"/>
        <v>#NUM!</v>
      </c>
      <c r="BG1405" t="e">
        <f t="shared" si="64"/>
        <v>#NUM!</v>
      </c>
      <c r="BH1405" t="e">
        <f t="shared" si="65"/>
        <v>#NUM!</v>
      </c>
      <c r="BI1405" t="e">
        <f>VLOOKUP(H1405,Sheet2!$A$1:$B$270,2,FALSE)</f>
        <v>#N/A</v>
      </c>
    </row>
    <row r="1406" spans="15:61" hidden="1">
      <c r="O1406" s="57"/>
      <c r="P1406" s="57"/>
      <c r="BA1406" s="57"/>
      <c r="BF1406" s="6" t="e">
        <f t="shared" si="63"/>
        <v>#NUM!</v>
      </c>
      <c r="BG1406" t="e">
        <f t="shared" si="64"/>
        <v>#NUM!</v>
      </c>
      <c r="BH1406" t="e">
        <f t="shared" si="65"/>
        <v>#NUM!</v>
      </c>
      <c r="BI1406" t="e">
        <f>VLOOKUP(H1406,Sheet2!$A$1:$B$270,2,FALSE)</f>
        <v>#N/A</v>
      </c>
    </row>
    <row r="1407" spans="15:61" hidden="1">
      <c r="O1407" s="57"/>
      <c r="P1407" s="57"/>
      <c r="BA1407" s="57"/>
      <c r="BF1407" s="6" t="e">
        <f t="shared" si="63"/>
        <v>#NUM!</v>
      </c>
      <c r="BG1407" t="e">
        <f t="shared" si="64"/>
        <v>#NUM!</v>
      </c>
      <c r="BH1407" t="e">
        <f t="shared" si="65"/>
        <v>#NUM!</v>
      </c>
      <c r="BI1407" t="e">
        <f>VLOOKUP(H1407,Sheet2!$A$1:$B$270,2,FALSE)</f>
        <v>#N/A</v>
      </c>
    </row>
    <row r="1408" spans="15:61" hidden="1">
      <c r="O1408" s="57"/>
      <c r="P1408" s="57"/>
      <c r="AP1408" s="57"/>
      <c r="BA1408" s="57"/>
      <c r="BF1408" s="6" t="e">
        <f t="shared" si="63"/>
        <v>#NUM!</v>
      </c>
      <c r="BG1408" t="e">
        <f t="shared" si="64"/>
        <v>#NUM!</v>
      </c>
      <c r="BH1408" t="e">
        <f t="shared" si="65"/>
        <v>#NUM!</v>
      </c>
      <c r="BI1408" t="e">
        <f>VLOOKUP(H1408,Sheet2!$A$1:$B$270,2,FALSE)</f>
        <v>#N/A</v>
      </c>
    </row>
    <row r="1409" spans="15:61" hidden="1">
      <c r="O1409" s="57"/>
      <c r="P1409" s="57"/>
      <c r="BA1409" s="57"/>
      <c r="BF1409" s="6" t="e">
        <f t="shared" si="63"/>
        <v>#NUM!</v>
      </c>
      <c r="BG1409" t="e">
        <f t="shared" si="64"/>
        <v>#NUM!</v>
      </c>
      <c r="BH1409" t="e">
        <f t="shared" si="65"/>
        <v>#NUM!</v>
      </c>
      <c r="BI1409" t="e">
        <f>VLOOKUP(H1409,Sheet2!$A$1:$B$270,2,FALSE)</f>
        <v>#N/A</v>
      </c>
    </row>
    <row r="1410" spans="15:61" hidden="1">
      <c r="O1410" s="57"/>
      <c r="P1410" s="57"/>
      <c r="BA1410" s="57"/>
      <c r="BF1410" s="6" t="e">
        <f t="shared" ref="BF1410:BF1473" si="66">DATE(BC1410,BD1410,BE1410)</f>
        <v>#NUM!</v>
      </c>
      <c r="BG1410" t="e">
        <f t="shared" ref="BG1410:BG1473" si="67">BF1410-BA1410</f>
        <v>#NUM!</v>
      </c>
      <c r="BH1410" t="e">
        <f t="shared" ref="BH1410:BH1473" si="68">IF(BG1410=1,"COMPLY",IF(BG1410&lt;1,"COMPLY","NOT COMPLY"))</f>
        <v>#NUM!</v>
      </c>
      <c r="BI1410" t="e">
        <f>VLOOKUP(H1410,Sheet2!$A$1:$B$270,2,FALSE)</f>
        <v>#N/A</v>
      </c>
    </row>
    <row r="1411" spans="15:61" hidden="1">
      <c r="O1411" s="57"/>
      <c r="P1411" s="57"/>
      <c r="BA1411" s="57"/>
      <c r="BF1411" s="6" t="e">
        <f t="shared" si="66"/>
        <v>#NUM!</v>
      </c>
      <c r="BG1411" t="e">
        <f t="shared" si="67"/>
        <v>#NUM!</v>
      </c>
      <c r="BH1411" t="e">
        <f t="shared" si="68"/>
        <v>#NUM!</v>
      </c>
      <c r="BI1411" t="e">
        <f>VLOOKUP(H1411,Sheet2!$A$1:$B$270,2,FALSE)</f>
        <v>#N/A</v>
      </c>
    </row>
    <row r="1412" spans="15:61" hidden="1">
      <c r="O1412" s="57"/>
      <c r="P1412" s="57"/>
      <c r="BA1412" s="57"/>
      <c r="BF1412" s="6" t="e">
        <f t="shared" si="66"/>
        <v>#NUM!</v>
      </c>
      <c r="BG1412" t="e">
        <f t="shared" si="67"/>
        <v>#NUM!</v>
      </c>
      <c r="BH1412" t="e">
        <f t="shared" si="68"/>
        <v>#NUM!</v>
      </c>
      <c r="BI1412" t="e">
        <f>VLOOKUP(H1412,Sheet2!$A$1:$B$270,2,FALSE)</f>
        <v>#N/A</v>
      </c>
    </row>
    <row r="1413" spans="15:61" hidden="1">
      <c r="O1413" s="57"/>
      <c r="P1413" s="57"/>
      <c r="AP1413" s="57"/>
      <c r="BA1413" s="57"/>
      <c r="BF1413" s="6" t="e">
        <f t="shared" si="66"/>
        <v>#NUM!</v>
      </c>
      <c r="BG1413" t="e">
        <f t="shared" si="67"/>
        <v>#NUM!</v>
      </c>
      <c r="BH1413" t="e">
        <f t="shared" si="68"/>
        <v>#NUM!</v>
      </c>
      <c r="BI1413" t="e">
        <f>VLOOKUP(H1413,Sheet2!$A$1:$B$270,2,FALSE)</f>
        <v>#N/A</v>
      </c>
    </row>
    <row r="1414" spans="15:61" hidden="1">
      <c r="O1414" s="57"/>
      <c r="P1414" s="57"/>
      <c r="AP1414" s="57"/>
      <c r="BA1414" s="57"/>
      <c r="BF1414" s="6" t="e">
        <f t="shared" si="66"/>
        <v>#NUM!</v>
      </c>
      <c r="BG1414" t="e">
        <f t="shared" si="67"/>
        <v>#NUM!</v>
      </c>
      <c r="BH1414" t="e">
        <f t="shared" si="68"/>
        <v>#NUM!</v>
      </c>
      <c r="BI1414" t="e">
        <f>VLOOKUP(H1414,Sheet2!$A$1:$B$270,2,FALSE)</f>
        <v>#N/A</v>
      </c>
    </row>
    <row r="1415" spans="15:61" hidden="1">
      <c r="O1415" s="57"/>
      <c r="P1415" s="57"/>
      <c r="BA1415" s="57"/>
      <c r="BF1415" s="6" t="e">
        <f t="shared" si="66"/>
        <v>#NUM!</v>
      </c>
      <c r="BG1415" t="e">
        <f t="shared" si="67"/>
        <v>#NUM!</v>
      </c>
      <c r="BH1415" t="e">
        <f t="shared" si="68"/>
        <v>#NUM!</v>
      </c>
      <c r="BI1415" t="e">
        <f>VLOOKUP(H1415,Sheet2!$A$1:$B$270,2,FALSE)</f>
        <v>#N/A</v>
      </c>
    </row>
    <row r="1416" spans="15:61" hidden="1">
      <c r="O1416" s="57"/>
      <c r="P1416" s="57"/>
      <c r="AP1416" s="57"/>
      <c r="BA1416" s="57"/>
      <c r="BF1416" s="6" t="e">
        <f t="shared" si="66"/>
        <v>#NUM!</v>
      </c>
      <c r="BG1416" t="e">
        <f t="shared" si="67"/>
        <v>#NUM!</v>
      </c>
      <c r="BH1416" t="e">
        <f t="shared" si="68"/>
        <v>#NUM!</v>
      </c>
      <c r="BI1416" t="e">
        <f>VLOOKUP(H1416,Sheet2!$A$1:$B$270,2,FALSE)</f>
        <v>#N/A</v>
      </c>
    </row>
    <row r="1417" spans="15:61" hidden="1">
      <c r="O1417" s="57"/>
      <c r="P1417" s="57"/>
      <c r="BA1417" s="57"/>
      <c r="BF1417" s="6" t="e">
        <f t="shared" si="66"/>
        <v>#NUM!</v>
      </c>
      <c r="BG1417" t="e">
        <f t="shared" si="67"/>
        <v>#NUM!</v>
      </c>
      <c r="BH1417" t="e">
        <f t="shared" si="68"/>
        <v>#NUM!</v>
      </c>
      <c r="BI1417" t="e">
        <f>VLOOKUP(H1417,Sheet2!$A$1:$B$270,2,FALSE)</f>
        <v>#N/A</v>
      </c>
    </row>
    <row r="1418" spans="15:61" hidden="1">
      <c r="O1418" s="57"/>
      <c r="P1418" s="57"/>
      <c r="BA1418" s="57"/>
      <c r="BF1418" s="6" t="e">
        <f t="shared" si="66"/>
        <v>#NUM!</v>
      </c>
      <c r="BG1418" t="e">
        <f t="shared" si="67"/>
        <v>#NUM!</v>
      </c>
      <c r="BH1418" t="e">
        <f t="shared" si="68"/>
        <v>#NUM!</v>
      </c>
      <c r="BI1418" t="e">
        <f>VLOOKUP(H1418,Sheet2!$A$1:$B$270,2,FALSE)</f>
        <v>#N/A</v>
      </c>
    </row>
    <row r="1419" spans="15:61" hidden="1">
      <c r="O1419" s="57"/>
      <c r="P1419" s="57"/>
      <c r="BA1419" s="57"/>
      <c r="BF1419" s="6" t="e">
        <f t="shared" si="66"/>
        <v>#NUM!</v>
      </c>
      <c r="BG1419" t="e">
        <f t="shared" si="67"/>
        <v>#NUM!</v>
      </c>
      <c r="BH1419" t="e">
        <f t="shared" si="68"/>
        <v>#NUM!</v>
      </c>
      <c r="BI1419" t="e">
        <f>VLOOKUP(H1419,Sheet2!$A$1:$B$270,2,FALSE)</f>
        <v>#N/A</v>
      </c>
    </row>
    <row r="1420" spans="15:61" hidden="1">
      <c r="O1420" s="57"/>
      <c r="P1420" s="57"/>
      <c r="BA1420" s="57"/>
      <c r="BF1420" s="6" t="e">
        <f t="shared" si="66"/>
        <v>#NUM!</v>
      </c>
      <c r="BG1420" t="e">
        <f t="shared" si="67"/>
        <v>#NUM!</v>
      </c>
      <c r="BH1420" t="e">
        <f t="shared" si="68"/>
        <v>#NUM!</v>
      </c>
      <c r="BI1420" t="e">
        <f>VLOOKUP(H1420,Sheet2!$A$1:$B$270,2,FALSE)</f>
        <v>#N/A</v>
      </c>
    </row>
    <row r="1421" spans="15:61" hidden="1">
      <c r="O1421" s="57"/>
      <c r="P1421" s="57"/>
      <c r="BA1421" s="57"/>
      <c r="BF1421" s="6" t="e">
        <f t="shared" si="66"/>
        <v>#NUM!</v>
      </c>
      <c r="BG1421" t="e">
        <f t="shared" si="67"/>
        <v>#NUM!</v>
      </c>
      <c r="BH1421" t="e">
        <f t="shared" si="68"/>
        <v>#NUM!</v>
      </c>
      <c r="BI1421" t="e">
        <f>VLOOKUP(H1421,Sheet2!$A$1:$B$270,2,FALSE)</f>
        <v>#N/A</v>
      </c>
    </row>
    <row r="1422" spans="15:61" hidden="1">
      <c r="O1422" s="57"/>
      <c r="P1422" s="57"/>
      <c r="BA1422" s="57"/>
      <c r="BF1422" s="6" t="e">
        <f t="shared" si="66"/>
        <v>#NUM!</v>
      </c>
      <c r="BG1422" t="e">
        <f t="shared" si="67"/>
        <v>#NUM!</v>
      </c>
      <c r="BH1422" t="e">
        <f t="shared" si="68"/>
        <v>#NUM!</v>
      </c>
      <c r="BI1422" t="e">
        <f>VLOOKUP(H1422,Sheet2!$A$1:$B$270,2,FALSE)</f>
        <v>#N/A</v>
      </c>
    </row>
    <row r="1423" spans="15:61" hidden="1">
      <c r="O1423" s="57"/>
      <c r="P1423" s="57"/>
      <c r="AP1423" s="57"/>
      <c r="BA1423" s="57"/>
      <c r="BF1423" s="6" t="e">
        <f t="shared" si="66"/>
        <v>#NUM!</v>
      </c>
      <c r="BG1423" t="e">
        <f t="shared" si="67"/>
        <v>#NUM!</v>
      </c>
      <c r="BH1423" t="e">
        <f t="shared" si="68"/>
        <v>#NUM!</v>
      </c>
      <c r="BI1423" t="e">
        <f>VLOOKUP(H1423,Sheet2!$A$1:$B$270,2,FALSE)</f>
        <v>#N/A</v>
      </c>
    </row>
    <row r="1424" spans="15:61" hidden="1">
      <c r="O1424" s="57"/>
      <c r="P1424" s="57"/>
      <c r="BF1424" s="6" t="e">
        <f t="shared" si="66"/>
        <v>#NUM!</v>
      </c>
      <c r="BG1424" t="e">
        <f t="shared" si="67"/>
        <v>#NUM!</v>
      </c>
      <c r="BH1424" t="e">
        <f t="shared" si="68"/>
        <v>#NUM!</v>
      </c>
      <c r="BI1424" t="e">
        <f>VLOOKUP(H1424,Sheet2!$A$1:$B$270,2,FALSE)</f>
        <v>#N/A</v>
      </c>
    </row>
    <row r="1425" spans="15:61" hidden="1">
      <c r="O1425" s="57"/>
      <c r="P1425" s="57"/>
      <c r="BF1425" s="6" t="e">
        <f t="shared" si="66"/>
        <v>#NUM!</v>
      </c>
      <c r="BG1425" t="e">
        <f t="shared" si="67"/>
        <v>#NUM!</v>
      </c>
      <c r="BH1425" t="e">
        <f t="shared" si="68"/>
        <v>#NUM!</v>
      </c>
      <c r="BI1425" t="e">
        <f>VLOOKUP(H1425,Sheet2!$A$1:$B$270,2,FALSE)</f>
        <v>#N/A</v>
      </c>
    </row>
    <row r="1426" spans="15:61" hidden="1">
      <c r="O1426" s="57"/>
      <c r="P1426" s="57"/>
      <c r="BF1426" s="6" t="e">
        <f t="shared" si="66"/>
        <v>#NUM!</v>
      </c>
      <c r="BG1426" t="e">
        <f t="shared" si="67"/>
        <v>#NUM!</v>
      </c>
      <c r="BH1426" t="e">
        <f t="shared" si="68"/>
        <v>#NUM!</v>
      </c>
      <c r="BI1426" t="e">
        <f>VLOOKUP(H1426,Sheet2!$A$1:$B$270,2,FALSE)</f>
        <v>#N/A</v>
      </c>
    </row>
    <row r="1427" spans="15:61" hidden="1">
      <c r="O1427" s="57"/>
      <c r="P1427" s="57"/>
      <c r="AO1427" s="57"/>
      <c r="BA1427" s="57"/>
      <c r="BF1427" s="6" t="e">
        <f t="shared" si="66"/>
        <v>#NUM!</v>
      </c>
      <c r="BG1427" t="e">
        <f t="shared" si="67"/>
        <v>#NUM!</v>
      </c>
      <c r="BH1427" t="e">
        <f t="shared" si="68"/>
        <v>#NUM!</v>
      </c>
      <c r="BI1427" t="e">
        <f>VLOOKUP(H1427,Sheet2!$A$1:$B$270,2,FALSE)</f>
        <v>#N/A</v>
      </c>
    </row>
    <row r="1428" spans="15:61" hidden="1">
      <c r="O1428" s="57"/>
      <c r="P1428" s="57"/>
      <c r="AO1428" s="57"/>
      <c r="BA1428" s="57"/>
      <c r="BF1428" s="6" t="e">
        <f t="shared" si="66"/>
        <v>#NUM!</v>
      </c>
      <c r="BG1428" t="e">
        <f t="shared" si="67"/>
        <v>#NUM!</v>
      </c>
      <c r="BH1428" t="e">
        <f t="shared" si="68"/>
        <v>#NUM!</v>
      </c>
      <c r="BI1428" t="e">
        <f>VLOOKUP(H1428,Sheet2!$A$1:$B$270,2,FALSE)</f>
        <v>#N/A</v>
      </c>
    </row>
    <row r="1429" spans="15:61" hidden="1">
      <c r="O1429" s="57"/>
      <c r="P1429" s="57"/>
      <c r="BA1429" s="57"/>
      <c r="BF1429" s="6" t="e">
        <f t="shared" si="66"/>
        <v>#NUM!</v>
      </c>
      <c r="BG1429" t="e">
        <f t="shared" si="67"/>
        <v>#NUM!</v>
      </c>
      <c r="BH1429" t="e">
        <f t="shared" si="68"/>
        <v>#NUM!</v>
      </c>
      <c r="BI1429" t="e">
        <f>VLOOKUP(H1429,Sheet2!$A$1:$B$270,2,FALSE)</f>
        <v>#N/A</v>
      </c>
    </row>
    <row r="1430" spans="15:61" hidden="1">
      <c r="O1430" s="57"/>
      <c r="P1430" s="57"/>
      <c r="BA1430" s="57"/>
      <c r="BF1430" s="6" t="e">
        <f t="shared" si="66"/>
        <v>#NUM!</v>
      </c>
      <c r="BG1430" t="e">
        <f t="shared" si="67"/>
        <v>#NUM!</v>
      </c>
      <c r="BH1430" t="e">
        <f t="shared" si="68"/>
        <v>#NUM!</v>
      </c>
      <c r="BI1430" t="e">
        <f>VLOOKUP(H1430,Sheet2!$A$1:$B$270,2,FALSE)</f>
        <v>#N/A</v>
      </c>
    </row>
    <row r="1431" spans="15:61" hidden="1">
      <c r="O1431" s="57"/>
      <c r="P1431" s="57"/>
      <c r="AP1431" s="57"/>
      <c r="BA1431" s="57"/>
      <c r="BF1431" s="6" t="e">
        <f t="shared" si="66"/>
        <v>#NUM!</v>
      </c>
      <c r="BG1431" t="e">
        <f t="shared" si="67"/>
        <v>#NUM!</v>
      </c>
      <c r="BH1431" t="e">
        <f t="shared" si="68"/>
        <v>#NUM!</v>
      </c>
      <c r="BI1431" t="e">
        <f>VLOOKUP(H1431,Sheet2!$A$1:$B$270,2,FALSE)</f>
        <v>#N/A</v>
      </c>
    </row>
    <row r="1432" spans="15:61" hidden="1">
      <c r="O1432" s="57"/>
      <c r="P1432" s="57"/>
      <c r="AP1432" s="57"/>
      <c r="BA1432" s="57"/>
      <c r="BF1432" s="6" t="e">
        <f t="shared" si="66"/>
        <v>#NUM!</v>
      </c>
      <c r="BG1432" t="e">
        <f t="shared" si="67"/>
        <v>#NUM!</v>
      </c>
      <c r="BH1432" t="e">
        <f t="shared" si="68"/>
        <v>#NUM!</v>
      </c>
      <c r="BI1432" t="e">
        <f>VLOOKUP(H1432,Sheet2!$A$1:$B$270,2,FALSE)</f>
        <v>#N/A</v>
      </c>
    </row>
    <row r="1433" spans="15:61" hidden="1">
      <c r="O1433" s="57"/>
      <c r="P1433" s="57"/>
      <c r="AP1433" s="57"/>
      <c r="BA1433" s="57"/>
      <c r="BF1433" s="6" t="e">
        <f t="shared" si="66"/>
        <v>#NUM!</v>
      </c>
      <c r="BG1433" t="e">
        <f t="shared" si="67"/>
        <v>#NUM!</v>
      </c>
      <c r="BH1433" t="e">
        <f t="shared" si="68"/>
        <v>#NUM!</v>
      </c>
      <c r="BI1433" t="e">
        <f>VLOOKUP(H1433,Sheet2!$A$1:$B$270,2,FALSE)</f>
        <v>#N/A</v>
      </c>
    </row>
    <row r="1434" spans="15:61" hidden="1">
      <c r="O1434" s="57"/>
      <c r="P1434" s="57"/>
      <c r="AP1434" s="57"/>
      <c r="BA1434" s="57"/>
      <c r="BF1434" s="6" t="e">
        <f t="shared" si="66"/>
        <v>#NUM!</v>
      </c>
      <c r="BG1434" t="e">
        <f t="shared" si="67"/>
        <v>#NUM!</v>
      </c>
      <c r="BH1434" t="e">
        <f t="shared" si="68"/>
        <v>#NUM!</v>
      </c>
      <c r="BI1434" t="e">
        <f>VLOOKUP(H1434,Sheet2!$A$1:$B$270,2,FALSE)</f>
        <v>#N/A</v>
      </c>
    </row>
    <row r="1435" spans="15:61" hidden="1">
      <c r="O1435" s="57"/>
      <c r="P1435" s="57"/>
      <c r="AO1435" s="57"/>
      <c r="AP1435" s="57"/>
      <c r="BA1435" s="57"/>
      <c r="BF1435" s="6" t="e">
        <f t="shared" si="66"/>
        <v>#NUM!</v>
      </c>
      <c r="BG1435" t="e">
        <f t="shared" si="67"/>
        <v>#NUM!</v>
      </c>
      <c r="BH1435" t="e">
        <f t="shared" si="68"/>
        <v>#NUM!</v>
      </c>
      <c r="BI1435" t="e">
        <f>VLOOKUP(H1435,Sheet2!$A$1:$B$270,2,FALSE)</f>
        <v>#N/A</v>
      </c>
    </row>
    <row r="1436" spans="15:61" hidden="1">
      <c r="O1436" s="57"/>
      <c r="P1436" s="57"/>
      <c r="AO1436" s="57"/>
      <c r="AP1436" s="57"/>
      <c r="BA1436" s="57"/>
      <c r="BF1436" s="6" t="e">
        <f t="shared" si="66"/>
        <v>#NUM!</v>
      </c>
      <c r="BG1436" t="e">
        <f t="shared" si="67"/>
        <v>#NUM!</v>
      </c>
      <c r="BH1436" t="e">
        <f t="shared" si="68"/>
        <v>#NUM!</v>
      </c>
      <c r="BI1436" t="e">
        <f>VLOOKUP(H1436,Sheet2!$A$1:$B$270,2,FALSE)</f>
        <v>#N/A</v>
      </c>
    </row>
    <row r="1437" spans="15:61" hidden="1">
      <c r="O1437" s="57"/>
      <c r="P1437" s="57"/>
      <c r="AO1437" s="57"/>
      <c r="AP1437" s="57"/>
      <c r="BA1437" s="57"/>
      <c r="BF1437" s="6" t="e">
        <f t="shared" si="66"/>
        <v>#NUM!</v>
      </c>
      <c r="BG1437" t="e">
        <f t="shared" si="67"/>
        <v>#NUM!</v>
      </c>
      <c r="BH1437" t="e">
        <f t="shared" si="68"/>
        <v>#NUM!</v>
      </c>
      <c r="BI1437" t="e">
        <f>VLOOKUP(H1437,Sheet2!$A$1:$B$270,2,FALSE)</f>
        <v>#N/A</v>
      </c>
    </row>
    <row r="1438" spans="15:61" hidden="1">
      <c r="O1438" s="57"/>
      <c r="P1438" s="57"/>
      <c r="AO1438" s="57"/>
      <c r="BA1438" s="57"/>
      <c r="BF1438" s="6" t="e">
        <f t="shared" si="66"/>
        <v>#NUM!</v>
      </c>
      <c r="BG1438" t="e">
        <f t="shared" si="67"/>
        <v>#NUM!</v>
      </c>
      <c r="BH1438" t="e">
        <f t="shared" si="68"/>
        <v>#NUM!</v>
      </c>
      <c r="BI1438" t="e">
        <f>VLOOKUP(H1438,Sheet2!$A$1:$B$270,2,FALSE)</f>
        <v>#N/A</v>
      </c>
    </row>
    <row r="1439" spans="15:61" hidden="1">
      <c r="O1439" s="57"/>
      <c r="P1439" s="57"/>
      <c r="AO1439" s="57"/>
      <c r="AP1439" s="57"/>
      <c r="BA1439" s="57"/>
      <c r="BF1439" s="6" t="e">
        <f t="shared" si="66"/>
        <v>#NUM!</v>
      </c>
      <c r="BG1439" t="e">
        <f t="shared" si="67"/>
        <v>#NUM!</v>
      </c>
      <c r="BH1439" t="e">
        <f t="shared" si="68"/>
        <v>#NUM!</v>
      </c>
      <c r="BI1439" t="e">
        <f>VLOOKUP(H1439,Sheet2!$A$1:$B$270,2,FALSE)</f>
        <v>#N/A</v>
      </c>
    </row>
    <row r="1440" spans="15:61" hidden="1">
      <c r="O1440" s="57"/>
      <c r="P1440" s="57"/>
      <c r="BA1440" s="57"/>
      <c r="BF1440" s="6" t="e">
        <f t="shared" si="66"/>
        <v>#NUM!</v>
      </c>
      <c r="BG1440" t="e">
        <f t="shared" si="67"/>
        <v>#NUM!</v>
      </c>
      <c r="BH1440" t="e">
        <f t="shared" si="68"/>
        <v>#NUM!</v>
      </c>
      <c r="BI1440" t="e">
        <f>VLOOKUP(H1440,Sheet2!$A$1:$B$270,2,FALSE)</f>
        <v>#N/A</v>
      </c>
    </row>
    <row r="1441" spans="15:61" hidden="1">
      <c r="O1441" s="57"/>
      <c r="P1441" s="57"/>
      <c r="BA1441" s="57"/>
      <c r="BF1441" s="6" t="e">
        <f t="shared" si="66"/>
        <v>#NUM!</v>
      </c>
      <c r="BG1441" t="e">
        <f t="shared" si="67"/>
        <v>#NUM!</v>
      </c>
      <c r="BH1441" t="e">
        <f t="shared" si="68"/>
        <v>#NUM!</v>
      </c>
      <c r="BI1441" t="e">
        <f>VLOOKUP(H1441,Sheet2!$A$1:$B$270,2,FALSE)</f>
        <v>#N/A</v>
      </c>
    </row>
    <row r="1442" spans="15:61" hidden="1">
      <c r="O1442" s="57"/>
      <c r="P1442" s="57"/>
      <c r="AP1442" s="57"/>
      <c r="BA1442" s="57"/>
      <c r="BF1442" s="6" t="e">
        <f t="shared" si="66"/>
        <v>#NUM!</v>
      </c>
      <c r="BG1442" t="e">
        <f t="shared" si="67"/>
        <v>#NUM!</v>
      </c>
      <c r="BH1442" t="e">
        <f t="shared" si="68"/>
        <v>#NUM!</v>
      </c>
      <c r="BI1442" t="e">
        <f>VLOOKUP(H1442,Sheet2!$A$1:$B$270,2,FALSE)</f>
        <v>#N/A</v>
      </c>
    </row>
    <row r="1443" spans="15:61" hidden="1">
      <c r="O1443" s="57"/>
      <c r="P1443" s="57"/>
      <c r="AP1443" s="57"/>
      <c r="BA1443" s="57"/>
      <c r="BF1443" s="6" t="e">
        <f t="shared" si="66"/>
        <v>#NUM!</v>
      </c>
      <c r="BG1443" t="e">
        <f t="shared" si="67"/>
        <v>#NUM!</v>
      </c>
      <c r="BH1443" t="e">
        <f t="shared" si="68"/>
        <v>#NUM!</v>
      </c>
      <c r="BI1443" t="e">
        <f>VLOOKUP(H1443,Sheet2!$A$1:$B$270,2,FALSE)</f>
        <v>#N/A</v>
      </c>
    </row>
    <row r="1444" spans="15:61" hidden="1">
      <c r="O1444" s="57"/>
      <c r="P1444" s="57"/>
      <c r="AP1444" s="57"/>
      <c r="BA1444" s="57"/>
      <c r="BF1444" s="6" t="e">
        <f t="shared" si="66"/>
        <v>#NUM!</v>
      </c>
      <c r="BG1444" t="e">
        <f t="shared" si="67"/>
        <v>#NUM!</v>
      </c>
      <c r="BH1444" t="e">
        <f t="shared" si="68"/>
        <v>#NUM!</v>
      </c>
      <c r="BI1444" t="e">
        <f>VLOOKUP(H1444,Sheet2!$A$1:$B$270,2,FALSE)</f>
        <v>#N/A</v>
      </c>
    </row>
    <row r="1445" spans="15:61" hidden="1">
      <c r="O1445" s="57"/>
      <c r="P1445" s="57"/>
      <c r="AP1445" s="57"/>
      <c r="BA1445" s="57"/>
      <c r="BF1445" s="6" t="e">
        <f t="shared" si="66"/>
        <v>#NUM!</v>
      </c>
      <c r="BG1445" t="e">
        <f t="shared" si="67"/>
        <v>#NUM!</v>
      </c>
      <c r="BH1445" t="e">
        <f t="shared" si="68"/>
        <v>#NUM!</v>
      </c>
      <c r="BI1445" t="e">
        <f>VLOOKUP(H1445,Sheet2!$A$1:$B$270,2,FALSE)</f>
        <v>#N/A</v>
      </c>
    </row>
    <row r="1446" spans="15:61" hidden="1">
      <c r="O1446" s="57"/>
      <c r="P1446" s="57"/>
      <c r="BA1446" s="57"/>
      <c r="BF1446" s="6" t="e">
        <f t="shared" si="66"/>
        <v>#NUM!</v>
      </c>
      <c r="BG1446" t="e">
        <f t="shared" si="67"/>
        <v>#NUM!</v>
      </c>
      <c r="BH1446" t="e">
        <f t="shared" si="68"/>
        <v>#NUM!</v>
      </c>
      <c r="BI1446" t="e">
        <f>VLOOKUP(H1446,Sheet2!$A$1:$B$270,2,FALSE)</f>
        <v>#N/A</v>
      </c>
    </row>
    <row r="1447" spans="15:61" hidden="1">
      <c r="O1447" s="57"/>
      <c r="P1447" s="57"/>
      <c r="BA1447" s="57"/>
      <c r="BF1447" s="6" t="e">
        <f t="shared" si="66"/>
        <v>#NUM!</v>
      </c>
      <c r="BG1447" t="e">
        <f t="shared" si="67"/>
        <v>#NUM!</v>
      </c>
      <c r="BH1447" t="e">
        <f t="shared" si="68"/>
        <v>#NUM!</v>
      </c>
      <c r="BI1447" t="e">
        <f>VLOOKUP(H1447,Sheet2!$A$1:$B$270,2,FALSE)</f>
        <v>#N/A</v>
      </c>
    </row>
    <row r="1448" spans="15:61" hidden="1">
      <c r="O1448" s="57"/>
      <c r="P1448" s="57"/>
      <c r="AP1448" s="57"/>
      <c r="BA1448" s="57"/>
      <c r="BF1448" s="6" t="e">
        <f t="shared" si="66"/>
        <v>#NUM!</v>
      </c>
      <c r="BG1448" t="e">
        <f t="shared" si="67"/>
        <v>#NUM!</v>
      </c>
      <c r="BH1448" t="e">
        <f t="shared" si="68"/>
        <v>#NUM!</v>
      </c>
      <c r="BI1448" t="e">
        <f>VLOOKUP(H1448,Sheet2!$A$1:$B$270,2,FALSE)</f>
        <v>#N/A</v>
      </c>
    </row>
    <row r="1449" spans="15:61" hidden="1">
      <c r="O1449" s="57"/>
      <c r="P1449" s="57"/>
      <c r="BF1449" s="6" t="e">
        <f t="shared" si="66"/>
        <v>#NUM!</v>
      </c>
      <c r="BG1449" t="e">
        <f t="shared" si="67"/>
        <v>#NUM!</v>
      </c>
      <c r="BH1449" t="e">
        <f t="shared" si="68"/>
        <v>#NUM!</v>
      </c>
      <c r="BI1449" t="e">
        <f>VLOOKUP(H1449,Sheet2!$A$1:$B$270,2,FALSE)</f>
        <v>#N/A</v>
      </c>
    </row>
    <row r="1450" spans="15:61" hidden="1">
      <c r="O1450" s="57"/>
      <c r="P1450" s="57"/>
      <c r="BF1450" s="6" t="e">
        <f t="shared" si="66"/>
        <v>#NUM!</v>
      </c>
      <c r="BG1450" t="e">
        <f t="shared" si="67"/>
        <v>#NUM!</v>
      </c>
      <c r="BH1450" t="e">
        <f t="shared" si="68"/>
        <v>#NUM!</v>
      </c>
      <c r="BI1450" t="e">
        <f>VLOOKUP(H1450,Sheet2!$A$1:$B$270,2,FALSE)</f>
        <v>#N/A</v>
      </c>
    </row>
    <row r="1451" spans="15:61" hidden="1">
      <c r="O1451" s="57"/>
      <c r="P1451" s="57"/>
      <c r="AO1451" s="57"/>
      <c r="AP1451" s="57"/>
      <c r="BA1451" s="57"/>
      <c r="BF1451" s="6" t="e">
        <f t="shared" si="66"/>
        <v>#NUM!</v>
      </c>
      <c r="BG1451" t="e">
        <f t="shared" si="67"/>
        <v>#NUM!</v>
      </c>
      <c r="BH1451" t="e">
        <f t="shared" si="68"/>
        <v>#NUM!</v>
      </c>
      <c r="BI1451" t="e">
        <f>VLOOKUP(H1451,Sheet2!$A$1:$B$270,2,FALSE)</f>
        <v>#N/A</v>
      </c>
    </row>
    <row r="1452" spans="15:61" hidden="1">
      <c r="O1452" s="57"/>
      <c r="P1452" s="57"/>
      <c r="AP1452" s="57"/>
      <c r="BA1452" s="57"/>
      <c r="BF1452" s="6" t="e">
        <f t="shared" si="66"/>
        <v>#NUM!</v>
      </c>
      <c r="BG1452" t="e">
        <f t="shared" si="67"/>
        <v>#NUM!</v>
      </c>
      <c r="BH1452" t="e">
        <f t="shared" si="68"/>
        <v>#NUM!</v>
      </c>
      <c r="BI1452" t="e">
        <f>VLOOKUP(H1452,Sheet2!$A$1:$B$270,2,FALSE)</f>
        <v>#N/A</v>
      </c>
    </row>
    <row r="1453" spans="15:61" hidden="1">
      <c r="O1453" s="57"/>
      <c r="P1453" s="57"/>
      <c r="AO1453" s="57"/>
      <c r="AP1453" s="57"/>
      <c r="BA1453" s="57"/>
      <c r="BF1453" s="6" t="e">
        <f t="shared" si="66"/>
        <v>#NUM!</v>
      </c>
      <c r="BG1453" t="e">
        <f t="shared" si="67"/>
        <v>#NUM!</v>
      </c>
      <c r="BH1453" t="e">
        <f t="shared" si="68"/>
        <v>#NUM!</v>
      </c>
      <c r="BI1453" t="e">
        <f>VLOOKUP(H1453,Sheet2!$A$1:$B$270,2,FALSE)</f>
        <v>#N/A</v>
      </c>
    </row>
    <row r="1454" spans="15:61" hidden="1">
      <c r="O1454" s="57"/>
      <c r="P1454" s="57"/>
      <c r="AO1454" s="57"/>
      <c r="AP1454" s="57"/>
      <c r="BA1454" s="57"/>
      <c r="BF1454" s="6" t="e">
        <f t="shared" si="66"/>
        <v>#NUM!</v>
      </c>
      <c r="BG1454" t="e">
        <f t="shared" si="67"/>
        <v>#NUM!</v>
      </c>
      <c r="BH1454" t="e">
        <f t="shared" si="68"/>
        <v>#NUM!</v>
      </c>
      <c r="BI1454" t="e">
        <f>VLOOKUP(H1454,Sheet2!$A$1:$B$270,2,FALSE)</f>
        <v>#N/A</v>
      </c>
    </row>
    <row r="1455" spans="15:61" hidden="1">
      <c r="O1455" s="57"/>
      <c r="P1455" s="57"/>
      <c r="AO1455" s="57"/>
      <c r="BA1455" s="57"/>
      <c r="BF1455" s="6" t="e">
        <f t="shared" si="66"/>
        <v>#NUM!</v>
      </c>
      <c r="BG1455" t="e">
        <f t="shared" si="67"/>
        <v>#NUM!</v>
      </c>
      <c r="BH1455" t="e">
        <f t="shared" si="68"/>
        <v>#NUM!</v>
      </c>
      <c r="BI1455" t="e">
        <f>VLOOKUP(H1455,Sheet2!$A$1:$B$270,2,FALSE)</f>
        <v>#N/A</v>
      </c>
    </row>
    <row r="1456" spans="15:61" hidden="1">
      <c r="O1456" s="57"/>
      <c r="P1456" s="57"/>
      <c r="AO1456" s="57"/>
      <c r="AP1456" s="57"/>
      <c r="BA1456" s="57"/>
      <c r="BF1456" s="6" t="e">
        <f t="shared" si="66"/>
        <v>#NUM!</v>
      </c>
      <c r="BG1456" t="e">
        <f t="shared" si="67"/>
        <v>#NUM!</v>
      </c>
      <c r="BH1456" t="e">
        <f t="shared" si="68"/>
        <v>#NUM!</v>
      </c>
      <c r="BI1456" t="e">
        <f>VLOOKUP(H1456,Sheet2!$A$1:$B$270,2,FALSE)</f>
        <v>#N/A</v>
      </c>
    </row>
    <row r="1457" spans="15:61" hidden="1">
      <c r="O1457" s="57"/>
      <c r="P1457" s="57"/>
      <c r="AP1457" s="57"/>
      <c r="BA1457" s="57"/>
      <c r="BF1457" s="6" t="e">
        <f t="shared" si="66"/>
        <v>#NUM!</v>
      </c>
      <c r="BG1457" t="e">
        <f t="shared" si="67"/>
        <v>#NUM!</v>
      </c>
      <c r="BH1457" t="e">
        <f t="shared" si="68"/>
        <v>#NUM!</v>
      </c>
      <c r="BI1457" t="e">
        <f>VLOOKUP(H1457,Sheet2!$A$1:$B$270,2,FALSE)</f>
        <v>#N/A</v>
      </c>
    </row>
    <row r="1458" spans="15:61" hidden="1">
      <c r="O1458" s="57"/>
      <c r="P1458" s="57"/>
      <c r="AP1458" s="57"/>
      <c r="BA1458" s="57"/>
      <c r="BF1458" s="6" t="e">
        <f t="shared" si="66"/>
        <v>#NUM!</v>
      </c>
      <c r="BG1458" t="e">
        <f t="shared" si="67"/>
        <v>#NUM!</v>
      </c>
      <c r="BH1458" t="e">
        <f t="shared" si="68"/>
        <v>#NUM!</v>
      </c>
      <c r="BI1458" t="e">
        <f>VLOOKUP(H1458,Sheet2!$A$1:$B$270,2,FALSE)</f>
        <v>#N/A</v>
      </c>
    </row>
    <row r="1459" spans="15:61" hidden="1">
      <c r="O1459" s="57"/>
      <c r="P1459" s="57"/>
      <c r="BA1459" s="57"/>
      <c r="BF1459" s="6" t="e">
        <f t="shared" si="66"/>
        <v>#NUM!</v>
      </c>
      <c r="BG1459" t="e">
        <f t="shared" si="67"/>
        <v>#NUM!</v>
      </c>
      <c r="BH1459" t="e">
        <f t="shared" si="68"/>
        <v>#NUM!</v>
      </c>
      <c r="BI1459" t="e">
        <f>VLOOKUP(H1459,Sheet2!$A$1:$B$270,2,FALSE)</f>
        <v>#N/A</v>
      </c>
    </row>
    <row r="1460" spans="15:61" hidden="1">
      <c r="O1460" s="57"/>
      <c r="P1460" s="57"/>
      <c r="AP1460" s="57"/>
      <c r="BA1460" s="57"/>
      <c r="BF1460" s="6" t="e">
        <f t="shared" si="66"/>
        <v>#NUM!</v>
      </c>
      <c r="BG1460" t="e">
        <f t="shared" si="67"/>
        <v>#NUM!</v>
      </c>
      <c r="BH1460" t="e">
        <f t="shared" si="68"/>
        <v>#NUM!</v>
      </c>
      <c r="BI1460" t="e">
        <f>VLOOKUP(H1460,Sheet2!$A$1:$B$270,2,FALSE)</f>
        <v>#N/A</v>
      </c>
    </row>
    <row r="1461" spans="15:61" hidden="1">
      <c r="O1461" s="57"/>
      <c r="P1461" s="57"/>
      <c r="AP1461" s="57"/>
      <c r="BA1461" s="57"/>
      <c r="BF1461" s="6" t="e">
        <f t="shared" si="66"/>
        <v>#NUM!</v>
      </c>
      <c r="BG1461" t="e">
        <f t="shared" si="67"/>
        <v>#NUM!</v>
      </c>
      <c r="BH1461" t="e">
        <f t="shared" si="68"/>
        <v>#NUM!</v>
      </c>
      <c r="BI1461" t="e">
        <f>VLOOKUP(H1461,Sheet2!$A$1:$B$270,2,FALSE)</f>
        <v>#N/A</v>
      </c>
    </row>
    <row r="1462" spans="15:61" hidden="1">
      <c r="O1462" s="57"/>
      <c r="P1462" s="57"/>
      <c r="BA1462" s="57"/>
      <c r="BF1462" s="6" t="e">
        <f t="shared" si="66"/>
        <v>#NUM!</v>
      </c>
      <c r="BG1462" t="e">
        <f t="shared" si="67"/>
        <v>#NUM!</v>
      </c>
      <c r="BH1462" t="e">
        <f t="shared" si="68"/>
        <v>#NUM!</v>
      </c>
      <c r="BI1462" t="e">
        <f>VLOOKUP(H1462,Sheet2!$A$1:$B$270,2,FALSE)</f>
        <v>#N/A</v>
      </c>
    </row>
    <row r="1463" spans="15:61" hidden="1">
      <c r="O1463" s="57"/>
      <c r="P1463" s="57"/>
      <c r="AP1463" s="57"/>
      <c r="BA1463" s="57"/>
      <c r="BF1463" s="6" t="e">
        <f t="shared" si="66"/>
        <v>#NUM!</v>
      </c>
      <c r="BG1463" t="e">
        <f t="shared" si="67"/>
        <v>#NUM!</v>
      </c>
      <c r="BH1463" t="e">
        <f t="shared" si="68"/>
        <v>#NUM!</v>
      </c>
      <c r="BI1463" t="e">
        <f>VLOOKUP(H1463,Sheet2!$A$1:$B$270,2,FALSE)</f>
        <v>#N/A</v>
      </c>
    </row>
    <row r="1464" spans="15:61" hidden="1">
      <c r="O1464" s="57"/>
      <c r="P1464" s="57"/>
      <c r="BA1464" s="57"/>
      <c r="BF1464" s="6" t="e">
        <f t="shared" si="66"/>
        <v>#NUM!</v>
      </c>
      <c r="BG1464" t="e">
        <f t="shared" si="67"/>
        <v>#NUM!</v>
      </c>
      <c r="BH1464" t="e">
        <f t="shared" si="68"/>
        <v>#NUM!</v>
      </c>
      <c r="BI1464" t="e">
        <f>VLOOKUP(H1464,Sheet2!$A$1:$B$270,2,FALSE)</f>
        <v>#N/A</v>
      </c>
    </row>
    <row r="1465" spans="15:61" hidden="1">
      <c r="O1465" s="57"/>
      <c r="P1465" s="57"/>
      <c r="AO1465" s="57"/>
      <c r="AP1465" s="57"/>
      <c r="BA1465" s="57"/>
      <c r="BF1465" s="6" t="e">
        <f t="shared" si="66"/>
        <v>#NUM!</v>
      </c>
      <c r="BG1465" t="e">
        <f t="shared" si="67"/>
        <v>#NUM!</v>
      </c>
      <c r="BH1465" t="e">
        <f t="shared" si="68"/>
        <v>#NUM!</v>
      </c>
      <c r="BI1465" t="e">
        <f>VLOOKUP(H1465,Sheet2!$A$1:$B$270,2,FALSE)</f>
        <v>#N/A</v>
      </c>
    </row>
    <row r="1466" spans="15:61" hidden="1">
      <c r="O1466" s="57"/>
      <c r="P1466" s="57"/>
      <c r="AO1466" s="57"/>
      <c r="AP1466" s="57"/>
      <c r="BA1466" s="57"/>
      <c r="BF1466" s="6" t="e">
        <f t="shared" si="66"/>
        <v>#NUM!</v>
      </c>
      <c r="BG1466" t="e">
        <f t="shared" si="67"/>
        <v>#NUM!</v>
      </c>
      <c r="BH1466" t="e">
        <f t="shared" si="68"/>
        <v>#NUM!</v>
      </c>
      <c r="BI1466" t="e">
        <f>VLOOKUP(H1466,Sheet2!$A$1:$B$270,2,FALSE)</f>
        <v>#N/A</v>
      </c>
    </row>
    <row r="1467" spans="15:61" hidden="1">
      <c r="O1467" s="57"/>
      <c r="P1467" s="57"/>
      <c r="AO1467" s="57"/>
      <c r="AP1467" s="57"/>
      <c r="BA1467" s="57"/>
      <c r="BF1467" s="6" t="e">
        <f t="shared" si="66"/>
        <v>#NUM!</v>
      </c>
      <c r="BG1467" t="e">
        <f t="shared" si="67"/>
        <v>#NUM!</v>
      </c>
      <c r="BH1467" t="e">
        <f t="shared" si="68"/>
        <v>#NUM!</v>
      </c>
      <c r="BI1467" t="e">
        <f>VLOOKUP(H1467,Sheet2!$A$1:$B$270,2,FALSE)</f>
        <v>#N/A</v>
      </c>
    </row>
    <row r="1468" spans="15:61" hidden="1">
      <c r="O1468" s="57"/>
      <c r="P1468" s="57"/>
      <c r="AP1468" s="57"/>
      <c r="BA1468" s="57"/>
      <c r="BF1468" s="6" t="e">
        <f t="shared" si="66"/>
        <v>#NUM!</v>
      </c>
      <c r="BG1468" t="e">
        <f t="shared" si="67"/>
        <v>#NUM!</v>
      </c>
      <c r="BH1468" t="e">
        <f t="shared" si="68"/>
        <v>#NUM!</v>
      </c>
      <c r="BI1468" t="e">
        <f>VLOOKUP(H1468,Sheet2!$A$1:$B$270,2,FALSE)</f>
        <v>#N/A</v>
      </c>
    </row>
    <row r="1469" spans="15:61" hidden="1">
      <c r="O1469" s="57"/>
      <c r="P1469" s="57"/>
      <c r="AP1469" s="57"/>
      <c r="BA1469" s="57"/>
      <c r="BF1469" s="6" t="e">
        <f t="shared" si="66"/>
        <v>#NUM!</v>
      </c>
      <c r="BG1469" t="e">
        <f t="shared" si="67"/>
        <v>#NUM!</v>
      </c>
      <c r="BH1469" t="e">
        <f t="shared" si="68"/>
        <v>#NUM!</v>
      </c>
      <c r="BI1469" t="e">
        <f>VLOOKUP(H1469,Sheet2!$A$1:$B$270,2,FALSE)</f>
        <v>#N/A</v>
      </c>
    </row>
    <row r="1470" spans="15:61" hidden="1">
      <c r="O1470" s="57"/>
      <c r="P1470" s="57"/>
      <c r="AP1470" s="57"/>
      <c r="BA1470" s="57"/>
      <c r="BF1470" s="6" t="e">
        <f t="shared" si="66"/>
        <v>#NUM!</v>
      </c>
      <c r="BG1470" t="e">
        <f t="shared" si="67"/>
        <v>#NUM!</v>
      </c>
      <c r="BH1470" t="e">
        <f t="shared" si="68"/>
        <v>#NUM!</v>
      </c>
      <c r="BI1470" t="e">
        <f>VLOOKUP(H1470,Sheet2!$A$1:$B$270,2,FALSE)</f>
        <v>#N/A</v>
      </c>
    </row>
    <row r="1471" spans="15:61" hidden="1">
      <c r="O1471" s="57"/>
      <c r="P1471" s="57"/>
      <c r="AO1471" s="57"/>
      <c r="AP1471" s="57"/>
      <c r="BA1471" s="57"/>
      <c r="BF1471" s="6" t="e">
        <f t="shared" si="66"/>
        <v>#NUM!</v>
      </c>
      <c r="BG1471" t="e">
        <f t="shared" si="67"/>
        <v>#NUM!</v>
      </c>
      <c r="BH1471" t="e">
        <f t="shared" si="68"/>
        <v>#NUM!</v>
      </c>
      <c r="BI1471" t="e">
        <f>VLOOKUP(H1471,Sheet2!$A$1:$B$270,2,FALSE)</f>
        <v>#N/A</v>
      </c>
    </row>
    <row r="1472" spans="15:61" hidden="1">
      <c r="O1472" s="57"/>
      <c r="P1472" s="57"/>
      <c r="AP1472" s="57"/>
      <c r="BA1472" s="57"/>
      <c r="BF1472" s="6" t="e">
        <f t="shared" si="66"/>
        <v>#NUM!</v>
      </c>
      <c r="BG1472" t="e">
        <f t="shared" si="67"/>
        <v>#NUM!</v>
      </c>
      <c r="BH1472" t="e">
        <f t="shared" si="68"/>
        <v>#NUM!</v>
      </c>
      <c r="BI1472" t="e">
        <f>VLOOKUP(H1472,Sheet2!$A$1:$B$270,2,FALSE)</f>
        <v>#N/A</v>
      </c>
    </row>
    <row r="1473" spans="15:61" hidden="1">
      <c r="O1473" s="57"/>
      <c r="P1473" s="57"/>
      <c r="AO1473" s="57"/>
      <c r="BA1473" s="57"/>
      <c r="BF1473" s="6" t="e">
        <f t="shared" si="66"/>
        <v>#NUM!</v>
      </c>
      <c r="BG1473" t="e">
        <f t="shared" si="67"/>
        <v>#NUM!</v>
      </c>
      <c r="BH1473" t="e">
        <f t="shared" si="68"/>
        <v>#NUM!</v>
      </c>
      <c r="BI1473" t="e">
        <f>VLOOKUP(H1473,Sheet2!$A$1:$B$270,2,FALSE)</f>
        <v>#N/A</v>
      </c>
    </row>
    <row r="1474" spans="15:61" hidden="1">
      <c r="O1474" s="57"/>
      <c r="P1474" s="57"/>
      <c r="AO1474" s="57"/>
      <c r="AP1474" s="57"/>
      <c r="BA1474" s="57"/>
      <c r="BF1474" s="6" t="e">
        <f t="shared" ref="BF1474:BF1537" si="69">DATE(BC1474,BD1474,BE1474)</f>
        <v>#NUM!</v>
      </c>
      <c r="BG1474" t="e">
        <f t="shared" ref="BG1474:BG1537" si="70">BF1474-BA1474</f>
        <v>#NUM!</v>
      </c>
      <c r="BH1474" t="e">
        <f t="shared" ref="BH1474:BH1537" si="71">IF(BG1474=1,"COMPLY",IF(BG1474&lt;1,"COMPLY","NOT COMPLY"))</f>
        <v>#NUM!</v>
      </c>
      <c r="BI1474" t="e">
        <f>VLOOKUP(H1474,Sheet2!$A$1:$B$270,2,FALSE)</f>
        <v>#N/A</v>
      </c>
    </row>
    <row r="1475" spans="15:61" hidden="1">
      <c r="O1475" s="57"/>
      <c r="P1475" s="57"/>
      <c r="AO1475" s="57"/>
      <c r="AP1475" s="57"/>
      <c r="BA1475" s="57"/>
      <c r="BF1475" s="6" t="e">
        <f t="shared" si="69"/>
        <v>#NUM!</v>
      </c>
      <c r="BG1475" t="e">
        <f t="shared" si="70"/>
        <v>#NUM!</v>
      </c>
      <c r="BH1475" t="e">
        <f t="shared" si="71"/>
        <v>#NUM!</v>
      </c>
      <c r="BI1475" t="e">
        <f>VLOOKUP(H1475,Sheet2!$A$1:$B$270,2,FALSE)</f>
        <v>#N/A</v>
      </c>
    </row>
    <row r="1476" spans="15:61" hidden="1">
      <c r="O1476" s="57"/>
      <c r="P1476" s="57"/>
      <c r="AO1476" s="57"/>
      <c r="BA1476" s="57"/>
      <c r="BF1476" s="6" t="e">
        <f t="shared" si="69"/>
        <v>#NUM!</v>
      </c>
      <c r="BG1476" t="e">
        <f t="shared" si="70"/>
        <v>#NUM!</v>
      </c>
      <c r="BH1476" t="e">
        <f t="shared" si="71"/>
        <v>#NUM!</v>
      </c>
      <c r="BI1476" t="e">
        <f>VLOOKUP(H1476,Sheet2!$A$1:$B$270,2,FALSE)</f>
        <v>#N/A</v>
      </c>
    </row>
    <row r="1477" spans="15:61" hidden="1">
      <c r="O1477" s="57"/>
      <c r="P1477" s="57"/>
      <c r="AO1477" s="57"/>
      <c r="AP1477" s="57"/>
      <c r="BA1477" s="57"/>
      <c r="BF1477" s="6" t="e">
        <f t="shared" si="69"/>
        <v>#NUM!</v>
      </c>
      <c r="BG1477" t="e">
        <f t="shared" si="70"/>
        <v>#NUM!</v>
      </c>
      <c r="BH1477" t="e">
        <f t="shared" si="71"/>
        <v>#NUM!</v>
      </c>
      <c r="BI1477" t="e">
        <f>VLOOKUP(H1477,Sheet2!$A$1:$B$270,2,FALSE)</f>
        <v>#N/A</v>
      </c>
    </row>
    <row r="1478" spans="15:61" hidden="1">
      <c r="O1478" s="57"/>
      <c r="P1478" s="57"/>
      <c r="AP1478" s="57"/>
      <c r="BA1478" s="57"/>
      <c r="BF1478" s="6" t="e">
        <f t="shared" si="69"/>
        <v>#NUM!</v>
      </c>
      <c r="BG1478" t="e">
        <f t="shared" si="70"/>
        <v>#NUM!</v>
      </c>
      <c r="BH1478" t="e">
        <f t="shared" si="71"/>
        <v>#NUM!</v>
      </c>
      <c r="BI1478" t="e">
        <f>VLOOKUP(H1478,Sheet2!$A$1:$B$270,2,FALSE)</f>
        <v>#N/A</v>
      </c>
    </row>
    <row r="1479" spans="15:61" hidden="1">
      <c r="O1479" s="57"/>
      <c r="P1479" s="57"/>
      <c r="AP1479" s="57"/>
      <c r="BA1479" s="57"/>
      <c r="BF1479" s="6" t="e">
        <f t="shared" si="69"/>
        <v>#NUM!</v>
      </c>
      <c r="BG1479" t="e">
        <f t="shared" si="70"/>
        <v>#NUM!</v>
      </c>
      <c r="BH1479" t="e">
        <f t="shared" si="71"/>
        <v>#NUM!</v>
      </c>
      <c r="BI1479" t="e">
        <f>VLOOKUP(H1479,Sheet2!$A$1:$B$270,2,FALSE)</f>
        <v>#N/A</v>
      </c>
    </row>
    <row r="1480" spans="15:61" hidden="1">
      <c r="O1480" s="57"/>
      <c r="P1480" s="57"/>
      <c r="AP1480" s="57"/>
      <c r="BA1480" s="57"/>
      <c r="BF1480" s="6" t="e">
        <f t="shared" si="69"/>
        <v>#NUM!</v>
      </c>
      <c r="BG1480" t="e">
        <f t="shared" si="70"/>
        <v>#NUM!</v>
      </c>
      <c r="BH1480" t="e">
        <f t="shared" si="71"/>
        <v>#NUM!</v>
      </c>
      <c r="BI1480" t="e">
        <f>VLOOKUP(H1480,Sheet2!$A$1:$B$270,2,FALSE)</f>
        <v>#N/A</v>
      </c>
    </row>
    <row r="1481" spans="15:61" hidden="1">
      <c r="O1481" s="57"/>
      <c r="P1481" s="57"/>
      <c r="BA1481" s="57"/>
      <c r="BF1481" s="6" t="e">
        <f t="shared" si="69"/>
        <v>#NUM!</v>
      </c>
      <c r="BG1481" t="e">
        <f t="shared" si="70"/>
        <v>#NUM!</v>
      </c>
      <c r="BH1481" t="e">
        <f t="shared" si="71"/>
        <v>#NUM!</v>
      </c>
      <c r="BI1481" t="e">
        <f>VLOOKUP(H1481,Sheet2!$A$1:$B$270,2,FALSE)</f>
        <v>#N/A</v>
      </c>
    </row>
    <row r="1482" spans="15:61" hidden="1">
      <c r="O1482" s="57"/>
      <c r="P1482" s="57"/>
      <c r="AP1482" s="57"/>
      <c r="BA1482" s="57"/>
      <c r="BF1482" s="6" t="e">
        <f t="shared" si="69"/>
        <v>#NUM!</v>
      </c>
      <c r="BG1482" t="e">
        <f t="shared" si="70"/>
        <v>#NUM!</v>
      </c>
      <c r="BH1482" t="e">
        <f t="shared" si="71"/>
        <v>#NUM!</v>
      </c>
      <c r="BI1482" t="e">
        <f>VLOOKUP(H1482,Sheet2!$A$1:$B$270,2,FALSE)</f>
        <v>#N/A</v>
      </c>
    </row>
    <row r="1483" spans="15:61" hidden="1">
      <c r="O1483" s="57"/>
      <c r="P1483" s="57"/>
      <c r="AP1483" s="57"/>
      <c r="BA1483" s="57"/>
      <c r="BF1483" s="6" t="e">
        <f t="shared" si="69"/>
        <v>#NUM!</v>
      </c>
      <c r="BG1483" t="e">
        <f t="shared" si="70"/>
        <v>#NUM!</v>
      </c>
      <c r="BH1483" t="e">
        <f t="shared" si="71"/>
        <v>#NUM!</v>
      </c>
      <c r="BI1483" t="e">
        <f>VLOOKUP(H1483,Sheet2!$A$1:$B$270,2,FALSE)</f>
        <v>#N/A</v>
      </c>
    </row>
    <row r="1484" spans="15:61" hidden="1">
      <c r="O1484" s="57"/>
      <c r="P1484" s="57"/>
      <c r="AP1484" s="57"/>
      <c r="BA1484" s="57"/>
      <c r="BF1484" s="6" t="e">
        <f t="shared" si="69"/>
        <v>#NUM!</v>
      </c>
      <c r="BG1484" t="e">
        <f t="shared" si="70"/>
        <v>#NUM!</v>
      </c>
      <c r="BH1484" t="e">
        <f t="shared" si="71"/>
        <v>#NUM!</v>
      </c>
      <c r="BI1484" t="e">
        <f>VLOOKUP(H1484,Sheet2!$A$1:$B$270,2,FALSE)</f>
        <v>#N/A</v>
      </c>
    </row>
    <row r="1485" spans="15:61" hidden="1">
      <c r="O1485" s="57"/>
      <c r="P1485" s="57"/>
      <c r="AO1485" s="57"/>
      <c r="AP1485" s="57"/>
      <c r="BA1485" s="57"/>
      <c r="BF1485" s="6" t="e">
        <f t="shared" si="69"/>
        <v>#NUM!</v>
      </c>
      <c r="BG1485" t="e">
        <f t="shared" si="70"/>
        <v>#NUM!</v>
      </c>
      <c r="BH1485" t="e">
        <f t="shared" si="71"/>
        <v>#NUM!</v>
      </c>
      <c r="BI1485" t="e">
        <f>VLOOKUP(H1485,Sheet2!$A$1:$B$270,2,FALSE)</f>
        <v>#N/A</v>
      </c>
    </row>
    <row r="1486" spans="15:61" hidden="1">
      <c r="O1486" s="57"/>
      <c r="P1486" s="57"/>
      <c r="AO1486" s="57"/>
      <c r="AP1486" s="57"/>
      <c r="BA1486" s="57"/>
      <c r="BF1486" s="6" t="e">
        <f t="shared" si="69"/>
        <v>#NUM!</v>
      </c>
      <c r="BG1486" t="e">
        <f t="shared" si="70"/>
        <v>#NUM!</v>
      </c>
      <c r="BH1486" t="e">
        <f t="shared" si="71"/>
        <v>#NUM!</v>
      </c>
      <c r="BI1486" t="e">
        <f>VLOOKUP(H1486,Sheet2!$A$1:$B$270,2,FALSE)</f>
        <v>#N/A</v>
      </c>
    </row>
    <row r="1487" spans="15:61" hidden="1">
      <c r="O1487" s="57"/>
      <c r="P1487" s="57"/>
      <c r="AP1487" s="57"/>
      <c r="BA1487" s="57"/>
      <c r="BF1487" s="6" t="e">
        <f t="shared" si="69"/>
        <v>#NUM!</v>
      </c>
      <c r="BG1487" t="e">
        <f t="shared" si="70"/>
        <v>#NUM!</v>
      </c>
      <c r="BH1487" t="e">
        <f t="shared" si="71"/>
        <v>#NUM!</v>
      </c>
      <c r="BI1487" t="e">
        <f>VLOOKUP(H1487,Sheet2!$A$1:$B$270,2,FALSE)</f>
        <v>#N/A</v>
      </c>
    </row>
    <row r="1488" spans="15:61" hidden="1">
      <c r="O1488" s="57"/>
      <c r="P1488" s="57"/>
      <c r="AP1488" s="57"/>
      <c r="BA1488" s="57"/>
      <c r="BF1488" s="6" t="e">
        <f t="shared" si="69"/>
        <v>#NUM!</v>
      </c>
      <c r="BG1488" t="e">
        <f t="shared" si="70"/>
        <v>#NUM!</v>
      </c>
      <c r="BH1488" t="e">
        <f t="shared" si="71"/>
        <v>#NUM!</v>
      </c>
      <c r="BI1488" t="e">
        <f>VLOOKUP(H1488,Sheet2!$A$1:$B$270,2,FALSE)</f>
        <v>#N/A</v>
      </c>
    </row>
    <row r="1489" spans="15:61" hidden="1">
      <c r="O1489" s="57"/>
      <c r="P1489" s="57"/>
      <c r="AP1489" s="57"/>
      <c r="BA1489" s="57"/>
      <c r="BF1489" s="6" t="e">
        <f t="shared" si="69"/>
        <v>#NUM!</v>
      </c>
      <c r="BG1489" t="e">
        <f t="shared" si="70"/>
        <v>#NUM!</v>
      </c>
      <c r="BH1489" t="e">
        <f t="shared" si="71"/>
        <v>#NUM!</v>
      </c>
      <c r="BI1489" t="e">
        <f>VLOOKUP(H1489,Sheet2!$A$1:$B$270,2,FALSE)</f>
        <v>#N/A</v>
      </c>
    </row>
    <row r="1490" spans="15:61" hidden="1">
      <c r="O1490" s="57"/>
      <c r="P1490" s="57"/>
      <c r="AP1490" s="57"/>
      <c r="BA1490" s="57"/>
      <c r="BF1490" s="6" t="e">
        <f t="shared" si="69"/>
        <v>#NUM!</v>
      </c>
      <c r="BG1490" t="e">
        <f t="shared" si="70"/>
        <v>#NUM!</v>
      </c>
      <c r="BH1490" t="e">
        <f t="shared" si="71"/>
        <v>#NUM!</v>
      </c>
      <c r="BI1490" t="e">
        <f>VLOOKUP(H1490,Sheet2!$A$1:$B$270,2,FALSE)</f>
        <v>#N/A</v>
      </c>
    </row>
    <row r="1491" spans="15:61" hidden="1">
      <c r="O1491" s="57"/>
      <c r="P1491" s="57"/>
      <c r="AO1491" s="57"/>
      <c r="AP1491" s="57"/>
      <c r="BA1491" s="57"/>
      <c r="BF1491" s="6" t="e">
        <f t="shared" si="69"/>
        <v>#NUM!</v>
      </c>
      <c r="BG1491" t="e">
        <f t="shared" si="70"/>
        <v>#NUM!</v>
      </c>
      <c r="BH1491" t="e">
        <f t="shared" si="71"/>
        <v>#NUM!</v>
      </c>
      <c r="BI1491" t="e">
        <f>VLOOKUP(H1491,Sheet2!$A$1:$B$270,2,FALSE)</f>
        <v>#N/A</v>
      </c>
    </row>
    <row r="1492" spans="15:61" hidden="1">
      <c r="O1492" s="57"/>
      <c r="P1492" s="57"/>
      <c r="AO1492" s="57"/>
      <c r="BA1492" s="57"/>
      <c r="BF1492" s="6" t="e">
        <f t="shared" si="69"/>
        <v>#NUM!</v>
      </c>
      <c r="BG1492" t="e">
        <f t="shared" si="70"/>
        <v>#NUM!</v>
      </c>
      <c r="BH1492" t="e">
        <f t="shared" si="71"/>
        <v>#NUM!</v>
      </c>
      <c r="BI1492" t="e">
        <f>VLOOKUP(H1492,Sheet2!$A$1:$B$270,2,FALSE)</f>
        <v>#N/A</v>
      </c>
    </row>
    <row r="1493" spans="15:61" hidden="1">
      <c r="O1493" s="57"/>
      <c r="P1493" s="57"/>
      <c r="AP1493" s="57"/>
      <c r="BA1493" s="57"/>
      <c r="BF1493" s="6" t="e">
        <f t="shared" si="69"/>
        <v>#NUM!</v>
      </c>
      <c r="BG1493" t="e">
        <f t="shared" si="70"/>
        <v>#NUM!</v>
      </c>
      <c r="BH1493" t="e">
        <f t="shared" si="71"/>
        <v>#NUM!</v>
      </c>
      <c r="BI1493" t="e">
        <f>VLOOKUP(H1493,Sheet2!$A$1:$B$270,2,FALSE)</f>
        <v>#N/A</v>
      </c>
    </row>
    <row r="1494" spans="15:61" hidden="1">
      <c r="O1494" s="57"/>
      <c r="P1494" s="57"/>
      <c r="BA1494" s="57"/>
      <c r="BF1494" s="6" t="e">
        <f t="shared" si="69"/>
        <v>#NUM!</v>
      </c>
      <c r="BG1494" t="e">
        <f t="shared" si="70"/>
        <v>#NUM!</v>
      </c>
      <c r="BH1494" t="e">
        <f t="shared" si="71"/>
        <v>#NUM!</v>
      </c>
      <c r="BI1494" t="e">
        <f>VLOOKUP(H1494,Sheet2!$A$1:$B$270,2,FALSE)</f>
        <v>#N/A</v>
      </c>
    </row>
    <row r="1495" spans="15:61" hidden="1">
      <c r="O1495" s="57"/>
      <c r="P1495" s="57"/>
      <c r="BA1495" s="57"/>
      <c r="BF1495" s="6" t="e">
        <f t="shared" si="69"/>
        <v>#NUM!</v>
      </c>
      <c r="BG1495" t="e">
        <f t="shared" si="70"/>
        <v>#NUM!</v>
      </c>
      <c r="BH1495" t="e">
        <f t="shared" si="71"/>
        <v>#NUM!</v>
      </c>
      <c r="BI1495" t="e">
        <f>VLOOKUP(H1495,Sheet2!$A$1:$B$270,2,FALSE)</f>
        <v>#N/A</v>
      </c>
    </row>
    <row r="1496" spans="15:61" hidden="1">
      <c r="O1496" s="57"/>
      <c r="P1496" s="57"/>
      <c r="BA1496" s="57"/>
      <c r="BF1496" s="6" t="e">
        <f t="shared" si="69"/>
        <v>#NUM!</v>
      </c>
      <c r="BG1496" t="e">
        <f t="shared" si="70"/>
        <v>#NUM!</v>
      </c>
      <c r="BH1496" t="e">
        <f t="shared" si="71"/>
        <v>#NUM!</v>
      </c>
      <c r="BI1496" t="e">
        <f>VLOOKUP(H1496,Sheet2!$A$1:$B$270,2,FALSE)</f>
        <v>#N/A</v>
      </c>
    </row>
    <row r="1497" spans="15:61" hidden="1">
      <c r="O1497" s="57"/>
      <c r="P1497" s="57"/>
      <c r="BA1497" s="57"/>
      <c r="BF1497" s="6" t="e">
        <f t="shared" si="69"/>
        <v>#NUM!</v>
      </c>
      <c r="BG1497" t="e">
        <f t="shared" si="70"/>
        <v>#NUM!</v>
      </c>
      <c r="BH1497" t="e">
        <f t="shared" si="71"/>
        <v>#NUM!</v>
      </c>
      <c r="BI1497" t="e">
        <f>VLOOKUP(H1497,Sheet2!$A$1:$B$270,2,FALSE)</f>
        <v>#N/A</v>
      </c>
    </row>
    <row r="1498" spans="15:61" hidden="1">
      <c r="O1498" s="57"/>
      <c r="P1498" s="57"/>
      <c r="BA1498" s="57"/>
      <c r="BF1498" s="6" t="e">
        <f t="shared" si="69"/>
        <v>#NUM!</v>
      </c>
      <c r="BG1498" t="e">
        <f t="shared" si="70"/>
        <v>#NUM!</v>
      </c>
      <c r="BH1498" t="e">
        <f t="shared" si="71"/>
        <v>#NUM!</v>
      </c>
      <c r="BI1498" t="e">
        <f>VLOOKUP(H1498,Sheet2!$A$1:$B$270,2,FALSE)</f>
        <v>#N/A</v>
      </c>
    </row>
    <row r="1499" spans="15:61" hidden="1">
      <c r="O1499" s="57"/>
      <c r="P1499" s="57"/>
      <c r="AP1499" s="57"/>
      <c r="BA1499" s="57"/>
      <c r="BF1499" s="6" t="e">
        <f t="shared" si="69"/>
        <v>#NUM!</v>
      </c>
      <c r="BG1499" t="e">
        <f t="shared" si="70"/>
        <v>#NUM!</v>
      </c>
      <c r="BH1499" t="e">
        <f t="shared" si="71"/>
        <v>#NUM!</v>
      </c>
      <c r="BI1499" t="e">
        <f>VLOOKUP(H1499,Sheet2!$A$1:$B$270,2,FALSE)</f>
        <v>#N/A</v>
      </c>
    </row>
    <row r="1500" spans="15:61" hidden="1">
      <c r="O1500" s="57"/>
      <c r="P1500" s="57"/>
      <c r="AP1500" s="57"/>
      <c r="BA1500" s="57"/>
      <c r="BF1500" s="6" t="e">
        <f t="shared" si="69"/>
        <v>#NUM!</v>
      </c>
      <c r="BG1500" t="e">
        <f t="shared" si="70"/>
        <v>#NUM!</v>
      </c>
      <c r="BH1500" t="e">
        <f t="shared" si="71"/>
        <v>#NUM!</v>
      </c>
      <c r="BI1500" t="e">
        <f>VLOOKUP(H1500,Sheet2!$A$1:$B$270,2,FALSE)</f>
        <v>#N/A</v>
      </c>
    </row>
    <row r="1501" spans="15:61" hidden="1">
      <c r="O1501" s="57"/>
      <c r="P1501" s="57"/>
      <c r="BF1501" s="6" t="e">
        <f t="shared" si="69"/>
        <v>#NUM!</v>
      </c>
      <c r="BG1501" t="e">
        <f t="shared" si="70"/>
        <v>#NUM!</v>
      </c>
      <c r="BH1501" t="e">
        <f t="shared" si="71"/>
        <v>#NUM!</v>
      </c>
      <c r="BI1501" t="e">
        <f>VLOOKUP(H1501,Sheet2!$A$1:$B$270,2,FALSE)</f>
        <v>#N/A</v>
      </c>
    </row>
    <row r="1502" spans="15:61" hidden="1">
      <c r="O1502" s="57"/>
      <c r="P1502" s="57"/>
      <c r="BF1502" s="6" t="e">
        <f t="shared" si="69"/>
        <v>#NUM!</v>
      </c>
      <c r="BG1502" t="e">
        <f t="shared" si="70"/>
        <v>#NUM!</v>
      </c>
      <c r="BH1502" t="e">
        <f t="shared" si="71"/>
        <v>#NUM!</v>
      </c>
      <c r="BI1502" t="e">
        <f>VLOOKUP(H1502,Sheet2!$A$1:$B$270,2,FALSE)</f>
        <v>#N/A</v>
      </c>
    </row>
    <row r="1503" spans="15:61" hidden="1">
      <c r="O1503" s="57"/>
      <c r="P1503" s="57"/>
      <c r="BF1503" s="6" t="e">
        <f t="shared" si="69"/>
        <v>#NUM!</v>
      </c>
      <c r="BG1503" t="e">
        <f t="shared" si="70"/>
        <v>#NUM!</v>
      </c>
      <c r="BH1503" t="e">
        <f t="shared" si="71"/>
        <v>#NUM!</v>
      </c>
      <c r="BI1503" t="e">
        <f>VLOOKUP(H1503,Sheet2!$A$1:$B$270,2,FALSE)</f>
        <v>#N/A</v>
      </c>
    </row>
    <row r="1504" spans="15:61" hidden="1">
      <c r="O1504" s="57"/>
      <c r="P1504" s="57"/>
      <c r="BF1504" s="6" t="e">
        <f t="shared" si="69"/>
        <v>#NUM!</v>
      </c>
      <c r="BG1504" t="e">
        <f t="shared" si="70"/>
        <v>#NUM!</v>
      </c>
      <c r="BH1504" t="e">
        <f t="shared" si="71"/>
        <v>#NUM!</v>
      </c>
      <c r="BI1504" t="e">
        <f>VLOOKUP(H1504,Sheet2!$A$1:$B$270,2,FALSE)</f>
        <v>#N/A</v>
      </c>
    </row>
    <row r="1505" spans="15:61" hidden="1">
      <c r="O1505" s="57"/>
      <c r="P1505" s="57"/>
      <c r="AO1505" s="57"/>
      <c r="AP1505" s="57"/>
      <c r="BA1505" s="57"/>
      <c r="BF1505" s="6" t="e">
        <f t="shared" si="69"/>
        <v>#NUM!</v>
      </c>
      <c r="BG1505" t="e">
        <f t="shared" si="70"/>
        <v>#NUM!</v>
      </c>
      <c r="BH1505" t="e">
        <f t="shared" si="71"/>
        <v>#NUM!</v>
      </c>
      <c r="BI1505" t="e">
        <f>VLOOKUP(H1505,Sheet2!$A$1:$B$270,2,FALSE)</f>
        <v>#N/A</v>
      </c>
    </row>
    <row r="1506" spans="15:61" hidden="1">
      <c r="O1506" s="57"/>
      <c r="P1506" s="57"/>
      <c r="AO1506" s="57"/>
      <c r="AP1506" s="57"/>
      <c r="BA1506" s="57"/>
      <c r="BF1506" s="6" t="e">
        <f t="shared" si="69"/>
        <v>#NUM!</v>
      </c>
      <c r="BG1506" t="e">
        <f t="shared" si="70"/>
        <v>#NUM!</v>
      </c>
      <c r="BH1506" t="e">
        <f t="shared" si="71"/>
        <v>#NUM!</v>
      </c>
      <c r="BI1506" t="e">
        <f>VLOOKUP(H1506,Sheet2!$A$1:$B$270,2,FALSE)</f>
        <v>#N/A</v>
      </c>
    </row>
    <row r="1507" spans="15:61" hidden="1">
      <c r="O1507" s="57"/>
      <c r="P1507" s="57"/>
      <c r="AP1507" s="57"/>
      <c r="BA1507" s="57"/>
      <c r="BF1507" s="6" t="e">
        <f t="shared" si="69"/>
        <v>#NUM!</v>
      </c>
      <c r="BG1507" t="e">
        <f t="shared" si="70"/>
        <v>#NUM!</v>
      </c>
      <c r="BH1507" t="e">
        <f t="shared" si="71"/>
        <v>#NUM!</v>
      </c>
      <c r="BI1507" t="e">
        <f>VLOOKUP(H1507,Sheet2!$A$1:$B$270,2,FALSE)</f>
        <v>#N/A</v>
      </c>
    </row>
    <row r="1508" spans="15:61" hidden="1">
      <c r="O1508" s="57"/>
      <c r="P1508" s="57"/>
      <c r="AP1508" s="57"/>
      <c r="BA1508" s="57"/>
      <c r="BF1508" s="6" t="e">
        <f t="shared" si="69"/>
        <v>#NUM!</v>
      </c>
      <c r="BG1508" t="e">
        <f t="shared" si="70"/>
        <v>#NUM!</v>
      </c>
      <c r="BH1508" t="e">
        <f t="shared" si="71"/>
        <v>#NUM!</v>
      </c>
      <c r="BI1508" t="e">
        <f>VLOOKUP(H1508,Sheet2!$A$1:$B$270,2,FALSE)</f>
        <v>#N/A</v>
      </c>
    </row>
    <row r="1509" spans="15:61" hidden="1">
      <c r="O1509" s="57"/>
      <c r="P1509" s="57"/>
      <c r="AP1509" s="57"/>
      <c r="BA1509" s="57"/>
      <c r="BF1509" s="6" t="e">
        <f t="shared" si="69"/>
        <v>#NUM!</v>
      </c>
      <c r="BG1509" t="e">
        <f t="shared" si="70"/>
        <v>#NUM!</v>
      </c>
      <c r="BH1509" t="e">
        <f t="shared" si="71"/>
        <v>#NUM!</v>
      </c>
      <c r="BI1509" t="e">
        <f>VLOOKUP(H1509,Sheet2!$A$1:$B$270,2,FALSE)</f>
        <v>#N/A</v>
      </c>
    </row>
    <row r="1510" spans="15:61" hidden="1">
      <c r="O1510" s="57"/>
      <c r="P1510" s="57"/>
      <c r="AP1510" s="57"/>
      <c r="BA1510" s="57"/>
      <c r="BF1510" s="6" t="e">
        <f t="shared" si="69"/>
        <v>#NUM!</v>
      </c>
      <c r="BG1510" t="e">
        <f t="shared" si="70"/>
        <v>#NUM!</v>
      </c>
      <c r="BH1510" t="e">
        <f t="shared" si="71"/>
        <v>#NUM!</v>
      </c>
      <c r="BI1510" t="e">
        <f>VLOOKUP(H1510,Sheet2!$A$1:$B$270,2,FALSE)</f>
        <v>#N/A</v>
      </c>
    </row>
    <row r="1511" spans="15:61" hidden="1">
      <c r="O1511" s="57"/>
      <c r="P1511" s="57"/>
      <c r="AP1511" s="57"/>
      <c r="BA1511" s="57"/>
      <c r="BF1511" s="6" t="e">
        <f t="shared" si="69"/>
        <v>#NUM!</v>
      </c>
      <c r="BG1511" t="e">
        <f t="shared" si="70"/>
        <v>#NUM!</v>
      </c>
      <c r="BH1511" t="e">
        <f t="shared" si="71"/>
        <v>#NUM!</v>
      </c>
      <c r="BI1511" t="e">
        <f>VLOOKUP(H1511,Sheet2!$A$1:$B$270,2,FALSE)</f>
        <v>#N/A</v>
      </c>
    </row>
    <row r="1512" spans="15:61" hidden="1">
      <c r="O1512" s="57"/>
      <c r="P1512" s="57"/>
      <c r="BA1512" s="57"/>
      <c r="BF1512" s="6" t="e">
        <f t="shared" si="69"/>
        <v>#NUM!</v>
      </c>
      <c r="BG1512" t="e">
        <f t="shared" si="70"/>
        <v>#NUM!</v>
      </c>
      <c r="BH1512" t="e">
        <f t="shared" si="71"/>
        <v>#NUM!</v>
      </c>
      <c r="BI1512" t="e">
        <f>VLOOKUP(H1512,Sheet2!$A$1:$B$270,2,FALSE)</f>
        <v>#N/A</v>
      </c>
    </row>
    <row r="1513" spans="15:61" hidden="1">
      <c r="O1513" s="57"/>
      <c r="P1513" s="57"/>
      <c r="AO1513" s="57"/>
      <c r="BA1513" s="57"/>
      <c r="BF1513" s="6" t="e">
        <f t="shared" si="69"/>
        <v>#NUM!</v>
      </c>
      <c r="BG1513" t="e">
        <f t="shared" si="70"/>
        <v>#NUM!</v>
      </c>
      <c r="BH1513" t="e">
        <f t="shared" si="71"/>
        <v>#NUM!</v>
      </c>
      <c r="BI1513" t="e">
        <f>VLOOKUP(H1513,Sheet2!$A$1:$B$270,2,FALSE)</f>
        <v>#N/A</v>
      </c>
    </row>
    <row r="1514" spans="15:61" hidden="1">
      <c r="O1514" s="57"/>
      <c r="P1514" s="57"/>
      <c r="AO1514" s="57"/>
      <c r="AP1514" s="57"/>
      <c r="BA1514" s="57"/>
      <c r="BF1514" s="6" t="e">
        <f t="shared" si="69"/>
        <v>#NUM!</v>
      </c>
      <c r="BG1514" t="e">
        <f t="shared" si="70"/>
        <v>#NUM!</v>
      </c>
      <c r="BH1514" t="e">
        <f t="shared" si="71"/>
        <v>#NUM!</v>
      </c>
      <c r="BI1514" t="e">
        <f>VLOOKUP(H1514,Sheet2!$A$1:$B$270,2,FALSE)</f>
        <v>#N/A</v>
      </c>
    </row>
    <row r="1515" spans="15:61" hidden="1">
      <c r="O1515" s="57"/>
      <c r="P1515" s="57"/>
      <c r="AO1515" s="57"/>
      <c r="AP1515" s="57"/>
      <c r="BA1515" s="57"/>
      <c r="BF1515" s="6" t="e">
        <f t="shared" si="69"/>
        <v>#NUM!</v>
      </c>
      <c r="BG1515" t="e">
        <f t="shared" si="70"/>
        <v>#NUM!</v>
      </c>
      <c r="BH1515" t="e">
        <f t="shared" si="71"/>
        <v>#NUM!</v>
      </c>
      <c r="BI1515" t="e">
        <f>VLOOKUP(H1515,Sheet2!$A$1:$B$270,2,FALSE)</f>
        <v>#N/A</v>
      </c>
    </row>
    <row r="1516" spans="15:61" hidden="1">
      <c r="O1516" s="57"/>
      <c r="P1516" s="57"/>
      <c r="BA1516" s="57"/>
      <c r="BF1516" s="6" t="e">
        <f t="shared" si="69"/>
        <v>#NUM!</v>
      </c>
      <c r="BG1516" t="e">
        <f t="shared" si="70"/>
        <v>#NUM!</v>
      </c>
      <c r="BH1516" t="e">
        <f t="shared" si="71"/>
        <v>#NUM!</v>
      </c>
      <c r="BI1516" t="e">
        <f>VLOOKUP(H1516,Sheet2!$A$1:$B$270,2,FALSE)</f>
        <v>#N/A</v>
      </c>
    </row>
    <row r="1517" spans="15:61" hidden="1">
      <c r="O1517" s="57"/>
      <c r="P1517" s="57"/>
      <c r="AP1517" s="57"/>
      <c r="BA1517" s="57"/>
      <c r="BF1517" s="6" t="e">
        <f t="shared" si="69"/>
        <v>#NUM!</v>
      </c>
      <c r="BG1517" t="e">
        <f t="shared" si="70"/>
        <v>#NUM!</v>
      </c>
      <c r="BH1517" t="e">
        <f t="shared" si="71"/>
        <v>#NUM!</v>
      </c>
      <c r="BI1517" t="e">
        <f>VLOOKUP(H1517,Sheet2!$A$1:$B$270,2,FALSE)</f>
        <v>#N/A</v>
      </c>
    </row>
    <row r="1518" spans="15:61" hidden="1">
      <c r="O1518" s="57"/>
      <c r="P1518" s="57"/>
      <c r="BA1518" s="57"/>
      <c r="BF1518" s="6" t="e">
        <f t="shared" si="69"/>
        <v>#NUM!</v>
      </c>
      <c r="BG1518" t="e">
        <f t="shared" si="70"/>
        <v>#NUM!</v>
      </c>
      <c r="BH1518" t="e">
        <f t="shared" si="71"/>
        <v>#NUM!</v>
      </c>
      <c r="BI1518" t="e">
        <f>VLOOKUP(H1518,Sheet2!$A$1:$B$270,2,FALSE)</f>
        <v>#N/A</v>
      </c>
    </row>
    <row r="1519" spans="15:61" hidden="1">
      <c r="O1519" s="57"/>
      <c r="P1519" s="57"/>
      <c r="BA1519" s="57"/>
      <c r="BF1519" s="6" t="e">
        <f t="shared" si="69"/>
        <v>#NUM!</v>
      </c>
      <c r="BG1519" t="e">
        <f t="shared" si="70"/>
        <v>#NUM!</v>
      </c>
      <c r="BH1519" t="e">
        <f t="shared" si="71"/>
        <v>#NUM!</v>
      </c>
      <c r="BI1519" t="e">
        <f>VLOOKUP(H1519,Sheet2!$A$1:$B$270,2,FALSE)</f>
        <v>#N/A</v>
      </c>
    </row>
    <row r="1520" spans="15:61" hidden="1">
      <c r="O1520" s="57"/>
      <c r="P1520" s="57"/>
      <c r="BA1520" s="57"/>
      <c r="BF1520" s="6" t="e">
        <f t="shared" si="69"/>
        <v>#NUM!</v>
      </c>
      <c r="BG1520" t="e">
        <f t="shared" si="70"/>
        <v>#NUM!</v>
      </c>
      <c r="BH1520" t="e">
        <f t="shared" si="71"/>
        <v>#NUM!</v>
      </c>
      <c r="BI1520" t="e">
        <f>VLOOKUP(H1520,Sheet2!$A$1:$B$270,2,FALSE)</f>
        <v>#N/A</v>
      </c>
    </row>
    <row r="1521" spans="15:61" hidden="1">
      <c r="O1521" s="57"/>
      <c r="P1521" s="57"/>
      <c r="BA1521" s="57"/>
      <c r="BF1521" s="6" t="e">
        <f t="shared" si="69"/>
        <v>#NUM!</v>
      </c>
      <c r="BG1521" t="e">
        <f t="shared" si="70"/>
        <v>#NUM!</v>
      </c>
      <c r="BH1521" t="e">
        <f t="shared" si="71"/>
        <v>#NUM!</v>
      </c>
      <c r="BI1521" t="e">
        <f>VLOOKUP(H1521,Sheet2!$A$1:$B$270,2,FALSE)</f>
        <v>#N/A</v>
      </c>
    </row>
    <row r="1522" spans="15:61" hidden="1">
      <c r="O1522" s="57"/>
      <c r="P1522" s="57"/>
      <c r="AP1522" s="57"/>
      <c r="BA1522" s="57"/>
      <c r="BF1522" s="6" t="e">
        <f t="shared" si="69"/>
        <v>#NUM!</v>
      </c>
      <c r="BG1522" t="e">
        <f t="shared" si="70"/>
        <v>#NUM!</v>
      </c>
      <c r="BH1522" t="e">
        <f t="shared" si="71"/>
        <v>#NUM!</v>
      </c>
      <c r="BI1522" t="e">
        <f>VLOOKUP(H1522,Sheet2!$A$1:$B$270,2,FALSE)</f>
        <v>#N/A</v>
      </c>
    </row>
    <row r="1523" spans="15:61" hidden="1">
      <c r="O1523" s="57"/>
      <c r="P1523" s="57"/>
      <c r="BA1523" s="57"/>
      <c r="BF1523" s="6" t="e">
        <f t="shared" si="69"/>
        <v>#NUM!</v>
      </c>
      <c r="BG1523" t="e">
        <f t="shared" si="70"/>
        <v>#NUM!</v>
      </c>
      <c r="BH1523" t="e">
        <f t="shared" si="71"/>
        <v>#NUM!</v>
      </c>
      <c r="BI1523" t="e">
        <f>VLOOKUP(H1523,Sheet2!$A$1:$B$270,2,FALSE)</f>
        <v>#N/A</v>
      </c>
    </row>
    <row r="1524" spans="15:61" hidden="1">
      <c r="O1524" s="57"/>
      <c r="P1524" s="57"/>
      <c r="AP1524" s="57"/>
      <c r="BA1524" s="57"/>
      <c r="BF1524" s="6" t="e">
        <f t="shared" si="69"/>
        <v>#NUM!</v>
      </c>
      <c r="BG1524" t="e">
        <f t="shared" si="70"/>
        <v>#NUM!</v>
      </c>
      <c r="BH1524" t="e">
        <f t="shared" si="71"/>
        <v>#NUM!</v>
      </c>
      <c r="BI1524" t="e">
        <f>VLOOKUP(H1524,Sheet2!$A$1:$B$270,2,FALSE)</f>
        <v>#N/A</v>
      </c>
    </row>
    <row r="1525" spans="15:61" hidden="1">
      <c r="O1525" s="57"/>
      <c r="P1525" s="57"/>
      <c r="AP1525" s="57"/>
      <c r="BA1525" s="57"/>
      <c r="BF1525" s="6" t="e">
        <f t="shared" si="69"/>
        <v>#NUM!</v>
      </c>
      <c r="BG1525" t="e">
        <f t="shared" si="70"/>
        <v>#NUM!</v>
      </c>
      <c r="BH1525" t="e">
        <f t="shared" si="71"/>
        <v>#NUM!</v>
      </c>
      <c r="BI1525" t="e">
        <f>VLOOKUP(H1525,Sheet2!$A$1:$B$270,2,FALSE)</f>
        <v>#N/A</v>
      </c>
    </row>
    <row r="1526" spans="15:61" hidden="1">
      <c r="O1526" s="57"/>
      <c r="P1526" s="57"/>
      <c r="AP1526" s="57"/>
      <c r="BA1526" s="57"/>
      <c r="BF1526" s="6" t="e">
        <f t="shared" si="69"/>
        <v>#NUM!</v>
      </c>
      <c r="BG1526" t="e">
        <f t="shared" si="70"/>
        <v>#NUM!</v>
      </c>
      <c r="BH1526" t="e">
        <f t="shared" si="71"/>
        <v>#NUM!</v>
      </c>
      <c r="BI1526" t="e">
        <f>VLOOKUP(H1526,Sheet2!$A$1:$B$270,2,FALSE)</f>
        <v>#N/A</v>
      </c>
    </row>
    <row r="1527" spans="15:61" hidden="1">
      <c r="O1527" s="57"/>
      <c r="P1527" s="57"/>
      <c r="AO1527" s="57"/>
      <c r="BF1527" s="6" t="e">
        <f t="shared" si="69"/>
        <v>#NUM!</v>
      </c>
      <c r="BG1527" t="e">
        <f t="shared" si="70"/>
        <v>#NUM!</v>
      </c>
      <c r="BH1527" t="e">
        <f t="shared" si="71"/>
        <v>#NUM!</v>
      </c>
      <c r="BI1527" t="e">
        <f>VLOOKUP(H1527,Sheet2!$A$1:$B$270,2,FALSE)</f>
        <v>#N/A</v>
      </c>
    </row>
    <row r="1528" spans="15:61" hidden="1">
      <c r="O1528" s="57"/>
      <c r="P1528" s="57"/>
      <c r="BF1528" s="6" t="e">
        <f t="shared" si="69"/>
        <v>#NUM!</v>
      </c>
      <c r="BG1528" t="e">
        <f t="shared" si="70"/>
        <v>#NUM!</v>
      </c>
      <c r="BH1528" t="e">
        <f t="shared" si="71"/>
        <v>#NUM!</v>
      </c>
      <c r="BI1528" t="e">
        <f>VLOOKUP(H1528,Sheet2!$A$1:$B$270,2,FALSE)</f>
        <v>#N/A</v>
      </c>
    </row>
    <row r="1529" spans="15:61" hidden="1">
      <c r="O1529" s="57"/>
      <c r="P1529" s="57"/>
      <c r="AO1529" s="57"/>
      <c r="AP1529" s="57"/>
      <c r="BA1529" s="57"/>
      <c r="BF1529" s="6" t="e">
        <f t="shared" si="69"/>
        <v>#NUM!</v>
      </c>
      <c r="BG1529" t="e">
        <f t="shared" si="70"/>
        <v>#NUM!</v>
      </c>
      <c r="BH1529" t="e">
        <f t="shared" si="71"/>
        <v>#NUM!</v>
      </c>
      <c r="BI1529" t="e">
        <f>VLOOKUP(H1529,Sheet2!$A$1:$B$270,2,FALSE)</f>
        <v>#N/A</v>
      </c>
    </row>
    <row r="1530" spans="15:61" hidden="1">
      <c r="O1530" s="57"/>
      <c r="P1530" s="57"/>
      <c r="AP1530" s="57"/>
      <c r="BA1530" s="57"/>
      <c r="BF1530" s="6" t="e">
        <f t="shared" si="69"/>
        <v>#NUM!</v>
      </c>
      <c r="BG1530" t="e">
        <f t="shared" si="70"/>
        <v>#NUM!</v>
      </c>
      <c r="BH1530" t="e">
        <f t="shared" si="71"/>
        <v>#NUM!</v>
      </c>
      <c r="BI1530" t="e">
        <f>VLOOKUP(H1530,Sheet2!$A$1:$B$270,2,FALSE)</f>
        <v>#N/A</v>
      </c>
    </row>
    <row r="1531" spans="15:61" hidden="1">
      <c r="O1531" s="57"/>
      <c r="P1531" s="57"/>
      <c r="AO1531" s="57"/>
      <c r="AP1531" s="57"/>
      <c r="BA1531" s="57"/>
      <c r="BF1531" s="6" t="e">
        <f t="shared" si="69"/>
        <v>#NUM!</v>
      </c>
      <c r="BG1531" t="e">
        <f t="shared" si="70"/>
        <v>#NUM!</v>
      </c>
      <c r="BH1531" t="e">
        <f t="shared" si="71"/>
        <v>#NUM!</v>
      </c>
      <c r="BI1531" t="e">
        <f>VLOOKUP(H1531,Sheet2!$A$1:$B$270,2,FALSE)</f>
        <v>#N/A</v>
      </c>
    </row>
    <row r="1532" spans="15:61" hidden="1">
      <c r="O1532" s="57"/>
      <c r="P1532" s="57"/>
      <c r="AP1532" s="57"/>
      <c r="BA1532" s="57"/>
      <c r="BF1532" s="6" t="e">
        <f t="shared" si="69"/>
        <v>#NUM!</v>
      </c>
      <c r="BG1532" t="e">
        <f t="shared" si="70"/>
        <v>#NUM!</v>
      </c>
      <c r="BH1532" t="e">
        <f t="shared" si="71"/>
        <v>#NUM!</v>
      </c>
      <c r="BI1532" t="e">
        <f>VLOOKUP(H1532,Sheet2!$A$1:$B$270,2,FALSE)</f>
        <v>#N/A</v>
      </c>
    </row>
    <row r="1533" spans="15:61" hidden="1">
      <c r="O1533" s="57"/>
      <c r="P1533" s="57"/>
      <c r="AO1533" s="57"/>
      <c r="AP1533" s="57"/>
      <c r="BA1533" s="57"/>
      <c r="BF1533" s="6" t="e">
        <f t="shared" si="69"/>
        <v>#NUM!</v>
      </c>
      <c r="BG1533" t="e">
        <f t="shared" si="70"/>
        <v>#NUM!</v>
      </c>
      <c r="BH1533" t="e">
        <f t="shared" si="71"/>
        <v>#NUM!</v>
      </c>
      <c r="BI1533" t="e">
        <f>VLOOKUP(H1533,Sheet2!$A$1:$B$270,2,FALSE)</f>
        <v>#N/A</v>
      </c>
    </row>
    <row r="1534" spans="15:61" hidden="1">
      <c r="O1534" s="57"/>
      <c r="P1534" s="57"/>
      <c r="AP1534" s="57"/>
      <c r="BA1534" s="57"/>
      <c r="BF1534" s="6" t="e">
        <f t="shared" si="69"/>
        <v>#NUM!</v>
      </c>
      <c r="BG1534" t="e">
        <f t="shared" si="70"/>
        <v>#NUM!</v>
      </c>
      <c r="BH1534" t="e">
        <f t="shared" si="71"/>
        <v>#NUM!</v>
      </c>
      <c r="BI1534" t="e">
        <f>VLOOKUP(H1534,Sheet2!$A$1:$B$270,2,FALSE)</f>
        <v>#N/A</v>
      </c>
    </row>
    <row r="1535" spans="15:61" hidden="1">
      <c r="O1535" s="57"/>
      <c r="P1535" s="57"/>
      <c r="AP1535" s="57"/>
      <c r="BA1535" s="57"/>
      <c r="BF1535" s="6" t="e">
        <f t="shared" si="69"/>
        <v>#NUM!</v>
      </c>
      <c r="BG1535" t="e">
        <f t="shared" si="70"/>
        <v>#NUM!</v>
      </c>
      <c r="BH1535" t="e">
        <f t="shared" si="71"/>
        <v>#NUM!</v>
      </c>
      <c r="BI1535" t="e">
        <f>VLOOKUP(H1535,Sheet2!$A$1:$B$270,2,FALSE)</f>
        <v>#N/A</v>
      </c>
    </row>
    <row r="1536" spans="15:61" hidden="1">
      <c r="O1536" s="57"/>
      <c r="P1536" s="57"/>
      <c r="BA1536" s="57"/>
      <c r="BF1536" s="6" t="e">
        <f t="shared" si="69"/>
        <v>#NUM!</v>
      </c>
      <c r="BG1536" t="e">
        <f t="shared" si="70"/>
        <v>#NUM!</v>
      </c>
      <c r="BH1536" t="e">
        <f t="shared" si="71"/>
        <v>#NUM!</v>
      </c>
      <c r="BI1536" t="e">
        <f>VLOOKUP(H1536,Sheet2!$A$1:$B$270,2,FALSE)</f>
        <v>#N/A</v>
      </c>
    </row>
    <row r="1537" spans="15:61" hidden="1">
      <c r="O1537" s="57"/>
      <c r="P1537" s="57"/>
      <c r="AO1537" s="57"/>
      <c r="AP1537" s="57"/>
      <c r="BA1537" s="57"/>
      <c r="BF1537" s="6" t="e">
        <f t="shared" si="69"/>
        <v>#NUM!</v>
      </c>
      <c r="BG1537" t="e">
        <f t="shared" si="70"/>
        <v>#NUM!</v>
      </c>
      <c r="BH1537" t="e">
        <f t="shared" si="71"/>
        <v>#NUM!</v>
      </c>
      <c r="BI1537" t="e">
        <f>VLOOKUP(H1537,Sheet2!$A$1:$B$270,2,FALSE)</f>
        <v>#N/A</v>
      </c>
    </row>
    <row r="1538" spans="15:61" hidden="1">
      <c r="O1538" s="57"/>
      <c r="P1538" s="57"/>
      <c r="AO1538" s="57"/>
      <c r="AP1538" s="57"/>
      <c r="BA1538" s="57"/>
      <c r="BF1538" s="6" t="e">
        <f t="shared" ref="BF1538:BF1601" si="72">DATE(BC1538,BD1538,BE1538)</f>
        <v>#NUM!</v>
      </c>
      <c r="BG1538" t="e">
        <f t="shared" ref="BG1538:BG1601" si="73">BF1538-BA1538</f>
        <v>#NUM!</v>
      </c>
      <c r="BH1538" t="e">
        <f t="shared" ref="BH1538:BH1601" si="74">IF(BG1538=1,"COMPLY",IF(BG1538&lt;1,"COMPLY","NOT COMPLY"))</f>
        <v>#NUM!</v>
      </c>
      <c r="BI1538" t="e">
        <f>VLOOKUP(H1538,Sheet2!$A$1:$B$270,2,FALSE)</f>
        <v>#N/A</v>
      </c>
    </row>
    <row r="1539" spans="15:61" hidden="1">
      <c r="O1539" s="57"/>
      <c r="P1539" s="57"/>
      <c r="AO1539" s="57"/>
      <c r="AP1539" s="57"/>
      <c r="BA1539" s="57"/>
      <c r="BF1539" s="6" t="e">
        <f t="shared" si="72"/>
        <v>#NUM!</v>
      </c>
      <c r="BG1539" t="e">
        <f t="shared" si="73"/>
        <v>#NUM!</v>
      </c>
      <c r="BH1539" t="e">
        <f t="shared" si="74"/>
        <v>#NUM!</v>
      </c>
      <c r="BI1539" t="e">
        <f>VLOOKUP(H1539,Sheet2!$A$1:$B$270,2,FALSE)</f>
        <v>#N/A</v>
      </c>
    </row>
    <row r="1540" spans="15:61" hidden="1">
      <c r="O1540" s="57"/>
      <c r="P1540" s="57"/>
      <c r="AO1540" s="57"/>
      <c r="AP1540" s="57"/>
      <c r="BA1540" s="57"/>
      <c r="BF1540" s="6" t="e">
        <f t="shared" si="72"/>
        <v>#NUM!</v>
      </c>
      <c r="BG1540" t="e">
        <f t="shared" si="73"/>
        <v>#NUM!</v>
      </c>
      <c r="BH1540" t="e">
        <f t="shared" si="74"/>
        <v>#NUM!</v>
      </c>
      <c r="BI1540" t="e">
        <f>VLOOKUP(H1540,Sheet2!$A$1:$B$270,2,FALSE)</f>
        <v>#N/A</v>
      </c>
    </row>
    <row r="1541" spans="15:61" hidden="1">
      <c r="O1541" s="57"/>
      <c r="P1541" s="57"/>
      <c r="AO1541" s="57"/>
      <c r="AP1541" s="57"/>
      <c r="BA1541" s="57"/>
      <c r="BF1541" s="6" t="e">
        <f t="shared" si="72"/>
        <v>#NUM!</v>
      </c>
      <c r="BG1541" t="e">
        <f t="shared" si="73"/>
        <v>#NUM!</v>
      </c>
      <c r="BH1541" t="e">
        <f t="shared" si="74"/>
        <v>#NUM!</v>
      </c>
      <c r="BI1541" t="e">
        <f>VLOOKUP(H1541,Sheet2!$A$1:$B$270,2,FALSE)</f>
        <v>#N/A</v>
      </c>
    </row>
    <row r="1542" spans="15:61" hidden="1">
      <c r="O1542" s="57"/>
      <c r="P1542" s="57"/>
      <c r="AO1542" s="57"/>
      <c r="AP1542" s="57"/>
      <c r="BA1542" s="57"/>
      <c r="BF1542" s="6" t="e">
        <f t="shared" si="72"/>
        <v>#NUM!</v>
      </c>
      <c r="BG1542" t="e">
        <f t="shared" si="73"/>
        <v>#NUM!</v>
      </c>
      <c r="BH1542" t="e">
        <f t="shared" si="74"/>
        <v>#NUM!</v>
      </c>
      <c r="BI1542" t="e">
        <f>VLOOKUP(H1542,Sheet2!$A$1:$B$270,2,FALSE)</f>
        <v>#N/A</v>
      </c>
    </row>
    <row r="1543" spans="15:61" hidden="1">
      <c r="O1543" s="57"/>
      <c r="P1543" s="57"/>
      <c r="AO1543" s="57"/>
      <c r="AP1543" s="57"/>
      <c r="BA1543" s="57"/>
      <c r="BF1543" s="6" t="e">
        <f t="shared" si="72"/>
        <v>#NUM!</v>
      </c>
      <c r="BG1543" t="e">
        <f t="shared" si="73"/>
        <v>#NUM!</v>
      </c>
      <c r="BH1543" t="e">
        <f t="shared" si="74"/>
        <v>#NUM!</v>
      </c>
      <c r="BI1543" t="e">
        <f>VLOOKUP(H1543,Sheet2!$A$1:$B$270,2,FALSE)</f>
        <v>#N/A</v>
      </c>
    </row>
    <row r="1544" spans="15:61" hidden="1">
      <c r="O1544" s="57"/>
      <c r="P1544" s="57"/>
      <c r="BA1544" s="57"/>
      <c r="BF1544" s="6" t="e">
        <f t="shared" si="72"/>
        <v>#NUM!</v>
      </c>
      <c r="BG1544" t="e">
        <f t="shared" si="73"/>
        <v>#NUM!</v>
      </c>
      <c r="BH1544" t="e">
        <f t="shared" si="74"/>
        <v>#NUM!</v>
      </c>
      <c r="BI1544" t="e">
        <f>VLOOKUP(H1544,Sheet2!$A$1:$B$270,2,FALSE)</f>
        <v>#N/A</v>
      </c>
    </row>
    <row r="1545" spans="15:61" hidden="1">
      <c r="O1545" s="57"/>
      <c r="P1545" s="57"/>
      <c r="AP1545" s="57"/>
      <c r="BA1545" s="57"/>
      <c r="BF1545" s="6" t="e">
        <f t="shared" si="72"/>
        <v>#NUM!</v>
      </c>
      <c r="BG1545" t="e">
        <f t="shared" si="73"/>
        <v>#NUM!</v>
      </c>
      <c r="BH1545" t="e">
        <f t="shared" si="74"/>
        <v>#NUM!</v>
      </c>
      <c r="BI1545" t="e">
        <f>VLOOKUP(H1545,Sheet2!$A$1:$B$270,2,FALSE)</f>
        <v>#N/A</v>
      </c>
    </row>
    <row r="1546" spans="15:61" hidden="1">
      <c r="O1546" s="57"/>
      <c r="P1546" s="57"/>
      <c r="AP1546" s="57"/>
      <c r="BA1546" s="57"/>
      <c r="BF1546" s="6" t="e">
        <f t="shared" si="72"/>
        <v>#NUM!</v>
      </c>
      <c r="BG1546" t="e">
        <f t="shared" si="73"/>
        <v>#NUM!</v>
      </c>
      <c r="BH1546" t="e">
        <f t="shared" si="74"/>
        <v>#NUM!</v>
      </c>
      <c r="BI1546" t="e">
        <f>VLOOKUP(H1546,Sheet2!$A$1:$B$270,2,FALSE)</f>
        <v>#N/A</v>
      </c>
    </row>
    <row r="1547" spans="15:61" hidden="1">
      <c r="O1547" s="57"/>
      <c r="P1547" s="57"/>
      <c r="BA1547" s="57"/>
      <c r="BF1547" s="6" t="e">
        <f t="shared" si="72"/>
        <v>#NUM!</v>
      </c>
      <c r="BG1547" t="e">
        <f t="shared" si="73"/>
        <v>#NUM!</v>
      </c>
      <c r="BH1547" t="e">
        <f t="shared" si="74"/>
        <v>#NUM!</v>
      </c>
      <c r="BI1547" t="e">
        <f>VLOOKUP(H1547,Sheet2!$A$1:$B$270,2,FALSE)</f>
        <v>#N/A</v>
      </c>
    </row>
    <row r="1548" spans="15:61" hidden="1">
      <c r="O1548" s="57"/>
      <c r="P1548" s="57"/>
      <c r="AP1548" s="57"/>
      <c r="BA1548" s="57"/>
      <c r="BF1548" s="6" t="e">
        <f t="shared" si="72"/>
        <v>#NUM!</v>
      </c>
      <c r="BG1548" t="e">
        <f t="shared" si="73"/>
        <v>#NUM!</v>
      </c>
      <c r="BH1548" t="e">
        <f t="shared" si="74"/>
        <v>#NUM!</v>
      </c>
      <c r="BI1548" t="e">
        <f>VLOOKUP(H1548,Sheet2!$A$1:$B$270,2,FALSE)</f>
        <v>#N/A</v>
      </c>
    </row>
    <row r="1549" spans="15:61" hidden="1">
      <c r="O1549" s="57"/>
      <c r="P1549" s="57"/>
      <c r="AO1549" s="57"/>
      <c r="BF1549" s="6" t="e">
        <f t="shared" si="72"/>
        <v>#NUM!</v>
      </c>
      <c r="BG1549" t="e">
        <f t="shared" si="73"/>
        <v>#NUM!</v>
      </c>
      <c r="BH1549" t="e">
        <f t="shared" si="74"/>
        <v>#NUM!</v>
      </c>
      <c r="BI1549" t="e">
        <f>VLOOKUP(H1549,Sheet2!$A$1:$B$270,2,FALSE)</f>
        <v>#N/A</v>
      </c>
    </row>
    <row r="1550" spans="15:61" hidden="1">
      <c r="O1550" s="57"/>
      <c r="P1550" s="57"/>
      <c r="AO1550" s="57"/>
      <c r="BF1550" s="6" t="e">
        <f t="shared" si="72"/>
        <v>#NUM!</v>
      </c>
      <c r="BG1550" t="e">
        <f t="shared" si="73"/>
        <v>#NUM!</v>
      </c>
      <c r="BH1550" t="e">
        <f t="shared" si="74"/>
        <v>#NUM!</v>
      </c>
      <c r="BI1550" t="e">
        <f>VLOOKUP(H1550,Sheet2!$A$1:$B$270,2,FALSE)</f>
        <v>#N/A</v>
      </c>
    </row>
    <row r="1551" spans="15:61" hidden="1">
      <c r="O1551" s="57"/>
      <c r="P1551" s="57"/>
      <c r="AO1551" s="57"/>
      <c r="BF1551" s="6" t="e">
        <f t="shared" si="72"/>
        <v>#NUM!</v>
      </c>
      <c r="BG1551" t="e">
        <f t="shared" si="73"/>
        <v>#NUM!</v>
      </c>
      <c r="BH1551" t="e">
        <f t="shared" si="74"/>
        <v>#NUM!</v>
      </c>
      <c r="BI1551" t="e">
        <f>VLOOKUP(H1551,Sheet2!$A$1:$B$270,2,FALSE)</f>
        <v>#N/A</v>
      </c>
    </row>
    <row r="1552" spans="15:61" hidden="1">
      <c r="O1552" s="57"/>
      <c r="P1552" s="57"/>
      <c r="BF1552" s="6" t="e">
        <f t="shared" si="72"/>
        <v>#NUM!</v>
      </c>
      <c r="BG1552" t="e">
        <f t="shared" si="73"/>
        <v>#NUM!</v>
      </c>
      <c r="BH1552" t="e">
        <f t="shared" si="74"/>
        <v>#NUM!</v>
      </c>
      <c r="BI1552" t="e">
        <f>VLOOKUP(H1552,Sheet2!$A$1:$B$270,2,FALSE)</f>
        <v>#N/A</v>
      </c>
    </row>
    <row r="1553" spans="15:61" hidden="1">
      <c r="O1553" s="57"/>
      <c r="P1553" s="57"/>
      <c r="BF1553" s="6" t="e">
        <f t="shared" si="72"/>
        <v>#NUM!</v>
      </c>
      <c r="BG1553" t="e">
        <f t="shared" si="73"/>
        <v>#NUM!</v>
      </c>
      <c r="BH1553" t="e">
        <f t="shared" si="74"/>
        <v>#NUM!</v>
      </c>
      <c r="BI1553" t="e">
        <f>VLOOKUP(H1553,Sheet2!$A$1:$B$270,2,FALSE)</f>
        <v>#N/A</v>
      </c>
    </row>
    <row r="1554" spans="15:61" hidden="1">
      <c r="O1554" s="57"/>
      <c r="P1554" s="57"/>
      <c r="BF1554" s="6" t="e">
        <f t="shared" si="72"/>
        <v>#NUM!</v>
      </c>
      <c r="BG1554" t="e">
        <f t="shared" si="73"/>
        <v>#NUM!</v>
      </c>
      <c r="BH1554" t="e">
        <f t="shared" si="74"/>
        <v>#NUM!</v>
      </c>
      <c r="BI1554" t="e">
        <f>VLOOKUP(H1554,Sheet2!$A$1:$B$270,2,FALSE)</f>
        <v>#N/A</v>
      </c>
    </row>
    <row r="1555" spans="15:61" hidden="1">
      <c r="O1555" s="57"/>
      <c r="P1555" s="57"/>
      <c r="AO1555" s="57"/>
      <c r="AP1555" s="57"/>
      <c r="BA1555" s="57"/>
      <c r="BF1555" s="6" t="e">
        <f t="shared" si="72"/>
        <v>#NUM!</v>
      </c>
      <c r="BG1555" t="e">
        <f t="shared" si="73"/>
        <v>#NUM!</v>
      </c>
      <c r="BH1555" t="e">
        <f t="shared" si="74"/>
        <v>#NUM!</v>
      </c>
      <c r="BI1555" t="e">
        <f>VLOOKUP(H1555,Sheet2!$A$1:$B$270,2,FALSE)</f>
        <v>#N/A</v>
      </c>
    </row>
    <row r="1556" spans="15:61" hidden="1">
      <c r="O1556" s="57"/>
      <c r="P1556" s="57"/>
      <c r="AP1556" s="57"/>
      <c r="BA1556" s="57"/>
      <c r="BF1556" s="6" t="e">
        <f t="shared" si="72"/>
        <v>#NUM!</v>
      </c>
      <c r="BG1556" t="e">
        <f t="shared" si="73"/>
        <v>#NUM!</v>
      </c>
      <c r="BH1556" t="e">
        <f t="shared" si="74"/>
        <v>#NUM!</v>
      </c>
      <c r="BI1556" t="e">
        <f>VLOOKUP(H1556,Sheet2!$A$1:$B$270,2,FALSE)</f>
        <v>#N/A</v>
      </c>
    </row>
    <row r="1557" spans="15:61" hidden="1">
      <c r="O1557" s="57"/>
      <c r="P1557" s="57"/>
      <c r="AO1557" s="57"/>
      <c r="AP1557" s="57"/>
      <c r="BA1557" s="57"/>
      <c r="BF1557" s="6" t="e">
        <f t="shared" si="72"/>
        <v>#NUM!</v>
      </c>
      <c r="BG1557" t="e">
        <f t="shared" si="73"/>
        <v>#NUM!</v>
      </c>
      <c r="BH1557" t="e">
        <f t="shared" si="74"/>
        <v>#NUM!</v>
      </c>
      <c r="BI1557" t="e">
        <f>VLOOKUP(H1557,Sheet2!$A$1:$B$270,2,FALSE)</f>
        <v>#N/A</v>
      </c>
    </row>
    <row r="1558" spans="15:61" hidden="1">
      <c r="O1558" s="57"/>
      <c r="P1558" s="57"/>
      <c r="AO1558" s="57"/>
      <c r="BA1558" s="57"/>
      <c r="BF1558" s="6" t="e">
        <f t="shared" si="72"/>
        <v>#NUM!</v>
      </c>
      <c r="BG1558" t="e">
        <f t="shared" si="73"/>
        <v>#NUM!</v>
      </c>
      <c r="BH1558" t="e">
        <f t="shared" si="74"/>
        <v>#NUM!</v>
      </c>
      <c r="BI1558" t="e">
        <f>VLOOKUP(H1558,Sheet2!$A$1:$B$270,2,FALSE)</f>
        <v>#N/A</v>
      </c>
    </row>
    <row r="1559" spans="15:61" hidden="1">
      <c r="O1559" s="57"/>
      <c r="P1559" s="57"/>
      <c r="AO1559" s="57"/>
      <c r="AP1559" s="57"/>
      <c r="BA1559" s="57"/>
      <c r="BF1559" s="6" t="e">
        <f t="shared" si="72"/>
        <v>#NUM!</v>
      </c>
      <c r="BG1559" t="e">
        <f t="shared" si="73"/>
        <v>#NUM!</v>
      </c>
      <c r="BH1559" t="e">
        <f t="shared" si="74"/>
        <v>#NUM!</v>
      </c>
      <c r="BI1559" t="e">
        <f>VLOOKUP(H1559,Sheet2!$A$1:$B$270,2,FALSE)</f>
        <v>#N/A</v>
      </c>
    </row>
    <row r="1560" spans="15:61" hidden="1">
      <c r="O1560" s="57"/>
      <c r="P1560" s="57"/>
      <c r="BA1560" s="57"/>
      <c r="BF1560" s="6" t="e">
        <f t="shared" si="72"/>
        <v>#NUM!</v>
      </c>
      <c r="BG1560" t="e">
        <f t="shared" si="73"/>
        <v>#NUM!</v>
      </c>
      <c r="BH1560" t="e">
        <f t="shared" si="74"/>
        <v>#NUM!</v>
      </c>
      <c r="BI1560" t="e">
        <f>VLOOKUP(H1560,Sheet2!$A$1:$B$270,2,FALSE)</f>
        <v>#N/A</v>
      </c>
    </row>
    <row r="1561" spans="15:61" hidden="1">
      <c r="O1561" s="57"/>
      <c r="P1561" s="57"/>
      <c r="AP1561" s="57"/>
      <c r="BA1561" s="57"/>
      <c r="BF1561" s="6" t="e">
        <f t="shared" si="72"/>
        <v>#NUM!</v>
      </c>
      <c r="BG1561" t="e">
        <f t="shared" si="73"/>
        <v>#NUM!</v>
      </c>
      <c r="BH1561" t="e">
        <f t="shared" si="74"/>
        <v>#NUM!</v>
      </c>
      <c r="BI1561" t="e">
        <f>VLOOKUP(H1561,Sheet2!$A$1:$B$270,2,FALSE)</f>
        <v>#N/A</v>
      </c>
    </row>
    <row r="1562" spans="15:61" hidden="1">
      <c r="O1562" s="57"/>
      <c r="P1562" s="57"/>
      <c r="BF1562" s="6" t="e">
        <f t="shared" si="72"/>
        <v>#NUM!</v>
      </c>
      <c r="BG1562" t="e">
        <f t="shared" si="73"/>
        <v>#NUM!</v>
      </c>
      <c r="BH1562" t="e">
        <f t="shared" si="74"/>
        <v>#NUM!</v>
      </c>
      <c r="BI1562" t="e">
        <f>VLOOKUP(H1562,Sheet2!$A$1:$B$270,2,FALSE)</f>
        <v>#N/A</v>
      </c>
    </row>
    <row r="1563" spans="15:61" hidden="1">
      <c r="O1563" s="57"/>
      <c r="P1563" s="57"/>
      <c r="AO1563" s="57"/>
      <c r="AP1563" s="57"/>
      <c r="BA1563" s="57"/>
      <c r="BF1563" s="6" t="e">
        <f t="shared" si="72"/>
        <v>#NUM!</v>
      </c>
      <c r="BG1563" t="e">
        <f t="shared" si="73"/>
        <v>#NUM!</v>
      </c>
      <c r="BH1563" t="e">
        <f t="shared" si="74"/>
        <v>#NUM!</v>
      </c>
      <c r="BI1563" t="e">
        <f>VLOOKUP(H1563,Sheet2!$A$1:$B$270,2,FALSE)</f>
        <v>#N/A</v>
      </c>
    </row>
    <row r="1564" spans="15:61" hidden="1">
      <c r="O1564" s="57"/>
      <c r="P1564" s="57"/>
      <c r="AO1564" s="57"/>
      <c r="AP1564" s="57"/>
      <c r="BA1564" s="57"/>
      <c r="BF1564" s="6" t="e">
        <f t="shared" si="72"/>
        <v>#NUM!</v>
      </c>
      <c r="BG1564" t="e">
        <f t="shared" si="73"/>
        <v>#NUM!</v>
      </c>
      <c r="BH1564" t="e">
        <f t="shared" si="74"/>
        <v>#NUM!</v>
      </c>
      <c r="BI1564" t="e">
        <f>VLOOKUP(H1564,Sheet2!$A$1:$B$270,2,FALSE)</f>
        <v>#N/A</v>
      </c>
    </row>
    <row r="1565" spans="15:61" hidden="1">
      <c r="O1565" s="57"/>
      <c r="P1565" s="57"/>
      <c r="AP1565" s="57"/>
      <c r="BA1565" s="57"/>
      <c r="BF1565" s="6" t="e">
        <f t="shared" si="72"/>
        <v>#NUM!</v>
      </c>
      <c r="BG1565" t="e">
        <f t="shared" si="73"/>
        <v>#NUM!</v>
      </c>
      <c r="BH1565" t="e">
        <f t="shared" si="74"/>
        <v>#NUM!</v>
      </c>
      <c r="BI1565" t="e">
        <f>VLOOKUP(H1565,Sheet2!$A$1:$B$270,2,FALSE)</f>
        <v>#N/A</v>
      </c>
    </row>
    <row r="1566" spans="15:61" hidden="1">
      <c r="O1566" s="57"/>
      <c r="P1566" s="57"/>
      <c r="AP1566" s="57"/>
      <c r="BA1566" s="57"/>
      <c r="BF1566" s="6" t="e">
        <f t="shared" si="72"/>
        <v>#NUM!</v>
      </c>
      <c r="BG1566" t="e">
        <f t="shared" si="73"/>
        <v>#NUM!</v>
      </c>
      <c r="BH1566" t="e">
        <f t="shared" si="74"/>
        <v>#NUM!</v>
      </c>
      <c r="BI1566" t="e">
        <f>VLOOKUP(H1566,Sheet2!$A$1:$B$270,2,FALSE)</f>
        <v>#N/A</v>
      </c>
    </row>
    <row r="1567" spans="15:61" hidden="1">
      <c r="O1567" s="57"/>
      <c r="P1567" s="57"/>
      <c r="AP1567" s="57"/>
      <c r="BA1567" s="57"/>
      <c r="BF1567" s="6" t="e">
        <f t="shared" si="72"/>
        <v>#NUM!</v>
      </c>
      <c r="BG1567" t="e">
        <f t="shared" si="73"/>
        <v>#NUM!</v>
      </c>
      <c r="BH1567" t="e">
        <f t="shared" si="74"/>
        <v>#NUM!</v>
      </c>
      <c r="BI1567" t="e">
        <f>VLOOKUP(H1567,Sheet2!$A$1:$B$270,2,FALSE)</f>
        <v>#N/A</v>
      </c>
    </row>
    <row r="1568" spans="15:61" hidden="1">
      <c r="O1568" s="57"/>
      <c r="P1568" s="57"/>
      <c r="AO1568" s="57"/>
      <c r="BA1568" s="57"/>
      <c r="BF1568" s="6" t="e">
        <f t="shared" si="72"/>
        <v>#NUM!</v>
      </c>
      <c r="BG1568" t="e">
        <f t="shared" si="73"/>
        <v>#NUM!</v>
      </c>
      <c r="BH1568" t="e">
        <f t="shared" si="74"/>
        <v>#NUM!</v>
      </c>
      <c r="BI1568" t="e">
        <f>VLOOKUP(H1568,Sheet2!$A$1:$B$270,2,FALSE)</f>
        <v>#N/A</v>
      </c>
    </row>
    <row r="1569" spans="15:61" hidden="1">
      <c r="O1569" s="57"/>
      <c r="P1569" s="57"/>
      <c r="BA1569" s="57"/>
      <c r="BF1569" s="6" t="e">
        <f t="shared" si="72"/>
        <v>#NUM!</v>
      </c>
      <c r="BG1569" t="e">
        <f t="shared" si="73"/>
        <v>#NUM!</v>
      </c>
      <c r="BH1569" t="e">
        <f t="shared" si="74"/>
        <v>#NUM!</v>
      </c>
      <c r="BI1569" t="e">
        <f>VLOOKUP(H1569,Sheet2!$A$1:$B$270,2,FALSE)</f>
        <v>#N/A</v>
      </c>
    </row>
    <row r="1570" spans="15:61" hidden="1">
      <c r="O1570" s="57"/>
      <c r="P1570" s="57"/>
      <c r="BA1570" s="57"/>
      <c r="BF1570" s="6" t="e">
        <f t="shared" si="72"/>
        <v>#NUM!</v>
      </c>
      <c r="BG1570" t="e">
        <f t="shared" si="73"/>
        <v>#NUM!</v>
      </c>
      <c r="BH1570" t="e">
        <f t="shared" si="74"/>
        <v>#NUM!</v>
      </c>
      <c r="BI1570" t="e">
        <f>VLOOKUP(H1570,Sheet2!$A$1:$B$270,2,FALSE)</f>
        <v>#N/A</v>
      </c>
    </row>
    <row r="1571" spans="15:61" hidden="1">
      <c r="O1571" s="57"/>
      <c r="P1571" s="57"/>
      <c r="AO1571" s="57"/>
      <c r="BA1571" s="57"/>
      <c r="BF1571" s="6" t="e">
        <f t="shared" si="72"/>
        <v>#NUM!</v>
      </c>
      <c r="BG1571" t="e">
        <f t="shared" si="73"/>
        <v>#NUM!</v>
      </c>
      <c r="BH1571" t="e">
        <f t="shared" si="74"/>
        <v>#NUM!</v>
      </c>
      <c r="BI1571" t="e">
        <f>VLOOKUP(H1571,Sheet2!$A$1:$B$270,2,FALSE)</f>
        <v>#N/A</v>
      </c>
    </row>
    <row r="1572" spans="15:61" hidden="1">
      <c r="O1572" s="57"/>
      <c r="P1572" s="57"/>
      <c r="AO1572" s="57"/>
      <c r="AP1572" s="57"/>
      <c r="BA1572" s="57"/>
      <c r="BF1572" s="6" t="e">
        <f t="shared" si="72"/>
        <v>#NUM!</v>
      </c>
      <c r="BG1572" t="e">
        <f t="shared" si="73"/>
        <v>#NUM!</v>
      </c>
      <c r="BH1572" t="e">
        <f t="shared" si="74"/>
        <v>#NUM!</v>
      </c>
      <c r="BI1572" t="e">
        <f>VLOOKUP(H1572,Sheet2!$A$1:$B$270,2,FALSE)</f>
        <v>#N/A</v>
      </c>
    </row>
    <row r="1573" spans="15:61" hidden="1">
      <c r="O1573" s="57"/>
      <c r="P1573" s="57"/>
      <c r="AO1573" s="57"/>
      <c r="BA1573" s="57"/>
      <c r="BF1573" s="6" t="e">
        <f t="shared" si="72"/>
        <v>#NUM!</v>
      </c>
      <c r="BG1573" t="e">
        <f t="shared" si="73"/>
        <v>#NUM!</v>
      </c>
      <c r="BH1573" t="e">
        <f t="shared" si="74"/>
        <v>#NUM!</v>
      </c>
      <c r="BI1573" t="e">
        <f>VLOOKUP(H1573,Sheet2!$A$1:$B$270,2,FALSE)</f>
        <v>#N/A</v>
      </c>
    </row>
    <row r="1574" spans="15:61" hidden="1">
      <c r="O1574" s="57"/>
      <c r="P1574" s="57"/>
      <c r="AO1574" s="57"/>
      <c r="AP1574" s="57"/>
      <c r="BA1574" s="57"/>
      <c r="BF1574" s="6" t="e">
        <f t="shared" si="72"/>
        <v>#NUM!</v>
      </c>
      <c r="BG1574" t="e">
        <f t="shared" si="73"/>
        <v>#NUM!</v>
      </c>
      <c r="BH1574" t="e">
        <f t="shared" si="74"/>
        <v>#NUM!</v>
      </c>
      <c r="BI1574" t="e">
        <f>VLOOKUP(H1574,Sheet2!$A$1:$B$270,2,FALSE)</f>
        <v>#N/A</v>
      </c>
    </row>
    <row r="1575" spans="15:61" hidden="1">
      <c r="O1575" s="57"/>
      <c r="P1575" s="57"/>
      <c r="AP1575" s="57"/>
      <c r="BA1575" s="57"/>
      <c r="BF1575" s="6" t="e">
        <f t="shared" si="72"/>
        <v>#NUM!</v>
      </c>
      <c r="BG1575" t="e">
        <f t="shared" si="73"/>
        <v>#NUM!</v>
      </c>
      <c r="BH1575" t="e">
        <f t="shared" si="74"/>
        <v>#NUM!</v>
      </c>
      <c r="BI1575" t="e">
        <f>VLOOKUP(H1575,Sheet2!$A$1:$B$270,2,FALSE)</f>
        <v>#N/A</v>
      </c>
    </row>
    <row r="1576" spans="15:61" hidden="1">
      <c r="O1576" s="57"/>
      <c r="P1576" s="57"/>
      <c r="AP1576" s="57"/>
      <c r="BA1576" s="57"/>
      <c r="BF1576" s="6" t="e">
        <f t="shared" si="72"/>
        <v>#NUM!</v>
      </c>
      <c r="BG1576" t="e">
        <f t="shared" si="73"/>
        <v>#NUM!</v>
      </c>
      <c r="BH1576" t="e">
        <f t="shared" si="74"/>
        <v>#NUM!</v>
      </c>
      <c r="BI1576" t="e">
        <f>VLOOKUP(H1576,Sheet2!$A$1:$B$270,2,FALSE)</f>
        <v>#N/A</v>
      </c>
    </row>
    <row r="1577" spans="15:61" hidden="1">
      <c r="O1577" s="57"/>
      <c r="P1577" s="57"/>
      <c r="AP1577" s="57"/>
      <c r="BA1577" s="57"/>
      <c r="BF1577" s="6" t="e">
        <f t="shared" si="72"/>
        <v>#NUM!</v>
      </c>
      <c r="BG1577" t="e">
        <f t="shared" si="73"/>
        <v>#NUM!</v>
      </c>
      <c r="BH1577" t="e">
        <f t="shared" si="74"/>
        <v>#NUM!</v>
      </c>
      <c r="BI1577" t="e">
        <f>VLOOKUP(H1577,Sheet2!$A$1:$B$270,2,FALSE)</f>
        <v>#N/A</v>
      </c>
    </row>
    <row r="1578" spans="15:61" hidden="1">
      <c r="O1578" s="57"/>
      <c r="P1578" s="57"/>
      <c r="AP1578" s="57"/>
      <c r="BA1578" s="57"/>
      <c r="BF1578" s="6" t="e">
        <f t="shared" si="72"/>
        <v>#NUM!</v>
      </c>
      <c r="BG1578" t="e">
        <f t="shared" si="73"/>
        <v>#NUM!</v>
      </c>
      <c r="BH1578" t="e">
        <f t="shared" si="74"/>
        <v>#NUM!</v>
      </c>
      <c r="BI1578" t="e">
        <f>VLOOKUP(H1578,Sheet2!$A$1:$B$270,2,FALSE)</f>
        <v>#N/A</v>
      </c>
    </row>
    <row r="1579" spans="15:61" hidden="1">
      <c r="O1579" s="57"/>
      <c r="P1579" s="57"/>
      <c r="AP1579" s="57"/>
      <c r="BA1579" s="57"/>
      <c r="BF1579" s="6" t="e">
        <f t="shared" si="72"/>
        <v>#NUM!</v>
      </c>
      <c r="BG1579" t="e">
        <f t="shared" si="73"/>
        <v>#NUM!</v>
      </c>
      <c r="BH1579" t="e">
        <f t="shared" si="74"/>
        <v>#NUM!</v>
      </c>
      <c r="BI1579" t="e">
        <f>VLOOKUP(H1579,Sheet2!$A$1:$B$270,2,FALSE)</f>
        <v>#N/A</v>
      </c>
    </row>
    <row r="1580" spans="15:61" hidden="1">
      <c r="O1580" s="57"/>
      <c r="P1580" s="57"/>
      <c r="BA1580" s="57"/>
      <c r="BF1580" s="6" t="e">
        <f t="shared" si="72"/>
        <v>#NUM!</v>
      </c>
      <c r="BG1580" t="e">
        <f t="shared" si="73"/>
        <v>#NUM!</v>
      </c>
      <c r="BH1580" t="e">
        <f t="shared" si="74"/>
        <v>#NUM!</v>
      </c>
      <c r="BI1580" t="e">
        <f>VLOOKUP(H1580,Sheet2!$A$1:$B$270,2,FALSE)</f>
        <v>#N/A</v>
      </c>
    </row>
    <row r="1581" spans="15:61" hidden="1">
      <c r="O1581" s="57"/>
      <c r="P1581" s="57"/>
      <c r="AP1581" s="57"/>
      <c r="BA1581" s="57"/>
      <c r="BF1581" s="6" t="e">
        <f t="shared" si="72"/>
        <v>#NUM!</v>
      </c>
      <c r="BG1581" t="e">
        <f t="shared" si="73"/>
        <v>#NUM!</v>
      </c>
      <c r="BH1581" t="e">
        <f t="shared" si="74"/>
        <v>#NUM!</v>
      </c>
      <c r="BI1581" t="e">
        <f>VLOOKUP(H1581,Sheet2!$A$1:$B$270,2,FALSE)</f>
        <v>#N/A</v>
      </c>
    </row>
    <row r="1582" spans="15:61" hidden="1">
      <c r="O1582" s="57"/>
      <c r="P1582" s="57"/>
      <c r="BA1582" s="57"/>
      <c r="BF1582" s="6" t="e">
        <f t="shared" si="72"/>
        <v>#NUM!</v>
      </c>
      <c r="BG1582" t="e">
        <f t="shared" si="73"/>
        <v>#NUM!</v>
      </c>
      <c r="BH1582" t="e">
        <f t="shared" si="74"/>
        <v>#NUM!</v>
      </c>
      <c r="BI1582" t="e">
        <f>VLOOKUP(H1582,Sheet2!$A$1:$B$270,2,FALSE)</f>
        <v>#N/A</v>
      </c>
    </row>
    <row r="1583" spans="15:61" hidden="1">
      <c r="O1583" s="57"/>
      <c r="P1583" s="57"/>
      <c r="BA1583" s="57"/>
      <c r="BF1583" s="6" t="e">
        <f t="shared" si="72"/>
        <v>#NUM!</v>
      </c>
      <c r="BG1583" t="e">
        <f t="shared" si="73"/>
        <v>#NUM!</v>
      </c>
      <c r="BH1583" t="e">
        <f t="shared" si="74"/>
        <v>#NUM!</v>
      </c>
      <c r="BI1583" t="e">
        <f>VLOOKUP(H1583,Sheet2!$A$1:$B$270,2,FALSE)</f>
        <v>#N/A</v>
      </c>
    </row>
    <row r="1584" spans="15:61" hidden="1">
      <c r="O1584" s="57"/>
      <c r="P1584" s="57"/>
      <c r="AO1584" s="57"/>
      <c r="AP1584" s="57"/>
      <c r="BA1584" s="57"/>
      <c r="BF1584" s="6" t="e">
        <f t="shared" si="72"/>
        <v>#NUM!</v>
      </c>
      <c r="BG1584" t="e">
        <f t="shared" si="73"/>
        <v>#NUM!</v>
      </c>
      <c r="BH1584" t="e">
        <f t="shared" si="74"/>
        <v>#NUM!</v>
      </c>
      <c r="BI1584" t="e">
        <f>VLOOKUP(H1584,Sheet2!$A$1:$B$270,2,FALSE)</f>
        <v>#N/A</v>
      </c>
    </row>
    <row r="1585" spans="15:61" hidden="1">
      <c r="O1585" s="57"/>
      <c r="P1585" s="57"/>
      <c r="BF1585" s="6" t="e">
        <f t="shared" si="72"/>
        <v>#NUM!</v>
      </c>
      <c r="BG1585" t="e">
        <f t="shared" si="73"/>
        <v>#NUM!</v>
      </c>
      <c r="BH1585" t="e">
        <f t="shared" si="74"/>
        <v>#NUM!</v>
      </c>
      <c r="BI1585" t="e">
        <f>VLOOKUP(H1585,Sheet2!$A$1:$B$270,2,FALSE)</f>
        <v>#N/A</v>
      </c>
    </row>
    <row r="1586" spans="15:61" hidden="1">
      <c r="O1586" s="57"/>
      <c r="P1586" s="57"/>
      <c r="AO1586" s="57"/>
      <c r="AP1586" s="57"/>
      <c r="BA1586" s="57"/>
      <c r="BF1586" s="6" t="e">
        <f t="shared" si="72"/>
        <v>#NUM!</v>
      </c>
      <c r="BG1586" t="e">
        <f t="shared" si="73"/>
        <v>#NUM!</v>
      </c>
      <c r="BH1586" t="e">
        <f t="shared" si="74"/>
        <v>#NUM!</v>
      </c>
      <c r="BI1586" t="e">
        <f>VLOOKUP(H1586,Sheet2!$A$1:$B$270,2,FALSE)</f>
        <v>#N/A</v>
      </c>
    </row>
    <row r="1587" spans="15:61" hidden="1">
      <c r="O1587" s="57"/>
      <c r="P1587" s="57"/>
      <c r="AP1587" s="57"/>
      <c r="BA1587" s="57"/>
      <c r="BF1587" s="6" t="e">
        <f t="shared" si="72"/>
        <v>#NUM!</v>
      </c>
      <c r="BG1587" t="e">
        <f t="shared" si="73"/>
        <v>#NUM!</v>
      </c>
      <c r="BH1587" t="e">
        <f t="shared" si="74"/>
        <v>#NUM!</v>
      </c>
      <c r="BI1587" t="e">
        <f>VLOOKUP(H1587,Sheet2!$A$1:$B$270,2,FALSE)</f>
        <v>#N/A</v>
      </c>
    </row>
    <row r="1588" spans="15:61" hidden="1">
      <c r="O1588" s="57"/>
      <c r="P1588" s="57"/>
      <c r="AP1588" s="57"/>
      <c r="BA1588" s="57"/>
      <c r="BF1588" s="6" t="e">
        <f t="shared" si="72"/>
        <v>#NUM!</v>
      </c>
      <c r="BG1588" t="e">
        <f t="shared" si="73"/>
        <v>#NUM!</v>
      </c>
      <c r="BH1588" t="e">
        <f t="shared" si="74"/>
        <v>#NUM!</v>
      </c>
      <c r="BI1588" t="e">
        <f>VLOOKUP(H1588,Sheet2!$A$1:$B$270,2,FALSE)</f>
        <v>#N/A</v>
      </c>
    </row>
    <row r="1589" spans="15:61" hidden="1">
      <c r="O1589" s="57"/>
      <c r="P1589" s="57"/>
      <c r="AP1589" s="57"/>
      <c r="BA1589" s="57"/>
      <c r="BF1589" s="6" t="e">
        <f t="shared" si="72"/>
        <v>#NUM!</v>
      </c>
      <c r="BG1589" t="e">
        <f t="shared" si="73"/>
        <v>#NUM!</v>
      </c>
      <c r="BH1589" t="e">
        <f t="shared" si="74"/>
        <v>#NUM!</v>
      </c>
      <c r="BI1589" t="e">
        <f>VLOOKUP(H1589,Sheet2!$A$1:$B$270,2,FALSE)</f>
        <v>#N/A</v>
      </c>
    </row>
    <row r="1590" spans="15:61" hidden="1">
      <c r="O1590" s="57"/>
      <c r="P1590" s="57"/>
      <c r="AP1590" s="57"/>
      <c r="BA1590" s="57"/>
      <c r="BF1590" s="6" t="e">
        <f t="shared" si="72"/>
        <v>#NUM!</v>
      </c>
      <c r="BG1590" t="e">
        <f t="shared" si="73"/>
        <v>#NUM!</v>
      </c>
      <c r="BH1590" t="e">
        <f t="shared" si="74"/>
        <v>#NUM!</v>
      </c>
      <c r="BI1590" t="e">
        <f>VLOOKUP(H1590,Sheet2!$A$1:$B$270,2,FALSE)</f>
        <v>#N/A</v>
      </c>
    </row>
    <row r="1591" spans="15:61" hidden="1">
      <c r="O1591" s="57"/>
      <c r="P1591" s="57"/>
      <c r="AP1591" s="57"/>
      <c r="BA1591" s="57"/>
      <c r="BF1591" s="6" t="e">
        <f t="shared" si="72"/>
        <v>#NUM!</v>
      </c>
      <c r="BG1591" t="e">
        <f t="shared" si="73"/>
        <v>#NUM!</v>
      </c>
      <c r="BH1591" t="e">
        <f t="shared" si="74"/>
        <v>#NUM!</v>
      </c>
      <c r="BI1591" t="e">
        <f>VLOOKUP(H1591,Sheet2!$A$1:$B$270,2,FALSE)</f>
        <v>#N/A</v>
      </c>
    </row>
    <row r="1592" spans="15:61" hidden="1">
      <c r="O1592" s="57"/>
      <c r="P1592" s="57"/>
      <c r="AP1592" s="57"/>
      <c r="BA1592" s="57"/>
      <c r="BF1592" s="6" t="e">
        <f t="shared" si="72"/>
        <v>#NUM!</v>
      </c>
      <c r="BG1592" t="e">
        <f t="shared" si="73"/>
        <v>#NUM!</v>
      </c>
      <c r="BH1592" t="e">
        <f t="shared" si="74"/>
        <v>#NUM!</v>
      </c>
      <c r="BI1592" t="e">
        <f>VLOOKUP(H1592,Sheet2!$A$1:$B$270,2,FALSE)</f>
        <v>#N/A</v>
      </c>
    </row>
    <row r="1593" spans="15:61" hidden="1">
      <c r="O1593" s="57"/>
      <c r="P1593" s="57"/>
      <c r="AO1593" s="57"/>
      <c r="AP1593" s="57"/>
      <c r="BA1593" s="57"/>
      <c r="BF1593" s="6" t="e">
        <f t="shared" si="72"/>
        <v>#NUM!</v>
      </c>
      <c r="BG1593" t="e">
        <f t="shared" si="73"/>
        <v>#NUM!</v>
      </c>
      <c r="BH1593" t="e">
        <f t="shared" si="74"/>
        <v>#NUM!</v>
      </c>
      <c r="BI1593" t="e">
        <f>VLOOKUP(H1593,Sheet2!$A$1:$B$270,2,FALSE)</f>
        <v>#N/A</v>
      </c>
    </row>
    <row r="1594" spans="15:61" hidden="1">
      <c r="O1594" s="57"/>
      <c r="P1594" s="57"/>
      <c r="BA1594" s="57"/>
      <c r="BF1594" s="6" t="e">
        <f t="shared" si="72"/>
        <v>#NUM!</v>
      </c>
      <c r="BG1594" t="e">
        <f t="shared" si="73"/>
        <v>#NUM!</v>
      </c>
      <c r="BH1594" t="e">
        <f t="shared" si="74"/>
        <v>#NUM!</v>
      </c>
      <c r="BI1594" t="e">
        <f>VLOOKUP(H1594,Sheet2!$A$1:$B$270,2,FALSE)</f>
        <v>#N/A</v>
      </c>
    </row>
    <row r="1595" spans="15:61" hidden="1">
      <c r="O1595" s="57"/>
      <c r="P1595" s="57"/>
      <c r="AO1595" s="57"/>
      <c r="AP1595" s="57"/>
      <c r="BA1595" s="57"/>
      <c r="BF1595" s="6" t="e">
        <f t="shared" si="72"/>
        <v>#NUM!</v>
      </c>
      <c r="BG1595" t="e">
        <f t="shared" si="73"/>
        <v>#NUM!</v>
      </c>
      <c r="BH1595" t="e">
        <f t="shared" si="74"/>
        <v>#NUM!</v>
      </c>
      <c r="BI1595" t="e">
        <f>VLOOKUP(H1595,Sheet2!$A$1:$B$270,2,FALSE)</f>
        <v>#N/A</v>
      </c>
    </row>
    <row r="1596" spans="15:61" hidden="1">
      <c r="O1596" s="57"/>
      <c r="P1596" s="57"/>
      <c r="AO1596" s="57"/>
      <c r="BA1596" s="57"/>
      <c r="BF1596" s="6" t="e">
        <f t="shared" si="72"/>
        <v>#NUM!</v>
      </c>
      <c r="BG1596" t="e">
        <f t="shared" si="73"/>
        <v>#NUM!</v>
      </c>
      <c r="BH1596" t="e">
        <f t="shared" si="74"/>
        <v>#NUM!</v>
      </c>
      <c r="BI1596" t="e">
        <f>VLOOKUP(H1596,Sheet2!$A$1:$B$270,2,FALSE)</f>
        <v>#N/A</v>
      </c>
    </row>
    <row r="1597" spans="15:61" hidden="1">
      <c r="O1597" s="57"/>
      <c r="P1597" s="57"/>
      <c r="AO1597" s="57"/>
      <c r="AP1597" s="57"/>
      <c r="BA1597" s="57"/>
      <c r="BF1597" s="6" t="e">
        <f t="shared" si="72"/>
        <v>#NUM!</v>
      </c>
      <c r="BG1597" t="e">
        <f t="shared" si="73"/>
        <v>#NUM!</v>
      </c>
      <c r="BH1597" t="e">
        <f t="shared" si="74"/>
        <v>#NUM!</v>
      </c>
      <c r="BI1597" t="e">
        <f>VLOOKUP(H1597,Sheet2!$A$1:$B$270,2,FALSE)</f>
        <v>#N/A</v>
      </c>
    </row>
    <row r="1598" spans="15:61" hidden="1">
      <c r="O1598" s="57"/>
      <c r="P1598" s="57"/>
      <c r="AO1598" s="57"/>
      <c r="AP1598" s="57"/>
      <c r="BA1598" s="57"/>
      <c r="BF1598" s="6" t="e">
        <f t="shared" si="72"/>
        <v>#NUM!</v>
      </c>
      <c r="BG1598" t="e">
        <f t="shared" si="73"/>
        <v>#NUM!</v>
      </c>
      <c r="BH1598" t="e">
        <f t="shared" si="74"/>
        <v>#NUM!</v>
      </c>
      <c r="BI1598" t="e">
        <f>VLOOKUP(H1598,Sheet2!$A$1:$B$270,2,FALSE)</f>
        <v>#N/A</v>
      </c>
    </row>
    <row r="1599" spans="15:61" hidden="1">
      <c r="O1599" s="57"/>
      <c r="P1599" s="57"/>
      <c r="AO1599" s="57"/>
      <c r="AP1599" s="57"/>
      <c r="BA1599" s="57"/>
      <c r="BF1599" s="6" t="e">
        <f t="shared" si="72"/>
        <v>#NUM!</v>
      </c>
      <c r="BG1599" t="e">
        <f t="shared" si="73"/>
        <v>#NUM!</v>
      </c>
      <c r="BH1599" t="e">
        <f t="shared" si="74"/>
        <v>#NUM!</v>
      </c>
      <c r="BI1599" t="e">
        <f>VLOOKUP(H1599,Sheet2!$A$1:$B$270,2,FALSE)</f>
        <v>#N/A</v>
      </c>
    </row>
    <row r="1600" spans="15:61" hidden="1">
      <c r="O1600" s="57"/>
      <c r="P1600" s="57"/>
      <c r="AO1600" s="57"/>
      <c r="AP1600" s="57"/>
      <c r="BA1600" s="57"/>
      <c r="BF1600" s="6" t="e">
        <f t="shared" si="72"/>
        <v>#NUM!</v>
      </c>
      <c r="BG1600" t="e">
        <f t="shared" si="73"/>
        <v>#NUM!</v>
      </c>
      <c r="BH1600" t="e">
        <f t="shared" si="74"/>
        <v>#NUM!</v>
      </c>
      <c r="BI1600" t="e">
        <f>VLOOKUP(H1600,Sheet2!$A$1:$B$270,2,FALSE)</f>
        <v>#N/A</v>
      </c>
    </row>
    <row r="1601" spans="15:61" hidden="1">
      <c r="O1601" s="57"/>
      <c r="P1601" s="57"/>
      <c r="AO1601" s="57"/>
      <c r="AP1601" s="57"/>
      <c r="BA1601" s="57"/>
      <c r="BF1601" s="6" t="e">
        <f t="shared" si="72"/>
        <v>#NUM!</v>
      </c>
      <c r="BG1601" t="e">
        <f t="shared" si="73"/>
        <v>#NUM!</v>
      </c>
      <c r="BH1601" t="e">
        <f t="shared" si="74"/>
        <v>#NUM!</v>
      </c>
      <c r="BI1601" t="e">
        <f>VLOOKUP(H1601,Sheet2!$A$1:$B$270,2,FALSE)</f>
        <v>#N/A</v>
      </c>
    </row>
    <row r="1602" spans="15:61" hidden="1">
      <c r="O1602" s="57"/>
      <c r="P1602" s="57"/>
      <c r="AO1602" s="57"/>
      <c r="AP1602" s="57"/>
      <c r="BA1602" s="57"/>
      <c r="BF1602" s="6" t="e">
        <f t="shared" ref="BF1602:BF1665" si="75">DATE(BC1602,BD1602,BE1602)</f>
        <v>#NUM!</v>
      </c>
      <c r="BG1602" t="e">
        <f t="shared" ref="BG1602:BG1665" si="76">BF1602-BA1602</f>
        <v>#NUM!</v>
      </c>
      <c r="BH1602" t="e">
        <f t="shared" ref="BH1602:BH1665" si="77">IF(BG1602=1,"COMPLY",IF(BG1602&lt;1,"COMPLY","NOT COMPLY"))</f>
        <v>#NUM!</v>
      </c>
      <c r="BI1602" t="e">
        <f>VLOOKUP(H1602,Sheet2!$A$1:$B$270,2,FALSE)</f>
        <v>#N/A</v>
      </c>
    </row>
    <row r="1603" spans="15:61" hidden="1">
      <c r="O1603" s="57"/>
      <c r="P1603" s="57"/>
      <c r="AP1603" s="57"/>
      <c r="BA1603" s="57"/>
      <c r="BF1603" s="6" t="e">
        <f t="shared" si="75"/>
        <v>#NUM!</v>
      </c>
      <c r="BG1603" t="e">
        <f t="shared" si="76"/>
        <v>#NUM!</v>
      </c>
      <c r="BH1603" t="e">
        <f t="shared" si="77"/>
        <v>#NUM!</v>
      </c>
      <c r="BI1603" t="e">
        <f>VLOOKUP(H1603,Sheet2!$A$1:$B$270,2,FALSE)</f>
        <v>#N/A</v>
      </c>
    </row>
    <row r="1604" spans="15:61" hidden="1">
      <c r="O1604" s="57"/>
      <c r="P1604" s="57"/>
      <c r="AP1604" s="57"/>
      <c r="BA1604" s="57"/>
      <c r="BF1604" s="6" t="e">
        <f t="shared" si="75"/>
        <v>#NUM!</v>
      </c>
      <c r="BG1604" t="e">
        <f t="shared" si="76"/>
        <v>#NUM!</v>
      </c>
      <c r="BH1604" t="e">
        <f t="shared" si="77"/>
        <v>#NUM!</v>
      </c>
      <c r="BI1604" t="e">
        <f>VLOOKUP(H1604,Sheet2!$A$1:$B$270,2,FALSE)</f>
        <v>#N/A</v>
      </c>
    </row>
    <row r="1605" spans="15:61" hidden="1">
      <c r="O1605" s="57"/>
      <c r="P1605" s="57"/>
      <c r="AP1605" s="57"/>
      <c r="BA1605" s="57"/>
      <c r="BF1605" s="6" t="e">
        <f t="shared" si="75"/>
        <v>#NUM!</v>
      </c>
      <c r="BG1605" t="e">
        <f t="shared" si="76"/>
        <v>#NUM!</v>
      </c>
      <c r="BH1605" t="e">
        <f t="shared" si="77"/>
        <v>#NUM!</v>
      </c>
      <c r="BI1605" t="e">
        <f>VLOOKUP(H1605,Sheet2!$A$1:$B$270,2,FALSE)</f>
        <v>#N/A</v>
      </c>
    </row>
    <row r="1606" spans="15:61" hidden="1">
      <c r="O1606" s="57"/>
      <c r="P1606" s="57"/>
      <c r="AP1606" s="57"/>
      <c r="BA1606" s="57"/>
      <c r="BF1606" s="6" t="e">
        <f t="shared" si="75"/>
        <v>#NUM!</v>
      </c>
      <c r="BG1606" t="e">
        <f t="shared" si="76"/>
        <v>#NUM!</v>
      </c>
      <c r="BH1606" t="e">
        <f t="shared" si="77"/>
        <v>#NUM!</v>
      </c>
      <c r="BI1606" t="e">
        <f>VLOOKUP(H1606,Sheet2!$A$1:$B$270,2,FALSE)</f>
        <v>#N/A</v>
      </c>
    </row>
    <row r="1607" spans="15:61" hidden="1">
      <c r="O1607" s="57"/>
      <c r="P1607" s="57"/>
      <c r="AP1607" s="57"/>
      <c r="BA1607" s="57"/>
      <c r="BF1607" s="6" t="e">
        <f t="shared" si="75"/>
        <v>#NUM!</v>
      </c>
      <c r="BG1607" t="e">
        <f t="shared" si="76"/>
        <v>#NUM!</v>
      </c>
      <c r="BH1607" t="e">
        <f t="shared" si="77"/>
        <v>#NUM!</v>
      </c>
      <c r="BI1607" t="e">
        <f>VLOOKUP(H1607,Sheet2!$A$1:$B$270,2,FALSE)</f>
        <v>#N/A</v>
      </c>
    </row>
    <row r="1608" spans="15:61" hidden="1">
      <c r="O1608" s="57"/>
      <c r="P1608" s="57"/>
      <c r="BA1608" s="57"/>
      <c r="BF1608" s="6" t="e">
        <f t="shared" si="75"/>
        <v>#NUM!</v>
      </c>
      <c r="BG1608" t="e">
        <f t="shared" si="76"/>
        <v>#NUM!</v>
      </c>
      <c r="BH1608" t="e">
        <f t="shared" si="77"/>
        <v>#NUM!</v>
      </c>
      <c r="BI1608" t="e">
        <f>VLOOKUP(H1608,Sheet2!$A$1:$B$270,2,FALSE)</f>
        <v>#N/A</v>
      </c>
    </row>
    <row r="1609" spans="15:61" hidden="1">
      <c r="O1609" s="57"/>
      <c r="P1609" s="57"/>
      <c r="AP1609" s="57"/>
      <c r="BA1609" s="57"/>
      <c r="BF1609" s="6" t="e">
        <f t="shared" si="75"/>
        <v>#NUM!</v>
      </c>
      <c r="BG1609" t="e">
        <f t="shared" si="76"/>
        <v>#NUM!</v>
      </c>
      <c r="BH1609" t="e">
        <f t="shared" si="77"/>
        <v>#NUM!</v>
      </c>
      <c r="BI1609" t="e">
        <f>VLOOKUP(H1609,Sheet2!$A$1:$B$270,2,FALSE)</f>
        <v>#N/A</v>
      </c>
    </row>
    <row r="1610" spans="15:61" hidden="1">
      <c r="O1610" s="57"/>
      <c r="P1610" s="57"/>
      <c r="BA1610" s="57"/>
      <c r="BF1610" s="6" t="e">
        <f t="shared" si="75"/>
        <v>#NUM!</v>
      </c>
      <c r="BG1610" t="e">
        <f t="shared" si="76"/>
        <v>#NUM!</v>
      </c>
      <c r="BH1610" t="e">
        <f t="shared" si="77"/>
        <v>#NUM!</v>
      </c>
      <c r="BI1610" t="e">
        <f>VLOOKUP(H1610,Sheet2!$A$1:$B$270,2,FALSE)</f>
        <v>#N/A</v>
      </c>
    </row>
    <row r="1611" spans="15:61" hidden="1">
      <c r="O1611" s="57"/>
      <c r="P1611" s="57"/>
      <c r="BA1611" s="57"/>
      <c r="BF1611" s="6" t="e">
        <f t="shared" si="75"/>
        <v>#NUM!</v>
      </c>
      <c r="BG1611" t="e">
        <f t="shared" si="76"/>
        <v>#NUM!</v>
      </c>
      <c r="BH1611" t="e">
        <f t="shared" si="77"/>
        <v>#NUM!</v>
      </c>
      <c r="BI1611" t="e">
        <f>VLOOKUP(H1611,Sheet2!$A$1:$B$270,2,FALSE)</f>
        <v>#N/A</v>
      </c>
    </row>
    <row r="1612" spans="15:61" hidden="1">
      <c r="O1612" s="57"/>
      <c r="P1612" s="57"/>
      <c r="BA1612" s="57"/>
      <c r="BF1612" s="6" t="e">
        <f t="shared" si="75"/>
        <v>#NUM!</v>
      </c>
      <c r="BG1612" t="e">
        <f t="shared" si="76"/>
        <v>#NUM!</v>
      </c>
      <c r="BH1612" t="e">
        <f t="shared" si="77"/>
        <v>#NUM!</v>
      </c>
      <c r="BI1612" t="e">
        <f>VLOOKUP(H1612,Sheet2!$A$1:$B$270,2,FALSE)</f>
        <v>#N/A</v>
      </c>
    </row>
    <row r="1613" spans="15:61" hidden="1">
      <c r="O1613" s="57"/>
      <c r="P1613" s="57"/>
      <c r="AP1613" s="57"/>
      <c r="BA1613" s="57"/>
      <c r="BF1613" s="6" t="e">
        <f t="shared" si="75"/>
        <v>#NUM!</v>
      </c>
      <c r="BG1613" t="e">
        <f t="shared" si="76"/>
        <v>#NUM!</v>
      </c>
      <c r="BH1613" t="e">
        <f t="shared" si="77"/>
        <v>#NUM!</v>
      </c>
      <c r="BI1613" t="e">
        <f>VLOOKUP(H1613,Sheet2!$A$1:$B$270,2,FALSE)</f>
        <v>#N/A</v>
      </c>
    </row>
    <row r="1614" spans="15:61" hidden="1">
      <c r="O1614" s="57"/>
      <c r="P1614" s="57"/>
      <c r="BA1614" s="57"/>
      <c r="BF1614" s="6" t="e">
        <f t="shared" si="75"/>
        <v>#NUM!</v>
      </c>
      <c r="BG1614" t="e">
        <f t="shared" si="76"/>
        <v>#NUM!</v>
      </c>
      <c r="BH1614" t="e">
        <f t="shared" si="77"/>
        <v>#NUM!</v>
      </c>
      <c r="BI1614" t="e">
        <f>VLOOKUP(H1614,Sheet2!$A$1:$B$270,2,FALSE)</f>
        <v>#N/A</v>
      </c>
    </row>
    <row r="1615" spans="15:61" hidden="1">
      <c r="O1615" s="57"/>
      <c r="P1615" s="57"/>
      <c r="AP1615" s="57"/>
      <c r="BA1615" s="57"/>
      <c r="BF1615" s="6" t="e">
        <f t="shared" si="75"/>
        <v>#NUM!</v>
      </c>
      <c r="BG1615" t="e">
        <f t="shared" si="76"/>
        <v>#NUM!</v>
      </c>
      <c r="BH1615" t="e">
        <f t="shared" si="77"/>
        <v>#NUM!</v>
      </c>
      <c r="BI1615" t="e">
        <f>VLOOKUP(H1615,Sheet2!$A$1:$B$270,2,FALSE)</f>
        <v>#N/A</v>
      </c>
    </row>
    <row r="1616" spans="15:61" hidden="1">
      <c r="O1616" s="57"/>
      <c r="P1616" s="57"/>
      <c r="AO1616" s="57"/>
      <c r="BF1616" s="6" t="e">
        <f t="shared" si="75"/>
        <v>#NUM!</v>
      </c>
      <c r="BG1616" t="e">
        <f t="shared" si="76"/>
        <v>#NUM!</v>
      </c>
      <c r="BH1616" t="e">
        <f t="shared" si="77"/>
        <v>#NUM!</v>
      </c>
      <c r="BI1616" t="e">
        <f>VLOOKUP(H1616,Sheet2!$A$1:$B$270,2,FALSE)</f>
        <v>#N/A</v>
      </c>
    </row>
    <row r="1617" spans="15:61" hidden="1">
      <c r="O1617" s="57"/>
      <c r="P1617" s="57"/>
      <c r="AO1617" s="57"/>
      <c r="AP1617" s="57"/>
      <c r="BA1617" s="57"/>
      <c r="BF1617" s="6" t="e">
        <f t="shared" si="75"/>
        <v>#NUM!</v>
      </c>
      <c r="BG1617" t="e">
        <f t="shared" si="76"/>
        <v>#NUM!</v>
      </c>
      <c r="BH1617" t="e">
        <f t="shared" si="77"/>
        <v>#NUM!</v>
      </c>
      <c r="BI1617" t="e">
        <f>VLOOKUP(H1617,Sheet2!$A$1:$B$270,2,FALSE)</f>
        <v>#N/A</v>
      </c>
    </row>
    <row r="1618" spans="15:61" hidden="1">
      <c r="O1618" s="57"/>
      <c r="P1618" s="57"/>
      <c r="AO1618" s="57"/>
      <c r="AP1618" s="57"/>
      <c r="BA1618" s="57"/>
      <c r="BF1618" s="6" t="e">
        <f t="shared" si="75"/>
        <v>#NUM!</v>
      </c>
      <c r="BG1618" t="e">
        <f t="shared" si="76"/>
        <v>#NUM!</v>
      </c>
      <c r="BH1618" t="e">
        <f t="shared" si="77"/>
        <v>#NUM!</v>
      </c>
      <c r="BI1618" t="e">
        <f>VLOOKUP(H1618,Sheet2!$A$1:$B$270,2,FALSE)</f>
        <v>#N/A</v>
      </c>
    </row>
    <row r="1619" spans="15:61" hidden="1">
      <c r="O1619" s="57"/>
      <c r="P1619" s="57"/>
      <c r="AP1619" s="57"/>
      <c r="BA1619" s="57"/>
      <c r="BF1619" s="6" t="e">
        <f t="shared" si="75"/>
        <v>#NUM!</v>
      </c>
      <c r="BG1619" t="e">
        <f t="shared" si="76"/>
        <v>#NUM!</v>
      </c>
      <c r="BH1619" t="e">
        <f t="shared" si="77"/>
        <v>#NUM!</v>
      </c>
      <c r="BI1619" t="e">
        <f>VLOOKUP(H1619,Sheet2!$A$1:$B$270,2,FALSE)</f>
        <v>#N/A</v>
      </c>
    </row>
    <row r="1620" spans="15:61" hidden="1">
      <c r="O1620" s="57"/>
      <c r="P1620" s="57"/>
      <c r="AP1620" s="57"/>
      <c r="BA1620" s="57"/>
      <c r="BF1620" s="6" t="e">
        <f t="shared" si="75"/>
        <v>#NUM!</v>
      </c>
      <c r="BG1620" t="e">
        <f t="shared" si="76"/>
        <v>#NUM!</v>
      </c>
      <c r="BH1620" t="e">
        <f t="shared" si="77"/>
        <v>#NUM!</v>
      </c>
      <c r="BI1620" t="e">
        <f>VLOOKUP(H1620,Sheet2!$A$1:$B$270,2,FALSE)</f>
        <v>#N/A</v>
      </c>
    </row>
    <row r="1621" spans="15:61" hidden="1">
      <c r="O1621" s="57"/>
      <c r="P1621" s="57"/>
      <c r="AP1621" s="57"/>
      <c r="BA1621" s="57"/>
      <c r="BF1621" s="6" t="e">
        <f t="shared" si="75"/>
        <v>#NUM!</v>
      </c>
      <c r="BG1621" t="e">
        <f t="shared" si="76"/>
        <v>#NUM!</v>
      </c>
      <c r="BH1621" t="e">
        <f t="shared" si="77"/>
        <v>#NUM!</v>
      </c>
      <c r="BI1621" t="e">
        <f>VLOOKUP(H1621,Sheet2!$A$1:$B$270,2,FALSE)</f>
        <v>#N/A</v>
      </c>
    </row>
    <row r="1622" spans="15:61" hidden="1">
      <c r="O1622" s="57"/>
      <c r="P1622" s="57"/>
      <c r="AO1622" s="57"/>
      <c r="AP1622" s="57"/>
      <c r="BA1622" s="57"/>
      <c r="BF1622" s="6" t="e">
        <f t="shared" si="75"/>
        <v>#NUM!</v>
      </c>
      <c r="BG1622" t="e">
        <f t="shared" si="76"/>
        <v>#NUM!</v>
      </c>
      <c r="BH1622" t="e">
        <f t="shared" si="77"/>
        <v>#NUM!</v>
      </c>
      <c r="BI1622" t="e">
        <f>VLOOKUP(H1622,Sheet2!$A$1:$B$270,2,FALSE)</f>
        <v>#N/A</v>
      </c>
    </row>
    <row r="1623" spans="15:61" hidden="1">
      <c r="O1623" s="57"/>
      <c r="P1623" s="57"/>
      <c r="AP1623" s="57"/>
      <c r="BA1623" s="57"/>
      <c r="BF1623" s="6" t="e">
        <f t="shared" si="75"/>
        <v>#NUM!</v>
      </c>
      <c r="BG1623" t="e">
        <f t="shared" si="76"/>
        <v>#NUM!</v>
      </c>
      <c r="BH1623" t="e">
        <f t="shared" si="77"/>
        <v>#NUM!</v>
      </c>
      <c r="BI1623" t="e">
        <f>VLOOKUP(H1623,Sheet2!$A$1:$B$270,2,FALSE)</f>
        <v>#N/A</v>
      </c>
    </row>
    <row r="1624" spans="15:61" hidden="1">
      <c r="O1624" s="57"/>
      <c r="P1624" s="57"/>
      <c r="AP1624" s="57"/>
      <c r="BA1624" s="57"/>
      <c r="BF1624" s="6" t="e">
        <f t="shared" si="75"/>
        <v>#NUM!</v>
      </c>
      <c r="BG1624" t="e">
        <f t="shared" si="76"/>
        <v>#NUM!</v>
      </c>
      <c r="BH1624" t="e">
        <f t="shared" si="77"/>
        <v>#NUM!</v>
      </c>
      <c r="BI1624" t="e">
        <f>VLOOKUP(H1624,Sheet2!$A$1:$B$270,2,FALSE)</f>
        <v>#N/A</v>
      </c>
    </row>
    <row r="1625" spans="15:61" hidden="1">
      <c r="O1625" s="57"/>
      <c r="P1625" s="57"/>
      <c r="AO1625" s="57"/>
      <c r="AP1625" s="57"/>
      <c r="BA1625" s="57"/>
      <c r="BF1625" s="6" t="e">
        <f t="shared" si="75"/>
        <v>#NUM!</v>
      </c>
      <c r="BG1625" t="e">
        <f t="shared" si="76"/>
        <v>#NUM!</v>
      </c>
      <c r="BH1625" t="e">
        <f t="shared" si="77"/>
        <v>#NUM!</v>
      </c>
      <c r="BI1625" t="e">
        <f>VLOOKUP(H1625,Sheet2!$A$1:$B$270,2,FALSE)</f>
        <v>#N/A</v>
      </c>
    </row>
    <row r="1626" spans="15:61" hidden="1">
      <c r="O1626" s="57"/>
      <c r="P1626" s="57"/>
      <c r="AO1626" s="57"/>
      <c r="BA1626" s="57"/>
      <c r="BF1626" s="6" t="e">
        <f t="shared" si="75"/>
        <v>#NUM!</v>
      </c>
      <c r="BG1626" t="e">
        <f t="shared" si="76"/>
        <v>#NUM!</v>
      </c>
      <c r="BH1626" t="e">
        <f t="shared" si="77"/>
        <v>#NUM!</v>
      </c>
      <c r="BI1626" t="e">
        <f>VLOOKUP(H1626,Sheet2!$A$1:$B$270,2,FALSE)</f>
        <v>#N/A</v>
      </c>
    </row>
    <row r="1627" spans="15:61" hidden="1">
      <c r="O1627" s="57"/>
      <c r="P1627" s="57"/>
      <c r="AO1627" s="57"/>
      <c r="BA1627" s="57"/>
      <c r="BF1627" s="6" t="e">
        <f t="shared" si="75"/>
        <v>#NUM!</v>
      </c>
      <c r="BG1627" t="e">
        <f t="shared" si="76"/>
        <v>#NUM!</v>
      </c>
      <c r="BH1627" t="e">
        <f t="shared" si="77"/>
        <v>#NUM!</v>
      </c>
      <c r="BI1627" t="e">
        <f>VLOOKUP(H1627,Sheet2!$A$1:$B$270,2,FALSE)</f>
        <v>#N/A</v>
      </c>
    </row>
    <row r="1628" spans="15:61" hidden="1">
      <c r="O1628" s="57"/>
      <c r="P1628" s="57"/>
      <c r="AO1628" s="57"/>
      <c r="AP1628" s="57"/>
      <c r="BA1628" s="57"/>
      <c r="BF1628" s="6" t="e">
        <f t="shared" si="75"/>
        <v>#NUM!</v>
      </c>
      <c r="BG1628" t="e">
        <f t="shared" si="76"/>
        <v>#NUM!</v>
      </c>
      <c r="BH1628" t="e">
        <f t="shared" si="77"/>
        <v>#NUM!</v>
      </c>
      <c r="BI1628" t="e">
        <f>VLOOKUP(H1628,Sheet2!$A$1:$B$270,2,FALSE)</f>
        <v>#N/A</v>
      </c>
    </row>
    <row r="1629" spans="15:61" hidden="1">
      <c r="O1629" s="57"/>
      <c r="P1629" s="57"/>
      <c r="AO1629" s="57"/>
      <c r="AP1629" s="57"/>
      <c r="BA1629" s="57"/>
      <c r="BF1629" s="6" t="e">
        <f t="shared" si="75"/>
        <v>#NUM!</v>
      </c>
      <c r="BG1629" t="e">
        <f t="shared" si="76"/>
        <v>#NUM!</v>
      </c>
      <c r="BH1629" t="e">
        <f t="shared" si="77"/>
        <v>#NUM!</v>
      </c>
      <c r="BI1629" t="e">
        <f>VLOOKUP(H1629,Sheet2!$A$1:$B$270,2,FALSE)</f>
        <v>#N/A</v>
      </c>
    </row>
    <row r="1630" spans="15:61" hidden="1">
      <c r="O1630" s="57"/>
      <c r="P1630" s="57"/>
      <c r="AO1630" s="57"/>
      <c r="AP1630" s="57"/>
      <c r="BA1630" s="57"/>
      <c r="BF1630" s="6" t="e">
        <f t="shared" si="75"/>
        <v>#NUM!</v>
      </c>
      <c r="BG1630" t="e">
        <f t="shared" si="76"/>
        <v>#NUM!</v>
      </c>
      <c r="BH1630" t="e">
        <f t="shared" si="77"/>
        <v>#NUM!</v>
      </c>
      <c r="BI1630" t="e">
        <f>VLOOKUP(H1630,Sheet2!$A$1:$B$270,2,FALSE)</f>
        <v>#N/A</v>
      </c>
    </row>
    <row r="1631" spans="15:61" hidden="1">
      <c r="O1631" s="57"/>
      <c r="P1631" s="57"/>
      <c r="AO1631" s="57"/>
      <c r="BA1631" s="57"/>
      <c r="BF1631" s="6" t="e">
        <f t="shared" si="75"/>
        <v>#NUM!</v>
      </c>
      <c r="BG1631" t="e">
        <f t="shared" si="76"/>
        <v>#NUM!</v>
      </c>
      <c r="BH1631" t="e">
        <f t="shared" si="77"/>
        <v>#NUM!</v>
      </c>
      <c r="BI1631" t="e">
        <f>VLOOKUP(H1631,Sheet2!$A$1:$B$270,2,FALSE)</f>
        <v>#N/A</v>
      </c>
    </row>
    <row r="1632" spans="15:61" hidden="1">
      <c r="O1632" s="57"/>
      <c r="P1632" s="57"/>
      <c r="AP1632" s="57"/>
      <c r="BA1632" s="57"/>
      <c r="BF1632" s="6" t="e">
        <f t="shared" si="75"/>
        <v>#NUM!</v>
      </c>
      <c r="BG1632" t="e">
        <f t="shared" si="76"/>
        <v>#NUM!</v>
      </c>
      <c r="BH1632" t="e">
        <f t="shared" si="77"/>
        <v>#NUM!</v>
      </c>
      <c r="BI1632" t="e">
        <f>VLOOKUP(H1632,Sheet2!$A$1:$B$270,2,FALSE)</f>
        <v>#N/A</v>
      </c>
    </row>
    <row r="1633" spans="15:61" hidden="1">
      <c r="O1633" s="57"/>
      <c r="P1633" s="57"/>
      <c r="AP1633" s="57"/>
      <c r="BA1633" s="57"/>
      <c r="BF1633" s="6" t="e">
        <f t="shared" si="75"/>
        <v>#NUM!</v>
      </c>
      <c r="BG1633" t="e">
        <f t="shared" si="76"/>
        <v>#NUM!</v>
      </c>
      <c r="BH1633" t="e">
        <f t="shared" si="77"/>
        <v>#NUM!</v>
      </c>
      <c r="BI1633" t="e">
        <f>VLOOKUP(H1633,Sheet2!$A$1:$B$270,2,FALSE)</f>
        <v>#N/A</v>
      </c>
    </row>
    <row r="1634" spans="15:61" hidden="1">
      <c r="O1634" s="57"/>
      <c r="P1634" s="57"/>
      <c r="AP1634" s="57"/>
      <c r="BA1634" s="57"/>
      <c r="BF1634" s="6" t="e">
        <f t="shared" si="75"/>
        <v>#NUM!</v>
      </c>
      <c r="BG1634" t="e">
        <f t="shared" si="76"/>
        <v>#NUM!</v>
      </c>
      <c r="BH1634" t="e">
        <f t="shared" si="77"/>
        <v>#NUM!</v>
      </c>
      <c r="BI1634" t="e">
        <f>VLOOKUP(H1634,Sheet2!$A$1:$B$270,2,FALSE)</f>
        <v>#N/A</v>
      </c>
    </row>
    <row r="1635" spans="15:61" hidden="1">
      <c r="O1635" s="57"/>
      <c r="P1635" s="57"/>
      <c r="AP1635" s="57"/>
      <c r="BA1635" s="57"/>
      <c r="BF1635" s="6" t="e">
        <f t="shared" si="75"/>
        <v>#NUM!</v>
      </c>
      <c r="BG1635" t="e">
        <f t="shared" si="76"/>
        <v>#NUM!</v>
      </c>
      <c r="BH1635" t="e">
        <f t="shared" si="77"/>
        <v>#NUM!</v>
      </c>
      <c r="BI1635" t="e">
        <f>VLOOKUP(H1635,Sheet2!$A$1:$B$270,2,FALSE)</f>
        <v>#N/A</v>
      </c>
    </row>
    <row r="1636" spans="15:61" hidden="1">
      <c r="O1636" s="57"/>
      <c r="P1636" s="57"/>
      <c r="BA1636" s="57"/>
      <c r="BF1636" s="6" t="e">
        <f t="shared" si="75"/>
        <v>#NUM!</v>
      </c>
      <c r="BG1636" t="e">
        <f t="shared" si="76"/>
        <v>#NUM!</v>
      </c>
      <c r="BH1636" t="e">
        <f t="shared" si="77"/>
        <v>#NUM!</v>
      </c>
      <c r="BI1636" t="e">
        <f>VLOOKUP(H1636,Sheet2!$A$1:$B$270,2,FALSE)</f>
        <v>#N/A</v>
      </c>
    </row>
    <row r="1637" spans="15:61" hidden="1">
      <c r="O1637" s="57"/>
      <c r="P1637" s="57"/>
      <c r="AP1637" s="57"/>
      <c r="BA1637" s="57"/>
      <c r="BF1637" s="6" t="e">
        <f t="shared" si="75"/>
        <v>#NUM!</v>
      </c>
      <c r="BG1637" t="e">
        <f t="shared" si="76"/>
        <v>#NUM!</v>
      </c>
      <c r="BH1637" t="e">
        <f t="shared" si="77"/>
        <v>#NUM!</v>
      </c>
      <c r="BI1637" t="e">
        <f>VLOOKUP(H1637,Sheet2!$A$1:$B$270,2,FALSE)</f>
        <v>#N/A</v>
      </c>
    </row>
    <row r="1638" spans="15:61" hidden="1">
      <c r="O1638" s="57"/>
      <c r="P1638" s="57"/>
      <c r="AP1638" s="57"/>
      <c r="BA1638" s="57"/>
      <c r="BF1638" s="6" t="e">
        <f t="shared" si="75"/>
        <v>#NUM!</v>
      </c>
      <c r="BG1638" t="e">
        <f t="shared" si="76"/>
        <v>#NUM!</v>
      </c>
      <c r="BH1638" t="e">
        <f t="shared" si="77"/>
        <v>#NUM!</v>
      </c>
      <c r="BI1638" t="e">
        <f>VLOOKUP(H1638,Sheet2!$A$1:$B$270,2,FALSE)</f>
        <v>#N/A</v>
      </c>
    </row>
    <row r="1639" spans="15:61" hidden="1">
      <c r="O1639" s="57"/>
      <c r="P1639" s="57"/>
      <c r="BA1639" s="57"/>
      <c r="BF1639" s="6" t="e">
        <f t="shared" si="75"/>
        <v>#NUM!</v>
      </c>
      <c r="BG1639" t="e">
        <f t="shared" si="76"/>
        <v>#NUM!</v>
      </c>
      <c r="BH1639" t="e">
        <f t="shared" si="77"/>
        <v>#NUM!</v>
      </c>
      <c r="BI1639" t="e">
        <f>VLOOKUP(H1639,Sheet2!$A$1:$B$270,2,FALSE)</f>
        <v>#N/A</v>
      </c>
    </row>
    <row r="1640" spans="15:61" hidden="1">
      <c r="O1640" s="57"/>
      <c r="P1640" s="57"/>
      <c r="AP1640" s="57"/>
      <c r="BA1640" s="57"/>
      <c r="BF1640" s="6" t="e">
        <f t="shared" si="75"/>
        <v>#NUM!</v>
      </c>
      <c r="BG1640" t="e">
        <f t="shared" si="76"/>
        <v>#NUM!</v>
      </c>
      <c r="BH1640" t="e">
        <f t="shared" si="77"/>
        <v>#NUM!</v>
      </c>
      <c r="BI1640" t="e">
        <f>VLOOKUP(H1640,Sheet2!$A$1:$B$270,2,FALSE)</f>
        <v>#N/A</v>
      </c>
    </row>
    <row r="1641" spans="15:61" hidden="1">
      <c r="O1641" s="57"/>
      <c r="P1641" s="57"/>
      <c r="AP1641" s="57"/>
      <c r="BA1641" s="57"/>
      <c r="BF1641" s="6" t="e">
        <f t="shared" si="75"/>
        <v>#NUM!</v>
      </c>
      <c r="BG1641" t="e">
        <f t="shared" si="76"/>
        <v>#NUM!</v>
      </c>
      <c r="BH1641" t="e">
        <f t="shared" si="77"/>
        <v>#NUM!</v>
      </c>
      <c r="BI1641" t="e">
        <f>VLOOKUP(H1641,Sheet2!$A$1:$B$270,2,FALSE)</f>
        <v>#N/A</v>
      </c>
    </row>
    <row r="1642" spans="15:61" hidden="1">
      <c r="O1642" s="57"/>
      <c r="P1642" s="57"/>
      <c r="AP1642" s="57"/>
      <c r="BA1642" s="57"/>
      <c r="BF1642" s="6" t="e">
        <f t="shared" si="75"/>
        <v>#NUM!</v>
      </c>
      <c r="BG1642" t="e">
        <f t="shared" si="76"/>
        <v>#NUM!</v>
      </c>
      <c r="BH1642" t="e">
        <f t="shared" si="77"/>
        <v>#NUM!</v>
      </c>
      <c r="BI1642" t="e">
        <f>VLOOKUP(H1642,Sheet2!$A$1:$B$270,2,FALSE)</f>
        <v>#N/A</v>
      </c>
    </row>
    <row r="1643" spans="15:61" hidden="1">
      <c r="O1643" s="57"/>
      <c r="P1643" s="57"/>
      <c r="AP1643" s="57"/>
      <c r="BA1643" s="57"/>
      <c r="BF1643" s="6" t="e">
        <f t="shared" si="75"/>
        <v>#NUM!</v>
      </c>
      <c r="BG1643" t="e">
        <f t="shared" si="76"/>
        <v>#NUM!</v>
      </c>
      <c r="BH1643" t="e">
        <f t="shared" si="77"/>
        <v>#NUM!</v>
      </c>
      <c r="BI1643" t="e">
        <f>VLOOKUP(H1643,Sheet2!$A$1:$B$270,2,FALSE)</f>
        <v>#N/A</v>
      </c>
    </row>
    <row r="1644" spans="15:61" hidden="1">
      <c r="O1644" s="57"/>
      <c r="P1644" s="57"/>
      <c r="BA1644" s="57"/>
      <c r="BF1644" s="6" t="e">
        <f t="shared" si="75"/>
        <v>#NUM!</v>
      </c>
      <c r="BG1644" t="e">
        <f t="shared" si="76"/>
        <v>#NUM!</v>
      </c>
      <c r="BH1644" t="e">
        <f t="shared" si="77"/>
        <v>#NUM!</v>
      </c>
      <c r="BI1644" t="e">
        <f>VLOOKUP(H1644,Sheet2!$A$1:$B$270,2,FALSE)</f>
        <v>#N/A</v>
      </c>
    </row>
    <row r="1645" spans="15:61" hidden="1">
      <c r="O1645" s="57"/>
      <c r="P1645" s="57"/>
      <c r="AO1645" s="57"/>
      <c r="AP1645" s="57"/>
      <c r="BA1645" s="57"/>
      <c r="BF1645" s="6" t="e">
        <f t="shared" si="75"/>
        <v>#NUM!</v>
      </c>
      <c r="BG1645" t="e">
        <f t="shared" si="76"/>
        <v>#NUM!</v>
      </c>
      <c r="BH1645" t="e">
        <f t="shared" si="77"/>
        <v>#NUM!</v>
      </c>
      <c r="BI1645" t="e">
        <f>VLOOKUP(H1645,Sheet2!$A$1:$B$270,2,FALSE)</f>
        <v>#N/A</v>
      </c>
    </row>
    <row r="1646" spans="15:61" hidden="1">
      <c r="O1646" s="57"/>
      <c r="P1646" s="57"/>
      <c r="AO1646" s="57"/>
      <c r="BF1646" s="6" t="e">
        <f t="shared" si="75"/>
        <v>#NUM!</v>
      </c>
      <c r="BG1646" t="e">
        <f t="shared" si="76"/>
        <v>#NUM!</v>
      </c>
      <c r="BH1646" t="e">
        <f t="shared" si="77"/>
        <v>#NUM!</v>
      </c>
      <c r="BI1646" t="e">
        <f>VLOOKUP(H1646,Sheet2!$A$1:$B$270,2,FALSE)</f>
        <v>#N/A</v>
      </c>
    </row>
    <row r="1647" spans="15:61" hidden="1">
      <c r="O1647" s="57"/>
      <c r="P1647" s="57"/>
      <c r="AO1647" s="57"/>
      <c r="AP1647" s="57"/>
      <c r="BA1647" s="57"/>
      <c r="BF1647" s="6" t="e">
        <f t="shared" si="75"/>
        <v>#NUM!</v>
      </c>
      <c r="BG1647" t="e">
        <f t="shared" si="76"/>
        <v>#NUM!</v>
      </c>
      <c r="BH1647" t="e">
        <f t="shared" si="77"/>
        <v>#NUM!</v>
      </c>
      <c r="BI1647" t="e">
        <f>VLOOKUP(H1647,Sheet2!$A$1:$B$270,2,FALSE)</f>
        <v>#N/A</v>
      </c>
    </row>
    <row r="1648" spans="15:61" hidden="1">
      <c r="O1648" s="57"/>
      <c r="P1648" s="57"/>
      <c r="AP1648" s="57"/>
      <c r="BA1648" s="57"/>
      <c r="BF1648" s="6" t="e">
        <f t="shared" si="75"/>
        <v>#NUM!</v>
      </c>
      <c r="BG1648" t="e">
        <f t="shared" si="76"/>
        <v>#NUM!</v>
      </c>
      <c r="BH1648" t="e">
        <f t="shared" si="77"/>
        <v>#NUM!</v>
      </c>
      <c r="BI1648" t="e">
        <f>VLOOKUP(H1648,Sheet2!$A$1:$B$270,2,FALSE)</f>
        <v>#N/A</v>
      </c>
    </row>
    <row r="1649" spans="15:61" hidden="1">
      <c r="O1649" s="57"/>
      <c r="P1649" s="57"/>
      <c r="AP1649" s="57"/>
      <c r="BA1649" s="57"/>
      <c r="BF1649" s="6" t="e">
        <f t="shared" si="75"/>
        <v>#NUM!</v>
      </c>
      <c r="BG1649" t="e">
        <f t="shared" si="76"/>
        <v>#NUM!</v>
      </c>
      <c r="BH1649" t="e">
        <f t="shared" si="77"/>
        <v>#NUM!</v>
      </c>
      <c r="BI1649" t="e">
        <f>VLOOKUP(H1649,Sheet2!$A$1:$B$270,2,FALSE)</f>
        <v>#N/A</v>
      </c>
    </row>
    <row r="1650" spans="15:61" hidden="1">
      <c r="O1650" s="57"/>
      <c r="P1650" s="57"/>
      <c r="AP1650" s="57"/>
      <c r="BA1650" s="57"/>
      <c r="BF1650" s="6" t="e">
        <f t="shared" si="75"/>
        <v>#NUM!</v>
      </c>
      <c r="BG1650" t="e">
        <f t="shared" si="76"/>
        <v>#NUM!</v>
      </c>
      <c r="BH1650" t="e">
        <f t="shared" si="77"/>
        <v>#NUM!</v>
      </c>
      <c r="BI1650" t="e">
        <f>VLOOKUP(H1650,Sheet2!$A$1:$B$270,2,FALSE)</f>
        <v>#N/A</v>
      </c>
    </row>
    <row r="1651" spans="15:61" hidden="1">
      <c r="O1651" s="57"/>
      <c r="P1651" s="57"/>
      <c r="AP1651" s="57"/>
      <c r="BA1651" s="57"/>
      <c r="BF1651" s="6" t="e">
        <f t="shared" si="75"/>
        <v>#NUM!</v>
      </c>
      <c r="BG1651" t="e">
        <f t="shared" si="76"/>
        <v>#NUM!</v>
      </c>
      <c r="BH1651" t="e">
        <f t="shared" si="77"/>
        <v>#NUM!</v>
      </c>
      <c r="BI1651" t="e">
        <f>VLOOKUP(H1651,Sheet2!$A$1:$B$270,2,FALSE)</f>
        <v>#N/A</v>
      </c>
    </row>
    <row r="1652" spans="15:61" hidden="1">
      <c r="O1652" s="57"/>
      <c r="P1652" s="57"/>
      <c r="AP1652" s="57"/>
      <c r="BA1652" s="57"/>
      <c r="BF1652" s="6" t="e">
        <f t="shared" si="75"/>
        <v>#NUM!</v>
      </c>
      <c r="BG1652" t="e">
        <f t="shared" si="76"/>
        <v>#NUM!</v>
      </c>
      <c r="BH1652" t="e">
        <f t="shared" si="77"/>
        <v>#NUM!</v>
      </c>
      <c r="BI1652" t="e">
        <f>VLOOKUP(H1652,Sheet2!$A$1:$B$270,2,FALSE)</f>
        <v>#N/A</v>
      </c>
    </row>
    <row r="1653" spans="15:61" hidden="1">
      <c r="O1653" s="57"/>
      <c r="P1653" s="57"/>
      <c r="AP1653" s="57"/>
      <c r="BA1653" s="57"/>
      <c r="BF1653" s="6" t="e">
        <f t="shared" si="75"/>
        <v>#NUM!</v>
      </c>
      <c r="BG1653" t="e">
        <f t="shared" si="76"/>
        <v>#NUM!</v>
      </c>
      <c r="BH1653" t="e">
        <f t="shared" si="77"/>
        <v>#NUM!</v>
      </c>
      <c r="BI1653" t="e">
        <f>VLOOKUP(H1653,Sheet2!$A$1:$B$270,2,FALSE)</f>
        <v>#N/A</v>
      </c>
    </row>
    <row r="1654" spans="15:61" hidden="1">
      <c r="O1654" s="57"/>
      <c r="P1654" s="57"/>
      <c r="AP1654" s="57"/>
      <c r="BA1654" s="57"/>
      <c r="BF1654" s="6" t="e">
        <f t="shared" si="75"/>
        <v>#NUM!</v>
      </c>
      <c r="BG1654" t="e">
        <f t="shared" si="76"/>
        <v>#NUM!</v>
      </c>
      <c r="BH1654" t="e">
        <f t="shared" si="77"/>
        <v>#NUM!</v>
      </c>
      <c r="BI1654" t="e">
        <f>VLOOKUP(H1654,Sheet2!$A$1:$B$270,2,FALSE)</f>
        <v>#N/A</v>
      </c>
    </row>
    <row r="1655" spans="15:61" hidden="1">
      <c r="O1655" s="57"/>
      <c r="P1655" s="57"/>
      <c r="AO1655" s="57"/>
      <c r="AP1655" s="57"/>
      <c r="BA1655" s="57"/>
      <c r="BF1655" s="6" t="e">
        <f t="shared" si="75"/>
        <v>#NUM!</v>
      </c>
      <c r="BG1655" t="e">
        <f t="shared" si="76"/>
        <v>#NUM!</v>
      </c>
      <c r="BH1655" t="e">
        <f t="shared" si="77"/>
        <v>#NUM!</v>
      </c>
      <c r="BI1655" t="e">
        <f>VLOOKUP(H1655,Sheet2!$A$1:$B$270,2,FALSE)</f>
        <v>#N/A</v>
      </c>
    </row>
    <row r="1656" spans="15:61" hidden="1">
      <c r="O1656" s="57"/>
      <c r="P1656" s="57"/>
      <c r="AO1656" s="57"/>
      <c r="AP1656" s="57"/>
      <c r="BA1656" s="57"/>
      <c r="BF1656" s="6" t="e">
        <f t="shared" si="75"/>
        <v>#NUM!</v>
      </c>
      <c r="BG1656" t="e">
        <f t="shared" si="76"/>
        <v>#NUM!</v>
      </c>
      <c r="BH1656" t="e">
        <f t="shared" si="77"/>
        <v>#NUM!</v>
      </c>
      <c r="BI1656" t="e">
        <f>VLOOKUP(H1656,Sheet2!$A$1:$B$270,2,FALSE)</f>
        <v>#N/A</v>
      </c>
    </row>
    <row r="1657" spans="15:61" hidden="1">
      <c r="O1657" s="57"/>
      <c r="P1657" s="57"/>
      <c r="AO1657" s="57"/>
      <c r="AP1657" s="57"/>
      <c r="BA1657" s="57"/>
      <c r="BF1657" s="6" t="e">
        <f t="shared" si="75"/>
        <v>#NUM!</v>
      </c>
      <c r="BG1657" t="e">
        <f t="shared" si="76"/>
        <v>#NUM!</v>
      </c>
      <c r="BH1657" t="e">
        <f t="shared" si="77"/>
        <v>#NUM!</v>
      </c>
      <c r="BI1657" t="e">
        <f>VLOOKUP(H1657,Sheet2!$A$1:$B$270,2,FALSE)</f>
        <v>#N/A</v>
      </c>
    </row>
    <row r="1658" spans="15:61" hidden="1">
      <c r="O1658" s="57"/>
      <c r="P1658" s="57"/>
      <c r="AO1658" s="57"/>
      <c r="AP1658" s="57"/>
      <c r="BA1658" s="57"/>
      <c r="BF1658" s="6" t="e">
        <f t="shared" si="75"/>
        <v>#NUM!</v>
      </c>
      <c r="BG1658" t="e">
        <f t="shared" si="76"/>
        <v>#NUM!</v>
      </c>
      <c r="BH1658" t="e">
        <f t="shared" si="77"/>
        <v>#NUM!</v>
      </c>
      <c r="BI1658" t="e">
        <f>VLOOKUP(H1658,Sheet2!$A$1:$B$270,2,FALSE)</f>
        <v>#N/A</v>
      </c>
    </row>
    <row r="1659" spans="15:61" hidden="1">
      <c r="O1659" s="57"/>
      <c r="P1659" s="57"/>
      <c r="AO1659" s="57"/>
      <c r="AP1659" s="57"/>
      <c r="BA1659" s="57"/>
      <c r="BF1659" s="6" t="e">
        <f t="shared" si="75"/>
        <v>#NUM!</v>
      </c>
      <c r="BG1659" t="e">
        <f t="shared" si="76"/>
        <v>#NUM!</v>
      </c>
      <c r="BH1659" t="e">
        <f t="shared" si="77"/>
        <v>#NUM!</v>
      </c>
      <c r="BI1659" t="e">
        <f>VLOOKUP(H1659,Sheet2!$A$1:$B$270,2,FALSE)</f>
        <v>#N/A</v>
      </c>
    </row>
    <row r="1660" spans="15:61" hidden="1">
      <c r="O1660" s="57"/>
      <c r="P1660" s="57"/>
      <c r="BA1660" s="57"/>
      <c r="BF1660" s="6" t="e">
        <f t="shared" si="75"/>
        <v>#NUM!</v>
      </c>
      <c r="BG1660" t="e">
        <f t="shared" si="76"/>
        <v>#NUM!</v>
      </c>
      <c r="BH1660" t="e">
        <f t="shared" si="77"/>
        <v>#NUM!</v>
      </c>
      <c r="BI1660" t="e">
        <f>VLOOKUP(H1660,Sheet2!$A$1:$B$270,2,FALSE)</f>
        <v>#N/A</v>
      </c>
    </row>
    <row r="1661" spans="15:61" hidden="1">
      <c r="O1661" s="57"/>
      <c r="P1661" s="57"/>
      <c r="AP1661" s="57"/>
      <c r="BA1661" s="57"/>
      <c r="BF1661" s="6" t="e">
        <f t="shared" si="75"/>
        <v>#NUM!</v>
      </c>
      <c r="BG1661" t="e">
        <f t="shared" si="76"/>
        <v>#NUM!</v>
      </c>
      <c r="BH1661" t="e">
        <f t="shared" si="77"/>
        <v>#NUM!</v>
      </c>
      <c r="BI1661" t="e">
        <f>VLOOKUP(H1661,Sheet2!$A$1:$B$270,2,FALSE)</f>
        <v>#N/A</v>
      </c>
    </row>
    <row r="1662" spans="15:61" hidden="1">
      <c r="O1662" s="57"/>
      <c r="P1662" s="57"/>
      <c r="AO1662" s="57"/>
      <c r="BA1662" s="57"/>
      <c r="BF1662" s="6" t="e">
        <f t="shared" si="75"/>
        <v>#NUM!</v>
      </c>
      <c r="BG1662" t="e">
        <f t="shared" si="76"/>
        <v>#NUM!</v>
      </c>
      <c r="BH1662" t="e">
        <f t="shared" si="77"/>
        <v>#NUM!</v>
      </c>
      <c r="BI1662" t="e">
        <f>VLOOKUP(H1662,Sheet2!$A$1:$B$270,2,FALSE)</f>
        <v>#N/A</v>
      </c>
    </row>
    <row r="1663" spans="15:61" hidden="1">
      <c r="O1663" s="57"/>
      <c r="P1663" s="57"/>
      <c r="AO1663" s="57"/>
      <c r="BA1663" s="57"/>
      <c r="BF1663" s="6" t="e">
        <f t="shared" si="75"/>
        <v>#NUM!</v>
      </c>
      <c r="BG1663" t="e">
        <f t="shared" si="76"/>
        <v>#NUM!</v>
      </c>
      <c r="BH1663" t="e">
        <f t="shared" si="77"/>
        <v>#NUM!</v>
      </c>
      <c r="BI1663" t="e">
        <f>VLOOKUP(H1663,Sheet2!$A$1:$B$270,2,FALSE)</f>
        <v>#N/A</v>
      </c>
    </row>
    <row r="1664" spans="15:61" hidden="1">
      <c r="O1664" s="57"/>
      <c r="P1664" s="57"/>
      <c r="AO1664" s="57"/>
      <c r="AP1664" s="57"/>
      <c r="BA1664" s="57"/>
      <c r="BF1664" s="6" t="e">
        <f t="shared" si="75"/>
        <v>#NUM!</v>
      </c>
      <c r="BG1664" t="e">
        <f t="shared" si="76"/>
        <v>#NUM!</v>
      </c>
      <c r="BH1664" t="e">
        <f t="shared" si="77"/>
        <v>#NUM!</v>
      </c>
      <c r="BI1664" t="e">
        <f>VLOOKUP(H1664,Sheet2!$A$1:$B$270,2,FALSE)</f>
        <v>#N/A</v>
      </c>
    </row>
    <row r="1665" spans="15:61" hidden="1">
      <c r="O1665" s="57"/>
      <c r="P1665" s="57"/>
      <c r="AO1665" s="57"/>
      <c r="AP1665" s="57"/>
      <c r="BA1665" s="57"/>
      <c r="BF1665" s="6" t="e">
        <f t="shared" si="75"/>
        <v>#NUM!</v>
      </c>
      <c r="BG1665" t="e">
        <f t="shared" si="76"/>
        <v>#NUM!</v>
      </c>
      <c r="BH1665" t="e">
        <f t="shared" si="77"/>
        <v>#NUM!</v>
      </c>
      <c r="BI1665" t="e">
        <f>VLOOKUP(H1665,Sheet2!$A$1:$B$270,2,FALSE)</f>
        <v>#N/A</v>
      </c>
    </row>
    <row r="1666" spans="15:61" hidden="1">
      <c r="O1666" s="57"/>
      <c r="P1666" s="57"/>
      <c r="AO1666" s="57"/>
      <c r="AP1666" s="57"/>
      <c r="BA1666" s="57"/>
      <c r="BF1666" s="6" t="e">
        <f t="shared" ref="BF1666:BF1729" si="78">DATE(BC1666,BD1666,BE1666)</f>
        <v>#NUM!</v>
      </c>
      <c r="BG1666" t="e">
        <f t="shared" ref="BG1666:BG1729" si="79">BF1666-BA1666</f>
        <v>#NUM!</v>
      </c>
      <c r="BH1666" t="e">
        <f t="shared" ref="BH1666:BH1729" si="80">IF(BG1666=1,"COMPLY",IF(BG1666&lt;1,"COMPLY","NOT COMPLY"))</f>
        <v>#NUM!</v>
      </c>
      <c r="BI1666" t="e">
        <f>VLOOKUP(H1666,Sheet2!$A$1:$B$270,2,FALSE)</f>
        <v>#N/A</v>
      </c>
    </row>
    <row r="1667" spans="15:61" hidden="1">
      <c r="O1667" s="57"/>
      <c r="P1667" s="57"/>
      <c r="AO1667" s="57"/>
      <c r="AP1667" s="57"/>
      <c r="BA1667" s="57"/>
      <c r="BF1667" s="6" t="e">
        <f t="shared" si="78"/>
        <v>#NUM!</v>
      </c>
      <c r="BG1667" t="e">
        <f t="shared" si="79"/>
        <v>#NUM!</v>
      </c>
      <c r="BH1667" t="e">
        <f t="shared" si="80"/>
        <v>#NUM!</v>
      </c>
      <c r="BI1667" t="e">
        <f>VLOOKUP(H1667,Sheet2!$A$1:$B$270,2,FALSE)</f>
        <v>#N/A</v>
      </c>
    </row>
    <row r="1668" spans="15:61" hidden="1">
      <c r="O1668" s="57"/>
      <c r="P1668" s="57"/>
      <c r="AO1668" s="57"/>
      <c r="AP1668" s="57"/>
      <c r="BA1668" s="57"/>
      <c r="BF1668" s="6" t="e">
        <f t="shared" si="78"/>
        <v>#NUM!</v>
      </c>
      <c r="BG1668" t="e">
        <f t="shared" si="79"/>
        <v>#NUM!</v>
      </c>
      <c r="BH1668" t="e">
        <f t="shared" si="80"/>
        <v>#NUM!</v>
      </c>
      <c r="BI1668" t="e">
        <f>VLOOKUP(H1668,Sheet2!$A$1:$B$270,2,FALSE)</f>
        <v>#N/A</v>
      </c>
    </row>
    <row r="1669" spans="15:61" hidden="1">
      <c r="O1669" s="57"/>
      <c r="P1669" s="57"/>
      <c r="AO1669" s="57"/>
      <c r="AP1669" s="57"/>
      <c r="BA1669" s="57"/>
      <c r="BF1669" s="6" t="e">
        <f t="shared" si="78"/>
        <v>#NUM!</v>
      </c>
      <c r="BG1669" t="e">
        <f t="shared" si="79"/>
        <v>#NUM!</v>
      </c>
      <c r="BH1669" t="e">
        <f t="shared" si="80"/>
        <v>#NUM!</v>
      </c>
      <c r="BI1669" t="e">
        <f>VLOOKUP(H1669,Sheet2!$A$1:$B$270,2,FALSE)</f>
        <v>#N/A</v>
      </c>
    </row>
    <row r="1670" spans="15:61" hidden="1">
      <c r="O1670" s="57"/>
      <c r="P1670" s="57"/>
      <c r="AO1670" s="57"/>
      <c r="BA1670" s="57"/>
      <c r="BF1670" s="6" t="e">
        <f t="shared" si="78"/>
        <v>#NUM!</v>
      </c>
      <c r="BG1670" t="e">
        <f t="shared" si="79"/>
        <v>#NUM!</v>
      </c>
      <c r="BH1670" t="e">
        <f t="shared" si="80"/>
        <v>#NUM!</v>
      </c>
      <c r="BI1670" t="e">
        <f>VLOOKUP(H1670,Sheet2!$A$1:$B$270,2,FALSE)</f>
        <v>#N/A</v>
      </c>
    </row>
    <row r="1671" spans="15:61" hidden="1">
      <c r="O1671" s="57"/>
      <c r="P1671" s="57"/>
      <c r="AO1671" s="57"/>
      <c r="AP1671" s="57"/>
      <c r="BA1671" s="57"/>
      <c r="BF1671" s="6" t="e">
        <f t="shared" si="78"/>
        <v>#NUM!</v>
      </c>
      <c r="BG1671" t="e">
        <f t="shared" si="79"/>
        <v>#NUM!</v>
      </c>
      <c r="BH1671" t="e">
        <f t="shared" si="80"/>
        <v>#NUM!</v>
      </c>
      <c r="BI1671" t="e">
        <f>VLOOKUP(H1671,Sheet2!$A$1:$B$270,2,FALSE)</f>
        <v>#N/A</v>
      </c>
    </row>
    <row r="1672" spans="15:61" hidden="1">
      <c r="O1672" s="57"/>
      <c r="P1672" s="57"/>
      <c r="AO1672" s="57"/>
      <c r="AP1672" s="57"/>
      <c r="BA1672" s="57"/>
      <c r="BF1672" s="6" t="e">
        <f t="shared" si="78"/>
        <v>#NUM!</v>
      </c>
      <c r="BG1672" t="e">
        <f t="shared" si="79"/>
        <v>#NUM!</v>
      </c>
      <c r="BH1672" t="e">
        <f t="shared" si="80"/>
        <v>#NUM!</v>
      </c>
      <c r="BI1672" t="e">
        <f>VLOOKUP(H1672,Sheet2!$A$1:$B$270,2,FALSE)</f>
        <v>#N/A</v>
      </c>
    </row>
    <row r="1673" spans="15:61" hidden="1">
      <c r="O1673" s="57"/>
      <c r="P1673" s="57"/>
      <c r="AO1673" s="57"/>
      <c r="AP1673" s="57"/>
      <c r="BA1673" s="57"/>
      <c r="BF1673" s="6" t="e">
        <f t="shared" si="78"/>
        <v>#NUM!</v>
      </c>
      <c r="BG1673" t="e">
        <f t="shared" si="79"/>
        <v>#NUM!</v>
      </c>
      <c r="BH1673" t="e">
        <f t="shared" si="80"/>
        <v>#NUM!</v>
      </c>
      <c r="BI1673" t="e">
        <f>VLOOKUP(H1673,Sheet2!$A$1:$B$270,2,FALSE)</f>
        <v>#N/A</v>
      </c>
    </row>
    <row r="1674" spans="15:61" hidden="1">
      <c r="O1674" s="57"/>
      <c r="P1674" s="57"/>
      <c r="AO1674" s="57"/>
      <c r="AP1674" s="57"/>
      <c r="BA1674" s="57"/>
      <c r="BF1674" s="6" t="e">
        <f t="shared" si="78"/>
        <v>#NUM!</v>
      </c>
      <c r="BG1674" t="e">
        <f t="shared" si="79"/>
        <v>#NUM!</v>
      </c>
      <c r="BH1674" t="e">
        <f t="shared" si="80"/>
        <v>#NUM!</v>
      </c>
      <c r="BI1674" t="e">
        <f>VLOOKUP(H1674,Sheet2!$A$1:$B$270,2,FALSE)</f>
        <v>#N/A</v>
      </c>
    </row>
    <row r="1675" spans="15:61" hidden="1">
      <c r="O1675" s="57"/>
      <c r="P1675" s="57"/>
      <c r="AO1675" s="57"/>
      <c r="AP1675" s="57"/>
      <c r="BA1675" s="57"/>
      <c r="BF1675" s="6" t="e">
        <f t="shared" si="78"/>
        <v>#NUM!</v>
      </c>
      <c r="BG1675" t="e">
        <f t="shared" si="79"/>
        <v>#NUM!</v>
      </c>
      <c r="BH1675" t="e">
        <f t="shared" si="80"/>
        <v>#NUM!</v>
      </c>
      <c r="BI1675" t="e">
        <f>VLOOKUP(H1675,Sheet2!$A$1:$B$270,2,FALSE)</f>
        <v>#N/A</v>
      </c>
    </row>
    <row r="1676" spans="15:61" hidden="1">
      <c r="O1676" s="57"/>
      <c r="P1676" s="57"/>
      <c r="AO1676" s="57"/>
      <c r="AP1676" s="57"/>
      <c r="BA1676" s="57"/>
      <c r="BF1676" s="6" t="e">
        <f t="shared" si="78"/>
        <v>#NUM!</v>
      </c>
      <c r="BG1676" t="e">
        <f t="shared" si="79"/>
        <v>#NUM!</v>
      </c>
      <c r="BH1676" t="e">
        <f t="shared" si="80"/>
        <v>#NUM!</v>
      </c>
      <c r="BI1676" t="e">
        <f>VLOOKUP(H1676,Sheet2!$A$1:$B$270,2,FALSE)</f>
        <v>#N/A</v>
      </c>
    </row>
    <row r="1677" spans="15:61" hidden="1">
      <c r="O1677" s="57"/>
      <c r="P1677" s="57"/>
      <c r="AO1677" s="57"/>
      <c r="AP1677" s="57"/>
      <c r="BA1677" s="57"/>
      <c r="BF1677" s="6" t="e">
        <f t="shared" si="78"/>
        <v>#NUM!</v>
      </c>
      <c r="BG1677" t="e">
        <f t="shared" si="79"/>
        <v>#NUM!</v>
      </c>
      <c r="BH1677" t="e">
        <f t="shared" si="80"/>
        <v>#NUM!</v>
      </c>
      <c r="BI1677" t="e">
        <f>VLOOKUP(H1677,Sheet2!$A$1:$B$270,2,FALSE)</f>
        <v>#N/A</v>
      </c>
    </row>
    <row r="1678" spans="15:61" hidden="1">
      <c r="O1678" s="57"/>
      <c r="P1678" s="57"/>
      <c r="AO1678" s="57"/>
      <c r="AP1678" s="57"/>
      <c r="BA1678" s="57"/>
      <c r="BF1678" s="6" t="e">
        <f t="shared" si="78"/>
        <v>#NUM!</v>
      </c>
      <c r="BG1678" t="e">
        <f t="shared" si="79"/>
        <v>#NUM!</v>
      </c>
      <c r="BH1678" t="e">
        <f t="shared" si="80"/>
        <v>#NUM!</v>
      </c>
      <c r="BI1678" t="e">
        <f>VLOOKUP(H1678,Sheet2!$A$1:$B$270,2,FALSE)</f>
        <v>#N/A</v>
      </c>
    </row>
    <row r="1679" spans="15:61" hidden="1">
      <c r="O1679" s="57"/>
      <c r="P1679" s="57"/>
      <c r="AO1679" s="57"/>
      <c r="AP1679" s="57"/>
      <c r="BA1679" s="57"/>
      <c r="BF1679" s="6" t="e">
        <f t="shared" si="78"/>
        <v>#NUM!</v>
      </c>
      <c r="BG1679" t="e">
        <f t="shared" si="79"/>
        <v>#NUM!</v>
      </c>
      <c r="BH1679" t="e">
        <f t="shared" si="80"/>
        <v>#NUM!</v>
      </c>
      <c r="BI1679" t="e">
        <f>VLOOKUP(H1679,Sheet2!$A$1:$B$270,2,FALSE)</f>
        <v>#N/A</v>
      </c>
    </row>
    <row r="1680" spans="15:61" hidden="1">
      <c r="O1680" s="57"/>
      <c r="P1680" s="57"/>
      <c r="AO1680" s="57"/>
      <c r="AP1680" s="57"/>
      <c r="BA1680" s="57"/>
      <c r="BF1680" s="6" t="e">
        <f t="shared" si="78"/>
        <v>#NUM!</v>
      </c>
      <c r="BG1680" t="e">
        <f t="shared" si="79"/>
        <v>#NUM!</v>
      </c>
      <c r="BH1680" t="e">
        <f t="shared" si="80"/>
        <v>#NUM!</v>
      </c>
      <c r="BI1680" t="e">
        <f>VLOOKUP(H1680,Sheet2!$A$1:$B$270,2,FALSE)</f>
        <v>#N/A</v>
      </c>
    </row>
    <row r="1681" spans="15:61" hidden="1">
      <c r="O1681" s="57"/>
      <c r="P1681" s="57"/>
      <c r="AO1681" s="57"/>
      <c r="AP1681" s="57"/>
      <c r="BA1681" s="57"/>
      <c r="BF1681" s="6" t="e">
        <f t="shared" si="78"/>
        <v>#NUM!</v>
      </c>
      <c r="BG1681" t="e">
        <f t="shared" si="79"/>
        <v>#NUM!</v>
      </c>
      <c r="BH1681" t="e">
        <f t="shared" si="80"/>
        <v>#NUM!</v>
      </c>
      <c r="BI1681" t="e">
        <f>VLOOKUP(H1681,Sheet2!$A$1:$B$270,2,FALSE)</f>
        <v>#N/A</v>
      </c>
    </row>
    <row r="1682" spans="15:61" hidden="1">
      <c r="O1682" s="57"/>
      <c r="P1682" s="57"/>
      <c r="AO1682" s="57"/>
      <c r="AP1682" s="57"/>
      <c r="BA1682" s="57"/>
      <c r="BF1682" s="6" t="e">
        <f t="shared" si="78"/>
        <v>#NUM!</v>
      </c>
      <c r="BG1682" t="e">
        <f t="shared" si="79"/>
        <v>#NUM!</v>
      </c>
      <c r="BH1682" t="e">
        <f t="shared" si="80"/>
        <v>#NUM!</v>
      </c>
      <c r="BI1682" t="e">
        <f>VLOOKUP(H1682,Sheet2!$A$1:$B$270,2,FALSE)</f>
        <v>#N/A</v>
      </c>
    </row>
    <row r="1683" spans="15:61" hidden="1">
      <c r="O1683" s="57"/>
      <c r="P1683" s="57"/>
      <c r="AO1683" s="57"/>
      <c r="AP1683" s="57"/>
      <c r="BA1683" s="57"/>
      <c r="BF1683" s="6" t="e">
        <f t="shared" si="78"/>
        <v>#NUM!</v>
      </c>
      <c r="BG1683" t="e">
        <f t="shared" si="79"/>
        <v>#NUM!</v>
      </c>
      <c r="BH1683" t="e">
        <f t="shared" si="80"/>
        <v>#NUM!</v>
      </c>
      <c r="BI1683" t="e">
        <f>VLOOKUP(H1683,Sheet2!$A$1:$B$270,2,FALSE)</f>
        <v>#N/A</v>
      </c>
    </row>
    <row r="1684" spans="15:61" hidden="1">
      <c r="O1684" s="57"/>
      <c r="P1684" s="57"/>
      <c r="AO1684" s="57"/>
      <c r="AP1684" s="57"/>
      <c r="BA1684" s="57"/>
      <c r="BF1684" s="6" t="e">
        <f t="shared" si="78"/>
        <v>#NUM!</v>
      </c>
      <c r="BG1684" t="e">
        <f t="shared" si="79"/>
        <v>#NUM!</v>
      </c>
      <c r="BH1684" t="e">
        <f t="shared" si="80"/>
        <v>#NUM!</v>
      </c>
      <c r="BI1684" t="e">
        <f>VLOOKUP(H1684,Sheet2!$A$1:$B$270,2,FALSE)</f>
        <v>#N/A</v>
      </c>
    </row>
    <row r="1685" spans="15:61" hidden="1">
      <c r="O1685" s="57"/>
      <c r="P1685" s="57"/>
      <c r="AO1685" s="57"/>
      <c r="AP1685" s="57"/>
      <c r="BA1685" s="57"/>
      <c r="BF1685" s="6" t="e">
        <f t="shared" si="78"/>
        <v>#NUM!</v>
      </c>
      <c r="BG1685" t="e">
        <f t="shared" si="79"/>
        <v>#NUM!</v>
      </c>
      <c r="BH1685" t="e">
        <f t="shared" si="80"/>
        <v>#NUM!</v>
      </c>
      <c r="BI1685" t="e">
        <f>VLOOKUP(H1685,Sheet2!$A$1:$B$270,2,FALSE)</f>
        <v>#N/A</v>
      </c>
    </row>
    <row r="1686" spans="15:61" hidden="1">
      <c r="O1686" s="57"/>
      <c r="P1686" s="57"/>
      <c r="AO1686" s="57"/>
      <c r="AP1686" s="57"/>
      <c r="BA1686" s="57"/>
      <c r="BF1686" s="6" t="e">
        <f t="shared" si="78"/>
        <v>#NUM!</v>
      </c>
      <c r="BG1686" t="e">
        <f t="shared" si="79"/>
        <v>#NUM!</v>
      </c>
      <c r="BH1686" t="e">
        <f t="shared" si="80"/>
        <v>#NUM!</v>
      </c>
      <c r="BI1686" t="e">
        <f>VLOOKUP(H1686,Sheet2!$A$1:$B$270,2,FALSE)</f>
        <v>#N/A</v>
      </c>
    </row>
    <row r="1687" spans="15:61" hidden="1">
      <c r="O1687" s="57"/>
      <c r="P1687" s="57"/>
      <c r="AO1687" s="57"/>
      <c r="AP1687" s="57"/>
      <c r="BA1687" s="57"/>
      <c r="BF1687" s="6" t="e">
        <f t="shared" si="78"/>
        <v>#NUM!</v>
      </c>
      <c r="BG1687" t="e">
        <f t="shared" si="79"/>
        <v>#NUM!</v>
      </c>
      <c r="BH1687" t="e">
        <f t="shared" si="80"/>
        <v>#NUM!</v>
      </c>
      <c r="BI1687" t="e">
        <f>VLOOKUP(H1687,Sheet2!$A$1:$B$270,2,FALSE)</f>
        <v>#N/A</v>
      </c>
    </row>
    <row r="1688" spans="15:61" hidden="1">
      <c r="O1688" s="57"/>
      <c r="P1688" s="57"/>
      <c r="AO1688" s="57"/>
      <c r="AP1688" s="57"/>
      <c r="BA1688" s="57"/>
      <c r="BF1688" s="6" t="e">
        <f t="shared" si="78"/>
        <v>#NUM!</v>
      </c>
      <c r="BG1688" t="e">
        <f t="shared" si="79"/>
        <v>#NUM!</v>
      </c>
      <c r="BH1688" t="e">
        <f t="shared" si="80"/>
        <v>#NUM!</v>
      </c>
      <c r="BI1688" t="e">
        <f>VLOOKUP(H1688,Sheet2!$A$1:$B$270,2,FALSE)</f>
        <v>#N/A</v>
      </c>
    </row>
    <row r="1689" spans="15:61" hidden="1">
      <c r="O1689" s="57"/>
      <c r="P1689" s="57"/>
      <c r="AP1689" s="57"/>
      <c r="BA1689" s="57"/>
      <c r="BF1689" s="6" t="e">
        <f t="shared" si="78"/>
        <v>#NUM!</v>
      </c>
      <c r="BG1689" t="e">
        <f t="shared" si="79"/>
        <v>#NUM!</v>
      </c>
      <c r="BH1689" t="e">
        <f t="shared" si="80"/>
        <v>#NUM!</v>
      </c>
      <c r="BI1689" t="e">
        <f>VLOOKUP(H1689,Sheet2!$A$1:$B$270,2,FALSE)</f>
        <v>#N/A</v>
      </c>
    </row>
    <row r="1690" spans="15:61" hidden="1">
      <c r="O1690" s="57"/>
      <c r="P1690" s="57"/>
      <c r="AP1690" s="57"/>
      <c r="BA1690" s="57"/>
      <c r="BF1690" s="6" t="e">
        <f t="shared" si="78"/>
        <v>#NUM!</v>
      </c>
      <c r="BG1690" t="e">
        <f t="shared" si="79"/>
        <v>#NUM!</v>
      </c>
      <c r="BH1690" t="e">
        <f t="shared" si="80"/>
        <v>#NUM!</v>
      </c>
      <c r="BI1690" t="e">
        <f>VLOOKUP(H1690,Sheet2!$A$1:$B$270,2,FALSE)</f>
        <v>#N/A</v>
      </c>
    </row>
    <row r="1691" spans="15:61" hidden="1">
      <c r="O1691" s="57"/>
      <c r="P1691" s="57"/>
      <c r="AP1691" s="57"/>
      <c r="BA1691" s="57"/>
      <c r="BF1691" s="6" t="e">
        <f t="shared" si="78"/>
        <v>#NUM!</v>
      </c>
      <c r="BG1691" t="e">
        <f t="shared" si="79"/>
        <v>#NUM!</v>
      </c>
      <c r="BH1691" t="e">
        <f t="shared" si="80"/>
        <v>#NUM!</v>
      </c>
      <c r="BI1691" t="e">
        <f>VLOOKUP(H1691,Sheet2!$A$1:$B$270,2,FALSE)</f>
        <v>#N/A</v>
      </c>
    </row>
    <row r="1692" spans="15:61" hidden="1">
      <c r="O1692" s="57"/>
      <c r="P1692" s="57"/>
      <c r="BA1692" s="57"/>
      <c r="BF1692" s="6" t="e">
        <f t="shared" si="78"/>
        <v>#NUM!</v>
      </c>
      <c r="BG1692" t="e">
        <f t="shared" si="79"/>
        <v>#NUM!</v>
      </c>
      <c r="BH1692" t="e">
        <f t="shared" si="80"/>
        <v>#NUM!</v>
      </c>
      <c r="BI1692" t="e">
        <f>VLOOKUP(H1692,Sheet2!$A$1:$B$270,2,FALSE)</f>
        <v>#N/A</v>
      </c>
    </row>
    <row r="1693" spans="15:61" hidden="1">
      <c r="O1693" s="57"/>
      <c r="P1693" s="57"/>
      <c r="AP1693" s="57"/>
      <c r="BA1693" s="57"/>
      <c r="BF1693" s="6" t="e">
        <f t="shared" si="78"/>
        <v>#NUM!</v>
      </c>
      <c r="BG1693" t="e">
        <f t="shared" si="79"/>
        <v>#NUM!</v>
      </c>
      <c r="BH1693" t="e">
        <f t="shared" si="80"/>
        <v>#NUM!</v>
      </c>
      <c r="BI1693" t="e">
        <f>VLOOKUP(H1693,Sheet2!$A$1:$B$270,2,FALSE)</f>
        <v>#N/A</v>
      </c>
    </row>
    <row r="1694" spans="15:61" hidden="1">
      <c r="O1694" s="57"/>
      <c r="P1694" s="57"/>
      <c r="AP1694" s="57"/>
      <c r="BA1694" s="57"/>
      <c r="BF1694" s="6" t="e">
        <f t="shared" si="78"/>
        <v>#NUM!</v>
      </c>
      <c r="BG1694" t="e">
        <f t="shared" si="79"/>
        <v>#NUM!</v>
      </c>
      <c r="BH1694" t="e">
        <f t="shared" si="80"/>
        <v>#NUM!</v>
      </c>
      <c r="BI1694" t="e">
        <f>VLOOKUP(H1694,Sheet2!$A$1:$B$270,2,FALSE)</f>
        <v>#N/A</v>
      </c>
    </row>
    <row r="1695" spans="15:61" hidden="1">
      <c r="O1695" s="57"/>
      <c r="P1695" s="57"/>
      <c r="AP1695" s="57"/>
      <c r="BA1695" s="57"/>
      <c r="BF1695" s="6" t="e">
        <f t="shared" si="78"/>
        <v>#NUM!</v>
      </c>
      <c r="BG1695" t="e">
        <f t="shared" si="79"/>
        <v>#NUM!</v>
      </c>
      <c r="BH1695" t="e">
        <f t="shared" si="80"/>
        <v>#NUM!</v>
      </c>
      <c r="BI1695" t="e">
        <f>VLOOKUP(H1695,Sheet2!$A$1:$B$270,2,FALSE)</f>
        <v>#N/A</v>
      </c>
    </row>
    <row r="1696" spans="15:61" hidden="1">
      <c r="O1696" s="57"/>
      <c r="P1696" s="57"/>
      <c r="AP1696" s="57"/>
      <c r="BA1696" s="57"/>
      <c r="BF1696" s="6" t="e">
        <f t="shared" si="78"/>
        <v>#NUM!</v>
      </c>
      <c r="BG1696" t="e">
        <f t="shared" si="79"/>
        <v>#NUM!</v>
      </c>
      <c r="BH1696" t="e">
        <f t="shared" si="80"/>
        <v>#NUM!</v>
      </c>
      <c r="BI1696" t="e">
        <f>VLOOKUP(H1696,Sheet2!$A$1:$B$270,2,FALSE)</f>
        <v>#N/A</v>
      </c>
    </row>
    <row r="1697" spans="15:61" hidden="1">
      <c r="O1697" s="57"/>
      <c r="P1697" s="57"/>
      <c r="AP1697" s="57"/>
      <c r="BA1697" s="57"/>
      <c r="BF1697" s="6" t="e">
        <f t="shared" si="78"/>
        <v>#NUM!</v>
      </c>
      <c r="BG1697" t="e">
        <f t="shared" si="79"/>
        <v>#NUM!</v>
      </c>
      <c r="BH1697" t="e">
        <f t="shared" si="80"/>
        <v>#NUM!</v>
      </c>
      <c r="BI1697" t="e">
        <f>VLOOKUP(H1697,Sheet2!$A$1:$B$270,2,FALSE)</f>
        <v>#N/A</v>
      </c>
    </row>
    <row r="1698" spans="15:61" hidden="1">
      <c r="O1698" s="57"/>
      <c r="P1698" s="57"/>
      <c r="AP1698" s="57"/>
      <c r="BA1698" s="57"/>
      <c r="BF1698" s="6" t="e">
        <f t="shared" si="78"/>
        <v>#NUM!</v>
      </c>
      <c r="BG1698" t="e">
        <f t="shared" si="79"/>
        <v>#NUM!</v>
      </c>
      <c r="BH1698" t="e">
        <f t="shared" si="80"/>
        <v>#NUM!</v>
      </c>
      <c r="BI1698" t="e">
        <f>VLOOKUP(H1698,Sheet2!$A$1:$B$270,2,FALSE)</f>
        <v>#N/A</v>
      </c>
    </row>
    <row r="1699" spans="15:61" hidden="1">
      <c r="O1699" s="57"/>
      <c r="P1699" s="57"/>
      <c r="BA1699" s="57"/>
      <c r="BF1699" s="6" t="e">
        <f t="shared" si="78"/>
        <v>#NUM!</v>
      </c>
      <c r="BG1699" t="e">
        <f t="shared" si="79"/>
        <v>#NUM!</v>
      </c>
      <c r="BH1699" t="e">
        <f t="shared" si="80"/>
        <v>#NUM!</v>
      </c>
      <c r="BI1699" t="e">
        <f>VLOOKUP(H1699,Sheet2!$A$1:$B$270,2,FALSE)</f>
        <v>#N/A</v>
      </c>
    </row>
    <row r="1700" spans="15:61" hidden="1">
      <c r="O1700" s="57"/>
      <c r="P1700" s="57"/>
      <c r="AP1700" s="57"/>
      <c r="BA1700" s="57"/>
      <c r="BF1700" s="6" t="e">
        <f t="shared" si="78"/>
        <v>#NUM!</v>
      </c>
      <c r="BG1700" t="e">
        <f t="shared" si="79"/>
        <v>#NUM!</v>
      </c>
      <c r="BH1700" t="e">
        <f t="shared" si="80"/>
        <v>#NUM!</v>
      </c>
      <c r="BI1700" t="e">
        <f>VLOOKUP(H1700,Sheet2!$A$1:$B$270,2,FALSE)</f>
        <v>#N/A</v>
      </c>
    </row>
    <row r="1701" spans="15:61" hidden="1">
      <c r="O1701" s="57"/>
      <c r="P1701" s="57"/>
      <c r="AP1701" s="57"/>
      <c r="BA1701" s="57"/>
      <c r="BF1701" s="6" t="e">
        <f t="shared" si="78"/>
        <v>#NUM!</v>
      </c>
      <c r="BG1701" t="e">
        <f t="shared" si="79"/>
        <v>#NUM!</v>
      </c>
      <c r="BH1701" t="e">
        <f t="shared" si="80"/>
        <v>#NUM!</v>
      </c>
      <c r="BI1701" t="e">
        <f>VLOOKUP(H1701,Sheet2!$A$1:$B$270,2,FALSE)</f>
        <v>#N/A</v>
      </c>
    </row>
    <row r="1702" spans="15:61" hidden="1">
      <c r="O1702" s="57"/>
      <c r="P1702" s="57"/>
      <c r="AP1702" s="57"/>
      <c r="BA1702" s="57"/>
      <c r="BF1702" s="6" t="e">
        <f t="shared" si="78"/>
        <v>#NUM!</v>
      </c>
      <c r="BG1702" t="e">
        <f t="shared" si="79"/>
        <v>#NUM!</v>
      </c>
      <c r="BH1702" t="e">
        <f t="shared" si="80"/>
        <v>#NUM!</v>
      </c>
      <c r="BI1702" t="e">
        <f>VLOOKUP(H1702,Sheet2!$A$1:$B$270,2,FALSE)</f>
        <v>#N/A</v>
      </c>
    </row>
    <row r="1703" spans="15:61" hidden="1">
      <c r="O1703" s="57"/>
      <c r="P1703" s="57"/>
      <c r="BA1703" s="57"/>
      <c r="BF1703" s="6" t="e">
        <f t="shared" si="78"/>
        <v>#NUM!</v>
      </c>
      <c r="BG1703" t="e">
        <f t="shared" si="79"/>
        <v>#NUM!</v>
      </c>
      <c r="BH1703" t="e">
        <f t="shared" si="80"/>
        <v>#NUM!</v>
      </c>
      <c r="BI1703" t="e">
        <f>VLOOKUP(H1703,Sheet2!$A$1:$B$270,2,FALSE)</f>
        <v>#N/A</v>
      </c>
    </row>
    <row r="1704" spans="15:61" hidden="1">
      <c r="O1704" s="57"/>
      <c r="P1704" s="57"/>
      <c r="BA1704" s="57"/>
      <c r="BF1704" s="6" t="e">
        <f t="shared" si="78"/>
        <v>#NUM!</v>
      </c>
      <c r="BG1704" t="e">
        <f t="shared" si="79"/>
        <v>#NUM!</v>
      </c>
      <c r="BH1704" t="e">
        <f t="shared" si="80"/>
        <v>#NUM!</v>
      </c>
      <c r="BI1704" t="e">
        <f>VLOOKUP(H1704,Sheet2!$A$1:$B$270,2,FALSE)</f>
        <v>#N/A</v>
      </c>
    </row>
    <row r="1705" spans="15:61" hidden="1">
      <c r="O1705" s="57"/>
      <c r="P1705" s="57"/>
      <c r="AP1705" s="57"/>
      <c r="BA1705" s="57"/>
      <c r="BF1705" s="6" t="e">
        <f t="shared" si="78"/>
        <v>#NUM!</v>
      </c>
      <c r="BG1705" t="e">
        <f t="shared" si="79"/>
        <v>#NUM!</v>
      </c>
      <c r="BH1705" t="e">
        <f t="shared" si="80"/>
        <v>#NUM!</v>
      </c>
      <c r="BI1705" t="e">
        <f>VLOOKUP(H1705,Sheet2!$A$1:$B$270,2,FALSE)</f>
        <v>#N/A</v>
      </c>
    </row>
    <row r="1706" spans="15:61" hidden="1">
      <c r="O1706" s="57"/>
      <c r="P1706" s="57"/>
      <c r="AP1706" s="57"/>
      <c r="BA1706" s="57"/>
      <c r="BF1706" s="6" t="e">
        <f t="shared" si="78"/>
        <v>#NUM!</v>
      </c>
      <c r="BG1706" t="e">
        <f t="shared" si="79"/>
        <v>#NUM!</v>
      </c>
      <c r="BH1706" t="e">
        <f t="shared" si="80"/>
        <v>#NUM!</v>
      </c>
      <c r="BI1706" t="e">
        <f>VLOOKUP(H1706,Sheet2!$A$1:$B$270,2,FALSE)</f>
        <v>#N/A</v>
      </c>
    </row>
    <row r="1707" spans="15:61" hidden="1">
      <c r="O1707" s="57"/>
      <c r="P1707" s="57"/>
      <c r="AP1707" s="57"/>
      <c r="BA1707" s="57"/>
      <c r="BF1707" s="6" t="e">
        <f t="shared" si="78"/>
        <v>#NUM!</v>
      </c>
      <c r="BG1707" t="e">
        <f t="shared" si="79"/>
        <v>#NUM!</v>
      </c>
      <c r="BH1707" t="e">
        <f t="shared" si="80"/>
        <v>#NUM!</v>
      </c>
      <c r="BI1707" t="e">
        <f>VLOOKUP(H1707,Sheet2!$A$1:$B$270,2,FALSE)</f>
        <v>#N/A</v>
      </c>
    </row>
    <row r="1708" spans="15:61" hidden="1">
      <c r="O1708" s="57"/>
      <c r="P1708" s="57"/>
      <c r="AP1708" s="57"/>
      <c r="BA1708" s="57"/>
      <c r="BF1708" s="6" t="e">
        <f t="shared" si="78"/>
        <v>#NUM!</v>
      </c>
      <c r="BG1708" t="e">
        <f t="shared" si="79"/>
        <v>#NUM!</v>
      </c>
      <c r="BH1708" t="e">
        <f t="shared" si="80"/>
        <v>#NUM!</v>
      </c>
      <c r="BI1708" t="e">
        <f>VLOOKUP(H1708,Sheet2!$A$1:$B$270,2,FALSE)</f>
        <v>#N/A</v>
      </c>
    </row>
    <row r="1709" spans="15:61" hidden="1">
      <c r="O1709" s="57"/>
      <c r="P1709" s="57"/>
      <c r="AP1709" s="57"/>
      <c r="BA1709" s="57"/>
      <c r="BF1709" s="6" t="e">
        <f t="shared" si="78"/>
        <v>#NUM!</v>
      </c>
      <c r="BG1709" t="e">
        <f t="shared" si="79"/>
        <v>#NUM!</v>
      </c>
      <c r="BH1709" t="e">
        <f t="shared" si="80"/>
        <v>#NUM!</v>
      </c>
      <c r="BI1709" t="e">
        <f>VLOOKUP(H1709,Sheet2!$A$1:$B$270,2,FALSE)</f>
        <v>#N/A</v>
      </c>
    </row>
    <row r="1710" spans="15:61" hidden="1">
      <c r="O1710" s="57"/>
      <c r="P1710" s="57"/>
      <c r="AP1710" s="57"/>
      <c r="BA1710" s="57"/>
      <c r="BF1710" s="6" t="e">
        <f t="shared" si="78"/>
        <v>#NUM!</v>
      </c>
      <c r="BG1710" t="e">
        <f t="shared" si="79"/>
        <v>#NUM!</v>
      </c>
      <c r="BH1710" t="e">
        <f t="shared" si="80"/>
        <v>#NUM!</v>
      </c>
      <c r="BI1710" t="e">
        <f>VLOOKUP(H1710,Sheet2!$A$1:$B$270,2,FALSE)</f>
        <v>#N/A</v>
      </c>
    </row>
    <row r="1711" spans="15:61" hidden="1">
      <c r="O1711" s="57"/>
      <c r="P1711" s="57"/>
      <c r="AP1711" s="57"/>
      <c r="BA1711" s="57"/>
      <c r="BF1711" s="6" t="e">
        <f t="shared" si="78"/>
        <v>#NUM!</v>
      </c>
      <c r="BG1711" t="e">
        <f t="shared" si="79"/>
        <v>#NUM!</v>
      </c>
      <c r="BH1711" t="e">
        <f t="shared" si="80"/>
        <v>#NUM!</v>
      </c>
      <c r="BI1711" t="e">
        <f>VLOOKUP(H1711,Sheet2!$A$1:$B$270,2,FALSE)</f>
        <v>#N/A</v>
      </c>
    </row>
    <row r="1712" spans="15:61" hidden="1">
      <c r="O1712" s="57"/>
      <c r="P1712" s="57"/>
      <c r="AP1712" s="57"/>
      <c r="BA1712" s="57"/>
      <c r="BF1712" s="6" t="e">
        <f t="shared" si="78"/>
        <v>#NUM!</v>
      </c>
      <c r="BG1712" t="e">
        <f t="shared" si="79"/>
        <v>#NUM!</v>
      </c>
      <c r="BH1712" t="e">
        <f t="shared" si="80"/>
        <v>#NUM!</v>
      </c>
      <c r="BI1712" t="e">
        <f>VLOOKUP(H1712,Sheet2!$A$1:$B$270,2,FALSE)</f>
        <v>#N/A</v>
      </c>
    </row>
    <row r="1713" spans="15:61" hidden="1">
      <c r="O1713" s="57"/>
      <c r="P1713" s="57"/>
      <c r="AP1713" s="57"/>
      <c r="BA1713" s="57"/>
      <c r="BF1713" s="6" t="e">
        <f t="shared" si="78"/>
        <v>#NUM!</v>
      </c>
      <c r="BG1713" t="e">
        <f t="shared" si="79"/>
        <v>#NUM!</v>
      </c>
      <c r="BH1713" t="e">
        <f t="shared" si="80"/>
        <v>#NUM!</v>
      </c>
      <c r="BI1713" t="e">
        <f>VLOOKUP(H1713,Sheet2!$A$1:$B$270,2,FALSE)</f>
        <v>#N/A</v>
      </c>
    </row>
    <row r="1714" spans="15:61" hidden="1">
      <c r="O1714" s="57"/>
      <c r="P1714" s="57"/>
      <c r="BA1714" s="57"/>
      <c r="BF1714" s="6" t="e">
        <f t="shared" si="78"/>
        <v>#NUM!</v>
      </c>
      <c r="BG1714" t="e">
        <f t="shared" si="79"/>
        <v>#NUM!</v>
      </c>
      <c r="BH1714" t="e">
        <f t="shared" si="80"/>
        <v>#NUM!</v>
      </c>
      <c r="BI1714" t="e">
        <f>VLOOKUP(H1714,Sheet2!$A$1:$B$270,2,FALSE)</f>
        <v>#N/A</v>
      </c>
    </row>
    <row r="1715" spans="15:61" hidden="1">
      <c r="O1715" s="57"/>
      <c r="P1715" s="57"/>
      <c r="AP1715" s="57"/>
      <c r="BA1715" s="57"/>
      <c r="BF1715" s="6" t="e">
        <f t="shared" si="78"/>
        <v>#NUM!</v>
      </c>
      <c r="BG1715" t="e">
        <f t="shared" si="79"/>
        <v>#NUM!</v>
      </c>
      <c r="BH1715" t="e">
        <f t="shared" si="80"/>
        <v>#NUM!</v>
      </c>
      <c r="BI1715" t="e">
        <f>VLOOKUP(H1715,Sheet2!$A$1:$B$270,2,FALSE)</f>
        <v>#N/A</v>
      </c>
    </row>
    <row r="1716" spans="15:61" hidden="1">
      <c r="O1716" s="57"/>
      <c r="P1716" s="57"/>
      <c r="AP1716" s="57"/>
      <c r="BA1716" s="57"/>
      <c r="BF1716" s="6" t="e">
        <f t="shared" si="78"/>
        <v>#NUM!</v>
      </c>
      <c r="BG1716" t="e">
        <f t="shared" si="79"/>
        <v>#NUM!</v>
      </c>
      <c r="BH1716" t="e">
        <f t="shared" si="80"/>
        <v>#NUM!</v>
      </c>
      <c r="BI1716" t="e">
        <f>VLOOKUP(H1716,Sheet2!$A$1:$B$270,2,FALSE)</f>
        <v>#N/A</v>
      </c>
    </row>
    <row r="1717" spans="15:61" hidden="1">
      <c r="O1717" s="57"/>
      <c r="P1717" s="57"/>
      <c r="AP1717" s="57"/>
      <c r="BA1717" s="57"/>
      <c r="BF1717" s="6" t="e">
        <f t="shared" si="78"/>
        <v>#NUM!</v>
      </c>
      <c r="BG1717" t="e">
        <f t="shared" si="79"/>
        <v>#NUM!</v>
      </c>
      <c r="BH1717" t="e">
        <f t="shared" si="80"/>
        <v>#NUM!</v>
      </c>
      <c r="BI1717" t="e">
        <f>VLOOKUP(H1717,Sheet2!$A$1:$B$270,2,FALSE)</f>
        <v>#N/A</v>
      </c>
    </row>
    <row r="1718" spans="15:61" hidden="1">
      <c r="O1718" s="57"/>
      <c r="P1718" s="57"/>
      <c r="AP1718" s="57"/>
      <c r="BA1718" s="57"/>
      <c r="BF1718" s="6" t="e">
        <f t="shared" si="78"/>
        <v>#NUM!</v>
      </c>
      <c r="BG1718" t="e">
        <f t="shared" si="79"/>
        <v>#NUM!</v>
      </c>
      <c r="BH1718" t="e">
        <f t="shared" si="80"/>
        <v>#NUM!</v>
      </c>
      <c r="BI1718" t="e">
        <f>VLOOKUP(H1718,Sheet2!$A$1:$B$270,2,FALSE)</f>
        <v>#N/A</v>
      </c>
    </row>
    <row r="1719" spans="15:61" hidden="1">
      <c r="O1719" s="57"/>
      <c r="P1719" s="57"/>
      <c r="BA1719" s="57"/>
      <c r="BF1719" s="6" t="e">
        <f t="shared" si="78"/>
        <v>#NUM!</v>
      </c>
      <c r="BG1719" t="e">
        <f t="shared" si="79"/>
        <v>#NUM!</v>
      </c>
      <c r="BH1719" t="e">
        <f t="shared" si="80"/>
        <v>#NUM!</v>
      </c>
      <c r="BI1719" t="e">
        <f>VLOOKUP(H1719,Sheet2!$A$1:$B$270,2,FALSE)</f>
        <v>#N/A</v>
      </c>
    </row>
    <row r="1720" spans="15:61" hidden="1">
      <c r="O1720" s="57"/>
      <c r="P1720" s="57"/>
      <c r="BA1720" s="57"/>
      <c r="BF1720" s="6" t="e">
        <f t="shared" si="78"/>
        <v>#NUM!</v>
      </c>
      <c r="BG1720" t="e">
        <f t="shared" si="79"/>
        <v>#NUM!</v>
      </c>
      <c r="BH1720" t="e">
        <f t="shared" si="80"/>
        <v>#NUM!</v>
      </c>
      <c r="BI1720" t="e">
        <f>VLOOKUP(H1720,Sheet2!$A$1:$B$270,2,FALSE)</f>
        <v>#N/A</v>
      </c>
    </row>
    <row r="1721" spans="15:61" hidden="1">
      <c r="O1721" s="57"/>
      <c r="P1721" s="57"/>
      <c r="AP1721" s="57"/>
      <c r="BA1721" s="57"/>
      <c r="BF1721" s="6" t="e">
        <f t="shared" si="78"/>
        <v>#NUM!</v>
      </c>
      <c r="BG1721" t="e">
        <f t="shared" si="79"/>
        <v>#NUM!</v>
      </c>
      <c r="BH1721" t="e">
        <f t="shared" si="80"/>
        <v>#NUM!</v>
      </c>
      <c r="BI1721" t="e">
        <f>VLOOKUP(H1721,Sheet2!$A$1:$B$270,2,FALSE)</f>
        <v>#N/A</v>
      </c>
    </row>
    <row r="1722" spans="15:61" hidden="1">
      <c r="O1722" s="57"/>
      <c r="P1722" s="57"/>
      <c r="BA1722" s="57"/>
      <c r="BF1722" s="6" t="e">
        <f t="shared" si="78"/>
        <v>#NUM!</v>
      </c>
      <c r="BG1722" t="e">
        <f t="shared" si="79"/>
        <v>#NUM!</v>
      </c>
      <c r="BH1722" t="e">
        <f t="shared" si="80"/>
        <v>#NUM!</v>
      </c>
      <c r="BI1722" t="e">
        <f>VLOOKUP(H1722,Sheet2!$A$1:$B$270,2,FALSE)</f>
        <v>#N/A</v>
      </c>
    </row>
    <row r="1723" spans="15:61" hidden="1">
      <c r="O1723" s="57"/>
      <c r="P1723" s="57"/>
      <c r="AP1723" s="57"/>
      <c r="BA1723" s="57"/>
      <c r="BF1723" s="6" t="e">
        <f t="shared" si="78"/>
        <v>#NUM!</v>
      </c>
      <c r="BG1723" t="e">
        <f t="shared" si="79"/>
        <v>#NUM!</v>
      </c>
      <c r="BH1723" t="e">
        <f t="shared" si="80"/>
        <v>#NUM!</v>
      </c>
      <c r="BI1723" t="e">
        <f>VLOOKUP(H1723,Sheet2!$A$1:$B$270,2,FALSE)</f>
        <v>#N/A</v>
      </c>
    </row>
    <row r="1724" spans="15:61" hidden="1">
      <c r="O1724" s="57"/>
      <c r="P1724" s="57"/>
      <c r="AP1724" s="57"/>
      <c r="BA1724" s="57"/>
      <c r="BF1724" s="6" t="e">
        <f t="shared" si="78"/>
        <v>#NUM!</v>
      </c>
      <c r="BG1724" t="e">
        <f t="shared" si="79"/>
        <v>#NUM!</v>
      </c>
      <c r="BH1724" t="e">
        <f t="shared" si="80"/>
        <v>#NUM!</v>
      </c>
      <c r="BI1724" t="e">
        <f>VLOOKUP(H1724,Sheet2!$A$1:$B$270,2,FALSE)</f>
        <v>#N/A</v>
      </c>
    </row>
    <row r="1725" spans="15:61" hidden="1">
      <c r="O1725" s="57"/>
      <c r="P1725" s="57"/>
      <c r="AP1725" s="57"/>
      <c r="BA1725" s="57"/>
      <c r="BF1725" s="6" t="e">
        <f t="shared" si="78"/>
        <v>#NUM!</v>
      </c>
      <c r="BG1725" t="e">
        <f t="shared" si="79"/>
        <v>#NUM!</v>
      </c>
      <c r="BH1725" t="e">
        <f t="shared" si="80"/>
        <v>#NUM!</v>
      </c>
      <c r="BI1725" t="e">
        <f>VLOOKUP(H1725,Sheet2!$A$1:$B$270,2,FALSE)</f>
        <v>#N/A</v>
      </c>
    </row>
    <row r="1726" spans="15:61" hidden="1">
      <c r="O1726" s="57"/>
      <c r="P1726" s="57"/>
      <c r="AP1726" s="57"/>
      <c r="BA1726" s="57"/>
      <c r="BF1726" s="6" t="e">
        <f t="shared" si="78"/>
        <v>#NUM!</v>
      </c>
      <c r="BG1726" t="e">
        <f t="shared" si="79"/>
        <v>#NUM!</v>
      </c>
      <c r="BH1726" t="e">
        <f t="shared" si="80"/>
        <v>#NUM!</v>
      </c>
      <c r="BI1726" t="e">
        <f>VLOOKUP(H1726,Sheet2!$A$1:$B$270,2,FALSE)</f>
        <v>#N/A</v>
      </c>
    </row>
    <row r="1727" spans="15:61" hidden="1">
      <c r="O1727" s="57"/>
      <c r="P1727" s="57"/>
      <c r="BA1727" s="57"/>
      <c r="BF1727" s="6" t="e">
        <f t="shared" si="78"/>
        <v>#NUM!</v>
      </c>
      <c r="BG1727" t="e">
        <f t="shared" si="79"/>
        <v>#NUM!</v>
      </c>
      <c r="BH1727" t="e">
        <f t="shared" si="80"/>
        <v>#NUM!</v>
      </c>
      <c r="BI1727" t="e">
        <f>VLOOKUP(H1727,Sheet2!$A$1:$B$270,2,FALSE)</f>
        <v>#N/A</v>
      </c>
    </row>
    <row r="1728" spans="15:61" hidden="1">
      <c r="O1728" s="57"/>
      <c r="P1728" s="57"/>
      <c r="AP1728" s="57"/>
      <c r="BA1728" s="57"/>
      <c r="BF1728" s="6" t="e">
        <f t="shared" si="78"/>
        <v>#NUM!</v>
      </c>
      <c r="BG1728" t="e">
        <f t="shared" si="79"/>
        <v>#NUM!</v>
      </c>
      <c r="BH1728" t="e">
        <f t="shared" si="80"/>
        <v>#NUM!</v>
      </c>
      <c r="BI1728" t="e">
        <f>VLOOKUP(H1728,Sheet2!$A$1:$B$270,2,FALSE)</f>
        <v>#N/A</v>
      </c>
    </row>
    <row r="1729" spans="15:61" hidden="1">
      <c r="O1729" s="57"/>
      <c r="P1729" s="57"/>
      <c r="AP1729" s="57"/>
      <c r="BA1729" s="57"/>
      <c r="BF1729" s="6" t="e">
        <f t="shared" si="78"/>
        <v>#NUM!</v>
      </c>
      <c r="BG1729" t="e">
        <f t="shared" si="79"/>
        <v>#NUM!</v>
      </c>
      <c r="BH1729" t="e">
        <f t="shared" si="80"/>
        <v>#NUM!</v>
      </c>
      <c r="BI1729" t="e">
        <f>VLOOKUP(H1729,Sheet2!$A$1:$B$270,2,FALSE)</f>
        <v>#N/A</v>
      </c>
    </row>
    <row r="1730" spans="15:61" hidden="1">
      <c r="O1730" s="57"/>
      <c r="P1730" s="57"/>
      <c r="AP1730" s="57"/>
      <c r="BA1730" s="57"/>
      <c r="BF1730" s="6" t="e">
        <f t="shared" ref="BF1730:BF1793" si="81">DATE(BC1730,BD1730,BE1730)</f>
        <v>#NUM!</v>
      </c>
      <c r="BG1730" t="e">
        <f t="shared" ref="BG1730:BG1793" si="82">BF1730-BA1730</f>
        <v>#NUM!</v>
      </c>
      <c r="BH1730" t="e">
        <f t="shared" ref="BH1730:BH1793" si="83">IF(BG1730=1,"COMPLY",IF(BG1730&lt;1,"COMPLY","NOT COMPLY"))</f>
        <v>#NUM!</v>
      </c>
      <c r="BI1730" t="e">
        <f>VLOOKUP(H1730,Sheet2!$A$1:$B$270,2,FALSE)</f>
        <v>#N/A</v>
      </c>
    </row>
    <row r="1731" spans="15:61" hidden="1">
      <c r="O1731" s="57"/>
      <c r="P1731" s="57"/>
      <c r="AP1731" s="57"/>
      <c r="BA1731" s="57"/>
      <c r="BF1731" s="6" t="e">
        <f t="shared" si="81"/>
        <v>#NUM!</v>
      </c>
      <c r="BG1731" t="e">
        <f t="shared" si="82"/>
        <v>#NUM!</v>
      </c>
      <c r="BH1731" t="e">
        <f t="shared" si="83"/>
        <v>#NUM!</v>
      </c>
      <c r="BI1731" t="e">
        <f>VLOOKUP(H1731,Sheet2!$A$1:$B$270,2,FALSE)</f>
        <v>#N/A</v>
      </c>
    </row>
    <row r="1732" spans="15:61" hidden="1">
      <c r="O1732" s="57"/>
      <c r="P1732" s="57"/>
      <c r="AP1732" s="57"/>
      <c r="BA1732" s="57"/>
      <c r="BF1732" s="6" t="e">
        <f t="shared" si="81"/>
        <v>#NUM!</v>
      </c>
      <c r="BG1732" t="e">
        <f t="shared" si="82"/>
        <v>#NUM!</v>
      </c>
      <c r="BH1732" t="e">
        <f t="shared" si="83"/>
        <v>#NUM!</v>
      </c>
      <c r="BI1732" t="e">
        <f>VLOOKUP(H1732,Sheet2!$A$1:$B$270,2,FALSE)</f>
        <v>#N/A</v>
      </c>
    </row>
    <row r="1733" spans="15:61" hidden="1">
      <c r="O1733" s="57"/>
      <c r="P1733" s="57"/>
      <c r="AP1733" s="57"/>
      <c r="BA1733" s="57"/>
      <c r="BF1733" s="6" t="e">
        <f t="shared" si="81"/>
        <v>#NUM!</v>
      </c>
      <c r="BG1733" t="e">
        <f t="shared" si="82"/>
        <v>#NUM!</v>
      </c>
      <c r="BH1733" t="e">
        <f t="shared" si="83"/>
        <v>#NUM!</v>
      </c>
      <c r="BI1733" t="e">
        <f>VLOOKUP(H1733,Sheet2!$A$1:$B$270,2,FALSE)</f>
        <v>#N/A</v>
      </c>
    </row>
    <row r="1734" spans="15:61" hidden="1">
      <c r="O1734" s="57"/>
      <c r="P1734" s="57"/>
      <c r="AP1734" s="57"/>
      <c r="BA1734" s="57"/>
      <c r="BF1734" s="6" t="e">
        <f t="shared" si="81"/>
        <v>#NUM!</v>
      </c>
      <c r="BG1734" t="e">
        <f t="shared" si="82"/>
        <v>#NUM!</v>
      </c>
      <c r="BH1734" t="e">
        <f t="shared" si="83"/>
        <v>#NUM!</v>
      </c>
      <c r="BI1734" t="e">
        <f>VLOOKUP(H1734,Sheet2!$A$1:$B$270,2,FALSE)</f>
        <v>#N/A</v>
      </c>
    </row>
    <row r="1735" spans="15:61" hidden="1">
      <c r="O1735" s="57"/>
      <c r="P1735" s="57"/>
      <c r="AO1735" s="57"/>
      <c r="BF1735" s="6" t="e">
        <f t="shared" si="81"/>
        <v>#NUM!</v>
      </c>
      <c r="BG1735" t="e">
        <f t="shared" si="82"/>
        <v>#NUM!</v>
      </c>
      <c r="BH1735" t="e">
        <f t="shared" si="83"/>
        <v>#NUM!</v>
      </c>
      <c r="BI1735" t="e">
        <f>VLOOKUP(H1735,Sheet2!$A$1:$B$270,2,FALSE)</f>
        <v>#N/A</v>
      </c>
    </row>
    <row r="1736" spans="15:61" hidden="1">
      <c r="O1736" s="57"/>
      <c r="P1736" s="57"/>
      <c r="BF1736" s="6" t="e">
        <f t="shared" si="81"/>
        <v>#NUM!</v>
      </c>
      <c r="BG1736" t="e">
        <f t="shared" si="82"/>
        <v>#NUM!</v>
      </c>
      <c r="BH1736" t="e">
        <f t="shared" si="83"/>
        <v>#NUM!</v>
      </c>
      <c r="BI1736" t="e">
        <f>VLOOKUP(H1736,Sheet2!$A$1:$B$270,2,FALSE)</f>
        <v>#N/A</v>
      </c>
    </row>
    <row r="1737" spans="15:61" hidden="1">
      <c r="O1737" s="57"/>
      <c r="P1737" s="57"/>
      <c r="BF1737" s="6" t="e">
        <f t="shared" si="81"/>
        <v>#NUM!</v>
      </c>
      <c r="BG1737" t="e">
        <f t="shared" si="82"/>
        <v>#NUM!</v>
      </c>
      <c r="BH1737" t="e">
        <f t="shared" si="83"/>
        <v>#NUM!</v>
      </c>
      <c r="BI1737" t="e">
        <f>VLOOKUP(H1737,Sheet2!$A$1:$B$270,2,FALSE)</f>
        <v>#N/A</v>
      </c>
    </row>
    <row r="1738" spans="15:61" hidden="1">
      <c r="O1738" s="57"/>
      <c r="P1738" s="57"/>
      <c r="BF1738" s="6" t="e">
        <f t="shared" si="81"/>
        <v>#NUM!</v>
      </c>
      <c r="BG1738" t="e">
        <f t="shared" si="82"/>
        <v>#NUM!</v>
      </c>
      <c r="BH1738" t="e">
        <f t="shared" si="83"/>
        <v>#NUM!</v>
      </c>
      <c r="BI1738" t="e">
        <f>VLOOKUP(H1738,Sheet2!$A$1:$B$270,2,FALSE)</f>
        <v>#N/A</v>
      </c>
    </row>
    <row r="1739" spans="15:61" hidden="1">
      <c r="O1739" s="57"/>
      <c r="P1739" s="57"/>
      <c r="AP1739" s="57"/>
      <c r="BA1739" s="57"/>
      <c r="BF1739" s="6" t="e">
        <f t="shared" si="81"/>
        <v>#NUM!</v>
      </c>
      <c r="BG1739" t="e">
        <f t="shared" si="82"/>
        <v>#NUM!</v>
      </c>
      <c r="BH1739" t="e">
        <f t="shared" si="83"/>
        <v>#NUM!</v>
      </c>
      <c r="BI1739" t="e">
        <f>VLOOKUP(H1739,Sheet2!$A$1:$B$270,2,FALSE)</f>
        <v>#N/A</v>
      </c>
    </row>
    <row r="1740" spans="15:61" hidden="1">
      <c r="O1740" s="57"/>
      <c r="P1740" s="57"/>
      <c r="AP1740" s="57"/>
      <c r="BA1740" s="57"/>
      <c r="BF1740" s="6" t="e">
        <f t="shared" si="81"/>
        <v>#NUM!</v>
      </c>
      <c r="BG1740" t="e">
        <f t="shared" si="82"/>
        <v>#NUM!</v>
      </c>
      <c r="BH1740" t="e">
        <f t="shared" si="83"/>
        <v>#NUM!</v>
      </c>
      <c r="BI1740" t="e">
        <f>VLOOKUP(H1740,Sheet2!$A$1:$B$270,2,FALSE)</f>
        <v>#N/A</v>
      </c>
    </row>
    <row r="1741" spans="15:61" hidden="1">
      <c r="O1741" s="57"/>
      <c r="P1741" s="57"/>
      <c r="AP1741" s="57"/>
      <c r="BA1741" s="57"/>
      <c r="BF1741" s="6" t="e">
        <f t="shared" si="81"/>
        <v>#NUM!</v>
      </c>
      <c r="BG1741" t="e">
        <f t="shared" si="82"/>
        <v>#NUM!</v>
      </c>
      <c r="BH1741" t="e">
        <f t="shared" si="83"/>
        <v>#NUM!</v>
      </c>
      <c r="BI1741" t="e">
        <f>VLOOKUP(H1741,Sheet2!$A$1:$B$270,2,FALSE)</f>
        <v>#N/A</v>
      </c>
    </row>
    <row r="1742" spans="15:61" hidden="1">
      <c r="O1742" s="57"/>
      <c r="P1742" s="57"/>
      <c r="AP1742" s="57"/>
      <c r="BA1742" s="57"/>
      <c r="BF1742" s="6" t="e">
        <f t="shared" si="81"/>
        <v>#NUM!</v>
      </c>
      <c r="BG1742" t="e">
        <f t="shared" si="82"/>
        <v>#NUM!</v>
      </c>
      <c r="BH1742" t="e">
        <f t="shared" si="83"/>
        <v>#NUM!</v>
      </c>
      <c r="BI1742" t="e">
        <f>VLOOKUP(H1742,Sheet2!$A$1:$B$270,2,FALSE)</f>
        <v>#N/A</v>
      </c>
    </row>
    <row r="1743" spans="15:61" hidden="1">
      <c r="O1743" s="57"/>
      <c r="P1743" s="57"/>
      <c r="BA1743" s="57"/>
      <c r="BF1743" s="6" t="e">
        <f t="shared" si="81"/>
        <v>#NUM!</v>
      </c>
      <c r="BG1743" t="e">
        <f t="shared" si="82"/>
        <v>#NUM!</v>
      </c>
      <c r="BH1743" t="e">
        <f t="shared" si="83"/>
        <v>#NUM!</v>
      </c>
      <c r="BI1743" t="e">
        <f>VLOOKUP(H1743,Sheet2!$A$1:$B$270,2,FALSE)</f>
        <v>#N/A</v>
      </c>
    </row>
    <row r="1744" spans="15:61" hidden="1">
      <c r="O1744" s="57"/>
      <c r="P1744" s="57"/>
      <c r="AP1744" s="57"/>
      <c r="BA1744" s="57"/>
      <c r="BF1744" s="6" t="e">
        <f t="shared" si="81"/>
        <v>#NUM!</v>
      </c>
      <c r="BG1744" t="e">
        <f t="shared" si="82"/>
        <v>#NUM!</v>
      </c>
      <c r="BH1744" t="e">
        <f t="shared" si="83"/>
        <v>#NUM!</v>
      </c>
      <c r="BI1744" t="e">
        <f>VLOOKUP(H1744,Sheet2!$A$1:$B$270,2,FALSE)</f>
        <v>#N/A</v>
      </c>
    </row>
    <row r="1745" spans="15:61" hidden="1">
      <c r="O1745" s="57"/>
      <c r="P1745" s="57"/>
      <c r="AP1745" s="57"/>
      <c r="BA1745" s="57"/>
      <c r="BF1745" s="6" t="e">
        <f t="shared" si="81"/>
        <v>#NUM!</v>
      </c>
      <c r="BG1745" t="e">
        <f t="shared" si="82"/>
        <v>#NUM!</v>
      </c>
      <c r="BH1745" t="e">
        <f t="shared" si="83"/>
        <v>#NUM!</v>
      </c>
      <c r="BI1745" t="e">
        <f>VLOOKUP(H1745,Sheet2!$A$1:$B$270,2,FALSE)</f>
        <v>#N/A</v>
      </c>
    </row>
    <row r="1746" spans="15:61" hidden="1">
      <c r="O1746" s="57"/>
      <c r="P1746" s="57"/>
      <c r="AP1746" s="57"/>
      <c r="BA1746" s="57"/>
      <c r="BF1746" s="6" t="e">
        <f t="shared" si="81"/>
        <v>#NUM!</v>
      </c>
      <c r="BG1746" t="e">
        <f t="shared" si="82"/>
        <v>#NUM!</v>
      </c>
      <c r="BH1746" t="e">
        <f t="shared" si="83"/>
        <v>#NUM!</v>
      </c>
      <c r="BI1746" t="e">
        <f>VLOOKUP(H1746,Sheet2!$A$1:$B$270,2,FALSE)</f>
        <v>#N/A</v>
      </c>
    </row>
    <row r="1747" spans="15:61" hidden="1">
      <c r="O1747" s="57"/>
      <c r="P1747" s="57"/>
      <c r="AP1747" s="57"/>
      <c r="BA1747" s="57"/>
      <c r="BF1747" s="6" t="e">
        <f t="shared" si="81"/>
        <v>#NUM!</v>
      </c>
      <c r="BG1747" t="e">
        <f t="shared" si="82"/>
        <v>#NUM!</v>
      </c>
      <c r="BH1747" t="e">
        <f t="shared" si="83"/>
        <v>#NUM!</v>
      </c>
      <c r="BI1747" t="e">
        <f>VLOOKUP(H1747,Sheet2!$A$1:$B$270,2,FALSE)</f>
        <v>#N/A</v>
      </c>
    </row>
    <row r="1748" spans="15:61" hidden="1">
      <c r="O1748" s="57"/>
      <c r="P1748" s="57"/>
      <c r="AP1748" s="57"/>
      <c r="BA1748" s="57"/>
      <c r="BF1748" s="6" t="e">
        <f t="shared" si="81"/>
        <v>#NUM!</v>
      </c>
      <c r="BG1748" t="e">
        <f t="shared" si="82"/>
        <v>#NUM!</v>
      </c>
      <c r="BH1748" t="e">
        <f t="shared" si="83"/>
        <v>#NUM!</v>
      </c>
      <c r="BI1748" t="e">
        <f>VLOOKUP(H1748,Sheet2!$A$1:$B$270,2,FALSE)</f>
        <v>#N/A</v>
      </c>
    </row>
    <row r="1749" spans="15:61" hidden="1">
      <c r="O1749" s="57"/>
      <c r="P1749" s="57"/>
      <c r="BA1749" s="57"/>
      <c r="BF1749" s="6" t="e">
        <f t="shared" si="81"/>
        <v>#NUM!</v>
      </c>
      <c r="BG1749" t="e">
        <f t="shared" si="82"/>
        <v>#NUM!</v>
      </c>
      <c r="BH1749" t="e">
        <f t="shared" si="83"/>
        <v>#NUM!</v>
      </c>
      <c r="BI1749" t="e">
        <f>VLOOKUP(H1749,Sheet2!$A$1:$B$270,2,FALSE)</f>
        <v>#N/A</v>
      </c>
    </row>
    <row r="1750" spans="15:61" hidden="1">
      <c r="O1750" s="57"/>
      <c r="P1750" s="57"/>
      <c r="AP1750" s="57"/>
      <c r="BA1750" s="57"/>
      <c r="BF1750" s="6" t="e">
        <f t="shared" si="81"/>
        <v>#NUM!</v>
      </c>
      <c r="BG1750" t="e">
        <f t="shared" si="82"/>
        <v>#NUM!</v>
      </c>
      <c r="BH1750" t="e">
        <f t="shared" si="83"/>
        <v>#NUM!</v>
      </c>
      <c r="BI1750" t="e">
        <f>VLOOKUP(H1750,Sheet2!$A$1:$B$270,2,FALSE)</f>
        <v>#N/A</v>
      </c>
    </row>
    <row r="1751" spans="15:61" hidden="1">
      <c r="O1751" s="57"/>
      <c r="P1751" s="57"/>
      <c r="AP1751" s="57"/>
      <c r="BA1751" s="57"/>
      <c r="BF1751" s="6" t="e">
        <f t="shared" si="81"/>
        <v>#NUM!</v>
      </c>
      <c r="BG1751" t="e">
        <f t="shared" si="82"/>
        <v>#NUM!</v>
      </c>
      <c r="BH1751" t="e">
        <f t="shared" si="83"/>
        <v>#NUM!</v>
      </c>
      <c r="BI1751" t="e">
        <f>VLOOKUP(H1751,Sheet2!$A$1:$B$270,2,FALSE)</f>
        <v>#N/A</v>
      </c>
    </row>
    <row r="1752" spans="15:61" hidden="1">
      <c r="O1752" s="57"/>
      <c r="P1752" s="57"/>
      <c r="BF1752" s="6" t="e">
        <f t="shared" si="81"/>
        <v>#NUM!</v>
      </c>
      <c r="BG1752" t="e">
        <f t="shared" si="82"/>
        <v>#NUM!</v>
      </c>
      <c r="BH1752" t="e">
        <f t="shared" si="83"/>
        <v>#NUM!</v>
      </c>
      <c r="BI1752" t="e">
        <f>VLOOKUP(H1752,Sheet2!$A$1:$B$270,2,FALSE)</f>
        <v>#N/A</v>
      </c>
    </row>
    <row r="1753" spans="15:61" hidden="1">
      <c r="O1753" s="57"/>
      <c r="P1753" s="57"/>
      <c r="AP1753" s="57"/>
      <c r="BA1753" s="57"/>
      <c r="BF1753" s="6" t="e">
        <f t="shared" si="81"/>
        <v>#NUM!</v>
      </c>
      <c r="BG1753" t="e">
        <f t="shared" si="82"/>
        <v>#NUM!</v>
      </c>
      <c r="BH1753" t="e">
        <f t="shared" si="83"/>
        <v>#NUM!</v>
      </c>
      <c r="BI1753" t="e">
        <f>VLOOKUP(H1753,Sheet2!$A$1:$B$270,2,FALSE)</f>
        <v>#N/A</v>
      </c>
    </row>
    <row r="1754" spans="15:61" hidden="1">
      <c r="O1754" s="57"/>
      <c r="P1754" s="57"/>
      <c r="AP1754" s="57"/>
      <c r="BA1754" s="57"/>
      <c r="BF1754" s="6" t="e">
        <f t="shared" si="81"/>
        <v>#NUM!</v>
      </c>
      <c r="BG1754" t="e">
        <f t="shared" si="82"/>
        <v>#NUM!</v>
      </c>
      <c r="BH1754" t="e">
        <f t="shared" si="83"/>
        <v>#NUM!</v>
      </c>
      <c r="BI1754" t="e">
        <f>VLOOKUP(H1754,Sheet2!$A$1:$B$270,2,FALSE)</f>
        <v>#N/A</v>
      </c>
    </row>
    <row r="1755" spans="15:61" hidden="1">
      <c r="O1755" s="57"/>
      <c r="P1755" s="57"/>
      <c r="AP1755" s="57"/>
      <c r="BA1755" s="57"/>
      <c r="BF1755" s="6" t="e">
        <f t="shared" si="81"/>
        <v>#NUM!</v>
      </c>
      <c r="BG1755" t="e">
        <f t="shared" si="82"/>
        <v>#NUM!</v>
      </c>
      <c r="BH1755" t="e">
        <f t="shared" si="83"/>
        <v>#NUM!</v>
      </c>
      <c r="BI1755" t="e">
        <f>VLOOKUP(H1755,Sheet2!$A$1:$B$270,2,FALSE)</f>
        <v>#N/A</v>
      </c>
    </row>
    <row r="1756" spans="15:61" hidden="1">
      <c r="O1756" s="57"/>
      <c r="P1756" s="57"/>
      <c r="AO1756" s="57"/>
      <c r="AP1756" s="57"/>
      <c r="BA1756" s="57"/>
      <c r="BF1756" s="6" t="e">
        <f t="shared" si="81"/>
        <v>#NUM!</v>
      </c>
      <c r="BG1756" t="e">
        <f t="shared" si="82"/>
        <v>#NUM!</v>
      </c>
      <c r="BH1756" t="e">
        <f t="shared" si="83"/>
        <v>#NUM!</v>
      </c>
      <c r="BI1756" t="e">
        <f>VLOOKUP(H1756,Sheet2!$A$1:$B$270,2,FALSE)</f>
        <v>#N/A</v>
      </c>
    </row>
    <row r="1757" spans="15:61" hidden="1">
      <c r="O1757" s="57"/>
      <c r="P1757" s="57"/>
      <c r="AP1757" s="57"/>
      <c r="BA1757" s="57"/>
      <c r="BF1757" s="6" t="e">
        <f t="shared" si="81"/>
        <v>#NUM!</v>
      </c>
      <c r="BG1757" t="e">
        <f t="shared" si="82"/>
        <v>#NUM!</v>
      </c>
      <c r="BH1757" t="e">
        <f t="shared" si="83"/>
        <v>#NUM!</v>
      </c>
      <c r="BI1757" t="e">
        <f>VLOOKUP(H1757,Sheet2!$A$1:$B$270,2,FALSE)</f>
        <v>#N/A</v>
      </c>
    </row>
    <row r="1758" spans="15:61" hidden="1">
      <c r="O1758" s="57"/>
      <c r="P1758" s="57"/>
      <c r="AO1758" s="57"/>
      <c r="AP1758" s="57"/>
      <c r="BA1758" s="57"/>
      <c r="BF1758" s="6" t="e">
        <f t="shared" si="81"/>
        <v>#NUM!</v>
      </c>
      <c r="BG1758" t="e">
        <f t="shared" si="82"/>
        <v>#NUM!</v>
      </c>
      <c r="BH1758" t="e">
        <f t="shared" si="83"/>
        <v>#NUM!</v>
      </c>
      <c r="BI1758" t="e">
        <f>VLOOKUP(H1758,Sheet2!$A$1:$B$270,2,FALSE)</f>
        <v>#N/A</v>
      </c>
    </row>
    <row r="1759" spans="15:61" hidden="1">
      <c r="O1759" s="57"/>
      <c r="P1759" s="57"/>
      <c r="BA1759" s="57"/>
      <c r="BF1759" s="6" t="e">
        <f t="shared" si="81"/>
        <v>#NUM!</v>
      </c>
      <c r="BG1759" t="e">
        <f t="shared" si="82"/>
        <v>#NUM!</v>
      </c>
      <c r="BH1759" t="e">
        <f t="shared" si="83"/>
        <v>#NUM!</v>
      </c>
      <c r="BI1759" t="e">
        <f>VLOOKUP(H1759,Sheet2!$A$1:$B$270,2,FALSE)</f>
        <v>#N/A</v>
      </c>
    </row>
    <row r="1760" spans="15:61" hidden="1">
      <c r="O1760" s="57"/>
      <c r="P1760" s="57"/>
      <c r="AP1760" s="57"/>
      <c r="BA1760" s="57"/>
      <c r="BF1760" s="6" t="e">
        <f t="shared" si="81"/>
        <v>#NUM!</v>
      </c>
      <c r="BG1760" t="e">
        <f t="shared" si="82"/>
        <v>#NUM!</v>
      </c>
      <c r="BH1760" t="e">
        <f t="shared" si="83"/>
        <v>#NUM!</v>
      </c>
      <c r="BI1760" t="e">
        <f>VLOOKUP(H1760,Sheet2!$A$1:$B$270,2,FALSE)</f>
        <v>#N/A</v>
      </c>
    </row>
    <row r="1761" spans="15:61" hidden="1">
      <c r="O1761" s="57"/>
      <c r="P1761" s="57"/>
      <c r="BA1761" s="57"/>
      <c r="BF1761" s="6" t="e">
        <f t="shared" si="81"/>
        <v>#NUM!</v>
      </c>
      <c r="BG1761" t="e">
        <f t="shared" si="82"/>
        <v>#NUM!</v>
      </c>
      <c r="BH1761" t="e">
        <f t="shared" si="83"/>
        <v>#NUM!</v>
      </c>
      <c r="BI1761" t="e">
        <f>VLOOKUP(H1761,Sheet2!$A$1:$B$270,2,FALSE)</f>
        <v>#N/A</v>
      </c>
    </row>
    <row r="1762" spans="15:61" hidden="1">
      <c r="O1762" s="57"/>
      <c r="P1762" s="57"/>
      <c r="AP1762" s="57"/>
      <c r="BA1762" s="57"/>
      <c r="BF1762" s="6" t="e">
        <f t="shared" si="81"/>
        <v>#NUM!</v>
      </c>
      <c r="BG1762" t="e">
        <f t="shared" si="82"/>
        <v>#NUM!</v>
      </c>
      <c r="BH1762" t="e">
        <f t="shared" si="83"/>
        <v>#NUM!</v>
      </c>
      <c r="BI1762" t="e">
        <f>VLOOKUP(H1762,Sheet2!$A$1:$B$270,2,FALSE)</f>
        <v>#N/A</v>
      </c>
    </row>
    <row r="1763" spans="15:61" hidden="1">
      <c r="O1763" s="57"/>
      <c r="P1763" s="57"/>
      <c r="AP1763" s="57"/>
      <c r="BA1763" s="57"/>
      <c r="BF1763" s="6" t="e">
        <f t="shared" si="81"/>
        <v>#NUM!</v>
      </c>
      <c r="BG1763" t="e">
        <f t="shared" si="82"/>
        <v>#NUM!</v>
      </c>
      <c r="BH1763" t="e">
        <f t="shared" si="83"/>
        <v>#NUM!</v>
      </c>
      <c r="BI1763" t="e">
        <f>VLOOKUP(H1763,Sheet2!$A$1:$B$270,2,FALSE)</f>
        <v>#N/A</v>
      </c>
    </row>
    <row r="1764" spans="15:61" hidden="1">
      <c r="O1764" s="57"/>
      <c r="P1764" s="57"/>
      <c r="AP1764" s="57"/>
      <c r="BA1764" s="57"/>
      <c r="BF1764" s="6" t="e">
        <f t="shared" si="81"/>
        <v>#NUM!</v>
      </c>
      <c r="BG1764" t="e">
        <f t="shared" si="82"/>
        <v>#NUM!</v>
      </c>
      <c r="BH1764" t="e">
        <f t="shared" si="83"/>
        <v>#NUM!</v>
      </c>
      <c r="BI1764" t="e">
        <f>VLOOKUP(H1764,Sheet2!$A$1:$B$270,2,FALSE)</f>
        <v>#N/A</v>
      </c>
    </row>
    <row r="1765" spans="15:61" hidden="1">
      <c r="O1765" s="57"/>
      <c r="P1765" s="57"/>
      <c r="BF1765" s="6" t="e">
        <f t="shared" si="81"/>
        <v>#NUM!</v>
      </c>
      <c r="BG1765" t="e">
        <f t="shared" si="82"/>
        <v>#NUM!</v>
      </c>
      <c r="BH1765" t="e">
        <f t="shared" si="83"/>
        <v>#NUM!</v>
      </c>
      <c r="BI1765" t="e">
        <f>VLOOKUP(H1765,Sheet2!$A$1:$B$270,2,FALSE)</f>
        <v>#N/A</v>
      </c>
    </row>
    <row r="1766" spans="15:61" hidden="1">
      <c r="O1766" s="57"/>
      <c r="P1766" s="57"/>
      <c r="BF1766" s="6" t="e">
        <f t="shared" si="81"/>
        <v>#NUM!</v>
      </c>
      <c r="BG1766" t="e">
        <f t="shared" si="82"/>
        <v>#NUM!</v>
      </c>
      <c r="BH1766" t="e">
        <f t="shared" si="83"/>
        <v>#NUM!</v>
      </c>
      <c r="BI1766" t="e">
        <f>VLOOKUP(H1766,Sheet2!$A$1:$B$270,2,FALSE)</f>
        <v>#N/A</v>
      </c>
    </row>
    <row r="1767" spans="15:61" hidden="1">
      <c r="O1767" s="57"/>
      <c r="P1767" s="57"/>
      <c r="AO1767" s="57"/>
      <c r="AP1767" s="57"/>
      <c r="BA1767" s="57"/>
      <c r="BF1767" s="6" t="e">
        <f t="shared" si="81"/>
        <v>#NUM!</v>
      </c>
      <c r="BG1767" t="e">
        <f t="shared" si="82"/>
        <v>#NUM!</v>
      </c>
      <c r="BH1767" t="e">
        <f t="shared" si="83"/>
        <v>#NUM!</v>
      </c>
      <c r="BI1767" t="e">
        <f>VLOOKUP(H1767,Sheet2!$A$1:$B$270,2,FALSE)</f>
        <v>#N/A</v>
      </c>
    </row>
    <row r="1768" spans="15:61" hidden="1">
      <c r="O1768" s="57"/>
      <c r="P1768" s="57"/>
      <c r="AP1768" s="57"/>
      <c r="BA1768" s="57"/>
      <c r="BF1768" s="6" t="e">
        <f t="shared" si="81"/>
        <v>#NUM!</v>
      </c>
      <c r="BG1768" t="e">
        <f t="shared" si="82"/>
        <v>#NUM!</v>
      </c>
      <c r="BH1768" t="e">
        <f t="shared" si="83"/>
        <v>#NUM!</v>
      </c>
      <c r="BI1768" t="e">
        <f>VLOOKUP(H1768,Sheet2!$A$1:$B$270,2,FALSE)</f>
        <v>#N/A</v>
      </c>
    </row>
    <row r="1769" spans="15:61" hidden="1">
      <c r="O1769" s="57"/>
      <c r="P1769" s="57"/>
      <c r="AO1769" s="57"/>
      <c r="AP1769" s="57"/>
      <c r="BA1769" s="57"/>
      <c r="BF1769" s="6" t="e">
        <f t="shared" si="81"/>
        <v>#NUM!</v>
      </c>
      <c r="BG1769" t="e">
        <f t="shared" si="82"/>
        <v>#NUM!</v>
      </c>
      <c r="BH1769" t="e">
        <f t="shared" si="83"/>
        <v>#NUM!</v>
      </c>
      <c r="BI1769" t="e">
        <f>VLOOKUP(H1769,Sheet2!$A$1:$B$270,2,FALSE)</f>
        <v>#N/A</v>
      </c>
    </row>
    <row r="1770" spans="15:61" hidden="1">
      <c r="O1770" s="57"/>
      <c r="P1770" s="57"/>
      <c r="AP1770" s="57"/>
      <c r="BA1770" s="57"/>
      <c r="BF1770" s="6" t="e">
        <f t="shared" si="81"/>
        <v>#NUM!</v>
      </c>
      <c r="BG1770" t="e">
        <f t="shared" si="82"/>
        <v>#NUM!</v>
      </c>
      <c r="BH1770" t="e">
        <f t="shared" si="83"/>
        <v>#NUM!</v>
      </c>
      <c r="BI1770" t="e">
        <f>VLOOKUP(H1770,Sheet2!$A$1:$B$270,2,FALSE)</f>
        <v>#N/A</v>
      </c>
    </row>
    <row r="1771" spans="15:61" hidden="1">
      <c r="O1771" s="57"/>
      <c r="P1771" s="57"/>
      <c r="AP1771" s="57"/>
      <c r="BA1771" s="57"/>
      <c r="BF1771" s="6" t="e">
        <f t="shared" si="81"/>
        <v>#NUM!</v>
      </c>
      <c r="BG1771" t="e">
        <f t="shared" si="82"/>
        <v>#NUM!</v>
      </c>
      <c r="BH1771" t="e">
        <f t="shared" si="83"/>
        <v>#NUM!</v>
      </c>
      <c r="BI1771" t="e">
        <f>VLOOKUP(H1771,Sheet2!$A$1:$B$270,2,FALSE)</f>
        <v>#N/A</v>
      </c>
    </row>
    <row r="1772" spans="15:61" hidden="1">
      <c r="O1772" s="57"/>
      <c r="P1772" s="57"/>
      <c r="AP1772" s="57"/>
      <c r="BA1772" s="57"/>
      <c r="BF1772" s="6" t="e">
        <f t="shared" si="81"/>
        <v>#NUM!</v>
      </c>
      <c r="BG1772" t="e">
        <f t="shared" si="82"/>
        <v>#NUM!</v>
      </c>
      <c r="BH1772" t="e">
        <f t="shared" si="83"/>
        <v>#NUM!</v>
      </c>
      <c r="BI1772" t="e">
        <f>VLOOKUP(H1772,Sheet2!$A$1:$B$270,2,FALSE)</f>
        <v>#N/A</v>
      </c>
    </row>
    <row r="1773" spans="15:61" hidden="1">
      <c r="O1773" s="57"/>
      <c r="P1773" s="57"/>
      <c r="AO1773" s="57"/>
      <c r="AP1773" s="57"/>
      <c r="BA1773" s="57"/>
      <c r="BF1773" s="6" t="e">
        <f t="shared" si="81"/>
        <v>#NUM!</v>
      </c>
      <c r="BG1773" t="e">
        <f t="shared" si="82"/>
        <v>#NUM!</v>
      </c>
      <c r="BH1773" t="e">
        <f t="shared" si="83"/>
        <v>#NUM!</v>
      </c>
      <c r="BI1773" t="e">
        <f>VLOOKUP(H1773,Sheet2!$A$1:$B$270,2,FALSE)</f>
        <v>#N/A</v>
      </c>
    </row>
    <row r="1774" spans="15:61" hidden="1">
      <c r="O1774" s="57"/>
      <c r="P1774" s="57"/>
      <c r="AP1774" s="57"/>
      <c r="BA1774" s="57"/>
      <c r="BF1774" s="6" t="e">
        <f t="shared" si="81"/>
        <v>#NUM!</v>
      </c>
      <c r="BG1774" t="e">
        <f t="shared" si="82"/>
        <v>#NUM!</v>
      </c>
      <c r="BH1774" t="e">
        <f t="shared" si="83"/>
        <v>#NUM!</v>
      </c>
      <c r="BI1774" t="e">
        <f>VLOOKUP(H1774,Sheet2!$A$1:$B$270,2,FALSE)</f>
        <v>#N/A</v>
      </c>
    </row>
    <row r="1775" spans="15:61" hidden="1">
      <c r="O1775" s="57"/>
      <c r="P1775" s="57"/>
      <c r="AO1775" s="57"/>
      <c r="AP1775" s="57"/>
      <c r="BA1775" s="57"/>
      <c r="BF1775" s="6" t="e">
        <f t="shared" si="81"/>
        <v>#NUM!</v>
      </c>
      <c r="BG1775" t="e">
        <f t="shared" si="82"/>
        <v>#NUM!</v>
      </c>
      <c r="BH1775" t="e">
        <f t="shared" si="83"/>
        <v>#NUM!</v>
      </c>
      <c r="BI1775" t="e">
        <f>VLOOKUP(H1775,Sheet2!$A$1:$B$270,2,FALSE)</f>
        <v>#N/A</v>
      </c>
    </row>
    <row r="1776" spans="15:61" hidden="1">
      <c r="O1776" s="57"/>
      <c r="P1776" s="57"/>
      <c r="AO1776" s="57"/>
      <c r="AP1776" s="57"/>
      <c r="BA1776" s="57"/>
      <c r="BF1776" s="6" t="e">
        <f t="shared" si="81"/>
        <v>#NUM!</v>
      </c>
      <c r="BG1776" t="e">
        <f t="shared" si="82"/>
        <v>#NUM!</v>
      </c>
      <c r="BH1776" t="e">
        <f t="shared" si="83"/>
        <v>#NUM!</v>
      </c>
      <c r="BI1776" t="e">
        <f>VLOOKUP(H1776,Sheet2!$A$1:$B$270,2,FALSE)</f>
        <v>#N/A</v>
      </c>
    </row>
    <row r="1777" spans="15:61" hidden="1">
      <c r="O1777" s="57"/>
      <c r="P1777" s="57"/>
      <c r="AO1777" s="57"/>
      <c r="AP1777" s="57"/>
      <c r="BA1777" s="57"/>
      <c r="BF1777" s="6" t="e">
        <f t="shared" si="81"/>
        <v>#NUM!</v>
      </c>
      <c r="BG1777" t="e">
        <f t="shared" si="82"/>
        <v>#NUM!</v>
      </c>
      <c r="BH1777" t="e">
        <f t="shared" si="83"/>
        <v>#NUM!</v>
      </c>
      <c r="BI1777" t="e">
        <f>VLOOKUP(H1777,Sheet2!$A$1:$B$270,2,FALSE)</f>
        <v>#N/A</v>
      </c>
    </row>
    <row r="1778" spans="15:61" hidden="1">
      <c r="O1778" s="57"/>
      <c r="P1778" s="57"/>
      <c r="AO1778" s="57"/>
      <c r="AP1778" s="57"/>
      <c r="BA1778" s="57"/>
      <c r="BF1778" s="6" t="e">
        <f t="shared" si="81"/>
        <v>#NUM!</v>
      </c>
      <c r="BG1778" t="e">
        <f t="shared" si="82"/>
        <v>#NUM!</v>
      </c>
      <c r="BH1778" t="e">
        <f t="shared" si="83"/>
        <v>#NUM!</v>
      </c>
      <c r="BI1778" t="e">
        <f>VLOOKUP(H1778,Sheet2!$A$1:$B$270,2,FALSE)</f>
        <v>#N/A</v>
      </c>
    </row>
    <row r="1779" spans="15:61" hidden="1">
      <c r="O1779" s="57"/>
      <c r="P1779" s="57"/>
      <c r="AO1779" s="57"/>
      <c r="AP1779" s="57"/>
      <c r="BA1779" s="57"/>
      <c r="BF1779" s="6" t="e">
        <f t="shared" si="81"/>
        <v>#NUM!</v>
      </c>
      <c r="BG1779" t="e">
        <f t="shared" si="82"/>
        <v>#NUM!</v>
      </c>
      <c r="BH1779" t="e">
        <f t="shared" si="83"/>
        <v>#NUM!</v>
      </c>
      <c r="BI1779" t="e">
        <f>VLOOKUP(H1779,Sheet2!$A$1:$B$270,2,FALSE)</f>
        <v>#N/A</v>
      </c>
    </row>
    <row r="1780" spans="15:61" hidden="1">
      <c r="O1780" s="57"/>
      <c r="P1780" s="57"/>
      <c r="AO1780" s="57"/>
      <c r="AP1780" s="57"/>
      <c r="BA1780" s="57"/>
      <c r="BF1780" s="6" t="e">
        <f t="shared" si="81"/>
        <v>#NUM!</v>
      </c>
      <c r="BG1780" t="e">
        <f t="shared" si="82"/>
        <v>#NUM!</v>
      </c>
      <c r="BH1780" t="e">
        <f t="shared" si="83"/>
        <v>#NUM!</v>
      </c>
      <c r="BI1780" t="e">
        <f>VLOOKUP(H1780,Sheet2!$A$1:$B$270,2,FALSE)</f>
        <v>#N/A</v>
      </c>
    </row>
    <row r="1781" spans="15:61" hidden="1">
      <c r="O1781" s="57"/>
      <c r="P1781" s="57"/>
      <c r="AO1781" s="57"/>
      <c r="AP1781" s="57"/>
      <c r="BA1781" s="57"/>
      <c r="BF1781" s="6" t="e">
        <f t="shared" si="81"/>
        <v>#NUM!</v>
      </c>
      <c r="BG1781" t="e">
        <f t="shared" si="82"/>
        <v>#NUM!</v>
      </c>
      <c r="BH1781" t="e">
        <f t="shared" si="83"/>
        <v>#NUM!</v>
      </c>
      <c r="BI1781" t="e">
        <f>VLOOKUP(H1781,Sheet2!$A$1:$B$270,2,FALSE)</f>
        <v>#N/A</v>
      </c>
    </row>
    <row r="1782" spans="15:61" hidden="1">
      <c r="O1782" s="57"/>
      <c r="P1782" s="57"/>
      <c r="AO1782" s="57"/>
      <c r="BA1782" s="57"/>
      <c r="BF1782" s="6" t="e">
        <f t="shared" si="81"/>
        <v>#NUM!</v>
      </c>
      <c r="BG1782" t="e">
        <f t="shared" si="82"/>
        <v>#NUM!</v>
      </c>
      <c r="BH1782" t="e">
        <f t="shared" si="83"/>
        <v>#NUM!</v>
      </c>
      <c r="BI1782" t="e">
        <f>VLOOKUP(H1782,Sheet2!$A$1:$B$270,2,FALSE)</f>
        <v>#N/A</v>
      </c>
    </row>
    <row r="1783" spans="15:61" hidden="1">
      <c r="O1783" s="57"/>
      <c r="P1783" s="57"/>
      <c r="AO1783" s="57"/>
      <c r="AP1783" s="57"/>
      <c r="BA1783" s="57"/>
      <c r="BF1783" s="6" t="e">
        <f t="shared" si="81"/>
        <v>#NUM!</v>
      </c>
      <c r="BG1783" t="e">
        <f t="shared" si="82"/>
        <v>#NUM!</v>
      </c>
      <c r="BH1783" t="e">
        <f t="shared" si="83"/>
        <v>#NUM!</v>
      </c>
      <c r="BI1783" t="e">
        <f>VLOOKUP(H1783,Sheet2!$A$1:$B$270,2,FALSE)</f>
        <v>#N/A</v>
      </c>
    </row>
    <row r="1784" spans="15:61" hidden="1">
      <c r="O1784" s="57"/>
      <c r="P1784" s="57"/>
      <c r="AO1784" s="57"/>
      <c r="AP1784" s="57"/>
      <c r="BA1784" s="57"/>
      <c r="BF1784" s="6" t="e">
        <f t="shared" si="81"/>
        <v>#NUM!</v>
      </c>
      <c r="BG1784" t="e">
        <f t="shared" si="82"/>
        <v>#NUM!</v>
      </c>
      <c r="BH1784" t="e">
        <f t="shared" si="83"/>
        <v>#NUM!</v>
      </c>
      <c r="BI1784" t="e">
        <f>VLOOKUP(H1784,Sheet2!$A$1:$B$270,2,FALSE)</f>
        <v>#N/A</v>
      </c>
    </row>
    <row r="1785" spans="15:61" hidden="1">
      <c r="O1785" s="57"/>
      <c r="P1785" s="57"/>
      <c r="AP1785" s="57"/>
      <c r="BA1785" s="57"/>
      <c r="BF1785" s="6" t="e">
        <f t="shared" si="81"/>
        <v>#NUM!</v>
      </c>
      <c r="BG1785" t="e">
        <f t="shared" si="82"/>
        <v>#NUM!</v>
      </c>
      <c r="BH1785" t="e">
        <f t="shared" si="83"/>
        <v>#NUM!</v>
      </c>
      <c r="BI1785" t="e">
        <f>VLOOKUP(H1785,Sheet2!$A$1:$B$270,2,FALSE)</f>
        <v>#N/A</v>
      </c>
    </row>
    <row r="1786" spans="15:61" hidden="1">
      <c r="O1786" s="57"/>
      <c r="P1786" s="57"/>
      <c r="BA1786" s="57"/>
      <c r="BF1786" s="6" t="e">
        <f t="shared" si="81"/>
        <v>#NUM!</v>
      </c>
      <c r="BG1786" t="e">
        <f t="shared" si="82"/>
        <v>#NUM!</v>
      </c>
      <c r="BH1786" t="e">
        <f t="shared" si="83"/>
        <v>#NUM!</v>
      </c>
      <c r="BI1786" t="e">
        <f>VLOOKUP(H1786,Sheet2!$A$1:$B$270,2,FALSE)</f>
        <v>#N/A</v>
      </c>
    </row>
    <row r="1787" spans="15:61" hidden="1">
      <c r="O1787" s="57"/>
      <c r="P1787" s="57"/>
      <c r="AP1787" s="57"/>
      <c r="BA1787" s="57"/>
      <c r="BF1787" s="6" t="e">
        <f t="shared" si="81"/>
        <v>#NUM!</v>
      </c>
      <c r="BG1787" t="e">
        <f t="shared" si="82"/>
        <v>#NUM!</v>
      </c>
      <c r="BH1787" t="e">
        <f t="shared" si="83"/>
        <v>#NUM!</v>
      </c>
      <c r="BI1787" t="e">
        <f>VLOOKUP(H1787,Sheet2!$A$1:$B$270,2,FALSE)</f>
        <v>#N/A</v>
      </c>
    </row>
    <row r="1788" spans="15:61" hidden="1">
      <c r="O1788" s="57"/>
      <c r="P1788" s="57"/>
      <c r="BA1788" s="57"/>
      <c r="BF1788" s="6" t="e">
        <f t="shared" si="81"/>
        <v>#NUM!</v>
      </c>
      <c r="BG1788" t="e">
        <f t="shared" si="82"/>
        <v>#NUM!</v>
      </c>
      <c r="BH1788" t="e">
        <f t="shared" si="83"/>
        <v>#NUM!</v>
      </c>
      <c r="BI1788" t="e">
        <f>VLOOKUP(H1788,Sheet2!$A$1:$B$270,2,FALSE)</f>
        <v>#N/A</v>
      </c>
    </row>
    <row r="1789" spans="15:61" hidden="1">
      <c r="O1789" s="57"/>
      <c r="P1789" s="57"/>
      <c r="BA1789" s="57"/>
      <c r="BF1789" s="6" t="e">
        <f t="shared" si="81"/>
        <v>#NUM!</v>
      </c>
      <c r="BG1789" t="e">
        <f t="shared" si="82"/>
        <v>#NUM!</v>
      </c>
      <c r="BH1789" t="e">
        <f t="shared" si="83"/>
        <v>#NUM!</v>
      </c>
      <c r="BI1789" t="e">
        <f>VLOOKUP(H1789,Sheet2!$A$1:$B$270,2,FALSE)</f>
        <v>#N/A</v>
      </c>
    </row>
    <row r="1790" spans="15:61" hidden="1">
      <c r="O1790" s="57"/>
      <c r="P1790" s="57"/>
      <c r="BA1790" s="57"/>
      <c r="BF1790" s="6" t="e">
        <f t="shared" si="81"/>
        <v>#NUM!</v>
      </c>
      <c r="BG1790" t="e">
        <f t="shared" si="82"/>
        <v>#NUM!</v>
      </c>
      <c r="BH1790" t="e">
        <f t="shared" si="83"/>
        <v>#NUM!</v>
      </c>
      <c r="BI1790" t="e">
        <f>VLOOKUP(H1790,Sheet2!$A$1:$B$270,2,FALSE)</f>
        <v>#N/A</v>
      </c>
    </row>
    <row r="1791" spans="15:61" hidden="1">
      <c r="O1791" s="57"/>
      <c r="P1791" s="57"/>
      <c r="AP1791" s="57"/>
      <c r="BA1791" s="57"/>
      <c r="BF1791" s="6" t="e">
        <f t="shared" si="81"/>
        <v>#NUM!</v>
      </c>
      <c r="BG1791" t="e">
        <f t="shared" si="82"/>
        <v>#NUM!</v>
      </c>
      <c r="BH1791" t="e">
        <f t="shared" si="83"/>
        <v>#NUM!</v>
      </c>
      <c r="BI1791" t="e">
        <f>VLOOKUP(H1791,Sheet2!$A$1:$B$270,2,FALSE)</f>
        <v>#N/A</v>
      </c>
    </row>
    <row r="1792" spans="15:61" hidden="1">
      <c r="O1792" s="57"/>
      <c r="P1792" s="57"/>
      <c r="BA1792" s="57"/>
      <c r="BF1792" s="6" t="e">
        <f t="shared" si="81"/>
        <v>#NUM!</v>
      </c>
      <c r="BG1792" t="e">
        <f t="shared" si="82"/>
        <v>#NUM!</v>
      </c>
      <c r="BH1792" t="e">
        <f t="shared" si="83"/>
        <v>#NUM!</v>
      </c>
      <c r="BI1792" t="e">
        <f>VLOOKUP(H1792,Sheet2!$A$1:$B$270,2,FALSE)</f>
        <v>#N/A</v>
      </c>
    </row>
    <row r="1793" spans="15:61" hidden="1">
      <c r="O1793" s="57"/>
      <c r="P1793" s="57"/>
      <c r="AO1793" s="57"/>
      <c r="AP1793" s="57"/>
      <c r="BA1793" s="57"/>
      <c r="BF1793" s="6" t="e">
        <f t="shared" si="81"/>
        <v>#NUM!</v>
      </c>
      <c r="BG1793" t="e">
        <f t="shared" si="82"/>
        <v>#NUM!</v>
      </c>
      <c r="BH1793" t="e">
        <f t="shared" si="83"/>
        <v>#NUM!</v>
      </c>
      <c r="BI1793" t="e">
        <f>VLOOKUP(H1793,Sheet2!$A$1:$B$270,2,FALSE)</f>
        <v>#N/A</v>
      </c>
    </row>
    <row r="1794" spans="15:61" hidden="1">
      <c r="O1794" s="57"/>
      <c r="P1794" s="57"/>
      <c r="AO1794" s="57"/>
      <c r="AP1794" s="57"/>
      <c r="BA1794" s="57"/>
      <c r="BF1794" s="6" t="e">
        <f t="shared" ref="BF1794:BF1857" si="84">DATE(BC1794,BD1794,BE1794)</f>
        <v>#NUM!</v>
      </c>
      <c r="BG1794" t="e">
        <f t="shared" ref="BG1794:BG1857" si="85">BF1794-BA1794</f>
        <v>#NUM!</v>
      </c>
      <c r="BH1794" t="e">
        <f t="shared" ref="BH1794:BH1857" si="86">IF(BG1794=1,"COMPLY",IF(BG1794&lt;1,"COMPLY","NOT COMPLY"))</f>
        <v>#NUM!</v>
      </c>
      <c r="BI1794" t="e">
        <f>VLOOKUP(H1794,Sheet2!$A$1:$B$270,2,FALSE)</f>
        <v>#N/A</v>
      </c>
    </row>
    <row r="1795" spans="15:61" hidden="1">
      <c r="O1795" s="57"/>
      <c r="P1795" s="57"/>
      <c r="AO1795" s="57"/>
      <c r="AP1795" s="57"/>
      <c r="BA1795" s="57"/>
      <c r="BF1795" s="6" t="e">
        <f t="shared" si="84"/>
        <v>#NUM!</v>
      </c>
      <c r="BG1795" t="e">
        <f t="shared" si="85"/>
        <v>#NUM!</v>
      </c>
      <c r="BH1795" t="e">
        <f t="shared" si="86"/>
        <v>#NUM!</v>
      </c>
      <c r="BI1795" t="e">
        <f>VLOOKUP(H1795,Sheet2!$A$1:$B$270,2,FALSE)</f>
        <v>#N/A</v>
      </c>
    </row>
    <row r="1796" spans="15:61" hidden="1">
      <c r="O1796" s="57"/>
      <c r="P1796" s="57"/>
      <c r="AP1796" s="57"/>
      <c r="BA1796" s="57"/>
      <c r="BF1796" s="6" t="e">
        <f t="shared" si="84"/>
        <v>#NUM!</v>
      </c>
      <c r="BG1796" t="e">
        <f t="shared" si="85"/>
        <v>#NUM!</v>
      </c>
      <c r="BH1796" t="e">
        <f t="shared" si="86"/>
        <v>#NUM!</v>
      </c>
      <c r="BI1796" t="e">
        <f>VLOOKUP(H1796,Sheet2!$A$1:$B$270,2,FALSE)</f>
        <v>#N/A</v>
      </c>
    </row>
    <row r="1797" spans="15:61" hidden="1">
      <c r="O1797" s="57"/>
      <c r="P1797" s="57"/>
      <c r="AO1797" s="57"/>
      <c r="AP1797" s="57"/>
      <c r="BA1797" s="57"/>
      <c r="BF1797" s="6" t="e">
        <f t="shared" si="84"/>
        <v>#NUM!</v>
      </c>
      <c r="BG1797" t="e">
        <f t="shared" si="85"/>
        <v>#NUM!</v>
      </c>
      <c r="BH1797" t="e">
        <f t="shared" si="86"/>
        <v>#NUM!</v>
      </c>
      <c r="BI1797" t="e">
        <f>VLOOKUP(H1797,Sheet2!$A$1:$B$270,2,FALSE)</f>
        <v>#N/A</v>
      </c>
    </row>
    <row r="1798" spans="15:61" hidden="1">
      <c r="O1798" s="57"/>
      <c r="P1798" s="57"/>
      <c r="AO1798" s="57"/>
      <c r="BA1798" s="57"/>
      <c r="BF1798" s="6" t="e">
        <f t="shared" si="84"/>
        <v>#NUM!</v>
      </c>
      <c r="BG1798" t="e">
        <f t="shared" si="85"/>
        <v>#NUM!</v>
      </c>
      <c r="BH1798" t="e">
        <f t="shared" si="86"/>
        <v>#NUM!</v>
      </c>
      <c r="BI1798" t="e">
        <f>VLOOKUP(H1798,Sheet2!$A$1:$B$270,2,FALSE)</f>
        <v>#N/A</v>
      </c>
    </row>
    <row r="1799" spans="15:61" hidden="1">
      <c r="O1799" s="57"/>
      <c r="P1799" s="57"/>
      <c r="AO1799" s="57"/>
      <c r="BA1799" s="57"/>
      <c r="BF1799" s="6" t="e">
        <f t="shared" si="84"/>
        <v>#NUM!</v>
      </c>
      <c r="BG1799" t="e">
        <f t="shared" si="85"/>
        <v>#NUM!</v>
      </c>
      <c r="BH1799" t="e">
        <f t="shared" si="86"/>
        <v>#NUM!</v>
      </c>
      <c r="BI1799" t="e">
        <f>VLOOKUP(H1799,Sheet2!$A$1:$B$270,2,FALSE)</f>
        <v>#N/A</v>
      </c>
    </row>
    <row r="1800" spans="15:61" hidden="1">
      <c r="O1800" s="57"/>
      <c r="P1800" s="57"/>
      <c r="AO1800" s="57"/>
      <c r="AP1800" s="57"/>
      <c r="BA1800" s="57"/>
      <c r="BF1800" s="6" t="e">
        <f t="shared" si="84"/>
        <v>#NUM!</v>
      </c>
      <c r="BG1800" t="e">
        <f t="shared" si="85"/>
        <v>#NUM!</v>
      </c>
      <c r="BH1800" t="e">
        <f t="shared" si="86"/>
        <v>#NUM!</v>
      </c>
      <c r="BI1800" t="e">
        <f>VLOOKUP(H1800,Sheet2!$A$1:$B$270,2,FALSE)</f>
        <v>#N/A</v>
      </c>
    </row>
    <row r="1801" spans="15:61" hidden="1">
      <c r="O1801" s="57"/>
      <c r="P1801" s="57"/>
      <c r="AO1801" s="57"/>
      <c r="BA1801" s="57"/>
      <c r="BF1801" s="6" t="e">
        <f t="shared" si="84"/>
        <v>#NUM!</v>
      </c>
      <c r="BG1801" t="e">
        <f t="shared" si="85"/>
        <v>#NUM!</v>
      </c>
      <c r="BH1801" t="e">
        <f t="shared" si="86"/>
        <v>#NUM!</v>
      </c>
      <c r="BI1801" t="e">
        <f>VLOOKUP(H1801,Sheet2!$A$1:$B$270,2,FALSE)</f>
        <v>#N/A</v>
      </c>
    </row>
    <row r="1802" spans="15:61" hidden="1">
      <c r="O1802" s="57"/>
      <c r="P1802" s="57"/>
      <c r="AO1802" s="57"/>
      <c r="AP1802" s="57"/>
      <c r="BA1802" s="57"/>
      <c r="BF1802" s="6" t="e">
        <f t="shared" si="84"/>
        <v>#NUM!</v>
      </c>
      <c r="BG1802" t="e">
        <f t="shared" si="85"/>
        <v>#NUM!</v>
      </c>
      <c r="BH1802" t="e">
        <f t="shared" si="86"/>
        <v>#NUM!</v>
      </c>
      <c r="BI1802" t="e">
        <f>VLOOKUP(H1802,Sheet2!$A$1:$B$270,2,FALSE)</f>
        <v>#N/A</v>
      </c>
    </row>
    <row r="1803" spans="15:61" hidden="1">
      <c r="O1803" s="57"/>
      <c r="P1803" s="57"/>
      <c r="AO1803" s="57"/>
      <c r="AP1803" s="57"/>
      <c r="BA1803" s="57"/>
      <c r="BF1803" s="6" t="e">
        <f t="shared" si="84"/>
        <v>#NUM!</v>
      </c>
      <c r="BG1803" t="e">
        <f t="shared" si="85"/>
        <v>#NUM!</v>
      </c>
      <c r="BH1803" t="e">
        <f t="shared" si="86"/>
        <v>#NUM!</v>
      </c>
      <c r="BI1803" t="e">
        <f>VLOOKUP(H1803,Sheet2!$A$1:$B$270,2,FALSE)</f>
        <v>#N/A</v>
      </c>
    </row>
    <row r="1804" spans="15:61" hidden="1">
      <c r="O1804" s="57"/>
      <c r="P1804" s="57"/>
      <c r="BA1804" s="57"/>
      <c r="BF1804" s="6" t="e">
        <f t="shared" si="84"/>
        <v>#NUM!</v>
      </c>
      <c r="BG1804" t="e">
        <f t="shared" si="85"/>
        <v>#NUM!</v>
      </c>
      <c r="BH1804" t="e">
        <f t="shared" si="86"/>
        <v>#NUM!</v>
      </c>
      <c r="BI1804" t="e">
        <f>VLOOKUP(H1804,Sheet2!$A$1:$B$270,2,FALSE)</f>
        <v>#N/A</v>
      </c>
    </row>
    <row r="1805" spans="15:61" hidden="1">
      <c r="O1805" s="57"/>
      <c r="P1805" s="57"/>
      <c r="AP1805" s="57"/>
      <c r="BA1805" s="57"/>
      <c r="BF1805" s="6" t="e">
        <f t="shared" si="84"/>
        <v>#NUM!</v>
      </c>
      <c r="BG1805" t="e">
        <f t="shared" si="85"/>
        <v>#NUM!</v>
      </c>
      <c r="BH1805" t="e">
        <f t="shared" si="86"/>
        <v>#NUM!</v>
      </c>
      <c r="BI1805" t="e">
        <f>VLOOKUP(H1805,Sheet2!$A$1:$B$270,2,FALSE)</f>
        <v>#N/A</v>
      </c>
    </row>
    <row r="1806" spans="15:61" hidden="1">
      <c r="O1806" s="57"/>
      <c r="P1806" s="57"/>
      <c r="AP1806" s="57"/>
      <c r="BA1806" s="57"/>
      <c r="BF1806" s="6" t="e">
        <f t="shared" si="84"/>
        <v>#NUM!</v>
      </c>
      <c r="BG1806" t="e">
        <f t="shared" si="85"/>
        <v>#NUM!</v>
      </c>
      <c r="BH1806" t="e">
        <f t="shared" si="86"/>
        <v>#NUM!</v>
      </c>
      <c r="BI1806" t="e">
        <f>VLOOKUP(H1806,Sheet2!$A$1:$B$270,2,FALSE)</f>
        <v>#N/A</v>
      </c>
    </row>
    <row r="1807" spans="15:61" hidden="1">
      <c r="O1807" s="57"/>
      <c r="P1807" s="57"/>
      <c r="AP1807" s="57"/>
      <c r="BA1807" s="57"/>
      <c r="BF1807" s="6" t="e">
        <f t="shared" si="84"/>
        <v>#NUM!</v>
      </c>
      <c r="BG1807" t="e">
        <f t="shared" si="85"/>
        <v>#NUM!</v>
      </c>
      <c r="BH1807" t="e">
        <f t="shared" si="86"/>
        <v>#NUM!</v>
      </c>
      <c r="BI1807" t="e">
        <f>VLOOKUP(H1807,Sheet2!$A$1:$B$270,2,FALSE)</f>
        <v>#N/A</v>
      </c>
    </row>
    <row r="1808" spans="15:61" hidden="1">
      <c r="O1808" s="57"/>
      <c r="P1808" s="57"/>
      <c r="AP1808" s="57"/>
      <c r="BA1808" s="57"/>
      <c r="BF1808" s="6" t="e">
        <f t="shared" si="84"/>
        <v>#NUM!</v>
      </c>
      <c r="BG1808" t="e">
        <f t="shared" si="85"/>
        <v>#NUM!</v>
      </c>
      <c r="BH1808" t="e">
        <f t="shared" si="86"/>
        <v>#NUM!</v>
      </c>
      <c r="BI1808" t="e">
        <f>VLOOKUP(H1808,Sheet2!$A$1:$B$270,2,FALSE)</f>
        <v>#N/A</v>
      </c>
    </row>
    <row r="1809" spans="15:61" hidden="1">
      <c r="O1809" s="57"/>
      <c r="P1809" s="57"/>
      <c r="AP1809" s="57"/>
      <c r="BA1809" s="57"/>
      <c r="BF1809" s="6" t="e">
        <f t="shared" si="84"/>
        <v>#NUM!</v>
      </c>
      <c r="BG1809" t="e">
        <f t="shared" si="85"/>
        <v>#NUM!</v>
      </c>
      <c r="BH1809" t="e">
        <f t="shared" si="86"/>
        <v>#NUM!</v>
      </c>
      <c r="BI1809" t="e">
        <f>VLOOKUP(H1809,Sheet2!$A$1:$B$270,2,FALSE)</f>
        <v>#N/A</v>
      </c>
    </row>
    <row r="1810" spans="15:61" hidden="1">
      <c r="O1810" s="57"/>
      <c r="P1810" s="57"/>
      <c r="AP1810" s="57"/>
      <c r="BA1810" s="57"/>
      <c r="BF1810" s="6" t="e">
        <f t="shared" si="84"/>
        <v>#NUM!</v>
      </c>
      <c r="BG1810" t="e">
        <f t="shared" si="85"/>
        <v>#NUM!</v>
      </c>
      <c r="BH1810" t="e">
        <f t="shared" si="86"/>
        <v>#NUM!</v>
      </c>
      <c r="BI1810" t="e">
        <f>VLOOKUP(H1810,Sheet2!$A$1:$B$270,2,FALSE)</f>
        <v>#N/A</v>
      </c>
    </row>
    <row r="1811" spans="15:61" hidden="1">
      <c r="O1811" s="57"/>
      <c r="P1811" s="57"/>
      <c r="AP1811" s="57"/>
      <c r="BA1811" s="57"/>
      <c r="BF1811" s="6" t="e">
        <f t="shared" si="84"/>
        <v>#NUM!</v>
      </c>
      <c r="BG1811" t="e">
        <f t="shared" si="85"/>
        <v>#NUM!</v>
      </c>
      <c r="BH1811" t="e">
        <f t="shared" si="86"/>
        <v>#NUM!</v>
      </c>
      <c r="BI1811" t="e">
        <f>VLOOKUP(H1811,Sheet2!$A$1:$B$270,2,FALSE)</f>
        <v>#N/A</v>
      </c>
    </row>
    <row r="1812" spans="15:61" hidden="1">
      <c r="O1812" s="57"/>
      <c r="P1812" s="57"/>
      <c r="BA1812" s="57"/>
      <c r="BF1812" s="6" t="e">
        <f t="shared" si="84"/>
        <v>#NUM!</v>
      </c>
      <c r="BG1812" t="e">
        <f t="shared" si="85"/>
        <v>#NUM!</v>
      </c>
      <c r="BH1812" t="e">
        <f t="shared" si="86"/>
        <v>#NUM!</v>
      </c>
      <c r="BI1812" t="e">
        <f>VLOOKUP(H1812,Sheet2!$A$1:$B$270,2,FALSE)</f>
        <v>#N/A</v>
      </c>
    </row>
    <row r="1813" spans="15:61" hidden="1">
      <c r="O1813" s="57"/>
      <c r="P1813" s="57"/>
      <c r="AP1813" s="57"/>
      <c r="BA1813" s="57"/>
      <c r="BF1813" s="6" t="e">
        <f t="shared" si="84"/>
        <v>#NUM!</v>
      </c>
      <c r="BG1813" t="e">
        <f t="shared" si="85"/>
        <v>#NUM!</v>
      </c>
      <c r="BH1813" t="e">
        <f t="shared" si="86"/>
        <v>#NUM!</v>
      </c>
      <c r="BI1813" t="e">
        <f>VLOOKUP(H1813,Sheet2!$A$1:$B$270,2,FALSE)</f>
        <v>#N/A</v>
      </c>
    </row>
    <row r="1814" spans="15:61" hidden="1">
      <c r="O1814" s="57"/>
      <c r="P1814" s="57"/>
      <c r="BA1814" s="57"/>
      <c r="BF1814" s="6" t="e">
        <f t="shared" si="84"/>
        <v>#NUM!</v>
      </c>
      <c r="BG1814" t="e">
        <f t="shared" si="85"/>
        <v>#NUM!</v>
      </c>
      <c r="BH1814" t="e">
        <f t="shared" si="86"/>
        <v>#NUM!</v>
      </c>
      <c r="BI1814" t="e">
        <f>VLOOKUP(H1814,Sheet2!$A$1:$B$270,2,FALSE)</f>
        <v>#N/A</v>
      </c>
    </row>
    <row r="1815" spans="15:61" hidden="1">
      <c r="O1815" s="57"/>
      <c r="P1815" s="57"/>
      <c r="BA1815" s="57"/>
      <c r="BF1815" s="6" t="e">
        <f t="shared" si="84"/>
        <v>#NUM!</v>
      </c>
      <c r="BG1815" t="e">
        <f t="shared" si="85"/>
        <v>#NUM!</v>
      </c>
      <c r="BH1815" t="e">
        <f t="shared" si="86"/>
        <v>#NUM!</v>
      </c>
      <c r="BI1815" t="e">
        <f>VLOOKUP(H1815,Sheet2!$A$1:$B$270,2,FALSE)</f>
        <v>#N/A</v>
      </c>
    </row>
    <row r="1816" spans="15:61" hidden="1">
      <c r="O1816" s="57"/>
      <c r="P1816" s="57"/>
      <c r="BA1816" s="57"/>
      <c r="BF1816" s="6" t="e">
        <f t="shared" si="84"/>
        <v>#NUM!</v>
      </c>
      <c r="BG1816" t="e">
        <f t="shared" si="85"/>
        <v>#NUM!</v>
      </c>
      <c r="BH1816" t="e">
        <f t="shared" si="86"/>
        <v>#NUM!</v>
      </c>
      <c r="BI1816" t="e">
        <f>VLOOKUP(H1816,Sheet2!$A$1:$B$270,2,FALSE)</f>
        <v>#N/A</v>
      </c>
    </row>
    <row r="1817" spans="15:61" hidden="1">
      <c r="O1817" s="57"/>
      <c r="P1817" s="57"/>
      <c r="BF1817" s="6" t="e">
        <f t="shared" si="84"/>
        <v>#NUM!</v>
      </c>
      <c r="BG1817" t="e">
        <f t="shared" si="85"/>
        <v>#NUM!</v>
      </c>
      <c r="BH1817" t="e">
        <f t="shared" si="86"/>
        <v>#NUM!</v>
      </c>
      <c r="BI1817" t="e">
        <f>VLOOKUP(H1817,Sheet2!$A$1:$B$270,2,FALSE)</f>
        <v>#N/A</v>
      </c>
    </row>
    <row r="1818" spans="15:61" hidden="1">
      <c r="O1818" s="57"/>
      <c r="P1818" s="57"/>
      <c r="BF1818" s="6" t="e">
        <f t="shared" si="84"/>
        <v>#NUM!</v>
      </c>
      <c r="BG1818" t="e">
        <f t="shared" si="85"/>
        <v>#NUM!</v>
      </c>
      <c r="BH1818" t="e">
        <f t="shared" si="86"/>
        <v>#NUM!</v>
      </c>
      <c r="BI1818" t="e">
        <f>VLOOKUP(H1818,Sheet2!$A$1:$B$270,2,FALSE)</f>
        <v>#N/A</v>
      </c>
    </row>
    <row r="1819" spans="15:61" hidden="1">
      <c r="O1819" s="57"/>
      <c r="P1819" s="57"/>
      <c r="BF1819" s="6" t="e">
        <f t="shared" si="84"/>
        <v>#NUM!</v>
      </c>
      <c r="BG1819" t="e">
        <f t="shared" si="85"/>
        <v>#NUM!</v>
      </c>
      <c r="BH1819" t="e">
        <f t="shared" si="86"/>
        <v>#NUM!</v>
      </c>
      <c r="BI1819" t="e">
        <f>VLOOKUP(H1819,Sheet2!$A$1:$B$270,2,FALSE)</f>
        <v>#N/A</v>
      </c>
    </row>
    <row r="1820" spans="15:61" hidden="1">
      <c r="O1820" s="57"/>
      <c r="P1820" s="57"/>
      <c r="AO1820" s="57"/>
      <c r="AP1820" s="57"/>
      <c r="BA1820" s="57"/>
      <c r="BF1820" s="6" t="e">
        <f t="shared" si="84"/>
        <v>#NUM!</v>
      </c>
      <c r="BG1820" t="e">
        <f t="shared" si="85"/>
        <v>#NUM!</v>
      </c>
      <c r="BH1820" t="e">
        <f t="shared" si="86"/>
        <v>#NUM!</v>
      </c>
      <c r="BI1820" t="e">
        <f>VLOOKUP(H1820,Sheet2!$A$1:$B$270,2,FALSE)</f>
        <v>#N/A</v>
      </c>
    </row>
    <row r="1821" spans="15:61" hidden="1">
      <c r="O1821" s="57"/>
      <c r="P1821" s="57"/>
      <c r="AO1821" s="57"/>
      <c r="AP1821" s="57"/>
      <c r="BA1821" s="57"/>
      <c r="BF1821" s="6" t="e">
        <f t="shared" si="84"/>
        <v>#NUM!</v>
      </c>
      <c r="BG1821" t="e">
        <f t="shared" si="85"/>
        <v>#NUM!</v>
      </c>
      <c r="BH1821" t="e">
        <f t="shared" si="86"/>
        <v>#NUM!</v>
      </c>
      <c r="BI1821" t="e">
        <f>VLOOKUP(H1821,Sheet2!$A$1:$B$270,2,FALSE)</f>
        <v>#N/A</v>
      </c>
    </row>
    <row r="1822" spans="15:61" hidden="1">
      <c r="O1822" s="57"/>
      <c r="P1822" s="57"/>
      <c r="AO1822" s="57"/>
      <c r="AP1822" s="57"/>
      <c r="BA1822" s="57"/>
      <c r="BF1822" s="6" t="e">
        <f t="shared" si="84"/>
        <v>#NUM!</v>
      </c>
      <c r="BG1822" t="e">
        <f t="shared" si="85"/>
        <v>#NUM!</v>
      </c>
      <c r="BH1822" t="e">
        <f t="shared" si="86"/>
        <v>#NUM!</v>
      </c>
      <c r="BI1822" t="e">
        <f>VLOOKUP(H1822,Sheet2!$A$1:$B$270,2,FALSE)</f>
        <v>#N/A</v>
      </c>
    </row>
    <row r="1823" spans="15:61" hidden="1">
      <c r="O1823" s="57"/>
      <c r="P1823" s="57"/>
      <c r="AP1823" s="57"/>
      <c r="BA1823" s="57"/>
      <c r="BF1823" s="6" t="e">
        <f t="shared" si="84"/>
        <v>#NUM!</v>
      </c>
      <c r="BG1823" t="e">
        <f t="shared" si="85"/>
        <v>#NUM!</v>
      </c>
      <c r="BH1823" t="e">
        <f t="shared" si="86"/>
        <v>#NUM!</v>
      </c>
      <c r="BI1823" t="e">
        <f>VLOOKUP(H1823,Sheet2!$A$1:$B$270,2,FALSE)</f>
        <v>#N/A</v>
      </c>
    </row>
    <row r="1824" spans="15:61" hidden="1">
      <c r="O1824" s="57"/>
      <c r="P1824" s="57"/>
      <c r="AP1824" s="57"/>
      <c r="BA1824" s="57"/>
      <c r="BF1824" s="6" t="e">
        <f t="shared" si="84"/>
        <v>#NUM!</v>
      </c>
      <c r="BG1824" t="e">
        <f t="shared" si="85"/>
        <v>#NUM!</v>
      </c>
      <c r="BH1824" t="e">
        <f t="shared" si="86"/>
        <v>#NUM!</v>
      </c>
      <c r="BI1824" t="e">
        <f>VLOOKUP(H1824,Sheet2!$A$1:$B$270,2,FALSE)</f>
        <v>#N/A</v>
      </c>
    </row>
    <row r="1825" spans="15:61" hidden="1">
      <c r="O1825" s="57"/>
      <c r="P1825" s="57"/>
      <c r="AO1825" s="57"/>
      <c r="AP1825" s="57"/>
      <c r="BA1825" s="57"/>
      <c r="BF1825" s="6" t="e">
        <f t="shared" si="84"/>
        <v>#NUM!</v>
      </c>
      <c r="BG1825" t="e">
        <f t="shared" si="85"/>
        <v>#NUM!</v>
      </c>
      <c r="BH1825" t="e">
        <f t="shared" si="86"/>
        <v>#NUM!</v>
      </c>
      <c r="BI1825" t="e">
        <f>VLOOKUP(H1825,Sheet2!$A$1:$B$270,2,FALSE)</f>
        <v>#N/A</v>
      </c>
    </row>
    <row r="1826" spans="15:61" hidden="1">
      <c r="O1826" s="57"/>
      <c r="P1826" s="57"/>
      <c r="BA1826" s="57"/>
      <c r="BF1826" s="6" t="e">
        <f t="shared" si="84"/>
        <v>#NUM!</v>
      </c>
      <c r="BG1826" t="e">
        <f t="shared" si="85"/>
        <v>#NUM!</v>
      </c>
      <c r="BH1826" t="e">
        <f t="shared" si="86"/>
        <v>#NUM!</v>
      </c>
      <c r="BI1826" t="e">
        <f>VLOOKUP(H1826,Sheet2!$A$1:$B$270,2,FALSE)</f>
        <v>#N/A</v>
      </c>
    </row>
    <row r="1827" spans="15:61" hidden="1">
      <c r="O1827" s="57"/>
      <c r="P1827" s="57"/>
      <c r="AP1827" s="57"/>
      <c r="BA1827" s="57"/>
      <c r="BF1827" s="6" t="e">
        <f t="shared" si="84"/>
        <v>#NUM!</v>
      </c>
      <c r="BG1827" t="e">
        <f t="shared" si="85"/>
        <v>#NUM!</v>
      </c>
      <c r="BH1827" t="e">
        <f t="shared" si="86"/>
        <v>#NUM!</v>
      </c>
      <c r="BI1827" t="e">
        <f>VLOOKUP(H1827,Sheet2!$A$1:$B$270,2,FALSE)</f>
        <v>#N/A</v>
      </c>
    </row>
    <row r="1828" spans="15:61" hidden="1">
      <c r="O1828" s="57"/>
      <c r="P1828" s="57"/>
      <c r="AO1828" s="57"/>
      <c r="BA1828" s="57"/>
      <c r="BF1828" s="6" t="e">
        <f t="shared" si="84"/>
        <v>#NUM!</v>
      </c>
      <c r="BG1828" t="e">
        <f t="shared" si="85"/>
        <v>#NUM!</v>
      </c>
      <c r="BH1828" t="e">
        <f t="shared" si="86"/>
        <v>#NUM!</v>
      </c>
      <c r="BI1828" t="e">
        <f>VLOOKUP(H1828,Sheet2!$A$1:$B$270,2,FALSE)</f>
        <v>#N/A</v>
      </c>
    </row>
    <row r="1829" spans="15:61" hidden="1">
      <c r="O1829" s="57"/>
      <c r="P1829" s="57"/>
      <c r="AO1829" s="57"/>
      <c r="AP1829" s="57"/>
      <c r="BA1829" s="57"/>
      <c r="BF1829" s="6" t="e">
        <f t="shared" si="84"/>
        <v>#NUM!</v>
      </c>
      <c r="BG1829" t="e">
        <f t="shared" si="85"/>
        <v>#NUM!</v>
      </c>
      <c r="BH1829" t="e">
        <f t="shared" si="86"/>
        <v>#NUM!</v>
      </c>
      <c r="BI1829" t="e">
        <f>VLOOKUP(H1829,Sheet2!$A$1:$B$270,2,FALSE)</f>
        <v>#N/A</v>
      </c>
    </row>
    <row r="1830" spans="15:61" hidden="1">
      <c r="O1830" s="57"/>
      <c r="P1830" s="57"/>
      <c r="AO1830" s="57"/>
      <c r="AP1830" s="57"/>
      <c r="BA1830" s="57"/>
      <c r="BF1830" s="6" t="e">
        <f t="shared" si="84"/>
        <v>#NUM!</v>
      </c>
      <c r="BG1830" t="e">
        <f t="shared" si="85"/>
        <v>#NUM!</v>
      </c>
      <c r="BH1830" t="e">
        <f t="shared" si="86"/>
        <v>#NUM!</v>
      </c>
      <c r="BI1830" t="e">
        <f>VLOOKUP(H1830,Sheet2!$A$1:$B$270,2,FALSE)</f>
        <v>#N/A</v>
      </c>
    </row>
    <row r="1831" spans="15:61" hidden="1">
      <c r="O1831" s="57"/>
      <c r="P1831" s="57"/>
      <c r="AO1831" s="57"/>
      <c r="BA1831" s="57"/>
      <c r="BF1831" s="6" t="e">
        <f t="shared" si="84"/>
        <v>#NUM!</v>
      </c>
      <c r="BG1831" t="e">
        <f t="shared" si="85"/>
        <v>#NUM!</v>
      </c>
      <c r="BH1831" t="e">
        <f t="shared" si="86"/>
        <v>#NUM!</v>
      </c>
      <c r="BI1831" t="e">
        <f>VLOOKUP(H1831,Sheet2!$A$1:$B$270,2,FALSE)</f>
        <v>#N/A</v>
      </c>
    </row>
    <row r="1832" spans="15:61" hidden="1">
      <c r="O1832" s="57"/>
      <c r="P1832" s="57"/>
      <c r="AO1832" s="57"/>
      <c r="BA1832" s="57"/>
      <c r="BF1832" s="6" t="e">
        <f t="shared" si="84"/>
        <v>#NUM!</v>
      </c>
      <c r="BG1832" t="e">
        <f t="shared" si="85"/>
        <v>#NUM!</v>
      </c>
      <c r="BH1832" t="e">
        <f t="shared" si="86"/>
        <v>#NUM!</v>
      </c>
      <c r="BI1832" t="e">
        <f>VLOOKUP(H1832,Sheet2!$A$1:$B$270,2,FALSE)</f>
        <v>#N/A</v>
      </c>
    </row>
    <row r="1833" spans="15:61" hidden="1">
      <c r="O1833" s="57"/>
      <c r="P1833" s="57"/>
      <c r="BA1833" s="57"/>
      <c r="BF1833" s="6" t="e">
        <f t="shared" si="84"/>
        <v>#NUM!</v>
      </c>
      <c r="BG1833" t="e">
        <f t="shared" si="85"/>
        <v>#NUM!</v>
      </c>
      <c r="BH1833" t="e">
        <f t="shared" si="86"/>
        <v>#NUM!</v>
      </c>
      <c r="BI1833" t="e">
        <f>VLOOKUP(H1833,Sheet2!$A$1:$B$270,2,FALSE)</f>
        <v>#N/A</v>
      </c>
    </row>
    <row r="1834" spans="15:61" hidden="1">
      <c r="O1834" s="57"/>
      <c r="P1834" s="57"/>
      <c r="AP1834" s="57"/>
      <c r="BA1834" s="57"/>
      <c r="BF1834" s="6" t="e">
        <f t="shared" si="84"/>
        <v>#NUM!</v>
      </c>
      <c r="BG1834" t="e">
        <f t="shared" si="85"/>
        <v>#NUM!</v>
      </c>
      <c r="BH1834" t="e">
        <f t="shared" si="86"/>
        <v>#NUM!</v>
      </c>
      <c r="BI1834" t="e">
        <f>VLOOKUP(H1834,Sheet2!$A$1:$B$270,2,FALSE)</f>
        <v>#N/A</v>
      </c>
    </row>
    <row r="1835" spans="15:61" hidden="1">
      <c r="O1835" s="57"/>
      <c r="P1835" s="57"/>
      <c r="BA1835" s="57"/>
      <c r="BF1835" s="6" t="e">
        <f t="shared" si="84"/>
        <v>#NUM!</v>
      </c>
      <c r="BG1835" t="e">
        <f t="shared" si="85"/>
        <v>#NUM!</v>
      </c>
      <c r="BH1835" t="e">
        <f t="shared" si="86"/>
        <v>#NUM!</v>
      </c>
      <c r="BI1835" t="e">
        <f>VLOOKUP(H1835,Sheet2!$A$1:$B$270,2,FALSE)</f>
        <v>#N/A</v>
      </c>
    </row>
    <row r="1836" spans="15:61" hidden="1">
      <c r="O1836" s="57"/>
      <c r="P1836" s="57"/>
      <c r="BA1836" s="57"/>
      <c r="BF1836" s="6" t="e">
        <f t="shared" si="84"/>
        <v>#NUM!</v>
      </c>
      <c r="BG1836" t="e">
        <f t="shared" si="85"/>
        <v>#NUM!</v>
      </c>
      <c r="BH1836" t="e">
        <f t="shared" si="86"/>
        <v>#NUM!</v>
      </c>
      <c r="BI1836" t="e">
        <f>VLOOKUP(H1836,Sheet2!$A$1:$B$270,2,FALSE)</f>
        <v>#N/A</v>
      </c>
    </row>
    <row r="1837" spans="15:61" hidden="1">
      <c r="O1837" s="57"/>
      <c r="P1837" s="57"/>
      <c r="AP1837" s="57"/>
      <c r="BA1837" s="57"/>
      <c r="BF1837" s="6" t="e">
        <f t="shared" si="84"/>
        <v>#NUM!</v>
      </c>
      <c r="BG1837" t="e">
        <f t="shared" si="85"/>
        <v>#NUM!</v>
      </c>
      <c r="BH1837" t="e">
        <f t="shared" si="86"/>
        <v>#NUM!</v>
      </c>
      <c r="BI1837" t="e">
        <f>VLOOKUP(H1837,Sheet2!$A$1:$B$270,2,FALSE)</f>
        <v>#N/A</v>
      </c>
    </row>
    <row r="1838" spans="15:61" hidden="1">
      <c r="O1838" s="57"/>
      <c r="P1838" s="57"/>
      <c r="AO1838" s="57"/>
      <c r="AP1838" s="57"/>
      <c r="BA1838" s="57"/>
      <c r="BF1838" s="6" t="e">
        <f t="shared" si="84"/>
        <v>#NUM!</v>
      </c>
      <c r="BG1838" t="e">
        <f t="shared" si="85"/>
        <v>#NUM!</v>
      </c>
      <c r="BH1838" t="e">
        <f t="shared" si="86"/>
        <v>#NUM!</v>
      </c>
      <c r="BI1838" t="e">
        <f>VLOOKUP(H1838,Sheet2!$A$1:$B$270,2,FALSE)</f>
        <v>#N/A</v>
      </c>
    </row>
    <row r="1839" spans="15:61" hidden="1">
      <c r="O1839" s="57"/>
      <c r="P1839" s="57"/>
      <c r="AO1839" s="57"/>
      <c r="AP1839" s="57"/>
      <c r="BA1839" s="57"/>
      <c r="BF1839" s="6" t="e">
        <f t="shared" si="84"/>
        <v>#NUM!</v>
      </c>
      <c r="BG1839" t="e">
        <f t="shared" si="85"/>
        <v>#NUM!</v>
      </c>
      <c r="BH1839" t="e">
        <f t="shared" si="86"/>
        <v>#NUM!</v>
      </c>
      <c r="BI1839" t="e">
        <f>VLOOKUP(H1839,Sheet2!$A$1:$B$270,2,FALSE)</f>
        <v>#N/A</v>
      </c>
    </row>
    <row r="1840" spans="15:61" hidden="1">
      <c r="O1840" s="57"/>
      <c r="P1840" s="57"/>
      <c r="AO1840" s="57"/>
      <c r="AP1840" s="57"/>
      <c r="BA1840" s="57"/>
      <c r="BF1840" s="6" t="e">
        <f t="shared" si="84"/>
        <v>#NUM!</v>
      </c>
      <c r="BG1840" t="e">
        <f t="shared" si="85"/>
        <v>#NUM!</v>
      </c>
      <c r="BH1840" t="e">
        <f t="shared" si="86"/>
        <v>#NUM!</v>
      </c>
      <c r="BI1840" t="e">
        <f>VLOOKUP(H1840,Sheet2!$A$1:$B$270,2,FALSE)</f>
        <v>#N/A</v>
      </c>
    </row>
    <row r="1841" spans="15:61" hidden="1">
      <c r="O1841" s="57"/>
      <c r="P1841" s="57"/>
      <c r="AP1841" s="57"/>
      <c r="BA1841" s="57"/>
      <c r="BF1841" s="6" t="e">
        <f t="shared" si="84"/>
        <v>#NUM!</v>
      </c>
      <c r="BG1841" t="e">
        <f t="shared" si="85"/>
        <v>#NUM!</v>
      </c>
      <c r="BH1841" t="e">
        <f t="shared" si="86"/>
        <v>#NUM!</v>
      </c>
      <c r="BI1841" t="e">
        <f>VLOOKUP(H1841,Sheet2!$A$1:$B$270,2,FALSE)</f>
        <v>#N/A</v>
      </c>
    </row>
    <row r="1842" spans="15:61" hidden="1">
      <c r="O1842" s="57"/>
      <c r="P1842" s="57"/>
      <c r="AO1842" s="57"/>
      <c r="AP1842" s="57"/>
      <c r="BA1842" s="57"/>
      <c r="BF1842" s="6" t="e">
        <f t="shared" si="84"/>
        <v>#NUM!</v>
      </c>
      <c r="BG1842" t="e">
        <f t="shared" si="85"/>
        <v>#NUM!</v>
      </c>
      <c r="BH1842" t="e">
        <f t="shared" si="86"/>
        <v>#NUM!</v>
      </c>
      <c r="BI1842" t="e">
        <f>VLOOKUP(H1842,Sheet2!$A$1:$B$270,2,FALSE)</f>
        <v>#N/A</v>
      </c>
    </row>
    <row r="1843" spans="15:61" hidden="1">
      <c r="O1843" s="57"/>
      <c r="P1843" s="57"/>
      <c r="AO1843" s="57"/>
      <c r="AP1843" s="57"/>
      <c r="BA1843" s="57"/>
      <c r="BF1843" s="6" t="e">
        <f t="shared" si="84"/>
        <v>#NUM!</v>
      </c>
      <c r="BG1843" t="e">
        <f t="shared" si="85"/>
        <v>#NUM!</v>
      </c>
      <c r="BH1843" t="e">
        <f t="shared" si="86"/>
        <v>#NUM!</v>
      </c>
      <c r="BI1843" t="e">
        <f>VLOOKUP(H1843,Sheet2!$A$1:$B$270,2,FALSE)</f>
        <v>#N/A</v>
      </c>
    </row>
    <row r="1844" spans="15:61" hidden="1">
      <c r="O1844" s="57"/>
      <c r="P1844" s="57"/>
      <c r="AP1844" s="57"/>
      <c r="BA1844" s="57"/>
      <c r="BF1844" s="6" t="e">
        <f t="shared" si="84"/>
        <v>#NUM!</v>
      </c>
      <c r="BG1844" t="e">
        <f t="shared" si="85"/>
        <v>#NUM!</v>
      </c>
      <c r="BH1844" t="e">
        <f t="shared" si="86"/>
        <v>#NUM!</v>
      </c>
      <c r="BI1844" t="e">
        <f>VLOOKUP(H1844,Sheet2!$A$1:$B$270,2,FALSE)</f>
        <v>#N/A</v>
      </c>
    </row>
    <row r="1845" spans="15:61" hidden="1">
      <c r="O1845" s="57"/>
      <c r="P1845" s="57"/>
      <c r="AP1845" s="57"/>
      <c r="BA1845" s="57"/>
      <c r="BF1845" s="6" t="e">
        <f t="shared" si="84"/>
        <v>#NUM!</v>
      </c>
      <c r="BG1845" t="e">
        <f t="shared" si="85"/>
        <v>#NUM!</v>
      </c>
      <c r="BH1845" t="e">
        <f t="shared" si="86"/>
        <v>#NUM!</v>
      </c>
      <c r="BI1845" t="e">
        <f>VLOOKUP(H1845,Sheet2!$A$1:$B$270,2,FALSE)</f>
        <v>#N/A</v>
      </c>
    </row>
    <row r="1846" spans="15:61" hidden="1">
      <c r="O1846" s="57"/>
      <c r="P1846" s="57"/>
      <c r="AO1846" s="57"/>
      <c r="AP1846" s="57"/>
      <c r="BA1846" s="57"/>
      <c r="BF1846" s="6" t="e">
        <f t="shared" si="84"/>
        <v>#NUM!</v>
      </c>
      <c r="BG1846" t="e">
        <f t="shared" si="85"/>
        <v>#NUM!</v>
      </c>
      <c r="BH1846" t="e">
        <f t="shared" si="86"/>
        <v>#NUM!</v>
      </c>
      <c r="BI1846" t="e">
        <f>VLOOKUP(H1846,Sheet2!$A$1:$B$270,2,FALSE)</f>
        <v>#N/A</v>
      </c>
    </row>
    <row r="1847" spans="15:61" hidden="1">
      <c r="O1847" s="57"/>
      <c r="P1847" s="57"/>
      <c r="AO1847" s="57"/>
      <c r="AP1847" s="57"/>
      <c r="BA1847" s="57"/>
      <c r="BF1847" s="6" t="e">
        <f t="shared" si="84"/>
        <v>#NUM!</v>
      </c>
      <c r="BG1847" t="e">
        <f t="shared" si="85"/>
        <v>#NUM!</v>
      </c>
      <c r="BH1847" t="e">
        <f t="shared" si="86"/>
        <v>#NUM!</v>
      </c>
      <c r="BI1847" t="e">
        <f>VLOOKUP(H1847,Sheet2!$A$1:$B$270,2,FALSE)</f>
        <v>#N/A</v>
      </c>
    </row>
    <row r="1848" spans="15:61" hidden="1">
      <c r="O1848" s="57"/>
      <c r="P1848" s="57"/>
      <c r="AO1848" s="57"/>
      <c r="BA1848" s="57"/>
      <c r="BF1848" s="6" t="e">
        <f t="shared" si="84"/>
        <v>#NUM!</v>
      </c>
      <c r="BG1848" t="e">
        <f t="shared" si="85"/>
        <v>#NUM!</v>
      </c>
      <c r="BH1848" t="e">
        <f t="shared" si="86"/>
        <v>#NUM!</v>
      </c>
      <c r="BI1848" t="e">
        <f>VLOOKUP(H1848,Sheet2!$A$1:$B$270,2,FALSE)</f>
        <v>#N/A</v>
      </c>
    </row>
    <row r="1849" spans="15:61" hidden="1">
      <c r="O1849" s="57"/>
      <c r="P1849" s="57"/>
      <c r="AO1849" s="57"/>
      <c r="BA1849" s="57"/>
      <c r="BF1849" s="6" t="e">
        <f t="shared" si="84"/>
        <v>#NUM!</v>
      </c>
      <c r="BG1849" t="e">
        <f t="shared" si="85"/>
        <v>#NUM!</v>
      </c>
      <c r="BH1849" t="e">
        <f t="shared" si="86"/>
        <v>#NUM!</v>
      </c>
      <c r="BI1849" t="e">
        <f>VLOOKUP(H1849,Sheet2!$A$1:$B$270,2,FALSE)</f>
        <v>#N/A</v>
      </c>
    </row>
    <row r="1850" spans="15:61" hidden="1">
      <c r="O1850" s="57"/>
      <c r="P1850" s="57"/>
      <c r="BA1850" s="57"/>
      <c r="BF1850" s="6" t="e">
        <f t="shared" si="84"/>
        <v>#NUM!</v>
      </c>
      <c r="BG1850" t="e">
        <f t="shared" si="85"/>
        <v>#NUM!</v>
      </c>
      <c r="BH1850" t="e">
        <f t="shared" si="86"/>
        <v>#NUM!</v>
      </c>
      <c r="BI1850" t="e">
        <f>VLOOKUP(H1850,Sheet2!$A$1:$B$270,2,FALSE)</f>
        <v>#N/A</v>
      </c>
    </row>
    <row r="1851" spans="15:61" hidden="1">
      <c r="O1851" s="57"/>
      <c r="P1851" s="57"/>
      <c r="AP1851" s="57"/>
      <c r="BA1851" s="57"/>
      <c r="BF1851" s="6" t="e">
        <f t="shared" si="84"/>
        <v>#NUM!</v>
      </c>
      <c r="BG1851" t="e">
        <f t="shared" si="85"/>
        <v>#NUM!</v>
      </c>
      <c r="BH1851" t="e">
        <f t="shared" si="86"/>
        <v>#NUM!</v>
      </c>
      <c r="BI1851" t="e">
        <f>VLOOKUP(H1851,Sheet2!$A$1:$B$270,2,FALSE)</f>
        <v>#N/A</v>
      </c>
    </row>
    <row r="1852" spans="15:61" hidden="1">
      <c r="O1852" s="57"/>
      <c r="P1852" s="57"/>
      <c r="BA1852" s="57"/>
      <c r="BF1852" s="6" t="e">
        <f t="shared" si="84"/>
        <v>#NUM!</v>
      </c>
      <c r="BG1852" t="e">
        <f t="shared" si="85"/>
        <v>#NUM!</v>
      </c>
      <c r="BH1852" t="e">
        <f t="shared" si="86"/>
        <v>#NUM!</v>
      </c>
      <c r="BI1852" t="e">
        <f>VLOOKUP(H1852,Sheet2!$A$1:$B$270,2,FALSE)</f>
        <v>#N/A</v>
      </c>
    </row>
    <row r="1853" spans="15:61" hidden="1">
      <c r="O1853" s="57"/>
      <c r="P1853" s="57"/>
      <c r="AP1853" s="57"/>
      <c r="BA1853" s="57"/>
      <c r="BF1853" s="6" t="e">
        <f t="shared" si="84"/>
        <v>#NUM!</v>
      </c>
      <c r="BG1853" t="e">
        <f t="shared" si="85"/>
        <v>#NUM!</v>
      </c>
      <c r="BH1853" t="e">
        <f t="shared" si="86"/>
        <v>#NUM!</v>
      </c>
      <c r="BI1853" t="e">
        <f>VLOOKUP(H1853,Sheet2!$A$1:$B$270,2,FALSE)</f>
        <v>#N/A</v>
      </c>
    </row>
    <row r="1854" spans="15:61" hidden="1">
      <c r="O1854" s="57"/>
      <c r="P1854" s="57"/>
      <c r="AP1854" s="57"/>
      <c r="BA1854" s="57"/>
      <c r="BF1854" s="6" t="e">
        <f t="shared" si="84"/>
        <v>#NUM!</v>
      </c>
      <c r="BG1854" t="e">
        <f t="shared" si="85"/>
        <v>#NUM!</v>
      </c>
      <c r="BH1854" t="e">
        <f t="shared" si="86"/>
        <v>#NUM!</v>
      </c>
      <c r="BI1854" t="e">
        <f>VLOOKUP(H1854,Sheet2!$A$1:$B$270,2,FALSE)</f>
        <v>#N/A</v>
      </c>
    </row>
    <row r="1855" spans="15:61" hidden="1">
      <c r="O1855" s="57"/>
      <c r="P1855" s="57"/>
      <c r="BA1855" s="57"/>
      <c r="BF1855" s="6" t="e">
        <f t="shared" si="84"/>
        <v>#NUM!</v>
      </c>
      <c r="BG1855" t="e">
        <f t="shared" si="85"/>
        <v>#NUM!</v>
      </c>
      <c r="BH1855" t="e">
        <f t="shared" si="86"/>
        <v>#NUM!</v>
      </c>
      <c r="BI1855" t="e">
        <f>VLOOKUP(H1855,Sheet2!$A$1:$B$270,2,FALSE)</f>
        <v>#N/A</v>
      </c>
    </row>
    <row r="1856" spans="15:61" hidden="1">
      <c r="O1856" s="57"/>
      <c r="P1856" s="57"/>
      <c r="BA1856" s="57"/>
      <c r="BF1856" s="6" t="e">
        <f t="shared" si="84"/>
        <v>#NUM!</v>
      </c>
      <c r="BG1856" t="e">
        <f t="shared" si="85"/>
        <v>#NUM!</v>
      </c>
      <c r="BH1856" t="e">
        <f t="shared" si="86"/>
        <v>#NUM!</v>
      </c>
      <c r="BI1856" t="e">
        <f>VLOOKUP(H1856,Sheet2!$A$1:$B$270,2,FALSE)</f>
        <v>#N/A</v>
      </c>
    </row>
    <row r="1857" spans="15:61" hidden="1">
      <c r="O1857" s="57"/>
      <c r="P1857" s="57"/>
      <c r="AP1857" s="57"/>
      <c r="BA1857" s="57"/>
      <c r="BF1857" s="6" t="e">
        <f t="shared" si="84"/>
        <v>#NUM!</v>
      </c>
      <c r="BG1857" t="e">
        <f t="shared" si="85"/>
        <v>#NUM!</v>
      </c>
      <c r="BH1857" t="e">
        <f t="shared" si="86"/>
        <v>#NUM!</v>
      </c>
      <c r="BI1857" t="e">
        <f>VLOOKUP(H1857,Sheet2!$A$1:$B$270,2,FALSE)</f>
        <v>#N/A</v>
      </c>
    </row>
    <row r="1858" spans="15:61" hidden="1">
      <c r="O1858" s="57"/>
      <c r="P1858" s="57"/>
      <c r="AP1858" s="57"/>
      <c r="BA1858" s="57"/>
      <c r="BF1858" s="6" t="e">
        <f t="shared" ref="BF1858:BF1921" si="87">DATE(BC1858,BD1858,BE1858)</f>
        <v>#NUM!</v>
      </c>
      <c r="BG1858" t="e">
        <f t="shared" ref="BG1858:BG1921" si="88">BF1858-BA1858</f>
        <v>#NUM!</v>
      </c>
      <c r="BH1858" t="e">
        <f t="shared" ref="BH1858:BH1921" si="89">IF(BG1858=1,"COMPLY",IF(BG1858&lt;1,"COMPLY","NOT COMPLY"))</f>
        <v>#NUM!</v>
      </c>
      <c r="BI1858" t="e">
        <f>VLOOKUP(H1858,Sheet2!$A$1:$B$270,2,FALSE)</f>
        <v>#N/A</v>
      </c>
    </row>
    <row r="1859" spans="15:61" hidden="1">
      <c r="O1859" s="57"/>
      <c r="P1859" s="57"/>
      <c r="AP1859" s="57"/>
      <c r="BA1859" s="57"/>
      <c r="BF1859" s="6" t="e">
        <f t="shared" si="87"/>
        <v>#NUM!</v>
      </c>
      <c r="BG1859" t="e">
        <f t="shared" si="88"/>
        <v>#NUM!</v>
      </c>
      <c r="BH1859" t="e">
        <f t="shared" si="89"/>
        <v>#NUM!</v>
      </c>
      <c r="BI1859" t="e">
        <f>VLOOKUP(H1859,Sheet2!$A$1:$B$270,2,FALSE)</f>
        <v>#N/A</v>
      </c>
    </row>
    <row r="1860" spans="15:61" hidden="1">
      <c r="O1860" s="57"/>
      <c r="P1860" s="57"/>
      <c r="BA1860" s="57"/>
      <c r="BF1860" s="6" t="e">
        <f t="shared" si="87"/>
        <v>#NUM!</v>
      </c>
      <c r="BG1860" t="e">
        <f t="shared" si="88"/>
        <v>#NUM!</v>
      </c>
      <c r="BH1860" t="e">
        <f t="shared" si="89"/>
        <v>#NUM!</v>
      </c>
      <c r="BI1860" t="e">
        <f>VLOOKUP(H1860,Sheet2!$A$1:$B$270,2,FALSE)</f>
        <v>#N/A</v>
      </c>
    </row>
    <row r="1861" spans="15:61" hidden="1">
      <c r="O1861" s="57"/>
      <c r="P1861" s="57"/>
      <c r="BA1861" s="57"/>
      <c r="BF1861" s="6" t="e">
        <f t="shared" si="87"/>
        <v>#NUM!</v>
      </c>
      <c r="BG1861" t="e">
        <f t="shared" si="88"/>
        <v>#NUM!</v>
      </c>
      <c r="BH1861" t="e">
        <f t="shared" si="89"/>
        <v>#NUM!</v>
      </c>
      <c r="BI1861" t="e">
        <f>VLOOKUP(H1861,Sheet2!$A$1:$B$270,2,FALSE)</f>
        <v>#N/A</v>
      </c>
    </row>
    <row r="1862" spans="15:61" hidden="1">
      <c r="O1862" s="57"/>
      <c r="P1862" s="57"/>
      <c r="AP1862" s="57"/>
      <c r="BA1862" s="57"/>
      <c r="BF1862" s="6" t="e">
        <f t="shared" si="87"/>
        <v>#NUM!</v>
      </c>
      <c r="BG1862" t="e">
        <f t="shared" si="88"/>
        <v>#NUM!</v>
      </c>
      <c r="BH1862" t="e">
        <f t="shared" si="89"/>
        <v>#NUM!</v>
      </c>
      <c r="BI1862" t="e">
        <f>VLOOKUP(H1862,Sheet2!$A$1:$B$270,2,FALSE)</f>
        <v>#N/A</v>
      </c>
    </row>
    <row r="1863" spans="15:61" hidden="1">
      <c r="O1863" s="57"/>
      <c r="P1863" s="57"/>
      <c r="AO1863" s="57"/>
      <c r="AP1863" s="57"/>
      <c r="BA1863" s="57"/>
      <c r="BF1863" s="6" t="e">
        <f t="shared" si="87"/>
        <v>#NUM!</v>
      </c>
      <c r="BG1863" t="e">
        <f t="shared" si="88"/>
        <v>#NUM!</v>
      </c>
      <c r="BH1863" t="e">
        <f t="shared" si="89"/>
        <v>#NUM!</v>
      </c>
      <c r="BI1863" t="e">
        <f>VLOOKUP(H1863,Sheet2!$A$1:$B$270,2,FALSE)</f>
        <v>#N/A</v>
      </c>
    </row>
    <row r="1864" spans="15:61" hidden="1">
      <c r="O1864" s="57"/>
      <c r="P1864" s="57"/>
      <c r="AO1864" s="57"/>
      <c r="AP1864" s="57"/>
      <c r="BA1864" s="57"/>
      <c r="BF1864" s="6" t="e">
        <f t="shared" si="87"/>
        <v>#NUM!</v>
      </c>
      <c r="BG1864" t="e">
        <f t="shared" si="88"/>
        <v>#NUM!</v>
      </c>
      <c r="BH1864" t="e">
        <f t="shared" si="89"/>
        <v>#NUM!</v>
      </c>
      <c r="BI1864" t="e">
        <f>VLOOKUP(H1864,Sheet2!$A$1:$B$270,2,FALSE)</f>
        <v>#N/A</v>
      </c>
    </row>
    <row r="1865" spans="15:61" hidden="1">
      <c r="O1865" s="57"/>
      <c r="P1865" s="57"/>
      <c r="AO1865" s="57"/>
      <c r="AP1865" s="57"/>
      <c r="BA1865" s="57"/>
      <c r="BF1865" s="6" t="e">
        <f t="shared" si="87"/>
        <v>#NUM!</v>
      </c>
      <c r="BG1865" t="e">
        <f t="shared" si="88"/>
        <v>#NUM!</v>
      </c>
      <c r="BH1865" t="e">
        <f t="shared" si="89"/>
        <v>#NUM!</v>
      </c>
      <c r="BI1865" t="e">
        <f>VLOOKUP(H1865,Sheet2!$A$1:$B$270,2,FALSE)</f>
        <v>#N/A</v>
      </c>
    </row>
    <row r="1866" spans="15:61" hidden="1">
      <c r="O1866" s="57"/>
      <c r="P1866" s="57"/>
      <c r="AO1866" s="57"/>
      <c r="AP1866" s="57"/>
      <c r="BA1866" s="57"/>
      <c r="BF1866" s="6" t="e">
        <f t="shared" si="87"/>
        <v>#NUM!</v>
      </c>
      <c r="BG1866" t="e">
        <f t="shared" si="88"/>
        <v>#NUM!</v>
      </c>
      <c r="BH1866" t="e">
        <f t="shared" si="89"/>
        <v>#NUM!</v>
      </c>
      <c r="BI1866" t="e">
        <f>VLOOKUP(H1866,Sheet2!$A$1:$B$270,2,FALSE)</f>
        <v>#N/A</v>
      </c>
    </row>
    <row r="1867" spans="15:61" hidden="1">
      <c r="O1867" s="57"/>
      <c r="P1867" s="57"/>
      <c r="AP1867" s="57"/>
      <c r="BA1867" s="57"/>
      <c r="BF1867" s="6" t="e">
        <f t="shared" si="87"/>
        <v>#NUM!</v>
      </c>
      <c r="BG1867" t="e">
        <f t="shared" si="88"/>
        <v>#NUM!</v>
      </c>
      <c r="BH1867" t="e">
        <f t="shared" si="89"/>
        <v>#NUM!</v>
      </c>
      <c r="BI1867" t="e">
        <f>VLOOKUP(H1867,Sheet2!$A$1:$B$270,2,FALSE)</f>
        <v>#N/A</v>
      </c>
    </row>
    <row r="1868" spans="15:61" hidden="1">
      <c r="O1868" s="57"/>
      <c r="P1868" s="57"/>
      <c r="BA1868" s="57"/>
      <c r="BF1868" s="6" t="e">
        <f t="shared" si="87"/>
        <v>#NUM!</v>
      </c>
      <c r="BG1868" t="e">
        <f t="shared" si="88"/>
        <v>#NUM!</v>
      </c>
      <c r="BH1868" t="e">
        <f t="shared" si="89"/>
        <v>#NUM!</v>
      </c>
      <c r="BI1868" t="e">
        <f>VLOOKUP(H1868,Sheet2!$A$1:$B$270,2,FALSE)</f>
        <v>#N/A</v>
      </c>
    </row>
    <row r="1869" spans="15:61" hidden="1">
      <c r="O1869" s="57"/>
      <c r="P1869" s="57"/>
      <c r="AP1869" s="57"/>
      <c r="BA1869" s="57"/>
      <c r="BF1869" s="6" t="e">
        <f t="shared" si="87"/>
        <v>#NUM!</v>
      </c>
      <c r="BG1869" t="e">
        <f t="shared" si="88"/>
        <v>#NUM!</v>
      </c>
      <c r="BH1869" t="e">
        <f t="shared" si="89"/>
        <v>#NUM!</v>
      </c>
      <c r="BI1869" t="e">
        <f>VLOOKUP(H1869,Sheet2!$A$1:$B$270,2,FALSE)</f>
        <v>#N/A</v>
      </c>
    </row>
    <row r="1870" spans="15:61" hidden="1">
      <c r="O1870" s="57"/>
      <c r="P1870" s="57"/>
      <c r="AO1870" s="57"/>
      <c r="AP1870" s="57"/>
      <c r="BA1870" s="57"/>
      <c r="BF1870" s="6" t="e">
        <f t="shared" si="87"/>
        <v>#NUM!</v>
      </c>
      <c r="BG1870" t="e">
        <f t="shared" si="88"/>
        <v>#NUM!</v>
      </c>
      <c r="BH1870" t="e">
        <f t="shared" si="89"/>
        <v>#NUM!</v>
      </c>
      <c r="BI1870" t="e">
        <f>VLOOKUP(H1870,Sheet2!$A$1:$B$270,2,FALSE)</f>
        <v>#N/A</v>
      </c>
    </row>
    <row r="1871" spans="15:61" hidden="1">
      <c r="O1871" s="57"/>
      <c r="P1871" s="57"/>
      <c r="AO1871" s="57"/>
      <c r="AP1871" s="57"/>
      <c r="BA1871" s="57"/>
      <c r="BF1871" s="6" t="e">
        <f t="shared" si="87"/>
        <v>#NUM!</v>
      </c>
      <c r="BG1871" t="e">
        <f t="shared" si="88"/>
        <v>#NUM!</v>
      </c>
      <c r="BH1871" t="e">
        <f t="shared" si="89"/>
        <v>#NUM!</v>
      </c>
      <c r="BI1871" t="e">
        <f>VLOOKUP(H1871,Sheet2!$A$1:$B$270,2,FALSE)</f>
        <v>#N/A</v>
      </c>
    </row>
    <row r="1872" spans="15:61" hidden="1">
      <c r="O1872" s="57"/>
      <c r="P1872" s="57"/>
      <c r="AO1872" s="57"/>
      <c r="BA1872" s="57"/>
      <c r="BF1872" s="6" t="e">
        <f t="shared" si="87"/>
        <v>#NUM!</v>
      </c>
      <c r="BG1872" t="e">
        <f t="shared" si="88"/>
        <v>#NUM!</v>
      </c>
      <c r="BH1872" t="e">
        <f t="shared" si="89"/>
        <v>#NUM!</v>
      </c>
      <c r="BI1872" t="e">
        <f>VLOOKUP(H1872,Sheet2!$A$1:$B$270,2,FALSE)</f>
        <v>#N/A</v>
      </c>
    </row>
    <row r="1873" spans="15:61" hidden="1">
      <c r="O1873" s="57"/>
      <c r="P1873" s="57"/>
      <c r="AO1873" s="57"/>
      <c r="BF1873" s="6" t="e">
        <f t="shared" si="87"/>
        <v>#NUM!</v>
      </c>
      <c r="BG1873" t="e">
        <f t="shared" si="88"/>
        <v>#NUM!</v>
      </c>
      <c r="BH1873" t="e">
        <f t="shared" si="89"/>
        <v>#NUM!</v>
      </c>
      <c r="BI1873" t="e">
        <f>VLOOKUP(H1873,Sheet2!$A$1:$B$270,2,FALSE)</f>
        <v>#N/A</v>
      </c>
    </row>
    <row r="1874" spans="15:61" hidden="1">
      <c r="O1874" s="57"/>
      <c r="P1874" s="57"/>
      <c r="AO1874" s="57"/>
      <c r="AP1874" s="57"/>
      <c r="BA1874" s="57"/>
      <c r="BF1874" s="6" t="e">
        <f t="shared" si="87"/>
        <v>#NUM!</v>
      </c>
      <c r="BG1874" t="e">
        <f t="shared" si="88"/>
        <v>#NUM!</v>
      </c>
      <c r="BH1874" t="e">
        <f t="shared" si="89"/>
        <v>#NUM!</v>
      </c>
      <c r="BI1874" t="e">
        <f>VLOOKUP(H1874,Sheet2!$A$1:$B$270,2,FALSE)</f>
        <v>#N/A</v>
      </c>
    </row>
    <row r="1875" spans="15:61" hidden="1">
      <c r="O1875" s="57"/>
      <c r="P1875" s="57"/>
      <c r="BA1875" s="57"/>
      <c r="BF1875" s="6" t="e">
        <f t="shared" si="87"/>
        <v>#NUM!</v>
      </c>
      <c r="BG1875" t="e">
        <f t="shared" si="88"/>
        <v>#NUM!</v>
      </c>
      <c r="BH1875" t="e">
        <f t="shared" si="89"/>
        <v>#NUM!</v>
      </c>
      <c r="BI1875" t="e">
        <f>VLOOKUP(H1875,Sheet2!$A$1:$B$270,2,FALSE)</f>
        <v>#N/A</v>
      </c>
    </row>
    <row r="1876" spans="15:61" hidden="1">
      <c r="O1876" s="57"/>
      <c r="P1876" s="57"/>
      <c r="BA1876" s="57"/>
      <c r="BF1876" s="6" t="e">
        <f t="shared" si="87"/>
        <v>#NUM!</v>
      </c>
      <c r="BG1876" t="e">
        <f t="shared" si="88"/>
        <v>#NUM!</v>
      </c>
      <c r="BH1876" t="e">
        <f t="shared" si="89"/>
        <v>#NUM!</v>
      </c>
      <c r="BI1876" t="e">
        <f>VLOOKUP(H1876,Sheet2!$A$1:$B$270,2,FALSE)</f>
        <v>#N/A</v>
      </c>
    </row>
    <row r="1877" spans="15:61" hidden="1">
      <c r="O1877" s="57"/>
      <c r="P1877" s="57"/>
      <c r="AP1877" s="57"/>
      <c r="BA1877" s="57"/>
      <c r="BF1877" s="6" t="e">
        <f t="shared" si="87"/>
        <v>#NUM!</v>
      </c>
      <c r="BG1877" t="e">
        <f t="shared" si="88"/>
        <v>#NUM!</v>
      </c>
      <c r="BH1877" t="e">
        <f t="shared" si="89"/>
        <v>#NUM!</v>
      </c>
      <c r="BI1877" t="e">
        <f>VLOOKUP(H1877,Sheet2!$A$1:$B$270,2,FALSE)</f>
        <v>#N/A</v>
      </c>
    </row>
    <row r="1878" spans="15:61" hidden="1">
      <c r="O1878" s="57"/>
      <c r="P1878" s="57"/>
      <c r="BA1878" s="57"/>
      <c r="BF1878" s="6" t="e">
        <f t="shared" si="87"/>
        <v>#NUM!</v>
      </c>
      <c r="BG1878" t="e">
        <f t="shared" si="88"/>
        <v>#NUM!</v>
      </c>
      <c r="BH1878" t="e">
        <f t="shared" si="89"/>
        <v>#NUM!</v>
      </c>
      <c r="BI1878" t="e">
        <f>VLOOKUP(H1878,Sheet2!$A$1:$B$270,2,FALSE)</f>
        <v>#N/A</v>
      </c>
    </row>
    <row r="1879" spans="15:61" hidden="1">
      <c r="O1879" s="57"/>
      <c r="P1879" s="57"/>
      <c r="BA1879" s="57"/>
      <c r="BF1879" s="6" t="e">
        <f t="shared" si="87"/>
        <v>#NUM!</v>
      </c>
      <c r="BG1879" t="e">
        <f t="shared" si="88"/>
        <v>#NUM!</v>
      </c>
      <c r="BH1879" t="e">
        <f t="shared" si="89"/>
        <v>#NUM!</v>
      </c>
      <c r="BI1879" t="e">
        <f>VLOOKUP(H1879,Sheet2!$A$1:$B$270,2,FALSE)</f>
        <v>#N/A</v>
      </c>
    </row>
    <row r="1880" spans="15:61" hidden="1">
      <c r="O1880" s="57"/>
      <c r="P1880" s="57"/>
      <c r="AP1880" s="57"/>
      <c r="BA1880" s="57"/>
      <c r="BF1880" s="6" t="e">
        <f t="shared" si="87"/>
        <v>#NUM!</v>
      </c>
      <c r="BG1880" t="e">
        <f t="shared" si="88"/>
        <v>#NUM!</v>
      </c>
      <c r="BH1880" t="e">
        <f t="shared" si="89"/>
        <v>#NUM!</v>
      </c>
      <c r="BI1880" t="e">
        <f>VLOOKUP(H1880,Sheet2!$A$1:$B$270,2,FALSE)</f>
        <v>#N/A</v>
      </c>
    </row>
    <row r="1881" spans="15:61" hidden="1">
      <c r="O1881" s="57"/>
      <c r="P1881" s="57"/>
      <c r="AP1881" s="57"/>
      <c r="BA1881" s="57"/>
      <c r="BF1881" s="6" t="e">
        <f t="shared" si="87"/>
        <v>#NUM!</v>
      </c>
      <c r="BG1881" t="e">
        <f t="shared" si="88"/>
        <v>#NUM!</v>
      </c>
      <c r="BH1881" t="e">
        <f t="shared" si="89"/>
        <v>#NUM!</v>
      </c>
      <c r="BI1881" t="e">
        <f>VLOOKUP(H1881,Sheet2!$A$1:$B$270,2,FALSE)</f>
        <v>#N/A</v>
      </c>
    </row>
    <row r="1882" spans="15:61" hidden="1">
      <c r="O1882" s="57"/>
      <c r="P1882" s="57"/>
      <c r="BA1882" s="57"/>
      <c r="BF1882" s="6" t="e">
        <f t="shared" si="87"/>
        <v>#NUM!</v>
      </c>
      <c r="BG1882" t="e">
        <f t="shared" si="88"/>
        <v>#NUM!</v>
      </c>
      <c r="BH1882" t="e">
        <f t="shared" si="89"/>
        <v>#NUM!</v>
      </c>
      <c r="BI1882" t="e">
        <f>VLOOKUP(H1882,Sheet2!$A$1:$B$270,2,FALSE)</f>
        <v>#N/A</v>
      </c>
    </row>
    <row r="1883" spans="15:61" hidden="1">
      <c r="O1883" s="57"/>
      <c r="P1883" s="57"/>
      <c r="AP1883" s="57"/>
      <c r="BA1883" s="57"/>
      <c r="BF1883" s="6" t="e">
        <f t="shared" si="87"/>
        <v>#NUM!</v>
      </c>
      <c r="BG1883" t="e">
        <f t="shared" si="88"/>
        <v>#NUM!</v>
      </c>
      <c r="BH1883" t="e">
        <f t="shared" si="89"/>
        <v>#NUM!</v>
      </c>
      <c r="BI1883" t="e">
        <f>VLOOKUP(H1883,Sheet2!$A$1:$B$270,2,FALSE)</f>
        <v>#N/A</v>
      </c>
    </row>
    <row r="1884" spans="15:61" hidden="1">
      <c r="O1884" s="57"/>
      <c r="P1884" s="57"/>
      <c r="AP1884" s="57"/>
      <c r="BA1884" s="57"/>
      <c r="BF1884" s="6" t="e">
        <f t="shared" si="87"/>
        <v>#NUM!</v>
      </c>
      <c r="BG1884" t="e">
        <f t="shared" si="88"/>
        <v>#NUM!</v>
      </c>
      <c r="BH1884" t="e">
        <f t="shared" si="89"/>
        <v>#NUM!</v>
      </c>
      <c r="BI1884" t="e">
        <f>VLOOKUP(H1884,Sheet2!$A$1:$B$270,2,FALSE)</f>
        <v>#N/A</v>
      </c>
    </row>
    <row r="1885" spans="15:61" hidden="1">
      <c r="O1885" s="57"/>
      <c r="P1885" s="57"/>
      <c r="BF1885" s="6" t="e">
        <f t="shared" si="87"/>
        <v>#NUM!</v>
      </c>
      <c r="BG1885" t="e">
        <f t="shared" si="88"/>
        <v>#NUM!</v>
      </c>
      <c r="BH1885" t="e">
        <f t="shared" si="89"/>
        <v>#NUM!</v>
      </c>
      <c r="BI1885" t="e">
        <f>VLOOKUP(H1885,Sheet2!$A$1:$B$270,2,FALSE)</f>
        <v>#N/A</v>
      </c>
    </row>
    <row r="1886" spans="15:61" hidden="1">
      <c r="O1886" s="57"/>
      <c r="P1886" s="57"/>
      <c r="BF1886" s="6" t="e">
        <f t="shared" si="87"/>
        <v>#NUM!</v>
      </c>
      <c r="BG1886" t="e">
        <f t="shared" si="88"/>
        <v>#NUM!</v>
      </c>
      <c r="BH1886" t="e">
        <f t="shared" si="89"/>
        <v>#NUM!</v>
      </c>
      <c r="BI1886" t="e">
        <f>VLOOKUP(H1886,Sheet2!$A$1:$B$270,2,FALSE)</f>
        <v>#N/A</v>
      </c>
    </row>
    <row r="1887" spans="15:61" hidden="1">
      <c r="O1887" s="57"/>
      <c r="P1887" s="57"/>
      <c r="AO1887" s="57"/>
      <c r="BA1887" s="57"/>
      <c r="BF1887" s="6" t="e">
        <f t="shared" si="87"/>
        <v>#NUM!</v>
      </c>
      <c r="BG1887" t="e">
        <f t="shared" si="88"/>
        <v>#NUM!</v>
      </c>
      <c r="BH1887" t="e">
        <f t="shared" si="89"/>
        <v>#NUM!</v>
      </c>
      <c r="BI1887" t="e">
        <f>VLOOKUP(H1887,Sheet2!$A$1:$B$270,2,FALSE)</f>
        <v>#N/A</v>
      </c>
    </row>
    <row r="1888" spans="15:61" hidden="1">
      <c r="O1888" s="57"/>
      <c r="P1888" s="57"/>
      <c r="AO1888" s="57"/>
      <c r="AP1888" s="57"/>
      <c r="BA1888" s="57"/>
      <c r="BF1888" s="6" t="e">
        <f t="shared" si="87"/>
        <v>#NUM!</v>
      </c>
      <c r="BG1888" t="e">
        <f t="shared" si="88"/>
        <v>#NUM!</v>
      </c>
      <c r="BH1888" t="e">
        <f t="shared" si="89"/>
        <v>#NUM!</v>
      </c>
      <c r="BI1888" t="e">
        <f>VLOOKUP(H1888,Sheet2!$A$1:$B$270,2,FALSE)</f>
        <v>#N/A</v>
      </c>
    </row>
    <row r="1889" spans="15:61" hidden="1">
      <c r="O1889" s="57"/>
      <c r="P1889" s="57"/>
      <c r="AP1889" s="57"/>
      <c r="BA1889" s="57"/>
      <c r="BF1889" s="6" t="e">
        <f t="shared" si="87"/>
        <v>#NUM!</v>
      </c>
      <c r="BG1889" t="e">
        <f t="shared" si="88"/>
        <v>#NUM!</v>
      </c>
      <c r="BH1889" t="e">
        <f t="shared" si="89"/>
        <v>#NUM!</v>
      </c>
      <c r="BI1889" t="e">
        <f>VLOOKUP(H1889,Sheet2!$A$1:$B$270,2,FALSE)</f>
        <v>#N/A</v>
      </c>
    </row>
    <row r="1890" spans="15:61" hidden="1">
      <c r="O1890" s="57"/>
      <c r="P1890" s="57"/>
      <c r="AP1890" s="57"/>
      <c r="BA1890" s="57"/>
      <c r="BF1890" s="6" t="e">
        <f t="shared" si="87"/>
        <v>#NUM!</v>
      </c>
      <c r="BG1890" t="e">
        <f t="shared" si="88"/>
        <v>#NUM!</v>
      </c>
      <c r="BH1890" t="e">
        <f t="shared" si="89"/>
        <v>#NUM!</v>
      </c>
      <c r="BI1890" t="e">
        <f>VLOOKUP(H1890,Sheet2!$A$1:$B$270,2,FALSE)</f>
        <v>#N/A</v>
      </c>
    </row>
    <row r="1891" spans="15:61" hidden="1">
      <c r="O1891" s="57"/>
      <c r="P1891" s="57"/>
      <c r="AP1891" s="57"/>
      <c r="BA1891" s="57"/>
      <c r="BF1891" s="6" t="e">
        <f t="shared" si="87"/>
        <v>#NUM!</v>
      </c>
      <c r="BG1891" t="e">
        <f t="shared" si="88"/>
        <v>#NUM!</v>
      </c>
      <c r="BH1891" t="e">
        <f t="shared" si="89"/>
        <v>#NUM!</v>
      </c>
      <c r="BI1891" t="e">
        <f>VLOOKUP(H1891,Sheet2!$A$1:$B$270,2,FALSE)</f>
        <v>#N/A</v>
      </c>
    </row>
    <row r="1892" spans="15:61" hidden="1">
      <c r="O1892" s="57"/>
      <c r="P1892" s="57"/>
      <c r="AO1892" s="57"/>
      <c r="AP1892" s="57"/>
      <c r="BA1892" s="57"/>
      <c r="BF1892" s="6" t="e">
        <f t="shared" si="87"/>
        <v>#NUM!</v>
      </c>
      <c r="BG1892" t="e">
        <f t="shared" si="88"/>
        <v>#NUM!</v>
      </c>
      <c r="BH1892" t="e">
        <f t="shared" si="89"/>
        <v>#NUM!</v>
      </c>
      <c r="BI1892" t="e">
        <f>VLOOKUP(H1892,Sheet2!$A$1:$B$270,2,FALSE)</f>
        <v>#N/A</v>
      </c>
    </row>
    <row r="1893" spans="15:61" hidden="1">
      <c r="O1893" s="57"/>
      <c r="P1893" s="57"/>
      <c r="AO1893" s="57"/>
      <c r="AP1893" s="57"/>
      <c r="BA1893" s="57"/>
      <c r="BF1893" s="6" t="e">
        <f t="shared" si="87"/>
        <v>#NUM!</v>
      </c>
      <c r="BG1893" t="e">
        <f t="shared" si="88"/>
        <v>#NUM!</v>
      </c>
      <c r="BH1893" t="e">
        <f t="shared" si="89"/>
        <v>#NUM!</v>
      </c>
      <c r="BI1893" t="e">
        <f>VLOOKUP(H1893,Sheet2!$A$1:$B$270,2,FALSE)</f>
        <v>#N/A</v>
      </c>
    </row>
    <row r="1894" spans="15:61" hidden="1">
      <c r="O1894" s="57"/>
      <c r="P1894" s="57"/>
      <c r="AO1894" s="57"/>
      <c r="AP1894" s="57"/>
      <c r="BA1894" s="57"/>
      <c r="BF1894" s="6" t="e">
        <f t="shared" si="87"/>
        <v>#NUM!</v>
      </c>
      <c r="BG1894" t="e">
        <f t="shared" si="88"/>
        <v>#NUM!</v>
      </c>
      <c r="BH1894" t="e">
        <f t="shared" si="89"/>
        <v>#NUM!</v>
      </c>
      <c r="BI1894" t="e">
        <f>VLOOKUP(H1894,Sheet2!$A$1:$B$270,2,FALSE)</f>
        <v>#N/A</v>
      </c>
    </row>
    <row r="1895" spans="15:61" hidden="1">
      <c r="O1895" s="57"/>
      <c r="P1895" s="57"/>
      <c r="AO1895" s="57"/>
      <c r="AP1895" s="57"/>
      <c r="BA1895" s="57"/>
      <c r="BF1895" s="6" t="e">
        <f t="shared" si="87"/>
        <v>#NUM!</v>
      </c>
      <c r="BG1895" t="e">
        <f t="shared" si="88"/>
        <v>#NUM!</v>
      </c>
      <c r="BH1895" t="e">
        <f t="shared" si="89"/>
        <v>#NUM!</v>
      </c>
      <c r="BI1895" t="e">
        <f>VLOOKUP(H1895,Sheet2!$A$1:$B$270,2,FALSE)</f>
        <v>#N/A</v>
      </c>
    </row>
    <row r="1896" spans="15:61" hidden="1">
      <c r="O1896" s="57"/>
      <c r="P1896" s="57"/>
      <c r="AP1896" s="57"/>
      <c r="BA1896" s="57"/>
      <c r="BF1896" s="6" t="e">
        <f t="shared" si="87"/>
        <v>#NUM!</v>
      </c>
      <c r="BG1896" t="e">
        <f t="shared" si="88"/>
        <v>#NUM!</v>
      </c>
      <c r="BH1896" t="e">
        <f t="shared" si="89"/>
        <v>#NUM!</v>
      </c>
      <c r="BI1896" t="e">
        <f>VLOOKUP(H1896,Sheet2!$A$1:$B$270,2,FALSE)</f>
        <v>#N/A</v>
      </c>
    </row>
    <row r="1897" spans="15:61" hidden="1">
      <c r="O1897" s="57"/>
      <c r="P1897" s="57"/>
      <c r="AP1897" s="57"/>
      <c r="BA1897" s="57"/>
      <c r="BF1897" s="6" t="e">
        <f t="shared" si="87"/>
        <v>#NUM!</v>
      </c>
      <c r="BG1897" t="e">
        <f t="shared" si="88"/>
        <v>#NUM!</v>
      </c>
      <c r="BH1897" t="e">
        <f t="shared" si="89"/>
        <v>#NUM!</v>
      </c>
      <c r="BI1897" t="e">
        <f>VLOOKUP(H1897,Sheet2!$A$1:$B$270,2,FALSE)</f>
        <v>#N/A</v>
      </c>
    </row>
    <row r="1898" spans="15:61" hidden="1">
      <c r="O1898" s="57"/>
      <c r="P1898" s="57"/>
      <c r="AP1898" s="57"/>
      <c r="BA1898" s="57"/>
      <c r="BF1898" s="6" t="e">
        <f t="shared" si="87"/>
        <v>#NUM!</v>
      </c>
      <c r="BG1898" t="e">
        <f t="shared" si="88"/>
        <v>#NUM!</v>
      </c>
      <c r="BH1898" t="e">
        <f t="shared" si="89"/>
        <v>#NUM!</v>
      </c>
      <c r="BI1898" t="e">
        <f>VLOOKUP(H1898,Sheet2!$A$1:$B$270,2,FALSE)</f>
        <v>#N/A</v>
      </c>
    </row>
    <row r="1899" spans="15:61" hidden="1">
      <c r="O1899" s="57"/>
      <c r="P1899" s="57"/>
      <c r="AP1899" s="57"/>
      <c r="BA1899" s="57"/>
      <c r="BF1899" s="6" t="e">
        <f t="shared" si="87"/>
        <v>#NUM!</v>
      </c>
      <c r="BG1899" t="e">
        <f t="shared" si="88"/>
        <v>#NUM!</v>
      </c>
      <c r="BH1899" t="e">
        <f t="shared" si="89"/>
        <v>#NUM!</v>
      </c>
      <c r="BI1899" t="e">
        <f>VLOOKUP(H1899,Sheet2!$A$1:$B$270,2,FALSE)</f>
        <v>#N/A</v>
      </c>
    </row>
    <row r="1900" spans="15:61" hidden="1">
      <c r="O1900" s="57"/>
      <c r="P1900" s="57"/>
      <c r="AP1900" s="57"/>
      <c r="BA1900" s="57"/>
      <c r="BF1900" s="6" t="e">
        <f t="shared" si="87"/>
        <v>#NUM!</v>
      </c>
      <c r="BG1900" t="e">
        <f t="shared" si="88"/>
        <v>#NUM!</v>
      </c>
      <c r="BH1900" t="e">
        <f t="shared" si="89"/>
        <v>#NUM!</v>
      </c>
      <c r="BI1900" t="e">
        <f>VLOOKUP(H1900,Sheet2!$A$1:$B$270,2,FALSE)</f>
        <v>#N/A</v>
      </c>
    </row>
    <row r="1901" spans="15:61" hidden="1">
      <c r="O1901" s="57"/>
      <c r="P1901" s="57"/>
      <c r="AP1901" s="57"/>
      <c r="BA1901" s="57"/>
      <c r="BF1901" s="6" t="e">
        <f t="shared" si="87"/>
        <v>#NUM!</v>
      </c>
      <c r="BG1901" t="e">
        <f t="shared" si="88"/>
        <v>#NUM!</v>
      </c>
      <c r="BH1901" t="e">
        <f t="shared" si="89"/>
        <v>#NUM!</v>
      </c>
      <c r="BI1901" t="e">
        <f>VLOOKUP(H1901,Sheet2!$A$1:$B$270,2,FALSE)</f>
        <v>#N/A</v>
      </c>
    </row>
    <row r="1902" spans="15:61" hidden="1">
      <c r="O1902" s="57"/>
      <c r="P1902" s="57"/>
      <c r="BA1902" s="57"/>
      <c r="BF1902" s="6" t="e">
        <f t="shared" si="87"/>
        <v>#NUM!</v>
      </c>
      <c r="BG1902" t="e">
        <f t="shared" si="88"/>
        <v>#NUM!</v>
      </c>
      <c r="BH1902" t="e">
        <f t="shared" si="89"/>
        <v>#NUM!</v>
      </c>
      <c r="BI1902" t="e">
        <f>VLOOKUP(H1902,Sheet2!$A$1:$B$270,2,FALSE)</f>
        <v>#N/A</v>
      </c>
    </row>
    <row r="1903" spans="15:61" hidden="1">
      <c r="O1903" s="57"/>
      <c r="P1903" s="57"/>
      <c r="AP1903" s="57"/>
      <c r="BA1903" s="57"/>
      <c r="BF1903" s="6" t="e">
        <f t="shared" si="87"/>
        <v>#NUM!</v>
      </c>
      <c r="BG1903" t="e">
        <f t="shared" si="88"/>
        <v>#NUM!</v>
      </c>
      <c r="BH1903" t="e">
        <f t="shared" si="89"/>
        <v>#NUM!</v>
      </c>
      <c r="BI1903" t="e">
        <f>VLOOKUP(H1903,Sheet2!$A$1:$B$270,2,FALSE)</f>
        <v>#N/A</v>
      </c>
    </row>
    <row r="1904" spans="15:61" hidden="1">
      <c r="O1904" s="57"/>
      <c r="P1904" s="57"/>
      <c r="AP1904" s="57"/>
      <c r="BA1904" s="57"/>
      <c r="BF1904" s="6" t="e">
        <f t="shared" si="87"/>
        <v>#NUM!</v>
      </c>
      <c r="BG1904" t="e">
        <f t="shared" si="88"/>
        <v>#NUM!</v>
      </c>
      <c r="BH1904" t="e">
        <f t="shared" si="89"/>
        <v>#NUM!</v>
      </c>
      <c r="BI1904" t="e">
        <f>VLOOKUP(H1904,Sheet2!$A$1:$B$270,2,FALSE)</f>
        <v>#N/A</v>
      </c>
    </row>
    <row r="1905" spans="15:61" hidden="1">
      <c r="O1905" s="57"/>
      <c r="P1905" s="57"/>
      <c r="AP1905" s="57"/>
      <c r="BA1905" s="57"/>
      <c r="BF1905" s="6" t="e">
        <f t="shared" si="87"/>
        <v>#NUM!</v>
      </c>
      <c r="BG1905" t="e">
        <f t="shared" si="88"/>
        <v>#NUM!</v>
      </c>
      <c r="BH1905" t="e">
        <f t="shared" si="89"/>
        <v>#NUM!</v>
      </c>
      <c r="BI1905" t="e">
        <f>VLOOKUP(H1905,Sheet2!$A$1:$B$270,2,FALSE)</f>
        <v>#N/A</v>
      </c>
    </row>
    <row r="1906" spans="15:61" hidden="1">
      <c r="O1906" s="57"/>
      <c r="P1906" s="57"/>
      <c r="AP1906" s="57"/>
      <c r="BA1906" s="57"/>
      <c r="BF1906" s="6" t="e">
        <f t="shared" si="87"/>
        <v>#NUM!</v>
      </c>
      <c r="BG1906" t="e">
        <f t="shared" si="88"/>
        <v>#NUM!</v>
      </c>
      <c r="BH1906" t="e">
        <f t="shared" si="89"/>
        <v>#NUM!</v>
      </c>
      <c r="BI1906" t="e">
        <f>VLOOKUP(H1906,Sheet2!$A$1:$B$270,2,FALSE)</f>
        <v>#N/A</v>
      </c>
    </row>
    <row r="1907" spans="15:61" hidden="1">
      <c r="O1907" s="57"/>
      <c r="P1907" s="57"/>
      <c r="AP1907" s="57"/>
      <c r="BA1907" s="57"/>
      <c r="BF1907" s="6" t="e">
        <f t="shared" si="87"/>
        <v>#NUM!</v>
      </c>
      <c r="BG1907" t="e">
        <f t="shared" si="88"/>
        <v>#NUM!</v>
      </c>
      <c r="BH1907" t="e">
        <f t="shared" si="89"/>
        <v>#NUM!</v>
      </c>
      <c r="BI1907" t="e">
        <f>VLOOKUP(H1907,Sheet2!$A$1:$B$270,2,FALSE)</f>
        <v>#N/A</v>
      </c>
    </row>
    <row r="1908" spans="15:61" hidden="1">
      <c r="O1908" s="57"/>
      <c r="P1908" s="57"/>
      <c r="AP1908" s="57"/>
      <c r="BA1908" s="57"/>
      <c r="BF1908" s="6" t="e">
        <f t="shared" si="87"/>
        <v>#NUM!</v>
      </c>
      <c r="BG1908" t="e">
        <f t="shared" si="88"/>
        <v>#NUM!</v>
      </c>
      <c r="BH1908" t="e">
        <f t="shared" si="89"/>
        <v>#NUM!</v>
      </c>
      <c r="BI1908" t="e">
        <f>VLOOKUP(H1908,Sheet2!$A$1:$B$270,2,FALSE)</f>
        <v>#N/A</v>
      </c>
    </row>
    <row r="1909" spans="15:61" hidden="1">
      <c r="O1909" s="57"/>
      <c r="P1909" s="57"/>
      <c r="AP1909" s="57"/>
      <c r="BA1909" s="57"/>
      <c r="BF1909" s="6" t="e">
        <f t="shared" si="87"/>
        <v>#NUM!</v>
      </c>
      <c r="BG1909" t="e">
        <f t="shared" si="88"/>
        <v>#NUM!</v>
      </c>
      <c r="BH1909" t="e">
        <f t="shared" si="89"/>
        <v>#NUM!</v>
      </c>
      <c r="BI1909" t="e">
        <f>VLOOKUP(H1909,Sheet2!$A$1:$B$270,2,FALSE)</f>
        <v>#N/A</v>
      </c>
    </row>
    <row r="1910" spans="15:61" hidden="1">
      <c r="O1910" s="57"/>
      <c r="P1910" s="57"/>
      <c r="BA1910" s="57"/>
      <c r="BF1910" s="6" t="e">
        <f t="shared" si="87"/>
        <v>#NUM!</v>
      </c>
      <c r="BG1910" t="e">
        <f t="shared" si="88"/>
        <v>#NUM!</v>
      </c>
      <c r="BH1910" t="e">
        <f t="shared" si="89"/>
        <v>#NUM!</v>
      </c>
      <c r="BI1910" t="e">
        <f>VLOOKUP(H1910,Sheet2!$A$1:$B$270,2,FALSE)</f>
        <v>#N/A</v>
      </c>
    </row>
    <row r="1911" spans="15:61" hidden="1">
      <c r="O1911" s="57"/>
      <c r="P1911" s="57"/>
      <c r="AP1911" s="57"/>
      <c r="BA1911" s="57"/>
      <c r="BF1911" s="6" t="e">
        <f t="shared" si="87"/>
        <v>#NUM!</v>
      </c>
      <c r="BG1911" t="e">
        <f t="shared" si="88"/>
        <v>#NUM!</v>
      </c>
      <c r="BH1911" t="e">
        <f t="shared" si="89"/>
        <v>#NUM!</v>
      </c>
      <c r="BI1911" t="e">
        <f>VLOOKUP(H1911,Sheet2!$A$1:$B$270,2,FALSE)</f>
        <v>#N/A</v>
      </c>
    </row>
    <row r="1912" spans="15:61" hidden="1">
      <c r="O1912" s="57"/>
      <c r="P1912" s="57"/>
      <c r="AP1912" s="57"/>
      <c r="BA1912" s="57"/>
      <c r="BF1912" s="6" t="e">
        <f t="shared" si="87"/>
        <v>#NUM!</v>
      </c>
      <c r="BG1912" t="e">
        <f t="shared" si="88"/>
        <v>#NUM!</v>
      </c>
      <c r="BH1912" t="e">
        <f t="shared" si="89"/>
        <v>#NUM!</v>
      </c>
      <c r="BI1912" t="e">
        <f>VLOOKUP(H1912,Sheet2!$A$1:$B$270,2,FALSE)</f>
        <v>#N/A</v>
      </c>
    </row>
    <row r="1913" spans="15:61" hidden="1">
      <c r="O1913" s="57"/>
      <c r="P1913" s="57"/>
      <c r="AP1913" s="57"/>
      <c r="BA1913" s="57"/>
      <c r="BF1913" s="6" t="e">
        <f t="shared" si="87"/>
        <v>#NUM!</v>
      </c>
      <c r="BG1913" t="e">
        <f t="shared" si="88"/>
        <v>#NUM!</v>
      </c>
      <c r="BH1913" t="e">
        <f t="shared" si="89"/>
        <v>#NUM!</v>
      </c>
      <c r="BI1913" t="e">
        <f>VLOOKUP(H1913,Sheet2!$A$1:$B$270,2,FALSE)</f>
        <v>#N/A</v>
      </c>
    </row>
    <row r="1914" spans="15:61" hidden="1">
      <c r="O1914" s="57"/>
      <c r="P1914" s="57"/>
      <c r="AO1914" s="57"/>
      <c r="AP1914" s="57"/>
      <c r="BA1914" s="57"/>
      <c r="BF1914" s="6" t="e">
        <f t="shared" si="87"/>
        <v>#NUM!</v>
      </c>
      <c r="BG1914" t="e">
        <f t="shared" si="88"/>
        <v>#NUM!</v>
      </c>
      <c r="BH1914" t="e">
        <f t="shared" si="89"/>
        <v>#NUM!</v>
      </c>
      <c r="BI1914" t="e">
        <f>VLOOKUP(H1914,Sheet2!$A$1:$B$270,2,FALSE)</f>
        <v>#N/A</v>
      </c>
    </row>
    <row r="1915" spans="15:61" hidden="1">
      <c r="O1915" s="57"/>
      <c r="P1915" s="57"/>
      <c r="AP1915" s="57"/>
      <c r="BA1915" s="57"/>
      <c r="BF1915" s="6" t="e">
        <f t="shared" si="87"/>
        <v>#NUM!</v>
      </c>
      <c r="BG1915" t="e">
        <f t="shared" si="88"/>
        <v>#NUM!</v>
      </c>
      <c r="BH1915" t="e">
        <f t="shared" si="89"/>
        <v>#NUM!</v>
      </c>
      <c r="BI1915" t="e">
        <f>VLOOKUP(H1915,Sheet2!$A$1:$B$270,2,FALSE)</f>
        <v>#N/A</v>
      </c>
    </row>
    <row r="1916" spans="15:61" hidden="1">
      <c r="O1916" s="57"/>
      <c r="P1916" s="57"/>
      <c r="BA1916" s="57"/>
      <c r="BF1916" s="6" t="e">
        <f t="shared" si="87"/>
        <v>#NUM!</v>
      </c>
      <c r="BG1916" t="e">
        <f t="shared" si="88"/>
        <v>#NUM!</v>
      </c>
      <c r="BH1916" t="e">
        <f t="shared" si="89"/>
        <v>#NUM!</v>
      </c>
      <c r="BI1916" t="e">
        <f>VLOOKUP(H1916,Sheet2!$A$1:$B$270,2,FALSE)</f>
        <v>#N/A</v>
      </c>
    </row>
    <row r="1917" spans="15:61" hidden="1">
      <c r="O1917" s="57"/>
      <c r="P1917" s="57"/>
      <c r="AO1917" s="57"/>
      <c r="AP1917" s="57"/>
      <c r="BA1917" s="57"/>
      <c r="BF1917" s="6" t="e">
        <f t="shared" si="87"/>
        <v>#NUM!</v>
      </c>
      <c r="BG1917" t="e">
        <f t="shared" si="88"/>
        <v>#NUM!</v>
      </c>
      <c r="BH1917" t="e">
        <f t="shared" si="89"/>
        <v>#NUM!</v>
      </c>
      <c r="BI1917" t="e">
        <f>VLOOKUP(H1917,Sheet2!$A$1:$B$270,2,FALSE)</f>
        <v>#N/A</v>
      </c>
    </row>
    <row r="1918" spans="15:61" hidden="1">
      <c r="O1918" s="57"/>
      <c r="P1918" s="57"/>
      <c r="AP1918" s="57"/>
      <c r="BA1918" s="57"/>
      <c r="BF1918" s="6" t="e">
        <f t="shared" si="87"/>
        <v>#NUM!</v>
      </c>
      <c r="BG1918" t="e">
        <f t="shared" si="88"/>
        <v>#NUM!</v>
      </c>
      <c r="BH1918" t="e">
        <f t="shared" si="89"/>
        <v>#NUM!</v>
      </c>
      <c r="BI1918" t="e">
        <f>VLOOKUP(H1918,Sheet2!$A$1:$B$270,2,FALSE)</f>
        <v>#N/A</v>
      </c>
    </row>
    <row r="1919" spans="15:61" hidden="1">
      <c r="O1919" s="57"/>
      <c r="P1919" s="57"/>
      <c r="AP1919" s="57"/>
      <c r="BA1919" s="57"/>
      <c r="BF1919" s="6" t="e">
        <f t="shared" si="87"/>
        <v>#NUM!</v>
      </c>
      <c r="BG1919" t="e">
        <f t="shared" si="88"/>
        <v>#NUM!</v>
      </c>
      <c r="BH1919" t="e">
        <f t="shared" si="89"/>
        <v>#NUM!</v>
      </c>
      <c r="BI1919" t="e">
        <f>VLOOKUP(H1919,Sheet2!$A$1:$B$270,2,FALSE)</f>
        <v>#N/A</v>
      </c>
    </row>
    <row r="1920" spans="15:61" hidden="1">
      <c r="O1920" s="57"/>
      <c r="P1920" s="57"/>
      <c r="AP1920" s="57"/>
      <c r="BA1920" s="57"/>
      <c r="BF1920" s="6" t="e">
        <f t="shared" si="87"/>
        <v>#NUM!</v>
      </c>
      <c r="BG1920" t="e">
        <f t="shared" si="88"/>
        <v>#NUM!</v>
      </c>
      <c r="BH1920" t="e">
        <f t="shared" si="89"/>
        <v>#NUM!</v>
      </c>
      <c r="BI1920" t="e">
        <f>VLOOKUP(H1920,Sheet2!$A$1:$B$270,2,FALSE)</f>
        <v>#N/A</v>
      </c>
    </row>
    <row r="1921" spans="15:61" hidden="1">
      <c r="O1921" s="57"/>
      <c r="P1921" s="57"/>
      <c r="AP1921" s="57"/>
      <c r="BA1921" s="57"/>
      <c r="BF1921" s="6" t="e">
        <f t="shared" si="87"/>
        <v>#NUM!</v>
      </c>
      <c r="BG1921" t="e">
        <f t="shared" si="88"/>
        <v>#NUM!</v>
      </c>
      <c r="BH1921" t="e">
        <f t="shared" si="89"/>
        <v>#NUM!</v>
      </c>
      <c r="BI1921" t="e">
        <f>VLOOKUP(H1921,Sheet2!$A$1:$B$270,2,FALSE)</f>
        <v>#N/A</v>
      </c>
    </row>
    <row r="1922" spans="15:61" hidden="1">
      <c r="O1922" s="57"/>
      <c r="P1922" s="57"/>
      <c r="BA1922" s="57"/>
      <c r="BF1922" s="6" t="e">
        <f t="shared" ref="BF1922:BF1985" si="90">DATE(BC1922,BD1922,BE1922)</f>
        <v>#NUM!</v>
      </c>
      <c r="BG1922" t="e">
        <f t="shared" ref="BG1922:BG1985" si="91">BF1922-BA1922</f>
        <v>#NUM!</v>
      </c>
      <c r="BH1922" t="e">
        <f t="shared" ref="BH1922:BH1985" si="92">IF(BG1922=1,"COMPLY",IF(BG1922&lt;1,"COMPLY","NOT COMPLY"))</f>
        <v>#NUM!</v>
      </c>
      <c r="BI1922" t="e">
        <f>VLOOKUP(H1922,Sheet2!$A$1:$B$270,2,FALSE)</f>
        <v>#N/A</v>
      </c>
    </row>
    <row r="1923" spans="15:61" hidden="1">
      <c r="O1923" s="57"/>
      <c r="P1923" s="57"/>
      <c r="AP1923" s="57"/>
      <c r="BA1923" s="57"/>
      <c r="BF1923" s="6" t="e">
        <f t="shared" si="90"/>
        <v>#NUM!</v>
      </c>
      <c r="BG1923" t="e">
        <f t="shared" si="91"/>
        <v>#NUM!</v>
      </c>
      <c r="BH1923" t="e">
        <f t="shared" si="92"/>
        <v>#NUM!</v>
      </c>
      <c r="BI1923" t="e">
        <f>VLOOKUP(H1923,Sheet2!$A$1:$B$270,2,FALSE)</f>
        <v>#N/A</v>
      </c>
    </row>
    <row r="1924" spans="15:61" hidden="1">
      <c r="O1924" s="57"/>
      <c r="P1924" s="57"/>
      <c r="BA1924" s="57"/>
      <c r="BF1924" s="6" t="e">
        <f t="shared" si="90"/>
        <v>#NUM!</v>
      </c>
      <c r="BG1924" t="e">
        <f t="shared" si="91"/>
        <v>#NUM!</v>
      </c>
      <c r="BH1924" t="e">
        <f t="shared" si="92"/>
        <v>#NUM!</v>
      </c>
      <c r="BI1924" t="e">
        <f>VLOOKUP(H1924,Sheet2!$A$1:$B$270,2,FALSE)</f>
        <v>#N/A</v>
      </c>
    </row>
    <row r="1925" spans="15:61" hidden="1">
      <c r="O1925" s="57"/>
      <c r="P1925" s="57"/>
      <c r="AP1925" s="57"/>
      <c r="BA1925" s="57"/>
      <c r="BF1925" s="6" t="e">
        <f t="shared" si="90"/>
        <v>#NUM!</v>
      </c>
      <c r="BG1925" t="e">
        <f t="shared" si="91"/>
        <v>#NUM!</v>
      </c>
      <c r="BH1925" t="e">
        <f t="shared" si="92"/>
        <v>#NUM!</v>
      </c>
      <c r="BI1925" t="e">
        <f>VLOOKUP(H1925,Sheet2!$A$1:$B$270,2,FALSE)</f>
        <v>#N/A</v>
      </c>
    </row>
    <row r="1926" spans="15:61" hidden="1">
      <c r="O1926" s="57"/>
      <c r="P1926" s="57"/>
      <c r="AP1926" s="57"/>
      <c r="BA1926" s="57"/>
      <c r="BF1926" s="6" t="e">
        <f t="shared" si="90"/>
        <v>#NUM!</v>
      </c>
      <c r="BG1926" t="e">
        <f t="shared" si="91"/>
        <v>#NUM!</v>
      </c>
      <c r="BH1926" t="e">
        <f t="shared" si="92"/>
        <v>#NUM!</v>
      </c>
      <c r="BI1926" t="e">
        <f>VLOOKUP(H1926,Sheet2!$A$1:$B$270,2,FALSE)</f>
        <v>#N/A</v>
      </c>
    </row>
    <row r="1927" spans="15:61" hidden="1">
      <c r="O1927" s="57"/>
      <c r="P1927" s="57"/>
      <c r="BA1927" s="57"/>
      <c r="BF1927" s="6" t="e">
        <f t="shared" si="90"/>
        <v>#NUM!</v>
      </c>
      <c r="BG1927" t="e">
        <f t="shared" si="91"/>
        <v>#NUM!</v>
      </c>
      <c r="BH1927" t="e">
        <f t="shared" si="92"/>
        <v>#NUM!</v>
      </c>
      <c r="BI1927" t="e">
        <f>VLOOKUP(H1927,Sheet2!$A$1:$B$270,2,FALSE)</f>
        <v>#N/A</v>
      </c>
    </row>
    <row r="1928" spans="15:61" hidden="1">
      <c r="O1928" s="57"/>
      <c r="P1928" s="57"/>
      <c r="AP1928" s="57"/>
      <c r="BA1928" s="57"/>
      <c r="BF1928" s="6" t="e">
        <f t="shared" si="90"/>
        <v>#NUM!</v>
      </c>
      <c r="BG1928" t="e">
        <f t="shared" si="91"/>
        <v>#NUM!</v>
      </c>
      <c r="BH1928" t="e">
        <f t="shared" si="92"/>
        <v>#NUM!</v>
      </c>
      <c r="BI1928" t="e">
        <f>VLOOKUP(H1928,Sheet2!$A$1:$B$270,2,FALSE)</f>
        <v>#N/A</v>
      </c>
    </row>
    <row r="1929" spans="15:61" hidden="1">
      <c r="O1929" s="57"/>
      <c r="P1929" s="57"/>
      <c r="AO1929" s="57"/>
      <c r="BF1929" s="6" t="e">
        <f t="shared" si="90"/>
        <v>#NUM!</v>
      </c>
      <c r="BG1929" t="e">
        <f t="shared" si="91"/>
        <v>#NUM!</v>
      </c>
      <c r="BH1929" t="e">
        <f t="shared" si="92"/>
        <v>#NUM!</v>
      </c>
      <c r="BI1929" t="e">
        <f>VLOOKUP(H1929,Sheet2!$A$1:$B$270,2,FALSE)</f>
        <v>#N/A</v>
      </c>
    </row>
    <row r="1930" spans="15:61" hidden="1">
      <c r="O1930" s="57"/>
      <c r="P1930" s="57"/>
      <c r="AO1930" s="57"/>
      <c r="BF1930" s="6" t="e">
        <f t="shared" si="90"/>
        <v>#NUM!</v>
      </c>
      <c r="BG1930" t="e">
        <f t="shared" si="91"/>
        <v>#NUM!</v>
      </c>
      <c r="BH1930" t="e">
        <f t="shared" si="92"/>
        <v>#NUM!</v>
      </c>
      <c r="BI1930" t="e">
        <f>VLOOKUP(H1930,Sheet2!$A$1:$B$270,2,FALSE)</f>
        <v>#N/A</v>
      </c>
    </row>
    <row r="1931" spans="15:61" hidden="1">
      <c r="O1931" s="57"/>
      <c r="P1931" s="57"/>
      <c r="AP1931" s="57"/>
      <c r="BA1931" s="57"/>
      <c r="BF1931" s="6" t="e">
        <f t="shared" si="90"/>
        <v>#NUM!</v>
      </c>
      <c r="BG1931" t="e">
        <f t="shared" si="91"/>
        <v>#NUM!</v>
      </c>
      <c r="BH1931" t="e">
        <f t="shared" si="92"/>
        <v>#NUM!</v>
      </c>
      <c r="BI1931" t="e">
        <f>VLOOKUP(H1931,Sheet2!$A$1:$B$270,2,FALSE)</f>
        <v>#N/A</v>
      </c>
    </row>
    <row r="1932" spans="15:61" hidden="1">
      <c r="O1932" s="57"/>
      <c r="P1932" s="57"/>
      <c r="BA1932" s="57"/>
      <c r="BF1932" s="6" t="e">
        <f t="shared" si="90"/>
        <v>#NUM!</v>
      </c>
      <c r="BG1932" t="e">
        <f t="shared" si="91"/>
        <v>#NUM!</v>
      </c>
      <c r="BH1932" t="e">
        <f t="shared" si="92"/>
        <v>#NUM!</v>
      </c>
      <c r="BI1932" t="e">
        <f>VLOOKUP(H1932,Sheet2!$A$1:$B$270,2,FALSE)</f>
        <v>#N/A</v>
      </c>
    </row>
    <row r="1933" spans="15:61" hidden="1">
      <c r="O1933" s="57"/>
      <c r="P1933" s="57"/>
      <c r="AP1933" s="57"/>
      <c r="BA1933" s="57"/>
      <c r="BF1933" s="6" t="e">
        <f t="shared" si="90"/>
        <v>#NUM!</v>
      </c>
      <c r="BG1933" t="e">
        <f t="shared" si="91"/>
        <v>#NUM!</v>
      </c>
      <c r="BH1933" t="e">
        <f t="shared" si="92"/>
        <v>#NUM!</v>
      </c>
      <c r="BI1933" t="e">
        <f>VLOOKUP(H1933,Sheet2!$A$1:$B$270,2,FALSE)</f>
        <v>#N/A</v>
      </c>
    </row>
    <row r="1934" spans="15:61" hidden="1">
      <c r="O1934" s="57"/>
      <c r="P1934" s="57"/>
      <c r="BA1934" s="57"/>
      <c r="BF1934" s="6" t="e">
        <f t="shared" si="90"/>
        <v>#NUM!</v>
      </c>
      <c r="BG1934" t="e">
        <f t="shared" si="91"/>
        <v>#NUM!</v>
      </c>
      <c r="BH1934" t="e">
        <f t="shared" si="92"/>
        <v>#NUM!</v>
      </c>
      <c r="BI1934" t="e">
        <f>VLOOKUP(H1934,Sheet2!$A$1:$B$270,2,FALSE)</f>
        <v>#N/A</v>
      </c>
    </row>
    <row r="1935" spans="15:61" hidden="1">
      <c r="O1935" s="57"/>
      <c r="P1935" s="57"/>
      <c r="AP1935" s="57"/>
      <c r="BA1935" s="57"/>
      <c r="BF1935" s="6" t="e">
        <f t="shared" si="90"/>
        <v>#NUM!</v>
      </c>
      <c r="BG1935" t="e">
        <f t="shared" si="91"/>
        <v>#NUM!</v>
      </c>
      <c r="BH1935" t="e">
        <f t="shared" si="92"/>
        <v>#NUM!</v>
      </c>
      <c r="BI1935" t="e">
        <f>VLOOKUP(H1935,Sheet2!$A$1:$B$270,2,FALSE)</f>
        <v>#N/A</v>
      </c>
    </row>
    <row r="1936" spans="15:61" hidden="1">
      <c r="O1936" s="57"/>
      <c r="P1936" s="57"/>
      <c r="AO1936" s="57"/>
      <c r="AP1936" s="57"/>
      <c r="BA1936" s="57"/>
      <c r="BF1936" s="6" t="e">
        <f t="shared" si="90"/>
        <v>#NUM!</v>
      </c>
      <c r="BG1936" t="e">
        <f t="shared" si="91"/>
        <v>#NUM!</v>
      </c>
      <c r="BH1936" t="e">
        <f t="shared" si="92"/>
        <v>#NUM!</v>
      </c>
      <c r="BI1936" t="e">
        <f>VLOOKUP(H1936,Sheet2!$A$1:$B$270,2,FALSE)</f>
        <v>#N/A</v>
      </c>
    </row>
    <row r="1937" spans="15:61" hidden="1">
      <c r="O1937" s="57"/>
      <c r="P1937" s="57"/>
      <c r="AO1937" s="57"/>
      <c r="AP1937" s="57"/>
      <c r="BA1937" s="57"/>
      <c r="BF1937" s="6" t="e">
        <f t="shared" si="90"/>
        <v>#NUM!</v>
      </c>
      <c r="BG1937" t="e">
        <f t="shared" si="91"/>
        <v>#NUM!</v>
      </c>
      <c r="BH1937" t="e">
        <f t="shared" si="92"/>
        <v>#NUM!</v>
      </c>
      <c r="BI1937" t="e">
        <f>VLOOKUP(H1937,Sheet2!$A$1:$B$270,2,FALSE)</f>
        <v>#N/A</v>
      </c>
    </row>
    <row r="1938" spans="15:61" hidden="1">
      <c r="O1938" s="57"/>
      <c r="P1938" s="57"/>
      <c r="BA1938" s="57"/>
      <c r="BF1938" s="6" t="e">
        <f t="shared" si="90"/>
        <v>#NUM!</v>
      </c>
      <c r="BG1938" t="e">
        <f t="shared" si="91"/>
        <v>#NUM!</v>
      </c>
      <c r="BH1938" t="e">
        <f t="shared" si="92"/>
        <v>#NUM!</v>
      </c>
      <c r="BI1938" t="e">
        <f>VLOOKUP(H1938,Sheet2!$A$1:$B$270,2,FALSE)</f>
        <v>#N/A</v>
      </c>
    </row>
    <row r="1939" spans="15:61" hidden="1">
      <c r="O1939" s="57"/>
      <c r="P1939" s="57"/>
      <c r="AP1939" s="57"/>
      <c r="BA1939" s="57"/>
      <c r="BF1939" s="6" t="e">
        <f t="shared" si="90"/>
        <v>#NUM!</v>
      </c>
      <c r="BG1939" t="e">
        <f t="shared" si="91"/>
        <v>#NUM!</v>
      </c>
      <c r="BH1939" t="e">
        <f t="shared" si="92"/>
        <v>#NUM!</v>
      </c>
      <c r="BI1939" t="e">
        <f>VLOOKUP(H1939,Sheet2!$A$1:$B$270,2,FALSE)</f>
        <v>#N/A</v>
      </c>
    </row>
    <row r="1940" spans="15:61" hidden="1">
      <c r="O1940" s="57"/>
      <c r="P1940" s="57"/>
      <c r="BA1940" s="57"/>
      <c r="BF1940" s="6" t="e">
        <f t="shared" si="90"/>
        <v>#NUM!</v>
      </c>
      <c r="BG1940" t="e">
        <f t="shared" si="91"/>
        <v>#NUM!</v>
      </c>
      <c r="BH1940" t="e">
        <f t="shared" si="92"/>
        <v>#NUM!</v>
      </c>
      <c r="BI1940" t="e">
        <f>VLOOKUP(H1940,Sheet2!$A$1:$B$270,2,FALSE)</f>
        <v>#N/A</v>
      </c>
    </row>
    <row r="1941" spans="15:61" hidden="1">
      <c r="O1941" s="57"/>
      <c r="P1941" s="57"/>
      <c r="AP1941" s="57"/>
      <c r="BA1941" s="57"/>
      <c r="BF1941" s="6" t="e">
        <f t="shared" si="90"/>
        <v>#NUM!</v>
      </c>
      <c r="BG1941" t="e">
        <f t="shared" si="91"/>
        <v>#NUM!</v>
      </c>
      <c r="BH1941" t="e">
        <f t="shared" si="92"/>
        <v>#NUM!</v>
      </c>
      <c r="BI1941" t="e">
        <f>VLOOKUP(H1941,Sheet2!$A$1:$B$270,2,FALSE)</f>
        <v>#N/A</v>
      </c>
    </row>
    <row r="1942" spans="15:61" hidden="1">
      <c r="O1942" s="57"/>
      <c r="P1942" s="57"/>
      <c r="BA1942" s="57"/>
      <c r="BF1942" s="6" t="e">
        <f t="shared" si="90"/>
        <v>#NUM!</v>
      </c>
      <c r="BG1942" t="e">
        <f t="shared" si="91"/>
        <v>#NUM!</v>
      </c>
      <c r="BH1942" t="e">
        <f t="shared" si="92"/>
        <v>#NUM!</v>
      </c>
      <c r="BI1942" t="e">
        <f>VLOOKUP(H1942,Sheet2!$A$1:$B$270,2,FALSE)</f>
        <v>#N/A</v>
      </c>
    </row>
    <row r="1943" spans="15:61" hidden="1">
      <c r="O1943" s="57"/>
      <c r="P1943" s="57"/>
      <c r="AP1943" s="57"/>
      <c r="BA1943" s="57"/>
      <c r="BF1943" s="6" t="e">
        <f t="shared" si="90"/>
        <v>#NUM!</v>
      </c>
      <c r="BG1943" t="e">
        <f t="shared" si="91"/>
        <v>#NUM!</v>
      </c>
      <c r="BH1943" t="e">
        <f t="shared" si="92"/>
        <v>#NUM!</v>
      </c>
      <c r="BI1943" t="e">
        <f>VLOOKUP(H1943,Sheet2!$A$1:$B$270,2,FALSE)</f>
        <v>#N/A</v>
      </c>
    </row>
    <row r="1944" spans="15:61" hidden="1">
      <c r="O1944" s="57"/>
      <c r="P1944" s="57"/>
      <c r="AP1944" s="57"/>
      <c r="BA1944" s="57"/>
      <c r="BF1944" s="6" t="e">
        <f t="shared" si="90"/>
        <v>#NUM!</v>
      </c>
      <c r="BG1944" t="e">
        <f t="shared" si="91"/>
        <v>#NUM!</v>
      </c>
      <c r="BH1944" t="e">
        <f t="shared" si="92"/>
        <v>#NUM!</v>
      </c>
      <c r="BI1944" t="e">
        <f>VLOOKUP(H1944,Sheet2!$A$1:$B$270,2,FALSE)</f>
        <v>#N/A</v>
      </c>
    </row>
    <row r="1945" spans="15:61" hidden="1">
      <c r="O1945" s="57"/>
      <c r="P1945" s="57"/>
      <c r="BA1945" s="57"/>
      <c r="BF1945" s="6" t="e">
        <f t="shared" si="90"/>
        <v>#NUM!</v>
      </c>
      <c r="BG1945" t="e">
        <f t="shared" si="91"/>
        <v>#NUM!</v>
      </c>
      <c r="BH1945" t="e">
        <f t="shared" si="92"/>
        <v>#NUM!</v>
      </c>
      <c r="BI1945" t="e">
        <f>VLOOKUP(H1945,Sheet2!$A$1:$B$270,2,FALSE)</f>
        <v>#N/A</v>
      </c>
    </row>
    <row r="1946" spans="15:61" hidden="1">
      <c r="O1946" s="57"/>
      <c r="P1946" s="57"/>
      <c r="AP1946" s="57"/>
      <c r="BA1946" s="57"/>
      <c r="BF1946" s="6" t="e">
        <f t="shared" si="90"/>
        <v>#NUM!</v>
      </c>
      <c r="BG1946" t="e">
        <f t="shared" si="91"/>
        <v>#NUM!</v>
      </c>
      <c r="BH1946" t="e">
        <f t="shared" si="92"/>
        <v>#NUM!</v>
      </c>
      <c r="BI1946" t="e">
        <f>VLOOKUP(H1946,Sheet2!$A$1:$B$270,2,FALSE)</f>
        <v>#N/A</v>
      </c>
    </row>
    <row r="1947" spans="15:61" hidden="1">
      <c r="O1947" s="57"/>
      <c r="P1947" s="57"/>
      <c r="AP1947" s="57"/>
      <c r="BA1947" s="57"/>
      <c r="BF1947" s="6" t="e">
        <f t="shared" si="90"/>
        <v>#NUM!</v>
      </c>
      <c r="BG1947" t="e">
        <f t="shared" si="91"/>
        <v>#NUM!</v>
      </c>
      <c r="BH1947" t="e">
        <f t="shared" si="92"/>
        <v>#NUM!</v>
      </c>
      <c r="BI1947" t="e">
        <f>VLOOKUP(H1947,Sheet2!$A$1:$B$270,2,FALSE)</f>
        <v>#N/A</v>
      </c>
    </row>
    <row r="1948" spans="15:61" hidden="1">
      <c r="O1948" s="57"/>
      <c r="P1948" s="57"/>
      <c r="AP1948" s="57"/>
      <c r="BA1948" s="57"/>
      <c r="BF1948" s="6" t="e">
        <f t="shared" si="90"/>
        <v>#NUM!</v>
      </c>
      <c r="BG1948" t="e">
        <f t="shared" si="91"/>
        <v>#NUM!</v>
      </c>
      <c r="BH1948" t="e">
        <f t="shared" si="92"/>
        <v>#NUM!</v>
      </c>
      <c r="BI1948" t="e">
        <f>VLOOKUP(H1948,Sheet2!$A$1:$B$270,2,FALSE)</f>
        <v>#N/A</v>
      </c>
    </row>
    <row r="1949" spans="15:61" hidden="1">
      <c r="O1949" s="57"/>
      <c r="P1949" s="57"/>
      <c r="AP1949" s="57"/>
      <c r="BA1949" s="57"/>
      <c r="BF1949" s="6" t="e">
        <f t="shared" si="90"/>
        <v>#NUM!</v>
      </c>
      <c r="BG1949" t="e">
        <f t="shared" si="91"/>
        <v>#NUM!</v>
      </c>
      <c r="BH1949" t="e">
        <f t="shared" si="92"/>
        <v>#NUM!</v>
      </c>
      <c r="BI1949" t="e">
        <f>VLOOKUP(H1949,Sheet2!$A$1:$B$270,2,FALSE)</f>
        <v>#N/A</v>
      </c>
    </row>
    <row r="1950" spans="15:61" hidden="1">
      <c r="O1950" s="57"/>
      <c r="P1950" s="57"/>
      <c r="AP1950" s="57"/>
      <c r="BA1950" s="57"/>
      <c r="BF1950" s="6" t="e">
        <f t="shared" si="90"/>
        <v>#NUM!</v>
      </c>
      <c r="BG1950" t="e">
        <f t="shared" si="91"/>
        <v>#NUM!</v>
      </c>
      <c r="BH1950" t="e">
        <f t="shared" si="92"/>
        <v>#NUM!</v>
      </c>
      <c r="BI1950" t="e">
        <f>VLOOKUP(H1950,Sheet2!$A$1:$B$270,2,FALSE)</f>
        <v>#N/A</v>
      </c>
    </row>
    <row r="1951" spans="15:61" hidden="1">
      <c r="O1951" s="57"/>
      <c r="P1951" s="57"/>
      <c r="AO1951" s="57"/>
      <c r="AP1951" s="57"/>
      <c r="BA1951" s="57"/>
      <c r="BF1951" s="6" t="e">
        <f t="shared" si="90"/>
        <v>#NUM!</v>
      </c>
      <c r="BG1951" t="e">
        <f t="shared" si="91"/>
        <v>#NUM!</v>
      </c>
      <c r="BH1951" t="e">
        <f t="shared" si="92"/>
        <v>#NUM!</v>
      </c>
      <c r="BI1951" t="e">
        <f>VLOOKUP(H1951,Sheet2!$A$1:$B$270,2,FALSE)</f>
        <v>#N/A</v>
      </c>
    </row>
    <row r="1952" spans="15:61" hidden="1">
      <c r="O1952" s="57"/>
      <c r="P1952" s="57"/>
      <c r="AP1952" s="57"/>
      <c r="BA1952" s="57"/>
      <c r="BF1952" s="6" t="e">
        <f t="shared" si="90"/>
        <v>#NUM!</v>
      </c>
      <c r="BG1952" t="e">
        <f t="shared" si="91"/>
        <v>#NUM!</v>
      </c>
      <c r="BH1952" t="e">
        <f t="shared" si="92"/>
        <v>#NUM!</v>
      </c>
      <c r="BI1952" t="e">
        <f>VLOOKUP(H1952,Sheet2!$A$1:$B$270,2,FALSE)</f>
        <v>#N/A</v>
      </c>
    </row>
    <row r="1953" spans="15:61" hidden="1">
      <c r="O1953" s="57"/>
      <c r="P1953" s="57"/>
      <c r="AO1953" s="57"/>
      <c r="AP1953" s="57"/>
      <c r="BA1953" s="57"/>
      <c r="BF1953" s="6" t="e">
        <f t="shared" si="90"/>
        <v>#NUM!</v>
      </c>
      <c r="BG1953" t="e">
        <f t="shared" si="91"/>
        <v>#NUM!</v>
      </c>
      <c r="BH1953" t="e">
        <f t="shared" si="92"/>
        <v>#NUM!</v>
      </c>
      <c r="BI1953" t="e">
        <f>VLOOKUP(H1953,Sheet2!$A$1:$B$270,2,FALSE)</f>
        <v>#N/A</v>
      </c>
    </row>
    <row r="1954" spans="15:61" hidden="1">
      <c r="O1954" s="57"/>
      <c r="P1954" s="57"/>
      <c r="AO1954" s="57"/>
      <c r="AP1954" s="57"/>
      <c r="BA1954" s="57"/>
      <c r="BF1954" s="6" t="e">
        <f t="shared" si="90"/>
        <v>#NUM!</v>
      </c>
      <c r="BG1954" t="e">
        <f t="shared" si="91"/>
        <v>#NUM!</v>
      </c>
      <c r="BH1954" t="e">
        <f t="shared" si="92"/>
        <v>#NUM!</v>
      </c>
      <c r="BI1954" t="e">
        <f>VLOOKUP(H1954,Sheet2!$A$1:$B$270,2,FALSE)</f>
        <v>#N/A</v>
      </c>
    </row>
    <row r="1955" spans="15:61" hidden="1">
      <c r="O1955" s="57"/>
      <c r="P1955" s="57"/>
      <c r="AO1955" s="57"/>
      <c r="AP1955" s="57"/>
      <c r="BA1955" s="57"/>
      <c r="BF1955" s="6" t="e">
        <f t="shared" si="90"/>
        <v>#NUM!</v>
      </c>
      <c r="BG1955" t="e">
        <f t="shared" si="91"/>
        <v>#NUM!</v>
      </c>
      <c r="BH1955" t="e">
        <f t="shared" si="92"/>
        <v>#NUM!</v>
      </c>
      <c r="BI1955" t="e">
        <f>VLOOKUP(H1955,Sheet2!$A$1:$B$270,2,FALSE)</f>
        <v>#N/A</v>
      </c>
    </row>
    <row r="1956" spans="15:61" hidden="1">
      <c r="O1956" s="57"/>
      <c r="P1956" s="57"/>
      <c r="AO1956" s="57"/>
      <c r="AP1956" s="57"/>
      <c r="BA1956" s="57"/>
      <c r="BF1956" s="6" t="e">
        <f t="shared" si="90"/>
        <v>#NUM!</v>
      </c>
      <c r="BG1956" t="e">
        <f t="shared" si="91"/>
        <v>#NUM!</v>
      </c>
      <c r="BH1956" t="e">
        <f t="shared" si="92"/>
        <v>#NUM!</v>
      </c>
      <c r="BI1956" t="e">
        <f>VLOOKUP(H1956,Sheet2!$A$1:$B$270,2,FALSE)</f>
        <v>#N/A</v>
      </c>
    </row>
    <row r="1957" spans="15:61" hidden="1">
      <c r="O1957" s="57"/>
      <c r="P1957" s="57"/>
      <c r="AO1957" s="57"/>
      <c r="AP1957" s="57"/>
      <c r="BA1957" s="57"/>
      <c r="BF1957" s="6" t="e">
        <f t="shared" si="90"/>
        <v>#NUM!</v>
      </c>
      <c r="BG1957" t="e">
        <f t="shared" si="91"/>
        <v>#NUM!</v>
      </c>
      <c r="BH1957" t="e">
        <f t="shared" si="92"/>
        <v>#NUM!</v>
      </c>
      <c r="BI1957" t="e">
        <f>VLOOKUP(H1957,Sheet2!$A$1:$B$270,2,FALSE)</f>
        <v>#N/A</v>
      </c>
    </row>
    <row r="1958" spans="15:61" hidden="1">
      <c r="O1958" s="57"/>
      <c r="P1958" s="57"/>
      <c r="AO1958" s="57"/>
      <c r="AP1958" s="57"/>
      <c r="BA1958" s="57"/>
      <c r="BF1958" s="6" t="e">
        <f t="shared" si="90"/>
        <v>#NUM!</v>
      </c>
      <c r="BG1958" t="e">
        <f t="shared" si="91"/>
        <v>#NUM!</v>
      </c>
      <c r="BH1958" t="e">
        <f t="shared" si="92"/>
        <v>#NUM!</v>
      </c>
      <c r="BI1958" t="e">
        <f>VLOOKUP(H1958,Sheet2!$A$1:$B$270,2,FALSE)</f>
        <v>#N/A</v>
      </c>
    </row>
    <row r="1959" spans="15:61" hidden="1">
      <c r="O1959" s="57"/>
      <c r="P1959" s="57"/>
      <c r="AP1959" s="57"/>
      <c r="BA1959" s="57"/>
      <c r="BF1959" s="6" t="e">
        <f t="shared" si="90"/>
        <v>#NUM!</v>
      </c>
      <c r="BG1959" t="e">
        <f t="shared" si="91"/>
        <v>#NUM!</v>
      </c>
      <c r="BH1959" t="e">
        <f t="shared" si="92"/>
        <v>#NUM!</v>
      </c>
      <c r="BI1959" t="e">
        <f>VLOOKUP(H1959,Sheet2!$A$1:$B$270,2,FALSE)</f>
        <v>#N/A</v>
      </c>
    </row>
    <row r="1960" spans="15:61" hidden="1">
      <c r="O1960" s="57"/>
      <c r="P1960" s="57"/>
      <c r="AP1960" s="57"/>
      <c r="BA1960" s="57"/>
      <c r="BF1960" s="6" t="e">
        <f t="shared" si="90"/>
        <v>#NUM!</v>
      </c>
      <c r="BG1960" t="e">
        <f t="shared" si="91"/>
        <v>#NUM!</v>
      </c>
      <c r="BH1960" t="e">
        <f t="shared" si="92"/>
        <v>#NUM!</v>
      </c>
      <c r="BI1960" t="e">
        <f>VLOOKUP(H1960,Sheet2!$A$1:$B$270,2,FALSE)</f>
        <v>#N/A</v>
      </c>
    </row>
    <row r="1961" spans="15:61" hidden="1">
      <c r="O1961" s="57"/>
      <c r="P1961" s="57"/>
      <c r="AP1961" s="57"/>
      <c r="BA1961" s="57"/>
      <c r="BF1961" s="6" t="e">
        <f t="shared" si="90"/>
        <v>#NUM!</v>
      </c>
      <c r="BG1961" t="e">
        <f t="shared" si="91"/>
        <v>#NUM!</v>
      </c>
      <c r="BH1961" t="e">
        <f t="shared" si="92"/>
        <v>#NUM!</v>
      </c>
      <c r="BI1961" t="e">
        <f>VLOOKUP(H1961,Sheet2!$A$1:$B$270,2,FALSE)</f>
        <v>#N/A</v>
      </c>
    </row>
    <row r="1962" spans="15:61" hidden="1">
      <c r="O1962" s="57"/>
      <c r="P1962" s="57"/>
      <c r="BA1962" s="57"/>
      <c r="BF1962" s="6" t="e">
        <f t="shared" si="90"/>
        <v>#NUM!</v>
      </c>
      <c r="BG1962" t="e">
        <f t="shared" si="91"/>
        <v>#NUM!</v>
      </c>
      <c r="BH1962" t="e">
        <f t="shared" si="92"/>
        <v>#NUM!</v>
      </c>
      <c r="BI1962" t="e">
        <f>VLOOKUP(H1962,Sheet2!$A$1:$B$270,2,FALSE)</f>
        <v>#N/A</v>
      </c>
    </row>
    <row r="1963" spans="15:61" hidden="1">
      <c r="O1963" s="57"/>
      <c r="P1963" s="57"/>
      <c r="AP1963" s="57"/>
      <c r="BA1963" s="57"/>
      <c r="BF1963" s="6" t="e">
        <f t="shared" si="90"/>
        <v>#NUM!</v>
      </c>
      <c r="BG1963" t="e">
        <f t="shared" si="91"/>
        <v>#NUM!</v>
      </c>
      <c r="BH1963" t="e">
        <f t="shared" si="92"/>
        <v>#NUM!</v>
      </c>
      <c r="BI1963" t="e">
        <f>VLOOKUP(H1963,Sheet2!$A$1:$B$270,2,FALSE)</f>
        <v>#N/A</v>
      </c>
    </row>
    <row r="1964" spans="15:61" hidden="1">
      <c r="O1964" s="57"/>
      <c r="P1964" s="57"/>
      <c r="AP1964" s="57"/>
      <c r="BA1964" s="57"/>
      <c r="BF1964" s="6" t="e">
        <f t="shared" si="90"/>
        <v>#NUM!</v>
      </c>
      <c r="BG1964" t="e">
        <f t="shared" si="91"/>
        <v>#NUM!</v>
      </c>
      <c r="BH1964" t="e">
        <f t="shared" si="92"/>
        <v>#NUM!</v>
      </c>
      <c r="BI1964" t="e">
        <f>VLOOKUP(H1964,Sheet2!$A$1:$B$270,2,FALSE)</f>
        <v>#N/A</v>
      </c>
    </row>
    <row r="1965" spans="15:61" hidden="1">
      <c r="O1965" s="57"/>
      <c r="P1965" s="57"/>
      <c r="AP1965" s="57"/>
      <c r="BA1965" s="57"/>
      <c r="BF1965" s="6" t="e">
        <f t="shared" si="90"/>
        <v>#NUM!</v>
      </c>
      <c r="BG1965" t="e">
        <f t="shared" si="91"/>
        <v>#NUM!</v>
      </c>
      <c r="BH1965" t="e">
        <f t="shared" si="92"/>
        <v>#NUM!</v>
      </c>
      <c r="BI1965" t="e">
        <f>VLOOKUP(H1965,Sheet2!$A$1:$B$270,2,FALSE)</f>
        <v>#N/A</v>
      </c>
    </row>
    <row r="1966" spans="15:61" hidden="1">
      <c r="O1966" s="57"/>
      <c r="P1966" s="57"/>
      <c r="AP1966" s="57"/>
      <c r="BA1966" s="57"/>
      <c r="BF1966" s="6" t="e">
        <f t="shared" si="90"/>
        <v>#NUM!</v>
      </c>
      <c r="BG1966" t="e">
        <f t="shared" si="91"/>
        <v>#NUM!</v>
      </c>
      <c r="BH1966" t="e">
        <f t="shared" si="92"/>
        <v>#NUM!</v>
      </c>
      <c r="BI1966" t="e">
        <f>VLOOKUP(H1966,Sheet2!$A$1:$B$270,2,FALSE)</f>
        <v>#N/A</v>
      </c>
    </row>
    <row r="1967" spans="15:61" hidden="1">
      <c r="O1967" s="57"/>
      <c r="P1967" s="57"/>
      <c r="AP1967" s="57"/>
      <c r="BA1967" s="57"/>
      <c r="BF1967" s="6" t="e">
        <f t="shared" si="90"/>
        <v>#NUM!</v>
      </c>
      <c r="BG1967" t="e">
        <f t="shared" si="91"/>
        <v>#NUM!</v>
      </c>
      <c r="BH1967" t="e">
        <f t="shared" si="92"/>
        <v>#NUM!</v>
      </c>
      <c r="BI1967" t="e">
        <f>VLOOKUP(H1967,Sheet2!$A$1:$B$270,2,FALSE)</f>
        <v>#N/A</v>
      </c>
    </row>
    <row r="1968" spans="15:61" hidden="1">
      <c r="O1968" s="57"/>
      <c r="P1968" s="57"/>
      <c r="AP1968" s="57"/>
      <c r="BA1968" s="57"/>
      <c r="BF1968" s="6" t="e">
        <f t="shared" si="90"/>
        <v>#NUM!</v>
      </c>
      <c r="BG1968" t="e">
        <f t="shared" si="91"/>
        <v>#NUM!</v>
      </c>
      <c r="BH1968" t="e">
        <f t="shared" si="92"/>
        <v>#NUM!</v>
      </c>
      <c r="BI1968" t="e">
        <f>VLOOKUP(H1968,Sheet2!$A$1:$B$270,2,FALSE)</f>
        <v>#N/A</v>
      </c>
    </row>
    <row r="1969" spans="15:61" hidden="1">
      <c r="O1969" s="57"/>
      <c r="P1969" s="57"/>
      <c r="AP1969" s="57"/>
      <c r="BA1969" s="57"/>
      <c r="BF1969" s="6" t="e">
        <f t="shared" si="90"/>
        <v>#NUM!</v>
      </c>
      <c r="BG1969" t="e">
        <f t="shared" si="91"/>
        <v>#NUM!</v>
      </c>
      <c r="BH1969" t="e">
        <f t="shared" si="92"/>
        <v>#NUM!</v>
      </c>
      <c r="BI1969" t="e">
        <f>VLOOKUP(H1969,Sheet2!$A$1:$B$270,2,FALSE)</f>
        <v>#N/A</v>
      </c>
    </row>
    <row r="1970" spans="15:61" hidden="1">
      <c r="O1970" s="57"/>
      <c r="P1970" s="57"/>
      <c r="BA1970" s="57"/>
      <c r="BF1970" s="6" t="e">
        <f t="shared" si="90"/>
        <v>#NUM!</v>
      </c>
      <c r="BG1970" t="e">
        <f t="shared" si="91"/>
        <v>#NUM!</v>
      </c>
      <c r="BH1970" t="e">
        <f t="shared" si="92"/>
        <v>#NUM!</v>
      </c>
      <c r="BI1970" t="e">
        <f>VLOOKUP(H1970,Sheet2!$A$1:$B$270,2,FALSE)</f>
        <v>#N/A</v>
      </c>
    </row>
    <row r="1971" spans="15:61" hidden="1">
      <c r="O1971" s="57"/>
      <c r="P1971" s="57"/>
      <c r="AO1971" s="57"/>
      <c r="BF1971" s="6" t="e">
        <f t="shared" si="90"/>
        <v>#NUM!</v>
      </c>
      <c r="BG1971" t="e">
        <f t="shared" si="91"/>
        <v>#NUM!</v>
      </c>
      <c r="BH1971" t="e">
        <f t="shared" si="92"/>
        <v>#NUM!</v>
      </c>
      <c r="BI1971" t="e">
        <f>VLOOKUP(H1971,Sheet2!$A$1:$B$270,2,FALSE)</f>
        <v>#N/A</v>
      </c>
    </row>
    <row r="1972" spans="15:61" hidden="1">
      <c r="O1972" s="57"/>
      <c r="P1972" s="57"/>
      <c r="AP1972" s="57"/>
      <c r="BA1972" s="57"/>
      <c r="BF1972" s="6" t="e">
        <f t="shared" si="90"/>
        <v>#NUM!</v>
      </c>
      <c r="BG1972" t="e">
        <f t="shared" si="91"/>
        <v>#NUM!</v>
      </c>
      <c r="BH1972" t="e">
        <f t="shared" si="92"/>
        <v>#NUM!</v>
      </c>
      <c r="BI1972" t="e">
        <f>VLOOKUP(H1972,Sheet2!$A$1:$B$270,2,FALSE)</f>
        <v>#N/A</v>
      </c>
    </row>
    <row r="1973" spans="15:61" hidden="1">
      <c r="O1973" s="57"/>
      <c r="P1973" s="57"/>
      <c r="BA1973" s="57"/>
      <c r="BF1973" s="6" t="e">
        <f t="shared" si="90"/>
        <v>#NUM!</v>
      </c>
      <c r="BG1973" t="e">
        <f t="shared" si="91"/>
        <v>#NUM!</v>
      </c>
      <c r="BH1973" t="e">
        <f t="shared" si="92"/>
        <v>#NUM!</v>
      </c>
      <c r="BI1973" t="e">
        <f>VLOOKUP(H1973,Sheet2!$A$1:$B$270,2,FALSE)</f>
        <v>#N/A</v>
      </c>
    </row>
    <row r="1974" spans="15:61" hidden="1">
      <c r="O1974" s="57"/>
      <c r="P1974" s="57"/>
      <c r="AO1974" s="57"/>
      <c r="AP1974" s="57"/>
      <c r="BA1974" s="57"/>
      <c r="BF1974" s="6" t="e">
        <f t="shared" si="90"/>
        <v>#NUM!</v>
      </c>
      <c r="BG1974" t="e">
        <f t="shared" si="91"/>
        <v>#NUM!</v>
      </c>
      <c r="BH1974" t="e">
        <f t="shared" si="92"/>
        <v>#NUM!</v>
      </c>
      <c r="BI1974" t="e">
        <f>VLOOKUP(H1974,Sheet2!$A$1:$B$270,2,FALSE)</f>
        <v>#N/A</v>
      </c>
    </row>
    <row r="1975" spans="15:61" hidden="1">
      <c r="O1975" s="57"/>
      <c r="P1975" s="57"/>
      <c r="AO1975" s="57"/>
      <c r="BA1975" s="57"/>
      <c r="BF1975" s="6" t="e">
        <f t="shared" si="90"/>
        <v>#NUM!</v>
      </c>
      <c r="BG1975" t="e">
        <f t="shared" si="91"/>
        <v>#NUM!</v>
      </c>
      <c r="BH1975" t="e">
        <f t="shared" si="92"/>
        <v>#NUM!</v>
      </c>
      <c r="BI1975" t="e">
        <f>VLOOKUP(H1975,Sheet2!$A$1:$B$270,2,FALSE)</f>
        <v>#N/A</v>
      </c>
    </row>
    <row r="1976" spans="15:61" hidden="1">
      <c r="O1976" s="57"/>
      <c r="P1976" s="57"/>
      <c r="AO1976" s="57"/>
      <c r="AP1976" s="57"/>
      <c r="BA1976" s="57"/>
      <c r="BF1976" s="6" t="e">
        <f t="shared" si="90"/>
        <v>#NUM!</v>
      </c>
      <c r="BG1976" t="e">
        <f t="shared" si="91"/>
        <v>#NUM!</v>
      </c>
      <c r="BH1976" t="e">
        <f t="shared" si="92"/>
        <v>#NUM!</v>
      </c>
      <c r="BI1976" t="e">
        <f>VLOOKUP(H1976,Sheet2!$A$1:$B$270,2,FALSE)</f>
        <v>#N/A</v>
      </c>
    </row>
    <row r="1977" spans="15:61" hidden="1">
      <c r="O1977" s="57"/>
      <c r="P1977" s="57"/>
      <c r="AO1977" s="57"/>
      <c r="AP1977" s="57"/>
      <c r="BA1977" s="57"/>
      <c r="BF1977" s="6" t="e">
        <f t="shared" si="90"/>
        <v>#NUM!</v>
      </c>
      <c r="BG1977" t="e">
        <f t="shared" si="91"/>
        <v>#NUM!</v>
      </c>
      <c r="BH1977" t="e">
        <f t="shared" si="92"/>
        <v>#NUM!</v>
      </c>
      <c r="BI1977" t="e">
        <f>VLOOKUP(H1977,Sheet2!$A$1:$B$270,2,FALSE)</f>
        <v>#N/A</v>
      </c>
    </row>
    <row r="1978" spans="15:61" hidden="1">
      <c r="O1978" s="57"/>
      <c r="P1978" s="57"/>
      <c r="AO1978" s="57"/>
      <c r="AP1978" s="57"/>
      <c r="BA1978" s="57"/>
      <c r="BF1978" s="6" t="e">
        <f t="shared" si="90"/>
        <v>#NUM!</v>
      </c>
      <c r="BG1978" t="e">
        <f t="shared" si="91"/>
        <v>#NUM!</v>
      </c>
      <c r="BH1978" t="e">
        <f t="shared" si="92"/>
        <v>#NUM!</v>
      </c>
      <c r="BI1978" t="e">
        <f>VLOOKUP(H1978,Sheet2!$A$1:$B$270,2,FALSE)</f>
        <v>#N/A</v>
      </c>
    </row>
    <row r="1979" spans="15:61" hidden="1">
      <c r="O1979" s="57"/>
      <c r="P1979" s="57"/>
      <c r="AO1979" s="57"/>
      <c r="BA1979" s="57"/>
      <c r="BF1979" s="6" t="e">
        <f t="shared" si="90"/>
        <v>#NUM!</v>
      </c>
      <c r="BG1979" t="e">
        <f t="shared" si="91"/>
        <v>#NUM!</v>
      </c>
      <c r="BH1979" t="e">
        <f t="shared" si="92"/>
        <v>#NUM!</v>
      </c>
      <c r="BI1979" t="e">
        <f>VLOOKUP(H1979,Sheet2!$A$1:$B$270,2,FALSE)</f>
        <v>#N/A</v>
      </c>
    </row>
    <row r="1980" spans="15:61" hidden="1">
      <c r="O1980" s="57"/>
      <c r="P1980" s="57"/>
      <c r="AO1980" s="57"/>
      <c r="BA1980" s="57"/>
      <c r="BF1980" s="6" t="e">
        <f t="shared" si="90"/>
        <v>#NUM!</v>
      </c>
      <c r="BG1980" t="e">
        <f t="shared" si="91"/>
        <v>#NUM!</v>
      </c>
      <c r="BH1980" t="e">
        <f t="shared" si="92"/>
        <v>#NUM!</v>
      </c>
      <c r="BI1980" t="e">
        <f>VLOOKUP(H1980,Sheet2!$A$1:$B$270,2,FALSE)</f>
        <v>#N/A</v>
      </c>
    </row>
    <row r="1981" spans="15:61" hidden="1">
      <c r="O1981" s="57"/>
      <c r="P1981" s="57"/>
      <c r="AO1981" s="57"/>
      <c r="AP1981" s="57"/>
      <c r="BA1981" s="57"/>
      <c r="BF1981" s="6" t="e">
        <f t="shared" si="90"/>
        <v>#NUM!</v>
      </c>
      <c r="BG1981" t="e">
        <f t="shared" si="91"/>
        <v>#NUM!</v>
      </c>
      <c r="BH1981" t="e">
        <f t="shared" si="92"/>
        <v>#NUM!</v>
      </c>
      <c r="BI1981" t="e">
        <f>VLOOKUP(H1981,Sheet2!$A$1:$B$270,2,FALSE)</f>
        <v>#N/A</v>
      </c>
    </row>
    <row r="1982" spans="15:61" hidden="1">
      <c r="O1982" s="57"/>
      <c r="P1982" s="57"/>
      <c r="AO1982" s="57"/>
      <c r="AP1982" s="57"/>
      <c r="BA1982" s="57"/>
      <c r="BF1982" s="6" t="e">
        <f t="shared" si="90"/>
        <v>#NUM!</v>
      </c>
      <c r="BG1982" t="e">
        <f t="shared" si="91"/>
        <v>#NUM!</v>
      </c>
      <c r="BH1982" t="e">
        <f t="shared" si="92"/>
        <v>#NUM!</v>
      </c>
      <c r="BI1982" t="e">
        <f>VLOOKUP(H1982,Sheet2!$A$1:$B$270,2,FALSE)</f>
        <v>#N/A</v>
      </c>
    </row>
    <row r="1983" spans="15:61" hidden="1">
      <c r="O1983" s="57"/>
      <c r="P1983" s="57"/>
      <c r="AO1983" s="57"/>
      <c r="BA1983" s="57"/>
      <c r="BF1983" s="6" t="e">
        <f t="shared" si="90"/>
        <v>#NUM!</v>
      </c>
      <c r="BG1983" t="e">
        <f t="shared" si="91"/>
        <v>#NUM!</v>
      </c>
      <c r="BH1983" t="e">
        <f t="shared" si="92"/>
        <v>#NUM!</v>
      </c>
      <c r="BI1983" t="e">
        <f>VLOOKUP(H1983,Sheet2!$A$1:$B$270,2,FALSE)</f>
        <v>#N/A</v>
      </c>
    </row>
    <row r="1984" spans="15:61" hidden="1">
      <c r="O1984" s="57"/>
      <c r="P1984" s="57"/>
      <c r="AO1984" s="57"/>
      <c r="AP1984" s="57"/>
      <c r="BA1984" s="57"/>
      <c r="BF1984" s="6" t="e">
        <f t="shared" si="90"/>
        <v>#NUM!</v>
      </c>
      <c r="BG1984" t="e">
        <f t="shared" si="91"/>
        <v>#NUM!</v>
      </c>
      <c r="BH1984" t="e">
        <f t="shared" si="92"/>
        <v>#NUM!</v>
      </c>
      <c r="BI1984" t="e">
        <f>VLOOKUP(H1984,Sheet2!$A$1:$B$270,2,FALSE)</f>
        <v>#N/A</v>
      </c>
    </row>
    <row r="1985" spans="15:61" hidden="1">
      <c r="O1985" s="57"/>
      <c r="P1985" s="57"/>
      <c r="AO1985" s="57"/>
      <c r="BA1985" s="57"/>
      <c r="BF1985" s="6" t="e">
        <f t="shared" si="90"/>
        <v>#NUM!</v>
      </c>
      <c r="BG1985" t="e">
        <f t="shared" si="91"/>
        <v>#NUM!</v>
      </c>
      <c r="BH1985" t="e">
        <f t="shared" si="92"/>
        <v>#NUM!</v>
      </c>
      <c r="BI1985" t="e">
        <f>VLOOKUP(H1985,Sheet2!$A$1:$B$270,2,FALSE)</f>
        <v>#N/A</v>
      </c>
    </row>
    <row r="1986" spans="15:61" hidden="1">
      <c r="O1986" s="57"/>
      <c r="P1986" s="57"/>
      <c r="AO1986" s="57"/>
      <c r="AP1986" s="57"/>
      <c r="BA1986" s="57"/>
      <c r="BF1986" s="6" t="e">
        <f t="shared" ref="BF1986:BF2049" si="93">DATE(BC1986,BD1986,BE1986)</f>
        <v>#NUM!</v>
      </c>
      <c r="BG1986" t="e">
        <f t="shared" ref="BG1986:BG2049" si="94">BF1986-BA1986</f>
        <v>#NUM!</v>
      </c>
      <c r="BH1986" t="e">
        <f t="shared" ref="BH1986:BH2049" si="95">IF(BG1986=1,"COMPLY",IF(BG1986&lt;1,"COMPLY","NOT COMPLY"))</f>
        <v>#NUM!</v>
      </c>
      <c r="BI1986" t="e">
        <f>VLOOKUP(H1986,Sheet2!$A$1:$B$270,2,FALSE)</f>
        <v>#N/A</v>
      </c>
    </row>
    <row r="1987" spans="15:61" hidden="1">
      <c r="O1987" s="57"/>
      <c r="P1987" s="57"/>
      <c r="AO1987" s="57"/>
      <c r="AP1987" s="57"/>
      <c r="BA1987" s="57"/>
      <c r="BF1987" s="6" t="e">
        <f t="shared" si="93"/>
        <v>#NUM!</v>
      </c>
      <c r="BG1987" t="e">
        <f t="shared" si="94"/>
        <v>#NUM!</v>
      </c>
      <c r="BH1987" t="e">
        <f t="shared" si="95"/>
        <v>#NUM!</v>
      </c>
      <c r="BI1987" t="e">
        <f>VLOOKUP(H1987,Sheet2!$A$1:$B$270,2,FALSE)</f>
        <v>#N/A</v>
      </c>
    </row>
    <row r="1988" spans="15:61" hidden="1">
      <c r="O1988" s="57"/>
      <c r="P1988" s="57"/>
      <c r="BA1988" s="57"/>
      <c r="BF1988" s="6" t="e">
        <f t="shared" si="93"/>
        <v>#NUM!</v>
      </c>
      <c r="BG1988" t="e">
        <f t="shared" si="94"/>
        <v>#NUM!</v>
      </c>
      <c r="BH1988" t="e">
        <f t="shared" si="95"/>
        <v>#NUM!</v>
      </c>
      <c r="BI1988" t="e">
        <f>VLOOKUP(H1988,Sheet2!$A$1:$B$270,2,FALSE)</f>
        <v>#N/A</v>
      </c>
    </row>
    <row r="1989" spans="15:61" hidden="1">
      <c r="O1989" s="57"/>
      <c r="P1989" s="57"/>
      <c r="AP1989" s="57"/>
      <c r="BA1989" s="57"/>
      <c r="BF1989" s="6" t="e">
        <f t="shared" si="93"/>
        <v>#NUM!</v>
      </c>
      <c r="BG1989" t="e">
        <f t="shared" si="94"/>
        <v>#NUM!</v>
      </c>
      <c r="BH1989" t="e">
        <f t="shared" si="95"/>
        <v>#NUM!</v>
      </c>
      <c r="BI1989" t="e">
        <f>VLOOKUP(H1989,Sheet2!$A$1:$B$270,2,FALSE)</f>
        <v>#N/A</v>
      </c>
    </row>
    <row r="1990" spans="15:61" hidden="1">
      <c r="O1990" s="57"/>
      <c r="P1990" s="57"/>
      <c r="BA1990" s="57"/>
      <c r="BF1990" s="6" t="e">
        <f t="shared" si="93"/>
        <v>#NUM!</v>
      </c>
      <c r="BG1990" t="e">
        <f t="shared" si="94"/>
        <v>#NUM!</v>
      </c>
      <c r="BH1990" t="e">
        <f t="shared" si="95"/>
        <v>#NUM!</v>
      </c>
      <c r="BI1990" t="e">
        <f>VLOOKUP(H1990,Sheet2!$A$1:$B$270,2,FALSE)</f>
        <v>#N/A</v>
      </c>
    </row>
    <row r="1991" spans="15:61" hidden="1">
      <c r="O1991" s="57"/>
      <c r="P1991" s="57"/>
      <c r="AP1991" s="57"/>
      <c r="BA1991" s="57"/>
      <c r="BF1991" s="6" t="e">
        <f t="shared" si="93"/>
        <v>#NUM!</v>
      </c>
      <c r="BG1991" t="e">
        <f t="shared" si="94"/>
        <v>#NUM!</v>
      </c>
      <c r="BH1991" t="e">
        <f t="shared" si="95"/>
        <v>#NUM!</v>
      </c>
      <c r="BI1991" t="e">
        <f>VLOOKUP(H1991,Sheet2!$A$1:$B$270,2,FALSE)</f>
        <v>#N/A</v>
      </c>
    </row>
    <row r="1992" spans="15:61" hidden="1">
      <c r="O1992" s="57"/>
      <c r="P1992" s="57"/>
      <c r="BA1992" s="57"/>
      <c r="BF1992" s="6" t="e">
        <f t="shared" si="93"/>
        <v>#NUM!</v>
      </c>
      <c r="BG1992" t="e">
        <f t="shared" si="94"/>
        <v>#NUM!</v>
      </c>
      <c r="BH1992" t="e">
        <f t="shared" si="95"/>
        <v>#NUM!</v>
      </c>
      <c r="BI1992" t="e">
        <f>VLOOKUP(H1992,Sheet2!$A$1:$B$270,2,FALSE)</f>
        <v>#N/A</v>
      </c>
    </row>
    <row r="1993" spans="15:61" hidden="1">
      <c r="O1993" s="57"/>
      <c r="P1993" s="57"/>
      <c r="BA1993" s="57"/>
      <c r="BF1993" s="6" t="e">
        <f t="shared" si="93"/>
        <v>#NUM!</v>
      </c>
      <c r="BG1993" t="e">
        <f t="shared" si="94"/>
        <v>#NUM!</v>
      </c>
      <c r="BH1993" t="e">
        <f t="shared" si="95"/>
        <v>#NUM!</v>
      </c>
      <c r="BI1993" t="e">
        <f>VLOOKUP(H1993,Sheet2!$A$1:$B$270,2,FALSE)</f>
        <v>#N/A</v>
      </c>
    </row>
    <row r="1994" spans="15:61" hidden="1">
      <c r="O1994" s="57"/>
      <c r="P1994" s="57"/>
      <c r="AP1994" s="57"/>
      <c r="BA1994" s="57"/>
      <c r="BF1994" s="6" t="e">
        <f t="shared" si="93"/>
        <v>#NUM!</v>
      </c>
      <c r="BG1994" t="e">
        <f t="shared" si="94"/>
        <v>#NUM!</v>
      </c>
      <c r="BH1994" t="e">
        <f t="shared" si="95"/>
        <v>#NUM!</v>
      </c>
      <c r="BI1994" t="e">
        <f>VLOOKUP(H1994,Sheet2!$A$1:$B$270,2,FALSE)</f>
        <v>#N/A</v>
      </c>
    </row>
    <row r="1995" spans="15:61" hidden="1">
      <c r="O1995" s="57"/>
      <c r="P1995" s="57"/>
      <c r="AP1995" s="57"/>
      <c r="BA1995" s="57"/>
      <c r="BF1995" s="6" t="e">
        <f t="shared" si="93"/>
        <v>#NUM!</v>
      </c>
      <c r="BG1995" t="e">
        <f t="shared" si="94"/>
        <v>#NUM!</v>
      </c>
      <c r="BH1995" t="e">
        <f t="shared" si="95"/>
        <v>#NUM!</v>
      </c>
      <c r="BI1995" t="e">
        <f>VLOOKUP(H1995,Sheet2!$A$1:$B$270,2,FALSE)</f>
        <v>#N/A</v>
      </c>
    </row>
    <row r="1996" spans="15:61" hidden="1">
      <c r="O1996" s="57"/>
      <c r="P1996" s="57"/>
      <c r="AO1996" s="57"/>
      <c r="AP1996" s="57"/>
      <c r="BA1996" s="57"/>
      <c r="BF1996" s="6" t="e">
        <f t="shared" si="93"/>
        <v>#NUM!</v>
      </c>
      <c r="BG1996" t="e">
        <f t="shared" si="94"/>
        <v>#NUM!</v>
      </c>
      <c r="BH1996" t="e">
        <f t="shared" si="95"/>
        <v>#NUM!</v>
      </c>
      <c r="BI1996" t="e">
        <f>VLOOKUP(H1996,Sheet2!$A$1:$B$270,2,FALSE)</f>
        <v>#N/A</v>
      </c>
    </row>
    <row r="1997" spans="15:61" hidden="1">
      <c r="O1997" s="57"/>
      <c r="P1997" s="57"/>
      <c r="AO1997" s="57"/>
      <c r="AP1997" s="57"/>
      <c r="BA1997" s="57"/>
      <c r="BF1997" s="6" t="e">
        <f t="shared" si="93"/>
        <v>#NUM!</v>
      </c>
      <c r="BG1997" t="e">
        <f t="shared" si="94"/>
        <v>#NUM!</v>
      </c>
      <c r="BH1997" t="e">
        <f t="shared" si="95"/>
        <v>#NUM!</v>
      </c>
      <c r="BI1997" t="e">
        <f>VLOOKUP(H1997,Sheet2!$A$1:$B$270,2,FALSE)</f>
        <v>#N/A</v>
      </c>
    </row>
    <row r="1998" spans="15:61" hidden="1">
      <c r="O1998" s="57"/>
      <c r="P1998" s="57"/>
      <c r="AP1998" s="57"/>
      <c r="BA1998" s="57"/>
      <c r="BF1998" s="6" t="e">
        <f t="shared" si="93"/>
        <v>#NUM!</v>
      </c>
      <c r="BG1998" t="e">
        <f t="shared" si="94"/>
        <v>#NUM!</v>
      </c>
      <c r="BH1998" t="e">
        <f t="shared" si="95"/>
        <v>#NUM!</v>
      </c>
      <c r="BI1998" t="e">
        <f>VLOOKUP(H1998,Sheet2!$A$1:$B$270,2,FALSE)</f>
        <v>#N/A</v>
      </c>
    </row>
    <row r="1999" spans="15:61" hidden="1">
      <c r="O1999" s="57"/>
      <c r="P1999" s="57"/>
      <c r="AP1999" s="57"/>
      <c r="BA1999" s="57"/>
      <c r="BF1999" s="6" t="e">
        <f t="shared" si="93"/>
        <v>#NUM!</v>
      </c>
      <c r="BG1999" t="e">
        <f t="shared" si="94"/>
        <v>#NUM!</v>
      </c>
      <c r="BH1999" t="e">
        <f t="shared" si="95"/>
        <v>#NUM!</v>
      </c>
      <c r="BI1999" t="e">
        <f>VLOOKUP(H1999,Sheet2!$A$1:$B$270,2,FALSE)</f>
        <v>#N/A</v>
      </c>
    </row>
    <row r="2000" spans="15:61" hidden="1">
      <c r="O2000" s="57"/>
      <c r="P2000" s="57"/>
      <c r="AO2000" s="57"/>
      <c r="AP2000" s="57"/>
      <c r="BA2000" s="57"/>
      <c r="BF2000" s="6" t="e">
        <f t="shared" si="93"/>
        <v>#NUM!</v>
      </c>
      <c r="BG2000" t="e">
        <f t="shared" si="94"/>
        <v>#NUM!</v>
      </c>
      <c r="BH2000" t="e">
        <f t="shared" si="95"/>
        <v>#NUM!</v>
      </c>
      <c r="BI2000" t="e">
        <f>VLOOKUP(H2000,Sheet2!$A$1:$B$270,2,FALSE)</f>
        <v>#N/A</v>
      </c>
    </row>
    <row r="2001" spans="15:61" hidden="1">
      <c r="O2001" s="57"/>
      <c r="P2001" s="57"/>
      <c r="BA2001" s="57"/>
      <c r="BF2001" s="6" t="e">
        <f t="shared" si="93"/>
        <v>#NUM!</v>
      </c>
      <c r="BG2001" t="e">
        <f t="shared" si="94"/>
        <v>#NUM!</v>
      </c>
      <c r="BH2001" t="e">
        <f t="shared" si="95"/>
        <v>#NUM!</v>
      </c>
      <c r="BI2001" t="e">
        <f>VLOOKUP(H2001,Sheet2!$A$1:$B$270,2,FALSE)</f>
        <v>#N/A</v>
      </c>
    </row>
    <row r="2002" spans="15:61" hidden="1">
      <c r="O2002" s="57"/>
      <c r="P2002" s="57"/>
      <c r="AP2002" s="57"/>
      <c r="BA2002" s="57"/>
      <c r="BF2002" s="6" t="e">
        <f t="shared" si="93"/>
        <v>#NUM!</v>
      </c>
      <c r="BG2002" t="e">
        <f t="shared" si="94"/>
        <v>#NUM!</v>
      </c>
      <c r="BH2002" t="e">
        <f t="shared" si="95"/>
        <v>#NUM!</v>
      </c>
      <c r="BI2002" t="e">
        <f>VLOOKUP(H2002,Sheet2!$A$1:$B$270,2,FALSE)</f>
        <v>#N/A</v>
      </c>
    </row>
    <row r="2003" spans="15:61" hidden="1">
      <c r="O2003" s="57"/>
      <c r="P2003" s="57"/>
      <c r="BA2003" s="57"/>
      <c r="BF2003" s="6" t="e">
        <f t="shared" si="93"/>
        <v>#NUM!</v>
      </c>
      <c r="BG2003" t="e">
        <f t="shared" si="94"/>
        <v>#NUM!</v>
      </c>
      <c r="BH2003" t="e">
        <f t="shared" si="95"/>
        <v>#NUM!</v>
      </c>
      <c r="BI2003" t="e">
        <f>VLOOKUP(H2003,Sheet2!$A$1:$B$270,2,FALSE)</f>
        <v>#N/A</v>
      </c>
    </row>
    <row r="2004" spans="15:61" hidden="1">
      <c r="O2004" s="57"/>
      <c r="P2004" s="57"/>
      <c r="AO2004" s="57"/>
      <c r="BA2004" s="57"/>
      <c r="BF2004" s="6" t="e">
        <f t="shared" si="93"/>
        <v>#NUM!</v>
      </c>
      <c r="BG2004" t="e">
        <f t="shared" si="94"/>
        <v>#NUM!</v>
      </c>
      <c r="BH2004" t="e">
        <f t="shared" si="95"/>
        <v>#NUM!</v>
      </c>
      <c r="BI2004" t="e">
        <f>VLOOKUP(H2004,Sheet2!$A$1:$B$270,2,FALSE)</f>
        <v>#N/A</v>
      </c>
    </row>
    <row r="2005" spans="15:61" hidden="1">
      <c r="O2005" s="57"/>
      <c r="P2005" s="57"/>
      <c r="AO2005" s="57"/>
      <c r="AP2005" s="57"/>
      <c r="BA2005" s="57"/>
      <c r="BF2005" s="6" t="e">
        <f t="shared" si="93"/>
        <v>#NUM!</v>
      </c>
      <c r="BG2005" t="e">
        <f t="shared" si="94"/>
        <v>#NUM!</v>
      </c>
      <c r="BH2005" t="e">
        <f t="shared" si="95"/>
        <v>#NUM!</v>
      </c>
      <c r="BI2005" t="e">
        <f>VLOOKUP(H2005,Sheet2!$A$1:$B$270,2,FALSE)</f>
        <v>#N/A</v>
      </c>
    </row>
    <row r="2006" spans="15:61" hidden="1">
      <c r="O2006" s="57"/>
      <c r="P2006" s="57"/>
      <c r="AO2006" s="57"/>
      <c r="BA2006" s="57"/>
      <c r="BF2006" s="6" t="e">
        <f t="shared" si="93"/>
        <v>#NUM!</v>
      </c>
      <c r="BG2006" t="e">
        <f t="shared" si="94"/>
        <v>#NUM!</v>
      </c>
      <c r="BH2006" t="e">
        <f t="shared" si="95"/>
        <v>#NUM!</v>
      </c>
      <c r="BI2006" t="e">
        <f>VLOOKUP(H2006,Sheet2!$A$1:$B$270,2,FALSE)</f>
        <v>#N/A</v>
      </c>
    </row>
    <row r="2007" spans="15:61" hidden="1">
      <c r="O2007" s="57"/>
      <c r="P2007" s="57"/>
      <c r="AO2007" s="57"/>
      <c r="AP2007" s="57"/>
      <c r="BA2007" s="57"/>
      <c r="BF2007" s="6" t="e">
        <f t="shared" si="93"/>
        <v>#NUM!</v>
      </c>
      <c r="BG2007" t="e">
        <f t="shared" si="94"/>
        <v>#NUM!</v>
      </c>
      <c r="BH2007" t="e">
        <f t="shared" si="95"/>
        <v>#NUM!</v>
      </c>
      <c r="BI2007" t="e">
        <f>VLOOKUP(H2007,Sheet2!$A$1:$B$270,2,FALSE)</f>
        <v>#N/A</v>
      </c>
    </row>
    <row r="2008" spans="15:61" hidden="1">
      <c r="O2008" s="57"/>
      <c r="P2008" s="57"/>
      <c r="AP2008" s="57"/>
      <c r="BA2008" s="57"/>
      <c r="BF2008" s="6" t="e">
        <f t="shared" si="93"/>
        <v>#NUM!</v>
      </c>
      <c r="BG2008" t="e">
        <f t="shared" si="94"/>
        <v>#NUM!</v>
      </c>
      <c r="BH2008" t="e">
        <f t="shared" si="95"/>
        <v>#NUM!</v>
      </c>
      <c r="BI2008" t="e">
        <f>VLOOKUP(H2008,Sheet2!$A$1:$B$270,2,FALSE)</f>
        <v>#N/A</v>
      </c>
    </row>
    <row r="2009" spans="15:61" hidden="1">
      <c r="O2009" s="57"/>
      <c r="P2009" s="57"/>
      <c r="AP2009" s="57"/>
      <c r="BA2009" s="57"/>
      <c r="BF2009" s="6" t="e">
        <f t="shared" si="93"/>
        <v>#NUM!</v>
      </c>
      <c r="BG2009" t="e">
        <f t="shared" si="94"/>
        <v>#NUM!</v>
      </c>
      <c r="BH2009" t="e">
        <f t="shared" si="95"/>
        <v>#NUM!</v>
      </c>
      <c r="BI2009" t="e">
        <f>VLOOKUP(H2009,Sheet2!$A$1:$B$270,2,FALSE)</f>
        <v>#N/A</v>
      </c>
    </row>
    <row r="2010" spans="15:61" hidden="1">
      <c r="O2010" s="57"/>
      <c r="P2010" s="57"/>
      <c r="AP2010" s="57"/>
      <c r="BA2010" s="57"/>
      <c r="BF2010" s="6" t="e">
        <f t="shared" si="93"/>
        <v>#NUM!</v>
      </c>
      <c r="BG2010" t="e">
        <f t="shared" si="94"/>
        <v>#NUM!</v>
      </c>
      <c r="BH2010" t="e">
        <f t="shared" si="95"/>
        <v>#NUM!</v>
      </c>
      <c r="BI2010" t="e">
        <f>VLOOKUP(H2010,Sheet2!$A$1:$B$270,2,FALSE)</f>
        <v>#N/A</v>
      </c>
    </row>
    <row r="2011" spans="15:61" hidden="1">
      <c r="O2011" s="57"/>
      <c r="P2011" s="57"/>
      <c r="AP2011" s="57"/>
      <c r="BA2011" s="57"/>
      <c r="BF2011" s="6" t="e">
        <f t="shared" si="93"/>
        <v>#NUM!</v>
      </c>
      <c r="BG2011" t="e">
        <f t="shared" si="94"/>
        <v>#NUM!</v>
      </c>
      <c r="BH2011" t="e">
        <f t="shared" si="95"/>
        <v>#NUM!</v>
      </c>
      <c r="BI2011" t="e">
        <f>VLOOKUP(H2011,Sheet2!$A$1:$B$270,2,FALSE)</f>
        <v>#N/A</v>
      </c>
    </row>
    <row r="2012" spans="15:61" hidden="1">
      <c r="O2012" s="57"/>
      <c r="P2012" s="57"/>
      <c r="BA2012" s="57"/>
      <c r="BF2012" s="6" t="e">
        <f t="shared" si="93"/>
        <v>#NUM!</v>
      </c>
      <c r="BG2012" t="e">
        <f t="shared" si="94"/>
        <v>#NUM!</v>
      </c>
      <c r="BH2012" t="e">
        <f t="shared" si="95"/>
        <v>#NUM!</v>
      </c>
      <c r="BI2012" t="e">
        <f>VLOOKUP(H2012,Sheet2!$A$1:$B$270,2,FALSE)</f>
        <v>#N/A</v>
      </c>
    </row>
    <row r="2013" spans="15:61" hidden="1">
      <c r="O2013" s="57"/>
      <c r="P2013" s="57"/>
      <c r="AP2013" s="57"/>
      <c r="BA2013" s="57"/>
      <c r="BF2013" s="6" t="e">
        <f t="shared" si="93"/>
        <v>#NUM!</v>
      </c>
      <c r="BG2013" t="e">
        <f t="shared" si="94"/>
        <v>#NUM!</v>
      </c>
      <c r="BH2013" t="e">
        <f t="shared" si="95"/>
        <v>#NUM!</v>
      </c>
      <c r="BI2013" t="e">
        <f>VLOOKUP(H2013,Sheet2!$A$1:$B$270,2,FALSE)</f>
        <v>#N/A</v>
      </c>
    </row>
    <row r="2014" spans="15:61" hidden="1">
      <c r="O2014" s="57"/>
      <c r="P2014" s="57"/>
      <c r="AP2014" s="57"/>
      <c r="BA2014" s="57"/>
      <c r="BF2014" s="6" t="e">
        <f t="shared" si="93"/>
        <v>#NUM!</v>
      </c>
      <c r="BG2014" t="e">
        <f t="shared" si="94"/>
        <v>#NUM!</v>
      </c>
      <c r="BH2014" t="e">
        <f t="shared" si="95"/>
        <v>#NUM!</v>
      </c>
      <c r="BI2014" t="e">
        <f>VLOOKUP(H2014,Sheet2!$A$1:$B$270,2,FALSE)</f>
        <v>#N/A</v>
      </c>
    </row>
    <row r="2015" spans="15:61" hidden="1">
      <c r="O2015" s="57"/>
      <c r="P2015" s="57"/>
      <c r="BA2015" s="57"/>
      <c r="BF2015" s="6" t="e">
        <f t="shared" si="93"/>
        <v>#NUM!</v>
      </c>
      <c r="BG2015" t="e">
        <f t="shared" si="94"/>
        <v>#NUM!</v>
      </c>
      <c r="BH2015" t="e">
        <f t="shared" si="95"/>
        <v>#NUM!</v>
      </c>
      <c r="BI2015" t="e">
        <f>VLOOKUP(H2015,Sheet2!$A$1:$B$270,2,FALSE)</f>
        <v>#N/A</v>
      </c>
    </row>
    <row r="2016" spans="15:61" hidden="1">
      <c r="O2016" s="57"/>
      <c r="P2016" s="57"/>
      <c r="AP2016" s="57"/>
      <c r="BA2016" s="57"/>
      <c r="BF2016" s="6" t="e">
        <f t="shared" si="93"/>
        <v>#NUM!</v>
      </c>
      <c r="BG2016" t="e">
        <f t="shared" si="94"/>
        <v>#NUM!</v>
      </c>
      <c r="BH2016" t="e">
        <f t="shared" si="95"/>
        <v>#NUM!</v>
      </c>
      <c r="BI2016" t="e">
        <f>VLOOKUP(H2016,Sheet2!$A$1:$B$270,2,FALSE)</f>
        <v>#N/A</v>
      </c>
    </row>
    <row r="2017" spans="15:61" hidden="1">
      <c r="O2017" s="57"/>
      <c r="P2017" s="57"/>
      <c r="BA2017" s="57"/>
      <c r="BF2017" s="6" t="e">
        <f t="shared" si="93"/>
        <v>#NUM!</v>
      </c>
      <c r="BG2017" t="e">
        <f t="shared" si="94"/>
        <v>#NUM!</v>
      </c>
      <c r="BH2017" t="e">
        <f t="shared" si="95"/>
        <v>#NUM!</v>
      </c>
      <c r="BI2017" t="e">
        <f>VLOOKUP(H2017,Sheet2!$A$1:$B$270,2,FALSE)</f>
        <v>#N/A</v>
      </c>
    </row>
    <row r="2018" spans="15:61" hidden="1">
      <c r="O2018" s="57"/>
      <c r="P2018" s="57"/>
      <c r="AP2018" s="57"/>
      <c r="BA2018" s="57"/>
      <c r="BF2018" s="6" t="e">
        <f t="shared" si="93"/>
        <v>#NUM!</v>
      </c>
      <c r="BG2018" t="e">
        <f t="shared" si="94"/>
        <v>#NUM!</v>
      </c>
      <c r="BH2018" t="e">
        <f t="shared" si="95"/>
        <v>#NUM!</v>
      </c>
      <c r="BI2018" t="e">
        <f>VLOOKUP(H2018,Sheet2!$A$1:$B$270,2,FALSE)</f>
        <v>#N/A</v>
      </c>
    </row>
    <row r="2019" spans="15:61" hidden="1">
      <c r="O2019" s="57"/>
      <c r="P2019" s="57"/>
      <c r="AP2019" s="57"/>
      <c r="BA2019" s="57"/>
      <c r="BF2019" s="6" t="e">
        <f t="shared" si="93"/>
        <v>#NUM!</v>
      </c>
      <c r="BG2019" t="e">
        <f t="shared" si="94"/>
        <v>#NUM!</v>
      </c>
      <c r="BH2019" t="e">
        <f t="shared" si="95"/>
        <v>#NUM!</v>
      </c>
      <c r="BI2019" t="e">
        <f>VLOOKUP(H2019,Sheet2!$A$1:$B$270,2,FALSE)</f>
        <v>#N/A</v>
      </c>
    </row>
    <row r="2020" spans="15:61" hidden="1">
      <c r="O2020" s="57"/>
      <c r="P2020" s="57"/>
      <c r="BA2020" s="57"/>
      <c r="BF2020" s="6" t="e">
        <f t="shared" si="93"/>
        <v>#NUM!</v>
      </c>
      <c r="BG2020" t="e">
        <f t="shared" si="94"/>
        <v>#NUM!</v>
      </c>
      <c r="BH2020" t="e">
        <f t="shared" si="95"/>
        <v>#NUM!</v>
      </c>
      <c r="BI2020" t="e">
        <f>VLOOKUP(H2020,Sheet2!$A$1:$B$270,2,FALSE)</f>
        <v>#N/A</v>
      </c>
    </row>
    <row r="2021" spans="15:61" hidden="1">
      <c r="O2021" s="57"/>
      <c r="P2021" s="57"/>
      <c r="AP2021" s="57"/>
      <c r="BA2021" s="57"/>
      <c r="BF2021" s="6" t="e">
        <f t="shared" si="93"/>
        <v>#NUM!</v>
      </c>
      <c r="BG2021" t="e">
        <f t="shared" si="94"/>
        <v>#NUM!</v>
      </c>
      <c r="BH2021" t="e">
        <f t="shared" si="95"/>
        <v>#NUM!</v>
      </c>
      <c r="BI2021" t="e">
        <f>VLOOKUP(H2021,Sheet2!$A$1:$B$270,2,FALSE)</f>
        <v>#N/A</v>
      </c>
    </row>
    <row r="2022" spans="15:61" hidden="1">
      <c r="O2022" s="57"/>
      <c r="P2022" s="57"/>
      <c r="BF2022" s="6" t="e">
        <f t="shared" si="93"/>
        <v>#NUM!</v>
      </c>
      <c r="BG2022" t="e">
        <f t="shared" si="94"/>
        <v>#NUM!</v>
      </c>
      <c r="BH2022" t="e">
        <f t="shared" si="95"/>
        <v>#NUM!</v>
      </c>
      <c r="BI2022" t="e">
        <f>VLOOKUP(H2022,Sheet2!$A$1:$B$270,2,FALSE)</f>
        <v>#N/A</v>
      </c>
    </row>
    <row r="2023" spans="15:61" hidden="1">
      <c r="O2023" s="57"/>
      <c r="P2023" s="57"/>
      <c r="AO2023" s="57"/>
      <c r="AP2023" s="57"/>
      <c r="BA2023" s="57"/>
      <c r="BF2023" s="6" t="e">
        <f t="shared" si="93"/>
        <v>#NUM!</v>
      </c>
      <c r="BG2023" t="e">
        <f t="shared" si="94"/>
        <v>#NUM!</v>
      </c>
      <c r="BH2023" t="e">
        <f t="shared" si="95"/>
        <v>#NUM!</v>
      </c>
      <c r="BI2023" t="e">
        <f>VLOOKUP(H2023,Sheet2!$A$1:$B$270,2,FALSE)</f>
        <v>#N/A</v>
      </c>
    </row>
    <row r="2024" spans="15:61" hidden="1">
      <c r="O2024" s="57"/>
      <c r="P2024" s="57"/>
      <c r="AO2024" s="57"/>
      <c r="AP2024" s="57"/>
      <c r="BA2024" s="57"/>
      <c r="BF2024" s="6" t="e">
        <f t="shared" si="93"/>
        <v>#NUM!</v>
      </c>
      <c r="BG2024" t="e">
        <f t="shared" si="94"/>
        <v>#NUM!</v>
      </c>
      <c r="BH2024" t="e">
        <f t="shared" si="95"/>
        <v>#NUM!</v>
      </c>
      <c r="BI2024" t="e">
        <f>VLOOKUP(H2024,Sheet2!$A$1:$B$270,2,FALSE)</f>
        <v>#N/A</v>
      </c>
    </row>
    <row r="2025" spans="15:61" hidden="1">
      <c r="O2025" s="57"/>
      <c r="P2025" s="57"/>
      <c r="AO2025" s="57"/>
      <c r="AP2025" s="57"/>
      <c r="BA2025" s="57"/>
      <c r="BF2025" s="6" t="e">
        <f t="shared" si="93"/>
        <v>#NUM!</v>
      </c>
      <c r="BG2025" t="e">
        <f t="shared" si="94"/>
        <v>#NUM!</v>
      </c>
      <c r="BH2025" t="e">
        <f t="shared" si="95"/>
        <v>#NUM!</v>
      </c>
      <c r="BI2025" t="e">
        <f>VLOOKUP(H2025,Sheet2!$A$1:$B$270,2,FALSE)</f>
        <v>#N/A</v>
      </c>
    </row>
    <row r="2026" spans="15:61" hidden="1">
      <c r="O2026" s="57"/>
      <c r="P2026" s="57"/>
      <c r="AO2026" s="57"/>
      <c r="AP2026" s="57"/>
      <c r="BA2026" s="57"/>
      <c r="BF2026" s="6" t="e">
        <f t="shared" si="93"/>
        <v>#NUM!</v>
      </c>
      <c r="BG2026" t="e">
        <f t="shared" si="94"/>
        <v>#NUM!</v>
      </c>
      <c r="BH2026" t="e">
        <f t="shared" si="95"/>
        <v>#NUM!</v>
      </c>
      <c r="BI2026" t="e">
        <f>VLOOKUP(H2026,Sheet2!$A$1:$B$270,2,FALSE)</f>
        <v>#N/A</v>
      </c>
    </row>
    <row r="2027" spans="15:61" hidden="1">
      <c r="O2027" s="57"/>
      <c r="P2027" s="57"/>
      <c r="AO2027" s="57"/>
      <c r="AP2027" s="57"/>
      <c r="BA2027" s="57"/>
      <c r="BF2027" s="6" t="e">
        <f t="shared" si="93"/>
        <v>#NUM!</v>
      </c>
      <c r="BG2027" t="e">
        <f t="shared" si="94"/>
        <v>#NUM!</v>
      </c>
      <c r="BH2027" t="e">
        <f t="shared" si="95"/>
        <v>#NUM!</v>
      </c>
      <c r="BI2027" t="e">
        <f>VLOOKUP(H2027,Sheet2!$A$1:$B$270,2,FALSE)</f>
        <v>#N/A</v>
      </c>
    </row>
    <row r="2028" spans="15:61" hidden="1">
      <c r="O2028" s="57"/>
      <c r="P2028" s="57"/>
      <c r="AP2028" s="57"/>
      <c r="BA2028" s="57"/>
      <c r="BF2028" s="6" t="e">
        <f t="shared" si="93"/>
        <v>#NUM!</v>
      </c>
      <c r="BG2028" t="e">
        <f t="shared" si="94"/>
        <v>#NUM!</v>
      </c>
      <c r="BH2028" t="e">
        <f t="shared" si="95"/>
        <v>#NUM!</v>
      </c>
      <c r="BI2028" t="e">
        <f>VLOOKUP(H2028,Sheet2!$A$1:$B$270,2,FALSE)</f>
        <v>#N/A</v>
      </c>
    </row>
    <row r="2029" spans="15:61" hidden="1">
      <c r="O2029" s="57"/>
      <c r="P2029" s="57"/>
      <c r="AP2029" s="57"/>
      <c r="BA2029" s="57"/>
      <c r="BF2029" s="6" t="e">
        <f t="shared" si="93"/>
        <v>#NUM!</v>
      </c>
      <c r="BG2029" t="e">
        <f t="shared" si="94"/>
        <v>#NUM!</v>
      </c>
      <c r="BH2029" t="e">
        <f t="shared" si="95"/>
        <v>#NUM!</v>
      </c>
      <c r="BI2029" t="e">
        <f>VLOOKUP(H2029,Sheet2!$A$1:$B$270,2,FALSE)</f>
        <v>#N/A</v>
      </c>
    </row>
    <row r="2030" spans="15:61" hidden="1">
      <c r="O2030" s="57"/>
      <c r="P2030" s="57"/>
      <c r="AP2030" s="57"/>
      <c r="BA2030" s="57"/>
      <c r="BF2030" s="6" t="e">
        <f t="shared" si="93"/>
        <v>#NUM!</v>
      </c>
      <c r="BG2030" t="e">
        <f t="shared" si="94"/>
        <v>#NUM!</v>
      </c>
      <c r="BH2030" t="e">
        <f t="shared" si="95"/>
        <v>#NUM!</v>
      </c>
      <c r="BI2030" t="e">
        <f>VLOOKUP(H2030,Sheet2!$A$1:$B$270,2,FALSE)</f>
        <v>#N/A</v>
      </c>
    </row>
    <row r="2031" spans="15:61" hidden="1">
      <c r="O2031" s="57"/>
      <c r="P2031" s="57"/>
      <c r="AP2031" s="57"/>
      <c r="BA2031" s="57"/>
      <c r="BF2031" s="6" t="e">
        <f t="shared" si="93"/>
        <v>#NUM!</v>
      </c>
      <c r="BG2031" t="e">
        <f t="shared" si="94"/>
        <v>#NUM!</v>
      </c>
      <c r="BH2031" t="e">
        <f t="shared" si="95"/>
        <v>#NUM!</v>
      </c>
      <c r="BI2031" t="e">
        <f>VLOOKUP(H2031,Sheet2!$A$1:$B$270,2,FALSE)</f>
        <v>#N/A</v>
      </c>
    </row>
    <row r="2032" spans="15:61" hidden="1">
      <c r="O2032" s="57"/>
      <c r="P2032" s="57"/>
      <c r="AP2032" s="57"/>
      <c r="BA2032" s="57"/>
      <c r="BF2032" s="6" t="e">
        <f t="shared" si="93"/>
        <v>#NUM!</v>
      </c>
      <c r="BG2032" t="e">
        <f t="shared" si="94"/>
        <v>#NUM!</v>
      </c>
      <c r="BH2032" t="e">
        <f t="shared" si="95"/>
        <v>#NUM!</v>
      </c>
      <c r="BI2032" t="e">
        <f>VLOOKUP(H2032,Sheet2!$A$1:$B$270,2,FALSE)</f>
        <v>#N/A</v>
      </c>
    </row>
    <row r="2033" spans="15:61" hidden="1">
      <c r="O2033" s="57"/>
      <c r="P2033" s="57"/>
      <c r="AO2033" s="57"/>
      <c r="BA2033" s="57"/>
      <c r="BF2033" s="6" t="e">
        <f t="shared" si="93"/>
        <v>#NUM!</v>
      </c>
      <c r="BG2033" t="e">
        <f t="shared" si="94"/>
        <v>#NUM!</v>
      </c>
      <c r="BH2033" t="e">
        <f t="shared" si="95"/>
        <v>#NUM!</v>
      </c>
      <c r="BI2033" t="e">
        <f>VLOOKUP(H2033,Sheet2!$A$1:$B$270,2,FALSE)</f>
        <v>#N/A</v>
      </c>
    </row>
    <row r="2034" spans="15:61" hidden="1">
      <c r="O2034" s="57"/>
      <c r="P2034" s="57"/>
      <c r="AO2034" s="57"/>
      <c r="BA2034" s="57"/>
      <c r="BF2034" s="6" t="e">
        <f t="shared" si="93"/>
        <v>#NUM!</v>
      </c>
      <c r="BG2034" t="e">
        <f t="shared" si="94"/>
        <v>#NUM!</v>
      </c>
      <c r="BH2034" t="e">
        <f t="shared" si="95"/>
        <v>#NUM!</v>
      </c>
      <c r="BI2034" t="e">
        <f>VLOOKUP(H2034,Sheet2!$A$1:$B$270,2,FALSE)</f>
        <v>#N/A</v>
      </c>
    </row>
    <row r="2035" spans="15:61" hidden="1">
      <c r="O2035" s="57"/>
      <c r="P2035" s="57"/>
      <c r="AO2035" s="57"/>
      <c r="BA2035" s="57"/>
      <c r="BF2035" s="6" t="e">
        <f t="shared" si="93"/>
        <v>#NUM!</v>
      </c>
      <c r="BG2035" t="e">
        <f t="shared" si="94"/>
        <v>#NUM!</v>
      </c>
      <c r="BH2035" t="e">
        <f t="shared" si="95"/>
        <v>#NUM!</v>
      </c>
      <c r="BI2035" t="e">
        <f>VLOOKUP(H2035,Sheet2!$A$1:$B$270,2,FALSE)</f>
        <v>#N/A</v>
      </c>
    </row>
    <row r="2036" spans="15:61" hidden="1">
      <c r="O2036" s="57"/>
      <c r="P2036" s="57"/>
      <c r="AP2036" s="57"/>
      <c r="BA2036" s="57"/>
      <c r="BF2036" s="6" t="e">
        <f t="shared" si="93"/>
        <v>#NUM!</v>
      </c>
      <c r="BG2036" t="e">
        <f t="shared" si="94"/>
        <v>#NUM!</v>
      </c>
      <c r="BH2036" t="e">
        <f t="shared" si="95"/>
        <v>#NUM!</v>
      </c>
      <c r="BI2036" t="e">
        <f>VLOOKUP(H2036,Sheet2!$A$1:$B$270,2,FALSE)</f>
        <v>#N/A</v>
      </c>
    </row>
    <row r="2037" spans="15:61" hidden="1">
      <c r="O2037" s="57"/>
      <c r="P2037" s="57"/>
      <c r="BA2037" s="57"/>
      <c r="BF2037" s="6" t="e">
        <f t="shared" si="93"/>
        <v>#NUM!</v>
      </c>
      <c r="BG2037" t="e">
        <f t="shared" si="94"/>
        <v>#NUM!</v>
      </c>
      <c r="BH2037" t="e">
        <f t="shared" si="95"/>
        <v>#NUM!</v>
      </c>
      <c r="BI2037" t="e">
        <f>VLOOKUP(H2037,Sheet2!$A$1:$B$270,2,FALSE)</f>
        <v>#N/A</v>
      </c>
    </row>
    <row r="2038" spans="15:61" hidden="1">
      <c r="O2038" s="57"/>
      <c r="P2038" s="57"/>
      <c r="AO2038" s="57"/>
      <c r="BA2038" s="57"/>
      <c r="BF2038" s="6" t="e">
        <f t="shared" si="93"/>
        <v>#NUM!</v>
      </c>
      <c r="BG2038" t="e">
        <f t="shared" si="94"/>
        <v>#NUM!</v>
      </c>
      <c r="BH2038" t="e">
        <f t="shared" si="95"/>
        <v>#NUM!</v>
      </c>
      <c r="BI2038" t="e">
        <f>VLOOKUP(H2038,Sheet2!$A$1:$B$270,2,FALSE)</f>
        <v>#N/A</v>
      </c>
    </row>
    <row r="2039" spans="15:61" hidden="1">
      <c r="O2039" s="57"/>
      <c r="P2039" s="57"/>
      <c r="AO2039" s="57"/>
      <c r="AP2039" s="57"/>
      <c r="BA2039" s="57"/>
      <c r="BF2039" s="6" t="e">
        <f t="shared" si="93"/>
        <v>#NUM!</v>
      </c>
      <c r="BG2039" t="e">
        <f t="shared" si="94"/>
        <v>#NUM!</v>
      </c>
      <c r="BH2039" t="e">
        <f t="shared" si="95"/>
        <v>#NUM!</v>
      </c>
      <c r="BI2039" t="e">
        <f>VLOOKUP(H2039,Sheet2!$A$1:$B$270,2,FALSE)</f>
        <v>#N/A</v>
      </c>
    </row>
    <row r="2040" spans="15:61" hidden="1">
      <c r="O2040" s="57"/>
      <c r="P2040" s="57"/>
      <c r="AO2040" s="57"/>
      <c r="BA2040" s="57"/>
      <c r="BF2040" s="6" t="e">
        <f t="shared" si="93"/>
        <v>#NUM!</v>
      </c>
      <c r="BG2040" t="e">
        <f t="shared" si="94"/>
        <v>#NUM!</v>
      </c>
      <c r="BH2040" t="e">
        <f t="shared" si="95"/>
        <v>#NUM!</v>
      </c>
      <c r="BI2040" t="e">
        <f>VLOOKUP(H2040,Sheet2!$A$1:$B$270,2,FALSE)</f>
        <v>#N/A</v>
      </c>
    </row>
    <row r="2041" spans="15:61" hidden="1">
      <c r="O2041" s="57"/>
      <c r="P2041" s="57"/>
      <c r="AO2041" s="57"/>
      <c r="BA2041" s="57"/>
      <c r="BF2041" s="6" t="e">
        <f t="shared" si="93"/>
        <v>#NUM!</v>
      </c>
      <c r="BG2041" t="e">
        <f t="shared" si="94"/>
        <v>#NUM!</v>
      </c>
      <c r="BH2041" t="e">
        <f t="shared" si="95"/>
        <v>#NUM!</v>
      </c>
      <c r="BI2041" t="e">
        <f>VLOOKUP(H2041,Sheet2!$A$1:$B$270,2,FALSE)</f>
        <v>#N/A</v>
      </c>
    </row>
    <row r="2042" spans="15:61" hidden="1">
      <c r="O2042" s="57"/>
      <c r="P2042" s="57"/>
      <c r="AO2042" s="57"/>
      <c r="AP2042" s="57"/>
      <c r="BA2042" s="57"/>
      <c r="BF2042" s="6" t="e">
        <f t="shared" si="93"/>
        <v>#NUM!</v>
      </c>
      <c r="BG2042" t="e">
        <f t="shared" si="94"/>
        <v>#NUM!</v>
      </c>
      <c r="BH2042" t="e">
        <f t="shared" si="95"/>
        <v>#NUM!</v>
      </c>
      <c r="BI2042" t="e">
        <f>VLOOKUP(H2042,Sheet2!$A$1:$B$270,2,FALSE)</f>
        <v>#N/A</v>
      </c>
    </row>
    <row r="2043" spans="15:61" hidden="1">
      <c r="O2043" s="57"/>
      <c r="P2043" s="57"/>
      <c r="AO2043" s="57"/>
      <c r="AP2043" s="57"/>
      <c r="BA2043" s="57"/>
      <c r="BF2043" s="6" t="e">
        <f t="shared" si="93"/>
        <v>#NUM!</v>
      </c>
      <c r="BG2043" t="e">
        <f t="shared" si="94"/>
        <v>#NUM!</v>
      </c>
      <c r="BH2043" t="e">
        <f t="shared" si="95"/>
        <v>#NUM!</v>
      </c>
      <c r="BI2043" t="e">
        <f>VLOOKUP(H2043,Sheet2!$A$1:$B$270,2,FALSE)</f>
        <v>#N/A</v>
      </c>
    </row>
    <row r="2044" spans="15:61" hidden="1">
      <c r="O2044" s="57"/>
      <c r="P2044" s="57"/>
      <c r="AO2044" s="57"/>
      <c r="BA2044" s="57"/>
      <c r="BF2044" s="6" t="e">
        <f t="shared" si="93"/>
        <v>#NUM!</v>
      </c>
      <c r="BG2044" t="e">
        <f t="shared" si="94"/>
        <v>#NUM!</v>
      </c>
      <c r="BH2044" t="e">
        <f t="shared" si="95"/>
        <v>#NUM!</v>
      </c>
      <c r="BI2044" t="e">
        <f>VLOOKUP(H2044,Sheet2!$A$1:$B$270,2,FALSE)</f>
        <v>#N/A</v>
      </c>
    </row>
    <row r="2045" spans="15:61" hidden="1">
      <c r="O2045" s="57"/>
      <c r="P2045" s="57"/>
      <c r="AO2045" s="57"/>
      <c r="AP2045" s="57"/>
      <c r="BA2045" s="57"/>
      <c r="BF2045" s="6" t="e">
        <f t="shared" si="93"/>
        <v>#NUM!</v>
      </c>
      <c r="BG2045" t="e">
        <f t="shared" si="94"/>
        <v>#NUM!</v>
      </c>
      <c r="BH2045" t="e">
        <f t="shared" si="95"/>
        <v>#NUM!</v>
      </c>
      <c r="BI2045" t="e">
        <f>VLOOKUP(H2045,Sheet2!$A$1:$B$270,2,FALSE)</f>
        <v>#N/A</v>
      </c>
    </row>
    <row r="2046" spans="15:61" hidden="1">
      <c r="O2046" s="57"/>
      <c r="P2046" s="57"/>
      <c r="AO2046" s="57"/>
      <c r="AP2046" s="57"/>
      <c r="BA2046" s="57"/>
      <c r="BF2046" s="6" t="e">
        <f t="shared" si="93"/>
        <v>#NUM!</v>
      </c>
      <c r="BG2046" t="e">
        <f t="shared" si="94"/>
        <v>#NUM!</v>
      </c>
      <c r="BH2046" t="e">
        <f t="shared" si="95"/>
        <v>#NUM!</v>
      </c>
      <c r="BI2046" t="e">
        <f>VLOOKUP(H2046,Sheet2!$A$1:$B$270,2,FALSE)</f>
        <v>#N/A</v>
      </c>
    </row>
    <row r="2047" spans="15:61" hidden="1">
      <c r="O2047" s="57"/>
      <c r="P2047" s="57"/>
      <c r="AO2047" s="57"/>
      <c r="AP2047" s="57"/>
      <c r="BA2047" s="57"/>
      <c r="BF2047" s="6" t="e">
        <f t="shared" si="93"/>
        <v>#NUM!</v>
      </c>
      <c r="BG2047" t="e">
        <f t="shared" si="94"/>
        <v>#NUM!</v>
      </c>
      <c r="BH2047" t="e">
        <f t="shared" si="95"/>
        <v>#NUM!</v>
      </c>
      <c r="BI2047" t="e">
        <f>VLOOKUP(H2047,Sheet2!$A$1:$B$270,2,FALSE)</f>
        <v>#N/A</v>
      </c>
    </row>
    <row r="2048" spans="15:61" hidden="1">
      <c r="O2048" s="57"/>
      <c r="P2048" s="57"/>
      <c r="AO2048" s="57"/>
      <c r="AP2048" s="57"/>
      <c r="BA2048" s="57"/>
      <c r="BF2048" s="6" t="e">
        <f t="shared" si="93"/>
        <v>#NUM!</v>
      </c>
      <c r="BG2048" t="e">
        <f t="shared" si="94"/>
        <v>#NUM!</v>
      </c>
      <c r="BH2048" t="e">
        <f t="shared" si="95"/>
        <v>#NUM!</v>
      </c>
      <c r="BI2048" t="e">
        <f>VLOOKUP(H2048,Sheet2!$A$1:$B$270,2,FALSE)</f>
        <v>#N/A</v>
      </c>
    </row>
    <row r="2049" spans="15:61" hidden="1">
      <c r="O2049" s="57"/>
      <c r="P2049" s="57"/>
      <c r="AO2049" s="57"/>
      <c r="AP2049" s="57"/>
      <c r="BA2049" s="57"/>
      <c r="BF2049" s="6" t="e">
        <f t="shared" si="93"/>
        <v>#NUM!</v>
      </c>
      <c r="BG2049" t="e">
        <f t="shared" si="94"/>
        <v>#NUM!</v>
      </c>
      <c r="BH2049" t="e">
        <f t="shared" si="95"/>
        <v>#NUM!</v>
      </c>
      <c r="BI2049" t="e">
        <f>VLOOKUP(H2049,Sheet2!$A$1:$B$270,2,FALSE)</f>
        <v>#N/A</v>
      </c>
    </row>
    <row r="2050" spans="15:61" hidden="1">
      <c r="O2050" s="57"/>
      <c r="P2050" s="57"/>
      <c r="AO2050" s="57"/>
      <c r="AP2050" s="57"/>
      <c r="BA2050" s="57"/>
      <c r="BF2050" s="6" t="e">
        <f t="shared" ref="BF2050:BF2113" si="96">DATE(BC2050,BD2050,BE2050)</f>
        <v>#NUM!</v>
      </c>
      <c r="BG2050" t="e">
        <f t="shared" ref="BG2050:BG2113" si="97">BF2050-BA2050</f>
        <v>#NUM!</v>
      </c>
      <c r="BH2050" t="e">
        <f t="shared" ref="BH2050:BH2113" si="98">IF(BG2050=1,"COMPLY",IF(BG2050&lt;1,"COMPLY","NOT COMPLY"))</f>
        <v>#NUM!</v>
      </c>
      <c r="BI2050" t="e">
        <f>VLOOKUP(H2050,Sheet2!$A$1:$B$270,2,FALSE)</f>
        <v>#N/A</v>
      </c>
    </row>
    <row r="2051" spans="15:61" hidden="1">
      <c r="O2051" s="57"/>
      <c r="P2051" s="57"/>
      <c r="AO2051" s="57"/>
      <c r="BA2051" s="57"/>
      <c r="BF2051" s="6" t="e">
        <f t="shared" si="96"/>
        <v>#NUM!</v>
      </c>
      <c r="BG2051" t="e">
        <f t="shared" si="97"/>
        <v>#NUM!</v>
      </c>
      <c r="BH2051" t="e">
        <f t="shared" si="98"/>
        <v>#NUM!</v>
      </c>
      <c r="BI2051" t="e">
        <f>VLOOKUP(H2051,Sheet2!$A$1:$B$270,2,FALSE)</f>
        <v>#N/A</v>
      </c>
    </row>
    <row r="2052" spans="15:61" hidden="1">
      <c r="O2052" s="57"/>
      <c r="P2052" s="57"/>
      <c r="AO2052" s="57"/>
      <c r="BA2052" s="57"/>
      <c r="BF2052" s="6" t="e">
        <f t="shared" si="96"/>
        <v>#NUM!</v>
      </c>
      <c r="BG2052" t="e">
        <f t="shared" si="97"/>
        <v>#NUM!</v>
      </c>
      <c r="BH2052" t="e">
        <f t="shared" si="98"/>
        <v>#NUM!</v>
      </c>
      <c r="BI2052" t="e">
        <f>VLOOKUP(H2052,Sheet2!$A$1:$B$270,2,FALSE)</f>
        <v>#N/A</v>
      </c>
    </row>
    <row r="2053" spans="15:61" hidden="1">
      <c r="O2053" s="57"/>
      <c r="P2053" s="57"/>
      <c r="AO2053" s="57"/>
      <c r="AP2053" s="57"/>
      <c r="BA2053" s="57"/>
      <c r="BF2053" s="6" t="e">
        <f t="shared" si="96"/>
        <v>#NUM!</v>
      </c>
      <c r="BG2053" t="e">
        <f t="shared" si="97"/>
        <v>#NUM!</v>
      </c>
      <c r="BH2053" t="e">
        <f t="shared" si="98"/>
        <v>#NUM!</v>
      </c>
      <c r="BI2053" t="e">
        <f>VLOOKUP(H2053,Sheet2!$A$1:$B$270,2,FALSE)</f>
        <v>#N/A</v>
      </c>
    </row>
    <row r="2054" spans="15:61" hidden="1">
      <c r="O2054" s="57"/>
      <c r="P2054" s="57"/>
      <c r="AO2054" s="57"/>
      <c r="BA2054" s="57"/>
      <c r="BF2054" s="6" t="e">
        <f t="shared" si="96"/>
        <v>#NUM!</v>
      </c>
      <c r="BG2054" t="e">
        <f t="shared" si="97"/>
        <v>#NUM!</v>
      </c>
      <c r="BH2054" t="e">
        <f t="shared" si="98"/>
        <v>#NUM!</v>
      </c>
      <c r="BI2054" t="e">
        <f>VLOOKUP(H2054,Sheet2!$A$1:$B$270,2,FALSE)</f>
        <v>#N/A</v>
      </c>
    </row>
    <row r="2055" spans="15:61" hidden="1">
      <c r="O2055" s="57"/>
      <c r="P2055" s="57"/>
      <c r="AO2055" s="57"/>
      <c r="BA2055" s="57"/>
      <c r="BF2055" s="6" t="e">
        <f t="shared" si="96"/>
        <v>#NUM!</v>
      </c>
      <c r="BG2055" t="e">
        <f t="shared" si="97"/>
        <v>#NUM!</v>
      </c>
      <c r="BH2055" t="e">
        <f t="shared" si="98"/>
        <v>#NUM!</v>
      </c>
      <c r="BI2055" t="e">
        <f>VLOOKUP(H2055,Sheet2!$A$1:$B$270,2,FALSE)</f>
        <v>#N/A</v>
      </c>
    </row>
    <row r="2056" spans="15:61" hidden="1">
      <c r="O2056" s="57"/>
      <c r="P2056" s="57"/>
      <c r="AO2056" s="57"/>
      <c r="AP2056" s="57"/>
      <c r="BA2056" s="57"/>
      <c r="BF2056" s="6" t="e">
        <f t="shared" si="96"/>
        <v>#NUM!</v>
      </c>
      <c r="BG2056" t="e">
        <f t="shared" si="97"/>
        <v>#NUM!</v>
      </c>
      <c r="BH2056" t="e">
        <f t="shared" si="98"/>
        <v>#NUM!</v>
      </c>
      <c r="BI2056" t="e">
        <f>VLOOKUP(H2056,Sheet2!$A$1:$B$270,2,FALSE)</f>
        <v>#N/A</v>
      </c>
    </row>
    <row r="2057" spans="15:61" hidden="1">
      <c r="O2057" s="57"/>
      <c r="P2057" s="57"/>
      <c r="AO2057" s="57"/>
      <c r="BA2057" s="57"/>
      <c r="BF2057" s="6" t="e">
        <f t="shared" si="96"/>
        <v>#NUM!</v>
      </c>
      <c r="BG2057" t="e">
        <f t="shared" si="97"/>
        <v>#NUM!</v>
      </c>
      <c r="BH2057" t="e">
        <f t="shared" si="98"/>
        <v>#NUM!</v>
      </c>
      <c r="BI2057" t="e">
        <f>VLOOKUP(H2057,Sheet2!$A$1:$B$270,2,FALSE)</f>
        <v>#N/A</v>
      </c>
    </row>
    <row r="2058" spans="15:61" hidden="1">
      <c r="O2058" s="57"/>
      <c r="P2058" s="57"/>
      <c r="AO2058" s="57"/>
      <c r="BA2058" s="57"/>
      <c r="BF2058" s="6" t="e">
        <f t="shared" si="96"/>
        <v>#NUM!</v>
      </c>
      <c r="BG2058" t="e">
        <f t="shared" si="97"/>
        <v>#NUM!</v>
      </c>
      <c r="BH2058" t="e">
        <f t="shared" si="98"/>
        <v>#NUM!</v>
      </c>
      <c r="BI2058" t="e">
        <f>VLOOKUP(H2058,Sheet2!$A$1:$B$270,2,FALSE)</f>
        <v>#N/A</v>
      </c>
    </row>
    <row r="2059" spans="15:61" hidden="1">
      <c r="O2059" s="57"/>
      <c r="P2059" s="57"/>
      <c r="AO2059" s="57"/>
      <c r="AP2059" s="57"/>
      <c r="BA2059" s="57"/>
      <c r="BF2059" s="6" t="e">
        <f t="shared" si="96"/>
        <v>#NUM!</v>
      </c>
      <c r="BG2059" t="e">
        <f t="shared" si="97"/>
        <v>#NUM!</v>
      </c>
      <c r="BH2059" t="e">
        <f t="shared" si="98"/>
        <v>#NUM!</v>
      </c>
      <c r="BI2059" t="e">
        <f>VLOOKUP(H2059,Sheet2!$A$1:$B$270,2,FALSE)</f>
        <v>#N/A</v>
      </c>
    </row>
    <row r="2060" spans="15:61" hidden="1">
      <c r="O2060" s="57"/>
      <c r="P2060" s="57"/>
      <c r="AO2060" s="57"/>
      <c r="AP2060" s="57"/>
      <c r="BA2060" s="57"/>
      <c r="BF2060" s="6" t="e">
        <f t="shared" si="96"/>
        <v>#NUM!</v>
      </c>
      <c r="BG2060" t="e">
        <f t="shared" si="97"/>
        <v>#NUM!</v>
      </c>
      <c r="BH2060" t="e">
        <f t="shared" si="98"/>
        <v>#NUM!</v>
      </c>
      <c r="BI2060" t="e">
        <f>VLOOKUP(H2060,Sheet2!$A$1:$B$270,2,FALSE)</f>
        <v>#N/A</v>
      </c>
    </row>
    <row r="2061" spans="15:61" hidden="1">
      <c r="O2061" s="57"/>
      <c r="P2061" s="57"/>
      <c r="BA2061" s="57"/>
      <c r="BF2061" s="6" t="e">
        <f t="shared" si="96"/>
        <v>#NUM!</v>
      </c>
      <c r="BG2061" t="e">
        <f t="shared" si="97"/>
        <v>#NUM!</v>
      </c>
      <c r="BH2061" t="e">
        <f t="shared" si="98"/>
        <v>#NUM!</v>
      </c>
      <c r="BI2061" t="e">
        <f>VLOOKUP(H2061,Sheet2!$A$1:$B$270,2,FALSE)</f>
        <v>#N/A</v>
      </c>
    </row>
    <row r="2062" spans="15:61" hidden="1">
      <c r="O2062" s="57"/>
      <c r="P2062" s="57"/>
      <c r="BA2062" s="57"/>
      <c r="BF2062" s="6" t="e">
        <f t="shared" si="96"/>
        <v>#NUM!</v>
      </c>
      <c r="BG2062" t="e">
        <f t="shared" si="97"/>
        <v>#NUM!</v>
      </c>
      <c r="BH2062" t="e">
        <f t="shared" si="98"/>
        <v>#NUM!</v>
      </c>
      <c r="BI2062" t="e">
        <f>VLOOKUP(H2062,Sheet2!$A$1:$B$270,2,FALSE)</f>
        <v>#N/A</v>
      </c>
    </row>
    <row r="2063" spans="15:61" hidden="1">
      <c r="O2063" s="57"/>
      <c r="P2063" s="57"/>
      <c r="AP2063" s="57"/>
      <c r="BA2063" s="57"/>
      <c r="BF2063" s="6" t="e">
        <f t="shared" si="96"/>
        <v>#NUM!</v>
      </c>
      <c r="BG2063" t="e">
        <f t="shared" si="97"/>
        <v>#NUM!</v>
      </c>
      <c r="BH2063" t="e">
        <f t="shared" si="98"/>
        <v>#NUM!</v>
      </c>
      <c r="BI2063" t="e">
        <f>VLOOKUP(H2063,Sheet2!$A$1:$B$270,2,FALSE)</f>
        <v>#N/A</v>
      </c>
    </row>
    <row r="2064" spans="15:61" hidden="1">
      <c r="O2064" s="57"/>
      <c r="P2064" s="57"/>
      <c r="BA2064" s="57"/>
      <c r="BF2064" s="6" t="e">
        <f t="shared" si="96"/>
        <v>#NUM!</v>
      </c>
      <c r="BG2064" t="e">
        <f t="shared" si="97"/>
        <v>#NUM!</v>
      </c>
      <c r="BH2064" t="e">
        <f t="shared" si="98"/>
        <v>#NUM!</v>
      </c>
      <c r="BI2064" t="e">
        <f>VLOOKUP(H2064,Sheet2!$A$1:$B$270,2,FALSE)</f>
        <v>#N/A</v>
      </c>
    </row>
    <row r="2065" spans="15:61" hidden="1">
      <c r="O2065" s="57"/>
      <c r="P2065" s="57"/>
      <c r="BA2065" s="57"/>
      <c r="BF2065" s="6" t="e">
        <f t="shared" si="96"/>
        <v>#NUM!</v>
      </c>
      <c r="BG2065" t="e">
        <f t="shared" si="97"/>
        <v>#NUM!</v>
      </c>
      <c r="BH2065" t="e">
        <f t="shared" si="98"/>
        <v>#NUM!</v>
      </c>
      <c r="BI2065" t="e">
        <f>VLOOKUP(H2065,Sheet2!$A$1:$B$270,2,FALSE)</f>
        <v>#N/A</v>
      </c>
    </row>
    <row r="2066" spans="15:61" hidden="1">
      <c r="O2066" s="57"/>
      <c r="P2066" s="57"/>
      <c r="BA2066" s="57"/>
      <c r="BF2066" s="6" t="e">
        <f t="shared" si="96"/>
        <v>#NUM!</v>
      </c>
      <c r="BG2066" t="e">
        <f t="shared" si="97"/>
        <v>#NUM!</v>
      </c>
      <c r="BH2066" t="e">
        <f t="shared" si="98"/>
        <v>#NUM!</v>
      </c>
      <c r="BI2066" t="e">
        <f>VLOOKUP(H2066,Sheet2!$A$1:$B$270,2,FALSE)</f>
        <v>#N/A</v>
      </c>
    </row>
    <row r="2067" spans="15:61" hidden="1">
      <c r="O2067" s="57"/>
      <c r="P2067" s="57"/>
      <c r="BA2067" s="57"/>
      <c r="BF2067" s="6" t="e">
        <f t="shared" si="96"/>
        <v>#NUM!</v>
      </c>
      <c r="BG2067" t="e">
        <f t="shared" si="97"/>
        <v>#NUM!</v>
      </c>
      <c r="BH2067" t="e">
        <f t="shared" si="98"/>
        <v>#NUM!</v>
      </c>
      <c r="BI2067" t="e">
        <f>VLOOKUP(H2067,Sheet2!$A$1:$B$270,2,FALSE)</f>
        <v>#N/A</v>
      </c>
    </row>
    <row r="2068" spans="15:61" hidden="1">
      <c r="O2068" s="57"/>
      <c r="P2068" s="57"/>
      <c r="AP2068" s="57"/>
      <c r="BA2068" s="57"/>
      <c r="BF2068" s="6" t="e">
        <f t="shared" si="96"/>
        <v>#NUM!</v>
      </c>
      <c r="BG2068" t="e">
        <f t="shared" si="97"/>
        <v>#NUM!</v>
      </c>
      <c r="BH2068" t="e">
        <f t="shared" si="98"/>
        <v>#NUM!</v>
      </c>
      <c r="BI2068" t="e">
        <f>VLOOKUP(H2068,Sheet2!$A$1:$B$270,2,FALSE)</f>
        <v>#N/A</v>
      </c>
    </row>
    <row r="2069" spans="15:61" hidden="1">
      <c r="O2069" s="57"/>
      <c r="P2069" s="57"/>
      <c r="BA2069" s="57"/>
      <c r="BF2069" s="6" t="e">
        <f t="shared" si="96"/>
        <v>#NUM!</v>
      </c>
      <c r="BG2069" t="e">
        <f t="shared" si="97"/>
        <v>#NUM!</v>
      </c>
      <c r="BH2069" t="e">
        <f t="shared" si="98"/>
        <v>#NUM!</v>
      </c>
      <c r="BI2069" t="e">
        <f>VLOOKUP(H2069,Sheet2!$A$1:$B$270,2,FALSE)</f>
        <v>#N/A</v>
      </c>
    </row>
    <row r="2070" spans="15:61" hidden="1">
      <c r="O2070" s="57"/>
      <c r="P2070" s="57"/>
      <c r="AP2070" s="57"/>
      <c r="BA2070" s="57"/>
      <c r="BF2070" s="6" t="e">
        <f t="shared" si="96"/>
        <v>#NUM!</v>
      </c>
      <c r="BG2070" t="e">
        <f t="shared" si="97"/>
        <v>#NUM!</v>
      </c>
      <c r="BH2070" t="e">
        <f t="shared" si="98"/>
        <v>#NUM!</v>
      </c>
      <c r="BI2070" t="e">
        <f>VLOOKUP(H2070,Sheet2!$A$1:$B$270,2,FALSE)</f>
        <v>#N/A</v>
      </c>
    </row>
    <row r="2071" spans="15:61" hidden="1">
      <c r="O2071" s="57"/>
      <c r="P2071" s="57"/>
      <c r="BA2071" s="57"/>
      <c r="BF2071" s="6" t="e">
        <f t="shared" si="96"/>
        <v>#NUM!</v>
      </c>
      <c r="BG2071" t="e">
        <f t="shared" si="97"/>
        <v>#NUM!</v>
      </c>
      <c r="BH2071" t="e">
        <f t="shared" si="98"/>
        <v>#NUM!</v>
      </c>
      <c r="BI2071" t="e">
        <f>VLOOKUP(H2071,Sheet2!$A$1:$B$270,2,FALSE)</f>
        <v>#N/A</v>
      </c>
    </row>
    <row r="2072" spans="15:61" hidden="1">
      <c r="O2072" s="57"/>
      <c r="P2072" s="57"/>
      <c r="BA2072" s="57"/>
      <c r="BF2072" s="6" t="e">
        <f t="shared" si="96"/>
        <v>#NUM!</v>
      </c>
      <c r="BG2072" t="e">
        <f t="shared" si="97"/>
        <v>#NUM!</v>
      </c>
      <c r="BH2072" t="e">
        <f t="shared" si="98"/>
        <v>#NUM!</v>
      </c>
      <c r="BI2072" t="e">
        <f>VLOOKUP(H2072,Sheet2!$A$1:$B$270,2,FALSE)</f>
        <v>#N/A</v>
      </c>
    </row>
    <row r="2073" spans="15:61" hidden="1">
      <c r="O2073" s="57"/>
      <c r="P2073" s="57"/>
      <c r="BA2073" s="57"/>
      <c r="BF2073" s="6" t="e">
        <f t="shared" si="96"/>
        <v>#NUM!</v>
      </c>
      <c r="BG2073" t="e">
        <f t="shared" si="97"/>
        <v>#NUM!</v>
      </c>
      <c r="BH2073" t="e">
        <f t="shared" si="98"/>
        <v>#NUM!</v>
      </c>
      <c r="BI2073" t="e">
        <f>VLOOKUP(H2073,Sheet2!$A$1:$B$270,2,FALSE)</f>
        <v>#N/A</v>
      </c>
    </row>
    <row r="2074" spans="15:61" hidden="1">
      <c r="O2074" s="57"/>
      <c r="P2074" s="57"/>
      <c r="BA2074" s="57"/>
      <c r="BF2074" s="6" t="e">
        <f t="shared" si="96"/>
        <v>#NUM!</v>
      </c>
      <c r="BG2074" t="e">
        <f t="shared" si="97"/>
        <v>#NUM!</v>
      </c>
      <c r="BH2074" t="e">
        <f t="shared" si="98"/>
        <v>#NUM!</v>
      </c>
      <c r="BI2074" t="e">
        <f>VLOOKUP(H2074,Sheet2!$A$1:$B$270,2,FALSE)</f>
        <v>#N/A</v>
      </c>
    </row>
    <row r="2075" spans="15:61" hidden="1">
      <c r="O2075" s="57"/>
      <c r="P2075" s="57"/>
      <c r="AP2075" s="57"/>
      <c r="BA2075" s="57"/>
      <c r="BF2075" s="6" t="e">
        <f t="shared" si="96"/>
        <v>#NUM!</v>
      </c>
      <c r="BG2075" t="e">
        <f t="shared" si="97"/>
        <v>#NUM!</v>
      </c>
      <c r="BH2075" t="e">
        <f t="shared" si="98"/>
        <v>#NUM!</v>
      </c>
      <c r="BI2075" t="e">
        <f>VLOOKUP(H2075,Sheet2!$A$1:$B$270,2,FALSE)</f>
        <v>#N/A</v>
      </c>
    </row>
    <row r="2076" spans="15:61" hidden="1">
      <c r="O2076" s="57"/>
      <c r="P2076" s="57"/>
      <c r="AP2076" s="57"/>
      <c r="BA2076" s="57"/>
      <c r="BF2076" s="6" t="e">
        <f t="shared" si="96"/>
        <v>#NUM!</v>
      </c>
      <c r="BG2076" t="e">
        <f t="shared" si="97"/>
        <v>#NUM!</v>
      </c>
      <c r="BH2076" t="e">
        <f t="shared" si="98"/>
        <v>#NUM!</v>
      </c>
      <c r="BI2076" t="e">
        <f>VLOOKUP(H2076,Sheet2!$A$1:$B$270,2,FALSE)</f>
        <v>#N/A</v>
      </c>
    </row>
    <row r="2077" spans="15:61" hidden="1">
      <c r="O2077" s="57"/>
      <c r="P2077" s="57"/>
      <c r="AP2077" s="57"/>
      <c r="BA2077" s="57"/>
      <c r="BF2077" s="6" t="e">
        <f t="shared" si="96"/>
        <v>#NUM!</v>
      </c>
      <c r="BG2077" t="e">
        <f t="shared" si="97"/>
        <v>#NUM!</v>
      </c>
      <c r="BH2077" t="e">
        <f t="shared" si="98"/>
        <v>#NUM!</v>
      </c>
      <c r="BI2077" t="e">
        <f>VLOOKUP(H2077,Sheet2!$A$1:$B$270,2,FALSE)</f>
        <v>#N/A</v>
      </c>
    </row>
    <row r="2078" spans="15:61" hidden="1">
      <c r="O2078" s="57"/>
      <c r="P2078" s="57"/>
      <c r="AP2078" s="57"/>
      <c r="BA2078" s="57"/>
      <c r="BF2078" s="6" t="e">
        <f t="shared" si="96"/>
        <v>#NUM!</v>
      </c>
      <c r="BG2078" t="e">
        <f t="shared" si="97"/>
        <v>#NUM!</v>
      </c>
      <c r="BH2078" t="e">
        <f t="shared" si="98"/>
        <v>#NUM!</v>
      </c>
      <c r="BI2078" t="e">
        <f>VLOOKUP(H2078,Sheet2!$A$1:$B$270,2,FALSE)</f>
        <v>#N/A</v>
      </c>
    </row>
    <row r="2079" spans="15:61" hidden="1">
      <c r="O2079" s="57"/>
      <c r="P2079" s="57"/>
      <c r="AP2079" s="57"/>
      <c r="BA2079" s="57"/>
      <c r="BF2079" s="6" t="e">
        <f t="shared" si="96"/>
        <v>#NUM!</v>
      </c>
      <c r="BG2079" t="e">
        <f t="shared" si="97"/>
        <v>#NUM!</v>
      </c>
      <c r="BH2079" t="e">
        <f t="shared" si="98"/>
        <v>#NUM!</v>
      </c>
      <c r="BI2079" t="e">
        <f>VLOOKUP(H2079,Sheet2!$A$1:$B$270,2,FALSE)</f>
        <v>#N/A</v>
      </c>
    </row>
    <row r="2080" spans="15:61" hidden="1">
      <c r="O2080" s="57"/>
      <c r="P2080" s="57"/>
      <c r="AO2080" s="57"/>
      <c r="AP2080" s="57"/>
      <c r="BA2080" s="57"/>
      <c r="BF2080" s="6" t="e">
        <f t="shared" si="96"/>
        <v>#NUM!</v>
      </c>
      <c r="BG2080" t="e">
        <f t="shared" si="97"/>
        <v>#NUM!</v>
      </c>
      <c r="BH2080" t="e">
        <f t="shared" si="98"/>
        <v>#NUM!</v>
      </c>
      <c r="BI2080" t="e">
        <f>VLOOKUP(H2080,Sheet2!$A$1:$B$270,2,FALSE)</f>
        <v>#N/A</v>
      </c>
    </row>
    <row r="2081" spans="15:61" hidden="1">
      <c r="O2081" s="57"/>
      <c r="P2081" s="57"/>
      <c r="AO2081" s="57"/>
      <c r="AP2081" s="57"/>
      <c r="BA2081" s="57"/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e">
        <f>VLOOKUP(H2081,Sheet2!$A$1:$B$270,2,FALSE)</f>
        <v>#N/A</v>
      </c>
    </row>
    <row r="2082" spans="15:61" hidden="1">
      <c r="O2082" s="57"/>
      <c r="P2082" s="57"/>
      <c r="AO2082" s="57"/>
      <c r="AP2082" s="57"/>
      <c r="BA2082" s="57"/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e">
        <f>VLOOKUP(H2082,Sheet2!$A$1:$B$270,2,FALSE)</f>
        <v>#N/A</v>
      </c>
    </row>
    <row r="2083" spans="15:61" hidden="1">
      <c r="O2083" s="57"/>
      <c r="P2083" s="57"/>
      <c r="AO2083" s="57"/>
      <c r="BF2083" s="6" t="e">
        <f t="shared" si="96"/>
        <v>#NUM!</v>
      </c>
      <c r="BG2083" t="e">
        <f t="shared" si="97"/>
        <v>#NUM!</v>
      </c>
      <c r="BH2083" t="e">
        <f t="shared" si="98"/>
        <v>#NUM!</v>
      </c>
      <c r="BI2083" t="e">
        <f>VLOOKUP(H2083,Sheet2!$A$1:$B$270,2,FALSE)</f>
        <v>#N/A</v>
      </c>
    </row>
    <row r="2084" spans="15:61" hidden="1">
      <c r="O2084" s="57"/>
      <c r="P2084" s="57"/>
      <c r="AO2084" s="57"/>
      <c r="BF2084" s="6" t="e">
        <f t="shared" si="96"/>
        <v>#NUM!</v>
      </c>
      <c r="BG2084" t="e">
        <f t="shared" si="97"/>
        <v>#NUM!</v>
      </c>
      <c r="BH2084" t="e">
        <f t="shared" si="98"/>
        <v>#NUM!</v>
      </c>
      <c r="BI2084" t="e">
        <f>VLOOKUP(H2084,Sheet2!$A$1:$B$270,2,FALSE)</f>
        <v>#N/A</v>
      </c>
    </row>
    <row r="2085" spans="15:61" hidden="1">
      <c r="O2085" s="57"/>
      <c r="P2085" s="57"/>
      <c r="AO2085" s="57"/>
      <c r="BF2085" s="6" t="e">
        <f t="shared" si="96"/>
        <v>#NUM!</v>
      </c>
      <c r="BG2085" t="e">
        <f t="shared" si="97"/>
        <v>#NUM!</v>
      </c>
      <c r="BH2085" t="e">
        <f t="shared" si="98"/>
        <v>#NUM!</v>
      </c>
      <c r="BI2085" t="e">
        <f>VLOOKUP(H2085,Sheet2!$A$1:$B$270,2,FALSE)</f>
        <v>#N/A</v>
      </c>
    </row>
    <row r="2086" spans="15:61" hidden="1">
      <c r="O2086" s="57"/>
      <c r="P2086" s="57"/>
      <c r="AP2086" s="57"/>
      <c r="BA2086" s="57"/>
      <c r="BF2086" s="6" t="e">
        <f t="shared" si="96"/>
        <v>#NUM!</v>
      </c>
      <c r="BG2086" t="e">
        <f t="shared" si="97"/>
        <v>#NUM!</v>
      </c>
      <c r="BH2086" t="e">
        <f t="shared" si="98"/>
        <v>#NUM!</v>
      </c>
      <c r="BI2086" t="e">
        <f>VLOOKUP(H2086,Sheet2!$A$1:$B$270,2,FALSE)</f>
        <v>#N/A</v>
      </c>
    </row>
    <row r="2087" spans="15:61" hidden="1">
      <c r="O2087" s="57"/>
      <c r="P2087" s="57"/>
      <c r="AP2087" s="57"/>
      <c r="BA2087" s="57"/>
      <c r="BF2087" s="6" t="e">
        <f t="shared" si="96"/>
        <v>#NUM!</v>
      </c>
      <c r="BG2087" t="e">
        <f t="shared" si="97"/>
        <v>#NUM!</v>
      </c>
      <c r="BH2087" t="e">
        <f t="shared" si="98"/>
        <v>#NUM!</v>
      </c>
      <c r="BI2087" t="e">
        <f>VLOOKUP(H2087,Sheet2!$A$1:$B$270,2,FALSE)</f>
        <v>#N/A</v>
      </c>
    </row>
    <row r="2088" spans="15:61" hidden="1">
      <c r="O2088" s="57"/>
      <c r="P2088" s="57"/>
      <c r="AO2088" s="57"/>
      <c r="AP2088" s="57"/>
      <c r="BA2088" s="57"/>
      <c r="BF2088" s="6" t="e">
        <f t="shared" si="96"/>
        <v>#NUM!</v>
      </c>
      <c r="BG2088" t="e">
        <f t="shared" si="97"/>
        <v>#NUM!</v>
      </c>
      <c r="BH2088" t="e">
        <f t="shared" si="98"/>
        <v>#NUM!</v>
      </c>
      <c r="BI2088" t="e">
        <f>VLOOKUP(H2088,Sheet2!$A$1:$B$270,2,FALSE)</f>
        <v>#N/A</v>
      </c>
    </row>
    <row r="2089" spans="15:61" hidden="1">
      <c r="O2089" s="57"/>
      <c r="P2089" s="57"/>
      <c r="AO2089" s="57"/>
      <c r="BA2089" s="57"/>
      <c r="BF2089" s="6" t="e">
        <f t="shared" si="96"/>
        <v>#NUM!</v>
      </c>
      <c r="BG2089" t="e">
        <f t="shared" si="97"/>
        <v>#NUM!</v>
      </c>
      <c r="BH2089" t="e">
        <f t="shared" si="98"/>
        <v>#NUM!</v>
      </c>
      <c r="BI2089" t="e">
        <f>VLOOKUP(H2089,Sheet2!$A$1:$B$270,2,FALSE)</f>
        <v>#N/A</v>
      </c>
    </row>
    <row r="2090" spans="15:61" hidden="1">
      <c r="O2090" s="57"/>
      <c r="P2090" s="57"/>
      <c r="AO2090" s="57"/>
      <c r="AP2090" s="57"/>
      <c r="BA2090" s="57"/>
      <c r="BF2090" s="6" t="e">
        <f t="shared" si="96"/>
        <v>#NUM!</v>
      </c>
      <c r="BG2090" t="e">
        <f t="shared" si="97"/>
        <v>#NUM!</v>
      </c>
      <c r="BH2090" t="e">
        <f t="shared" si="98"/>
        <v>#NUM!</v>
      </c>
      <c r="BI2090" t="e">
        <f>VLOOKUP(H2090,Sheet2!$A$1:$B$270,2,FALSE)</f>
        <v>#N/A</v>
      </c>
    </row>
    <row r="2091" spans="15:61" hidden="1">
      <c r="O2091" s="57"/>
      <c r="P2091" s="57"/>
      <c r="AO2091" s="57"/>
      <c r="AP2091" s="57"/>
      <c r="BA2091" s="57"/>
      <c r="BF2091" s="6" t="e">
        <f t="shared" si="96"/>
        <v>#NUM!</v>
      </c>
      <c r="BG2091" t="e">
        <f t="shared" si="97"/>
        <v>#NUM!</v>
      </c>
      <c r="BH2091" t="e">
        <f t="shared" si="98"/>
        <v>#NUM!</v>
      </c>
      <c r="BI2091" t="e">
        <f>VLOOKUP(H2091,Sheet2!$A$1:$B$270,2,FALSE)</f>
        <v>#N/A</v>
      </c>
    </row>
    <row r="2092" spans="15:61" hidden="1">
      <c r="O2092" s="57"/>
      <c r="P2092" s="57"/>
      <c r="AO2092" s="57"/>
      <c r="AP2092" s="57"/>
      <c r="BA2092" s="57"/>
      <c r="BF2092" s="6" t="e">
        <f t="shared" si="96"/>
        <v>#NUM!</v>
      </c>
      <c r="BG2092" t="e">
        <f t="shared" si="97"/>
        <v>#NUM!</v>
      </c>
      <c r="BH2092" t="e">
        <f t="shared" si="98"/>
        <v>#NUM!</v>
      </c>
      <c r="BI2092" t="e">
        <f>VLOOKUP(H2092,Sheet2!$A$1:$B$270,2,FALSE)</f>
        <v>#N/A</v>
      </c>
    </row>
    <row r="2093" spans="15:61" hidden="1">
      <c r="O2093" s="57"/>
      <c r="P2093" s="57"/>
      <c r="BA2093" s="57"/>
      <c r="BF2093" s="6" t="e">
        <f t="shared" si="96"/>
        <v>#NUM!</v>
      </c>
      <c r="BG2093" t="e">
        <f t="shared" si="97"/>
        <v>#NUM!</v>
      </c>
      <c r="BH2093" t="e">
        <f t="shared" si="98"/>
        <v>#NUM!</v>
      </c>
      <c r="BI2093" t="e">
        <f>VLOOKUP(H2093,Sheet2!$A$1:$B$270,2,FALSE)</f>
        <v>#N/A</v>
      </c>
    </row>
    <row r="2094" spans="15:61" hidden="1">
      <c r="O2094" s="57"/>
      <c r="P2094" s="57"/>
      <c r="AP2094" s="57"/>
      <c r="BA2094" s="57"/>
      <c r="BF2094" s="6" t="e">
        <f t="shared" si="96"/>
        <v>#NUM!</v>
      </c>
      <c r="BG2094" t="e">
        <f t="shared" si="97"/>
        <v>#NUM!</v>
      </c>
      <c r="BH2094" t="e">
        <f t="shared" si="98"/>
        <v>#NUM!</v>
      </c>
      <c r="BI2094" t="e">
        <f>VLOOKUP(H2094,Sheet2!$A$1:$B$270,2,FALSE)</f>
        <v>#N/A</v>
      </c>
    </row>
    <row r="2095" spans="15:61" hidden="1">
      <c r="O2095" s="57"/>
      <c r="P2095" s="57"/>
      <c r="BA2095" s="57"/>
      <c r="BF2095" s="6" t="e">
        <f t="shared" si="96"/>
        <v>#NUM!</v>
      </c>
      <c r="BG2095" t="e">
        <f t="shared" si="97"/>
        <v>#NUM!</v>
      </c>
      <c r="BH2095" t="e">
        <f t="shared" si="98"/>
        <v>#NUM!</v>
      </c>
      <c r="BI2095" t="e">
        <f>VLOOKUP(H2095,Sheet2!$A$1:$B$270,2,FALSE)</f>
        <v>#N/A</v>
      </c>
    </row>
    <row r="2096" spans="15:61" hidden="1">
      <c r="O2096" s="57"/>
      <c r="P2096" s="57"/>
      <c r="BA2096" s="57"/>
      <c r="BF2096" s="6" t="e">
        <f t="shared" si="96"/>
        <v>#NUM!</v>
      </c>
      <c r="BG2096" t="e">
        <f t="shared" si="97"/>
        <v>#NUM!</v>
      </c>
      <c r="BH2096" t="e">
        <f t="shared" si="98"/>
        <v>#NUM!</v>
      </c>
      <c r="BI2096" t="e">
        <f>VLOOKUP(H2096,Sheet2!$A$1:$B$270,2,FALSE)</f>
        <v>#N/A</v>
      </c>
    </row>
    <row r="2097" spans="15:61" hidden="1">
      <c r="O2097" s="57"/>
      <c r="P2097" s="57"/>
      <c r="AP2097" s="57"/>
      <c r="BA2097" s="57"/>
      <c r="BF2097" s="6" t="e">
        <f t="shared" si="96"/>
        <v>#NUM!</v>
      </c>
      <c r="BG2097" t="e">
        <f t="shared" si="97"/>
        <v>#NUM!</v>
      </c>
      <c r="BH2097" t="e">
        <f t="shared" si="98"/>
        <v>#NUM!</v>
      </c>
      <c r="BI2097" t="e">
        <f>VLOOKUP(H2097,Sheet2!$A$1:$B$270,2,FALSE)</f>
        <v>#N/A</v>
      </c>
    </row>
    <row r="2098" spans="15:61" hidden="1">
      <c r="O2098" s="57"/>
      <c r="P2098" s="57"/>
      <c r="BA2098" s="57"/>
      <c r="BF2098" s="6" t="e">
        <f t="shared" si="96"/>
        <v>#NUM!</v>
      </c>
      <c r="BG2098" t="e">
        <f t="shared" si="97"/>
        <v>#NUM!</v>
      </c>
      <c r="BH2098" t="e">
        <f t="shared" si="98"/>
        <v>#NUM!</v>
      </c>
      <c r="BI2098" t="e">
        <f>VLOOKUP(H2098,Sheet2!$A$1:$B$270,2,FALSE)</f>
        <v>#N/A</v>
      </c>
    </row>
    <row r="2099" spans="15:61" hidden="1">
      <c r="O2099" s="57"/>
      <c r="P2099" s="57"/>
      <c r="AP2099" s="57"/>
      <c r="BA2099" s="57"/>
      <c r="BF2099" s="6" t="e">
        <f t="shared" si="96"/>
        <v>#NUM!</v>
      </c>
      <c r="BG2099" t="e">
        <f t="shared" si="97"/>
        <v>#NUM!</v>
      </c>
      <c r="BH2099" t="e">
        <f t="shared" si="98"/>
        <v>#NUM!</v>
      </c>
      <c r="BI2099" t="e">
        <f>VLOOKUP(H2099,Sheet2!$A$1:$B$270,2,FALSE)</f>
        <v>#N/A</v>
      </c>
    </row>
    <row r="2100" spans="15:61" hidden="1">
      <c r="O2100" s="57"/>
      <c r="P2100" s="57"/>
      <c r="BA2100" s="57"/>
      <c r="BF2100" s="6" t="e">
        <f t="shared" si="96"/>
        <v>#NUM!</v>
      </c>
      <c r="BG2100" t="e">
        <f t="shared" si="97"/>
        <v>#NUM!</v>
      </c>
      <c r="BH2100" t="e">
        <f t="shared" si="98"/>
        <v>#NUM!</v>
      </c>
      <c r="BI2100" t="e">
        <f>VLOOKUP(H2100,Sheet2!$A$1:$B$270,2,FALSE)</f>
        <v>#N/A</v>
      </c>
    </row>
    <row r="2101" spans="15:61" hidden="1">
      <c r="O2101" s="57"/>
      <c r="P2101" s="57"/>
      <c r="BA2101" s="57"/>
      <c r="BF2101" s="6" t="e">
        <f t="shared" si="96"/>
        <v>#NUM!</v>
      </c>
      <c r="BG2101" t="e">
        <f t="shared" si="97"/>
        <v>#NUM!</v>
      </c>
      <c r="BH2101" t="e">
        <f t="shared" si="98"/>
        <v>#NUM!</v>
      </c>
      <c r="BI2101" t="e">
        <f>VLOOKUP(H2101,Sheet2!$A$1:$B$270,2,FALSE)</f>
        <v>#N/A</v>
      </c>
    </row>
    <row r="2102" spans="15:61" hidden="1">
      <c r="O2102" s="57"/>
      <c r="P2102" s="57"/>
      <c r="AP2102" s="57"/>
      <c r="BA2102" s="57"/>
      <c r="BF2102" s="6" t="e">
        <f t="shared" si="96"/>
        <v>#NUM!</v>
      </c>
      <c r="BG2102" t="e">
        <f t="shared" si="97"/>
        <v>#NUM!</v>
      </c>
      <c r="BH2102" t="e">
        <f t="shared" si="98"/>
        <v>#NUM!</v>
      </c>
      <c r="BI2102" t="e">
        <f>VLOOKUP(H2102,Sheet2!$A$1:$B$270,2,FALSE)</f>
        <v>#N/A</v>
      </c>
    </row>
    <row r="2103" spans="15:61" hidden="1">
      <c r="O2103" s="57"/>
      <c r="P2103" s="57"/>
      <c r="AP2103" s="57"/>
      <c r="BA2103" s="57"/>
      <c r="BF2103" s="6" t="e">
        <f t="shared" si="96"/>
        <v>#NUM!</v>
      </c>
      <c r="BG2103" t="e">
        <f t="shared" si="97"/>
        <v>#NUM!</v>
      </c>
      <c r="BH2103" t="e">
        <f t="shared" si="98"/>
        <v>#NUM!</v>
      </c>
      <c r="BI2103" t="e">
        <f>VLOOKUP(H2103,Sheet2!$A$1:$B$270,2,FALSE)</f>
        <v>#N/A</v>
      </c>
    </row>
    <row r="2104" spans="15:61" hidden="1">
      <c r="O2104" s="57"/>
      <c r="P2104" s="57"/>
      <c r="AP2104" s="57"/>
      <c r="BA2104" s="57"/>
      <c r="BF2104" s="6" t="e">
        <f t="shared" si="96"/>
        <v>#NUM!</v>
      </c>
      <c r="BG2104" t="e">
        <f t="shared" si="97"/>
        <v>#NUM!</v>
      </c>
      <c r="BH2104" t="e">
        <f t="shared" si="98"/>
        <v>#NUM!</v>
      </c>
      <c r="BI2104" t="e">
        <f>VLOOKUP(H2104,Sheet2!$A$1:$B$270,2,FALSE)</f>
        <v>#N/A</v>
      </c>
    </row>
    <row r="2105" spans="15:61" hidden="1">
      <c r="O2105" s="57"/>
      <c r="P2105" s="57"/>
      <c r="BA2105" s="57"/>
      <c r="BF2105" s="6" t="e">
        <f t="shared" si="96"/>
        <v>#NUM!</v>
      </c>
      <c r="BG2105" t="e">
        <f t="shared" si="97"/>
        <v>#NUM!</v>
      </c>
      <c r="BH2105" t="e">
        <f t="shared" si="98"/>
        <v>#NUM!</v>
      </c>
      <c r="BI2105" t="e">
        <f>VLOOKUP(H2105,Sheet2!$A$1:$B$270,2,FALSE)</f>
        <v>#N/A</v>
      </c>
    </row>
    <row r="2106" spans="15:61" hidden="1">
      <c r="O2106" s="57"/>
      <c r="P2106" s="57"/>
      <c r="BA2106" s="57"/>
      <c r="BF2106" s="6" t="e">
        <f t="shared" si="96"/>
        <v>#NUM!</v>
      </c>
      <c r="BG2106" t="e">
        <f t="shared" si="97"/>
        <v>#NUM!</v>
      </c>
      <c r="BH2106" t="e">
        <f t="shared" si="98"/>
        <v>#NUM!</v>
      </c>
      <c r="BI2106" t="e">
        <f>VLOOKUP(H2106,Sheet2!$A$1:$B$270,2,FALSE)</f>
        <v>#N/A</v>
      </c>
    </row>
    <row r="2107" spans="15:61" hidden="1">
      <c r="O2107" s="57"/>
      <c r="P2107" s="57"/>
      <c r="AO2107" s="57"/>
      <c r="AP2107" s="57"/>
      <c r="BA2107" s="57"/>
      <c r="BF2107" s="6" t="e">
        <f t="shared" si="96"/>
        <v>#NUM!</v>
      </c>
      <c r="BG2107" t="e">
        <f t="shared" si="97"/>
        <v>#NUM!</v>
      </c>
      <c r="BH2107" t="e">
        <f t="shared" si="98"/>
        <v>#NUM!</v>
      </c>
      <c r="BI2107" t="e">
        <f>VLOOKUP(H2107,Sheet2!$A$1:$B$270,2,FALSE)</f>
        <v>#N/A</v>
      </c>
    </row>
    <row r="2108" spans="15:61" hidden="1">
      <c r="O2108" s="57"/>
      <c r="P2108" s="57"/>
      <c r="AP2108" s="57"/>
      <c r="BA2108" s="57"/>
      <c r="BF2108" s="6" t="e">
        <f t="shared" si="96"/>
        <v>#NUM!</v>
      </c>
      <c r="BG2108" t="e">
        <f t="shared" si="97"/>
        <v>#NUM!</v>
      </c>
      <c r="BH2108" t="e">
        <f t="shared" si="98"/>
        <v>#NUM!</v>
      </c>
      <c r="BI2108" t="e">
        <f>VLOOKUP(H2108,Sheet2!$A$1:$B$270,2,FALSE)</f>
        <v>#N/A</v>
      </c>
    </row>
    <row r="2109" spans="15:61" hidden="1">
      <c r="O2109" s="57"/>
      <c r="P2109" s="57"/>
      <c r="AP2109" s="57"/>
      <c r="BA2109" s="57"/>
      <c r="BF2109" s="6" t="e">
        <f t="shared" si="96"/>
        <v>#NUM!</v>
      </c>
      <c r="BG2109" t="e">
        <f t="shared" si="97"/>
        <v>#NUM!</v>
      </c>
      <c r="BH2109" t="e">
        <f t="shared" si="98"/>
        <v>#NUM!</v>
      </c>
      <c r="BI2109" t="e">
        <f>VLOOKUP(H2109,Sheet2!$A$1:$B$270,2,FALSE)</f>
        <v>#N/A</v>
      </c>
    </row>
    <row r="2110" spans="15:61" hidden="1">
      <c r="O2110" s="57"/>
      <c r="P2110" s="57"/>
      <c r="AP2110" s="57"/>
      <c r="BA2110" s="57"/>
      <c r="BF2110" s="6" t="e">
        <f t="shared" si="96"/>
        <v>#NUM!</v>
      </c>
      <c r="BG2110" t="e">
        <f t="shared" si="97"/>
        <v>#NUM!</v>
      </c>
      <c r="BH2110" t="e">
        <f t="shared" si="98"/>
        <v>#NUM!</v>
      </c>
      <c r="BI2110" t="e">
        <f>VLOOKUP(H2110,Sheet2!$A$1:$B$270,2,FALSE)</f>
        <v>#N/A</v>
      </c>
    </row>
    <row r="2111" spans="15:61" hidden="1">
      <c r="O2111" s="57"/>
      <c r="P2111" s="57"/>
      <c r="AP2111" s="57"/>
      <c r="BA2111" s="57"/>
      <c r="BF2111" s="6" t="e">
        <f t="shared" si="96"/>
        <v>#NUM!</v>
      </c>
      <c r="BG2111" t="e">
        <f t="shared" si="97"/>
        <v>#NUM!</v>
      </c>
      <c r="BH2111" t="e">
        <f t="shared" si="98"/>
        <v>#NUM!</v>
      </c>
      <c r="BI2111" t="e">
        <f>VLOOKUP(H2111,Sheet2!$A$1:$B$270,2,FALSE)</f>
        <v>#N/A</v>
      </c>
    </row>
    <row r="2112" spans="15:61" hidden="1">
      <c r="O2112" s="57"/>
      <c r="P2112" s="57"/>
      <c r="AO2112" s="57"/>
      <c r="BA2112" s="57"/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e">
        <f>VLOOKUP(H2112,Sheet2!$A$1:$B$270,2,FALSE)</f>
        <v>#N/A</v>
      </c>
    </row>
    <row r="2113" spans="15:61" hidden="1">
      <c r="O2113" s="57"/>
      <c r="P2113" s="57"/>
      <c r="AO2113" s="57"/>
      <c r="AP2113" s="57"/>
      <c r="BA2113" s="57"/>
      <c r="BF2113" s="6" t="e">
        <f t="shared" si="96"/>
        <v>#NUM!</v>
      </c>
      <c r="BG2113" t="e">
        <f t="shared" si="97"/>
        <v>#NUM!</v>
      </c>
      <c r="BH2113" t="e">
        <f t="shared" si="98"/>
        <v>#NUM!</v>
      </c>
      <c r="BI2113" t="e">
        <f>VLOOKUP(H2113,Sheet2!$A$1:$B$270,2,FALSE)</f>
        <v>#N/A</v>
      </c>
    </row>
    <row r="2114" spans="15:61" hidden="1">
      <c r="O2114" s="57"/>
      <c r="P2114" s="57"/>
      <c r="AO2114" s="57"/>
      <c r="BA2114" s="57"/>
      <c r="BF2114" s="6" t="e">
        <f t="shared" ref="BF2114:BF2177" si="99">DATE(BC2114,BD2114,BE2114)</f>
        <v>#NUM!</v>
      </c>
      <c r="BG2114" t="e">
        <f t="shared" ref="BG2114:BG2177" si="100">BF2114-BA2114</f>
        <v>#NUM!</v>
      </c>
      <c r="BH2114" t="e">
        <f t="shared" ref="BH2114:BH2177" si="101">IF(BG2114=1,"COMPLY",IF(BG2114&lt;1,"COMPLY","NOT COMPLY"))</f>
        <v>#NUM!</v>
      </c>
      <c r="BI2114" t="e">
        <f>VLOOKUP(H2114,Sheet2!$A$1:$B$270,2,FALSE)</f>
        <v>#N/A</v>
      </c>
    </row>
    <row r="2115" spans="15:61" hidden="1">
      <c r="O2115" s="57"/>
      <c r="P2115" s="57"/>
      <c r="AP2115" s="57"/>
      <c r="BA2115" s="57"/>
      <c r="BF2115" s="6" t="e">
        <f t="shared" si="99"/>
        <v>#NUM!</v>
      </c>
      <c r="BG2115" t="e">
        <f t="shared" si="100"/>
        <v>#NUM!</v>
      </c>
      <c r="BH2115" t="e">
        <f t="shared" si="101"/>
        <v>#NUM!</v>
      </c>
      <c r="BI2115" t="e">
        <f>VLOOKUP(H2115,Sheet2!$A$1:$B$270,2,FALSE)</f>
        <v>#N/A</v>
      </c>
    </row>
    <row r="2116" spans="15:61" hidden="1">
      <c r="O2116" s="57"/>
      <c r="P2116" s="57"/>
      <c r="AO2116" s="57"/>
      <c r="AP2116" s="57"/>
      <c r="BA2116" s="57"/>
      <c r="BF2116" s="6" t="e">
        <f t="shared" si="99"/>
        <v>#NUM!</v>
      </c>
      <c r="BG2116" t="e">
        <f t="shared" si="100"/>
        <v>#NUM!</v>
      </c>
      <c r="BH2116" t="e">
        <f t="shared" si="101"/>
        <v>#NUM!</v>
      </c>
      <c r="BI2116" t="e">
        <f>VLOOKUP(H2116,Sheet2!$A$1:$B$270,2,FALSE)</f>
        <v>#N/A</v>
      </c>
    </row>
    <row r="2117" spans="15:61" hidden="1">
      <c r="O2117" s="57"/>
      <c r="P2117" s="57"/>
      <c r="AO2117" s="57"/>
      <c r="AP2117" s="57"/>
      <c r="BA2117" s="57"/>
      <c r="BF2117" s="6" t="e">
        <f t="shared" si="99"/>
        <v>#NUM!</v>
      </c>
      <c r="BG2117" t="e">
        <f t="shared" si="100"/>
        <v>#NUM!</v>
      </c>
      <c r="BH2117" t="e">
        <f t="shared" si="101"/>
        <v>#NUM!</v>
      </c>
      <c r="BI2117" t="e">
        <f>VLOOKUP(H2117,Sheet2!$A$1:$B$270,2,FALSE)</f>
        <v>#N/A</v>
      </c>
    </row>
    <row r="2118" spans="15:61" hidden="1">
      <c r="O2118" s="57"/>
      <c r="P2118" s="57"/>
      <c r="AO2118" s="57"/>
      <c r="BA2118" s="57"/>
      <c r="BF2118" s="6" t="e">
        <f t="shared" si="99"/>
        <v>#NUM!</v>
      </c>
      <c r="BG2118" t="e">
        <f t="shared" si="100"/>
        <v>#NUM!</v>
      </c>
      <c r="BH2118" t="e">
        <f t="shared" si="101"/>
        <v>#NUM!</v>
      </c>
      <c r="BI2118" t="e">
        <f>VLOOKUP(H2118,Sheet2!$A$1:$B$270,2,FALSE)</f>
        <v>#N/A</v>
      </c>
    </row>
    <row r="2119" spans="15:61" hidden="1">
      <c r="O2119" s="57"/>
      <c r="P2119" s="57"/>
      <c r="AO2119" s="57"/>
      <c r="BA2119" s="57"/>
      <c r="BF2119" s="6" t="e">
        <f t="shared" si="99"/>
        <v>#NUM!</v>
      </c>
      <c r="BG2119" t="e">
        <f t="shared" si="100"/>
        <v>#NUM!</v>
      </c>
      <c r="BH2119" t="e">
        <f t="shared" si="101"/>
        <v>#NUM!</v>
      </c>
      <c r="BI2119" t="e">
        <f>VLOOKUP(H2119,Sheet2!$A$1:$B$270,2,FALSE)</f>
        <v>#N/A</v>
      </c>
    </row>
    <row r="2120" spans="15:61" hidden="1">
      <c r="O2120" s="57"/>
      <c r="P2120" s="57"/>
      <c r="AO2120" s="57"/>
      <c r="AP2120" s="57"/>
      <c r="BA2120" s="57"/>
      <c r="BF2120" s="6" t="e">
        <f t="shared" si="99"/>
        <v>#NUM!</v>
      </c>
      <c r="BG2120" t="e">
        <f t="shared" si="100"/>
        <v>#NUM!</v>
      </c>
      <c r="BH2120" t="e">
        <f t="shared" si="101"/>
        <v>#NUM!</v>
      </c>
      <c r="BI2120" t="e">
        <f>VLOOKUP(H2120,Sheet2!$A$1:$B$270,2,FALSE)</f>
        <v>#N/A</v>
      </c>
    </row>
    <row r="2121" spans="15:61" hidden="1">
      <c r="O2121" s="57"/>
      <c r="P2121" s="57"/>
      <c r="AO2121" s="57"/>
      <c r="AP2121" s="57"/>
      <c r="BA2121" s="57"/>
      <c r="BF2121" s="6" t="e">
        <f t="shared" si="99"/>
        <v>#NUM!</v>
      </c>
      <c r="BG2121" t="e">
        <f t="shared" si="100"/>
        <v>#NUM!</v>
      </c>
      <c r="BH2121" t="e">
        <f t="shared" si="101"/>
        <v>#NUM!</v>
      </c>
      <c r="BI2121" t="e">
        <f>VLOOKUP(H2121,Sheet2!$A$1:$B$270,2,FALSE)</f>
        <v>#N/A</v>
      </c>
    </row>
    <row r="2122" spans="15:61" hidden="1">
      <c r="O2122" s="57"/>
      <c r="P2122" s="57"/>
      <c r="AO2122" s="57"/>
      <c r="AP2122" s="57"/>
      <c r="BA2122" s="57"/>
      <c r="BF2122" s="6" t="e">
        <f t="shared" si="99"/>
        <v>#NUM!</v>
      </c>
      <c r="BG2122" t="e">
        <f t="shared" si="100"/>
        <v>#NUM!</v>
      </c>
      <c r="BH2122" t="e">
        <f t="shared" si="101"/>
        <v>#NUM!</v>
      </c>
      <c r="BI2122" t="e">
        <f>VLOOKUP(H2122,Sheet2!$A$1:$B$270,2,FALSE)</f>
        <v>#N/A</v>
      </c>
    </row>
    <row r="2123" spans="15:61" hidden="1">
      <c r="O2123" s="57"/>
      <c r="P2123" s="57"/>
      <c r="AO2123" s="57"/>
      <c r="AP2123" s="57"/>
      <c r="BA2123" s="57"/>
      <c r="BF2123" s="6" t="e">
        <f t="shared" si="99"/>
        <v>#NUM!</v>
      </c>
      <c r="BG2123" t="e">
        <f t="shared" si="100"/>
        <v>#NUM!</v>
      </c>
      <c r="BH2123" t="e">
        <f t="shared" si="101"/>
        <v>#NUM!</v>
      </c>
      <c r="BI2123" t="e">
        <f>VLOOKUP(H2123,Sheet2!$A$1:$B$270,2,FALSE)</f>
        <v>#N/A</v>
      </c>
    </row>
    <row r="2124" spans="15:61" hidden="1">
      <c r="O2124" s="57"/>
      <c r="P2124" s="57"/>
      <c r="AO2124" s="57"/>
      <c r="AP2124" s="57"/>
      <c r="BA2124" s="57"/>
      <c r="BF2124" s="6" t="e">
        <f t="shared" si="99"/>
        <v>#NUM!</v>
      </c>
      <c r="BG2124" t="e">
        <f t="shared" si="100"/>
        <v>#NUM!</v>
      </c>
      <c r="BH2124" t="e">
        <f t="shared" si="101"/>
        <v>#NUM!</v>
      </c>
      <c r="BI2124" t="e">
        <f>VLOOKUP(H2124,Sheet2!$A$1:$B$270,2,FALSE)</f>
        <v>#N/A</v>
      </c>
    </row>
    <row r="2125" spans="15:61" hidden="1">
      <c r="O2125" s="57"/>
      <c r="P2125" s="57"/>
      <c r="AO2125" s="57"/>
      <c r="AP2125" s="57"/>
      <c r="BA2125" s="57"/>
      <c r="BF2125" s="6" t="e">
        <f t="shared" si="99"/>
        <v>#NUM!</v>
      </c>
      <c r="BG2125" t="e">
        <f t="shared" si="100"/>
        <v>#NUM!</v>
      </c>
      <c r="BH2125" t="e">
        <f t="shared" si="101"/>
        <v>#NUM!</v>
      </c>
      <c r="BI2125" t="e">
        <f>VLOOKUP(H2125,Sheet2!$A$1:$B$270,2,FALSE)</f>
        <v>#N/A</v>
      </c>
    </row>
    <row r="2126" spans="15:61" hidden="1">
      <c r="O2126" s="57"/>
      <c r="P2126" s="57"/>
      <c r="AO2126" s="57"/>
      <c r="AP2126" s="57"/>
      <c r="BA2126" s="57"/>
      <c r="BF2126" s="6" t="e">
        <f t="shared" si="99"/>
        <v>#NUM!</v>
      </c>
      <c r="BG2126" t="e">
        <f t="shared" si="100"/>
        <v>#NUM!</v>
      </c>
      <c r="BH2126" t="e">
        <f t="shared" si="101"/>
        <v>#NUM!</v>
      </c>
      <c r="BI2126" t="e">
        <f>VLOOKUP(H2126,Sheet2!$A$1:$B$270,2,FALSE)</f>
        <v>#N/A</v>
      </c>
    </row>
    <row r="2127" spans="15:61" hidden="1">
      <c r="O2127" s="57"/>
      <c r="P2127" s="57"/>
      <c r="AO2127" s="57"/>
      <c r="AP2127" s="57"/>
      <c r="BA2127" s="57"/>
      <c r="BF2127" s="6" t="e">
        <f t="shared" si="99"/>
        <v>#NUM!</v>
      </c>
      <c r="BG2127" t="e">
        <f t="shared" si="100"/>
        <v>#NUM!</v>
      </c>
      <c r="BH2127" t="e">
        <f t="shared" si="101"/>
        <v>#NUM!</v>
      </c>
      <c r="BI2127" t="e">
        <f>VLOOKUP(H2127,Sheet2!$A$1:$B$270,2,FALSE)</f>
        <v>#N/A</v>
      </c>
    </row>
    <row r="2128" spans="15:61" hidden="1">
      <c r="O2128" s="57"/>
      <c r="P2128" s="57"/>
      <c r="AO2128" s="57"/>
      <c r="AP2128" s="57"/>
      <c r="BA2128" s="57"/>
      <c r="BF2128" s="6" t="e">
        <f t="shared" si="99"/>
        <v>#NUM!</v>
      </c>
      <c r="BG2128" t="e">
        <f t="shared" si="100"/>
        <v>#NUM!</v>
      </c>
      <c r="BH2128" t="e">
        <f t="shared" si="101"/>
        <v>#NUM!</v>
      </c>
      <c r="BI2128" t="e">
        <f>VLOOKUP(H2128,Sheet2!$A$1:$B$270,2,FALSE)</f>
        <v>#N/A</v>
      </c>
    </row>
    <row r="2129" spans="15:61" hidden="1">
      <c r="O2129" s="57"/>
      <c r="P2129" s="57"/>
      <c r="AO2129" s="57"/>
      <c r="AP2129" s="57"/>
      <c r="BA2129" s="57"/>
      <c r="BF2129" s="6" t="e">
        <f t="shared" si="99"/>
        <v>#NUM!</v>
      </c>
      <c r="BG2129" t="e">
        <f t="shared" si="100"/>
        <v>#NUM!</v>
      </c>
      <c r="BH2129" t="e">
        <f t="shared" si="101"/>
        <v>#NUM!</v>
      </c>
      <c r="BI2129" t="e">
        <f>VLOOKUP(H2129,Sheet2!$A$1:$B$270,2,FALSE)</f>
        <v>#N/A</v>
      </c>
    </row>
    <row r="2130" spans="15:61" hidden="1">
      <c r="O2130" s="57"/>
      <c r="P2130" s="57"/>
      <c r="AO2130" s="57"/>
      <c r="AP2130" s="57"/>
      <c r="BA2130" s="57"/>
      <c r="BF2130" s="6" t="e">
        <f t="shared" si="99"/>
        <v>#NUM!</v>
      </c>
      <c r="BG2130" t="e">
        <f t="shared" si="100"/>
        <v>#NUM!</v>
      </c>
      <c r="BH2130" t="e">
        <f t="shared" si="101"/>
        <v>#NUM!</v>
      </c>
      <c r="BI2130" t="e">
        <f>VLOOKUP(H2130,Sheet2!$A$1:$B$270,2,FALSE)</f>
        <v>#N/A</v>
      </c>
    </row>
    <row r="2131" spans="15:61" hidden="1">
      <c r="O2131" s="57"/>
      <c r="P2131" s="57"/>
      <c r="AO2131" s="57"/>
      <c r="AP2131" s="57"/>
      <c r="BA2131" s="57"/>
      <c r="BF2131" s="6" t="e">
        <f t="shared" si="99"/>
        <v>#NUM!</v>
      </c>
      <c r="BG2131" t="e">
        <f t="shared" si="100"/>
        <v>#NUM!</v>
      </c>
      <c r="BH2131" t="e">
        <f t="shared" si="101"/>
        <v>#NUM!</v>
      </c>
      <c r="BI2131" t="e">
        <f>VLOOKUP(H2131,Sheet2!$A$1:$B$270,2,FALSE)</f>
        <v>#N/A</v>
      </c>
    </row>
    <row r="2132" spans="15:61" hidden="1">
      <c r="O2132" s="57"/>
      <c r="P2132" s="57"/>
      <c r="BA2132" s="57"/>
      <c r="BF2132" s="6" t="e">
        <f t="shared" si="99"/>
        <v>#NUM!</v>
      </c>
      <c r="BG2132" t="e">
        <f t="shared" si="100"/>
        <v>#NUM!</v>
      </c>
      <c r="BH2132" t="e">
        <f t="shared" si="101"/>
        <v>#NUM!</v>
      </c>
      <c r="BI2132" t="e">
        <f>VLOOKUP(H2132,Sheet2!$A$1:$B$270,2,FALSE)</f>
        <v>#N/A</v>
      </c>
    </row>
    <row r="2133" spans="15:61" hidden="1">
      <c r="O2133" s="57"/>
      <c r="P2133" s="57"/>
      <c r="BA2133" s="57"/>
      <c r="BF2133" s="6" t="e">
        <f t="shared" si="99"/>
        <v>#NUM!</v>
      </c>
      <c r="BG2133" t="e">
        <f t="shared" si="100"/>
        <v>#NUM!</v>
      </c>
      <c r="BH2133" t="e">
        <f t="shared" si="101"/>
        <v>#NUM!</v>
      </c>
      <c r="BI2133" t="e">
        <f>VLOOKUP(H2133,Sheet2!$A$1:$B$270,2,FALSE)</f>
        <v>#N/A</v>
      </c>
    </row>
    <row r="2134" spans="15:61" hidden="1">
      <c r="O2134" s="57"/>
      <c r="P2134" s="57"/>
      <c r="BA2134" s="57"/>
      <c r="BF2134" s="6" t="e">
        <f t="shared" si="99"/>
        <v>#NUM!</v>
      </c>
      <c r="BG2134" t="e">
        <f t="shared" si="100"/>
        <v>#NUM!</v>
      </c>
      <c r="BH2134" t="e">
        <f t="shared" si="101"/>
        <v>#NUM!</v>
      </c>
      <c r="BI2134" t="e">
        <f>VLOOKUP(H2134,Sheet2!$A$1:$B$270,2,FALSE)</f>
        <v>#N/A</v>
      </c>
    </row>
    <row r="2135" spans="15:61" hidden="1">
      <c r="O2135" s="57"/>
      <c r="P2135" s="57"/>
      <c r="AP2135" s="57"/>
      <c r="BA2135" s="57"/>
      <c r="BF2135" s="6" t="e">
        <f t="shared" si="99"/>
        <v>#NUM!</v>
      </c>
      <c r="BG2135" t="e">
        <f t="shared" si="100"/>
        <v>#NUM!</v>
      </c>
      <c r="BH2135" t="e">
        <f t="shared" si="101"/>
        <v>#NUM!</v>
      </c>
      <c r="BI2135" t="e">
        <f>VLOOKUP(H2135,Sheet2!$A$1:$B$270,2,FALSE)</f>
        <v>#N/A</v>
      </c>
    </row>
    <row r="2136" spans="15:61" hidden="1">
      <c r="O2136" s="57"/>
      <c r="P2136" s="57"/>
      <c r="BA2136" s="57"/>
      <c r="BF2136" s="6" t="e">
        <f t="shared" si="99"/>
        <v>#NUM!</v>
      </c>
      <c r="BG2136" t="e">
        <f t="shared" si="100"/>
        <v>#NUM!</v>
      </c>
      <c r="BH2136" t="e">
        <f t="shared" si="101"/>
        <v>#NUM!</v>
      </c>
      <c r="BI2136" t="e">
        <f>VLOOKUP(H2136,Sheet2!$A$1:$B$270,2,FALSE)</f>
        <v>#N/A</v>
      </c>
    </row>
    <row r="2137" spans="15:61" hidden="1">
      <c r="O2137" s="57"/>
      <c r="P2137" s="57"/>
      <c r="AP2137" s="57"/>
      <c r="BA2137" s="57"/>
      <c r="BF2137" s="6" t="e">
        <f t="shared" si="99"/>
        <v>#NUM!</v>
      </c>
      <c r="BG2137" t="e">
        <f t="shared" si="100"/>
        <v>#NUM!</v>
      </c>
      <c r="BH2137" t="e">
        <f t="shared" si="101"/>
        <v>#NUM!</v>
      </c>
      <c r="BI2137" t="e">
        <f>VLOOKUP(H2137,Sheet2!$A$1:$B$270,2,FALSE)</f>
        <v>#N/A</v>
      </c>
    </row>
    <row r="2138" spans="15:61" hidden="1">
      <c r="O2138" s="57"/>
      <c r="P2138" s="57"/>
      <c r="AP2138" s="57"/>
      <c r="BA2138" s="57"/>
      <c r="BF2138" s="6" t="e">
        <f t="shared" si="99"/>
        <v>#NUM!</v>
      </c>
      <c r="BG2138" t="e">
        <f t="shared" si="100"/>
        <v>#NUM!</v>
      </c>
      <c r="BH2138" t="e">
        <f t="shared" si="101"/>
        <v>#NUM!</v>
      </c>
      <c r="BI2138" t="e">
        <f>VLOOKUP(H2138,Sheet2!$A$1:$B$270,2,FALSE)</f>
        <v>#N/A</v>
      </c>
    </row>
    <row r="2139" spans="15:61" hidden="1">
      <c r="O2139" s="57"/>
      <c r="P2139" s="57"/>
      <c r="AP2139" s="57"/>
      <c r="BA2139" s="57"/>
      <c r="BF2139" s="6" t="e">
        <f t="shared" si="99"/>
        <v>#NUM!</v>
      </c>
      <c r="BG2139" t="e">
        <f t="shared" si="100"/>
        <v>#NUM!</v>
      </c>
      <c r="BH2139" t="e">
        <f t="shared" si="101"/>
        <v>#NUM!</v>
      </c>
      <c r="BI2139" t="e">
        <f>VLOOKUP(H2139,Sheet2!$A$1:$B$270,2,FALSE)</f>
        <v>#N/A</v>
      </c>
    </row>
    <row r="2140" spans="15:61" hidden="1">
      <c r="O2140" s="57"/>
      <c r="P2140" s="57"/>
      <c r="BF2140" s="6" t="e">
        <f t="shared" si="99"/>
        <v>#NUM!</v>
      </c>
      <c r="BG2140" t="e">
        <f t="shared" si="100"/>
        <v>#NUM!</v>
      </c>
      <c r="BH2140" t="e">
        <f t="shared" si="101"/>
        <v>#NUM!</v>
      </c>
      <c r="BI2140" t="e">
        <f>VLOOKUP(H2140,Sheet2!$A$1:$B$270,2,FALSE)</f>
        <v>#N/A</v>
      </c>
    </row>
    <row r="2141" spans="15:61" hidden="1">
      <c r="O2141" s="57"/>
      <c r="P2141" s="57"/>
      <c r="BA2141" s="57"/>
      <c r="BF2141" s="6" t="e">
        <f t="shared" si="99"/>
        <v>#NUM!</v>
      </c>
      <c r="BG2141" t="e">
        <f t="shared" si="100"/>
        <v>#NUM!</v>
      </c>
      <c r="BH2141" t="e">
        <f t="shared" si="101"/>
        <v>#NUM!</v>
      </c>
      <c r="BI2141" t="e">
        <f>VLOOKUP(H2141,Sheet2!$A$1:$B$270,2,FALSE)</f>
        <v>#N/A</v>
      </c>
    </row>
    <row r="2142" spans="15:61" hidden="1">
      <c r="O2142" s="57"/>
      <c r="P2142" s="57"/>
      <c r="AP2142" s="57"/>
      <c r="BA2142" s="57"/>
      <c r="BF2142" s="6" t="e">
        <f t="shared" si="99"/>
        <v>#NUM!</v>
      </c>
      <c r="BG2142" t="e">
        <f t="shared" si="100"/>
        <v>#NUM!</v>
      </c>
      <c r="BH2142" t="e">
        <f t="shared" si="101"/>
        <v>#NUM!</v>
      </c>
      <c r="BI2142" t="e">
        <f>VLOOKUP(H2142,Sheet2!$A$1:$B$270,2,FALSE)</f>
        <v>#N/A</v>
      </c>
    </row>
    <row r="2143" spans="15:61" hidden="1">
      <c r="O2143" s="57"/>
      <c r="P2143" s="57"/>
      <c r="AP2143" s="57"/>
      <c r="BA2143" s="57"/>
      <c r="BF2143" s="6" t="e">
        <f t="shared" si="99"/>
        <v>#NUM!</v>
      </c>
      <c r="BG2143" t="e">
        <f t="shared" si="100"/>
        <v>#NUM!</v>
      </c>
      <c r="BH2143" t="e">
        <f t="shared" si="101"/>
        <v>#NUM!</v>
      </c>
      <c r="BI2143" t="e">
        <f>VLOOKUP(H2143,Sheet2!$A$1:$B$270,2,FALSE)</f>
        <v>#N/A</v>
      </c>
    </row>
    <row r="2144" spans="15:61" hidden="1">
      <c r="O2144" s="57"/>
      <c r="P2144" s="57"/>
      <c r="BA2144" s="57"/>
      <c r="BF2144" s="6" t="e">
        <f t="shared" si="99"/>
        <v>#NUM!</v>
      </c>
      <c r="BG2144" t="e">
        <f t="shared" si="100"/>
        <v>#NUM!</v>
      </c>
      <c r="BH2144" t="e">
        <f t="shared" si="101"/>
        <v>#NUM!</v>
      </c>
      <c r="BI2144" t="e">
        <f>VLOOKUP(H2144,Sheet2!$A$1:$B$270,2,FALSE)</f>
        <v>#N/A</v>
      </c>
    </row>
    <row r="2145" spans="15:61" hidden="1">
      <c r="O2145" s="57"/>
      <c r="P2145" s="57"/>
      <c r="BA2145" s="57"/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e">
        <f>VLOOKUP(H2145,Sheet2!$A$1:$B$270,2,FALSE)</f>
        <v>#N/A</v>
      </c>
    </row>
    <row r="2146" spans="15:61" hidden="1">
      <c r="O2146" s="57"/>
      <c r="P2146" s="57"/>
      <c r="AP2146" s="57"/>
      <c r="BA2146" s="57"/>
      <c r="BF2146" s="6" t="e">
        <f t="shared" si="99"/>
        <v>#NUM!</v>
      </c>
      <c r="BG2146" t="e">
        <f t="shared" si="100"/>
        <v>#NUM!</v>
      </c>
      <c r="BH2146" t="e">
        <f t="shared" si="101"/>
        <v>#NUM!</v>
      </c>
      <c r="BI2146" t="e">
        <f>VLOOKUP(H2146,Sheet2!$A$1:$B$270,2,FALSE)</f>
        <v>#N/A</v>
      </c>
    </row>
    <row r="2147" spans="15:61" hidden="1">
      <c r="O2147" s="57"/>
      <c r="P2147" s="57"/>
      <c r="BA2147" s="57"/>
      <c r="BF2147" s="6" t="e">
        <f t="shared" si="99"/>
        <v>#NUM!</v>
      </c>
      <c r="BG2147" t="e">
        <f t="shared" si="100"/>
        <v>#NUM!</v>
      </c>
      <c r="BH2147" t="e">
        <f t="shared" si="101"/>
        <v>#NUM!</v>
      </c>
      <c r="BI2147" t="e">
        <f>VLOOKUP(H2147,Sheet2!$A$1:$B$270,2,FALSE)</f>
        <v>#N/A</v>
      </c>
    </row>
    <row r="2148" spans="15:61" hidden="1">
      <c r="O2148" s="57"/>
      <c r="P2148" s="57"/>
      <c r="BA2148" s="57"/>
      <c r="BF2148" s="6" t="e">
        <f t="shared" si="99"/>
        <v>#NUM!</v>
      </c>
      <c r="BG2148" t="e">
        <f t="shared" si="100"/>
        <v>#NUM!</v>
      </c>
      <c r="BH2148" t="e">
        <f t="shared" si="101"/>
        <v>#NUM!</v>
      </c>
      <c r="BI2148" t="e">
        <f>VLOOKUP(H2148,Sheet2!$A$1:$B$270,2,FALSE)</f>
        <v>#N/A</v>
      </c>
    </row>
    <row r="2149" spans="15:61" hidden="1">
      <c r="O2149" s="57"/>
      <c r="P2149" s="57"/>
      <c r="AP2149" s="57"/>
      <c r="BA2149" s="57"/>
      <c r="BF2149" s="6" t="e">
        <f t="shared" si="99"/>
        <v>#NUM!</v>
      </c>
      <c r="BG2149" t="e">
        <f t="shared" si="100"/>
        <v>#NUM!</v>
      </c>
      <c r="BH2149" t="e">
        <f t="shared" si="101"/>
        <v>#NUM!</v>
      </c>
      <c r="BI2149" t="e">
        <f>VLOOKUP(H2149,Sheet2!$A$1:$B$270,2,FALSE)</f>
        <v>#N/A</v>
      </c>
    </row>
    <row r="2150" spans="15:61" hidden="1">
      <c r="O2150" s="57"/>
      <c r="P2150" s="57"/>
      <c r="AP2150" s="57"/>
      <c r="BA2150" s="57"/>
      <c r="BF2150" s="6" t="e">
        <f t="shared" si="99"/>
        <v>#NUM!</v>
      </c>
      <c r="BG2150" t="e">
        <f t="shared" si="100"/>
        <v>#NUM!</v>
      </c>
      <c r="BH2150" t="e">
        <f t="shared" si="101"/>
        <v>#NUM!</v>
      </c>
      <c r="BI2150" t="e">
        <f>VLOOKUP(H2150,Sheet2!$A$1:$B$270,2,FALSE)</f>
        <v>#N/A</v>
      </c>
    </row>
    <row r="2151" spans="15:61" hidden="1">
      <c r="O2151" s="57"/>
      <c r="P2151" s="57"/>
      <c r="AP2151" s="57"/>
      <c r="BA2151" s="57"/>
      <c r="BF2151" s="6" t="e">
        <f t="shared" si="99"/>
        <v>#NUM!</v>
      </c>
      <c r="BG2151" t="e">
        <f t="shared" si="100"/>
        <v>#NUM!</v>
      </c>
      <c r="BH2151" t="e">
        <f t="shared" si="101"/>
        <v>#NUM!</v>
      </c>
      <c r="BI2151" t="e">
        <f>VLOOKUP(H2151,Sheet2!$A$1:$B$270,2,FALSE)</f>
        <v>#N/A</v>
      </c>
    </row>
    <row r="2152" spans="15:61" hidden="1">
      <c r="O2152" s="57"/>
      <c r="P2152" s="57"/>
      <c r="AP2152" s="57"/>
      <c r="BA2152" s="57"/>
      <c r="BF2152" s="6" t="e">
        <f t="shared" si="99"/>
        <v>#NUM!</v>
      </c>
      <c r="BG2152" t="e">
        <f t="shared" si="100"/>
        <v>#NUM!</v>
      </c>
      <c r="BH2152" t="e">
        <f t="shared" si="101"/>
        <v>#NUM!</v>
      </c>
      <c r="BI2152" t="e">
        <f>VLOOKUP(H2152,Sheet2!$A$1:$B$270,2,FALSE)</f>
        <v>#N/A</v>
      </c>
    </row>
    <row r="2153" spans="15:61" hidden="1">
      <c r="O2153" s="57"/>
      <c r="P2153" s="57"/>
      <c r="AP2153" s="57"/>
      <c r="BA2153" s="57"/>
      <c r="BF2153" s="6" t="e">
        <f t="shared" si="99"/>
        <v>#NUM!</v>
      </c>
      <c r="BG2153" t="e">
        <f t="shared" si="100"/>
        <v>#NUM!</v>
      </c>
      <c r="BH2153" t="e">
        <f t="shared" si="101"/>
        <v>#NUM!</v>
      </c>
      <c r="BI2153" t="e">
        <f>VLOOKUP(H2153,Sheet2!$A$1:$B$270,2,FALSE)</f>
        <v>#N/A</v>
      </c>
    </row>
    <row r="2154" spans="15:61" hidden="1">
      <c r="O2154" s="57"/>
      <c r="P2154" s="57"/>
      <c r="AP2154" s="57"/>
      <c r="BA2154" s="57"/>
      <c r="BF2154" s="6" t="e">
        <f t="shared" si="99"/>
        <v>#NUM!</v>
      </c>
      <c r="BG2154" t="e">
        <f t="shared" si="100"/>
        <v>#NUM!</v>
      </c>
      <c r="BH2154" t="e">
        <f t="shared" si="101"/>
        <v>#NUM!</v>
      </c>
      <c r="BI2154" t="e">
        <f>VLOOKUP(H2154,Sheet2!$A$1:$B$270,2,FALSE)</f>
        <v>#N/A</v>
      </c>
    </row>
    <row r="2155" spans="15:61" hidden="1">
      <c r="O2155" s="57"/>
      <c r="P2155" s="57"/>
      <c r="AP2155" s="57"/>
      <c r="BA2155" s="57"/>
      <c r="BF2155" s="6" t="e">
        <f t="shared" si="99"/>
        <v>#NUM!</v>
      </c>
      <c r="BG2155" t="e">
        <f t="shared" si="100"/>
        <v>#NUM!</v>
      </c>
      <c r="BH2155" t="e">
        <f t="shared" si="101"/>
        <v>#NUM!</v>
      </c>
      <c r="BI2155" t="e">
        <f>VLOOKUP(H2155,Sheet2!$A$1:$B$270,2,FALSE)</f>
        <v>#N/A</v>
      </c>
    </row>
    <row r="2156" spans="15:61" hidden="1">
      <c r="O2156" s="57"/>
      <c r="P2156" s="57"/>
      <c r="AP2156" s="57"/>
      <c r="BA2156" s="57"/>
      <c r="BF2156" s="6" t="e">
        <f t="shared" si="99"/>
        <v>#NUM!</v>
      </c>
      <c r="BG2156" t="e">
        <f t="shared" si="100"/>
        <v>#NUM!</v>
      </c>
      <c r="BH2156" t="e">
        <f t="shared" si="101"/>
        <v>#NUM!</v>
      </c>
      <c r="BI2156" t="e">
        <f>VLOOKUP(H2156,Sheet2!$A$1:$B$270,2,FALSE)</f>
        <v>#N/A</v>
      </c>
    </row>
    <row r="2157" spans="15:61" hidden="1">
      <c r="O2157" s="57"/>
      <c r="P2157" s="57"/>
      <c r="AO2157" s="57"/>
      <c r="AP2157" s="57"/>
      <c r="BA2157" s="57"/>
      <c r="BF2157" s="6" t="e">
        <f t="shared" si="99"/>
        <v>#NUM!</v>
      </c>
      <c r="BG2157" t="e">
        <f t="shared" si="100"/>
        <v>#NUM!</v>
      </c>
      <c r="BH2157" t="e">
        <f t="shared" si="101"/>
        <v>#NUM!</v>
      </c>
      <c r="BI2157" t="e">
        <f>VLOOKUP(H2157,Sheet2!$A$1:$B$270,2,FALSE)</f>
        <v>#N/A</v>
      </c>
    </row>
    <row r="2158" spans="15:61" hidden="1">
      <c r="O2158" s="57"/>
      <c r="P2158" s="57"/>
      <c r="AO2158" s="57"/>
      <c r="AP2158" s="57"/>
      <c r="BA2158" s="57"/>
      <c r="BF2158" s="6" t="e">
        <f t="shared" si="99"/>
        <v>#NUM!</v>
      </c>
      <c r="BG2158" t="e">
        <f t="shared" si="100"/>
        <v>#NUM!</v>
      </c>
      <c r="BH2158" t="e">
        <f t="shared" si="101"/>
        <v>#NUM!</v>
      </c>
      <c r="BI2158" t="e">
        <f>VLOOKUP(H2158,Sheet2!$A$1:$B$270,2,FALSE)</f>
        <v>#N/A</v>
      </c>
    </row>
    <row r="2159" spans="15:61" hidden="1">
      <c r="O2159" s="57"/>
      <c r="P2159" s="57"/>
      <c r="AO2159" s="57"/>
      <c r="AP2159" s="57"/>
      <c r="BA2159" s="57"/>
      <c r="BF2159" s="6" t="e">
        <f t="shared" si="99"/>
        <v>#NUM!</v>
      </c>
      <c r="BG2159" t="e">
        <f t="shared" si="100"/>
        <v>#NUM!</v>
      </c>
      <c r="BH2159" t="e">
        <f t="shared" si="101"/>
        <v>#NUM!</v>
      </c>
      <c r="BI2159" t="e">
        <f>VLOOKUP(H2159,Sheet2!$A$1:$B$270,2,FALSE)</f>
        <v>#N/A</v>
      </c>
    </row>
    <row r="2160" spans="15:61" hidden="1">
      <c r="O2160" s="57"/>
      <c r="P2160" s="57"/>
      <c r="AO2160" s="57"/>
      <c r="BA2160" s="57"/>
      <c r="BF2160" s="6" t="e">
        <f t="shared" si="99"/>
        <v>#NUM!</v>
      </c>
      <c r="BG2160" t="e">
        <f t="shared" si="100"/>
        <v>#NUM!</v>
      </c>
      <c r="BH2160" t="e">
        <f t="shared" si="101"/>
        <v>#NUM!</v>
      </c>
      <c r="BI2160" t="e">
        <f>VLOOKUP(H2160,Sheet2!$A$1:$B$270,2,FALSE)</f>
        <v>#N/A</v>
      </c>
    </row>
    <row r="2161" spans="15:61" hidden="1">
      <c r="O2161" s="57"/>
      <c r="P2161" s="57"/>
      <c r="AO2161" s="57"/>
      <c r="BA2161" s="57"/>
      <c r="BF2161" s="6" t="e">
        <f t="shared" si="99"/>
        <v>#NUM!</v>
      </c>
      <c r="BG2161" t="e">
        <f t="shared" si="100"/>
        <v>#NUM!</v>
      </c>
      <c r="BH2161" t="e">
        <f t="shared" si="101"/>
        <v>#NUM!</v>
      </c>
      <c r="BI2161" t="e">
        <f>VLOOKUP(H2161,Sheet2!$A$1:$B$270,2,FALSE)</f>
        <v>#N/A</v>
      </c>
    </row>
    <row r="2162" spans="15:61" hidden="1">
      <c r="O2162" s="57"/>
      <c r="P2162" s="57"/>
      <c r="AP2162" s="57"/>
      <c r="BA2162" s="57"/>
      <c r="BF2162" s="6" t="e">
        <f t="shared" si="99"/>
        <v>#NUM!</v>
      </c>
      <c r="BG2162" t="e">
        <f t="shared" si="100"/>
        <v>#NUM!</v>
      </c>
      <c r="BH2162" t="e">
        <f t="shared" si="101"/>
        <v>#NUM!</v>
      </c>
      <c r="BI2162" t="e">
        <f>VLOOKUP(H2162,Sheet2!$A$1:$B$270,2,FALSE)</f>
        <v>#N/A</v>
      </c>
    </row>
    <row r="2163" spans="15:61" hidden="1">
      <c r="O2163" s="57"/>
      <c r="P2163" s="57"/>
      <c r="BA2163" s="57"/>
      <c r="BF2163" s="6" t="e">
        <f t="shared" si="99"/>
        <v>#NUM!</v>
      </c>
      <c r="BG2163" t="e">
        <f t="shared" si="100"/>
        <v>#NUM!</v>
      </c>
      <c r="BH2163" t="e">
        <f t="shared" si="101"/>
        <v>#NUM!</v>
      </c>
      <c r="BI2163" t="e">
        <f>VLOOKUP(H2163,Sheet2!$A$1:$B$270,2,FALSE)</f>
        <v>#N/A</v>
      </c>
    </row>
    <row r="2164" spans="15:61" hidden="1">
      <c r="O2164" s="57"/>
      <c r="P2164" s="57"/>
      <c r="BA2164" s="57"/>
      <c r="BF2164" s="6" t="e">
        <f t="shared" si="99"/>
        <v>#NUM!</v>
      </c>
      <c r="BG2164" t="e">
        <f t="shared" si="100"/>
        <v>#NUM!</v>
      </c>
      <c r="BH2164" t="e">
        <f t="shared" si="101"/>
        <v>#NUM!</v>
      </c>
      <c r="BI2164" t="e">
        <f>VLOOKUP(H2164,Sheet2!$A$1:$B$270,2,FALSE)</f>
        <v>#N/A</v>
      </c>
    </row>
    <row r="2165" spans="15:61" hidden="1">
      <c r="O2165" s="57"/>
      <c r="P2165" s="57"/>
      <c r="AP2165" s="57"/>
      <c r="BA2165" s="57"/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e">
        <f>VLOOKUP(H2165,Sheet2!$A$1:$B$270,2,FALSE)</f>
        <v>#N/A</v>
      </c>
    </row>
    <row r="2166" spans="15:61" hidden="1">
      <c r="O2166" s="57"/>
      <c r="P2166" s="57"/>
      <c r="AP2166" s="57"/>
      <c r="BA2166" s="57"/>
      <c r="BF2166" s="6" t="e">
        <f t="shared" si="99"/>
        <v>#NUM!</v>
      </c>
      <c r="BG2166" t="e">
        <f t="shared" si="100"/>
        <v>#NUM!</v>
      </c>
      <c r="BH2166" t="e">
        <f t="shared" si="101"/>
        <v>#NUM!</v>
      </c>
      <c r="BI2166" t="e">
        <f>VLOOKUP(H2166,Sheet2!$A$1:$B$270,2,FALSE)</f>
        <v>#N/A</v>
      </c>
    </row>
    <row r="2167" spans="15:61" hidden="1">
      <c r="O2167" s="57"/>
      <c r="P2167" s="57"/>
      <c r="AP2167" s="57"/>
      <c r="BA2167" s="57"/>
      <c r="BF2167" s="6" t="e">
        <f t="shared" si="99"/>
        <v>#NUM!</v>
      </c>
      <c r="BG2167" t="e">
        <f t="shared" si="100"/>
        <v>#NUM!</v>
      </c>
      <c r="BH2167" t="e">
        <f t="shared" si="101"/>
        <v>#NUM!</v>
      </c>
      <c r="BI2167" t="e">
        <f>VLOOKUP(H2167,Sheet2!$A$1:$B$270,2,FALSE)</f>
        <v>#N/A</v>
      </c>
    </row>
    <row r="2168" spans="15:61" hidden="1">
      <c r="O2168" s="57"/>
      <c r="P2168" s="57"/>
      <c r="BA2168" s="57"/>
      <c r="BF2168" s="6" t="e">
        <f t="shared" si="99"/>
        <v>#NUM!</v>
      </c>
      <c r="BG2168" t="e">
        <f t="shared" si="100"/>
        <v>#NUM!</v>
      </c>
      <c r="BH2168" t="e">
        <f t="shared" si="101"/>
        <v>#NUM!</v>
      </c>
      <c r="BI2168" t="e">
        <f>VLOOKUP(H2168,Sheet2!$A$1:$B$270,2,FALSE)</f>
        <v>#N/A</v>
      </c>
    </row>
    <row r="2169" spans="15:61" hidden="1">
      <c r="O2169" s="57"/>
      <c r="P2169" s="57"/>
      <c r="BA2169" s="57"/>
      <c r="BF2169" s="6" t="e">
        <f t="shared" si="99"/>
        <v>#NUM!</v>
      </c>
      <c r="BG2169" t="e">
        <f t="shared" si="100"/>
        <v>#NUM!</v>
      </c>
      <c r="BH2169" t="e">
        <f t="shared" si="101"/>
        <v>#NUM!</v>
      </c>
      <c r="BI2169" t="e">
        <f>VLOOKUP(H2169,Sheet2!$A$1:$B$270,2,FALSE)</f>
        <v>#N/A</v>
      </c>
    </row>
    <row r="2170" spans="15:61" hidden="1">
      <c r="O2170" s="57"/>
      <c r="P2170" s="57"/>
      <c r="AP2170" s="57"/>
      <c r="BA2170" s="57"/>
      <c r="BF2170" s="6" t="e">
        <f t="shared" si="99"/>
        <v>#NUM!</v>
      </c>
      <c r="BG2170" t="e">
        <f t="shared" si="100"/>
        <v>#NUM!</v>
      </c>
      <c r="BH2170" t="e">
        <f t="shared" si="101"/>
        <v>#NUM!</v>
      </c>
      <c r="BI2170" t="e">
        <f>VLOOKUP(H2170,Sheet2!$A$1:$B$270,2,FALSE)</f>
        <v>#N/A</v>
      </c>
    </row>
    <row r="2171" spans="15:61" hidden="1">
      <c r="O2171" s="57"/>
      <c r="P2171" s="57"/>
      <c r="AO2171" s="57"/>
      <c r="BA2171" s="57"/>
      <c r="BF2171" s="6" t="e">
        <f t="shared" si="99"/>
        <v>#NUM!</v>
      </c>
      <c r="BG2171" t="e">
        <f t="shared" si="100"/>
        <v>#NUM!</v>
      </c>
      <c r="BH2171" t="e">
        <f t="shared" si="101"/>
        <v>#NUM!</v>
      </c>
      <c r="BI2171" t="e">
        <f>VLOOKUP(H2171,Sheet2!$A$1:$B$270,2,FALSE)</f>
        <v>#N/A</v>
      </c>
    </row>
    <row r="2172" spans="15:61" hidden="1">
      <c r="O2172" s="57"/>
      <c r="P2172" s="57"/>
      <c r="AO2172" s="57"/>
      <c r="AP2172" s="57"/>
      <c r="BA2172" s="57"/>
      <c r="BF2172" s="6" t="e">
        <f t="shared" si="99"/>
        <v>#NUM!</v>
      </c>
      <c r="BG2172" t="e">
        <f t="shared" si="100"/>
        <v>#NUM!</v>
      </c>
      <c r="BH2172" t="e">
        <f t="shared" si="101"/>
        <v>#NUM!</v>
      </c>
      <c r="BI2172" t="e">
        <f>VLOOKUP(H2172,Sheet2!$A$1:$B$270,2,FALSE)</f>
        <v>#N/A</v>
      </c>
    </row>
    <row r="2173" spans="15:61" hidden="1">
      <c r="O2173" s="57"/>
      <c r="P2173" s="57"/>
      <c r="AO2173" s="57"/>
      <c r="BA2173" s="57"/>
      <c r="BF2173" s="6" t="e">
        <f t="shared" si="99"/>
        <v>#NUM!</v>
      </c>
      <c r="BG2173" t="e">
        <f t="shared" si="100"/>
        <v>#NUM!</v>
      </c>
      <c r="BH2173" t="e">
        <f t="shared" si="101"/>
        <v>#NUM!</v>
      </c>
      <c r="BI2173" t="e">
        <f>VLOOKUP(H2173,Sheet2!$A$1:$B$270,2,FALSE)</f>
        <v>#N/A</v>
      </c>
    </row>
    <row r="2174" spans="15:61" hidden="1">
      <c r="O2174" s="57"/>
      <c r="P2174" s="57"/>
      <c r="AO2174" s="57"/>
      <c r="BA2174" s="57"/>
      <c r="BF2174" s="6" t="e">
        <f t="shared" si="99"/>
        <v>#NUM!</v>
      </c>
      <c r="BG2174" t="e">
        <f t="shared" si="100"/>
        <v>#NUM!</v>
      </c>
      <c r="BH2174" t="e">
        <f t="shared" si="101"/>
        <v>#NUM!</v>
      </c>
      <c r="BI2174" t="e">
        <f>VLOOKUP(H2174,Sheet2!$A$1:$B$270,2,FALSE)</f>
        <v>#N/A</v>
      </c>
    </row>
    <row r="2175" spans="15:61" hidden="1">
      <c r="O2175" s="57"/>
      <c r="P2175" s="57"/>
      <c r="AO2175" s="57"/>
      <c r="AP2175" s="57"/>
      <c r="BA2175" s="57"/>
      <c r="BF2175" s="6" t="e">
        <f t="shared" si="99"/>
        <v>#NUM!</v>
      </c>
      <c r="BG2175" t="e">
        <f t="shared" si="100"/>
        <v>#NUM!</v>
      </c>
      <c r="BH2175" t="e">
        <f t="shared" si="101"/>
        <v>#NUM!</v>
      </c>
      <c r="BI2175" t="e">
        <f>VLOOKUP(H2175,Sheet2!$A$1:$B$270,2,FALSE)</f>
        <v>#N/A</v>
      </c>
    </row>
    <row r="2176" spans="15:61" hidden="1">
      <c r="O2176" s="57"/>
      <c r="P2176" s="57"/>
      <c r="AO2176" s="57"/>
      <c r="AP2176" s="57"/>
      <c r="BA2176" s="57"/>
      <c r="BF2176" s="6" t="e">
        <f t="shared" si="99"/>
        <v>#NUM!</v>
      </c>
      <c r="BG2176" t="e">
        <f t="shared" si="100"/>
        <v>#NUM!</v>
      </c>
      <c r="BH2176" t="e">
        <f t="shared" si="101"/>
        <v>#NUM!</v>
      </c>
      <c r="BI2176" t="e">
        <f>VLOOKUP(H2176,Sheet2!$A$1:$B$270,2,FALSE)</f>
        <v>#N/A</v>
      </c>
    </row>
    <row r="2177" spans="15:61" hidden="1">
      <c r="O2177" s="57"/>
      <c r="P2177" s="57"/>
      <c r="BA2177" s="57"/>
      <c r="BF2177" s="6" t="e">
        <f t="shared" si="99"/>
        <v>#NUM!</v>
      </c>
      <c r="BG2177" t="e">
        <f t="shared" si="100"/>
        <v>#NUM!</v>
      </c>
      <c r="BH2177" t="e">
        <f t="shared" si="101"/>
        <v>#NUM!</v>
      </c>
      <c r="BI2177" t="e">
        <f>VLOOKUP(H2177,Sheet2!$A$1:$B$270,2,FALSE)</f>
        <v>#N/A</v>
      </c>
    </row>
    <row r="2178" spans="15:61" hidden="1">
      <c r="O2178" s="57"/>
      <c r="P2178" s="57"/>
      <c r="AP2178" s="57"/>
      <c r="BA2178" s="57"/>
      <c r="BF2178" s="6" t="e">
        <f t="shared" ref="BF2178:BF2241" si="102">DATE(BC2178,BD2178,BE2178)</f>
        <v>#NUM!</v>
      </c>
      <c r="BG2178" t="e">
        <f t="shared" ref="BG2178:BG2241" si="103">BF2178-BA2178</f>
        <v>#NUM!</v>
      </c>
      <c r="BH2178" t="e">
        <f t="shared" ref="BH2178:BH2241" si="104">IF(BG2178=1,"COMPLY",IF(BG2178&lt;1,"COMPLY","NOT COMPLY"))</f>
        <v>#NUM!</v>
      </c>
      <c r="BI2178" t="e">
        <f>VLOOKUP(H2178,Sheet2!$A$1:$B$270,2,FALSE)</f>
        <v>#N/A</v>
      </c>
    </row>
    <row r="2179" spans="15:61" hidden="1">
      <c r="O2179" s="57"/>
      <c r="P2179" s="57"/>
      <c r="AP2179" s="57"/>
      <c r="BA2179" s="57"/>
      <c r="BF2179" s="6" t="e">
        <f t="shared" si="102"/>
        <v>#NUM!</v>
      </c>
      <c r="BG2179" t="e">
        <f t="shared" si="103"/>
        <v>#NUM!</v>
      </c>
      <c r="BH2179" t="e">
        <f t="shared" si="104"/>
        <v>#NUM!</v>
      </c>
      <c r="BI2179" t="e">
        <f>VLOOKUP(H2179,Sheet2!$A$1:$B$270,2,FALSE)</f>
        <v>#N/A</v>
      </c>
    </row>
    <row r="2180" spans="15:61" hidden="1">
      <c r="O2180" s="57"/>
      <c r="P2180" s="57"/>
      <c r="AP2180" s="57"/>
      <c r="BA2180" s="57"/>
      <c r="BF2180" s="6" t="e">
        <f t="shared" si="102"/>
        <v>#NUM!</v>
      </c>
      <c r="BG2180" t="e">
        <f t="shared" si="103"/>
        <v>#NUM!</v>
      </c>
      <c r="BH2180" t="e">
        <f t="shared" si="104"/>
        <v>#NUM!</v>
      </c>
      <c r="BI2180" t="e">
        <f>VLOOKUP(H2180,Sheet2!$A$1:$B$270,2,FALSE)</f>
        <v>#N/A</v>
      </c>
    </row>
    <row r="2181" spans="15:61" hidden="1">
      <c r="O2181" s="57"/>
      <c r="P2181" s="57"/>
      <c r="BA2181" s="57"/>
      <c r="BF2181" s="6" t="e">
        <f t="shared" si="102"/>
        <v>#NUM!</v>
      </c>
      <c r="BG2181" t="e">
        <f t="shared" si="103"/>
        <v>#NUM!</v>
      </c>
      <c r="BH2181" t="e">
        <f t="shared" si="104"/>
        <v>#NUM!</v>
      </c>
      <c r="BI2181" t="e">
        <f>VLOOKUP(H2181,Sheet2!$A$1:$B$270,2,FALSE)</f>
        <v>#N/A</v>
      </c>
    </row>
    <row r="2182" spans="15:61" hidden="1">
      <c r="O2182" s="57"/>
      <c r="P2182" s="57"/>
      <c r="BA2182" s="57"/>
      <c r="BF2182" s="6" t="e">
        <f t="shared" si="102"/>
        <v>#NUM!</v>
      </c>
      <c r="BG2182" t="e">
        <f t="shared" si="103"/>
        <v>#NUM!</v>
      </c>
      <c r="BH2182" t="e">
        <f t="shared" si="104"/>
        <v>#NUM!</v>
      </c>
      <c r="BI2182" t="e">
        <f>VLOOKUP(H2182,Sheet2!$A$1:$B$270,2,FALSE)</f>
        <v>#N/A</v>
      </c>
    </row>
    <row r="2183" spans="15:61" hidden="1">
      <c r="O2183" s="57"/>
      <c r="P2183" s="57"/>
      <c r="AP2183" s="57"/>
      <c r="BA2183" s="57"/>
      <c r="BF2183" s="6" t="e">
        <f t="shared" si="102"/>
        <v>#NUM!</v>
      </c>
      <c r="BG2183" t="e">
        <f t="shared" si="103"/>
        <v>#NUM!</v>
      </c>
      <c r="BH2183" t="e">
        <f t="shared" si="104"/>
        <v>#NUM!</v>
      </c>
      <c r="BI2183" t="e">
        <f>VLOOKUP(H2183,Sheet2!$A$1:$B$270,2,FALSE)</f>
        <v>#N/A</v>
      </c>
    </row>
    <row r="2184" spans="15:61" hidden="1">
      <c r="O2184" s="57"/>
      <c r="P2184" s="57"/>
      <c r="AP2184" s="57"/>
      <c r="BA2184" s="57"/>
      <c r="BF2184" s="6" t="e">
        <f t="shared" si="102"/>
        <v>#NUM!</v>
      </c>
      <c r="BG2184" t="e">
        <f t="shared" si="103"/>
        <v>#NUM!</v>
      </c>
      <c r="BH2184" t="e">
        <f t="shared" si="104"/>
        <v>#NUM!</v>
      </c>
      <c r="BI2184" t="e">
        <f>VLOOKUP(H2184,Sheet2!$A$1:$B$270,2,FALSE)</f>
        <v>#N/A</v>
      </c>
    </row>
    <row r="2185" spans="15:61" hidden="1">
      <c r="O2185" s="57"/>
      <c r="P2185" s="57"/>
      <c r="AP2185" s="57"/>
      <c r="BA2185" s="57"/>
      <c r="BF2185" s="6" t="e">
        <f t="shared" si="102"/>
        <v>#NUM!</v>
      </c>
      <c r="BG2185" t="e">
        <f t="shared" si="103"/>
        <v>#NUM!</v>
      </c>
      <c r="BH2185" t="e">
        <f t="shared" si="104"/>
        <v>#NUM!</v>
      </c>
      <c r="BI2185" t="e">
        <f>VLOOKUP(H2185,Sheet2!$A$1:$B$270,2,FALSE)</f>
        <v>#N/A</v>
      </c>
    </row>
    <row r="2186" spans="15:61" hidden="1">
      <c r="O2186" s="57"/>
      <c r="P2186" s="57"/>
      <c r="AP2186" s="57"/>
      <c r="BA2186" s="57"/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e">
        <f>VLOOKUP(H2186,Sheet2!$A$1:$B$270,2,FALSE)</f>
        <v>#N/A</v>
      </c>
    </row>
    <row r="2187" spans="15:61" hidden="1">
      <c r="O2187" s="57"/>
      <c r="P2187" s="57"/>
      <c r="AO2187" s="57"/>
      <c r="AP2187" s="57"/>
      <c r="BA2187" s="57"/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e">
        <f>VLOOKUP(H2187,Sheet2!$A$1:$B$270,2,FALSE)</f>
        <v>#N/A</v>
      </c>
    </row>
    <row r="2188" spans="15:61" hidden="1">
      <c r="O2188" s="57"/>
      <c r="P2188" s="57"/>
      <c r="AO2188" s="57"/>
      <c r="AP2188" s="57"/>
      <c r="BA2188" s="57"/>
      <c r="BF2188" s="6" t="e">
        <f t="shared" si="102"/>
        <v>#NUM!</v>
      </c>
      <c r="BG2188" t="e">
        <f t="shared" si="103"/>
        <v>#NUM!</v>
      </c>
      <c r="BH2188" t="e">
        <f t="shared" si="104"/>
        <v>#NUM!</v>
      </c>
      <c r="BI2188" t="e">
        <f>VLOOKUP(H2188,Sheet2!$A$1:$B$270,2,FALSE)</f>
        <v>#N/A</v>
      </c>
    </row>
    <row r="2189" spans="15:61" hidden="1">
      <c r="O2189" s="57"/>
      <c r="P2189" s="57"/>
      <c r="AP2189" s="57"/>
      <c r="BA2189" s="57"/>
      <c r="BF2189" s="6" t="e">
        <f t="shared" si="102"/>
        <v>#NUM!</v>
      </c>
      <c r="BG2189" t="e">
        <f t="shared" si="103"/>
        <v>#NUM!</v>
      </c>
      <c r="BH2189" t="e">
        <f t="shared" si="104"/>
        <v>#NUM!</v>
      </c>
      <c r="BI2189" t="e">
        <f>VLOOKUP(H2189,Sheet2!$A$1:$B$270,2,FALSE)</f>
        <v>#N/A</v>
      </c>
    </row>
    <row r="2190" spans="15:61" hidden="1">
      <c r="O2190" s="57"/>
      <c r="P2190" s="57"/>
      <c r="AP2190" s="57"/>
      <c r="BA2190" s="57"/>
      <c r="BF2190" s="6" t="e">
        <f t="shared" si="102"/>
        <v>#NUM!</v>
      </c>
      <c r="BG2190" t="e">
        <f t="shared" si="103"/>
        <v>#NUM!</v>
      </c>
      <c r="BH2190" t="e">
        <f t="shared" si="104"/>
        <v>#NUM!</v>
      </c>
      <c r="BI2190" t="e">
        <f>VLOOKUP(H2190,Sheet2!$A$1:$B$270,2,FALSE)</f>
        <v>#N/A</v>
      </c>
    </row>
    <row r="2191" spans="15:61" hidden="1">
      <c r="O2191" s="57"/>
      <c r="P2191" s="57"/>
      <c r="AP2191" s="57"/>
      <c r="BA2191" s="57"/>
      <c r="BF2191" s="6" t="e">
        <f t="shared" si="102"/>
        <v>#NUM!</v>
      </c>
      <c r="BG2191" t="e">
        <f t="shared" si="103"/>
        <v>#NUM!</v>
      </c>
      <c r="BH2191" t="e">
        <f t="shared" si="104"/>
        <v>#NUM!</v>
      </c>
      <c r="BI2191" t="e">
        <f>VLOOKUP(H2191,Sheet2!$A$1:$B$270,2,FALSE)</f>
        <v>#N/A</v>
      </c>
    </row>
    <row r="2192" spans="15:61" hidden="1">
      <c r="O2192" s="57"/>
      <c r="P2192" s="57"/>
      <c r="BA2192" s="57"/>
      <c r="BF2192" s="6" t="e">
        <f t="shared" si="102"/>
        <v>#NUM!</v>
      </c>
      <c r="BG2192" t="e">
        <f t="shared" si="103"/>
        <v>#NUM!</v>
      </c>
      <c r="BH2192" t="e">
        <f t="shared" si="104"/>
        <v>#NUM!</v>
      </c>
      <c r="BI2192" t="e">
        <f>VLOOKUP(H2192,Sheet2!$A$1:$B$270,2,FALSE)</f>
        <v>#N/A</v>
      </c>
    </row>
    <row r="2193" spans="15:61" hidden="1">
      <c r="O2193" s="57"/>
      <c r="P2193" s="57"/>
      <c r="BF2193" s="6" t="e">
        <f t="shared" si="102"/>
        <v>#NUM!</v>
      </c>
      <c r="BG2193" t="e">
        <f t="shared" si="103"/>
        <v>#NUM!</v>
      </c>
      <c r="BH2193" t="e">
        <f t="shared" si="104"/>
        <v>#NUM!</v>
      </c>
      <c r="BI2193" t="e">
        <f>VLOOKUP(H2193,Sheet2!$A$1:$B$270,2,FALSE)</f>
        <v>#N/A</v>
      </c>
    </row>
    <row r="2194" spans="15:61" hidden="1">
      <c r="O2194" s="57"/>
      <c r="P2194" s="57"/>
      <c r="AO2194" s="57"/>
      <c r="AP2194" s="57"/>
      <c r="BA2194" s="57"/>
      <c r="BF2194" s="6" t="e">
        <f t="shared" si="102"/>
        <v>#NUM!</v>
      </c>
      <c r="BG2194" t="e">
        <f t="shared" si="103"/>
        <v>#NUM!</v>
      </c>
      <c r="BH2194" t="e">
        <f t="shared" si="104"/>
        <v>#NUM!</v>
      </c>
      <c r="BI2194" t="e">
        <f>VLOOKUP(H2194,Sheet2!$A$1:$B$270,2,FALSE)</f>
        <v>#N/A</v>
      </c>
    </row>
    <row r="2195" spans="15:61" hidden="1">
      <c r="O2195" s="57"/>
      <c r="P2195" s="57"/>
      <c r="AO2195" s="57"/>
      <c r="AP2195" s="57"/>
      <c r="BA2195" s="57"/>
      <c r="BF2195" s="6" t="e">
        <f t="shared" si="102"/>
        <v>#NUM!</v>
      </c>
      <c r="BG2195" t="e">
        <f t="shared" si="103"/>
        <v>#NUM!</v>
      </c>
      <c r="BH2195" t="e">
        <f t="shared" si="104"/>
        <v>#NUM!</v>
      </c>
      <c r="BI2195" t="e">
        <f>VLOOKUP(H2195,Sheet2!$A$1:$B$270,2,FALSE)</f>
        <v>#N/A</v>
      </c>
    </row>
    <row r="2196" spans="15:61" hidden="1">
      <c r="O2196" s="57"/>
      <c r="P2196" s="57"/>
      <c r="AO2196" s="57"/>
      <c r="AP2196" s="57"/>
      <c r="BA2196" s="57"/>
      <c r="BF2196" s="6" t="e">
        <f t="shared" si="102"/>
        <v>#NUM!</v>
      </c>
      <c r="BG2196" t="e">
        <f t="shared" si="103"/>
        <v>#NUM!</v>
      </c>
      <c r="BH2196" t="e">
        <f t="shared" si="104"/>
        <v>#NUM!</v>
      </c>
      <c r="BI2196" t="e">
        <f>VLOOKUP(H2196,Sheet2!$A$1:$B$270,2,FALSE)</f>
        <v>#N/A</v>
      </c>
    </row>
    <row r="2197" spans="15:61" hidden="1">
      <c r="O2197" s="57"/>
      <c r="P2197" s="57"/>
      <c r="AO2197" s="57"/>
      <c r="AP2197" s="57"/>
      <c r="BA2197" s="57"/>
      <c r="BF2197" s="6" t="e">
        <f t="shared" si="102"/>
        <v>#NUM!</v>
      </c>
      <c r="BG2197" t="e">
        <f t="shared" si="103"/>
        <v>#NUM!</v>
      </c>
      <c r="BH2197" t="e">
        <f t="shared" si="104"/>
        <v>#NUM!</v>
      </c>
      <c r="BI2197" t="e">
        <f>VLOOKUP(H2197,Sheet2!$A$1:$B$270,2,FALSE)</f>
        <v>#N/A</v>
      </c>
    </row>
    <row r="2198" spans="15:61" hidden="1">
      <c r="O2198" s="57"/>
      <c r="P2198" s="57"/>
      <c r="AO2198" s="57"/>
      <c r="AP2198" s="57"/>
      <c r="BA2198" s="57"/>
      <c r="BF2198" s="6" t="e">
        <f t="shared" si="102"/>
        <v>#NUM!</v>
      </c>
      <c r="BG2198" t="e">
        <f t="shared" si="103"/>
        <v>#NUM!</v>
      </c>
      <c r="BH2198" t="e">
        <f t="shared" si="104"/>
        <v>#NUM!</v>
      </c>
      <c r="BI2198" t="e">
        <f>VLOOKUP(H2198,Sheet2!$A$1:$B$270,2,FALSE)</f>
        <v>#N/A</v>
      </c>
    </row>
    <row r="2199" spans="15:61" hidden="1">
      <c r="O2199" s="57"/>
      <c r="P2199" s="57"/>
      <c r="AP2199" s="57"/>
      <c r="BA2199" s="57"/>
      <c r="BF2199" s="6" t="e">
        <f t="shared" si="102"/>
        <v>#NUM!</v>
      </c>
      <c r="BG2199" t="e">
        <f t="shared" si="103"/>
        <v>#NUM!</v>
      </c>
      <c r="BH2199" t="e">
        <f t="shared" si="104"/>
        <v>#NUM!</v>
      </c>
      <c r="BI2199" t="e">
        <f>VLOOKUP(H2199,Sheet2!$A$1:$B$270,2,FALSE)</f>
        <v>#N/A</v>
      </c>
    </row>
    <row r="2200" spans="15:61" hidden="1">
      <c r="O2200" s="57"/>
      <c r="P2200" s="57"/>
      <c r="AP2200" s="57"/>
      <c r="BA2200" s="57"/>
      <c r="BF2200" s="6" t="e">
        <f t="shared" si="102"/>
        <v>#NUM!</v>
      </c>
      <c r="BG2200" t="e">
        <f t="shared" si="103"/>
        <v>#NUM!</v>
      </c>
      <c r="BH2200" t="e">
        <f t="shared" si="104"/>
        <v>#NUM!</v>
      </c>
      <c r="BI2200" t="e">
        <f>VLOOKUP(H2200,Sheet2!$A$1:$B$270,2,FALSE)</f>
        <v>#N/A</v>
      </c>
    </row>
    <row r="2201" spans="15:61" hidden="1">
      <c r="O2201" s="57"/>
      <c r="P2201" s="57"/>
      <c r="AP2201" s="57"/>
      <c r="BA2201" s="57"/>
      <c r="BF2201" s="6" t="e">
        <f t="shared" si="102"/>
        <v>#NUM!</v>
      </c>
      <c r="BG2201" t="e">
        <f t="shared" si="103"/>
        <v>#NUM!</v>
      </c>
      <c r="BH2201" t="e">
        <f t="shared" si="104"/>
        <v>#NUM!</v>
      </c>
      <c r="BI2201" t="e">
        <f>VLOOKUP(H2201,Sheet2!$A$1:$B$270,2,FALSE)</f>
        <v>#N/A</v>
      </c>
    </row>
    <row r="2202" spans="15:61" hidden="1">
      <c r="O2202" s="57"/>
      <c r="P2202" s="57"/>
      <c r="AP2202" s="57"/>
      <c r="BA2202" s="57"/>
      <c r="BF2202" s="6" t="e">
        <f t="shared" si="102"/>
        <v>#NUM!</v>
      </c>
      <c r="BG2202" t="e">
        <f t="shared" si="103"/>
        <v>#NUM!</v>
      </c>
      <c r="BH2202" t="e">
        <f t="shared" si="104"/>
        <v>#NUM!</v>
      </c>
      <c r="BI2202" t="e">
        <f>VLOOKUP(H2202,Sheet2!$A$1:$B$270,2,FALSE)</f>
        <v>#N/A</v>
      </c>
    </row>
    <row r="2203" spans="15:61" hidden="1">
      <c r="O2203" s="57"/>
      <c r="P2203" s="57"/>
      <c r="AP2203" s="57"/>
      <c r="BA2203" s="57"/>
      <c r="BF2203" s="6" t="e">
        <f t="shared" si="102"/>
        <v>#NUM!</v>
      </c>
      <c r="BG2203" t="e">
        <f t="shared" si="103"/>
        <v>#NUM!</v>
      </c>
      <c r="BH2203" t="e">
        <f t="shared" si="104"/>
        <v>#NUM!</v>
      </c>
      <c r="BI2203" t="e">
        <f>VLOOKUP(H2203,Sheet2!$A$1:$B$270,2,FALSE)</f>
        <v>#N/A</v>
      </c>
    </row>
    <row r="2204" spans="15:61" hidden="1">
      <c r="O2204" s="57"/>
      <c r="P2204" s="57"/>
      <c r="AP2204" s="57"/>
      <c r="BA2204" s="57"/>
      <c r="BF2204" s="6" t="e">
        <f t="shared" si="102"/>
        <v>#NUM!</v>
      </c>
      <c r="BG2204" t="e">
        <f t="shared" si="103"/>
        <v>#NUM!</v>
      </c>
      <c r="BH2204" t="e">
        <f t="shared" si="104"/>
        <v>#NUM!</v>
      </c>
      <c r="BI2204" t="e">
        <f>VLOOKUP(H2204,Sheet2!$A$1:$B$270,2,FALSE)</f>
        <v>#N/A</v>
      </c>
    </row>
    <row r="2205" spans="15:61" hidden="1">
      <c r="O2205" s="57"/>
      <c r="P2205" s="57"/>
      <c r="AP2205" s="57"/>
      <c r="BA2205" s="57"/>
      <c r="BF2205" s="6" t="e">
        <f t="shared" si="102"/>
        <v>#NUM!</v>
      </c>
      <c r="BG2205" t="e">
        <f t="shared" si="103"/>
        <v>#NUM!</v>
      </c>
      <c r="BH2205" t="e">
        <f t="shared" si="104"/>
        <v>#NUM!</v>
      </c>
      <c r="BI2205" t="e">
        <f>VLOOKUP(H2205,Sheet2!$A$1:$B$270,2,FALSE)</f>
        <v>#N/A</v>
      </c>
    </row>
    <row r="2206" spans="15:61" hidden="1">
      <c r="O2206" s="57"/>
      <c r="P2206" s="57"/>
      <c r="AP2206" s="57"/>
      <c r="BA2206" s="57"/>
      <c r="BF2206" s="6" t="e">
        <f t="shared" si="102"/>
        <v>#NUM!</v>
      </c>
      <c r="BG2206" t="e">
        <f t="shared" si="103"/>
        <v>#NUM!</v>
      </c>
      <c r="BH2206" t="e">
        <f t="shared" si="104"/>
        <v>#NUM!</v>
      </c>
      <c r="BI2206" t="e">
        <f>VLOOKUP(H2206,Sheet2!$A$1:$B$270,2,FALSE)</f>
        <v>#N/A</v>
      </c>
    </row>
    <row r="2207" spans="15:61" hidden="1">
      <c r="O2207" s="57"/>
      <c r="P2207" s="57"/>
      <c r="AP2207" s="57"/>
      <c r="BA2207" s="57"/>
      <c r="BF2207" s="6" t="e">
        <f t="shared" si="102"/>
        <v>#NUM!</v>
      </c>
      <c r="BG2207" t="e">
        <f t="shared" si="103"/>
        <v>#NUM!</v>
      </c>
      <c r="BH2207" t="e">
        <f t="shared" si="104"/>
        <v>#NUM!</v>
      </c>
      <c r="BI2207" t="e">
        <f>VLOOKUP(H2207,Sheet2!$A$1:$B$270,2,FALSE)</f>
        <v>#N/A</v>
      </c>
    </row>
    <row r="2208" spans="15:61" hidden="1">
      <c r="O2208" s="57"/>
      <c r="P2208" s="57"/>
      <c r="AP2208" s="57"/>
      <c r="BA2208" s="57"/>
      <c r="BF2208" s="6" t="e">
        <f t="shared" si="102"/>
        <v>#NUM!</v>
      </c>
      <c r="BG2208" t="e">
        <f t="shared" si="103"/>
        <v>#NUM!</v>
      </c>
      <c r="BH2208" t="e">
        <f t="shared" si="104"/>
        <v>#NUM!</v>
      </c>
      <c r="BI2208" t="e">
        <f>VLOOKUP(H2208,Sheet2!$A$1:$B$270,2,FALSE)</f>
        <v>#N/A</v>
      </c>
    </row>
    <row r="2209" spans="15:61" hidden="1">
      <c r="O2209" s="57"/>
      <c r="P2209" s="57"/>
      <c r="AP2209" s="57"/>
      <c r="BA2209" s="57"/>
      <c r="BF2209" s="6" t="e">
        <f t="shared" si="102"/>
        <v>#NUM!</v>
      </c>
      <c r="BG2209" t="e">
        <f t="shared" si="103"/>
        <v>#NUM!</v>
      </c>
      <c r="BH2209" t="e">
        <f t="shared" si="104"/>
        <v>#NUM!</v>
      </c>
      <c r="BI2209" t="e">
        <f>VLOOKUP(H2209,Sheet2!$A$1:$B$270,2,FALSE)</f>
        <v>#N/A</v>
      </c>
    </row>
    <row r="2210" spans="15:61" hidden="1">
      <c r="O2210" s="57"/>
      <c r="P2210" s="57"/>
      <c r="AP2210" s="57"/>
      <c r="BA2210" s="57"/>
      <c r="BF2210" s="6" t="e">
        <f t="shared" si="102"/>
        <v>#NUM!</v>
      </c>
      <c r="BG2210" t="e">
        <f t="shared" si="103"/>
        <v>#NUM!</v>
      </c>
      <c r="BH2210" t="e">
        <f t="shared" si="104"/>
        <v>#NUM!</v>
      </c>
      <c r="BI2210" t="e">
        <f>VLOOKUP(H2210,Sheet2!$A$1:$B$270,2,FALSE)</f>
        <v>#N/A</v>
      </c>
    </row>
    <row r="2211" spans="15:61" hidden="1">
      <c r="O2211" s="57"/>
      <c r="P2211" s="57"/>
      <c r="AP2211" s="57"/>
      <c r="BA2211" s="57"/>
      <c r="BF2211" s="6" t="e">
        <f t="shared" si="102"/>
        <v>#NUM!</v>
      </c>
      <c r="BG2211" t="e">
        <f t="shared" si="103"/>
        <v>#NUM!</v>
      </c>
      <c r="BH2211" t="e">
        <f t="shared" si="104"/>
        <v>#NUM!</v>
      </c>
      <c r="BI2211" t="e">
        <f>VLOOKUP(H2211,Sheet2!$A$1:$B$270,2,FALSE)</f>
        <v>#N/A</v>
      </c>
    </row>
    <row r="2212" spans="15:61" hidden="1">
      <c r="O2212" s="57"/>
      <c r="P2212" s="57"/>
      <c r="AP2212" s="57"/>
      <c r="BA2212" s="57"/>
      <c r="BF2212" s="6" t="e">
        <f t="shared" si="102"/>
        <v>#NUM!</v>
      </c>
      <c r="BG2212" t="e">
        <f t="shared" si="103"/>
        <v>#NUM!</v>
      </c>
      <c r="BH2212" t="e">
        <f t="shared" si="104"/>
        <v>#NUM!</v>
      </c>
      <c r="BI2212" t="e">
        <f>VLOOKUP(H2212,Sheet2!$A$1:$B$270,2,FALSE)</f>
        <v>#N/A</v>
      </c>
    </row>
    <row r="2213" spans="15:61" hidden="1">
      <c r="O2213" s="57"/>
      <c r="P2213" s="57"/>
      <c r="AP2213" s="57"/>
      <c r="BA2213" s="57"/>
      <c r="BF2213" s="6" t="e">
        <f t="shared" si="102"/>
        <v>#NUM!</v>
      </c>
      <c r="BG2213" t="e">
        <f t="shared" si="103"/>
        <v>#NUM!</v>
      </c>
      <c r="BH2213" t="e">
        <f t="shared" si="104"/>
        <v>#NUM!</v>
      </c>
      <c r="BI2213" t="e">
        <f>VLOOKUP(H2213,Sheet2!$A$1:$B$270,2,FALSE)</f>
        <v>#N/A</v>
      </c>
    </row>
    <row r="2214" spans="15:61" hidden="1">
      <c r="O2214" s="57"/>
      <c r="P2214" s="57"/>
      <c r="AO2214" s="57"/>
      <c r="AP2214" s="57"/>
      <c r="BA2214" s="57"/>
      <c r="BF2214" s="6" t="e">
        <f t="shared" si="102"/>
        <v>#NUM!</v>
      </c>
      <c r="BG2214" t="e">
        <f t="shared" si="103"/>
        <v>#NUM!</v>
      </c>
      <c r="BH2214" t="e">
        <f t="shared" si="104"/>
        <v>#NUM!</v>
      </c>
      <c r="BI2214" t="e">
        <f>VLOOKUP(H2214,Sheet2!$A$1:$B$270,2,FALSE)</f>
        <v>#N/A</v>
      </c>
    </row>
    <row r="2215" spans="15:61" hidden="1">
      <c r="O2215" s="57"/>
      <c r="P2215" s="57"/>
      <c r="AO2215" s="57"/>
      <c r="AP2215" s="57"/>
      <c r="BA2215" s="57"/>
      <c r="BF2215" s="6" t="e">
        <f t="shared" si="102"/>
        <v>#NUM!</v>
      </c>
      <c r="BG2215" t="e">
        <f t="shared" si="103"/>
        <v>#NUM!</v>
      </c>
      <c r="BH2215" t="e">
        <f t="shared" si="104"/>
        <v>#NUM!</v>
      </c>
      <c r="BI2215" t="e">
        <f>VLOOKUP(H2215,Sheet2!$A$1:$B$270,2,FALSE)</f>
        <v>#N/A</v>
      </c>
    </row>
    <row r="2216" spans="15:61" hidden="1">
      <c r="O2216" s="57"/>
      <c r="P2216" s="57"/>
      <c r="AO2216" s="57"/>
      <c r="AP2216" s="57"/>
      <c r="BA2216" s="57"/>
      <c r="BF2216" s="6" t="e">
        <f t="shared" si="102"/>
        <v>#NUM!</v>
      </c>
      <c r="BG2216" t="e">
        <f t="shared" si="103"/>
        <v>#NUM!</v>
      </c>
      <c r="BH2216" t="e">
        <f t="shared" si="104"/>
        <v>#NUM!</v>
      </c>
      <c r="BI2216" t="e">
        <f>VLOOKUP(H2216,Sheet2!$A$1:$B$270,2,FALSE)</f>
        <v>#N/A</v>
      </c>
    </row>
    <row r="2217" spans="15:61" hidden="1">
      <c r="O2217" s="57"/>
      <c r="P2217" s="57"/>
      <c r="BA2217" s="57"/>
      <c r="BF2217" s="6" t="e">
        <f t="shared" si="102"/>
        <v>#NUM!</v>
      </c>
      <c r="BG2217" t="e">
        <f t="shared" si="103"/>
        <v>#NUM!</v>
      </c>
      <c r="BH2217" t="e">
        <f t="shared" si="104"/>
        <v>#NUM!</v>
      </c>
      <c r="BI2217" t="e">
        <f>VLOOKUP(H2217,Sheet2!$A$1:$B$270,2,FALSE)</f>
        <v>#N/A</v>
      </c>
    </row>
    <row r="2218" spans="15:61" hidden="1">
      <c r="O2218" s="57"/>
      <c r="P2218" s="57"/>
      <c r="AP2218" s="57"/>
      <c r="BA2218" s="57"/>
      <c r="BF2218" s="6" t="e">
        <f t="shared" si="102"/>
        <v>#NUM!</v>
      </c>
      <c r="BG2218" t="e">
        <f t="shared" si="103"/>
        <v>#NUM!</v>
      </c>
      <c r="BH2218" t="e">
        <f t="shared" si="104"/>
        <v>#NUM!</v>
      </c>
      <c r="BI2218" t="e">
        <f>VLOOKUP(H2218,Sheet2!$A$1:$B$270,2,FALSE)</f>
        <v>#N/A</v>
      </c>
    </row>
    <row r="2219" spans="15:61" hidden="1">
      <c r="O2219" s="57"/>
      <c r="P2219" s="57"/>
      <c r="AO2219" s="57"/>
      <c r="AP2219" s="57"/>
      <c r="BA2219" s="57"/>
      <c r="BF2219" s="6" t="e">
        <f t="shared" si="102"/>
        <v>#NUM!</v>
      </c>
      <c r="BG2219" t="e">
        <f t="shared" si="103"/>
        <v>#NUM!</v>
      </c>
      <c r="BH2219" t="e">
        <f t="shared" si="104"/>
        <v>#NUM!</v>
      </c>
      <c r="BI2219" t="e">
        <f>VLOOKUP(H2219,Sheet2!$A$1:$B$270,2,FALSE)</f>
        <v>#N/A</v>
      </c>
    </row>
    <row r="2220" spans="15:61" hidden="1">
      <c r="O2220" s="57"/>
      <c r="P2220" s="57"/>
      <c r="AO2220" s="57"/>
      <c r="BA2220" s="57"/>
      <c r="BF2220" s="6" t="e">
        <f t="shared" si="102"/>
        <v>#NUM!</v>
      </c>
      <c r="BG2220" t="e">
        <f t="shared" si="103"/>
        <v>#NUM!</v>
      </c>
      <c r="BH2220" t="e">
        <f t="shared" si="104"/>
        <v>#NUM!</v>
      </c>
      <c r="BI2220" t="e">
        <f>VLOOKUP(H2220,Sheet2!$A$1:$B$270,2,FALSE)</f>
        <v>#N/A</v>
      </c>
    </row>
    <row r="2221" spans="15:61" hidden="1">
      <c r="O2221" s="57"/>
      <c r="P2221" s="57"/>
      <c r="AO2221" s="57"/>
      <c r="BA2221" s="57"/>
      <c r="BF2221" s="6" t="e">
        <f t="shared" si="102"/>
        <v>#NUM!</v>
      </c>
      <c r="BG2221" t="e">
        <f t="shared" si="103"/>
        <v>#NUM!</v>
      </c>
      <c r="BH2221" t="e">
        <f t="shared" si="104"/>
        <v>#NUM!</v>
      </c>
      <c r="BI2221" t="e">
        <f>VLOOKUP(H2221,Sheet2!$A$1:$B$270,2,FALSE)</f>
        <v>#N/A</v>
      </c>
    </row>
    <row r="2222" spans="15:61" hidden="1">
      <c r="O2222" s="57"/>
      <c r="P2222" s="57"/>
      <c r="AO2222" s="57"/>
      <c r="AP2222" s="57"/>
      <c r="BA2222" s="57"/>
      <c r="BF2222" s="6" t="e">
        <f t="shared" si="102"/>
        <v>#NUM!</v>
      </c>
      <c r="BG2222" t="e">
        <f t="shared" si="103"/>
        <v>#NUM!</v>
      </c>
      <c r="BH2222" t="e">
        <f t="shared" si="104"/>
        <v>#NUM!</v>
      </c>
      <c r="BI2222" t="e">
        <f>VLOOKUP(H2222,Sheet2!$A$1:$B$270,2,FALSE)</f>
        <v>#N/A</v>
      </c>
    </row>
    <row r="2223" spans="15:61" hidden="1">
      <c r="O2223" s="57"/>
      <c r="P2223" s="57"/>
      <c r="AO2223" s="57"/>
      <c r="AP2223" s="57"/>
      <c r="BA2223" s="57"/>
      <c r="BF2223" s="6" t="e">
        <f t="shared" si="102"/>
        <v>#NUM!</v>
      </c>
      <c r="BG2223" t="e">
        <f t="shared" si="103"/>
        <v>#NUM!</v>
      </c>
      <c r="BH2223" t="e">
        <f t="shared" si="104"/>
        <v>#NUM!</v>
      </c>
      <c r="BI2223" t="e">
        <f>VLOOKUP(H2223,Sheet2!$A$1:$B$270,2,FALSE)</f>
        <v>#N/A</v>
      </c>
    </row>
    <row r="2224" spans="15:61" hidden="1">
      <c r="O2224" s="57"/>
      <c r="P2224" s="57"/>
      <c r="AO2224" s="57"/>
      <c r="AP2224" s="57"/>
      <c r="BA2224" s="57"/>
      <c r="BF2224" s="6" t="e">
        <f t="shared" si="102"/>
        <v>#NUM!</v>
      </c>
      <c r="BG2224" t="e">
        <f t="shared" si="103"/>
        <v>#NUM!</v>
      </c>
      <c r="BH2224" t="e">
        <f t="shared" si="104"/>
        <v>#NUM!</v>
      </c>
      <c r="BI2224" t="e">
        <f>VLOOKUP(H2224,Sheet2!$A$1:$B$270,2,FALSE)</f>
        <v>#N/A</v>
      </c>
    </row>
    <row r="2225" spans="15:61" hidden="1">
      <c r="O2225" s="57"/>
      <c r="P2225" s="57"/>
      <c r="BA2225" s="57"/>
      <c r="BF2225" s="6" t="e">
        <f t="shared" si="102"/>
        <v>#NUM!</v>
      </c>
      <c r="BG2225" t="e">
        <f t="shared" si="103"/>
        <v>#NUM!</v>
      </c>
      <c r="BH2225" t="e">
        <f t="shared" si="104"/>
        <v>#NUM!</v>
      </c>
      <c r="BI2225" t="e">
        <f>VLOOKUP(H2225,Sheet2!$A$1:$B$270,2,FALSE)</f>
        <v>#N/A</v>
      </c>
    </row>
    <row r="2226" spans="15:61" hidden="1">
      <c r="O2226" s="57"/>
      <c r="P2226" s="57"/>
      <c r="AP2226" s="57"/>
      <c r="BA2226" s="57"/>
      <c r="BF2226" s="6" t="e">
        <f t="shared" si="102"/>
        <v>#NUM!</v>
      </c>
      <c r="BG2226" t="e">
        <f t="shared" si="103"/>
        <v>#NUM!</v>
      </c>
      <c r="BH2226" t="e">
        <f t="shared" si="104"/>
        <v>#NUM!</v>
      </c>
      <c r="BI2226" t="e">
        <f>VLOOKUP(H2226,Sheet2!$A$1:$B$270,2,FALSE)</f>
        <v>#N/A</v>
      </c>
    </row>
    <row r="2227" spans="15:61" hidden="1">
      <c r="O2227" s="57"/>
      <c r="P2227" s="57"/>
      <c r="AP2227" s="57"/>
      <c r="BA2227" s="57"/>
      <c r="BF2227" s="6" t="e">
        <f t="shared" si="102"/>
        <v>#NUM!</v>
      </c>
      <c r="BG2227" t="e">
        <f t="shared" si="103"/>
        <v>#NUM!</v>
      </c>
      <c r="BH2227" t="e">
        <f t="shared" si="104"/>
        <v>#NUM!</v>
      </c>
      <c r="BI2227" t="e">
        <f>VLOOKUP(H2227,Sheet2!$A$1:$B$270,2,FALSE)</f>
        <v>#N/A</v>
      </c>
    </row>
    <row r="2228" spans="15:61" hidden="1">
      <c r="O2228" s="57"/>
      <c r="P2228" s="57"/>
      <c r="AP2228" s="57"/>
      <c r="BA2228" s="57"/>
      <c r="BF2228" s="6" t="e">
        <f t="shared" si="102"/>
        <v>#NUM!</v>
      </c>
      <c r="BG2228" t="e">
        <f t="shared" si="103"/>
        <v>#NUM!</v>
      </c>
      <c r="BH2228" t="e">
        <f t="shared" si="104"/>
        <v>#NUM!</v>
      </c>
      <c r="BI2228" t="e">
        <f>VLOOKUP(H2228,Sheet2!$A$1:$B$270,2,FALSE)</f>
        <v>#N/A</v>
      </c>
    </row>
    <row r="2229" spans="15:61" hidden="1">
      <c r="O2229" s="57"/>
      <c r="P2229" s="57"/>
      <c r="AO2229" s="57"/>
      <c r="BF2229" s="6" t="e">
        <f t="shared" si="102"/>
        <v>#NUM!</v>
      </c>
      <c r="BG2229" t="e">
        <f t="shared" si="103"/>
        <v>#NUM!</v>
      </c>
      <c r="BH2229" t="e">
        <f t="shared" si="104"/>
        <v>#NUM!</v>
      </c>
      <c r="BI2229" t="e">
        <f>VLOOKUP(H2229,Sheet2!$A$1:$B$270,2,FALSE)</f>
        <v>#N/A</v>
      </c>
    </row>
    <row r="2230" spans="15:61" hidden="1">
      <c r="O2230" s="57"/>
      <c r="P2230" s="57"/>
      <c r="AO2230" s="57"/>
      <c r="BF2230" s="6" t="e">
        <f t="shared" si="102"/>
        <v>#NUM!</v>
      </c>
      <c r="BG2230" t="e">
        <f t="shared" si="103"/>
        <v>#NUM!</v>
      </c>
      <c r="BH2230" t="e">
        <f t="shared" si="104"/>
        <v>#NUM!</v>
      </c>
      <c r="BI2230" t="e">
        <f>VLOOKUP(H2230,Sheet2!$A$1:$B$270,2,FALSE)</f>
        <v>#N/A</v>
      </c>
    </row>
    <row r="2231" spans="15:61" hidden="1">
      <c r="O2231" s="57"/>
      <c r="P2231" s="57"/>
      <c r="AO2231" s="57"/>
      <c r="AP2231" s="57"/>
      <c r="BA2231" s="57"/>
      <c r="BF2231" s="6" t="e">
        <f t="shared" si="102"/>
        <v>#NUM!</v>
      </c>
      <c r="BG2231" t="e">
        <f t="shared" si="103"/>
        <v>#NUM!</v>
      </c>
      <c r="BH2231" t="e">
        <f t="shared" si="104"/>
        <v>#NUM!</v>
      </c>
      <c r="BI2231" t="e">
        <f>VLOOKUP(H2231,Sheet2!$A$1:$B$270,2,FALSE)</f>
        <v>#N/A</v>
      </c>
    </row>
    <row r="2232" spans="15:61" hidden="1">
      <c r="O2232" s="57"/>
      <c r="P2232" s="57"/>
      <c r="AP2232" s="57"/>
      <c r="BA2232" s="57"/>
      <c r="BF2232" s="6" t="e">
        <f t="shared" si="102"/>
        <v>#NUM!</v>
      </c>
      <c r="BG2232" t="e">
        <f t="shared" si="103"/>
        <v>#NUM!</v>
      </c>
      <c r="BH2232" t="e">
        <f t="shared" si="104"/>
        <v>#NUM!</v>
      </c>
      <c r="BI2232" t="e">
        <f>VLOOKUP(H2232,Sheet2!$A$1:$B$270,2,FALSE)</f>
        <v>#N/A</v>
      </c>
    </row>
    <row r="2233" spans="15:61" hidden="1">
      <c r="O2233" s="57"/>
      <c r="P2233" s="57"/>
      <c r="AP2233" s="57"/>
      <c r="BA2233" s="57"/>
      <c r="BF2233" s="6" t="e">
        <f t="shared" si="102"/>
        <v>#NUM!</v>
      </c>
      <c r="BG2233" t="e">
        <f t="shared" si="103"/>
        <v>#NUM!</v>
      </c>
      <c r="BH2233" t="e">
        <f t="shared" si="104"/>
        <v>#NUM!</v>
      </c>
      <c r="BI2233" t="e">
        <f>VLOOKUP(H2233,Sheet2!$A$1:$B$270,2,FALSE)</f>
        <v>#N/A</v>
      </c>
    </row>
    <row r="2234" spans="15:61" hidden="1">
      <c r="O2234" s="57"/>
      <c r="P2234" s="57"/>
      <c r="AP2234" s="57"/>
      <c r="BA2234" s="57"/>
      <c r="BF2234" s="6" t="e">
        <f t="shared" si="102"/>
        <v>#NUM!</v>
      </c>
      <c r="BG2234" t="e">
        <f t="shared" si="103"/>
        <v>#NUM!</v>
      </c>
      <c r="BH2234" t="e">
        <f t="shared" si="104"/>
        <v>#NUM!</v>
      </c>
      <c r="BI2234" t="e">
        <f>VLOOKUP(H2234,Sheet2!$A$1:$B$270,2,FALSE)</f>
        <v>#N/A</v>
      </c>
    </row>
    <row r="2235" spans="15:61" hidden="1">
      <c r="O2235" s="57"/>
      <c r="P2235" s="57"/>
      <c r="AP2235" s="57"/>
      <c r="BA2235" s="57"/>
      <c r="BF2235" s="6" t="e">
        <f t="shared" si="102"/>
        <v>#NUM!</v>
      </c>
      <c r="BG2235" t="e">
        <f t="shared" si="103"/>
        <v>#NUM!</v>
      </c>
      <c r="BH2235" t="e">
        <f t="shared" si="104"/>
        <v>#NUM!</v>
      </c>
      <c r="BI2235" t="e">
        <f>VLOOKUP(H2235,Sheet2!$A$1:$B$270,2,FALSE)</f>
        <v>#N/A</v>
      </c>
    </row>
    <row r="2236" spans="15:61" hidden="1">
      <c r="O2236" s="57"/>
      <c r="P2236" s="57"/>
      <c r="BF2236" s="6" t="e">
        <f t="shared" si="102"/>
        <v>#NUM!</v>
      </c>
      <c r="BG2236" t="e">
        <f t="shared" si="103"/>
        <v>#NUM!</v>
      </c>
      <c r="BH2236" t="e">
        <f t="shared" si="104"/>
        <v>#NUM!</v>
      </c>
      <c r="BI2236" t="e">
        <f>VLOOKUP(H2236,Sheet2!$A$1:$B$270,2,FALSE)</f>
        <v>#N/A</v>
      </c>
    </row>
    <row r="2237" spans="15:61" hidden="1">
      <c r="O2237" s="57"/>
      <c r="P2237" s="57"/>
      <c r="BA2237" s="57"/>
      <c r="BF2237" s="6" t="e">
        <f t="shared" si="102"/>
        <v>#NUM!</v>
      </c>
      <c r="BG2237" t="e">
        <f t="shared" si="103"/>
        <v>#NUM!</v>
      </c>
      <c r="BH2237" t="e">
        <f t="shared" si="104"/>
        <v>#NUM!</v>
      </c>
      <c r="BI2237" t="e">
        <f>VLOOKUP(H2237,Sheet2!$A$1:$B$270,2,FALSE)</f>
        <v>#N/A</v>
      </c>
    </row>
    <row r="2238" spans="15:61" hidden="1">
      <c r="O2238" s="57"/>
      <c r="P2238" s="57"/>
      <c r="AO2238" s="57"/>
      <c r="AP2238" s="57"/>
      <c r="BA2238" s="57"/>
      <c r="BF2238" s="6" t="e">
        <f t="shared" si="102"/>
        <v>#NUM!</v>
      </c>
      <c r="BG2238" t="e">
        <f t="shared" si="103"/>
        <v>#NUM!</v>
      </c>
      <c r="BH2238" t="e">
        <f t="shared" si="104"/>
        <v>#NUM!</v>
      </c>
      <c r="BI2238" t="e">
        <f>VLOOKUP(H2238,Sheet2!$A$1:$B$270,2,FALSE)</f>
        <v>#N/A</v>
      </c>
    </row>
    <row r="2239" spans="15:61" hidden="1">
      <c r="O2239" s="57"/>
      <c r="P2239" s="57"/>
      <c r="BA2239" s="57"/>
      <c r="BF2239" s="6" t="e">
        <f t="shared" si="102"/>
        <v>#NUM!</v>
      </c>
      <c r="BG2239" t="e">
        <f t="shared" si="103"/>
        <v>#NUM!</v>
      </c>
      <c r="BH2239" t="e">
        <f t="shared" si="104"/>
        <v>#NUM!</v>
      </c>
      <c r="BI2239" t="e">
        <f>VLOOKUP(H2239,Sheet2!$A$1:$B$270,2,FALSE)</f>
        <v>#N/A</v>
      </c>
    </row>
    <row r="2240" spans="15:61" hidden="1">
      <c r="O2240" s="57"/>
      <c r="P2240" s="57"/>
      <c r="AP2240" s="57"/>
      <c r="BA2240" s="57"/>
      <c r="BF2240" s="6" t="e">
        <f t="shared" si="102"/>
        <v>#NUM!</v>
      </c>
      <c r="BG2240" t="e">
        <f t="shared" si="103"/>
        <v>#NUM!</v>
      </c>
      <c r="BH2240" t="e">
        <f t="shared" si="104"/>
        <v>#NUM!</v>
      </c>
      <c r="BI2240" t="e">
        <f>VLOOKUP(H2240,Sheet2!$A$1:$B$270,2,FALSE)</f>
        <v>#N/A</v>
      </c>
    </row>
    <row r="2241" spans="15:61" hidden="1">
      <c r="O2241" s="57"/>
      <c r="P2241" s="57"/>
      <c r="BA2241" s="57"/>
      <c r="BF2241" s="6" t="e">
        <f t="shared" si="102"/>
        <v>#NUM!</v>
      </c>
      <c r="BG2241" t="e">
        <f t="shared" si="103"/>
        <v>#NUM!</v>
      </c>
      <c r="BH2241" t="e">
        <f t="shared" si="104"/>
        <v>#NUM!</v>
      </c>
      <c r="BI2241" t="e">
        <f>VLOOKUP(H2241,Sheet2!$A$1:$B$270,2,FALSE)</f>
        <v>#N/A</v>
      </c>
    </row>
    <row r="2242" spans="15:61" hidden="1">
      <c r="O2242" s="57"/>
      <c r="P2242" s="57"/>
      <c r="AP2242" s="57"/>
      <c r="BA2242" s="57"/>
      <c r="BF2242" s="6" t="e">
        <f t="shared" ref="BF2242:BF2305" si="105">DATE(BC2242,BD2242,BE2242)</f>
        <v>#NUM!</v>
      </c>
      <c r="BG2242" t="e">
        <f t="shared" ref="BG2242:BG2305" si="106">BF2242-BA2242</f>
        <v>#NUM!</v>
      </c>
      <c r="BH2242" t="e">
        <f t="shared" ref="BH2242:BH2305" si="107">IF(BG2242=1,"COMPLY",IF(BG2242&lt;1,"COMPLY","NOT COMPLY"))</f>
        <v>#NUM!</v>
      </c>
      <c r="BI2242" t="e">
        <f>VLOOKUP(H2242,Sheet2!$A$1:$B$270,2,FALSE)</f>
        <v>#N/A</v>
      </c>
    </row>
    <row r="2243" spans="15:61" hidden="1">
      <c r="O2243" s="57"/>
      <c r="P2243" s="57"/>
      <c r="AM2243" s="58"/>
      <c r="BA2243" s="57"/>
      <c r="BB2243" s="58"/>
      <c r="BF2243" s="6" t="e">
        <f t="shared" si="105"/>
        <v>#NUM!</v>
      </c>
      <c r="BG2243" t="e">
        <f t="shared" si="106"/>
        <v>#NUM!</v>
      </c>
      <c r="BH2243" t="e">
        <f t="shared" si="107"/>
        <v>#NUM!</v>
      </c>
      <c r="BI2243" t="e">
        <f>VLOOKUP(H2243,Sheet2!$A$1:$B$270,2,FALSE)</f>
        <v>#N/A</v>
      </c>
    </row>
    <row r="2244" spans="15:61" hidden="1">
      <c r="O2244" s="57"/>
      <c r="P2244" s="57"/>
      <c r="AO2244" s="57"/>
      <c r="BA2244" s="57"/>
      <c r="BF2244" s="6" t="e">
        <f t="shared" si="105"/>
        <v>#NUM!</v>
      </c>
      <c r="BG2244" t="e">
        <f t="shared" si="106"/>
        <v>#NUM!</v>
      </c>
      <c r="BH2244" t="e">
        <f t="shared" si="107"/>
        <v>#NUM!</v>
      </c>
      <c r="BI2244" t="e">
        <f>VLOOKUP(H2244,Sheet2!$A$1:$B$270,2,FALSE)</f>
        <v>#N/A</v>
      </c>
    </row>
    <row r="2245" spans="15:61" hidden="1">
      <c r="O2245" s="57"/>
      <c r="P2245" s="57"/>
      <c r="AO2245" s="57"/>
      <c r="BA2245" s="57"/>
      <c r="BF2245" s="6" t="e">
        <f t="shared" si="105"/>
        <v>#NUM!</v>
      </c>
      <c r="BG2245" t="e">
        <f t="shared" si="106"/>
        <v>#NUM!</v>
      </c>
      <c r="BH2245" t="e">
        <f t="shared" si="107"/>
        <v>#NUM!</v>
      </c>
      <c r="BI2245" t="e">
        <f>VLOOKUP(H2245,Sheet2!$A$1:$B$270,2,FALSE)</f>
        <v>#N/A</v>
      </c>
    </row>
    <row r="2246" spans="15:61" hidden="1">
      <c r="O2246" s="57"/>
      <c r="P2246" s="57"/>
      <c r="AO2246" s="57"/>
      <c r="AP2246" s="57"/>
      <c r="BA2246" s="57"/>
      <c r="BF2246" s="6" t="e">
        <f t="shared" si="105"/>
        <v>#NUM!</v>
      </c>
      <c r="BG2246" t="e">
        <f t="shared" si="106"/>
        <v>#NUM!</v>
      </c>
      <c r="BH2246" t="e">
        <f t="shared" si="107"/>
        <v>#NUM!</v>
      </c>
      <c r="BI2246" t="e">
        <f>VLOOKUP(H2246,Sheet2!$A$1:$B$270,2,FALSE)</f>
        <v>#N/A</v>
      </c>
    </row>
    <row r="2247" spans="15:61" hidden="1">
      <c r="O2247" s="57"/>
      <c r="P2247" s="57"/>
      <c r="AO2247" s="57"/>
      <c r="AP2247" s="57"/>
      <c r="BA2247" s="57"/>
      <c r="BF2247" s="6" t="e">
        <f t="shared" si="105"/>
        <v>#NUM!</v>
      </c>
      <c r="BG2247" t="e">
        <f t="shared" si="106"/>
        <v>#NUM!</v>
      </c>
      <c r="BH2247" t="e">
        <f t="shared" si="107"/>
        <v>#NUM!</v>
      </c>
      <c r="BI2247" t="e">
        <f>VLOOKUP(H2247,Sheet2!$A$1:$B$270,2,FALSE)</f>
        <v>#N/A</v>
      </c>
    </row>
    <row r="2248" spans="15:61" hidden="1">
      <c r="O2248" s="57"/>
      <c r="P2248" s="57"/>
      <c r="AO2248" s="57"/>
      <c r="AP2248" s="57"/>
      <c r="BA2248" s="57"/>
      <c r="BF2248" s="6" t="e">
        <f t="shared" si="105"/>
        <v>#NUM!</v>
      </c>
      <c r="BG2248" t="e">
        <f t="shared" si="106"/>
        <v>#NUM!</v>
      </c>
      <c r="BH2248" t="e">
        <f t="shared" si="107"/>
        <v>#NUM!</v>
      </c>
      <c r="BI2248" t="e">
        <f>VLOOKUP(H2248,Sheet2!$A$1:$B$270,2,FALSE)</f>
        <v>#N/A</v>
      </c>
    </row>
    <row r="2249" spans="15:61" hidden="1">
      <c r="O2249" s="57"/>
      <c r="P2249" s="57"/>
      <c r="AP2249" s="57"/>
      <c r="BA2249" s="57"/>
      <c r="BF2249" s="6" t="e">
        <f t="shared" si="105"/>
        <v>#NUM!</v>
      </c>
      <c r="BG2249" t="e">
        <f t="shared" si="106"/>
        <v>#NUM!</v>
      </c>
      <c r="BH2249" t="e">
        <f t="shared" si="107"/>
        <v>#NUM!</v>
      </c>
      <c r="BI2249" t="e">
        <f>VLOOKUP(H2249,Sheet2!$A$1:$B$270,2,FALSE)</f>
        <v>#N/A</v>
      </c>
    </row>
    <row r="2250" spans="15:61" hidden="1">
      <c r="O2250" s="57"/>
      <c r="P2250" s="57"/>
      <c r="BA2250" s="57"/>
      <c r="BF2250" s="6" t="e">
        <f t="shared" si="105"/>
        <v>#NUM!</v>
      </c>
      <c r="BG2250" t="e">
        <f t="shared" si="106"/>
        <v>#NUM!</v>
      </c>
      <c r="BH2250" t="e">
        <f t="shared" si="107"/>
        <v>#NUM!</v>
      </c>
      <c r="BI2250" t="e">
        <f>VLOOKUP(H2250,Sheet2!$A$1:$B$270,2,FALSE)</f>
        <v>#N/A</v>
      </c>
    </row>
    <row r="2251" spans="15:61" hidden="1">
      <c r="O2251" s="57"/>
      <c r="P2251" s="57"/>
      <c r="AP2251" s="57"/>
      <c r="BA2251" s="57"/>
      <c r="BF2251" s="6" t="e">
        <f t="shared" si="105"/>
        <v>#NUM!</v>
      </c>
      <c r="BG2251" t="e">
        <f t="shared" si="106"/>
        <v>#NUM!</v>
      </c>
      <c r="BH2251" t="e">
        <f t="shared" si="107"/>
        <v>#NUM!</v>
      </c>
      <c r="BI2251" t="e">
        <f>VLOOKUP(H2251,Sheet2!$A$1:$B$270,2,FALSE)</f>
        <v>#N/A</v>
      </c>
    </row>
    <row r="2252" spans="15:61" hidden="1">
      <c r="O2252" s="57"/>
      <c r="P2252" s="57"/>
      <c r="AP2252" s="57"/>
      <c r="BA2252" s="57"/>
      <c r="BF2252" s="6" t="e">
        <f t="shared" si="105"/>
        <v>#NUM!</v>
      </c>
      <c r="BG2252" t="e">
        <f t="shared" si="106"/>
        <v>#NUM!</v>
      </c>
      <c r="BH2252" t="e">
        <f t="shared" si="107"/>
        <v>#NUM!</v>
      </c>
      <c r="BI2252" t="e">
        <f>VLOOKUP(H2252,Sheet2!$A$1:$B$270,2,FALSE)</f>
        <v>#N/A</v>
      </c>
    </row>
    <row r="2253" spans="15:61" hidden="1">
      <c r="O2253" s="57"/>
      <c r="P2253" s="57"/>
      <c r="AP2253" s="57"/>
      <c r="BA2253" s="57"/>
      <c r="BF2253" s="6" t="e">
        <f t="shared" si="105"/>
        <v>#NUM!</v>
      </c>
      <c r="BG2253" t="e">
        <f t="shared" si="106"/>
        <v>#NUM!</v>
      </c>
      <c r="BH2253" t="e">
        <f t="shared" si="107"/>
        <v>#NUM!</v>
      </c>
      <c r="BI2253" t="e">
        <f>VLOOKUP(H2253,Sheet2!$A$1:$B$270,2,FALSE)</f>
        <v>#N/A</v>
      </c>
    </row>
    <row r="2254" spans="15:61" hidden="1">
      <c r="O2254" s="57"/>
      <c r="P2254" s="57"/>
      <c r="AP2254" s="57"/>
      <c r="BA2254" s="57"/>
      <c r="BF2254" s="6" t="e">
        <f t="shared" si="105"/>
        <v>#NUM!</v>
      </c>
      <c r="BG2254" t="e">
        <f t="shared" si="106"/>
        <v>#NUM!</v>
      </c>
      <c r="BH2254" t="e">
        <f t="shared" si="107"/>
        <v>#NUM!</v>
      </c>
      <c r="BI2254" t="e">
        <f>VLOOKUP(H2254,Sheet2!$A$1:$B$270,2,FALSE)</f>
        <v>#N/A</v>
      </c>
    </row>
    <row r="2255" spans="15:61" hidden="1">
      <c r="O2255" s="57"/>
      <c r="P2255" s="57"/>
      <c r="AP2255" s="57"/>
      <c r="BA2255" s="57"/>
      <c r="BF2255" s="6" t="e">
        <f t="shared" si="105"/>
        <v>#NUM!</v>
      </c>
      <c r="BG2255" t="e">
        <f t="shared" si="106"/>
        <v>#NUM!</v>
      </c>
      <c r="BH2255" t="e">
        <f t="shared" si="107"/>
        <v>#NUM!</v>
      </c>
      <c r="BI2255" t="e">
        <f>VLOOKUP(H2255,Sheet2!$A$1:$B$270,2,FALSE)</f>
        <v>#N/A</v>
      </c>
    </row>
    <row r="2256" spans="15:61" hidden="1">
      <c r="O2256" s="57"/>
      <c r="P2256" s="57"/>
      <c r="AO2256" s="57"/>
      <c r="AP2256" s="57"/>
      <c r="BA2256" s="57"/>
      <c r="BF2256" s="6" t="e">
        <f t="shared" si="105"/>
        <v>#NUM!</v>
      </c>
      <c r="BG2256" t="e">
        <f t="shared" si="106"/>
        <v>#NUM!</v>
      </c>
      <c r="BH2256" t="e">
        <f t="shared" si="107"/>
        <v>#NUM!</v>
      </c>
      <c r="BI2256" t="e">
        <f>VLOOKUP(H2256,Sheet2!$A$1:$B$270,2,FALSE)</f>
        <v>#N/A</v>
      </c>
    </row>
    <row r="2257" spans="15:61" hidden="1">
      <c r="O2257" s="57"/>
      <c r="P2257" s="57"/>
      <c r="AO2257" s="57"/>
      <c r="BA2257" s="57"/>
      <c r="BF2257" s="6" t="e">
        <f t="shared" si="105"/>
        <v>#NUM!</v>
      </c>
      <c r="BG2257" t="e">
        <f t="shared" si="106"/>
        <v>#NUM!</v>
      </c>
      <c r="BH2257" t="e">
        <f t="shared" si="107"/>
        <v>#NUM!</v>
      </c>
      <c r="BI2257" t="e">
        <f>VLOOKUP(H2257,Sheet2!$A$1:$B$270,2,FALSE)</f>
        <v>#N/A</v>
      </c>
    </row>
    <row r="2258" spans="15:61" hidden="1">
      <c r="O2258" s="57"/>
      <c r="P2258" s="57"/>
      <c r="AO2258" s="57"/>
      <c r="AP2258" s="57"/>
      <c r="BA2258" s="57"/>
      <c r="BF2258" s="6" t="e">
        <f t="shared" si="105"/>
        <v>#NUM!</v>
      </c>
      <c r="BG2258" t="e">
        <f t="shared" si="106"/>
        <v>#NUM!</v>
      </c>
      <c r="BH2258" t="e">
        <f t="shared" si="107"/>
        <v>#NUM!</v>
      </c>
      <c r="BI2258" t="e">
        <f>VLOOKUP(H2258,Sheet2!$A$1:$B$270,2,FALSE)</f>
        <v>#N/A</v>
      </c>
    </row>
    <row r="2259" spans="15:61" hidden="1">
      <c r="O2259" s="57"/>
      <c r="P2259" s="57"/>
      <c r="AP2259" s="57"/>
      <c r="BA2259" s="57"/>
      <c r="BF2259" s="6" t="e">
        <f t="shared" si="105"/>
        <v>#NUM!</v>
      </c>
      <c r="BG2259" t="e">
        <f t="shared" si="106"/>
        <v>#NUM!</v>
      </c>
      <c r="BH2259" t="e">
        <f t="shared" si="107"/>
        <v>#NUM!</v>
      </c>
      <c r="BI2259" t="e">
        <f>VLOOKUP(H2259,Sheet2!$A$1:$B$270,2,FALSE)</f>
        <v>#N/A</v>
      </c>
    </row>
    <row r="2260" spans="15:61" hidden="1">
      <c r="O2260" s="57"/>
      <c r="P2260" s="57"/>
      <c r="AP2260" s="57"/>
      <c r="BA2260" s="57"/>
      <c r="BF2260" s="6" t="e">
        <f t="shared" si="105"/>
        <v>#NUM!</v>
      </c>
      <c r="BG2260" t="e">
        <f t="shared" si="106"/>
        <v>#NUM!</v>
      </c>
      <c r="BH2260" t="e">
        <f t="shared" si="107"/>
        <v>#NUM!</v>
      </c>
      <c r="BI2260" t="e">
        <f>VLOOKUP(H2260,Sheet2!$A$1:$B$270,2,FALSE)</f>
        <v>#N/A</v>
      </c>
    </row>
    <row r="2261" spans="15:61" hidden="1">
      <c r="O2261" s="57"/>
      <c r="P2261" s="57"/>
      <c r="AP2261" s="57"/>
      <c r="BA2261" s="57"/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e">
        <f>VLOOKUP(H2261,Sheet2!$A$1:$B$270,2,FALSE)</f>
        <v>#N/A</v>
      </c>
    </row>
    <row r="2262" spans="15:61" hidden="1">
      <c r="O2262" s="57"/>
      <c r="P2262" s="57"/>
      <c r="AP2262" s="57"/>
      <c r="BA2262" s="57"/>
      <c r="BF2262" s="6" t="e">
        <f t="shared" si="105"/>
        <v>#NUM!</v>
      </c>
      <c r="BG2262" t="e">
        <f t="shared" si="106"/>
        <v>#NUM!</v>
      </c>
      <c r="BH2262" t="e">
        <f t="shared" si="107"/>
        <v>#NUM!</v>
      </c>
      <c r="BI2262" t="e">
        <f>VLOOKUP(H2262,Sheet2!$A$1:$B$270,2,FALSE)</f>
        <v>#N/A</v>
      </c>
    </row>
    <row r="2263" spans="15:61" hidden="1">
      <c r="O2263" s="57"/>
      <c r="P2263" s="57"/>
      <c r="AP2263" s="57"/>
      <c r="BA2263" s="57"/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e">
        <f>VLOOKUP(H2263,Sheet2!$A$1:$B$270,2,FALSE)</f>
        <v>#N/A</v>
      </c>
    </row>
    <row r="2264" spans="15:61" hidden="1">
      <c r="O2264" s="57"/>
      <c r="P2264" s="57"/>
      <c r="AP2264" s="57"/>
      <c r="BA2264" s="57"/>
      <c r="BF2264" s="6" t="e">
        <f t="shared" si="105"/>
        <v>#NUM!</v>
      </c>
      <c r="BG2264" t="e">
        <f t="shared" si="106"/>
        <v>#NUM!</v>
      </c>
      <c r="BH2264" t="e">
        <f t="shared" si="107"/>
        <v>#NUM!</v>
      </c>
      <c r="BI2264" t="e">
        <f>VLOOKUP(H2264,Sheet2!$A$1:$B$270,2,FALSE)</f>
        <v>#N/A</v>
      </c>
    </row>
    <row r="2265" spans="15:61" hidden="1">
      <c r="O2265" s="57"/>
      <c r="P2265" s="57"/>
      <c r="AP2265" s="57"/>
      <c r="BA2265" s="57"/>
      <c r="BF2265" s="6" t="e">
        <f t="shared" si="105"/>
        <v>#NUM!</v>
      </c>
      <c r="BG2265" t="e">
        <f t="shared" si="106"/>
        <v>#NUM!</v>
      </c>
      <c r="BH2265" t="e">
        <f t="shared" si="107"/>
        <v>#NUM!</v>
      </c>
      <c r="BI2265" t="e">
        <f>VLOOKUP(H2265,Sheet2!$A$1:$B$270,2,FALSE)</f>
        <v>#N/A</v>
      </c>
    </row>
    <row r="2266" spans="15:61" hidden="1">
      <c r="O2266" s="57"/>
      <c r="P2266" s="57"/>
      <c r="AP2266" s="57"/>
      <c r="BA2266" s="57"/>
      <c r="BF2266" s="6" t="e">
        <f t="shared" si="105"/>
        <v>#NUM!</v>
      </c>
      <c r="BG2266" t="e">
        <f t="shared" si="106"/>
        <v>#NUM!</v>
      </c>
      <c r="BH2266" t="e">
        <f t="shared" si="107"/>
        <v>#NUM!</v>
      </c>
      <c r="BI2266" t="e">
        <f>VLOOKUP(H2266,Sheet2!$A$1:$B$270,2,FALSE)</f>
        <v>#N/A</v>
      </c>
    </row>
    <row r="2267" spans="15:61" hidden="1">
      <c r="O2267" s="57"/>
      <c r="P2267" s="57"/>
      <c r="AP2267" s="57"/>
      <c r="BA2267" s="57"/>
      <c r="BF2267" s="6" t="e">
        <f t="shared" si="105"/>
        <v>#NUM!</v>
      </c>
      <c r="BG2267" t="e">
        <f t="shared" si="106"/>
        <v>#NUM!</v>
      </c>
      <c r="BH2267" t="e">
        <f t="shared" si="107"/>
        <v>#NUM!</v>
      </c>
      <c r="BI2267" t="e">
        <f>VLOOKUP(H2267,Sheet2!$A$1:$B$270,2,FALSE)</f>
        <v>#N/A</v>
      </c>
    </row>
    <row r="2268" spans="15:61" hidden="1">
      <c r="O2268" s="57"/>
      <c r="P2268" s="57"/>
      <c r="AP2268" s="57"/>
      <c r="BA2268" s="57"/>
      <c r="BF2268" s="6" t="e">
        <f t="shared" si="105"/>
        <v>#NUM!</v>
      </c>
      <c r="BG2268" t="e">
        <f t="shared" si="106"/>
        <v>#NUM!</v>
      </c>
      <c r="BH2268" t="e">
        <f t="shared" si="107"/>
        <v>#NUM!</v>
      </c>
      <c r="BI2268" t="e">
        <f>VLOOKUP(H2268,Sheet2!$A$1:$B$270,2,FALSE)</f>
        <v>#N/A</v>
      </c>
    </row>
    <row r="2269" spans="15:61" hidden="1">
      <c r="O2269" s="57"/>
      <c r="P2269" s="57"/>
      <c r="AP2269" s="57"/>
      <c r="BA2269" s="57"/>
      <c r="BF2269" s="6" t="e">
        <f t="shared" si="105"/>
        <v>#NUM!</v>
      </c>
      <c r="BG2269" t="e">
        <f t="shared" si="106"/>
        <v>#NUM!</v>
      </c>
      <c r="BH2269" t="e">
        <f t="shared" si="107"/>
        <v>#NUM!</v>
      </c>
      <c r="BI2269" t="e">
        <f>VLOOKUP(H2269,Sheet2!$A$1:$B$270,2,FALSE)</f>
        <v>#N/A</v>
      </c>
    </row>
    <row r="2270" spans="15:61" hidden="1">
      <c r="O2270" s="57"/>
      <c r="P2270" s="57"/>
      <c r="AP2270" s="57"/>
      <c r="BA2270" s="57"/>
      <c r="BF2270" s="6" t="e">
        <f t="shared" si="105"/>
        <v>#NUM!</v>
      </c>
      <c r="BG2270" t="e">
        <f t="shared" si="106"/>
        <v>#NUM!</v>
      </c>
      <c r="BH2270" t="e">
        <f t="shared" si="107"/>
        <v>#NUM!</v>
      </c>
      <c r="BI2270" t="e">
        <f>VLOOKUP(H2270,Sheet2!$A$1:$B$270,2,FALSE)</f>
        <v>#N/A</v>
      </c>
    </row>
    <row r="2271" spans="15:61" hidden="1">
      <c r="O2271" s="57"/>
      <c r="P2271" s="57"/>
      <c r="AP2271" s="57"/>
      <c r="BA2271" s="57"/>
      <c r="BF2271" s="6" t="e">
        <f t="shared" si="105"/>
        <v>#NUM!</v>
      </c>
      <c r="BG2271" t="e">
        <f t="shared" si="106"/>
        <v>#NUM!</v>
      </c>
      <c r="BH2271" t="e">
        <f t="shared" si="107"/>
        <v>#NUM!</v>
      </c>
      <c r="BI2271" t="e">
        <f>VLOOKUP(H2271,Sheet2!$A$1:$B$270,2,FALSE)</f>
        <v>#N/A</v>
      </c>
    </row>
    <row r="2272" spans="15:61" hidden="1">
      <c r="O2272" s="57"/>
      <c r="P2272" s="57"/>
      <c r="AP2272" s="57"/>
      <c r="BA2272" s="57"/>
      <c r="BF2272" s="6" t="e">
        <f t="shared" si="105"/>
        <v>#NUM!</v>
      </c>
      <c r="BG2272" t="e">
        <f t="shared" si="106"/>
        <v>#NUM!</v>
      </c>
      <c r="BH2272" t="e">
        <f t="shared" si="107"/>
        <v>#NUM!</v>
      </c>
      <c r="BI2272" t="e">
        <f>VLOOKUP(H2272,Sheet2!$A$1:$B$270,2,FALSE)</f>
        <v>#N/A</v>
      </c>
    </row>
    <row r="2273" spans="15:61" hidden="1">
      <c r="O2273" s="57"/>
      <c r="P2273" s="57"/>
      <c r="AP2273" s="57"/>
      <c r="BA2273" s="57"/>
      <c r="BF2273" s="6" t="e">
        <f t="shared" si="105"/>
        <v>#NUM!</v>
      </c>
      <c r="BG2273" t="e">
        <f t="shared" si="106"/>
        <v>#NUM!</v>
      </c>
      <c r="BH2273" t="e">
        <f t="shared" si="107"/>
        <v>#NUM!</v>
      </c>
      <c r="BI2273" t="e">
        <f>VLOOKUP(H2273,Sheet2!$A$1:$B$270,2,FALSE)</f>
        <v>#N/A</v>
      </c>
    </row>
    <row r="2274" spans="15:61" hidden="1">
      <c r="O2274" s="57"/>
      <c r="P2274" s="57"/>
      <c r="AP2274" s="57"/>
      <c r="BA2274" s="57"/>
      <c r="BF2274" s="6" t="e">
        <f t="shared" si="105"/>
        <v>#NUM!</v>
      </c>
      <c r="BG2274" t="e">
        <f t="shared" si="106"/>
        <v>#NUM!</v>
      </c>
      <c r="BH2274" t="e">
        <f t="shared" si="107"/>
        <v>#NUM!</v>
      </c>
      <c r="BI2274" t="e">
        <f>VLOOKUP(H2274,Sheet2!$A$1:$B$270,2,FALSE)</f>
        <v>#N/A</v>
      </c>
    </row>
    <row r="2275" spans="15:61" hidden="1">
      <c r="O2275" s="57"/>
      <c r="P2275" s="57"/>
      <c r="AP2275" s="57"/>
      <c r="BA2275" s="57"/>
      <c r="BF2275" s="6" t="e">
        <f t="shared" si="105"/>
        <v>#NUM!</v>
      </c>
      <c r="BG2275" t="e">
        <f t="shared" si="106"/>
        <v>#NUM!</v>
      </c>
      <c r="BH2275" t="e">
        <f t="shared" si="107"/>
        <v>#NUM!</v>
      </c>
      <c r="BI2275" t="e">
        <f>VLOOKUP(H2275,Sheet2!$A$1:$B$270,2,FALSE)</f>
        <v>#N/A</v>
      </c>
    </row>
    <row r="2276" spans="15:61" hidden="1">
      <c r="O2276" s="57"/>
      <c r="P2276" s="57"/>
      <c r="AP2276" s="57"/>
      <c r="BA2276" s="57"/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e">
        <f>VLOOKUP(H2276,Sheet2!$A$1:$B$270,2,FALSE)</f>
        <v>#N/A</v>
      </c>
    </row>
    <row r="2277" spans="15:61" hidden="1">
      <c r="O2277" s="57"/>
      <c r="P2277" s="57"/>
      <c r="AP2277" s="57"/>
      <c r="BA2277" s="57"/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e">
        <f>VLOOKUP(H2277,Sheet2!$A$1:$B$270,2,FALSE)</f>
        <v>#N/A</v>
      </c>
    </row>
    <row r="2278" spans="15:61" hidden="1">
      <c r="O2278" s="57"/>
      <c r="P2278" s="57"/>
      <c r="AP2278" s="57"/>
      <c r="BA2278" s="57"/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e">
        <f>VLOOKUP(H2278,Sheet2!$A$1:$B$270,2,FALSE)</f>
        <v>#N/A</v>
      </c>
    </row>
    <row r="2279" spans="15:61" hidden="1">
      <c r="O2279" s="57"/>
      <c r="P2279" s="57"/>
      <c r="AP2279" s="57"/>
      <c r="BA2279" s="57"/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e">
        <f>VLOOKUP(H2279,Sheet2!$A$1:$B$270,2,FALSE)</f>
        <v>#N/A</v>
      </c>
    </row>
    <row r="2280" spans="15:61" hidden="1">
      <c r="O2280" s="57"/>
      <c r="P2280" s="57"/>
      <c r="AO2280" s="57"/>
      <c r="AP2280" s="57"/>
      <c r="BA2280" s="57"/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e">
        <f>VLOOKUP(H2280,Sheet2!$A$1:$B$270,2,FALSE)</f>
        <v>#N/A</v>
      </c>
    </row>
    <row r="2281" spans="15:61" hidden="1">
      <c r="O2281" s="57"/>
      <c r="P2281" s="57"/>
      <c r="AP2281" s="57"/>
      <c r="BA2281" s="57"/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e">
        <f>VLOOKUP(H2281,Sheet2!$A$1:$B$270,2,FALSE)</f>
        <v>#N/A</v>
      </c>
    </row>
    <row r="2282" spans="15:61" hidden="1">
      <c r="O2282" s="57"/>
      <c r="P2282" s="57"/>
      <c r="AP2282" s="57"/>
      <c r="BA2282" s="57"/>
      <c r="BF2282" s="6" t="e">
        <f t="shared" si="105"/>
        <v>#NUM!</v>
      </c>
      <c r="BG2282" t="e">
        <f t="shared" si="106"/>
        <v>#NUM!</v>
      </c>
      <c r="BH2282" t="e">
        <f t="shared" si="107"/>
        <v>#NUM!</v>
      </c>
      <c r="BI2282" t="e">
        <f>VLOOKUP(H2282,Sheet2!$A$1:$B$270,2,FALSE)</f>
        <v>#N/A</v>
      </c>
    </row>
    <row r="2283" spans="15:61" hidden="1">
      <c r="O2283" s="57"/>
      <c r="P2283" s="57"/>
      <c r="BA2283" s="57"/>
      <c r="BF2283" s="6" t="e">
        <f t="shared" si="105"/>
        <v>#NUM!</v>
      </c>
      <c r="BG2283" t="e">
        <f t="shared" si="106"/>
        <v>#NUM!</v>
      </c>
      <c r="BH2283" t="e">
        <f t="shared" si="107"/>
        <v>#NUM!</v>
      </c>
      <c r="BI2283" t="e">
        <f>VLOOKUP(H2283,Sheet2!$A$1:$B$270,2,FALSE)</f>
        <v>#N/A</v>
      </c>
    </row>
    <row r="2284" spans="15:61" hidden="1">
      <c r="O2284" s="57"/>
      <c r="P2284" s="57"/>
      <c r="AP2284" s="57"/>
      <c r="BA2284" s="57"/>
      <c r="BF2284" s="6" t="e">
        <f t="shared" si="105"/>
        <v>#NUM!</v>
      </c>
      <c r="BG2284" t="e">
        <f t="shared" si="106"/>
        <v>#NUM!</v>
      </c>
      <c r="BH2284" t="e">
        <f t="shared" si="107"/>
        <v>#NUM!</v>
      </c>
      <c r="BI2284" t="e">
        <f>VLOOKUP(H2284,Sheet2!$A$1:$B$270,2,FALSE)</f>
        <v>#N/A</v>
      </c>
    </row>
    <row r="2285" spans="15:61" hidden="1">
      <c r="O2285" s="57"/>
      <c r="P2285" s="57"/>
      <c r="AP2285" s="57"/>
      <c r="BA2285" s="57"/>
      <c r="BF2285" s="6" t="e">
        <f t="shared" si="105"/>
        <v>#NUM!</v>
      </c>
      <c r="BG2285" t="e">
        <f t="shared" si="106"/>
        <v>#NUM!</v>
      </c>
      <c r="BH2285" t="e">
        <f t="shared" si="107"/>
        <v>#NUM!</v>
      </c>
      <c r="BI2285" t="e">
        <f>VLOOKUP(H2285,Sheet2!$A$1:$B$270,2,FALSE)</f>
        <v>#N/A</v>
      </c>
    </row>
    <row r="2286" spans="15:61" hidden="1">
      <c r="O2286" s="57"/>
      <c r="P2286" s="57"/>
      <c r="BA2286" s="57"/>
      <c r="BF2286" s="6" t="e">
        <f t="shared" si="105"/>
        <v>#NUM!</v>
      </c>
      <c r="BG2286" t="e">
        <f t="shared" si="106"/>
        <v>#NUM!</v>
      </c>
      <c r="BH2286" t="e">
        <f t="shared" si="107"/>
        <v>#NUM!</v>
      </c>
      <c r="BI2286" t="e">
        <f>VLOOKUP(H2286,Sheet2!$A$1:$B$270,2,FALSE)</f>
        <v>#N/A</v>
      </c>
    </row>
    <row r="2287" spans="15:61" hidden="1">
      <c r="O2287" s="57"/>
      <c r="P2287" s="57"/>
      <c r="AP2287" s="57"/>
      <c r="BA2287" s="57"/>
      <c r="BF2287" s="6" t="e">
        <f t="shared" si="105"/>
        <v>#NUM!</v>
      </c>
      <c r="BG2287" t="e">
        <f t="shared" si="106"/>
        <v>#NUM!</v>
      </c>
      <c r="BH2287" t="e">
        <f t="shared" si="107"/>
        <v>#NUM!</v>
      </c>
      <c r="BI2287" t="e">
        <f>VLOOKUP(H2287,Sheet2!$A$1:$B$270,2,FALSE)</f>
        <v>#N/A</v>
      </c>
    </row>
    <row r="2288" spans="15:61" hidden="1">
      <c r="O2288" s="57"/>
      <c r="P2288" s="57"/>
      <c r="AP2288" s="57"/>
      <c r="BA2288" s="57"/>
      <c r="BF2288" s="6" t="e">
        <f t="shared" si="105"/>
        <v>#NUM!</v>
      </c>
      <c r="BG2288" t="e">
        <f t="shared" si="106"/>
        <v>#NUM!</v>
      </c>
      <c r="BH2288" t="e">
        <f t="shared" si="107"/>
        <v>#NUM!</v>
      </c>
      <c r="BI2288" t="e">
        <f>VLOOKUP(H2288,Sheet2!$A$1:$B$270,2,FALSE)</f>
        <v>#N/A</v>
      </c>
    </row>
    <row r="2289" spans="15:61" hidden="1">
      <c r="O2289" s="57"/>
      <c r="P2289" s="57"/>
      <c r="AP2289" s="57"/>
      <c r="BA2289" s="57"/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e">
        <f>VLOOKUP(H2289,Sheet2!$A$1:$B$270,2,FALSE)</f>
        <v>#N/A</v>
      </c>
    </row>
    <row r="2290" spans="15:61" hidden="1">
      <c r="O2290" s="57"/>
      <c r="P2290" s="57"/>
      <c r="AP2290" s="57"/>
      <c r="BA2290" s="57"/>
      <c r="BF2290" s="6" t="e">
        <f t="shared" si="105"/>
        <v>#NUM!</v>
      </c>
      <c r="BG2290" t="e">
        <f t="shared" si="106"/>
        <v>#NUM!</v>
      </c>
      <c r="BH2290" t="e">
        <f t="shared" si="107"/>
        <v>#NUM!</v>
      </c>
      <c r="BI2290" t="e">
        <f>VLOOKUP(H2290,Sheet2!$A$1:$B$270,2,FALSE)</f>
        <v>#N/A</v>
      </c>
    </row>
    <row r="2291" spans="15:61" hidden="1">
      <c r="O2291" s="57"/>
      <c r="P2291" s="57"/>
      <c r="AO2291" s="57"/>
      <c r="AP2291" s="57"/>
      <c r="BA2291" s="57"/>
      <c r="BF2291" s="6" t="e">
        <f t="shared" si="105"/>
        <v>#NUM!</v>
      </c>
      <c r="BG2291" t="e">
        <f t="shared" si="106"/>
        <v>#NUM!</v>
      </c>
      <c r="BH2291" t="e">
        <f t="shared" si="107"/>
        <v>#NUM!</v>
      </c>
      <c r="BI2291" t="e">
        <f>VLOOKUP(H2291,Sheet2!$A$1:$B$270,2,FALSE)</f>
        <v>#N/A</v>
      </c>
    </row>
    <row r="2292" spans="15:61" hidden="1">
      <c r="O2292" s="57"/>
      <c r="P2292" s="57"/>
      <c r="AO2292" s="57"/>
      <c r="AP2292" s="57"/>
      <c r="BA2292" s="57"/>
      <c r="BF2292" s="6" t="e">
        <f t="shared" si="105"/>
        <v>#NUM!</v>
      </c>
      <c r="BG2292" t="e">
        <f t="shared" si="106"/>
        <v>#NUM!</v>
      </c>
      <c r="BH2292" t="e">
        <f t="shared" si="107"/>
        <v>#NUM!</v>
      </c>
      <c r="BI2292" t="e">
        <f>VLOOKUP(H2292,Sheet2!$A$1:$B$270,2,FALSE)</f>
        <v>#N/A</v>
      </c>
    </row>
    <row r="2293" spans="15:61" hidden="1">
      <c r="O2293" s="57"/>
      <c r="P2293" s="57"/>
      <c r="AP2293" s="57"/>
      <c r="BA2293" s="57"/>
      <c r="BF2293" s="6" t="e">
        <f t="shared" si="105"/>
        <v>#NUM!</v>
      </c>
      <c r="BG2293" t="e">
        <f t="shared" si="106"/>
        <v>#NUM!</v>
      </c>
      <c r="BH2293" t="e">
        <f t="shared" si="107"/>
        <v>#NUM!</v>
      </c>
      <c r="BI2293" t="e">
        <f>VLOOKUP(H2293,Sheet2!$A$1:$B$270,2,FALSE)</f>
        <v>#N/A</v>
      </c>
    </row>
    <row r="2294" spans="15:61" hidden="1">
      <c r="O2294" s="57"/>
      <c r="P2294" s="57"/>
      <c r="AP2294" s="57"/>
      <c r="BA2294" s="57"/>
      <c r="BF2294" s="6" t="e">
        <f t="shared" si="105"/>
        <v>#NUM!</v>
      </c>
      <c r="BG2294" t="e">
        <f t="shared" si="106"/>
        <v>#NUM!</v>
      </c>
      <c r="BH2294" t="e">
        <f t="shared" si="107"/>
        <v>#NUM!</v>
      </c>
      <c r="BI2294" t="e">
        <f>VLOOKUP(H2294,Sheet2!$A$1:$B$270,2,FALSE)</f>
        <v>#N/A</v>
      </c>
    </row>
    <row r="2295" spans="15:61" hidden="1">
      <c r="O2295" s="57"/>
      <c r="P2295" s="57"/>
      <c r="AP2295" s="57"/>
      <c r="BA2295" s="57"/>
      <c r="BF2295" s="6" t="e">
        <f t="shared" si="105"/>
        <v>#NUM!</v>
      </c>
      <c r="BG2295" t="e">
        <f t="shared" si="106"/>
        <v>#NUM!</v>
      </c>
      <c r="BH2295" t="e">
        <f t="shared" si="107"/>
        <v>#NUM!</v>
      </c>
      <c r="BI2295" t="e">
        <f>VLOOKUP(H2295,Sheet2!$A$1:$B$270,2,FALSE)</f>
        <v>#N/A</v>
      </c>
    </row>
    <row r="2296" spans="15:61" hidden="1">
      <c r="O2296" s="57"/>
      <c r="P2296" s="57"/>
      <c r="AP2296" s="57"/>
      <c r="BA2296" s="57"/>
      <c r="BF2296" s="6" t="e">
        <f t="shared" si="105"/>
        <v>#NUM!</v>
      </c>
      <c r="BG2296" t="e">
        <f t="shared" si="106"/>
        <v>#NUM!</v>
      </c>
      <c r="BH2296" t="e">
        <f t="shared" si="107"/>
        <v>#NUM!</v>
      </c>
      <c r="BI2296" t="e">
        <f>VLOOKUP(H2296,Sheet2!$A$1:$B$270,2,FALSE)</f>
        <v>#N/A</v>
      </c>
    </row>
    <row r="2297" spans="15:61" hidden="1">
      <c r="O2297" s="57"/>
      <c r="P2297" s="57"/>
      <c r="AO2297" s="57"/>
      <c r="AP2297" s="57"/>
      <c r="BA2297" s="57"/>
      <c r="BF2297" s="6" t="e">
        <f t="shared" si="105"/>
        <v>#NUM!</v>
      </c>
      <c r="BG2297" t="e">
        <f t="shared" si="106"/>
        <v>#NUM!</v>
      </c>
      <c r="BH2297" t="e">
        <f t="shared" si="107"/>
        <v>#NUM!</v>
      </c>
      <c r="BI2297" t="e">
        <f>VLOOKUP(H2297,Sheet2!$A$1:$B$270,2,FALSE)</f>
        <v>#N/A</v>
      </c>
    </row>
    <row r="2298" spans="15:61" hidden="1">
      <c r="O2298" s="57"/>
      <c r="P2298" s="57"/>
      <c r="AO2298" s="57"/>
      <c r="AP2298" s="57"/>
      <c r="BA2298" s="57"/>
      <c r="BF2298" s="6" t="e">
        <f t="shared" si="105"/>
        <v>#NUM!</v>
      </c>
      <c r="BG2298" t="e">
        <f t="shared" si="106"/>
        <v>#NUM!</v>
      </c>
      <c r="BH2298" t="e">
        <f t="shared" si="107"/>
        <v>#NUM!</v>
      </c>
      <c r="BI2298" t="e">
        <f>VLOOKUP(H2298,Sheet2!$A$1:$B$270,2,FALSE)</f>
        <v>#N/A</v>
      </c>
    </row>
    <row r="2299" spans="15:61" hidden="1">
      <c r="O2299" s="57"/>
      <c r="P2299" s="57"/>
      <c r="AP2299" s="57"/>
      <c r="BA2299" s="57"/>
      <c r="BF2299" s="6" t="e">
        <f t="shared" si="105"/>
        <v>#NUM!</v>
      </c>
      <c r="BG2299" t="e">
        <f t="shared" si="106"/>
        <v>#NUM!</v>
      </c>
      <c r="BH2299" t="e">
        <f t="shared" si="107"/>
        <v>#NUM!</v>
      </c>
      <c r="BI2299" t="e">
        <f>VLOOKUP(H2299,Sheet2!$A$1:$B$270,2,FALSE)</f>
        <v>#N/A</v>
      </c>
    </row>
    <row r="2300" spans="15:61" hidden="1">
      <c r="O2300" s="57"/>
      <c r="P2300" s="57"/>
      <c r="AP2300" s="57"/>
      <c r="BA2300" s="57"/>
      <c r="BF2300" s="6" t="e">
        <f t="shared" si="105"/>
        <v>#NUM!</v>
      </c>
      <c r="BG2300" t="e">
        <f t="shared" si="106"/>
        <v>#NUM!</v>
      </c>
      <c r="BH2300" t="e">
        <f t="shared" si="107"/>
        <v>#NUM!</v>
      </c>
      <c r="BI2300" t="e">
        <f>VLOOKUP(H2300,Sheet2!$A$1:$B$270,2,FALSE)</f>
        <v>#N/A</v>
      </c>
    </row>
    <row r="2301" spans="15:61" hidden="1">
      <c r="O2301" s="57"/>
      <c r="P2301" s="57"/>
      <c r="AP2301" s="57"/>
      <c r="BA2301" s="57"/>
      <c r="BF2301" s="6" t="e">
        <f t="shared" si="105"/>
        <v>#NUM!</v>
      </c>
      <c r="BG2301" t="e">
        <f t="shared" si="106"/>
        <v>#NUM!</v>
      </c>
      <c r="BH2301" t="e">
        <f t="shared" si="107"/>
        <v>#NUM!</v>
      </c>
      <c r="BI2301" t="e">
        <f>VLOOKUP(H2301,Sheet2!$A$1:$B$270,2,FALSE)</f>
        <v>#N/A</v>
      </c>
    </row>
    <row r="2302" spans="15:61" hidden="1">
      <c r="O2302" s="57"/>
      <c r="P2302" s="57"/>
      <c r="AP2302" s="57"/>
      <c r="BA2302" s="57"/>
      <c r="BF2302" s="6" t="e">
        <f t="shared" si="105"/>
        <v>#NUM!</v>
      </c>
      <c r="BG2302" t="e">
        <f t="shared" si="106"/>
        <v>#NUM!</v>
      </c>
      <c r="BH2302" t="e">
        <f t="shared" si="107"/>
        <v>#NUM!</v>
      </c>
      <c r="BI2302" t="e">
        <f>VLOOKUP(H2302,Sheet2!$A$1:$B$270,2,FALSE)</f>
        <v>#N/A</v>
      </c>
    </row>
    <row r="2303" spans="15:61" hidden="1">
      <c r="O2303" s="57"/>
      <c r="P2303" s="57"/>
      <c r="AM2303" s="58"/>
      <c r="BA2303" s="57"/>
      <c r="BB2303" s="58"/>
      <c r="BF2303" s="6" t="e">
        <f t="shared" si="105"/>
        <v>#NUM!</v>
      </c>
      <c r="BG2303" t="e">
        <f t="shared" si="106"/>
        <v>#NUM!</v>
      </c>
      <c r="BH2303" t="e">
        <f t="shared" si="107"/>
        <v>#NUM!</v>
      </c>
      <c r="BI2303" t="e">
        <f>VLOOKUP(H2303,Sheet2!$A$1:$B$270,2,FALSE)</f>
        <v>#N/A</v>
      </c>
    </row>
    <row r="2304" spans="15:61" hidden="1">
      <c r="O2304" s="57"/>
      <c r="P2304" s="57"/>
      <c r="AO2304" s="57"/>
      <c r="AP2304" s="57"/>
      <c r="BA2304" s="57"/>
      <c r="BF2304" s="6" t="e">
        <f t="shared" si="105"/>
        <v>#NUM!</v>
      </c>
      <c r="BG2304" t="e">
        <f t="shared" si="106"/>
        <v>#NUM!</v>
      </c>
      <c r="BH2304" t="e">
        <f t="shared" si="107"/>
        <v>#NUM!</v>
      </c>
      <c r="BI2304" t="e">
        <f>VLOOKUP(H2304,Sheet2!$A$1:$B$270,2,FALSE)</f>
        <v>#N/A</v>
      </c>
    </row>
    <row r="2305" spans="15:61" hidden="1">
      <c r="O2305" s="57"/>
      <c r="P2305" s="57"/>
      <c r="AP2305" s="57"/>
      <c r="BA2305" s="57"/>
      <c r="BF2305" s="6" t="e">
        <f t="shared" si="105"/>
        <v>#NUM!</v>
      </c>
      <c r="BG2305" t="e">
        <f t="shared" si="106"/>
        <v>#NUM!</v>
      </c>
      <c r="BH2305" t="e">
        <f t="shared" si="107"/>
        <v>#NUM!</v>
      </c>
      <c r="BI2305" t="e">
        <f>VLOOKUP(H2305,Sheet2!$A$1:$B$270,2,FALSE)</f>
        <v>#N/A</v>
      </c>
    </row>
    <row r="2306" spans="15:61" hidden="1">
      <c r="O2306" s="57"/>
      <c r="P2306" s="57"/>
      <c r="AO2306" s="57"/>
      <c r="AP2306" s="57"/>
      <c r="BA2306" s="57"/>
      <c r="BF2306" s="6" t="e">
        <f t="shared" ref="BF2306:BF2369" si="108">DATE(BC2306,BD2306,BE2306)</f>
        <v>#NUM!</v>
      </c>
      <c r="BG2306" t="e">
        <f t="shared" ref="BG2306:BG2369" si="109">BF2306-BA2306</f>
        <v>#NUM!</v>
      </c>
      <c r="BH2306" t="e">
        <f t="shared" ref="BH2306:BH2369" si="110">IF(BG2306=1,"COMPLY",IF(BG2306&lt;1,"COMPLY","NOT COMPLY"))</f>
        <v>#NUM!</v>
      </c>
      <c r="BI2306" t="e">
        <f>VLOOKUP(H2306,Sheet2!$A$1:$B$270,2,FALSE)</f>
        <v>#N/A</v>
      </c>
    </row>
    <row r="2307" spans="15:61" hidden="1">
      <c r="O2307" s="57"/>
      <c r="P2307" s="57"/>
      <c r="AO2307" s="57"/>
      <c r="AP2307" s="57"/>
      <c r="BA2307" s="57"/>
      <c r="BF2307" s="6" t="e">
        <f t="shared" si="108"/>
        <v>#NUM!</v>
      </c>
      <c r="BG2307" t="e">
        <f t="shared" si="109"/>
        <v>#NUM!</v>
      </c>
      <c r="BH2307" t="e">
        <f t="shared" si="110"/>
        <v>#NUM!</v>
      </c>
      <c r="BI2307" t="e">
        <f>VLOOKUP(H2307,Sheet2!$A$1:$B$270,2,FALSE)</f>
        <v>#N/A</v>
      </c>
    </row>
    <row r="2308" spans="15:61" hidden="1">
      <c r="O2308" s="57"/>
      <c r="P2308" s="57"/>
      <c r="AO2308" s="57"/>
      <c r="AP2308" s="57"/>
      <c r="BA2308" s="57"/>
      <c r="BF2308" s="6" t="e">
        <f t="shared" si="108"/>
        <v>#NUM!</v>
      </c>
      <c r="BG2308" t="e">
        <f t="shared" si="109"/>
        <v>#NUM!</v>
      </c>
      <c r="BH2308" t="e">
        <f t="shared" si="110"/>
        <v>#NUM!</v>
      </c>
      <c r="BI2308" t="e">
        <f>VLOOKUP(H2308,Sheet2!$A$1:$B$270,2,FALSE)</f>
        <v>#N/A</v>
      </c>
    </row>
    <row r="2309" spans="15:61" hidden="1">
      <c r="O2309" s="57"/>
      <c r="P2309" s="57"/>
      <c r="AP2309" s="57"/>
      <c r="BA2309" s="57"/>
      <c r="BF2309" s="6" t="e">
        <f t="shared" si="108"/>
        <v>#NUM!</v>
      </c>
      <c r="BG2309" t="e">
        <f t="shared" si="109"/>
        <v>#NUM!</v>
      </c>
      <c r="BH2309" t="e">
        <f t="shared" si="110"/>
        <v>#NUM!</v>
      </c>
      <c r="BI2309" t="e">
        <f>VLOOKUP(H2309,Sheet2!$A$1:$B$270,2,FALSE)</f>
        <v>#N/A</v>
      </c>
    </row>
    <row r="2310" spans="15:61" hidden="1">
      <c r="O2310" s="57"/>
      <c r="P2310" s="57"/>
      <c r="AP2310" s="57"/>
      <c r="BA2310" s="57"/>
      <c r="BF2310" s="6" t="e">
        <f t="shared" si="108"/>
        <v>#NUM!</v>
      </c>
      <c r="BG2310" t="e">
        <f t="shared" si="109"/>
        <v>#NUM!</v>
      </c>
      <c r="BH2310" t="e">
        <f t="shared" si="110"/>
        <v>#NUM!</v>
      </c>
      <c r="BI2310" t="e">
        <f>VLOOKUP(H2310,Sheet2!$A$1:$B$270,2,FALSE)</f>
        <v>#N/A</v>
      </c>
    </row>
    <row r="2311" spans="15:61" hidden="1">
      <c r="O2311" s="57"/>
      <c r="P2311" s="57"/>
      <c r="AP2311" s="57"/>
      <c r="BA2311" s="57"/>
      <c r="BF2311" s="6" t="e">
        <f t="shared" si="108"/>
        <v>#NUM!</v>
      </c>
      <c r="BG2311" t="e">
        <f t="shared" si="109"/>
        <v>#NUM!</v>
      </c>
      <c r="BH2311" t="e">
        <f t="shared" si="110"/>
        <v>#NUM!</v>
      </c>
      <c r="BI2311" t="e">
        <f>VLOOKUP(H2311,Sheet2!$A$1:$B$270,2,FALSE)</f>
        <v>#N/A</v>
      </c>
    </row>
    <row r="2312" spans="15:61" hidden="1">
      <c r="O2312" s="57"/>
      <c r="P2312" s="57"/>
      <c r="AP2312" s="57"/>
      <c r="BA2312" s="57"/>
      <c r="BF2312" s="6" t="e">
        <f t="shared" si="108"/>
        <v>#NUM!</v>
      </c>
      <c r="BG2312" t="e">
        <f t="shared" si="109"/>
        <v>#NUM!</v>
      </c>
      <c r="BH2312" t="e">
        <f t="shared" si="110"/>
        <v>#NUM!</v>
      </c>
      <c r="BI2312" t="e">
        <f>VLOOKUP(H2312,Sheet2!$A$1:$B$270,2,FALSE)</f>
        <v>#N/A</v>
      </c>
    </row>
    <row r="2313" spans="15:61" hidden="1">
      <c r="O2313" s="57"/>
      <c r="P2313" s="57"/>
      <c r="AP2313" s="57"/>
      <c r="BA2313" s="57"/>
      <c r="BF2313" s="6" t="e">
        <f t="shared" si="108"/>
        <v>#NUM!</v>
      </c>
      <c r="BG2313" t="e">
        <f t="shared" si="109"/>
        <v>#NUM!</v>
      </c>
      <c r="BH2313" t="e">
        <f t="shared" si="110"/>
        <v>#NUM!</v>
      </c>
      <c r="BI2313" t="e">
        <f>VLOOKUP(H2313,Sheet2!$A$1:$B$270,2,FALSE)</f>
        <v>#N/A</v>
      </c>
    </row>
    <row r="2314" spans="15:61" hidden="1">
      <c r="O2314" s="57"/>
      <c r="P2314" s="57"/>
      <c r="AP2314" s="57"/>
      <c r="BA2314" s="57"/>
      <c r="BF2314" s="6" t="e">
        <f t="shared" si="108"/>
        <v>#NUM!</v>
      </c>
      <c r="BG2314" t="e">
        <f t="shared" si="109"/>
        <v>#NUM!</v>
      </c>
      <c r="BH2314" t="e">
        <f t="shared" si="110"/>
        <v>#NUM!</v>
      </c>
      <c r="BI2314" t="e">
        <f>VLOOKUP(H2314,Sheet2!$A$1:$B$270,2,FALSE)</f>
        <v>#N/A</v>
      </c>
    </row>
    <row r="2315" spans="15:61" hidden="1">
      <c r="O2315" s="57"/>
      <c r="P2315" s="57"/>
      <c r="AP2315" s="57"/>
      <c r="BA2315" s="57"/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e">
        <f>VLOOKUP(H2315,Sheet2!$A$1:$B$270,2,FALSE)</f>
        <v>#N/A</v>
      </c>
    </row>
    <row r="2316" spans="15:61" hidden="1">
      <c r="O2316" s="57"/>
      <c r="P2316" s="57"/>
      <c r="AP2316" s="57"/>
      <c r="BA2316" s="57"/>
      <c r="BF2316" s="6" t="e">
        <f t="shared" si="108"/>
        <v>#NUM!</v>
      </c>
      <c r="BG2316" t="e">
        <f t="shared" si="109"/>
        <v>#NUM!</v>
      </c>
      <c r="BH2316" t="e">
        <f t="shared" si="110"/>
        <v>#NUM!</v>
      </c>
      <c r="BI2316" t="e">
        <f>VLOOKUP(H2316,Sheet2!$A$1:$B$270,2,FALSE)</f>
        <v>#N/A</v>
      </c>
    </row>
    <row r="2317" spans="15:61" hidden="1">
      <c r="O2317" s="57"/>
      <c r="P2317" s="57"/>
      <c r="AO2317" s="57"/>
      <c r="AP2317" s="57"/>
      <c r="BA2317" s="57"/>
      <c r="BF2317" s="6" t="e">
        <f t="shared" si="108"/>
        <v>#NUM!</v>
      </c>
      <c r="BG2317" t="e">
        <f t="shared" si="109"/>
        <v>#NUM!</v>
      </c>
      <c r="BH2317" t="e">
        <f t="shared" si="110"/>
        <v>#NUM!</v>
      </c>
      <c r="BI2317" t="e">
        <f>VLOOKUP(H2317,Sheet2!$A$1:$B$270,2,FALSE)</f>
        <v>#N/A</v>
      </c>
    </row>
    <row r="2318" spans="15:61" hidden="1">
      <c r="O2318" s="57"/>
      <c r="P2318" s="57"/>
      <c r="AO2318" s="57"/>
      <c r="AP2318" s="57"/>
      <c r="BA2318" s="57"/>
      <c r="BF2318" s="6" t="e">
        <f t="shared" si="108"/>
        <v>#NUM!</v>
      </c>
      <c r="BG2318" t="e">
        <f t="shared" si="109"/>
        <v>#NUM!</v>
      </c>
      <c r="BH2318" t="e">
        <f t="shared" si="110"/>
        <v>#NUM!</v>
      </c>
      <c r="BI2318" t="e">
        <f>VLOOKUP(H2318,Sheet2!$A$1:$B$270,2,FALSE)</f>
        <v>#N/A</v>
      </c>
    </row>
    <row r="2319" spans="15:61" hidden="1">
      <c r="O2319" s="57"/>
      <c r="P2319" s="57"/>
      <c r="AO2319" s="57"/>
      <c r="AP2319" s="57"/>
      <c r="BA2319" s="57"/>
      <c r="BF2319" s="6" t="e">
        <f t="shared" si="108"/>
        <v>#NUM!</v>
      </c>
      <c r="BG2319" t="e">
        <f t="shared" si="109"/>
        <v>#NUM!</v>
      </c>
      <c r="BH2319" t="e">
        <f t="shared" si="110"/>
        <v>#NUM!</v>
      </c>
      <c r="BI2319" t="e">
        <f>VLOOKUP(H2319,Sheet2!$A$1:$B$270,2,FALSE)</f>
        <v>#N/A</v>
      </c>
    </row>
    <row r="2320" spans="15:61" hidden="1">
      <c r="O2320" s="57"/>
      <c r="P2320" s="57"/>
      <c r="AO2320" s="57"/>
      <c r="AP2320" s="57"/>
      <c r="BA2320" s="57"/>
      <c r="BF2320" s="6" t="e">
        <f t="shared" si="108"/>
        <v>#NUM!</v>
      </c>
      <c r="BG2320" t="e">
        <f t="shared" si="109"/>
        <v>#NUM!</v>
      </c>
      <c r="BH2320" t="e">
        <f t="shared" si="110"/>
        <v>#NUM!</v>
      </c>
      <c r="BI2320" t="e">
        <f>VLOOKUP(H2320,Sheet2!$A$1:$B$270,2,FALSE)</f>
        <v>#N/A</v>
      </c>
    </row>
    <row r="2321" spans="15:61" hidden="1">
      <c r="O2321" s="57"/>
      <c r="P2321" s="57"/>
      <c r="AO2321" s="57"/>
      <c r="AP2321" s="57"/>
      <c r="BA2321" s="57"/>
      <c r="BF2321" s="6" t="e">
        <f t="shared" si="108"/>
        <v>#NUM!</v>
      </c>
      <c r="BG2321" t="e">
        <f t="shared" si="109"/>
        <v>#NUM!</v>
      </c>
      <c r="BH2321" t="e">
        <f t="shared" si="110"/>
        <v>#NUM!</v>
      </c>
      <c r="BI2321" t="e">
        <f>VLOOKUP(H2321,Sheet2!$A$1:$B$270,2,FALSE)</f>
        <v>#N/A</v>
      </c>
    </row>
    <row r="2322" spans="15:61" hidden="1">
      <c r="O2322" s="57"/>
      <c r="P2322" s="57"/>
      <c r="AP2322" s="57"/>
      <c r="BA2322" s="57"/>
      <c r="BF2322" s="6" t="e">
        <f t="shared" si="108"/>
        <v>#NUM!</v>
      </c>
      <c r="BG2322" t="e">
        <f t="shared" si="109"/>
        <v>#NUM!</v>
      </c>
      <c r="BH2322" t="e">
        <f t="shared" si="110"/>
        <v>#NUM!</v>
      </c>
      <c r="BI2322" t="e">
        <f>VLOOKUP(H2322,Sheet2!$A$1:$B$270,2,FALSE)</f>
        <v>#N/A</v>
      </c>
    </row>
    <row r="2323" spans="15:61" hidden="1">
      <c r="O2323" s="57"/>
      <c r="P2323" s="57"/>
      <c r="AP2323" s="57"/>
      <c r="BA2323" s="57"/>
      <c r="BF2323" s="6" t="e">
        <f t="shared" si="108"/>
        <v>#NUM!</v>
      </c>
      <c r="BG2323" t="e">
        <f t="shared" si="109"/>
        <v>#NUM!</v>
      </c>
      <c r="BH2323" t="e">
        <f t="shared" si="110"/>
        <v>#NUM!</v>
      </c>
      <c r="BI2323" t="e">
        <f>VLOOKUP(H2323,Sheet2!$A$1:$B$270,2,FALSE)</f>
        <v>#N/A</v>
      </c>
    </row>
    <row r="2324" spans="15:61" hidden="1">
      <c r="O2324" s="57"/>
      <c r="P2324" s="57"/>
      <c r="AP2324" s="57"/>
      <c r="BA2324" s="57"/>
      <c r="BF2324" s="6" t="e">
        <f t="shared" si="108"/>
        <v>#NUM!</v>
      </c>
      <c r="BG2324" t="e">
        <f t="shared" si="109"/>
        <v>#NUM!</v>
      </c>
      <c r="BH2324" t="e">
        <f t="shared" si="110"/>
        <v>#NUM!</v>
      </c>
      <c r="BI2324" t="e">
        <f>VLOOKUP(H2324,Sheet2!$A$1:$B$270,2,FALSE)</f>
        <v>#N/A</v>
      </c>
    </row>
    <row r="2325" spans="15:61" hidden="1">
      <c r="O2325" s="57"/>
      <c r="P2325" s="57"/>
      <c r="AP2325" s="57"/>
      <c r="BA2325" s="57"/>
      <c r="BF2325" s="6" t="e">
        <f t="shared" si="108"/>
        <v>#NUM!</v>
      </c>
      <c r="BG2325" t="e">
        <f t="shared" si="109"/>
        <v>#NUM!</v>
      </c>
      <c r="BH2325" t="e">
        <f t="shared" si="110"/>
        <v>#NUM!</v>
      </c>
      <c r="BI2325" t="e">
        <f>VLOOKUP(H2325,Sheet2!$A$1:$B$270,2,FALSE)</f>
        <v>#N/A</v>
      </c>
    </row>
    <row r="2326" spans="15:61" hidden="1">
      <c r="O2326" s="57"/>
      <c r="P2326" s="57"/>
      <c r="AP2326" s="57"/>
      <c r="BA2326" s="57"/>
      <c r="BF2326" s="6" t="e">
        <f t="shared" si="108"/>
        <v>#NUM!</v>
      </c>
      <c r="BG2326" t="e">
        <f t="shared" si="109"/>
        <v>#NUM!</v>
      </c>
      <c r="BH2326" t="e">
        <f t="shared" si="110"/>
        <v>#NUM!</v>
      </c>
      <c r="BI2326" t="e">
        <f>VLOOKUP(H2326,Sheet2!$A$1:$B$270,2,FALSE)</f>
        <v>#N/A</v>
      </c>
    </row>
    <row r="2327" spans="15:61" hidden="1">
      <c r="O2327" s="57"/>
      <c r="P2327" s="57"/>
      <c r="AP2327" s="57"/>
      <c r="BA2327" s="57"/>
      <c r="BF2327" s="6" t="e">
        <f t="shared" si="108"/>
        <v>#NUM!</v>
      </c>
      <c r="BG2327" t="e">
        <f t="shared" si="109"/>
        <v>#NUM!</v>
      </c>
      <c r="BH2327" t="e">
        <f t="shared" si="110"/>
        <v>#NUM!</v>
      </c>
      <c r="BI2327" t="e">
        <f>VLOOKUP(H2327,Sheet2!$A$1:$B$270,2,FALSE)</f>
        <v>#N/A</v>
      </c>
    </row>
    <row r="2328" spans="15:61" hidden="1">
      <c r="O2328" s="57"/>
      <c r="P2328" s="57"/>
      <c r="BA2328" s="57"/>
      <c r="BF2328" s="6" t="e">
        <f t="shared" si="108"/>
        <v>#NUM!</v>
      </c>
      <c r="BG2328" t="e">
        <f t="shared" si="109"/>
        <v>#NUM!</v>
      </c>
      <c r="BH2328" t="e">
        <f t="shared" si="110"/>
        <v>#NUM!</v>
      </c>
      <c r="BI2328" t="e">
        <f>VLOOKUP(H2328,Sheet2!$A$1:$B$270,2,FALSE)</f>
        <v>#N/A</v>
      </c>
    </row>
    <row r="2329" spans="15:61" hidden="1">
      <c r="O2329" s="57"/>
      <c r="P2329" s="57"/>
      <c r="BA2329" s="57"/>
      <c r="BF2329" s="6" t="e">
        <f t="shared" si="108"/>
        <v>#NUM!</v>
      </c>
      <c r="BG2329" t="e">
        <f t="shared" si="109"/>
        <v>#NUM!</v>
      </c>
      <c r="BH2329" t="e">
        <f t="shared" si="110"/>
        <v>#NUM!</v>
      </c>
      <c r="BI2329" t="e">
        <f>VLOOKUP(H2329,Sheet2!$A$1:$B$270,2,FALSE)</f>
        <v>#N/A</v>
      </c>
    </row>
    <row r="2330" spans="15:61" hidden="1">
      <c r="O2330" s="57"/>
      <c r="P2330" s="57"/>
      <c r="AO2330" s="57"/>
      <c r="AP2330" s="57"/>
      <c r="BA2330" s="57"/>
      <c r="BF2330" s="6" t="e">
        <f t="shared" si="108"/>
        <v>#NUM!</v>
      </c>
      <c r="BG2330" t="e">
        <f t="shared" si="109"/>
        <v>#NUM!</v>
      </c>
      <c r="BH2330" t="e">
        <f t="shared" si="110"/>
        <v>#NUM!</v>
      </c>
      <c r="BI2330" t="e">
        <f>VLOOKUP(H2330,Sheet2!$A$1:$B$270,2,FALSE)</f>
        <v>#N/A</v>
      </c>
    </row>
    <row r="2331" spans="15:61" hidden="1">
      <c r="O2331" s="57"/>
      <c r="P2331" s="57"/>
      <c r="AP2331" s="57"/>
      <c r="BA2331" s="57"/>
      <c r="BF2331" s="6" t="e">
        <f t="shared" si="108"/>
        <v>#NUM!</v>
      </c>
      <c r="BG2331" t="e">
        <f t="shared" si="109"/>
        <v>#NUM!</v>
      </c>
      <c r="BH2331" t="e">
        <f t="shared" si="110"/>
        <v>#NUM!</v>
      </c>
      <c r="BI2331" t="e">
        <f>VLOOKUP(H2331,Sheet2!$A$1:$B$270,2,FALSE)</f>
        <v>#N/A</v>
      </c>
    </row>
    <row r="2332" spans="15:61" hidden="1">
      <c r="O2332" s="57"/>
      <c r="P2332" s="57"/>
      <c r="AP2332" s="57"/>
      <c r="BA2332" s="57"/>
      <c r="BF2332" s="6" t="e">
        <f t="shared" si="108"/>
        <v>#NUM!</v>
      </c>
      <c r="BG2332" t="e">
        <f t="shared" si="109"/>
        <v>#NUM!</v>
      </c>
      <c r="BH2332" t="e">
        <f t="shared" si="110"/>
        <v>#NUM!</v>
      </c>
      <c r="BI2332" t="e">
        <f>VLOOKUP(H2332,Sheet2!$A$1:$B$270,2,FALSE)</f>
        <v>#N/A</v>
      </c>
    </row>
    <row r="2333" spans="15:61" hidden="1">
      <c r="O2333" s="57"/>
      <c r="P2333" s="57"/>
      <c r="AO2333" s="57"/>
      <c r="AP2333" s="57"/>
      <c r="BA2333" s="57"/>
      <c r="BF2333" s="6" t="e">
        <f t="shared" si="108"/>
        <v>#NUM!</v>
      </c>
      <c r="BG2333" t="e">
        <f t="shared" si="109"/>
        <v>#NUM!</v>
      </c>
      <c r="BH2333" t="e">
        <f t="shared" si="110"/>
        <v>#NUM!</v>
      </c>
      <c r="BI2333" t="e">
        <f>VLOOKUP(H2333,Sheet2!$A$1:$B$270,2,FALSE)</f>
        <v>#N/A</v>
      </c>
    </row>
    <row r="2334" spans="15:61" hidden="1">
      <c r="O2334" s="57"/>
      <c r="P2334" s="57"/>
      <c r="BA2334" s="57"/>
      <c r="BF2334" s="6" t="e">
        <f t="shared" si="108"/>
        <v>#NUM!</v>
      </c>
      <c r="BG2334" t="e">
        <f t="shared" si="109"/>
        <v>#NUM!</v>
      </c>
      <c r="BH2334" t="e">
        <f t="shared" si="110"/>
        <v>#NUM!</v>
      </c>
      <c r="BI2334" t="e">
        <f>VLOOKUP(H2334,Sheet2!$A$1:$B$270,2,FALSE)</f>
        <v>#N/A</v>
      </c>
    </row>
    <row r="2335" spans="15:61" hidden="1">
      <c r="O2335" s="57"/>
      <c r="P2335" s="57"/>
      <c r="AO2335" s="57"/>
      <c r="AP2335" s="57"/>
      <c r="BA2335" s="57"/>
      <c r="BF2335" s="6" t="e">
        <f t="shared" si="108"/>
        <v>#NUM!</v>
      </c>
      <c r="BG2335" t="e">
        <f t="shared" si="109"/>
        <v>#NUM!</v>
      </c>
      <c r="BH2335" t="e">
        <f t="shared" si="110"/>
        <v>#NUM!</v>
      </c>
      <c r="BI2335" t="e">
        <f>VLOOKUP(H2335,Sheet2!$A$1:$B$270,2,FALSE)</f>
        <v>#N/A</v>
      </c>
    </row>
    <row r="2336" spans="15:61" hidden="1">
      <c r="O2336" s="57"/>
      <c r="P2336" s="57"/>
      <c r="AO2336" s="57"/>
      <c r="AP2336" s="57"/>
      <c r="BA2336" s="57"/>
      <c r="BF2336" s="6" t="e">
        <f t="shared" si="108"/>
        <v>#NUM!</v>
      </c>
      <c r="BG2336" t="e">
        <f t="shared" si="109"/>
        <v>#NUM!</v>
      </c>
      <c r="BH2336" t="e">
        <f t="shared" si="110"/>
        <v>#NUM!</v>
      </c>
      <c r="BI2336" t="e">
        <f>VLOOKUP(H2336,Sheet2!$A$1:$B$270,2,FALSE)</f>
        <v>#N/A</v>
      </c>
    </row>
    <row r="2337" spans="15:61" hidden="1">
      <c r="O2337" s="57"/>
      <c r="P2337" s="57"/>
      <c r="AO2337" s="57"/>
      <c r="BA2337" s="57"/>
      <c r="BF2337" s="6" t="e">
        <f t="shared" si="108"/>
        <v>#NUM!</v>
      </c>
      <c r="BG2337" t="e">
        <f t="shared" si="109"/>
        <v>#NUM!</v>
      </c>
      <c r="BH2337" t="e">
        <f t="shared" si="110"/>
        <v>#NUM!</v>
      </c>
      <c r="BI2337" t="e">
        <f>VLOOKUP(H2337,Sheet2!$A$1:$B$270,2,FALSE)</f>
        <v>#N/A</v>
      </c>
    </row>
    <row r="2338" spans="15:61" hidden="1">
      <c r="O2338" s="57"/>
      <c r="P2338" s="57"/>
      <c r="AO2338" s="57"/>
      <c r="AP2338" s="57"/>
      <c r="BA2338" s="57"/>
      <c r="BF2338" s="6" t="e">
        <f t="shared" si="108"/>
        <v>#NUM!</v>
      </c>
      <c r="BG2338" t="e">
        <f t="shared" si="109"/>
        <v>#NUM!</v>
      </c>
      <c r="BH2338" t="e">
        <f t="shared" si="110"/>
        <v>#NUM!</v>
      </c>
      <c r="BI2338" t="e">
        <f>VLOOKUP(H2338,Sheet2!$A$1:$B$270,2,FALSE)</f>
        <v>#N/A</v>
      </c>
    </row>
    <row r="2339" spans="15:61" hidden="1">
      <c r="O2339" s="57"/>
      <c r="P2339" s="57"/>
      <c r="AO2339" s="57"/>
      <c r="AP2339" s="57"/>
      <c r="BA2339" s="57"/>
      <c r="BF2339" s="6" t="e">
        <f t="shared" si="108"/>
        <v>#NUM!</v>
      </c>
      <c r="BG2339" t="e">
        <f t="shared" si="109"/>
        <v>#NUM!</v>
      </c>
      <c r="BH2339" t="e">
        <f t="shared" si="110"/>
        <v>#NUM!</v>
      </c>
      <c r="BI2339" t="e">
        <f>VLOOKUP(H2339,Sheet2!$A$1:$B$270,2,FALSE)</f>
        <v>#N/A</v>
      </c>
    </row>
    <row r="2340" spans="15:61" hidden="1">
      <c r="O2340" s="57"/>
      <c r="P2340" s="57"/>
      <c r="AO2340" s="57"/>
      <c r="AP2340" s="57"/>
      <c r="BA2340" s="57"/>
      <c r="BF2340" s="6" t="e">
        <f t="shared" si="108"/>
        <v>#NUM!</v>
      </c>
      <c r="BG2340" t="e">
        <f t="shared" si="109"/>
        <v>#NUM!</v>
      </c>
      <c r="BH2340" t="e">
        <f t="shared" si="110"/>
        <v>#NUM!</v>
      </c>
      <c r="BI2340" t="e">
        <f>VLOOKUP(H2340,Sheet2!$A$1:$B$270,2,FALSE)</f>
        <v>#N/A</v>
      </c>
    </row>
    <row r="2341" spans="15:61" hidden="1">
      <c r="O2341" s="57"/>
      <c r="P2341" s="57"/>
      <c r="AP2341" s="57"/>
      <c r="BA2341" s="57"/>
      <c r="BF2341" s="6" t="e">
        <f t="shared" si="108"/>
        <v>#NUM!</v>
      </c>
      <c r="BG2341" t="e">
        <f t="shared" si="109"/>
        <v>#NUM!</v>
      </c>
      <c r="BH2341" t="e">
        <f t="shared" si="110"/>
        <v>#NUM!</v>
      </c>
      <c r="BI2341" t="e">
        <f>VLOOKUP(H2341,Sheet2!$A$1:$B$270,2,FALSE)</f>
        <v>#N/A</v>
      </c>
    </row>
    <row r="2342" spans="15:61" hidden="1">
      <c r="O2342" s="57"/>
      <c r="P2342" s="57"/>
      <c r="AP2342" s="57"/>
      <c r="BA2342" s="57"/>
      <c r="BF2342" s="6" t="e">
        <f t="shared" si="108"/>
        <v>#NUM!</v>
      </c>
      <c r="BG2342" t="e">
        <f t="shared" si="109"/>
        <v>#NUM!</v>
      </c>
      <c r="BH2342" t="e">
        <f t="shared" si="110"/>
        <v>#NUM!</v>
      </c>
      <c r="BI2342" t="e">
        <f>VLOOKUP(H2342,Sheet2!$A$1:$B$270,2,FALSE)</f>
        <v>#N/A</v>
      </c>
    </row>
    <row r="2343" spans="15:61" hidden="1">
      <c r="O2343" s="57"/>
      <c r="P2343" s="57"/>
      <c r="AP2343" s="57"/>
      <c r="BA2343" s="57"/>
      <c r="BF2343" s="6" t="e">
        <f t="shared" si="108"/>
        <v>#NUM!</v>
      </c>
      <c r="BG2343" t="e">
        <f t="shared" si="109"/>
        <v>#NUM!</v>
      </c>
      <c r="BH2343" t="e">
        <f t="shared" si="110"/>
        <v>#NUM!</v>
      </c>
      <c r="BI2343" t="e">
        <f>VLOOKUP(H2343,Sheet2!$A$1:$B$270,2,FALSE)</f>
        <v>#N/A</v>
      </c>
    </row>
    <row r="2344" spans="15:61" hidden="1">
      <c r="O2344" s="57"/>
      <c r="P2344" s="57"/>
      <c r="AP2344" s="57"/>
      <c r="BA2344" s="57"/>
      <c r="BF2344" s="6" t="e">
        <f t="shared" si="108"/>
        <v>#NUM!</v>
      </c>
      <c r="BG2344" t="e">
        <f t="shared" si="109"/>
        <v>#NUM!</v>
      </c>
      <c r="BH2344" t="e">
        <f t="shared" si="110"/>
        <v>#NUM!</v>
      </c>
      <c r="BI2344" t="e">
        <f>VLOOKUP(H2344,Sheet2!$A$1:$B$270,2,FALSE)</f>
        <v>#N/A</v>
      </c>
    </row>
    <row r="2345" spans="15:61" hidden="1">
      <c r="O2345" s="57"/>
      <c r="P2345" s="57"/>
      <c r="AP2345" s="57"/>
      <c r="BA2345" s="57"/>
      <c r="BF2345" s="6" t="e">
        <f t="shared" si="108"/>
        <v>#NUM!</v>
      </c>
      <c r="BG2345" t="e">
        <f t="shared" si="109"/>
        <v>#NUM!</v>
      </c>
      <c r="BH2345" t="e">
        <f t="shared" si="110"/>
        <v>#NUM!</v>
      </c>
      <c r="BI2345" t="e">
        <f>VLOOKUP(H2345,Sheet2!$A$1:$B$270,2,FALSE)</f>
        <v>#N/A</v>
      </c>
    </row>
    <row r="2346" spans="15:61" hidden="1">
      <c r="O2346" s="57"/>
      <c r="P2346" s="57"/>
      <c r="AP2346" s="57"/>
      <c r="BA2346" s="57"/>
      <c r="BF2346" s="6" t="e">
        <f t="shared" si="108"/>
        <v>#NUM!</v>
      </c>
      <c r="BG2346" t="e">
        <f t="shared" si="109"/>
        <v>#NUM!</v>
      </c>
      <c r="BH2346" t="e">
        <f t="shared" si="110"/>
        <v>#NUM!</v>
      </c>
      <c r="BI2346" t="e">
        <f>VLOOKUP(H2346,Sheet2!$A$1:$B$270,2,FALSE)</f>
        <v>#N/A</v>
      </c>
    </row>
    <row r="2347" spans="15:61" hidden="1">
      <c r="O2347" s="57"/>
      <c r="P2347" s="57"/>
      <c r="AM2347" s="58"/>
      <c r="BA2347" s="57"/>
      <c r="BB2347" s="58"/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e">
        <f>VLOOKUP(H2347,Sheet2!$A$1:$B$270,2,FALSE)</f>
        <v>#N/A</v>
      </c>
    </row>
    <row r="2348" spans="15:61" hidden="1">
      <c r="O2348" s="57"/>
      <c r="P2348" s="57"/>
      <c r="AO2348" s="57"/>
      <c r="AP2348" s="57"/>
      <c r="BA2348" s="57"/>
      <c r="BF2348" s="6" t="e">
        <f t="shared" si="108"/>
        <v>#NUM!</v>
      </c>
      <c r="BG2348" t="e">
        <f t="shared" si="109"/>
        <v>#NUM!</v>
      </c>
      <c r="BH2348" t="e">
        <f t="shared" si="110"/>
        <v>#NUM!</v>
      </c>
      <c r="BI2348" t="e">
        <f>VLOOKUP(H2348,Sheet2!$A$1:$B$270,2,FALSE)</f>
        <v>#N/A</v>
      </c>
    </row>
    <row r="2349" spans="15:61" hidden="1">
      <c r="O2349" s="57"/>
      <c r="P2349" s="57"/>
      <c r="BA2349" s="57"/>
      <c r="BF2349" s="6" t="e">
        <f t="shared" si="108"/>
        <v>#NUM!</v>
      </c>
      <c r="BG2349" t="e">
        <f t="shared" si="109"/>
        <v>#NUM!</v>
      </c>
      <c r="BH2349" t="e">
        <f t="shared" si="110"/>
        <v>#NUM!</v>
      </c>
      <c r="BI2349" t="e">
        <f>VLOOKUP(H2349,Sheet2!$A$1:$B$270,2,FALSE)</f>
        <v>#N/A</v>
      </c>
    </row>
    <row r="2350" spans="15:61" hidden="1">
      <c r="O2350" s="57"/>
      <c r="P2350" s="57"/>
      <c r="AO2350" s="57"/>
      <c r="BA2350" s="57"/>
      <c r="BF2350" s="6" t="e">
        <f t="shared" si="108"/>
        <v>#NUM!</v>
      </c>
      <c r="BG2350" t="e">
        <f t="shared" si="109"/>
        <v>#NUM!</v>
      </c>
      <c r="BH2350" t="e">
        <f t="shared" si="110"/>
        <v>#NUM!</v>
      </c>
      <c r="BI2350" t="e">
        <f>VLOOKUP(H2350,Sheet2!$A$1:$B$270,2,FALSE)</f>
        <v>#N/A</v>
      </c>
    </row>
    <row r="2351" spans="15:61" hidden="1">
      <c r="O2351" s="57"/>
      <c r="P2351" s="57"/>
      <c r="AM2351" s="58"/>
      <c r="BA2351" s="57"/>
      <c r="BB2351" s="58"/>
      <c r="BF2351" s="6" t="e">
        <f t="shared" si="108"/>
        <v>#NUM!</v>
      </c>
      <c r="BG2351" t="e">
        <f t="shared" si="109"/>
        <v>#NUM!</v>
      </c>
      <c r="BH2351" t="e">
        <f t="shared" si="110"/>
        <v>#NUM!</v>
      </c>
      <c r="BI2351" t="e">
        <f>VLOOKUP(H2351,Sheet2!$A$1:$B$270,2,FALSE)</f>
        <v>#N/A</v>
      </c>
    </row>
    <row r="2352" spans="15:61" hidden="1">
      <c r="O2352" s="57"/>
      <c r="P2352" s="57"/>
      <c r="BA2352" s="57"/>
      <c r="BF2352" s="6" t="e">
        <f t="shared" si="108"/>
        <v>#NUM!</v>
      </c>
      <c r="BG2352" t="e">
        <f t="shared" si="109"/>
        <v>#NUM!</v>
      </c>
      <c r="BH2352" t="e">
        <f t="shared" si="110"/>
        <v>#NUM!</v>
      </c>
      <c r="BI2352" t="e">
        <f>VLOOKUP(H2352,Sheet2!$A$1:$B$270,2,FALSE)</f>
        <v>#N/A</v>
      </c>
    </row>
    <row r="2353" spans="15:61" hidden="1">
      <c r="O2353" s="57"/>
      <c r="P2353" s="57"/>
      <c r="AO2353" s="57"/>
      <c r="AP2353" s="57"/>
      <c r="BA2353" s="57"/>
      <c r="BF2353" s="6" t="e">
        <f t="shared" si="108"/>
        <v>#NUM!</v>
      </c>
      <c r="BG2353" t="e">
        <f t="shared" si="109"/>
        <v>#NUM!</v>
      </c>
      <c r="BH2353" t="e">
        <f t="shared" si="110"/>
        <v>#NUM!</v>
      </c>
      <c r="BI2353" t="e">
        <f>VLOOKUP(H2353,Sheet2!$A$1:$B$270,2,FALSE)</f>
        <v>#N/A</v>
      </c>
    </row>
    <row r="2354" spans="15:61" hidden="1">
      <c r="O2354" s="57"/>
      <c r="P2354" s="57"/>
      <c r="AO2354" s="57"/>
      <c r="AP2354" s="57"/>
      <c r="BA2354" s="57"/>
      <c r="BF2354" s="6" t="e">
        <f t="shared" si="108"/>
        <v>#NUM!</v>
      </c>
      <c r="BG2354" t="e">
        <f t="shared" si="109"/>
        <v>#NUM!</v>
      </c>
      <c r="BH2354" t="e">
        <f t="shared" si="110"/>
        <v>#NUM!</v>
      </c>
      <c r="BI2354" t="e">
        <f>VLOOKUP(H2354,Sheet2!$A$1:$B$270,2,FALSE)</f>
        <v>#N/A</v>
      </c>
    </row>
    <row r="2355" spans="15:61" hidden="1">
      <c r="O2355" s="57"/>
      <c r="P2355" s="57"/>
      <c r="AO2355" s="57"/>
      <c r="AP2355" s="57"/>
      <c r="BA2355" s="57"/>
      <c r="BF2355" s="6" t="e">
        <f t="shared" si="108"/>
        <v>#NUM!</v>
      </c>
      <c r="BG2355" t="e">
        <f t="shared" si="109"/>
        <v>#NUM!</v>
      </c>
      <c r="BH2355" t="e">
        <f t="shared" si="110"/>
        <v>#NUM!</v>
      </c>
      <c r="BI2355" t="e">
        <f>VLOOKUP(H2355,Sheet2!$A$1:$B$270,2,FALSE)</f>
        <v>#N/A</v>
      </c>
    </row>
    <row r="2356" spans="15:61" hidden="1">
      <c r="O2356" s="57"/>
      <c r="P2356" s="57"/>
      <c r="AO2356" s="57"/>
      <c r="AP2356" s="57"/>
      <c r="BA2356" s="57"/>
      <c r="BF2356" s="6" t="e">
        <f t="shared" si="108"/>
        <v>#NUM!</v>
      </c>
      <c r="BG2356" t="e">
        <f t="shared" si="109"/>
        <v>#NUM!</v>
      </c>
      <c r="BH2356" t="e">
        <f t="shared" si="110"/>
        <v>#NUM!</v>
      </c>
      <c r="BI2356" t="e">
        <f>VLOOKUP(H2356,Sheet2!$A$1:$B$270,2,FALSE)</f>
        <v>#N/A</v>
      </c>
    </row>
    <row r="2357" spans="15:61" hidden="1">
      <c r="O2357" s="57"/>
      <c r="P2357" s="57"/>
      <c r="AP2357" s="57"/>
      <c r="BA2357" s="57"/>
      <c r="BF2357" s="6" t="e">
        <f t="shared" si="108"/>
        <v>#NUM!</v>
      </c>
      <c r="BG2357" t="e">
        <f t="shared" si="109"/>
        <v>#NUM!</v>
      </c>
      <c r="BH2357" t="e">
        <f t="shared" si="110"/>
        <v>#NUM!</v>
      </c>
      <c r="BI2357" t="e">
        <f>VLOOKUP(H2357,Sheet2!$A$1:$B$270,2,FALSE)</f>
        <v>#N/A</v>
      </c>
    </row>
    <row r="2358" spans="15:61" hidden="1">
      <c r="O2358" s="57"/>
      <c r="P2358" s="57"/>
      <c r="AP2358" s="57"/>
      <c r="BA2358" s="57"/>
      <c r="BF2358" s="6" t="e">
        <f t="shared" si="108"/>
        <v>#NUM!</v>
      </c>
      <c r="BG2358" t="e">
        <f t="shared" si="109"/>
        <v>#NUM!</v>
      </c>
      <c r="BH2358" t="e">
        <f t="shared" si="110"/>
        <v>#NUM!</v>
      </c>
      <c r="BI2358" t="e">
        <f>VLOOKUP(H2358,Sheet2!$A$1:$B$270,2,FALSE)</f>
        <v>#N/A</v>
      </c>
    </row>
    <row r="2359" spans="15:61" hidden="1">
      <c r="O2359" s="57"/>
      <c r="P2359" s="57"/>
      <c r="AP2359" s="57"/>
      <c r="BA2359" s="57"/>
      <c r="BF2359" s="6" t="e">
        <f t="shared" si="108"/>
        <v>#NUM!</v>
      </c>
      <c r="BG2359" t="e">
        <f t="shared" si="109"/>
        <v>#NUM!</v>
      </c>
      <c r="BH2359" t="e">
        <f t="shared" si="110"/>
        <v>#NUM!</v>
      </c>
      <c r="BI2359" t="e">
        <f>VLOOKUP(H2359,Sheet2!$A$1:$B$270,2,FALSE)</f>
        <v>#N/A</v>
      </c>
    </row>
    <row r="2360" spans="15:61" hidden="1">
      <c r="O2360" s="57"/>
      <c r="P2360" s="57"/>
      <c r="AP2360" s="57"/>
      <c r="BA2360" s="57"/>
      <c r="BF2360" s="6" t="e">
        <f t="shared" si="108"/>
        <v>#NUM!</v>
      </c>
      <c r="BG2360" t="e">
        <f t="shared" si="109"/>
        <v>#NUM!</v>
      </c>
      <c r="BH2360" t="e">
        <f t="shared" si="110"/>
        <v>#NUM!</v>
      </c>
      <c r="BI2360" t="e">
        <f>VLOOKUP(H2360,Sheet2!$A$1:$B$270,2,FALSE)</f>
        <v>#N/A</v>
      </c>
    </row>
    <row r="2361" spans="15:61" hidden="1">
      <c r="O2361" s="57"/>
      <c r="P2361" s="57"/>
      <c r="AP2361" s="57"/>
      <c r="BA2361" s="57"/>
      <c r="BF2361" s="6" t="e">
        <f t="shared" si="108"/>
        <v>#NUM!</v>
      </c>
      <c r="BG2361" t="e">
        <f t="shared" si="109"/>
        <v>#NUM!</v>
      </c>
      <c r="BH2361" t="e">
        <f t="shared" si="110"/>
        <v>#NUM!</v>
      </c>
      <c r="BI2361" t="e">
        <f>VLOOKUP(H2361,Sheet2!$A$1:$B$270,2,FALSE)</f>
        <v>#N/A</v>
      </c>
    </row>
    <row r="2362" spans="15:61" hidden="1">
      <c r="O2362" s="57"/>
      <c r="P2362" s="57"/>
      <c r="AO2362" s="57"/>
      <c r="AP2362" s="57"/>
      <c r="BA2362" s="57"/>
      <c r="BF2362" s="6" t="e">
        <f t="shared" si="108"/>
        <v>#NUM!</v>
      </c>
      <c r="BG2362" t="e">
        <f t="shared" si="109"/>
        <v>#NUM!</v>
      </c>
      <c r="BH2362" t="e">
        <f t="shared" si="110"/>
        <v>#NUM!</v>
      </c>
      <c r="BI2362" t="e">
        <f>VLOOKUP(H2362,Sheet2!$A$1:$B$270,2,FALSE)</f>
        <v>#N/A</v>
      </c>
    </row>
    <row r="2363" spans="15:61" hidden="1">
      <c r="O2363" s="57"/>
      <c r="P2363" s="57"/>
      <c r="AO2363" s="57"/>
      <c r="AP2363" s="57"/>
      <c r="BA2363" s="57"/>
      <c r="BF2363" s="6" t="e">
        <f t="shared" si="108"/>
        <v>#NUM!</v>
      </c>
      <c r="BG2363" t="e">
        <f t="shared" si="109"/>
        <v>#NUM!</v>
      </c>
      <c r="BH2363" t="e">
        <f t="shared" si="110"/>
        <v>#NUM!</v>
      </c>
      <c r="BI2363" t="e">
        <f>VLOOKUP(H2363,Sheet2!$A$1:$B$270,2,FALSE)</f>
        <v>#N/A</v>
      </c>
    </row>
    <row r="2364" spans="15:61" hidden="1">
      <c r="O2364" s="57"/>
      <c r="P2364" s="57"/>
      <c r="BF2364" s="6" t="e">
        <f t="shared" si="108"/>
        <v>#NUM!</v>
      </c>
      <c r="BG2364" t="e">
        <f t="shared" si="109"/>
        <v>#NUM!</v>
      </c>
      <c r="BH2364" t="e">
        <f t="shared" si="110"/>
        <v>#NUM!</v>
      </c>
      <c r="BI2364" t="e">
        <f>VLOOKUP(H2364,Sheet2!$A$1:$B$270,2,FALSE)</f>
        <v>#N/A</v>
      </c>
    </row>
    <row r="2365" spans="15:61" hidden="1">
      <c r="O2365" s="57"/>
      <c r="P2365" s="57"/>
      <c r="AO2365" s="57"/>
      <c r="AP2365" s="57"/>
      <c r="BA2365" s="57"/>
      <c r="BF2365" s="6" t="e">
        <f t="shared" si="108"/>
        <v>#NUM!</v>
      </c>
      <c r="BG2365" t="e">
        <f t="shared" si="109"/>
        <v>#NUM!</v>
      </c>
      <c r="BH2365" t="e">
        <f t="shared" si="110"/>
        <v>#NUM!</v>
      </c>
      <c r="BI2365" t="e">
        <f>VLOOKUP(H2365,Sheet2!$A$1:$B$270,2,FALSE)</f>
        <v>#N/A</v>
      </c>
    </row>
    <row r="2366" spans="15:61" hidden="1">
      <c r="O2366" s="57"/>
      <c r="P2366" s="57"/>
      <c r="AO2366" s="57"/>
      <c r="AP2366" s="57"/>
      <c r="BA2366" s="57"/>
      <c r="BF2366" s="6" t="e">
        <f t="shared" si="108"/>
        <v>#NUM!</v>
      </c>
      <c r="BG2366" t="e">
        <f t="shared" si="109"/>
        <v>#NUM!</v>
      </c>
      <c r="BH2366" t="e">
        <f t="shared" si="110"/>
        <v>#NUM!</v>
      </c>
      <c r="BI2366" t="e">
        <f>VLOOKUP(H2366,Sheet2!$A$1:$B$270,2,FALSE)</f>
        <v>#N/A</v>
      </c>
    </row>
    <row r="2367" spans="15:61" hidden="1">
      <c r="O2367" s="57"/>
      <c r="P2367" s="57"/>
      <c r="AO2367" s="57"/>
      <c r="BA2367" s="57"/>
      <c r="BF2367" s="6" t="e">
        <f t="shared" si="108"/>
        <v>#NUM!</v>
      </c>
      <c r="BG2367" t="e">
        <f t="shared" si="109"/>
        <v>#NUM!</v>
      </c>
      <c r="BH2367" t="e">
        <f t="shared" si="110"/>
        <v>#NUM!</v>
      </c>
      <c r="BI2367" t="e">
        <f>VLOOKUP(H2367,Sheet2!$A$1:$B$270,2,FALSE)</f>
        <v>#N/A</v>
      </c>
    </row>
    <row r="2368" spans="15:61" hidden="1">
      <c r="O2368" s="57"/>
      <c r="P2368" s="57"/>
      <c r="AO2368" s="57"/>
      <c r="BA2368" s="57"/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e">
        <f>VLOOKUP(H2368,Sheet2!$A$1:$B$270,2,FALSE)</f>
        <v>#N/A</v>
      </c>
    </row>
    <row r="2369" spans="15:61" hidden="1">
      <c r="O2369" s="57"/>
      <c r="P2369" s="57"/>
      <c r="AO2369" s="57"/>
      <c r="AP2369" s="57"/>
      <c r="BA2369" s="57"/>
      <c r="BF2369" s="6" t="e">
        <f t="shared" si="108"/>
        <v>#NUM!</v>
      </c>
      <c r="BG2369" t="e">
        <f t="shared" si="109"/>
        <v>#NUM!</v>
      </c>
      <c r="BH2369" t="e">
        <f t="shared" si="110"/>
        <v>#NUM!</v>
      </c>
      <c r="BI2369" t="e">
        <f>VLOOKUP(H2369,Sheet2!$A$1:$B$270,2,FALSE)</f>
        <v>#N/A</v>
      </c>
    </row>
    <row r="2370" spans="15:61" hidden="1">
      <c r="O2370" s="57"/>
      <c r="P2370" s="57"/>
      <c r="AO2370" s="57"/>
      <c r="AP2370" s="57"/>
      <c r="BA2370" s="57"/>
      <c r="BF2370" s="6" t="e">
        <f t="shared" ref="BF2370:BF2433" si="111">DATE(BC2370,BD2370,BE2370)</f>
        <v>#NUM!</v>
      </c>
      <c r="BG2370" t="e">
        <f t="shared" ref="BG2370:BG2433" si="112">BF2370-BA2370</f>
        <v>#NUM!</v>
      </c>
      <c r="BH2370" t="e">
        <f t="shared" ref="BH2370:BH2433" si="113">IF(BG2370=1,"COMPLY",IF(BG2370&lt;1,"COMPLY","NOT COMPLY"))</f>
        <v>#NUM!</v>
      </c>
      <c r="BI2370" t="e">
        <f>VLOOKUP(H2370,Sheet2!$A$1:$B$270,2,FALSE)</f>
        <v>#N/A</v>
      </c>
    </row>
    <row r="2371" spans="15:61" hidden="1">
      <c r="O2371" s="57"/>
      <c r="P2371" s="57"/>
      <c r="AO2371" s="57"/>
      <c r="AP2371" s="57"/>
      <c r="BA2371" s="57"/>
      <c r="BF2371" s="6" t="e">
        <f t="shared" si="111"/>
        <v>#NUM!</v>
      </c>
      <c r="BG2371" t="e">
        <f t="shared" si="112"/>
        <v>#NUM!</v>
      </c>
      <c r="BH2371" t="e">
        <f t="shared" si="113"/>
        <v>#NUM!</v>
      </c>
      <c r="BI2371" t="e">
        <f>VLOOKUP(H2371,Sheet2!$A$1:$B$270,2,FALSE)</f>
        <v>#N/A</v>
      </c>
    </row>
    <row r="2372" spans="15:61" hidden="1">
      <c r="O2372" s="57"/>
      <c r="P2372" s="57"/>
      <c r="AP2372" s="57"/>
      <c r="BA2372" s="57"/>
      <c r="BF2372" s="6" t="e">
        <f t="shared" si="111"/>
        <v>#NUM!</v>
      </c>
      <c r="BG2372" t="e">
        <f t="shared" si="112"/>
        <v>#NUM!</v>
      </c>
      <c r="BH2372" t="e">
        <f t="shared" si="113"/>
        <v>#NUM!</v>
      </c>
      <c r="BI2372" t="e">
        <f>VLOOKUP(H2372,Sheet2!$A$1:$B$270,2,FALSE)</f>
        <v>#N/A</v>
      </c>
    </row>
    <row r="2373" spans="15:61" hidden="1">
      <c r="O2373" s="57"/>
      <c r="P2373" s="57"/>
      <c r="BA2373" s="57"/>
      <c r="BF2373" s="6" t="e">
        <f t="shared" si="111"/>
        <v>#NUM!</v>
      </c>
      <c r="BG2373" t="e">
        <f t="shared" si="112"/>
        <v>#NUM!</v>
      </c>
      <c r="BH2373" t="e">
        <f t="shared" si="113"/>
        <v>#NUM!</v>
      </c>
      <c r="BI2373" t="e">
        <f>VLOOKUP(H2373,Sheet2!$A$1:$B$270,2,FALSE)</f>
        <v>#N/A</v>
      </c>
    </row>
    <row r="2374" spans="15:61" hidden="1">
      <c r="O2374" s="57"/>
      <c r="P2374" s="57"/>
      <c r="AP2374" s="57"/>
      <c r="BA2374" s="57"/>
      <c r="BF2374" s="6" t="e">
        <f t="shared" si="111"/>
        <v>#NUM!</v>
      </c>
      <c r="BG2374" t="e">
        <f t="shared" si="112"/>
        <v>#NUM!</v>
      </c>
      <c r="BH2374" t="e">
        <f t="shared" si="113"/>
        <v>#NUM!</v>
      </c>
      <c r="BI2374" t="e">
        <f>VLOOKUP(H2374,Sheet2!$A$1:$B$270,2,FALSE)</f>
        <v>#N/A</v>
      </c>
    </row>
    <row r="2375" spans="15:61" hidden="1">
      <c r="O2375" s="57"/>
      <c r="P2375" s="57"/>
      <c r="AP2375" s="57"/>
      <c r="BA2375" s="57"/>
      <c r="BF2375" s="6" t="e">
        <f t="shared" si="111"/>
        <v>#NUM!</v>
      </c>
      <c r="BG2375" t="e">
        <f t="shared" si="112"/>
        <v>#NUM!</v>
      </c>
      <c r="BH2375" t="e">
        <f t="shared" si="113"/>
        <v>#NUM!</v>
      </c>
      <c r="BI2375" t="e">
        <f>VLOOKUP(H2375,Sheet2!$A$1:$B$270,2,FALSE)</f>
        <v>#N/A</v>
      </c>
    </row>
    <row r="2376" spans="15:61" hidden="1">
      <c r="O2376" s="57"/>
      <c r="P2376" s="57"/>
      <c r="AP2376" s="57"/>
      <c r="BA2376" s="57"/>
      <c r="BF2376" s="6" t="e">
        <f t="shared" si="111"/>
        <v>#NUM!</v>
      </c>
      <c r="BG2376" t="e">
        <f t="shared" si="112"/>
        <v>#NUM!</v>
      </c>
      <c r="BH2376" t="e">
        <f t="shared" si="113"/>
        <v>#NUM!</v>
      </c>
      <c r="BI2376" t="e">
        <f>VLOOKUP(H2376,Sheet2!$A$1:$B$270,2,FALSE)</f>
        <v>#N/A</v>
      </c>
    </row>
    <row r="2377" spans="15:61" hidden="1">
      <c r="O2377" s="57"/>
      <c r="P2377" s="57"/>
      <c r="AP2377" s="57"/>
      <c r="BA2377" s="57"/>
      <c r="BF2377" s="6" t="e">
        <f t="shared" si="111"/>
        <v>#NUM!</v>
      </c>
      <c r="BG2377" t="e">
        <f t="shared" si="112"/>
        <v>#NUM!</v>
      </c>
      <c r="BH2377" t="e">
        <f t="shared" si="113"/>
        <v>#NUM!</v>
      </c>
      <c r="BI2377" t="e">
        <f>VLOOKUP(H2377,Sheet2!$A$1:$B$270,2,FALSE)</f>
        <v>#N/A</v>
      </c>
    </row>
    <row r="2378" spans="15:61" hidden="1">
      <c r="O2378" s="57"/>
      <c r="P2378" s="57"/>
      <c r="AO2378" s="57"/>
      <c r="AP2378" s="57"/>
      <c r="BA2378" s="57"/>
      <c r="BF2378" s="6" t="e">
        <f t="shared" si="111"/>
        <v>#NUM!</v>
      </c>
      <c r="BG2378" t="e">
        <f t="shared" si="112"/>
        <v>#NUM!</v>
      </c>
      <c r="BH2378" t="e">
        <f t="shared" si="113"/>
        <v>#NUM!</v>
      </c>
      <c r="BI2378" t="e">
        <f>VLOOKUP(H2378,Sheet2!$A$1:$B$270,2,FALSE)</f>
        <v>#N/A</v>
      </c>
    </row>
    <row r="2379" spans="15:61" hidden="1">
      <c r="O2379" s="57"/>
      <c r="P2379" s="57"/>
      <c r="AO2379" s="57"/>
      <c r="AP2379" s="57"/>
      <c r="BA2379" s="57"/>
      <c r="BF2379" s="6" t="e">
        <f t="shared" si="111"/>
        <v>#NUM!</v>
      </c>
      <c r="BG2379" t="e">
        <f t="shared" si="112"/>
        <v>#NUM!</v>
      </c>
      <c r="BH2379" t="e">
        <f t="shared" si="113"/>
        <v>#NUM!</v>
      </c>
      <c r="BI2379" t="e">
        <f>VLOOKUP(H2379,Sheet2!$A$1:$B$270,2,FALSE)</f>
        <v>#N/A</v>
      </c>
    </row>
    <row r="2380" spans="15:61" hidden="1">
      <c r="O2380" s="57"/>
      <c r="P2380" s="57"/>
      <c r="AO2380" s="57"/>
      <c r="BA2380" s="57"/>
      <c r="BF2380" s="6" t="e">
        <f t="shared" si="111"/>
        <v>#NUM!</v>
      </c>
      <c r="BG2380" t="e">
        <f t="shared" si="112"/>
        <v>#NUM!</v>
      </c>
      <c r="BH2380" t="e">
        <f t="shared" si="113"/>
        <v>#NUM!</v>
      </c>
      <c r="BI2380" t="e">
        <f>VLOOKUP(H2380,Sheet2!$A$1:$B$270,2,FALSE)</f>
        <v>#N/A</v>
      </c>
    </row>
    <row r="2381" spans="15:61" hidden="1">
      <c r="O2381" s="57"/>
      <c r="P2381" s="57"/>
      <c r="AO2381" s="57"/>
      <c r="BA2381" s="57"/>
      <c r="BF2381" s="6" t="e">
        <f t="shared" si="111"/>
        <v>#NUM!</v>
      </c>
      <c r="BG2381" t="e">
        <f t="shared" si="112"/>
        <v>#NUM!</v>
      </c>
      <c r="BH2381" t="e">
        <f t="shared" si="113"/>
        <v>#NUM!</v>
      </c>
      <c r="BI2381" t="e">
        <f>VLOOKUP(H2381,Sheet2!$A$1:$B$270,2,FALSE)</f>
        <v>#N/A</v>
      </c>
    </row>
    <row r="2382" spans="15:61" hidden="1">
      <c r="O2382" s="57"/>
      <c r="P2382" s="57"/>
      <c r="AO2382" s="57"/>
      <c r="BA2382" s="57"/>
      <c r="BF2382" s="6" t="e">
        <f t="shared" si="111"/>
        <v>#NUM!</v>
      </c>
      <c r="BG2382" t="e">
        <f t="shared" si="112"/>
        <v>#NUM!</v>
      </c>
      <c r="BH2382" t="e">
        <f t="shared" si="113"/>
        <v>#NUM!</v>
      </c>
      <c r="BI2382" t="e">
        <f>VLOOKUP(H2382,Sheet2!$A$1:$B$270,2,FALSE)</f>
        <v>#N/A</v>
      </c>
    </row>
    <row r="2383" spans="15:61" hidden="1">
      <c r="O2383" s="57"/>
      <c r="P2383" s="57"/>
      <c r="AO2383" s="57"/>
      <c r="BA2383" s="57"/>
      <c r="BF2383" s="6" t="e">
        <f t="shared" si="111"/>
        <v>#NUM!</v>
      </c>
      <c r="BG2383" t="e">
        <f t="shared" si="112"/>
        <v>#NUM!</v>
      </c>
      <c r="BH2383" t="e">
        <f t="shared" si="113"/>
        <v>#NUM!</v>
      </c>
      <c r="BI2383" t="e">
        <f>VLOOKUP(H2383,Sheet2!$A$1:$B$270,2,FALSE)</f>
        <v>#N/A</v>
      </c>
    </row>
    <row r="2384" spans="15:61" hidden="1">
      <c r="O2384" s="57"/>
      <c r="P2384" s="57"/>
      <c r="AO2384" s="57"/>
      <c r="AP2384" s="57"/>
      <c r="BA2384" s="57"/>
      <c r="BF2384" s="6" t="e">
        <f t="shared" si="111"/>
        <v>#NUM!</v>
      </c>
      <c r="BG2384" t="e">
        <f t="shared" si="112"/>
        <v>#NUM!</v>
      </c>
      <c r="BH2384" t="e">
        <f t="shared" si="113"/>
        <v>#NUM!</v>
      </c>
      <c r="BI2384" t="e">
        <f>VLOOKUP(H2384,Sheet2!$A$1:$B$270,2,FALSE)</f>
        <v>#N/A</v>
      </c>
    </row>
    <row r="2385" spans="15:61" hidden="1">
      <c r="O2385" s="57"/>
      <c r="P2385" s="57"/>
      <c r="AO2385" s="57"/>
      <c r="AP2385" s="57"/>
      <c r="BA2385" s="57"/>
      <c r="BF2385" s="6" t="e">
        <f t="shared" si="111"/>
        <v>#NUM!</v>
      </c>
      <c r="BG2385" t="e">
        <f t="shared" si="112"/>
        <v>#NUM!</v>
      </c>
      <c r="BH2385" t="e">
        <f t="shared" si="113"/>
        <v>#NUM!</v>
      </c>
      <c r="BI2385" t="e">
        <f>VLOOKUP(H2385,Sheet2!$A$1:$B$270,2,FALSE)</f>
        <v>#N/A</v>
      </c>
    </row>
    <row r="2386" spans="15:61" hidden="1">
      <c r="O2386" s="57"/>
      <c r="P2386" s="57"/>
      <c r="AO2386" s="57"/>
      <c r="AP2386" s="57"/>
      <c r="BA2386" s="57"/>
      <c r="BF2386" s="6" t="e">
        <f t="shared" si="111"/>
        <v>#NUM!</v>
      </c>
      <c r="BG2386" t="e">
        <f t="shared" si="112"/>
        <v>#NUM!</v>
      </c>
      <c r="BH2386" t="e">
        <f t="shared" si="113"/>
        <v>#NUM!</v>
      </c>
      <c r="BI2386" t="e">
        <f>VLOOKUP(H2386,Sheet2!$A$1:$B$270,2,FALSE)</f>
        <v>#N/A</v>
      </c>
    </row>
    <row r="2387" spans="15:61" hidden="1">
      <c r="O2387" s="57"/>
      <c r="P2387" s="57"/>
      <c r="AO2387" s="57"/>
      <c r="AP2387" s="57"/>
      <c r="BA2387" s="57"/>
      <c r="BF2387" s="6" t="e">
        <f t="shared" si="111"/>
        <v>#NUM!</v>
      </c>
      <c r="BG2387" t="e">
        <f t="shared" si="112"/>
        <v>#NUM!</v>
      </c>
      <c r="BH2387" t="e">
        <f t="shared" si="113"/>
        <v>#NUM!</v>
      </c>
      <c r="BI2387" t="e">
        <f>VLOOKUP(H2387,Sheet2!$A$1:$B$270,2,FALSE)</f>
        <v>#N/A</v>
      </c>
    </row>
    <row r="2388" spans="15:61" hidden="1">
      <c r="O2388" s="57"/>
      <c r="P2388" s="57"/>
      <c r="AO2388" s="57"/>
      <c r="AP2388" s="57"/>
      <c r="BA2388" s="57"/>
      <c r="BF2388" s="6" t="e">
        <f t="shared" si="111"/>
        <v>#NUM!</v>
      </c>
      <c r="BG2388" t="e">
        <f t="shared" si="112"/>
        <v>#NUM!</v>
      </c>
      <c r="BH2388" t="e">
        <f t="shared" si="113"/>
        <v>#NUM!</v>
      </c>
      <c r="BI2388" t="e">
        <f>VLOOKUP(H2388,Sheet2!$A$1:$B$270,2,FALSE)</f>
        <v>#N/A</v>
      </c>
    </row>
    <row r="2389" spans="15:61" hidden="1">
      <c r="O2389" s="57"/>
      <c r="P2389" s="57"/>
      <c r="AO2389" s="57"/>
      <c r="BA2389" s="57"/>
      <c r="BF2389" s="6" t="e">
        <f t="shared" si="111"/>
        <v>#NUM!</v>
      </c>
      <c r="BG2389" t="e">
        <f t="shared" si="112"/>
        <v>#NUM!</v>
      </c>
      <c r="BH2389" t="e">
        <f t="shared" si="113"/>
        <v>#NUM!</v>
      </c>
      <c r="BI2389" t="e">
        <f>VLOOKUP(H2389,Sheet2!$A$1:$B$270,2,FALSE)</f>
        <v>#N/A</v>
      </c>
    </row>
    <row r="2390" spans="15:61" hidden="1">
      <c r="O2390" s="57"/>
      <c r="P2390" s="57"/>
      <c r="AO2390" s="57"/>
      <c r="AP2390" s="57"/>
      <c r="BA2390" s="57"/>
      <c r="BF2390" s="6" t="e">
        <f t="shared" si="111"/>
        <v>#NUM!</v>
      </c>
      <c r="BG2390" t="e">
        <f t="shared" si="112"/>
        <v>#NUM!</v>
      </c>
      <c r="BH2390" t="e">
        <f t="shared" si="113"/>
        <v>#NUM!</v>
      </c>
      <c r="BI2390" t="e">
        <f>VLOOKUP(H2390,Sheet2!$A$1:$B$270,2,FALSE)</f>
        <v>#N/A</v>
      </c>
    </row>
    <row r="2391" spans="15:61" hidden="1">
      <c r="O2391" s="57"/>
      <c r="P2391" s="57"/>
      <c r="AO2391" s="57"/>
      <c r="AP2391" s="57"/>
      <c r="BA2391" s="57"/>
      <c r="BF2391" s="6" t="e">
        <f t="shared" si="111"/>
        <v>#NUM!</v>
      </c>
      <c r="BG2391" t="e">
        <f t="shared" si="112"/>
        <v>#NUM!</v>
      </c>
      <c r="BH2391" t="e">
        <f t="shared" si="113"/>
        <v>#NUM!</v>
      </c>
      <c r="BI2391" t="e">
        <f>VLOOKUP(H2391,Sheet2!$A$1:$B$270,2,FALSE)</f>
        <v>#N/A</v>
      </c>
    </row>
    <row r="2392" spans="15:61" hidden="1">
      <c r="O2392" s="57"/>
      <c r="P2392" s="57"/>
      <c r="AO2392" s="57"/>
      <c r="AP2392" s="57"/>
      <c r="BA2392" s="57"/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e">
        <f>VLOOKUP(H2392,Sheet2!$A$1:$B$270,2,FALSE)</f>
        <v>#N/A</v>
      </c>
    </row>
    <row r="2393" spans="15:61" hidden="1">
      <c r="O2393" s="57"/>
      <c r="P2393" s="57"/>
      <c r="AP2393" s="57"/>
      <c r="BA2393" s="57"/>
      <c r="BF2393" s="6" t="e">
        <f t="shared" si="111"/>
        <v>#NUM!</v>
      </c>
      <c r="BG2393" t="e">
        <f t="shared" si="112"/>
        <v>#NUM!</v>
      </c>
      <c r="BH2393" t="e">
        <f t="shared" si="113"/>
        <v>#NUM!</v>
      </c>
      <c r="BI2393" t="e">
        <f>VLOOKUP(H2393,Sheet2!$A$1:$B$270,2,FALSE)</f>
        <v>#N/A</v>
      </c>
    </row>
    <row r="2394" spans="15:61" hidden="1">
      <c r="O2394" s="57"/>
      <c r="P2394" s="57"/>
      <c r="AP2394" s="57"/>
      <c r="BA2394" s="57"/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e">
        <f>VLOOKUP(H2394,Sheet2!$A$1:$B$270,2,FALSE)</f>
        <v>#N/A</v>
      </c>
    </row>
    <row r="2395" spans="15:61" hidden="1">
      <c r="O2395" s="57"/>
      <c r="P2395" s="57"/>
      <c r="AP2395" s="57"/>
      <c r="BA2395" s="57"/>
      <c r="BF2395" s="6" t="e">
        <f t="shared" si="111"/>
        <v>#NUM!</v>
      </c>
      <c r="BG2395" t="e">
        <f t="shared" si="112"/>
        <v>#NUM!</v>
      </c>
      <c r="BH2395" t="e">
        <f t="shared" si="113"/>
        <v>#NUM!</v>
      </c>
      <c r="BI2395" t="e">
        <f>VLOOKUP(H2395,Sheet2!$A$1:$B$270,2,FALSE)</f>
        <v>#N/A</v>
      </c>
    </row>
    <row r="2396" spans="15:61" hidden="1">
      <c r="O2396" s="57"/>
      <c r="P2396" s="57"/>
      <c r="AP2396" s="57"/>
      <c r="BA2396" s="57"/>
      <c r="BF2396" s="6" t="e">
        <f t="shared" si="111"/>
        <v>#NUM!</v>
      </c>
      <c r="BG2396" t="e">
        <f t="shared" si="112"/>
        <v>#NUM!</v>
      </c>
      <c r="BH2396" t="e">
        <f t="shared" si="113"/>
        <v>#NUM!</v>
      </c>
      <c r="BI2396" t="e">
        <f>VLOOKUP(H2396,Sheet2!$A$1:$B$270,2,FALSE)</f>
        <v>#N/A</v>
      </c>
    </row>
    <row r="2397" spans="15:61" hidden="1">
      <c r="O2397" s="57"/>
      <c r="P2397" s="57"/>
      <c r="AP2397" s="57"/>
      <c r="BA2397" s="57"/>
      <c r="BF2397" s="6" t="e">
        <f t="shared" si="111"/>
        <v>#NUM!</v>
      </c>
      <c r="BG2397" t="e">
        <f t="shared" si="112"/>
        <v>#NUM!</v>
      </c>
      <c r="BH2397" t="e">
        <f t="shared" si="113"/>
        <v>#NUM!</v>
      </c>
      <c r="BI2397" t="e">
        <f>VLOOKUP(H2397,Sheet2!$A$1:$B$270,2,FALSE)</f>
        <v>#N/A</v>
      </c>
    </row>
    <row r="2398" spans="15:61" hidden="1">
      <c r="O2398" s="57"/>
      <c r="P2398" s="57"/>
      <c r="AP2398" s="57"/>
      <c r="BA2398" s="57"/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e">
        <f>VLOOKUP(H2398,Sheet2!$A$1:$B$270,2,FALSE)</f>
        <v>#N/A</v>
      </c>
    </row>
    <row r="2399" spans="15:61" hidden="1">
      <c r="O2399" s="57"/>
      <c r="P2399" s="57"/>
      <c r="AP2399" s="57"/>
      <c r="BA2399" s="57"/>
      <c r="BF2399" s="6" t="e">
        <f t="shared" si="111"/>
        <v>#NUM!</v>
      </c>
      <c r="BG2399" t="e">
        <f t="shared" si="112"/>
        <v>#NUM!</v>
      </c>
      <c r="BH2399" t="e">
        <f t="shared" si="113"/>
        <v>#NUM!</v>
      </c>
      <c r="BI2399" t="e">
        <f>VLOOKUP(H2399,Sheet2!$A$1:$B$270,2,FALSE)</f>
        <v>#N/A</v>
      </c>
    </row>
    <row r="2400" spans="15:61" hidden="1">
      <c r="O2400" s="57"/>
      <c r="P2400" s="57"/>
      <c r="AP2400" s="57"/>
      <c r="BA2400" s="57"/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e">
        <f>VLOOKUP(H2400,Sheet2!$A$1:$B$270,2,FALSE)</f>
        <v>#N/A</v>
      </c>
    </row>
    <row r="2401" spans="15:61" hidden="1">
      <c r="O2401" s="57"/>
      <c r="P2401" s="57"/>
      <c r="AP2401" s="57"/>
      <c r="BA2401" s="57"/>
      <c r="BF2401" s="6" t="e">
        <f t="shared" si="111"/>
        <v>#NUM!</v>
      </c>
      <c r="BG2401" t="e">
        <f t="shared" si="112"/>
        <v>#NUM!</v>
      </c>
      <c r="BH2401" t="e">
        <f t="shared" si="113"/>
        <v>#NUM!</v>
      </c>
      <c r="BI2401" t="e">
        <f>VLOOKUP(H2401,Sheet2!$A$1:$B$270,2,FALSE)</f>
        <v>#N/A</v>
      </c>
    </row>
    <row r="2402" spans="15:61" hidden="1">
      <c r="O2402" s="57"/>
      <c r="P2402" s="57"/>
      <c r="AO2402" s="57"/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e">
        <f>VLOOKUP(H2402,Sheet2!$A$1:$B$270,2,FALSE)</f>
        <v>#N/A</v>
      </c>
    </row>
    <row r="2403" spans="15:61" hidden="1">
      <c r="O2403" s="57"/>
      <c r="P2403" s="57"/>
      <c r="AO2403" s="57"/>
      <c r="BF2403" s="6" t="e">
        <f t="shared" si="111"/>
        <v>#NUM!</v>
      </c>
      <c r="BG2403" t="e">
        <f t="shared" si="112"/>
        <v>#NUM!</v>
      </c>
      <c r="BH2403" t="e">
        <f t="shared" si="113"/>
        <v>#NUM!</v>
      </c>
      <c r="BI2403" t="e">
        <f>VLOOKUP(H2403,Sheet2!$A$1:$B$270,2,FALSE)</f>
        <v>#N/A</v>
      </c>
    </row>
    <row r="2404" spans="15:61" hidden="1">
      <c r="O2404" s="57"/>
      <c r="P2404" s="57"/>
      <c r="AO2404" s="57"/>
      <c r="BA2404" s="57"/>
      <c r="BF2404" s="6" t="e">
        <f t="shared" si="111"/>
        <v>#NUM!</v>
      </c>
      <c r="BG2404" t="e">
        <f t="shared" si="112"/>
        <v>#NUM!</v>
      </c>
      <c r="BH2404" t="e">
        <f t="shared" si="113"/>
        <v>#NUM!</v>
      </c>
      <c r="BI2404" t="e">
        <f>VLOOKUP(H2404,Sheet2!$A$1:$B$270,2,FALSE)</f>
        <v>#N/A</v>
      </c>
    </row>
    <row r="2405" spans="15:61" hidden="1">
      <c r="O2405" s="57"/>
      <c r="P2405" s="57"/>
      <c r="AO2405" s="57"/>
      <c r="AP2405" s="57"/>
      <c r="BA2405" s="57"/>
      <c r="BF2405" s="6" t="e">
        <f t="shared" si="111"/>
        <v>#NUM!</v>
      </c>
      <c r="BG2405" t="e">
        <f t="shared" si="112"/>
        <v>#NUM!</v>
      </c>
      <c r="BH2405" t="e">
        <f t="shared" si="113"/>
        <v>#NUM!</v>
      </c>
      <c r="BI2405" t="e">
        <f>VLOOKUP(H2405,Sheet2!$A$1:$B$270,2,FALSE)</f>
        <v>#N/A</v>
      </c>
    </row>
    <row r="2406" spans="15:61" hidden="1">
      <c r="O2406" s="57"/>
      <c r="P2406" s="57"/>
      <c r="AO2406" s="57"/>
      <c r="BA2406" s="57"/>
      <c r="BF2406" s="6" t="e">
        <f t="shared" si="111"/>
        <v>#NUM!</v>
      </c>
      <c r="BG2406" t="e">
        <f t="shared" si="112"/>
        <v>#NUM!</v>
      </c>
      <c r="BH2406" t="e">
        <f t="shared" si="113"/>
        <v>#NUM!</v>
      </c>
      <c r="BI2406" t="e">
        <f>VLOOKUP(H2406,Sheet2!$A$1:$B$270,2,FALSE)</f>
        <v>#N/A</v>
      </c>
    </row>
    <row r="2407" spans="15:61" hidden="1">
      <c r="O2407" s="57"/>
      <c r="P2407" s="57"/>
      <c r="AO2407" s="57"/>
      <c r="AP2407" s="57"/>
      <c r="BA2407" s="57"/>
      <c r="BF2407" s="6" t="e">
        <f t="shared" si="111"/>
        <v>#NUM!</v>
      </c>
      <c r="BG2407" t="e">
        <f t="shared" si="112"/>
        <v>#NUM!</v>
      </c>
      <c r="BH2407" t="e">
        <f t="shared" si="113"/>
        <v>#NUM!</v>
      </c>
      <c r="BI2407" t="e">
        <f>VLOOKUP(H2407,Sheet2!$A$1:$B$270,2,FALSE)</f>
        <v>#N/A</v>
      </c>
    </row>
    <row r="2408" spans="15:61" hidden="1">
      <c r="O2408" s="57"/>
      <c r="P2408" s="57"/>
      <c r="AO2408" s="57"/>
      <c r="AP2408" s="57"/>
      <c r="BA2408" s="57"/>
      <c r="BF2408" s="6" t="e">
        <f t="shared" si="111"/>
        <v>#NUM!</v>
      </c>
      <c r="BG2408" t="e">
        <f t="shared" si="112"/>
        <v>#NUM!</v>
      </c>
      <c r="BH2408" t="e">
        <f t="shared" si="113"/>
        <v>#NUM!</v>
      </c>
      <c r="BI2408" t="e">
        <f>VLOOKUP(H2408,Sheet2!$A$1:$B$270,2,FALSE)</f>
        <v>#N/A</v>
      </c>
    </row>
    <row r="2409" spans="15:61" hidden="1">
      <c r="O2409" s="57"/>
      <c r="P2409" s="57"/>
      <c r="BA2409" s="57"/>
      <c r="BF2409" s="6" t="e">
        <f t="shared" si="111"/>
        <v>#NUM!</v>
      </c>
      <c r="BG2409" t="e">
        <f t="shared" si="112"/>
        <v>#NUM!</v>
      </c>
      <c r="BH2409" t="e">
        <f t="shared" si="113"/>
        <v>#NUM!</v>
      </c>
      <c r="BI2409" t="e">
        <f>VLOOKUP(H2409,Sheet2!$A$1:$B$270,2,FALSE)</f>
        <v>#N/A</v>
      </c>
    </row>
    <row r="2410" spans="15:61" hidden="1">
      <c r="O2410" s="57"/>
      <c r="P2410" s="57"/>
      <c r="AP2410" s="57"/>
      <c r="BA2410" s="57"/>
      <c r="BF2410" s="6" t="e">
        <f t="shared" si="111"/>
        <v>#NUM!</v>
      </c>
      <c r="BG2410" t="e">
        <f t="shared" si="112"/>
        <v>#NUM!</v>
      </c>
      <c r="BH2410" t="e">
        <f t="shared" si="113"/>
        <v>#NUM!</v>
      </c>
      <c r="BI2410" t="e">
        <f>VLOOKUP(H2410,Sheet2!$A$1:$B$270,2,FALSE)</f>
        <v>#N/A</v>
      </c>
    </row>
    <row r="2411" spans="15:61" hidden="1">
      <c r="O2411" s="57"/>
      <c r="P2411" s="57"/>
      <c r="AP2411" s="57"/>
      <c r="BA2411" s="57"/>
      <c r="BF2411" s="6" t="e">
        <f t="shared" si="111"/>
        <v>#NUM!</v>
      </c>
      <c r="BG2411" t="e">
        <f t="shared" si="112"/>
        <v>#NUM!</v>
      </c>
      <c r="BH2411" t="e">
        <f t="shared" si="113"/>
        <v>#NUM!</v>
      </c>
      <c r="BI2411" t="e">
        <f>VLOOKUP(H2411,Sheet2!$A$1:$B$270,2,FALSE)</f>
        <v>#N/A</v>
      </c>
    </row>
    <row r="2412" spans="15:61" hidden="1">
      <c r="O2412" s="57"/>
      <c r="P2412" s="57"/>
      <c r="BA2412" s="57"/>
      <c r="BF2412" s="6" t="e">
        <f t="shared" si="111"/>
        <v>#NUM!</v>
      </c>
      <c r="BG2412" t="e">
        <f t="shared" si="112"/>
        <v>#NUM!</v>
      </c>
      <c r="BH2412" t="e">
        <f t="shared" si="113"/>
        <v>#NUM!</v>
      </c>
      <c r="BI2412" t="e">
        <f>VLOOKUP(H2412,Sheet2!$A$1:$B$270,2,FALSE)</f>
        <v>#N/A</v>
      </c>
    </row>
    <row r="2413" spans="15:61" hidden="1">
      <c r="O2413" s="57"/>
      <c r="P2413" s="57"/>
      <c r="AP2413" s="57"/>
      <c r="BA2413" s="57"/>
      <c r="BF2413" s="6" t="e">
        <f t="shared" si="111"/>
        <v>#NUM!</v>
      </c>
      <c r="BG2413" t="e">
        <f t="shared" si="112"/>
        <v>#NUM!</v>
      </c>
      <c r="BH2413" t="e">
        <f t="shared" si="113"/>
        <v>#NUM!</v>
      </c>
      <c r="BI2413" t="e">
        <f>VLOOKUP(H2413,Sheet2!$A$1:$B$270,2,FALSE)</f>
        <v>#N/A</v>
      </c>
    </row>
    <row r="2414" spans="15:61" hidden="1">
      <c r="O2414" s="57"/>
      <c r="P2414" s="57"/>
      <c r="AP2414" s="57"/>
      <c r="BA2414" s="57"/>
      <c r="BF2414" s="6" t="e">
        <f t="shared" si="111"/>
        <v>#NUM!</v>
      </c>
      <c r="BG2414" t="e">
        <f t="shared" si="112"/>
        <v>#NUM!</v>
      </c>
      <c r="BH2414" t="e">
        <f t="shared" si="113"/>
        <v>#NUM!</v>
      </c>
      <c r="BI2414" t="e">
        <f>VLOOKUP(H2414,Sheet2!$A$1:$B$270,2,FALSE)</f>
        <v>#N/A</v>
      </c>
    </row>
    <row r="2415" spans="15:61" hidden="1">
      <c r="O2415" s="57"/>
      <c r="P2415" s="57"/>
      <c r="AO2415" s="57"/>
      <c r="BF2415" s="6" t="e">
        <f t="shared" si="111"/>
        <v>#NUM!</v>
      </c>
      <c r="BG2415" t="e">
        <f t="shared" si="112"/>
        <v>#NUM!</v>
      </c>
      <c r="BH2415" t="e">
        <f t="shared" si="113"/>
        <v>#NUM!</v>
      </c>
      <c r="BI2415" t="e">
        <f>VLOOKUP(H2415,Sheet2!$A$1:$B$270,2,FALSE)</f>
        <v>#N/A</v>
      </c>
    </row>
    <row r="2416" spans="15:61" hidden="1">
      <c r="O2416" s="57"/>
      <c r="P2416" s="57"/>
      <c r="AO2416" s="57"/>
      <c r="AP2416" s="57"/>
      <c r="BA2416" s="57"/>
      <c r="BF2416" s="6" t="e">
        <f t="shared" si="111"/>
        <v>#NUM!</v>
      </c>
      <c r="BG2416" t="e">
        <f t="shared" si="112"/>
        <v>#NUM!</v>
      </c>
      <c r="BH2416" t="e">
        <f t="shared" si="113"/>
        <v>#NUM!</v>
      </c>
      <c r="BI2416" t="e">
        <f>VLOOKUP(H2416,Sheet2!$A$1:$B$270,2,FALSE)</f>
        <v>#N/A</v>
      </c>
    </row>
    <row r="2417" spans="15:61" hidden="1">
      <c r="O2417" s="57"/>
      <c r="P2417" s="57"/>
      <c r="AO2417" s="57"/>
      <c r="AP2417" s="57"/>
      <c r="BA2417" s="57"/>
      <c r="BF2417" s="6" t="e">
        <f t="shared" si="111"/>
        <v>#NUM!</v>
      </c>
      <c r="BG2417" t="e">
        <f t="shared" si="112"/>
        <v>#NUM!</v>
      </c>
      <c r="BH2417" t="e">
        <f t="shared" si="113"/>
        <v>#NUM!</v>
      </c>
      <c r="BI2417" t="e">
        <f>VLOOKUP(H2417,Sheet2!$A$1:$B$270,2,FALSE)</f>
        <v>#N/A</v>
      </c>
    </row>
    <row r="2418" spans="15:61" hidden="1">
      <c r="O2418" s="57"/>
      <c r="P2418" s="57"/>
      <c r="AP2418" s="57"/>
      <c r="BA2418" s="57"/>
      <c r="BF2418" s="6" t="e">
        <f t="shared" si="111"/>
        <v>#NUM!</v>
      </c>
      <c r="BG2418" t="e">
        <f t="shared" si="112"/>
        <v>#NUM!</v>
      </c>
      <c r="BH2418" t="e">
        <f t="shared" si="113"/>
        <v>#NUM!</v>
      </c>
      <c r="BI2418" t="e">
        <f>VLOOKUP(H2418,Sheet2!$A$1:$B$270,2,FALSE)</f>
        <v>#N/A</v>
      </c>
    </row>
    <row r="2419" spans="15:61" hidden="1">
      <c r="O2419" s="57"/>
      <c r="P2419" s="57"/>
      <c r="AP2419" s="57"/>
      <c r="BA2419" s="57"/>
      <c r="BF2419" s="6" t="e">
        <f t="shared" si="111"/>
        <v>#NUM!</v>
      </c>
      <c r="BG2419" t="e">
        <f t="shared" si="112"/>
        <v>#NUM!</v>
      </c>
      <c r="BH2419" t="e">
        <f t="shared" si="113"/>
        <v>#NUM!</v>
      </c>
      <c r="BI2419" t="e">
        <f>VLOOKUP(H2419,Sheet2!$A$1:$B$270,2,FALSE)</f>
        <v>#N/A</v>
      </c>
    </row>
    <row r="2420" spans="15:61" hidden="1">
      <c r="O2420" s="57"/>
      <c r="P2420" s="57"/>
      <c r="AP2420" s="57"/>
      <c r="BA2420" s="57"/>
      <c r="BF2420" s="6" t="e">
        <f t="shared" si="111"/>
        <v>#NUM!</v>
      </c>
      <c r="BG2420" t="e">
        <f t="shared" si="112"/>
        <v>#NUM!</v>
      </c>
      <c r="BH2420" t="e">
        <f t="shared" si="113"/>
        <v>#NUM!</v>
      </c>
      <c r="BI2420" t="e">
        <f>VLOOKUP(H2420,Sheet2!$A$1:$B$270,2,FALSE)</f>
        <v>#N/A</v>
      </c>
    </row>
    <row r="2421" spans="15:61" hidden="1">
      <c r="O2421" s="57"/>
      <c r="P2421" s="57"/>
      <c r="AP2421" s="57"/>
      <c r="BA2421" s="57"/>
      <c r="BF2421" s="6" t="e">
        <f t="shared" si="111"/>
        <v>#NUM!</v>
      </c>
      <c r="BG2421" t="e">
        <f t="shared" si="112"/>
        <v>#NUM!</v>
      </c>
      <c r="BH2421" t="e">
        <f t="shared" si="113"/>
        <v>#NUM!</v>
      </c>
      <c r="BI2421" t="e">
        <f>VLOOKUP(H2421,Sheet2!$A$1:$B$270,2,FALSE)</f>
        <v>#N/A</v>
      </c>
    </row>
    <row r="2422" spans="15:61" hidden="1">
      <c r="O2422" s="57"/>
      <c r="P2422" s="57"/>
      <c r="AP2422" s="57"/>
      <c r="BA2422" s="57"/>
      <c r="BF2422" s="6" t="e">
        <f t="shared" si="111"/>
        <v>#NUM!</v>
      </c>
      <c r="BG2422" t="e">
        <f t="shared" si="112"/>
        <v>#NUM!</v>
      </c>
      <c r="BH2422" t="e">
        <f t="shared" si="113"/>
        <v>#NUM!</v>
      </c>
      <c r="BI2422" t="e">
        <f>VLOOKUP(H2422,Sheet2!$A$1:$B$270,2,FALSE)</f>
        <v>#N/A</v>
      </c>
    </row>
    <row r="2423" spans="15:61" hidden="1">
      <c r="O2423" s="57"/>
      <c r="P2423" s="57"/>
      <c r="AP2423" s="57"/>
      <c r="BA2423" s="57"/>
      <c r="BF2423" s="6" t="e">
        <f t="shared" si="111"/>
        <v>#NUM!</v>
      </c>
      <c r="BG2423" t="e">
        <f t="shared" si="112"/>
        <v>#NUM!</v>
      </c>
      <c r="BH2423" t="e">
        <f t="shared" si="113"/>
        <v>#NUM!</v>
      </c>
      <c r="BI2423" t="e">
        <f>VLOOKUP(H2423,Sheet2!$A$1:$B$270,2,FALSE)</f>
        <v>#N/A</v>
      </c>
    </row>
    <row r="2424" spans="15:61" hidden="1">
      <c r="O2424" s="57"/>
      <c r="P2424" s="57"/>
      <c r="AP2424" s="57"/>
      <c r="BA2424" s="57"/>
      <c r="BF2424" s="6" t="e">
        <f t="shared" si="111"/>
        <v>#NUM!</v>
      </c>
      <c r="BG2424" t="e">
        <f t="shared" si="112"/>
        <v>#NUM!</v>
      </c>
      <c r="BH2424" t="e">
        <f t="shared" si="113"/>
        <v>#NUM!</v>
      </c>
      <c r="BI2424" t="e">
        <f>VLOOKUP(H2424,Sheet2!$A$1:$B$270,2,FALSE)</f>
        <v>#N/A</v>
      </c>
    </row>
    <row r="2425" spans="15:61" hidden="1">
      <c r="O2425" s="57"/>
      <c r="P2425" s="57"/>
      <c r="AP2425" s="57"/>
      <c r="BA2425" s="57"/>
      <c r="BF2425" s="6" t="e">
        <f t="shared" si="111"/>
        <v>#NUM!</v>
      </c>
      <c r="BG2425" t="e">
        <f t="shared" si="112"/>
        <v>#NUM!</v>
      </c>
      <c r="BH2425" t="e">
        <f t="shared" si="113"/>
        <v>#NUM!</v>
      </c>
      <c r="BI2425" t="e">
        <f>VLOOKUP(H2425,Sheet2!$A$1:$B$270,2,FALSE)</f>
        <v>#N/A</v>
      </c>
    </row>
    <row r="2426" spans="15:61" hidden="1">
      <c r="O2426" s="57"/>
      <c r="P2426" s="57"/>
      <c r="AP2426" s="57"/>
      <c r="BA2426" s="57"/>
      <c r="BF2426" s="6" t="e">
        <f t="shared" si="111"/>
        <v>#NUM!</v>
      </c>
      <c r="BG2426" t="e">
        <f t="shared" si="112"/>
        <v>#NUM!</v>
      </c>
      <c r="BH2426" t="e">
        <f t="shared" si="113"/>
        <v>#NUM!</v>
      </c>
      <c r="BI2426" t="e">
        <f>VLOOKUP(H2426,Sheet2!$A$1:$B$270,2,FALSE)</f>
        <v>#N/A</v>
      </c>
    </row>
    <row r="2427" spans="15:61" hidden="1">
      <c r="O2427" s="57"/>
      <c r="P2427" s="57"/>
      <c r="AP2427" s="57"/>
      <c r="BA2427" s="57"/>
      <c r="BF2427" s="6" t="e">
        <f t="shared" si="111"/>
        <v>#NUM!</v>
      </c>
      <c r="BG2427" t="e">
        <f t="shared" si="112"/>
        <v>#NUM!</v>
      </c>
      <c r="BH2427" t="e">
        <f t="shared" si="113"/>
        <v>#NUM!</v>
      </c>
      <c r="BI2427" t="e">
        <f>VLOOKUP(H2427,Sheet2!$A$1:$B$270,2,FALSE)</f>
        <v>#N/A</v>
      </c>
    </row>
    <row r="2428" spans="15:61" hidden="1">
      <c r="O2428" s="57"/>
      <c r="P2428" s="57"/>
      <c r="AO2428" s="57"/>
      <c r="AP2428" s="57"/>
      <c r="BA2428" s="57"/>
      <c r="BF2428" s="6" t="e">
        <f t="shared" si="111"/>
        <v>#NUM!</v>
      </c>
      <c r="BG2428" t="e">
        <f t="shared" si="112"/>
        <v>#NUM!</v>
      </c>
      <c r="BH2428" t="e">
        <f t="shared" si="113"/>
        <v>#NUM!</v>
      </c>
      <c r="BI2428" t="e">
        <f>VLOOKUP(H2428,Sheet2!$A$1:$B$270,2,FALSE)</f>
        <v>#N/A</v>
      </c>
    </row>
    <row r="2429" spans="15:61" hidden="1">
      <c r="O2429" s="57"/>
      <c r="P2429" s="57"/>
      <c r="AO2429" s="57"/>
      <c r="AP2429" s="57"/>
      <c r="BA2429" s="57"/>
      <c r="BF2429" s="6" t="e">
        <f t="shared" si="111"/>
        <v>#NUM!</v>
      </c>
      <c r="BG2429" t="e">
        <f t="shared" si="112"/>
        <v>#NUM!</v>
      </c>
      <c r="BH2429" t="e">
        <f t="shared" si="113"/>
        <v>#NUM!</v>
      </c>
      <c r="BI2429" t="e">
        <f>VLOOKUP(H2429,Sheet2!$A$1:$B$270,2,FALSE)</f>
        <v>#N/A</v>
      </c>
    </row>
    <row r="2430" spans="15:61" hidden="1">
      <c r="O2430" s="57"/>
      <c r="P2430" s="57"/>
      <c r="AO2430" s="57"/>
      <c r="AP2430" s="57"/>
      <c r="BA2430" s="57"/>
      <c r="BF2430" s="6" t="e">
        <f t="shared" si="111"/>
        <v>#NUM!</v>
      </c>
      <c r="BG2430" t="e">
        <f t="shared" si="112"/>
        <v>#NUM!</v>
      </c>
      <c r="BH2430" t="e">
        <f t="shared" si="113"/>
        <v>#NUM!</v>
      </c>
      <c r="BI2430" t="e">
        <f>VLOOKUP(H2430,Sheet2!$A$1:$B$270,2,FALSE)</f>
        <v>#N/A</v>
      </c>
    </row>
    <row r="2431" spans="15:61" hidden="1">
      <c r="O2431" s="57"/>
      <c r="P2431" s="57"/>
      <c r="AP2431" s="57"/>
      <c r="BA2431" s="57"/>
      <c r="BF2431" s="6" t="e">
        <f t="shared" si="111"/>
        <v>#NUM!</v>
      </c>
      <c r="BG2431" t="e">
        <f t="shared" si="112"/>
        <v>#NUM!</v>
      </c>
      <c r="BH2431" t="e">
        <f t="shared" si="113"/>
        <v>#NUM!</v>
      </c>
      <c r="BI2431" t="e">
        <f>VLOOKUP(H2431,Sheet2!$A$1:$B$270,2,FALSE)</f>
        <v>#N/A</v>
      </c>
    </row>
    <row r="2432" spans="15:61" hidden="1">
      <c r="O2432" s="57"/>
      <c r="P2432" s="57"/>
      <c r="BA2432" s="57"/>
      <c r="BF2432" s="6" t="e">
        <f t="shared" si="111"/>
        <v>#NUM!</v>
      </c>
      <c r="BG2432" t="e">
        <f t="shared" si="112"/>
        <v>#NUM!</v>
      </c>
      <c r="BH2432" t="e">
        <f t="shared" si="113"/>
        <v>#NUM!</v>
      </c>
      <c r="BI2432" t="e">
        <f>VLOOKUP(H2432,Sheet2!$A$1:$B$270,2,FALSE)</f>
        <v>#N/A</v>
      </c>
    </row>
    <row r="2433" spans="15:61" hidden="1">
      <c r="O2433" s="57"/>
      <c r="P2433" s="57"/>
      <c r="BA2433" s="57"/>
      <c r="BF2433" s="6" t="e">
        <f t="shared" si="111"/>
        <v>#NUM!</v>
      </c>
      <c r="BG2433" t="e">
        <f t="shared" si="112"/>
        <v>#NUM!</v>
      </c>
      <c r="BH2433" t="e">
        <f t="shared" si="113"/>
        <v>#NUM!</v>
      </c>
      <c r="BI2433" t="e">
        <f>VLOOKUP(H2433,Sheet2!$A$1:$B$270,2,FALSE)</f>
        <v>#N/A</v>
      </c>
    </row>
    <row r="2434" spans="15:61" hidden="1">
      <c r="O2434" s="57"/>
      <c r="P2434" s="57"/>
      <c r="AP2434" s="57"/>
      <c r="BA2434" s="57"/>
      <c r="BF2434" s="6" t="e">
        <f t="shared" ref="BF2434:BF2497" si="114">DATE(BC2434,BD2434,BE2434)</f>
        <v>#NUM!</v>
      </c>
      <c r="BG2434" t="e">
        <f t="shared" ref="BG2434:BG2497" si="115">BF2434-BA2434</f>
        <v>#NUM!</v>
      </c>
      <c r="BH2434" t="e">
        <f t="shared" ref="BH2434:BH2497" si="116">IF(BG2434=1,"COMPLY",IF(BG2434&lt;1,"COMPLY","NOT COMPLY"))</f>
        <v>#NUM!</v>
      </c>
      <c r="BI2434" t="e">
        <f>VLOOKUP(H2434,Sheet2!$A$1:$B$270,2,FALSE)</f>
        <v>#N/A</v>
      </c>
    </row>
    <row r="2435" spans="15:61" hidden="1">
      <c r="O2435" s="57"/>
      <c r="P2435" s="57"/>
      <c r="AP2435" s="57"/>
      <c r="BA2435" s="57"/>
      <c r="BF2435" s="6" t="e">
        <f t="shared" si="114"/>
        <v>#NUM!</v>
      </c>
      <c r="BG2435" t="e">
        <f t="shared" si="115"/>
        <v>#NUM!</v>
      </c>
      <c r="BH2435" t="e">
        <f t="shared" si="116"/>
        <v>#NUM!</v>
      </c>
      <c r="BI2435" t="e">
        <f>VLOOKUP(H2435,Sheet2!$A$1:$B$270,2,FALSE)</f>
        <v>#N/A</v>
      </c>
    </row>
    <row r="2436" spans="15:61" hidden="1">
      <c r="O2436" s="57"/>
      <c r="P2436" s="57"/>
      <c r="BA2436" s="57"/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e">
        <f>VLOOKUP(H2436,Sheet2!$A$1:$B$270,2,FALSE)</f>
        <v>#N/A</v>
      </c>
    </row>
    <row r="2437" spans="15:61" hidden="1">
      <c r="O2437" s="57"/>
      <c r="P2437" s="57"/>
      <c r="AP2437" s="57"/>
      <c r="BA2437" s="57"/>
      <c r="BF2437" s="6" t="e">
        <f t="shared" si="114"/>
        <v>#NUM!</v>
      </c>
      <c r="BG2437" t="e">
        <f t="shared" si="115"/>
        <v>#NUM!</v>
      </c>
      <c r="BH2437" t="e">
        <f t="shared" si="116"/>
        <v>#NUM!</v>
      </c>
      <c r="BI2437" t="e">
        <f>VLOOKUP(H2437,Sheet2!$A$1:$B$270,2,FALSE)</f>
        <v>#N/A</v>
      </c>
    </row>
    <row r="2438" spans="15:61" hidden="1">
      <c r="O2438" s="57"/>
      <c r="P2438" s="57"/>
      <c r="BA2438" s="57"/>
      <c r="BF2438" s="6" t="e">
        <f t="shared" si="114"/>
        <v>#NUM!</v>
      </c>
      <c r="BG2438" t="e">
        <f t="shared" si="115"/>
        <v>#NUM!</v>
      </c>
      <c r="BH2438" t="e">
        <f t="shared" si="116"/>
        <v>#NUM!</v>
      </c>
      <c r="BI2438" t="e">
        <f>VLOOKUP(H2438,Sheet2!$A$1:$B$270,2,FALSE)</f>
        <v>#N/A</v>
      </c>
    </row>
    <row r="2439" spans="15:61" hidden="1">
      <c r="O2439" s="57"/>
      <c r="P2439" s="57"/>
      <c r="AP2439" s="57"/>
      <c r="BA2439" s="57"/>
      <c r="BF2439" s="6" t="e">
        <f t="shared" si="114"/>
        <v>#NUM!</v>
      </c>
      <c r="BG2439" t="e">
        <f t="shared" si="115"/>
        <v>#NUM!</v>
      </c>
      <c r="BH2439" t="e">
        <f t="shared" si="116"/>
        <v>#NUM!</v>
      </c>
      <c r="BI2439" t="e">
        <f>VLOOKUP(H2439,Sheet2!$A$1:$B$270,2,FALSE)</f>
        <v>#N/A</v>
      </c>
    </row>
    <row r="2440" spans="15:61" hidden="1">
      <c r="O2440" s="57"/>
      <c r="P2440" s="57"/>
      <c r="AP2440" s="57"/>
      <c r="BA2440" s="57"/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e">
        <f>VLOOKUP(H2440,Sheet2!$A$1:$B$270,2,FALSE)</f>
        <v>#N/A</v>
      </c>
    </row>
    <row r="2441" spans="15:61" hidden="1">
      <c r="O2441" s="57"/>
      <c r="P2441" s="57"/>
      <c r="AM2441" s="58"/>
      <c r="BA2441" s="57"/>
      <c r="BB2441" s="58"/>
      <c r="BF2441" s="6" t="e">
        <f t="shared" si="114"/>
        <v>#NUM!</v>
      </c>
      <c r="BG2441" t="e">
        <f t="shared" si="115"/>
        <v>#NUM!</v>
      </c>
      <c r="BH2441" t="e">
        <f t="shared" si="116"/>
        <v>#NUM!</v>
      </c>
      <c r="BI2441" t="e">
        <f>VLOOKUP(H2441,Sheet2!$A$1:$B$270,2,FALSE)</f>
        <v>#N/A</v>
      </c>
    </row>
    <row r="2442" spans="15:61" hidden="1">
      <c r="O2442" s="57"/>
      <c r="P2442" s="57"/>
      <c r="AP2442" s="57"/>
      <c r="BA2442" s="57"/>
      <c r="BF2442" s="6" t="e">
        <f t="shared" si="114"/>
        <v>#NUM!</v>
      </c>
      <c r="BG2442" t="e">
        <f t="shared" si="115"/>
        <v>#NUM!</v>
      </c>
      <c r="BH2442" t="e">
        <f t="shared" si="116"/>
        <v>#NUM!</v>
      </c>
      <c r="BI2442" t="e">
        <f>VLOOKUP(H2442,Sheet2!$A$1:$B$270,2,FALSE)</f>
        <v>#N/A</v>
      </c>
    </row>
    <row r="2443" spans="15:61" hidden="1">
      <c r="O2443" s="57"/>
      <c r="P2443" s="57"/>
      <c r="AP2443" s="57"/>
      <c r="BA2443" s="57"/>
      <c r="BF2443" s="6" t="e">
        <f t="shared" si="114"/>
        <v>#NUM!</v>
      </c>
      <c r="BG2443" t="e">
        <f t="shared" si="115"/>
        <v>#NUM!</v>
      </c>
      <c r="BH2443" t="e">
        <f t="shared" si="116"/>
        <v>#NUM!</v>
      </c>
      <c r="BI2443" t="e">
        <f>VLOOKUP(H2443,Sheet2!$A$1:$B$270,2,FALSE)</f>
        <v>#N/A</v>
      </c>
    </row>
    <row r="2444" spans="15:61" hidden="1">
      <c r="O2444" s="57"/>
      <c r="P2444" s="57"/>
      <c r="AP2444" s="57"/>
      <c r="BA2444" s="57"/>
      <c r="BF2444" s="6" t="e">
        <f t="shared" si="114"/>
        <v>#NUM!</v>
      </c>
      <c r="BG2444" t="e">
        <f t="shared" si="115"/>
        <v>#NUM!</v>
      </c>
      <c r="BH2444" t="e">
        <f t="shared" si="116"/>
        <v>#NUM!</v>
      </c>
      <c r="BI2444" t="e">
        <f>VLOOKUP(H2444,Sheet2!$A$1:$B$270,2,FALSE)</f>
        <v>#N/A</v>
      </c>
    </row>
    <row r="2445" spans="15:61" hidden="1">
      <c r="O2445" s="57"/>
      <c r="P2445" s="57"/>
      <c r="BA2445" s="57"/>
      <c r="BF2445" s="6" t="e">
        <f t="shared" si="114"/>
        <v>#NUM!</v>
      </c>
      <c r="BG2445" t="e">
        <f t="shared" si="115"/>
        <v>#NUM!</v>
      </c>
      <c r="BH2445" t="e">
        <f t="shared" si="116"/>
        <v>#NUM!</v>
      </c>
      <c r="BI2445" t="e">
        <f>VLOOKUP(H2445,Sheet2!$A$1:$B$270,2,FALSE)</f>
        <v>#N/A</v>
      </c>
    </row>
    <row r="2446" spans="15:61" hidden="1">
      <c r="O2446" s="57"/>
      <c r="P2446" s="57"/>
      <c r="AP2446" s="57"/>
      <c r="BA2446" s="57"/>
      <c r="BF2446" s="6" t="e">
        <f t="shared" si="114"/>
        <v>#NUM!</v>
      </c>
      <c r="BG2446" t="e">
        <f t="shared" si="115"/>
        <v>#NUM!</v>
      </c>
      <c r="BH2446" t="e">
        <f t="shared" si="116"/>
        <v>#NUM!</v>
      </c>
      <c r="BI2446" t="e">
        <f>VLOOKUP(H2446,Sheet2!$A$1:$B$270,2,FALSE)</f>
        <v>#N/A</v>
      </c>
    </row>
    <row r="2447" spans="15:61" hidden="1">
      <c r="O2447" s="57"/>
      <c r="P2447" s="57"/>
      <c r="AP2447" s="57"/>
      <c r="BA2447" s="57"/>
      <c r="BF2447" s="6" t="e">
        <f t="shared" si="114"/>
        <v>#NUM!</v>
      </c>
      <c r="BG2447" t="e">
        <f t="shared" si="115"/>
        <v>#NUM!</v>
      </c>
      <c r="BH2447" t="e">
        <f t="shared" si="116"/>
        <v>#NUM!</v>
      </c>
      <c r="BI2447" t="e">
        <f>VLOOKUP(H2447,Sheet2!$A$1:$B$270,2,FALSE)</f>
        <v>#N/A</v>
      </c>
    </row>
    <row r="2448" spans="15:61" hidden="1">
      <c r="O2448" s="57"/>
      <c r="P2448" s="57"/>
      <c r="BA2448" s="57"/>
      <c r="BF2448" s="6" t="e">
        <f t="shared" si="114"/>
        <v>#NUM!</v>
      </c>
      <c r="BG2448" t="e">
        <f t="shared" si="115"/>
        <v>#NUM!</v>
      </c>
      <c r="BH2448" t="e">
        <f t="shared" si="116"/>
        <v>#NUM!</v>
      </c>
      <c r="BI2448" t="e">
        <f>VLOOKUP(H2448,Sheet2!$A$1:$B$270,2,FALSE)</f>
        <v>#N/A</v>
      </c>
    </row>
    <row r="2449" spans="15:61" hidden="1">
      <c r="O2449" s="57"/>
      <c r="P2449" s="57"/>
      <c r="AP2449" s="57"/>
      <c r="BA2449" s="57"/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e">
        <f>VLOOKUP(H2449,Sheet2!$A$1:$B$270,2,FALSE)</f>
        <v>#N/A</v>
      </c>
    </row>
    <row r="2450" spans="15:61" hidden="1">
      <c r="O2450" s="57"/>
      <c r="P2450" s="57"/>
      <c r="AO2450" s="57"/>
      <c r="AP2450" s="57"/>
      <c r="BA2450" s="57"/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e">
        <f>VLOOKUP(H2450,Sheet2!$A$1:$B$270,2,FALSE)</f>
        <v>#N/A</v>
      </c>
    </row>
    <row r="2451" spans="15:61" hidden="1">
      <c r="O2451" s="57"/>
      <c r="P2451" s="57"/>
      <c r="AO2451" s="57"/>
      <c r="AP2451" s="57"/>
      <c r="BA2451" s="57"/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e">
        <f>VLOOKUP(H2451,Sheet2!$A$1:$B$270,2,FALSE)</f>
        <v>#N/A</v>
      </c>
    </row>
    <row r="2452" spans="15:61" hidden="1">
      <c r="O2452" s="57"/>
      <c r="P2452" s="57"/>
      <c r="AO2452" s="57"/>
      <c r="AP2452" s="57"/>
      <c r="BA2452" s="57"/>
      <c r="BF2452" s="6" t="e">
        <f t="shared" si="114"/>
        <v>#NUM!</v>
      </c>
      <c r="BG2452" t="e">
        <f t="shared" si="115"/>
        <v>#NUM!</v>
      </c>
      <c r="BH2452" t="e">
        <f t="shared" si="116"/>
        <v>#NUM!</v>
      </c>
      <c r="BI2452" t="e">
        <f>VLOOKUP(H2452,Sheet2!$A$1:$B$270,2,FALSE)</f>
        <v>#N/A</v>
      </c>
    </row>
    <row r="2453" spans="15:61" hidden="1">
      <c r="O2453" s="57"/>
      <c r="P2453" s="57"/>
      <c r="AO2453" s="57"/>
      <c r="AP2453" s="57"/>
      <c r="BA2453" s="57"/>
      <c r="BF2453" s="6" t="e">
        <f t="shared" si="114"/>
        <v>#NUM!</v>
      </c>
      <c r="BG2453" t="e">
        <f t="shared" si="115"/>
        <v>#NUM!</v>
      </c>
      <c r="BH2453" t="e">
        <f t="shared" si="116"/>
        <v>#NUM!</v>
      </c>
      <c r="BI2453" t="e">
        <f>VLOOKUP(H2453,Sheet2!$A$1:$B$270,2,FALSE)</f>
        <v>#N/A</v>
      </c>
    </row>
    <row r="2454" spans="15:61" hidden="1">
      <c r="O2454" s="57"/>
      <c r="P2454" s="57"/>
      <c r="AO2454" s="57"/>
      <c r="AP2454" s="57"/>
      <c r="BA2454" s="57"/>
      <c r="BF2454" s="6" t="e">
        <f t="shared" si="114"/>
        <v>#NUM!</v>
      </c>
      <c r="BG2454" t="e">
        <f t="shared" si="115"/>
        <v>#NUM!</v>
      </c>
      <c r="BH2454" t="e">
        <f t="shared" si="116"/>
        <v>#NUM!</v>
      </c>
      <c r="BI2454" t="e">
        <f>VLOOKUP(H2454,Sheet2!$A$1:$B$270,2,FALSE)</f>
        <v>#N/A</v>
      </c>
    </row>
    <row r="2455" spans="15:61" hidden="1">
      <c r="O2455" s="57"/>
      <c r="P2455" s="57"/>
      <c r="AP2455" s="57"/>
      <c r="BA2455" s="57"/>
      <c r="BF2455" s="6" t="e">
        <f t="shared" si="114"/>
        <v>#NUM!</v>
      </c>
      <c r="BG2455" t="e">
        <f t="shared" si="115"/>
        <v>#NUM!</v>
      </c>
      <c r="BH2455" t="e">
        <f t="shared" si="116"/>
        <v>#NUM!</v>
      </c>
      <c r="BI2455" t="e">
        <f>VLOOKUP(H2455,Sheet2!$A$1:$B$270,2,FALSE)</f>
        <v>#N/A</v>
      </c>
    </row>
    <row r="2456" spans="15:61" hidden="1">
      <c r="O2456" s="57"/>
      <c r="P2456" s="57"/>
      <c r="AP2456" s="57"/>
      <c r="BA2456" s="57"/>
      <c r="BF2456" s="6" t="e">
        <f t="shared" si="114"/>
        <v>#NUM!</v>
      </c>
      <c r="BG2456" t="e">
        <f t="shared" si="115"/>
        <v>#NUM!</v>
      </c>
      <c r="BH2456" t="e">
        <f t="shared" si="116"/>
        <v>#NUM!</v>
      </c>
      <c r="BI2456" t="e">
        <f>VLOOKUP(H2456,Sheet2!$A$1:$B$270,2,FALSE)</f>
        <v>#N/A</v>
      </c>
    </row>
    <row r="2457" spans="15:61" hidden="1">
      <c r="O2457" s="57"/>
      <c r="P2457" s="57"/>
      <c r="AP2457" s="57"/>
      <c r="BA2457" s="57"/>
      <c r="BF2457" s="6" t="e">
        <f t="shared" si="114"/>
        <v>#NUM!</v>
      </c>
      <c r="BG2457" t="e">
        <f t="shared" si="115"/>
        <v>#NUM!</v>
      </c>
      <c r="BH2457" t="e">
        <f t="shared" si="116"/>
        <v>#NUM!</v>
      </c>
      <c r="BI2457" t="e">
        <f>VLOOKUP(H2457,Sheet2!$A$1:$B$270,2,FALSE)</f>
        <v>#N/A</v>
      </c>
    </row>
    <row r="2458" spans="15:61" hidden="1">
      <c r="O2458" s="57"/>
      <c r="P2458" s="57"/>
      <c r="AP2458" s="57"/>
      <c r="BA2458" s="57"/>
      <c r="BF2458" s="6" t="e">
        <f t="shared" si="114"/>
        <v>#NUM!</v>
      </c>
      <c r="BG2458" t="e">
        <f t="shared" si="115"/>
        <v>#NUM!</v>
      </c>
      <c r="BH2458" t="e">
        <f t="shared" si="116"/>
        <v>#NUM!</v>
      </c>
      <c r="BI2458" t="e">
        <f>VLOOKUP(H2458,Sheet2!$A$1:$B$270,2,FALSE)</f>
        <v>#N/A</v>
      </c>
    </row>
    <row r="2459" spans="15:61" hidden="1">
      <c r="O2459" s="57"/>
      <c r="P2459" s="57"/>
      <c r="AP2459" s="57"/>
      <c r="BA2459" s="57"/>
      <c r="BF2459" s="6" t="e">
        <f t="shared" si="114"/>
        <v>#NUM!</v>
      </c>
      <c r="BG2459" t="e">
        <f t="shared" si="115"/>
        <v>#NUM!</v>
      </c>
      <c r="BH2459" t="e">
        <f t="shared" si="116"/>
        <v>#NUM!</v>
      </c>
      <c r="BI2459" t="e">
        <f>VLOOKUP(H2459,Sheet2!$A$1:$B$270,2,FALSE)</f>
        <v>#N/A</v>
      </c>
    </row>
    <row r="2460" spans="15:61" hidden="1">
      <c r="O2460" s="57"/>
      <c r="P2460" s="57"/>
      <c r="AP2460" s="57"/>
      <c r="BA2460" s="57"/>
      <c r="BF2460" s="6" t="e">
        <f t="shared" si="114"/>
        <v>#NUM!</v>
      </c>
      <c r="BG2460" t="e">
        <f t="shared" si="115"/>
        <v>#NUM!</v>
      </c>
      <c r="BH2460" t="e">
        <f t="shared" si="116"/>
        <v>#NUM!</v>
      </c>
      <c r="BI2460" t="e">
        <f>VLOOKUP(H2460,Sheet2!$A$1:$B$270,2,FALSE)</f>
        <v>#N/A</v>
      </c>
    </row>
    <row r="2461" spans="15:61" hidden="1">
      <c r="O2461" s="57"/>
      <c r="P2461" s="57"/>
      <c r="AP2461" s="57"/>
      <c r="BA2461" s="57"/>
      <c r="BF2461" s="6" t="e">
        <f t="shared" si="114"/>
        <v>#NUM!</v>
      </c>
      <c r="BG2461" t="e">
        <f t="shared" si="115"/>
        <v>#NUM!</v>
      </c>
      <c r="BH2461" t="e">
        <f t="shared" si="116"/>
        <v>#NUM!</v>
      </c>
      <c r="BI2461" t="e">
        <f>VLOOKUP(H2461,Sheet2!$A$1:$B$270,2,FALSE)</f>
        <v>#N/A</v>
      </c>
    </row>
    <row r="2462" spans="15:61" hidden="1">
      <c r="O2462" s="57"/>
      <c r="P2462" s="57"/>
      <c r="AP2462" s="57"/>
      <c r="BA2462" s="57"/>
      <c r="BF2462" s="6" t="e">
        <f t="shared" si="114"/>
        <v>#NUM!</v>
      </c>
      <c r="BG2462" t="e">
        <f t="shared" si="115"/>
        <v>#NUM!</v>
      </c>
      <c r="BH2462" t="e">
        <f t="shared" si="116"/>
        <v>#NUM!</v>
      </c>
      <c r="BI2462" t="e">
        <f>VLOOKUP(H2462,Sheet2!$A$1:$B$270,2,FALSE)</f>
        <v>#N/A</v>
      </c>
    </row>
    <row r="2463" spans="15:61" hidden="1">
      <c r="O2463" s="57"/>
      <c r="P2463" s="57"/>
      <c r="AP2463" s="57"/>
      <c r="BA2463" s="57"/>
      <c r="BF2463" s="6" t="e">
        <f t="shared" si="114"/>
        <v>#NUM!</v>
      </c>
      <c r="BG2463" t="e">
        <f t="shared" si="115"/>
        <v>#NUM!</v>
      </c>
      <c r="BH2463" t="e">
        <f t="shared" si="116"/>
        <v>#NUM!</v>
      </c>
      <c r="BI2463" t="e">
        <f>VLOOKUP(H2463,Sheet2!$A$1:$B$270,2,FALSE)</f>
        <v>#N/A</v>
      </c>
    </row>
    <row r="2464" spans="15:61" hidden="1">
      <c r="O2464" s="57"/>
      <c r="P2464" s="57"/>
      <c r="AP2464" s="57"/>
      <c r="BA2464" s="57"/>
      <c r="BF2464" s="6" t="e">
        <f t="shared" si="114"/>
        <v>#NUM!</v>
      </c>
      <c r="BG2464" t="e">
        <f t="shared" si="115"/>
        <v>#NUM!</v>
      </c>
      <c r="BH2464" t="e">
        <f t="shared" si="116"/>
        <v>#NUM!</v>
      </c>
      <c r="BI2464" t="e">
        <f>VLOOKUP(H2464,Sheet2!$A$1:$B$270,2,FALSE)</f>
        <v>#N/A</v>
      </c>
    </row>
    <row r="2465" spans="15:61" hidden="1">
      <c r="O2465" s="57"/>
      <c r="P2465" s="57"/>
      <c r="AO2465" s="57"/>
      <c r="BF2465" s="6" t="e">
        <f t="shared" si="114"/>
        <v>#NUM!</v>
      </c>
      <c r="BG2465" t="e">
        <f t="shared" si="115"/>
        <v>#NUM!</v>
      </c>
      <c r="BH2465" t="e">
        <f t="shared" si="116"/>
        <v>#NUM!</v>
      </c>
      <c r="BI2465" t="e">
        <f>VLOOKUP(H2465,Sheet2!$A$1:$B$270,2,FALSE)</f>
        <v>#N/A</v>
      </c>
    </row>
    <row r="2466" spans="15:61" hidden="1">
      <c r="O2466" s="57"/>
      <c r="P2466" s="57"/>
      <c r="AP2466" s="57"/>
      <c r="BA2466" s="57"/>
      <c r="BF2466" s="6" t="e">
        <f t="shared" si="114"/>
        <v>#NUM!</v>
      </c>
      <c r="BG2466" t="e">
        <f t="shared" si="115"/>
        <v>#NUM!</v>
      </c>
      <c r="BH2466" t="e">
        <f t="shared" si="116"/>
        <v>#NUM!</v>
      </c>
      <c r="BI2466" t="e">
        <f>VLOOKUP(H2466,Sheet2!$A$1:$B$270,2,FALSE)</f>
        <v>#N/A</v>
      </c>
    </row>
    <row r="2467" spans="15:61" hidden="1">
      <c r="O2467" s="57"/>
      <c r="P2467" s="57"/>
      <c r="AO2467" s="57"/>
      <c r="AP2467" s="57"/>
      <c r="BA2467" s="57"/>
      <c r="BF2467" s="6" t="e">
        <f t="shared" si="114"/>
        <v>#NUM!</v>
      </c>
      <c r="BG2467" t="e">
        <f t="shared" si="115"/>
        <v>#NUM!</v>
      </c>
      <c r="BH2467" t="e">
        <f t="shared" si="116"/>
        <v>#NUM!</v>
      </c>
      <c r="BI2467" t="e">
        <f>VLOOKUP(H2467,Sheet2!$A$1:$B$270,2,FALSE)</f>
        <v>#N/A</v>
      </c>
    </row>
    <row r="2468" spans="15:61" hidden="1">
      <c r="O2468" s="57"/>
      <c r="P2468" s="57"/>
      <c r="AO2468" s="57"/>
      <c r="AP2468" s="57"/>
      <c r="BA2468" s="57"/>
      <c r="BF2468" s="6" t="e">
        <f t="shared" si="114"/>
        <v>#NUM!</v>
      </c>
      <c r="BG2468" t="e">
        <f t="shared" si="115"/>
        <v>#NUM!</v>
      </c>
      <c r="BH2468" t="e">
        <f t="shared" si="116"/>
        <v>#NUM!</v>
      </c>
      <c r="BI2468" t="e">
        <f>VLOOKUP(H2468,Sheet2!$A$1:$B$270,2,FALSE)</f>
        <v>#N/A</v>
      </c>
    </row>
    <row r="2469" spans="15:61" hidden="1">
      <c r="O2469" s="57"/>
      <c r="P2469" s="57"/>
      <c r="AO2469" s="57"/>
      <c r="AP2469" s="57"/>
      <c r="BA2469" s="57"/>
      <c r="BF2469" s="6" t="e">
        <f t="shared" si="114"/>
        <v>#NUM!</v>
      </c>
      <c r="BG2469" t="e">
        <f t="shared" si="115"/>
        <v>#NUM!</v>
      </c>
      <c r="BH2469" t="e">
        <f t="shared" si="116"/>
        <v>#NUM!</v>
      </c>
      <c r="BI2469" t="e">
        <f>VLOOKUP(H2469,Sheet2!$A$1:$B$270,2,FALSE)</f>
        <v>#N/A</v>
      </c>
    </row>
    <row r="2470" spans="15:61" hidden="1">
      <c r="O2470" s="57"/>
      <c r="P2470" s="57"/>
      <c r="AO2470" s="57"/>
      <c r="AP2470" s="57"/>
      <c r="BA2470" s="57"/>
      <c r="BF2470" s="6" t="e">
        <f t="shared" si="114"/>
        <v>#NUM!</v>
      </c>
      <c r="BG2470" t="e">
        <f t="shared" si="115"/>
        <v>#NUM!</v>
      </c>
      <c r="BH2470" t="e">
        <f t="shared" si="116"/>
        <v>#NUM!</v>
      </c>
      <c r="BI2470" t="e">
        <f>VLOOKUP(H2470,Sheet2!$A$1:$B$270,2,FALSE)</f>
        <v>#N/A</v>
      </c>
    </row>
    <row r="2471" spans="15:61" hidden="1">
      <c r="O2471" s="57"/>
      <c r="P2471" s="57"/>
      <c r="AO2471" s="57"/>
      <c r="AP2471" s="57"/>
      <c r="BA2471" s="57"/>
      <c r="BF2471" s="6" t="e">
        <f t="shared" si="114"/>
        <v>#NUM!</v>
      </c>
      <c r="BG2471" t="e">
        <f t="shared" si="115"/>
        <v>#NUM!</v>
      </c>
      <c r="BH2471" t="e">
        <f t="shared" si="116"/>
        <v>#NUM!</v>
      </c>
      <c r="BI2471" t="e">
        <f>VLOOKUP(H2471,Sheet2!$A$1:$B$270,2,FALSE)</f>
        <v>#N/A</v>
      </c>
    </row>
    <row r="2472" spans="15:61" hidden="1">
      <c r="O2472" s="57"/>
      <c r="P2472" s="57"/>
      <c r="AO2472" s="57"/>
      <c r="AP2472" s="57"/>
      <c r="BA2472" s="57"/>
      <c r="BF2472" s="6" t="e">
        <f t="shared" si="114"/>
        <v>#NUM!</v>
      </c>
      <c r="BG2472" t="e">
        <f t="shared" si="115"/>
        <v>#NUM!</v>
      </c>
      <c r="BH2472" t="e">
        <f t="shared" si="116"/>
        <v>#NUM!</v>
      </c>
      <c r="BI2472" t="e">
        <f>VLOOKUP(H2472,Sheet2!$A$1:$B$270,2,FALSE)</f>
        <v>#N/A</v>
      </c>
    </row>
    <row r="2473" spans="15:61" hidden="1">
      <c r="O2473" s="57"/>
      <c r="P2473" s="57"/>
      <c r="AO2473" s="57"/>
      <c r="AP2473" s="57"/>
      <c r="BA2473" s="57"/>
      <c r="BF2473" s="6" t="e">
        <f t="shared" si="114"/>
        <v>#NUM!</v>
      </c>
      <c r="BG2473" t="e">
        <f t="shared" si="115"/>
        <v>#NUM!</v>
      </c>
      <c r="BH2473" t="e">
        <f t="shared" si="116"/>
        <v>#NUM!</v>
      </c>
      <c r="BI2473" t="e">
        <f>VLOOKUP(H2473,Sheet2!$A$1:$B$270,2,FALSE)</f>
        <v>#N/A</v>
      </c>
    </row>
    <row r="2474" spans="15:61" hidden="1">
      <c r="O2474" s="57"/>
      <c r="P2474" s="57"/>
      <c r="AP2474" s="57"/>
      <c r="BA2474" s="57"/>
      <c r="BF2474" s="6" t="e">
        <f t="shared" si="114"/>
        <v>#NUM!</v>
      </c>
      <c r="BG2474" t="e">
        <f t="shared" si="115"/>
        <v>#NUM!</v>
      </c>
      <c r="BH2474" t="e">
        <f t="shared" si="116"/>
        <v>#NUM!</v>
      </c>
      <c r="BI2474" t="e">
        <f>VLOOKUP(H2474,Sheet2!$A$1:$B$270,2,FALSE)</f>
        <v>#N/A</v>
      </c>
    </row>
    <row r="2475" spans="15:61" hidden="1">
      <c r="O2475" s="57"/>
      <c r="P2475" s="57"/>
      <c r="AP2475" s="57"/>
      <c r="BA2475" s="57"/>
      <c r="BF2475" s="6" t="e">
        <f t="shared" si="114"/>
        <v>#NUM!</v>
      </c>
      <c r="BG2475" t="e">
        <f t="shared" si="115"/>
        <v>#NUM!</v>
      </c>
      <c r="BH2475" t="e">
        <f t="shared" si="116"/>
        <v>#NUM!</v>
      </c>
      <c r="BI2475" t="e">
        <f>VLOOKUP(H2475,Sheet2!$A$1:$B$270,2,FALSE)</f>
        <v>#N/A</v>
      </c>
    </row>
    <row r="2476" spans="15:61" hidden="1">
      <c r="O2476" s="57"/>
      <c r="P2476" s="57"/>
      <c r="AP2476" s="57"/>
      <c r="BA2476" s="57"/>
      <c r="BF2476" s="6" t="e">
        <f t="shared" si="114"/>
        <v>#NUM!</v>
      </c>
      <c r="BG2476" t="e">
        <f t="shared" si="115"/>
        <v>#NUM!</v>
      </c>
      <c r="BH2476" t="e">
        <f t="shared" si="116"/>
        <v>#NUM!</v>
      </c>
      <c r="BI2476" t="e">
        <f>VLOOKUP(H2476,Sheet2!$A$1:$B$270,2,FALSE)</f>
        <v>#N/A</v>
      </c>
    </row>
    <row r="2477" spans="15:61" hidden="1">
      <c r="O2477" s="57"/>
      <c r="P2477" s="57"/>
      <c r="AP2477" s="57"/>
      <c r="BA2477" s="57"/>
      <c r="BF2477" s="6" t="e">
        <f t="shared" si="114"/>
        <v>#NUM!</v>
      </c>
      <c r="BG2477" t="e">
        <f t="shared" si="115"/>
        <v>#NUM!</v>
      </c>
      <c r="BH2477" t="e">
        <f t="shared" si="116"/>
        <v>#NUM!</v>
      </c>
      <c r="BI2477" t="e">
        <f>VLOOKUP(H2477,Sheet2!$A$1:$B$270,2,FALSE)</f>
        <v>#N/A</v>
      </c>
    </row>
    <row r="2478" spans="15:61" hidden="1">
      <c r="O2478" s="57"/>
      <c r="P2478" s="57"/>
      <c r="AO2478" s="57"/>
      <c r="AP2478" s="57"/>
      <c r="BA2478" s="57"/>
      <c r="BF2478" s="6" t="e">
        <f t="shared" si="114"/>
        <v>#NUM!</v>
      </c>
      <c r="BG2478" t="e">
        <f t="shared" si="115"/>
        <v>#NUM!</v>
      </c>
      <c r="BH2478" t="e">
        <f t="shared" si="116"/>
        <v>#NUM!</v>
      </c>
      <c r="BI2478" t="e">
        <f>VLOOKUP(H2478,Sheet2!$A$1:$B$270,2,FALSE)</f>
        <v>#N/A</v>
      </c>
    </row>
    <row r="2479" spans="15:61" hidden="1">
      <c r="O2479" s="57"/>
      <c r="P2479" s="57"/>
      <c r="AO2479" s="57"/>
      <c r="AP2479" s="57"/>
      <c r="BA2479" s="57"/>
      <c r="BF2479" s="6" t="e">
        <f t="shared" si="114"/>
        <v>#NUM!</v>
      </c>
      <c r="BG2479" t="e">
        <f t="shared" si="115"/>
        <v>#NUM!</v>
      </c>
      <c r="BH2479" t="e">
        <f t="shared" si="116"/>
        <v>#NUM!</v>
      </c>
      <c r="BI2479" t="e">
        <f>VLOOKUP(H2479,Sheet2!$A$1:$B$270,2,FALSE)</f>
        <v>#N/A</v>
      </c>
    </row>
    <row r="2480" spans="15:61" hidden="1">
      <c r="O2480" s="57"/>
      <c r="P2480" s="57"/>
      <c r="AP2480" s="57"/>
      <c r="BA2480" s="57"/>
      <c r="BF2480" s="6" t="e">
        <f t="shared" si="114"/>
        <v>#NUM!</v>
      </c>
      <c r="BG2480" t="e">
        <f t="shared" si="115"/>
        <v>#NUM!</v>
      </c>
      <c r="BH2480" t="e">
        <f t="shared" si="116"/>
        <v>#NUM!</v>
      </c>
      <c r="BI2480" t="e">
        <f>VLOOKUP(H2480,Sheet2!$A$1:$B$270,2,FALSE)</f>
        <v>#N/A</v>
      </c>
    </row>
    <row r="2481" spans="15:61" hidden="1">
      <c r="O2481" s="57"/>
      <c r="P2481" s="57"/>
      <c r="AP2481" s="57"/>
      <c r="BA2481" s="57"/>
      <c r="BF2481" s="6" t="e">
        <f t="shared" si="114"/>
        <v>#NUM!</v>
      </c>
      <c r="BG2481" t="e">
        <f t="shared" si="115"/>
        <v>#NUM!</v>
      </c>
      <c r="BH2481" t="e">
        <f t="shared" si="116"/>
        <v>#NUM!</v>
      </c>
      <c r="BI2481" t="e">
        <f>VLOOKUP(H2481,Sheet2!$A$1:$B$270,2,FALSE)</f>
        <v>#N/A</v>
      </c>
    </row>
    <row r="2482" spans="15:61" hidden="1">
      <c r="O2482" s="57"/>
      <c r="P2482" s="57"/>
      <c r="AP2482" s="57"/>
      <c r="BA2482" s="57"/>
      <c r="BF2482" s="6" t="e">
        <f t="shared" si="114"/>
        <v>#NUM!</v>
      </c>
      <c r="BG2482" t="e">
        <f t="shared" si="115"/>
        <v>#NUM!</v>
      </c>
      <c r="BH2482" t="e">
        <f t="shared" si="116"/>
        <v>#NUM!</v>
      </c>
      <c r="BI2482" t="e">
        <f>VLOOKUP(H2482,Sheet2!$A$1:$B$270,2,FALSE)</f>
        <v>#N/A</v>
      </c>
    </row>
    <row r="2483" spans="15:61" hidden="1">
      <c r="O2483" s="57"/>
      <c r="P2483" s="57"/>
      <c r="AP2483" s="57"/>
      <c r="BA2483" s="57"/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e">
        <f>VLOOKUP(H2483,Sheet2!$A$1:$B$270,2,FALSE)</f>
        <v>#N/A</v>
      </c>
    </row>
    <row r="2484" spans="15:61" hidden="1">
      <c r="O2484" s="57"/>
      <c r="P2484" s="57"/>
      <c r="AP2484" s="57"/>
      <c r="BA2484" s="57"/>
      <c r="BF2484" s="6" t="e">
        <f t="shared" si="114"/>
        <v>#NUM!</v>
      </c>
      <c r="BG2484" t="e">
        <f t="shared" si="115"/>
        <v>#NUM!</v>
      </c>
      <c r="BH2484" t="e">
        <f t="shared" si="116"/>
        <v>#NUM!</v>
      </c>
      <c r="BI2484" t="e">
        <f>VLOOKUP(H2484,Sheet2!$A$1:$B$270,2,FALSE)</f>
        <v>#N/A</v>
      </c>
    </row>
    <row r="2485" spans="15:61" hidden="1">
      <c r="O2485" s="57"/>
      <c r="P2485" s="57"/>
      <c r="AO2485" s="57"/>
      <c r="AP2485" s="57"/>
      <c r="BA2485" s="57"/>
      <c r="BF2485" s="6" t="e">
        <f t="shared" si="114"/>
        <v>#NUM!</v>
      </c>
      <c r="BG2485" t="e">
        <f t="shared" si="115"/>
        <v>#NUM!</v>
      </c>
      <c r="BH2485" t="e">
        <f t="shared" si="116"/>
        <v>#NUM!</v>
      </c>
      <c r="BI2485" t="e">
        <f>VLOOKUP(H2485,Sheet2!$A$1:$B$270,2,FALSE)</f>
        <v>#N/A</v>
      </c>
    </row>
    <row r="2486" spans="15:61" hidden="1">
      <c r="O2486" s="57"/>
      <c r="P2486" s="57"/>
      <c r="AO2486" s="57"/>
      <c r="AP2486" s="57"/>
      <c r="BA2486" s="57"/>
      <c r="BF2486" s="6" t="e">
        <f t="shared" si="114"/>
        <v>#NUM!</v>
      </c>
      <c r="BG2486" t="e">
        <f t="shared" si="115"/>
        <v>#NUM!</v>
      </c>
      <c r="BH2486" t="e">
        <f t="shared" si="116"/>
        <v>#NUM!</v>
      </c>
      <c r="BI2486" t="e">
        <f>VLOOKUP(H2486,Sheet2!$A$1:$B$270,2,FALSE)</f>
        <v>#N/A</v>
      </c>
    </row>
    <row r="2487" spans="15:61" hidden="1">
      <c r="O2487" s="57"/>
      <c r="P2487" s="57"/>
      <c r="AO2487" s="57"/>
      <c r="AP2487" s="57"/>
      <c r="BA2487" s="57"/>
      <c r="BF2487" s="6" t="e">
        <f t="shared" si="114"/>
        <v>#NUM!</v>
      </c>
      <c r="BG2487" t="e">
        <f t="shared" si="115"/>
        <v>#NUM!</v>
      </c>
      <c r="BH2487" t="e">
        <f t="shared" si="116"/>
        <v>#NUM!</v>
      </c>
      <c r="BI2487" t="e">
        <f>VLOOKUP(H2487,Sheet2!$A$1:$B$270,2,FALSE)</f>
        <v>#N/A</v>
      </c>
    </row>
    <row r="2488" spans="15:61" hidden="1">
      <c r="O2488" s="57"/>
      <c r="P2488" s="57"/>
      <c r="AP2488" s="57"/>
      <c r="BA2488" s="57"/>
      <c r="BF2488" s="6" t="e">
        <f t="shared" si="114"/>
        <v>#NUM!</v>
      </c>
      <c r="BG2488" t="e">
        <f t="shared" si="115"/>
        <v>#NUM!</v>
      </c>
      <c r="BH2488" t="e">
        <f t="shared" si="116"/>
        <v>#NUM!</v>
      </c>
      <c r="BI2488" t="e">
        <f>VLOOKUP(H2488,Sheet2!$A$1:$B$270,2,FALSE)</f>
        <v>#N/A</v>
      </c>
    </row>
    <row r="2489" spans="15:61" hidden="1">
      <c r="O2489" s="57"/>
      <c r="P2489" s="57"/>
      <c r="AP2489" s="57"/>
      <c r="BA2489" s="57"/>
      <c r="BF2489" s="6" t="e">
        <f t="shared" si="114"/>
        <v>#NUM!</v>
      </c>
      <c r="BG2489" t="e">
        <f t="shared" si="115"/>
        <v>#NUM!</v>
      </c>
      <c r="BH2489" t="e">
        <f t="shared" si="116"/>
        <v>#NUM!</v>
      </c>
      <c r="BI2489" t="e">
        <f>VLOOKUP(H2489,Sheet2!$A$1:$B$270,2,FALSE)</f>
        <v>#N/A</v>
      </c>
    </row>
    <row r="2490" spans="15:61" hidden="1">
      <c r="O2490" s="57"/>
      <c r="P2490" s="57"/>
      <c r="AP2490" s="57"/>
      <c r="BA2490" s="57"/>
      <c r="BF2490" s="6" t="e">
        <f t="shared" si="114"/>
        <v>#NUM!</v>
      </c>
      <c r="BG2490" t="e">
        <f t="shared" si="115"/>
        <v>#NUM!</v>
      </c>
      <c r="BH2490" t="e">
        <f t="shared" si="116"/>
        <v>#NUM!</v>
      </c>
      <c r="BI2490" t="e">
        <f>VLOOKUP(H2490,Sheet2!$A$1:$B$270,2,FALSE)</f>
        <v>#N/A</v>
      </c>
    </row>
    <row r="2491" spans="15:61" hidden="1">
      <c r="O2491" s="57"/>
      <c r="P2491" s="57"/>
      <c r="AP2491" s="57"/>
      <c r="BA2491" s="57"/>
      <c r="BF2491" s="6" t="e">
        <f t="shared" si="114"/>
        <v>#NUM!</v>
      </c>
      <c r="BG2491" t="e">
        <f t="shared" si="115"/>
        <v>#NUM!</v>
      </c>
      <c r="BH2491" t="e">
        <f t="shared" si="116"/>
        <v>#NUM!</v>
      </c>
      <c r="BI2491" t="e">
        <f>VLOOKUP(H2491,Sheet2!$A$1:$B$270,2,FALSE)</f>
        <v>#N/A</v>
      </c>
    </row>
    <row r="2492" spans="15:61" hidden="1">
      <c r="O2492" s="57"/>
      <c r="P2492" s="57"/>
      <c r="AP2492" s="57"/>
      <c r="BA2492" s="57"/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e">
        <f>VLOOKUP(H2492,Sheet2!$A$1:$B$270,2,FALSE)</f>
        <v>#N/A</v>
      </c>
    </row>
    <row r="2493" spans="15:61" hidden="1">
      <c r="O2493" s="57"/>
      <c r="P2493" s="57"/>
      <c r="AO2493" s="57"/>
      <c r="BA2493" s="57"/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e">
        <f>VLOOKUP(H2493,Sheet2!$A$1:$B$270,2,FALSE)</f>
        <v>#N/A</v>
      </c>
    </row>
    <row r="2494" spans="15:61" hidden="1">
      <c r="O2494" s="57"/>
      <c r="P2494" s="57"/>
      <c r="AP2494" s="57"/>
      <c r="BA2494" s="57"/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e">
        <f>VLOOKUP(H2494,Sheet2!$A$1:$B$270,2,FALSE)</f>
        <v>#N/A</v>
      </c>
    </row>
    <row r="2495" spans="15:61" hidden="1">
      <c r="O2495" s="57"/>
      <c r="P2495" s="57"/>
      <c r="AP2495" s="57"/>
      <c r="BA2495" s="57"/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e">
        <f>VLOOKUP(H2495,Sheet2!$A$1:$B$270,2,FALSE)</f>
        <v>#N/A</v>
      </c>
    </row>
    <row r="2496" spans="15:61" hidden="1">
      <c r="O2496" s="57"/>
      <c r="P2496" s="57"/>
      <c r="AP2496" s="57"/>
      <c r="BA2496" s="57"/>
      <c r="BF2496" s="6" t="e">
        <f t="shared" si="114"/>
        <v>#NUM!</v>
      </c>
      <c r="BG2496" t="e">
        <f t="shared" si="115"/>
        <v>#NUM!</v>
      </c>
      <c r="BH2496" t="e">
        <f t="shared" si="116"/>
        <v>#NUM!</v>
      </c>
      <c r="BI2496" t="e">
        <f>VLOOKUP(H2496,Sheet2!$A$1:$B$270,2,FALSE)</f>
        <v>#N/A</v>
      </c>
    </row>
    <row r="2497" spans="15:61" hidden="1">
      <c r="O2497" s="57"/>
      <c r="P2497" s="57"/>
      <c r="BF2497" s="6" t="e">
        <f t="shared" si="114"/>
        <v>#NUM!</v>
      </c>
      <c r="BG2497" t="e">
        <f t="shared" si="115"/>
        <v>#NUM!</v>
      </c>
      <c r="BH2497" t="e">
        <f t="shared" si="116"/>
        <v>#NUM!</v>
      </c>
      <c r="BI2497" t="e">
        <f>VLOOKUP(H2497,Sheet2!$A$1:$B$270,2,FALSE)</f>
        <v>#N/A</v>
      </c>
    </row>
    <row r="2498" spans="15:61" hidden="1">
      <c r="O2498" s="57"/>
      <c r="P2498" s="57"/>
      <c r="AP2498" s="57"/>
      <c r="BA2498" s="57"/>
      <c r="BF2498" s="6" t="e">
        <f t="shared" ref="BF2498:BF2561" si="117">DATE(BC2498,BD2498,BE2498)</f>
        <v>#NUM!</v>
      </c>
      <c r="BG2498" t="e">
        <f t="shared" ref="BG2498:BG2561" si="118">BF2498-BA2498</f>
        <v>#NUM!</v>
      </c>
      <c r="BH2498" t="e">
        <f t="shared" ref="BH2498:BH2561" si="119">IF(BG2498=1,"COMPLY",IF(BG2498&lt;1,"COMPLY","NOT COMPLY"))</f>
        <v>#NUM!</v>
      </c>
      <c r="BI2498" t="e">
        <f>VLOOKUP(H2498,Sheet2!$A$1:$B$270,2,FALSE)</f>
        <v>#N/A</v>
      </c>
    </row>
    <row r="2499" spans="15:61" hidden="1">
      <c r="O2499" s="57"/>
      <c r="P2499" s="57"/>
      <c r="AP2499" s="57"/>
      <c r="BA2499" s="57"/>
      <c r="BF2499" s="6" t="e">
        <f t="shared" si="117"/>
        <v>#NUM!</v>
      </c>
      <c r="BG2499" t="e">
        <f t="shared" si="118"/>
        <v>#NUM!</v>
      </c>
      <c r="BH2499" t="e">
        <f t="shared" si="119"/>
        <v>#NUM!</v>
      </c>
      <c r="BI2499" t="e">
        <f>VLOOKUP(H2499,Sheet2!$A$1:$B$270,2,FALSE)</f>
        <v>#N/A</v>
      </c>
    </row>
    <row r="2500" spans="15:61" hidden="1">
      <c r="O2500" s="57"/>
      <c r="P2500" s="57"/>
      <c r="AO2500" s="57"/>
      <c r="AP2500" s="57"/>
      <c r="BA2500" s="57"/>
      <c r="BF2500" s="6" t="e">
        <f t="shared" si="117"/>
        <v>#NUM!</v>
      </c>
      <c r="BG2500" t="e">
        <f t="shared" si="118"/>
        <v>#NUM!</v>
      </c>
      <c r="BH2500" t="e">
        <f t="shared" si="119"/>
        <v>#NUM!</v>
      </c>
      <c r="BI2500" t="e">
        <f>VLOOKUP(H2500,Sheet2!$A$1:$B$270,2,FALSE)</f>
        <v>#N/A</v>
      </c>
    </row>
    <row r="2501" spans="15:61" hidden="1">
      <c r="O2501" s="57"/>
      <c r="P2501" s="57"/>
      <c r="AO2501" s="57"/>
      <c r="BA2501" s="57"/>
      <c r="BF2501" s="6" t="e">
        <f t="shared" si="117"/>
        <v>#NUM!</v>
      </c>
      <c r="BG2501" t="e">
        <f t="shared" si="118"/>
        <v>#NUM!</v>
      </c>
      <c r="BH2501" t="e">
        <f t="shared" si="119"/>
        <v>#NUM!</v>
      </c>
      <c r="BI2501" t="e">
        <f>VLOOKUP(H2501,Sheet2!$A$1:$B$270,2,FALSE)</f>
        <v>#N/A</v>
      </c>
    </row>
    <row r="2502" spans="15:61" hidden="1">
      <c r="O2502" s="57"/>
      <c r="P2502" s="57"/>
      <c r="AO2502" s="57"/>
      <c r="BA2502" s="57"/>
      <c r="BF2502" s="6" t="e">
        <f t="shared" si="117"/>
        <v>#NUM!</v>
      </c>
      <c r="BG2502" t="e">
        <f t="shared" si="118"/>
        <v>#NUM!</v>
      </c>
      <c r="BH2502" t="e">
        <f t="shared" si="119"/>
        <v>#NUM!</v>
      </c>
      <c r="BI2502" t="e">
        <f>VLOOKUP(H2502,Sheet2!$A$1:$B$270,2,FALSE)</f>
        <v>#N/A</v>
      </c>
    </row>
    <row r="2503" spans="15:61" hidden="1">
      <c r="O2503" s="57"/>
      <c r="P2503" s="57"/>
      <c r="AO2503" s="57"/>
      <c r="AP2503" s="57"/>
      <c r="BA2503" s="57"/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e">
        <f>VLOOKUP(H2503,Sheet2!$A$1:$B$270,2,FALSE)</f>
        <v>#N/A</v>
      </c>
    </row>
    <row r="2504" spans="15:61" hidden="1">
      <c r="O2504" s="57"/>
      <c r="P2504" s="57"/>
      <c r="AP2504" s="57"/>
      <c r="BA2504" s="57"/>
      <c r="BF2504" s="6" t="e">
        <f t="shared" si="117"/>
        <v>#NUM!</v>
      </c>
      <c r="BG2504" t="e">
        <f t="shared" si="118"/>
        <v>#NUM!</v>
      </c>
      <c r="BH2504" t="e">
        <f t="shared" si="119"/>
        <v>#NUM!</v>
      </c>
      <c r="BI2504" t="e">
        <f>VLOOKUP(H2504,Sheet2!$A$1:$B$270,2,FALSE)</f>
        <v>#N/A</v>
      </c>
    </row>
    <row r="2505" spans="15:61" hidden="1">
      <c r="O2505" s="57"/>
      <c r="P2505" s="57"/>
      <c r="AP2505" s="57"/>
      <c r="BA2505" s="57"/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e">
        <f>VLOOKUP(H2505,Sheet2!$A$1:$B$270,2,FALSE)</f>
        <v>#N/A</v>
      </c>
    </row>
    <row r="2506" spans="15:61" hidden="1">
      <c r="O2506" s="57"/>
      <c r="P2506" s="57"/>
      <c r="BA2506" s="57"/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e">
        <f>VLOOKUP(H2506,Sheet2!$A$1:$B$270,2,FALSE)</f>
        <v>#N/A</v>
      </c>
    </row>
    <row r="2507" spans="15:61" hidden="1">
      <c r="O2507" s="57"/>
      <c r="P2507" s="57"/>
      <c r="BA2507" s="57"/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e">
        <f>VLOOKUP(H2507,Sheet2!$A$1:$B$270,2,FALSE)</f>
        <v>#N/A</v>
      </c>
    </row>
    <row r="2508" spans="15:61" hidden="1">
      <c r="O2508" s="57"/>
      <c r="P2508" s="57"/>
      <c r="AO2508" s="57"/>
      <c r="AP2508" s="57"/>
      <c r="BA2508" s="57"/>
      <c r="BF2508" s="6" t="e">
        <f t="shared" si="117"/>
        <v>#NUM!</v>
      </c>
      <c r="BG2508" t="e">
        <f t="shared" si="118"/>
        <v>#NUM!</v>
      </c>
      <c r="BH2508" t="e">
        <f t="shared" si="119"/>
        <v>#NUM!</v>
      </c>
      <c r="BI2508" t="e">
        <f>VLOOKUP(H2508,Sheet2!$A$1:$B$270,2,FALSE)</f>
        <v>#N/A</v>
      </c>
    </row>
    <row r="2509" spans="15:61" hidden="1">
      <c r="O2509" s="57"/>
      <c r="P2509" s="57"/>
      <c r="BF2509" s="6" t="e">
        <f t="shared" si="117"/>
        <v>#NUM!</v>
      </c>
      <c r="BG2509" t="e">
        <f t="shared" si="118"/>
        <v>#NUM!</v>
      </c>
      <c r="BH2509" t="e">
        <f t="shared" si="119"/>
        <v>#NUM!</v>
      </c>
      <c r="BI2509" t="e">
        <f>VLOOKUP(H2509,Sheet2!$A$1:$B$270,2,FALSE)</f>
        <v>#N/A</v>
      </c>
    </row>
    <row r="2510" spans="15:61" hidden="1">
      <c r="O2510" s="57"/>
      <c r="P2510" s="57"/>
      <c r="BF2510" s="6" t="e">
        <f t="shared" si="117"/>
        <v>#NUM!</v>
      </c>
      <c r="BG2510" t="e">
        <f t="shared" si="118"/>
        <v>#NUM!</v>
      </c>
      <c r="BH2510" t="e">
        <f t="shared" si="119"/>
        <v>#NUM!</v>
      </c>
      <c r="BI2510" t="e">
        <f>VLOOKUP(H2510,Sheet2!$A$1:$B$270,2,FALSE)</f>
        <v>#N/A</v>
      </c>
    </row>
    <row r="2511" spans="15:61" hidden="1">
      <c r="O2511" s="57"/>
      <c r="P2511" s="57"/>
      <c r="AO2511" s="57"/>
      <c r="BF2511" s="6" t="e">
        <f t="shared" si="117"/>
        <v>#NUM!</v>
      </c>
      <c r="BG2511" t="e">
        <f t="shared" si="118"/>
        <v>#NUM!</v>
      </c>
      <c r="BH2511" t="e">
        <f t="shared" si="119"/>
        <v>#NUM!</v>
      </c>
      <c r="BI2511" t="e">
        <f>VLOOKUP(H2511,Sheet2!$A$1:$B$270,2,FALSE)</f>
        <v>#N/A</v>
      </c>
    </row>
    <row r="2512" spans="15:61" hidden="1">
      <c r="O2512" s="57"/>
      <c r="P2512" s="57"/>
      <c r="BA2512" s="57"/>
      <c r="BF2512" s="6" t="e">
        <f t="shared" si="117"/>
        <v>#NUM!</v>
      </c>
      <c r="BG2512" t="e">
        <f t="shared" si="118"/>
        <v>#NUM!</v>
      </c>
      <c r="BH2512" t="e">
        <f t="shared" si="119"/>
        <v>#NUM!</v>
      </c>
      <c r="BI2512" t="e">
        <f>VLOOKUP(H2512,Sheet2!$A$1:$B$270,2,FALSE)</f>
        <v>#N/A</v>
      </c>
    </row>
    <row r="2513" spans="15:61" hidden="1">
      <c r="O2513" s="57"/>
      <c r="P2513" s="57"/>
      <c r="AO2513" s="57"/>
      <c r="AP2513" s="57"/>
      <c r="BA2513" s="57"/>
      <c r="BF2513" s="6" t="e">
        <f t="shared" si="117"/>
        <v>#NUM!</v>
      </c>
      <c r="BG2513" t="e">
        <f t="shared" si="118"/>
        <v>#NUM!</v>
      </c>
      <c r="BH2513" t="e">
        <f t="shared" si="119"/>
        <v>#NUM!</v>
      </c>
      <c r="BI2513" t="e">
        <f>VLOOKUP(H2513,Sheet2!$A$1:$B$270,2,FALSE)</f>
        <v>#N/A</v>
      </c>
    </row>
    <row r="2514" spans="15:61" hidden="1">
      <c r="O2514" s="57"/>
      <c r="P2514" s="57"/>
      <c r="AP2514" s="57"/>
      <c r="BA2514" s="57"/>
      <c r="BF2514" s="6" t="e">
        <f t="shared" si="117"/>
        <v>#NUM!</v>
      </c>
      <c r="BG2514" t="e">
        <f t="shared" si="118"/>
        <v>#NUM!</v>
      </c>
      <c r="BH2514" t="e">
        <f t="shared" si="119"/>
        <v>#NUM!</v>
      </c>
      <c r="BI2514" t="e">
        <f>VLOOKUP(H2514,Sheet2!$A$1:$B$270,2,FALSE)</f>
        <v>#N/A</v>
      </c>
    </row>
    <row r="2515" spans="15:61" hidden="1">
      <c r="O2515" s="57"/>
      <c r="P2515" s="57"/>
      <c r="AP2515" s="57"/>
      <c r="BA2515" s="57"/>
      <c r="BF2515" s="6" t="e">
        <f t="shared" si="117"/>
        <v>#NUM!</v>
      </c>
      <c r="BG2515" t="e">
        <f t="shared" si="118"/>
        <v>#NUM!</v>
      </c>
      <c r="BH2515" t="e">
        <f t="shared" si="119"/>
        <v>#NUM!</v>
      </c>
      <c r="BI2515" t="e">
        <f>VLOOKUP(H2515,Sheet2!$A$1:$B$270,2,FALSE)</f>
        <v>#N/A</v>
      </c>
    </row>
    <row r="2516" spans="15:61" hidden="1">
      <c r="O2516" s="57"/>
      <c r="P2516" s="57"/>
      <c r="AP2516" s="57"/>
      <c r="BA2516" s="57"/>
      <c r="BF2516" s="6" t="e">
        <f t="shared" si="117"/>
        <v>#NUM!</v>
      </c>
      <c r="BG2516" t="e">
        <f t="shared" si="118"/>
        <v>#NUM!</v>
      </c>
      <c r="BH2516" t="e">
        <f t="shared" si="119"/>
        <v>#NUM!</v>
      </c>
      <c r="BI2516" t="e">
        <f>VLOOKUP(H2516,Sheet2!$A$1:$B$270,2,FALSE)</f>
        <v>#N/A</v>
      </c>
    </row>
    <row r="2517" spans="15:61" hidden="1">
      <c r="O2517" s="57"/>
      <c r="P2517" s="57"/>
      <c r="AP2517" s="57"/>
      <c r="BA2517" s="57"/>
      <c r="BF2517" s="6" t="e">
        <f t="shared" si="117"/>
        <v>#NUM!</v>
      </c>
      <c r="BG2517" t="e">
        <f t="shared" si="118"/>
        <v>#NUM!</v>
      </c>
      <c r="BH2517" t="e">
        <f t="shared" si="119"/>
        <v>#NUM!</v>
      </c>
      <c r="BI2517" t="e">
        <f>VLOOKUP(H2517,Sheet2!$A$1:$B$270,2,FALSE)</f>
        <v>#N/A</v>
      </c>
    </row>
    <row r="2518" spans="15:61" hidden="1">
      <c r="O2518" s="57"/>
      <c r="P2518" s="57"/>
      <c r="AO2518" s="57"/>
      <c r="AP2518" s="57"/>
      <c r="BA2518" s="57"/>
      <c r="BF2518" s="6" t="e">
        <f t="shared" si="117"/>
        <v>#NUM!</v>
      </c>
      <c r="BG2518" t="e">
        <f t="shared" si="118"/>
        <v>#NUM!</v>
      </c>
      <c r="BH2518" t="e">
        <f t="shared" si="119"/>
        <v>#NUM!</v>
      </c>
      <c r="BI2518" t="e">
        <f>VLOOKUP(H2518,Sheet2!$A$1:$B$270,2,FALSE)</f>
        <v>#N/A</v>
      </c>
    </row>
    <row r="2519" spans="15:61" hidden="1">
      <c r="O2519" s="57"/>
      <c r="P2519" s="57"/>
      <c r="AO2519" s="57"/>
      <c r="AP2519" s="57"/>
      <c r="BA2519" s="57"/>
      <c r="BF2519" s="6" t="e">
        <f t="shared" si="117"/>
        <v>#NUM!</v>
      </c>
      <c r="BG2519" t="e">
        <f t="shared" si="118"/>
        <v>#NUM!</v>
      </c>
      <c r="BH2519" t="e">
        <f t="shared" si="119"/>
        <v>#NUM!</v>
      </c>
      <c r="BI2519" t="e">
        <f>VLOOKUP(H2519,Sheet2!$A$1:$B$270,2,FALSE)</f>
        <v>#N/A</v>
      </c>
    </row>
    <row r="2520" spans="15:61" hidden="1">
      <c r="O2520" s="57"/>
      <c r="P2520" s="57"/>
      <c r="AO2520" s="57"/>
      <c r="AP2520" s="57"/>
      <c r="BA2520" s="57"/>
      <c r="BF2520" s="6" t="e">
        <f t="shared" si="117"/>
        <v>#NUM!</v>
      </c>
      <c r="BG2520" t="e">
        <f t="shared" si="118"/>
        <v>#NUM!</v>
      </c>
      <c r="BH2520" t="e">
        <f t="shared" si="119"/>
        <v>#NUM!</v>
      </c>
      <c r="BI2520" t="e">
        <f>VLOOKUP(H2520,Sheet2!$A$1:$B$270,2,FALSE)</f>
        <v>#N/A</v>
      </c>
    </row>
    <row r="2521" spans="15:61" hidden="1">
      <c r="O2521" s="57"/>
      <c r="P2521" s="57"/>
      <c r="AO2521" s="57"/>
      <c r="AP2521" s="57"/>
      <c r="BA2521" s="57"/>
      <c r="BF2521" s="6" t="e">
        <f t="shared" si="117"/>
        <v>#NUM!</v>
      </c>
      <c r="BG2521" t="e">
        <f t="shared" si="118"/>
        <v>#NUM!</v>
      </c>
      <c r="BH2521" t="e">
        <f t="shared" si="119"/>
        <v>#NUM!</v>
      </c>
      <c r="BI2521" t="e">
        <f>VLOOKUP(H2521,Sheet2!$A$1:$B$270,2,FALSE)</f>
        <v>#N/A</v>
      </c>
    </row>
    <row r="2522" spans="15:61" hidden="1">
      <c r="O2522" s="57"/>
      <c r="P2522" s="57"/>
      <c r="AO2522" s="57"/>
      <c r="BA2522" s="57"/>
      <c r="BF2522" s="6" t="e">
        <f t="shared" si="117"/>
        <v>#NUM!</v>
      </c>
      <c r="BG2522" t="e">
        <f t="shared" si="118"/>
        <v>#NUM!</v>
      </c>
      <c r="BH2522" t="e">
        <f t="shared" si="119"/>
        <v>#NUM!</v>
      </c>
      <c r="BI2522" t="e">
        <f>VLOOKUP(H2522,Sheet2!$A$1:$B$270,2,FALSE)</f>
        <v>#N/A</v>
      </c>
    </row>
    <row r="2523" spans="15:61" hidden="1">
      <c r="O2523" s="57"/>
      <c r="P2523" s="57"/>
      <c r="AO2523" s="57"/>
      <c r="AP2523" s="57"/>
      <c r="BA2523" s="57"/>
      <c r="BF2523" s="6" t="e">
        <f t="shared" si="117"/>
        <v>#NUM!</v>
      </c>
      <c r="BG2523" t="e">
        <f t="shared" si="118"/>
        <v>#NUM!</v>
      </c>
      <c r="BH2523" t="e">
        <f t="shared" si="119"/>
        <v>#NUM!</v>
      </c>
      <c r="BI2523" t="e">
        <f>VLOOKUP(H2523,Sheet2!$A$1:$B$270,2,FALSE)</f>
        <v>#N/A</v>
      </c>
    </row>
    <row r="2524" spans="15:61" hidden="1">
      <c r="O2524" s="57"/>
      <c r="P2524" s="57"/>
      <c r="AO2524" s="57"/>
      <c r="AP2524" s="57"/>
      <c r="BA2524" s="57"/>
      <c r="BF2524" s="6" t="e">
        <f t="shared" si="117"/>
        <v>#NUM!</v>
      </c>
      <c r="BG2524" t="e">
        <f t="shared" si="118"/>
        <v>#NUM!</v>
      </c>
      <c r="BH2524" t="e">
        <f t="shared" si="119"/>
        <v>#NUM!</v>
      </c>
      <c r="BI2524" t="e">
        <f>VLOOKUP(H2524,Sheet2!$A$1:$B$270,2,FALSE)</f>
        <v>#N/A</v>
      </c>
    </row>
    <row r="2525" spans="15:61" hidden="1">
      <c r="O2525" s="57"/>
      <c r="P2525" s="57"/>
      <c r="AO2525" s="57"/>
      <c r="AP2525" s="57"/>
      <c r="BA2525" s="57"/>
      <c r="BF2525" s="6" t="e">
        <f t="shared" si="117"/>
        <v>#NUM!</v>
      </c>
      <c r="BG2525" t="e">
        <f t="shared" si="118"/>
        <v>#NUM!</v>
      </c>
      <c r="BH2525" t="e">
        <f t="shared" si="119"/>
        <v>#NUM!</v>
      </c>
      <c r="BI2525" t="e">
        <f>VLOOKUP(H2525,Sheet2!$A$1:$B$270,2,FALSE)</f>
        <v>#N/A</v>
      </c>
    </row>
    <row r="2526" spans="15:61" hidden="1">
      <c r="O2526" s="57"/>
      <c r="P2526" s="57"/>
      <c r="AO2526" s="57"/>
      <c r="AP2526" s="57"/>
      <c r="BA2526" s="57"/>
      <c r="BF2526" s="6" t="e">
        <f t="shared" si="117"/>
        <v>#NUM!</v>
      </c>
      <c r="BG2526" t="e">
        <f t="shared" si="118"/>
        <v>#NUM!</v>
      </c>
      <c r="BH2526" t="e">
        <f t="shared" si="119"/>
        <v>#NUM!</v>
      </c>
      <c r="BI2526" t="e">
        <f>VLOOKUP(H2526,Sheet2!$A$1:$B$270,2,FALSE)</f>
        <v>#N/A</v>
      </c>
    </row>
    <row r="2527" spans="15:61" hidden="1">
      <c r="O2527" s="57"/>
      <c r="P2527" s="57"/>
      <c r="AP2527" s="57"/>
      <c r="BA2527" s="57"/>
      <c r="BF2527" s="6" t="e">
        <f t="shared" si="117"/>
        <v>#NUM!</v>
      </c>
      <c r="BG2527" t="e">
        <f t="shared" si="118"/>
        <v>#NUM!</v>
      </c>
      <c r="BH2527" t="e">
        <f t="shared" si="119"/>
        <v>#NUM!</v>
      </c>
      <c r="BI2527" t="e">
        <f>VLOOKUP(H2527,Sheet2!$A$1:$B$270,2,FALSE)</f>
        <v>#N/A</v>
      </c>
    </row>
    <row r="2528" spans="15:61" hidden="1">
      <c r="O2528" s="57"/>
      <c r="P2528" s="57"/>
      <c r="AP2528" s="57"/>
      <c r="BA2528" s="57"/>
      <c r="BF2528" s="6" t="e">
        <f t="shared" si="117"/>
        <v>#NUM!</v>
      </c>
      <c r="BG2528" t="e">
        <f t="shared" si="118"/>
        <v>#NUM!</v>
      </c>
      <c r="BH2528" t="e">
        <f t="shared" si="119"/>
        <v>#NUM!</v>
      </c>
      <c r="BI2528" t="e">
        <f>VLOOKUP(H2528,Sheet2!$A$1:$B$270,2,FALSE)</f>
        <v>#N/A</v>
      </c>
    </row>
    <row r="2529" spans="15:61" hidden="1">
      <c r="O2529" s="57"/>
      <c r="P2529" s="57"/>
      <c r="AP2529" s="57"/>
      <c r="BA2529" s="57"/>
      <c r="BF2529" s="6" t="e">
        <f t="shared" si="117"/>
        <v>#NUM!</v>
      </c>
      <c r="BG2529" t="e">
        <f t="shared" si="118"/>
        <v>#NUM!</v>
      </c>
      <c r="BH2529" t="e">
        <f t="shared" si="119"/>
        <v>#NUM!</v>
      </c>
      <c r="BI2529" t="e">
        <f>VLOOKUP(H2529,Sheet2!$A$1:$B$270,2,FALSE)</f>
        <v>#N/A</v>
      </c>
    </row>
    <row r="2530" spans="15:61" hidden="1">
      <c r="O2530" s="57"/>
      <c r="P2530" s="57"/>
      <c r="BA2530" s="57"/>
      <c r="BF2530" s="6" t="e">
        <f t="shared" si="117"/>
        <v>#NUM!</v>
      </c>
      <c r="BG2530" t="e">
        <f t="shared" si="118"/>
        <v>#NUM!</v>
      </c>
      <c r="BH2530" t="e">
        <f t="shared" si="119"/>
        <v>#NUM!</v>
      </c>
      <c r="BI2530" t="e">
        <f>VLOOKUP(H2530,Sheet2!$A$1:$B$270,2,FALSE)</f>
        <v>#N/A</v>
      </c>
    </row>
    <row r="2531" spans="15:61" hidden="1">
      <c r="O2531" s="57"/>
      <c r="P2531" s="57"/>
      <c r="BA2531" s="57"/>
      <c r="BF2531" s="6" t="e">
        <f t="shared" si="117"/>
        <v>#NUM!</v>
      </c>
      <c r="BG2531" t="e">
        <f t="shared" si="118"/>
        <v>#NUM!</v>
      </c>
      <c r="BH2531" t="e">
        <f t="shared" si="119"/>
        <v>#NUM!</v>
      </c>
      <c r="BI2531" t="e">
        <f>VLOOKUP(H2531,Sheet2!$A$1:$B$270,2,FALSE)</f>
        <v>#N/A</v>
      </c>
    </row>
    <row r="2532" spans="15:61" hidden="1">
      <c r="O2532" s="57"/>
      <c r="P2532" s="57"/>
      <c r="AP2532" s="57"/>
      <c r="BA2532" s="57"/>
      <c r="BF2532" s="6" t="e">
        <f t="shared" si="117"/>
        <v>#NUM!</v>
      </c>
      <c r="BG2532" t="e">
        <f t="shared" si="118"/>
        <v>#NUM!</v>
      </c>
      <c r="BH2532" t="e">
        <f t="shared" si="119"/>
        <v>#NUM!</v>
      </c>
      <c r="BI2532" t="e">
        <f>VLOOKUP(H2532,Sheet2!$A$1:$B$270,2,FALSE)</f>
        <v>#N/A</v>
      </c>
    </row>
    <row r="2533" spans="15:61" hidden="1">
      <c r="O2533" s="57"/>
      <c r="P2533" s="57"/>
      <c r="AP2533" s="57"/>
      <c r="BA2533" s="57"/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e">
        <f>VLOOKUP(H2533,Sheet2!$A$1:$B$270,2,FALSE)</f>
        <v>#N/A</v>
      </c>
    </row>
    <row r="2534" spans="15:61" hidden="1">
      <c r="O2534" s="57"/>
      <c r="P2534" s="57"/>
      <c r="AP2534" s="57"/>
      <c r="BA2534" s="57"/>
      <c r="BF2534" s="6" t="e">
        <f t="shared" si="117"/>
        <v>#NUM!</v>
      </c>
      <c r="BG2534" t="e">
        <f t="shared" si="118"/>
        <v>#NUM!</v>
      </c>
      <c r="BH2534" t="e">
        <f t="shared" si="119"/>
        <v>#NUM!</v>
      </c>
      <c r="BI2534" t="e">
        <f>VLOOKUP(H2534,Sheet2!$A$1:$B$270,2,FALSE)</f>
        <v>#N/A</v>
      </c>
    </row>
    <row r="2535" spans="15:61" hidden="1">
      <c r="O2535" s="57"/>
      <c r="P2535" s="57"/>
      <c r="BA2535" s="57"/>
      <c r="BF2535" s="6" t="e">
        <f t="shared" si="117"/>
        <v>#NUM!</v>
      </c>
      <c r="BG2535" t="e">
        <f t="shared" si="118"/>
        <v>#NUM!</v>
      </c>
      <c r="BH2535" t="e">
        <f t="shared" si="119"/>
        <v>#NUM!</v>
      </c>
      <c r="BI2535" t="e">
        <f>VLOOKUP(H2535,Sheet2!$A$1:$B$270,2,FALSE)</f>
        <v>#N/A</v>
      </c>
    </row>
    <row r="2536" spans="15:61" hidden="1">
      <c r="O2536" s="57"/>
      <c r="P2536" s="57"/>
      <c r="AP2536" s="57"/>
      <c r="BA2536" s="57"/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e">
        <f>VLOOKUP(H2536,Sheet2!$A$1:$B$270,2,FALSE)</f>
        <v>#N/A</v>
      </c>
    </row>
    <row r="2537" spans="15:61" hidden="1">
      <c r="O2537" s="57"/>
      <c r="P2537" s="57"/>
      <c r="AP2537" s="57"/>
      <c r="BA2537" s="57"/>
      <c r="BF2537" s="6" t="e">
        <f t="shared" si="117"/>
        <v>#NUM!</v>
      </c>
      <c r="BG2537" t="e">
        <f t="shared" si="118"/>
        <v>#NUM!</v>
      </c>
      <c r="BH2537" t="e">
        <f t="shared" si="119"/>
        <v>#NUM!</v>
      </c>
      <c r="BI2537" t="e">
        <f>VLOOKUP(H2537,Sheet2!$A$1:$B$270,2,FALSE)</f>
        <v>#N/A</v>
      </c>
    </row>
    <row r="2538" spans="15:61" hidden="1">
      <c r="O2538" s="57"/>
      <c r="P2538" s="57"/>
      <c r="AP2538" s="57"/>
      <c r="BA2538" s="57"/>
      <c r="BF2538" s="6" t="e">
        <f t="shared" si="117"/>
        <v>#NUM!</v>
      </c>
      <c r="BG2538" t="e">
        <f t="shared" si="118"/>
        <v>#NUM!</v>
      </c>
      <c r="BH2538" t="e">
        <f t="shared" si="119"/>
        <v>#NUM!</v>
      </c>
      <c r="BI2538" t="e">
        <f>VLOOKUP(H2538,Sheet2!$A$1:$B$270,2,FALSE)</f>
        <v>#N/A</v>
      </c>
    </row>
    <row r="2539" spans="15:61" hidden="1">
      <c r="O2539" s="57"/>
      <c r="P2539" s="57"/>
      <c r="AP2539" s="57"/>
      <c r="BA2539" s="57"/>
      <c r="BF2539" s="6" t="e">
        <f t="shared" si="117"/>
        <v>#NUM!</v>
      </c>
      <c r="BG2539" t="e">
        <f t="shared" si="118"/>
        <v>#NUM!</v>
      </c>
      <c r="BH2539" t="e">
        <f t="shared" si="119"/>
        <v>#NUM!</v>
      </c>
      <c r="BI2539" t="e">
        <f>VLOOKUP(H2539,Sheet2!$A$1:$B$270,2,FALSE)</f>
        <v>#N/A</v>
      </c>
    </row>
    <row r="2540" spans="15:61" hidden="1">
      <c r="O2540" s="57"/>
      <c r="P2540" s="57"/>
      <c r="AP2540" s="57"/>
      <c r="BA2540" s="57"/>
      <c r="BF2540" s="6" t="e">
        <f t="shared" si="117"/>
        <v>#NUM!</v>
      </c>
      <c r="BG2540" t="e">
        <f t="shared" si="118"/>
        <v>#NUM!</v>
      </c>
      <c r="BH2540" t="e">
        <f t="shared" si="119"/>
        <v>#NUM!</v>
      </c>
      <c r="BI2540" t="e">
        <f>VLOOKUP(H2540,Sheet2!$A$1:$B$270,2,FALSE)</f>
        <v>#N/A</v>
      </c>
    </row>
    <row r="2541" spans="15:61" hidden="1">
      <c r="O2541" s="57"/>
      <c r="P2541" s="57"/>
      <c r="AO2541" s="57"/>
      <c r="BF2541" s="6" t="e">
        <f t="shared" si="117"/>
        <v>#NUM!</v>
      </c>
      <c r="BG2541" t="e">
        <f t="shared" si="118"/>
        <v>#NUM!</v>
      </c>
      <c r="BH2541" t="e">
        <f t="shared" si="119"/>
        <v>#NUM!</v>
      </c>
      <c r="BI2541" t="e">
        <f>VLOOKUP(H2541,Sheet2!$A$1:$B$270,2,FALSE)</f>
        <v>#N/A</v>
      </c>
    </row>
    <row r="2542" spans="15:61" hidden="1">
      <c r="O2542" s="57"/>
      <c r="P2542" s="57"/>
      <c r="AP2542" s="57"/>
      <c r="BA2542" s="57"/>
      <c r="BF2542" s="6" t="e">
        <f t="shared" si="117"/>
        <v>#NUM!</v>
      </c>
      <c r="BG2542" t="e">
        <f t="shared" si="118"/>
        <v>#NUM!</v>
      </c>
      <c r="BH2542" t="e">
        <f t="shared" si="119"/>
        <v>#NUM!</v>
      </c>
      <c r="BI2542" t="e">
        <f>VLOOKUP(H2542,Sheet2!$A$1:$B$270,2,FALSE)</f>
        <v>#N/A</v>
      </c>
    </row>
    <row r="2543" spans="15:61" hidden="1">
      <c r="O2543" s="57"/>
      <c r="P2543" s="57"/>
      <c r="AO2543" s="57"/>
      <c r="AP2543" s="57"/>
      <c r="BA2543" s="57"/>
      <c r="BF2543" s="6" t="e">
        <f t="shared" si="117"/>
        <v>#NUM!</v>
      </c>
      <c r="BG2543" t="e">
        <f t="shared" si="118"/>
        <v>#NUM!</v>
      </c>
      <c r="BH2543" t="e">
        <f t="shared" si="119"/>
        <v>#NUM!</v>
      </c>
      <c r="BI2543" t="e">
        <f>VLOOKUP(H2543,Sheet2!$A$1:$B$270,2,FALSE)</f>
        <v>#N/A</v>
      </c>
    </row>
    <row r="2544" spans="15:61" hidden="1">
      <c r="O2544" s="57"/>
      <c r="P2544" s="57"/>
      <c r="BA2544" s="57"/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e">
        <f>VLOOKUP(H2544,Sheet2!$A$1:$B$270,2,FALSE)</f>
        <v>#N/A</v>
      </c>
    </row>
    <row r="2545" spans="15:61" hidden="1">
      <c r="O2545" s="57"/>
      <c r="P2545" s="57"/>
      <c r="AP2545" s="57"/>
      <c r="BA2545" s="57"/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e">
        <f>VLOOKUP(H2545,Sheet2!$A$1:$B$270,2,FALSE)</f>
        <v>#N/A</v>
      </c>
    </row>
    <row r="2546" spans="15:61" hidden="1">
      <c r="O2546" s="57"/>
      <c r="P2546" s="57"/>
      <c r="AP2546" s="57"/>
      <c r="BA2546" s="57"/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e">
        <f>VLOOKUP(H2546,Sheet2!$A$1:$B$270,2,FALSE)</f>
        <v>#N/A</v>
      </c>
    </row>
    <row r="2547" spans="15:61" hidden="1">
      <c r="O2547" s="57"/>
      <c r="P2547" s="57"/>
      <c r="AO2547" s="57"/>
      <c r="AP2547" s="57"/>
      <c r="BA2547" s="57"/>
      <c r="BF2547" s="6" t="e">
        <f t="shared" si="117"/>
        <v>#NUM!</v>
      </c>
      <c r="BG2547" t="e">
        <f t="shared" si="118"/>
        <v>#NUM!</v>
      </c>
      <c r="BH2547" t="e">
        <f t="shared" si="119"/>
        <v>#NUM!</v>
      </c>
      <c r="BI2547" t="e">
        <f>VLOOKUP(H2547,Sheet2!$A$1:$B$270,2,FALSE)</f>
        <v>#N/A</v>
      </c>
    </row>
    <row r="2548" spans="15:61" hidden="1">
      <c r="O2548" s="57"/>
      <c r="P2548" s="57"/>
      <c r="AO2548" s="57"/>
      <c r="AP2548" s="57"/>
      <c r="BA2548" s="57"/>
      <c r="BF2548" s="6" t="e">
        <f t="shared" si="117"/>
        <v>#NUM!</v>
      </c>
      <c r="BG2548" t="e">
        <f t="shared" si="118"/>
        <v>#NUM!</v>
      </c>
      <c r="BH2548" t="e">
        <f t="shared" si="119"/>
        <v>#NUM!</v>
      </c>
      <c r="BI2548" t="e">
        <f>VLOOKUP(H2548,Sheet2!$A$1:$B$270,2,FALSE)</f>
        <v>#N/A</v>
      </c>
    </row>
    <row r="2549" spans="15:61" hidden="1">
      <c r="O2549" s="57"/>
      <c r="P2549" s="57"/>
      <c r="AP2549" s="57"/>
      <c r="BA2549" s="57"/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e">
        <f>VLOOKUP(H2549,Sheet2!$A$1:$B$270,2,FALSE)</f>
        <v>#N/A</v>
      </c>
    </row>
    <row r="2550" spans="15:61" hidden="1">
      <c r="O2550" s="57"/>
      <c r="P2550" s="57"/>
      <c r="AP2550" s="57"/>
      <c r="BA2550" s="57"/>
      <c r="BF2550" s="6" t="e">
        <f t="shared" si="117"/>
        <v>#NUM!</v>
      </c>
      <c r="BG2550" t="e">
        <f t="shared" si="118"/>
        <v>#NUM!</v>
      </c>
      <c r="BH2550" t="e">
        <f t="shared" si="119"/>
        <v>#NUM!</v>
      </c>
      <c r="BI2550" t="e">
        <f>VLOOKUP(H2550,Sheet2!$A$1:$B$270,2,FALSE)</f>
        <v>#N/A</v>
      </c>
    </row>
    <row r="2551" spans="15:61" hidden="1">
      <c r="O2551" s="57"/>
      <c r="P2551" s="57"/>
      <c r="AO2551" s="57"/>
      <c r="AP2551" s="57"/>
      <c r="BA2551" s="57"/>
      <c r="BF2551" s="6" t="e">
        <f t="shared" si="117"/>
        <v>#NUM!</v>
      </c>
      <c r="BG2551" t="e">
        <f t="shared" si="118"/>
        <v>#NUM!</v>
      </c>
      <c r="BH2551" t="e">
        <f t="shared" si="119"/>
        <v>#NUM!</v>
      </c>
      <c r="BI2551" t="e">
        <f>VLOOKUP(H2551,Sheet2!$A$1:$B$270,2,FALSE)</f>
        <v>#N/A</v>
      </c>
    </row>
    <row r="2552" spans="15:61" hidden="1">
      <c r="O2552" s="57"/>
      <c r="P2552" s="57"/>
      <c r="AO2552" s="57"/>
      <c r="AP2552" s="57"/>
      <c r="BA2552" s="57"/>
      <c r="BF2552" s="6" t="e">
        <f t="shared" si="117"/>
        <v>#NUM!</v>
      </c>
      <c r="BG2552" t="e">
        <f t="shared" si="118"/>
        <v>#NUM!</v>
      </c>
      <c r="BH2552" t="e">
        <f t="shared" si="119"/>
        <v>#NUM!</v>
      </c>
      <c r="BI2552" t="e">
        <f>VLOOKUP(H2552,Sheet2!$A$1:$B$270,2,FALSE)</f>
        <v>#N/A</v>
      </c>
    </row>
    <row r="2553" spans="15:61" hidden="1">
      <c r="O2553" s="57"/>
      <c r="P2553" s="57"/>
      <c r="AO2553" s="57"/>
      <c r="AP2553" s="57"/>
      <c r="BA2553" s="57"/>
      <c r="BF2553" s="6" t="e">
        <f t="shared" si="117"/>
        <v>#NUM!</v>
      </c>
      <c r="BG2553" t="e">
        <f t="shared" si="118"/>
        <v>#NUM!</v>
      </c>
      <c r="BH2553" t="e">
        <f t="shared" si="119"/>
        <v>#NUM!</v>
      </c>
      <c r="BI2553" t="e">
        <f>VLOOKUP(H2553,Sheet2!$A$1:$B$270,2,FALSE)</f>
        <v>#N/A</v>
      </c>
    </row>
    <row r="2554" spans="15:61" hidden="1">
      <c r="O2554" s="57"/>
      <c r="P2554" s="57"/>
      <c r="AO2554" s="57"/>
      <c r="AP2554" s="57"/>
      <c r="BA2554" s="57"/>
      <c r="BF2554" s="6" t="e">
        <f t="shared" si="117"/>
        <v>#NUM!</v>
      </c>
      <c r="BG2554" t="e">
        <f t="shared" si="118"/>
        <v>#NUM!</v>
      </c>
      <c r="BH2554" t="e">
        <f t="shared" si="119"/>
        <v>#NUM!</v>
      </c>
      <c r="BI2554" t="e">
        <f>VLOOKUP(H2554,Sheet2!$A$1:$B$270,2,FALSE)</f>
        <v>#N/A</v>
      </c>
    </row>
    <row r="2555" spans="15:61" hidden="1">
      <c r="O2555" s="57"/>
      <c r="P2555" s="57"/>
      <c r="AO2555" s="57"/>
      <c r="AP2555" s="57"/>
      <c r="BA2555" s="57"/>
      <c r="BF2555" s="6" t="e">
        <f t="shared" si="117"/>
        <v>#NUM!</v>
      </c>
      <c r="BG2555" t="e">
        <f t="shared" si="118"/>
        <v>#NUM!</v>
      </c>
      <c r="BH2555" t="e">
        <f t="shared" si="119"/>
        <v>#NUM!</v>
      </c>
      <c r="BI2555" t="e">
        <f>VLOOKUP(H2555,Sheet2!$A$1:$B$270,2,FALSE)</f>
        <v>#N/A</v>
      </c>
    </row>
    <row r="2556" spans="15:61" hidden="1">
      <c r="O2556" s="57"/>
      <c r="P2556" s="57"/>
      <c r="AO2556" s="57"/>
      <c r="AP2556" s="57"/>
      <c r="BA2556" s="57"/>
      <c r="BF2556" s="6" t="e">
        <f t="shared" si="117"/>
        <v>#NUM!</v>
      </c>
      <c r="BG2556" t="e">
        <f t="shared" si="118"/>
        <v>#NUM!</v>
      </c>
      <c r="BH2556" t="e">
        <f t="shared" si="119"/>
        <v>#NUM!</v>
      </c>
      <c r="BI2556" t="e">
        <f>VLOOKUP(H2556,Sheet2!$A$1:$B$270,2,FALSE)</f>
        <v>#N/A</v>
      </c>
    </row>
    <row r="2557" spans="15:61" hidden="1">
      <c r="O2557" s="57"/>
      <c r="P2557" s="57"/>
      <c r="AO2557" s="57"/>
      <c r="AP2557" s="57"/>
      <c r="BA2557" s="57"/>
      <c r="BF2557" s="6" t="e">
        <f t="shared" si="117"/>
        <v>#NUM!</v>
      </c>
      <c r="BG2557" t="e">
        <f t="shared" si="118"/>
        <v>#NUM!</v>
      </c>
      <c r="BH2557" t="e">
        <f t="shared" si="119"/>
        <v>#NUM!</v>
      </c>
      <c r="BI2557" t="e">
        <f>VLOOKUP(H2557,Sheet2!$A$1:$B$270,2,FALSE)</f>
        <v>#N/A</v>
      </c>
    </row>
    <row r="2558" spans="15:61" hidden="1">
      <c r="O2558" s="57"/>
      <c r="P2558" s="57"/>
      <c r="BA2558" s="57"/>
      <c r="BF2558" s="6" t="e">
        <f t="shared" si="117"/>
        <v>#NUM!</v>
      </c>
      <c r="BG2558" t="e">
        <f t="shared" si="118"/>
        <v>#NUM!</v>
      </c>
      <c r="BH2558" t="e">
        <f t="shared" si="119"/>
        <v>#NUM!</v>
      </c>
      <c r="BI2558" t="e">
        <f>VLOOKUP(H2558,Sheet2!$A$1:$B$270,2,FALSE)</f>
        <v>#N/A</v>
      </c>
    </row>
    <row r="2559" spans="15:61" hidden="1">
      <c r="O2559" s="57"/>
      <c r="P2559" s="57"/>
      <c r="AP2559" s="57"/>
      <c r="BA2559" s="57"/>
      <c r="BF2559" s="6" t="e">
        <f t="shared" si="117"/>
        <v>#NUM!</v>
      </c>
      <c r="BG2559" t="e">
        <f t="shared" si="118"/>
        <v>#NUM!</v>
      </c>
      <c r="BH2559" t="e">
        <f t="shared" si="119"/>
        <v>#NUM!</v>
      </c>
      <c r="BI2559" t="e">
        <f>VLOOKUP(H2559,Sheet2!$A$1:$B$270,2,FALSE)</f>
        <v>#N/A</v>
      </c>
    </row>
    <row r="2560" spans="15:61" hidden="1">
      <c r="O2560" s="57"/>
      <c r="P2560" s="57"/>
      <c r="AP2560" s="57"/>
      <c r="BA2560" s="57"/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e">
        <f>VLOOKUP(H2560,Sheet2!$A$1:$B$270,2,FALSE)</f>
        <v>#N/A</v>
      </c>
    </row>
    <row r="2561" spans="15:61" hidden="1">
      <c r="O2561" s="57"/>
      <c r="P2561" s="57"/>
      <c r="AP2561" s="57"/>
      <c r="BA2561" s="57"/>
      <c r="BF2561" s="6" t="e">
        <f t="shared" si="117"/>
        <v>#NUM!</v>
      </c>
      <c r="BG2561" t="e">
        <f t="shared" si="118"/>
        <v>#NUM!</v>
      </c>
      <c r="BH2561" t="e">
        <f t="shared" si="119"/>
        <v>#NUM!</v>
      </c>
      <c r="BI2561" t="e">
        <f>VLOOKUP(H2561,Sheet2!$A$1:$B$270,2,FALSE)</f>
        <v>#N/A</v>
      </c>
    </row>
    <row r="2562" spans="15:61" hidden="1">
      <c r="O2562" s="57"/>
      <c r="P2562" s="57"/>
      <c r="AP2562" s="57"/>
      <c r="BA2562" s="57"/>
      <c r="BF2562" s="6" t="e">
        <f t="shared" ref="BF2562:BF2625" si="120">DATE(BC2562,BD2562,BE2562)</f>
        <v>#NUM!</v>
      </c>
      <c r="BG2562" t="e">
        <f t="shared" ref="BG2562:BG2625" si="121">BF2562-BA2562</f>
        <v>#NUM!</v>
      </c>
      <c r="BH2562" t="e">
        <f t="shared" ref="BH2562:BH2625" si="122">IF(BG2562=1,"COMPLY",IF(BG2562&lt;1,"COMPLY","NOT COMPLY"))</f>
        <v>#NUM!</v>
      </c>
      <c r="BI2562" t="e">
        <f>VLOOKUP(H2562,Sheet2!$A$1:$B$270,2,FALSE)</f>
        <v>#N/A</v>
      </c>
    </row>
    <row r="2563" spans="15:61" hidden="1">
      <c r="O2563" s="57"/>
      <c r="P2563" s="57"/>
      <c r="AP2563" s="57"/>
      <c r="BA2563" s="57"/>
      <c r="BF2563" s="6" t="e">
        <f t="shared" si="120"/>
        <v>#NUM!</v>
      </c>
      <c r="BG2563" t="e">
        <f t="shared" si="121"/>
        <v>#NUM!</v>
      </c>
      <c r="BH2563" t="e">
        <f t="shared" si="122"/>
        <v>#NUM!</v>
      </c>
      <c r="BI2563" t="e">
        <f>VLOOKUP(H2563,Sheet2!$A$1:$B$270,2,FALSE)</f>
        <v>#N/A</v>
      </c>
    </row>
    <row r="2564" spans="15:61" hidden="1">
      <c r="O2564" s="57"/>
      <c r="P2564" s="57"/>
      <c r="AP2564" s="57"/>
      <c r="BA2564" s="57"/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e">
        <f>VLOOKUP(H2564,Sheet2!$A$1:$B$270,2,FALSE)</f>
        <v>#N/A</v>
      </c>
    </row>
    <row r="2565" spans="15:61" hidden="1">
      <c r="O2565" s="57"/>
      <c r="P2565" s="57"/>
      <c r="AP2565" s="57"/>
      <c r="BA2565" s="57"/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e">
        <f>VLOOKUP(H2565,Sheet2!$A$1:$B$270,2,FALSE)</f>
        <v>#N/A</v>
      </c>
    </row>
    <row r="2566" spans="15:61" hidden="1">
      <c r="O2566" s="57"/>
      <c r="P2566" s="57"/>
      <c r="AP2566" s="57"/>
      <c r="BA2566" s="57"/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e">
        <f>VLOOKUP(H2566,Sheet2!$A$1:$B$270,2,FALSE)</f>
        <v>#N/A</v>
      </c>
    </row>
    <row r="2567" spans="15:61" hidden="1">
      <c r="O2567" s="57"/>
      <c r="P2567" s="57"/>
      <c r="BF2567" s="6" t="e">
        <f t="shared" si="120"/>
        <v>#NUM!</v>
      </c>
      <c r="BG2567" t="e">
        <f t="shared" si="121"/>
        <v>#NUM!</v>
      </c>
      <c r="BH2567" t="e">
        <f t="shared" si="122"/>
        <v>#NUM!</v>
      </c>
      <c r="BI2567" t="e">
        <f>VLOOKUP(H2567,Sheet2!$A$1:$B$270,2,FALSE)</f>
        <v>#N/A</v>
      </c>
    </row>
    <row r="2568" spans="15:61" hidden="1">
      <c r="O2568" s="57"/>
      <c r="P2568" s="57"/>
      <c r="AP2568" s="57"/>
      <c r="BA2568" s="57"/>
      <c r="BF2568" s="6" t="e">
        <f t="shared" si="120"/>
        <v>#NUM!</v>
      </c>
      <c r="BG2568" t="e">
        <f t="shared" si="121"/>
        <v>#NUM!</v>
      </c>
      <c r="BH2568" t="e">
        <f t="shared" si="122"/>
        <v>#NUM!</v>
      </c>
      <c r="BI2568" t="e">
        <f>VLOOKUP(H2568,Sheet2!$A$1:$B$270,2,FALSE)</f>
        <v>#N/A</v>
      </c>
    </row>
    <row r="2569" spans="15:61" hidden="1">
      <c r="O2569" s="57"/>
      <c r="P2569" s="57"/>
      <c r="AO2569" s="57"/>
      <c r="BF2569" s="6" t="e">
        <f t="shared" si="120"/>
        <v>#NUM!</v>
      </c>
      <c r="BG2569" t="e">
        <f t="shared" si="121"/>
        <v>#NUM!</v>
      </c>
      <c r="BH2569" t="e">
        <f t="shared" si="122"/>
        <v>#NUM!</v>
      </c>
      <c r="BI2569" t="e">
        <f>VLOOKUP(H2569,Sheet2!$A$1:$B$270,2,FALSE)</f>
        <v>#N/A</v>
      </c>
    </row>
    <row r="2570" spans="15:61" hidden="1">
      <c r="O2570" s="57"/>
      <c r="P2570" s="57"/>
      <c r="AO2570" s="57"/>
      <c r="AP2570" s="57"/>
      <c r="BA2570" s="57"/>
      <c r="BF2570" s="6" t="e">
        <f t="shared" si="120"/>
        <v>#NUM!</v>
      </c>
      <c r="BG2570" t="e">
        <f t="shared" si="121"/>
        <v>#NUM!</v>
      </c>
      <c r="BH2570" t="e">
        <f t="shared" si="122"/>
        <v>#NUM!</v>
      </c>
      <c r="BI2570" t="e">
        <f>VLOOKUP(H2570,Sheet2!$A$1:$B$270,2,FALSE)</f>
        <v>#N/A</v>
      </c>
    </row>
    <row r="2571" spans="15:61" hidden="1">
      <c r="O2571" s="57"/>
      <c r="P2571" s="57"/>
      <c r="AO2571" s="57"/>
      <c r="AP2571" s="57"/>
      <c r="BA2571" s="57"/>
      <c r="BF2571" s="6" t="e">
        <f t="shared" si="120"/>
        <v>#NUM!</v>
      </c>
      <c r="BG2571" t="e">
        <f t="shared" si="121"/>
        <v>#NUM!</v>
      </c>
      <c r="BH2571" t="e">
        <f t="shared" si="122"/>
        <v>#NUM!</v>
      </c>
      <c r="BI2571" t="e">
        <f>VLOOKUP(H2571,Sheet2!$A$1:$B$270,2,FALSE)</f>
        <v>#N/A</v>
      </c>
    </row>
    <row r="2572" spans="15:61" hidden="1">
      <c r="O2572" s="57"/>
      <c r="P2572" s="57"/>
      <c r="AO2572" s="57"/>
      <c r="AP2572" s="57"/>
      <c r="BA2572" s="57"/>
      <c r="BF2572" s="6" t="e">
        <f t="shared" si="120"/>
        <v>#NUM!</v>
      </c>
      <c r="BG2572" t="e">
        <f t="shared" si="121"/>
        <v>#NUM!</v>
      </c>
      <c r="BH2572" t="e">
        <f t="shared" si="122"/>
        <v>#NUM!</v>
      </c>
      <c r="BI2572" t="e">
        <f>VLOOKUP(H2572,Sheet2!$A$1:$B$270,2,FALSE)</f>
        <v>#N/A</v>
      </c>
    </row>
    <row r="2573" spans="15:61" hidden="1">
      <c r="O2573" s="57"/>
      <c r="P2573" s="57"/>
      <c r="AO2573" s="57"/>
      <c r="AP2573" s="57"/>
      <c r="BA2573" s="57"/>
      <c r="BF2573" s="6" t="e">
        <f t="shared" si="120"/>
        <v>#NUM!</v>
      </c>
      <c r="BG2573" t="e">
        <f t="shared" si="121"/>
        <v>#NUM!</v>
      </c>
      <c r="BH2573" t="e">
        <f t="shared" si="122"/>
        <v>#NUM!</v>
      </c>
      <c r="BI2573" t="e">
        <f>VLOOKUP(H2573,Sheet2!$A$1:$B$270,2,FALSE)</f>
        <v>#N/A</v>
      </c>
    </row>
    <row r="2574" spans="15:61" hidden="1">
      <c r="O2574" s="57"/>
      <c r="P2574" s="57"/>
      <c r="AO2574" s="57"/>
      <c r="AP2574" s="57"/>
      <c r="BA2574" s="57"/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e">
        <f>VLOOKUP(H2574,Sheet2!$A$1:$B$270,2,FALSE)</f>
        <v>#N/A</v>
      </c>
    </row>
    <row r="2575" spans="15:61" hidden="1">
      <c r="O2575" s="57"/>
      <c r="P2575" s="57"/>
      <c r="AO2575" s="57"/>
      <c r="AP2575" s="57"/>
      <c r="BA2575" s="57"/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e">
        <f>VLOOKUP(H2575,Sheet2!$A$1:$B$270,2,FALSE)</f>
        <v>#N/A</v>
      </c>
    </row>
    <row r="2576" spans="15:61" hidden="1">
      <c r="O2576" s="57"/>
      <c r="P2576" s="57"/>
      <c r="AO2576" s="57"/>
      <c r="AP2576" s="57"/>
      <c r="BA2576" s="57"/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e">
        <f>VLOOKUP(H2576,Sheet2!$A$1:$B$270,2,FALSE)</f>
        <v>#N/A</v>
      </c>
    </row>
    <row r="2577" spans="15:61" hidden="1">
      <c r="O2577" s="57"/>
      <c r="P2577" s="57"/>
      <c r="AO2577" s="57"/>
      <c r="AP2577" s="57"/>
      <c r="BA2577" s="57"/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e">
        <f>VLOOKUP(H2577,Sheet2!$A$1:$B$270,2,FALSE)</f>
        <v>#N/A</v>
      </c>
    </row>
    <row r="2578" spans="15:61" hidden="1">
      <c r="O2578" s="57"/>
      <c r="P2578" s="57"/>
      <c r="AO2578" s="57"/>
      <c r="AP2578" s="57"/>
      <c r="BA2578" s="57"/>
      <c r="BF2578" s="6" t="e">
        <f t="shared" si="120"/>
        <v>#NUM!</v>
      </c>
      <c r="BG2578" t="e">
        <f t="shared" si="121"/>
        <v>#NUM!</v>
      </c>
      <c r="BH2578" t="e">
        <f t="shared" si="122"/>
        <v>#NUM!</v>
      </c>
      <c r="BI2578" t="e">
        <f>VLOOKUP(H2578,Sheet2!$A$1:$B$270,2,FALSE)</f>
        <v>#N/A</v>
      </c>
    </row>
    <row r="2579" spans="15:61" hidden="1">
      <c r="O2579" s="57"/>
      <c r="P2579" s="57"/>
      <c r="AP2579" s="57"/>
      <c r="BA2579" s="57"/>
      <c r="BF2579" s="6" t="e">
        <f t="shared" si="120"/>
        <v>#NUM!</v>
      </c>
      <c r="BG2579" t="e">
        <f t="shared" si="121"/>
        <v>#NUM!</v>
      </c>
      <c r="BH2579" t="e">
        <f t="shared" si="122"/>
        <v>#NUM!</v>
      </c>
      <c r="BI2579" t="e">
        <f>VLOOKUP(H2579,Sheet2!$A$1:$B$270,2,FALSE)</f>
        <v>#N/A</v>
      </c>
    </row>
    <row r="2580" spans="15:61" hidden="1">
      <c r="O2580" s="57"/>
      <c r="P2580" s="57"/>
      <c r="AP2580" s="57"/>
      <c r="BA2580" s="57"/>
      <c r="BF2580" s="6" t="e">
        <f t="shared" si="120"/>
        <v>#NUM!</v>
      </c>
      <c r="BG2580" t="e">
        <f t="shared" si="121"/>
        <v>#NUM!</v>
      </c>
      <c r="BH2580" t="e">
        <f t="shared" si="122"/>
        <v>#NUM!</v>
      </c>
      <c r="BI2580" t="e">
        <f>VLOOKUP(H2580,Sheet2!$A$1:$B$270,2,FALSE)</f>
        <v>#N/A</v>
      </c>
    </row>
    <row r="2581" spans="15:61" hidden="1">
      <c r="O2581" s="57"/>
      <c r="P2581" s="57"/>
      <c r="AO2581" s="57"/>
      <c r="BA2581" s="57"/>
      <c r="BF2581" s="6" t="e">
        <f t="shared" si="120"/>
        <v>#NUM!</v>
      </c>
      <c r="BG2581" t="e">
        <f t="shared" si="121"/>
        <v>#NUM!</v>
      </c>
      <c r="BH2581" t="e">
        <f t="shared" si="122"/>
        <v>#NUM!</v>
      </c>
      <c r="BI2581" t="e">
        <f>VLOOKUP(H2581,Sheet2!$A$1:$B$270,2,FALSE)</f>
        <v>#N/A</v>
      </c>
    </row>
    <row r="2582" spans="15:61" hidden="1">
      <c r="O2582" s="57"/>
      <c r="P2582" s="57"/>
      <c r="AP2582" s="57"/>
      <c r="BA2582" s="57"/>
      <c r="BF2582" s="6" t="e">
        <f t="shared" si="120"/>
        <v>#NUM!</v>
      </c>
      <c r="BG2582" t="e">
        <f t="shared" si="121"/>
        <v>#NUM!</v>
      </c>
      <c r="BH2582" t="e">
        <f t="shared" si="122"/>
        <v>#NUM!</v>
      </c>
      <c r="BI2582" t="e">
        <f>VLOOKUP(H2582,Sheet2!$A$1:$B$270,2,FALSE)</f>
        <v>#N/A</v>
      </c>
    </row>
    <row r="2583" spans="15:61" hidden="1">
      <c r="O2583" s="57"/>
      <c r="P2583" s="57"/>
      <c r="AP2583" s="57"/>
      <c r="BA2583" s="57"/>
      <c r="BF2583" s="6" t="e">
        <f t="shared" si="120"/>
        <v>#NUM!</v>
      </c>
      <c r="BG2583" t="e">
        <f t="shared" si="121"/>
        <v>#NUM!</v>
      </c>
      <c r="BH2583" t="e">
        <f t="shared" si="122"/>
        <v>#NUM!</v>
      </c>
      <c r="BI2583" t="e">
        <f>VLOOKUP(H2583,Sheet2!$A$1:$B$270,2,FALSE)</f>
        <v>#N/A</v>
      </c>
    </row>
    <row r="2584" spans="15:61" hidden="1">
      <c r="O2584" s="57"/>
      <c r="P2584" s="57"/>
      <c r="AP2584" s="57"/>
      <c r="BA2584" s="57"/>
      <c r="BF2584" s="6" t="e">
        <f t="shared" si="120"/>
        <v>#NUM!</v>
      </c>
      <c r="BG2584" t="e">
        <f t="shared" si="121"/>
        <v>#NUM!</v>
      </c>
      <c r="BH2584" t="e">
        <f t="shared" si="122"/>
        <v>#NUM!</v>
      </c>
      <c r="BI2584" t="e">
        <f>VLOOKUP(H2584,Sheet2!$A$1:$B$270,2,FALSE)</f>
        <v>#N/A</v>
      </c>
    </row>
    <row r="2585" spans="15:61" hidden="1">
      <c r="O2585" s="57"/>
      <c r="P2585" s="57"/>
      <c r="BA2585" s="57"/>
      <c r="BF2585" s="6" t="e">
        <f t="shared" si="120"/>
        <v>#NUM!</v>
      </c>
      <c r="BG2585" t="e">
        <f t="shared" si="121"/>
        <v>#NUM!</v>
      </c>
      <c r="BH2585" t="e">
        <f t="shared" si="122"/>
        <v>#NUM!</v>
      </c>
      <c r="BI2585" t="e">
        <f>VLOOKUP(H2585,Sheet2!$A$1:$B$270,2,FALSE)</f>
        <v>#N/A</v>
      </c>
    </row>
    <row r="2586" spans="15:61" hidden="1">
      <c r="O2586" s="57"/>
      <c r="P2586" s="57"/>
      <c r="AO2586" s="57"/>
      <c r="AP2586" s="57"/>
      <c r="BA2586" s="57"/>
      <c r="BF2586" s="6" t="e">
        <f t="shared" si="120"/>
        <v>#NUM!</v>
      </c>
      <c r="BG2586" t="e">
        <f t="shared" si="121"/>
        <v>#NUM!</v>
      </c>
      <c r="BH2586" t="e">
        <f t="shared" si="122"/>
        <v>#NUM!</v>
      </c>
      <c r="BI2586" t="e">
        <f>VLOOKUP(H2586,Sheet2!$A$1:$B$270,2,FALSE)</f>
        <v>#N/A</v>
      </c>
    </row>
    <row r="2587" spans="15:61" hidden="1">
      <c r="O2587" s="57"/>
      <c r="P2587" s="57"/>
      <c r="AO2587" s="57"/>
      <c r="AP2587" s="57"/>
      <c r="BA2587" s="57"/>
      <c r="BF2587" s="6" t="e">
        <f t="shared" si="120"/>
        <v>#NUM!</v>
      </c>
      <c r="BG2587" t="e">
        <f t="shared" si="121"/>
        <v>#NUM!</v>
      </c>
      <c r="BH2587" t="e">
        <f t="shared" si="122"/>
        <v>#NUM!</v>
      </c>
      <c r="BI2587" t="e">
        <f>VLOOKUP(H2587,Sheet2!$A$1:$B$270,2,FALSE)</f>
        <v>#N/A</v>
      </c>
    </row>
    <row r="2588" spans="15:61" hidden="1">
      <c r="O2588" s="57"/>
      <c r="P2588" s="57"/>
      <c r="AO2588" s="57"/>
      <c r="AP2588" s="57"/>
      <c r="BA2588" s="57"/>
      <c r="BF2588" s="6" t="e">
        <f t="shared" si="120"/>
        <v>#NUM!</v>
      </c>
      <c r="BG2588" t="e">
        <f t="shared" si="121"/>
        <v>#NUM!</v>
      </c>
      <c r="BH2588" t="e">
        <f t="shared" si="122"/>
        <v>#NUM!</v>
      </c>
      <c r="BI2588" t="e">
        <f>VLOOKUP(H2588,Sheet2!$A$1:$B$270,2,FALSE)</f>
        <v>#N/A</v>
      </c>
    </row>
    <row r="2589" spans="15:61" hidden="1">
      <c r="O2589" s="57"/>
      <c r="P2589" s="57"/>
      <c r="BA2589" s="57"/>
      <c r="BF2589" s="6" t="e">
        <f t="shared" si="120"/>
        <v>#NUM!</v>
      </c>
      <c r="BG2589" t="e">
        <f t="shared" si="121"/>
        <v>#NUM!</v>
      </c>
      <c r="BH2589" t="e">
        <f t="shared" si="122"/>
        <v>#NUM!</v>
      </c>
      <c r="BI2589" t="e">
        <f>VLOOKUP(H2589,Sheet2!$A$1:$B$270,2,FALSE)</f>
        <v>#N/A</v>
      </c>
    </row>
    <row r="2590" spans="15:61" hidden="1">
      <c r="O2590" s="57"/>
      <c r="P2590" s="57"/>
      <c r="AP2590" s="57"/>
      <c r="BA2590" s="57"/>
      <c r="BF2590" s="6" t="e">
        <f t="shared" si="120"/>
        <v>#NUM!</v>
      </c>
      <c r="BG2590" t="e">
        <f t="shared" si="121"/>
        <v>#NUM!</v>
      </c>
      <c r="BH2590" t="e">
        <f t="shared" si="122"/>
        <v>#NUM!</v>
      </c>
      <c r="BI2590" t="e">
        <f>VLOOKUP(H2590,Sheet2!$A$1:$B$270,2,FALSE)</f>
        <v>#N/A</v>
      </c>
    </row>
    <row r="2591" spans="15:61" hidden="1">
      <c r="O2591" s="57"/>
      <c r="P2591" s="57"/>
      <c r="AP2591" s="57"/>
      <c r="BA2591" s="57"/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e">
        <f>VLOOKUP(H2591,Sheet2!$A$1:$B$270,2,FALSE)</f>
        <v>#N/A</v>
      </c>
    </row>
    <row r="2592" spans="15:61" hidden="1">
      <c r="O2592" s="57"/>
      <c r="P2592" s="57"/>
      <c r="AP2592" s="57"/>
      <c r="BA2592" s="57"/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e">
        <f>VLOOKUP(H2592,Sheet2!$A$1:$B$270,2,FALSE)</f>
        <v>#N/A</v>
      </c>
    </row>
    <row r="2593" spans="15:61" hidden="1">
      <c r="O2593" s="57"/>
      <c r="P2593" s="57"/>
      <c r="AP2593" s="57"/>
      <c r="BA2593" s="57"/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e">
        <f>VLOOKUP(H2593,Sheet2!$A$1:$B$270,2,FALSE)</f>
        <v>#N/A</v>
      </c>
    </row>
    <row r="2594" spans="15:61" hidden="1">
      <c r="O2594" s="57"/>
      <c r="P2594" s="57"/>
      <c r="AO2594" s="57"/>
      <c r="AP2594" s="57"/>
      <c r="BA2594" s="57"/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e">
        <f>VLOOKUP(H2594,Sheet2!$A$1:$B$270,2,FALSE)</f>
        <v>#N/A</v>
      </c>
    </row>
    <row r="2595" spans="15:61" hidden="1">
      <c r="O2595" s="57"/>
      <c r="P2595" s="57"/>
      <c r="AO2595" s="57"/>
      <c r="AP2595" s="57"/>
      <c r="BA2595" s="57"/>
      <c r="BF2595" s="6" t="e">
        <f t="shared" si="120"/>
        <v>#NUM!</v>
      </c>
      <c r="BG2595" t="e">
        <f t="shared" si="121"/>
        <v>#NUM!</v>
      </c>
      <c r="BH2595" t="e">
        <f t="shared" si="122"/>
        <v>#NUM!</v>
      </c>
      <c r="BI2595" t="e">
        <f>VLOOKUP(H2595,Sheet2!$A$1:$B$270,2,FALSE)</f>
        <v>#N/A</v>
      </c>
    </row>
    <row r="2596" spans="15:61" hidden="1">
      <c r="O2596" s="57"/>
      <c r="P2596" s="57"/>
      <c r="AO2596" s="57"/>
      <c r="AP2596" s="57"/>
      <c r="BA2596" s="57"/>
      <c r="BF2596" s="6" t="e">
        <f t="shared" si="120"/>
        <v>#NUM!</v>
      </c>
      <c r="BG2596" t="e">
        <f t="shared" si="121"/>
        <v>#NUM!</v>
      </c>
      <c r="BH2596" t="e">
        <f t="shared" si="122"/>
        <v>#NUM!</v>
      </c>
      <c r="BI2596" t="e">
        <f>VLOOKUP(H2596,Sheet2!$A$1:$B$270,2,FALSE)</f>
        <v>#N/A</v>
      </c>
    </row>
    <row r="2597" spans="15:61" hidden="1">
      <c r="O2597" s="57"/>
      <c r="P2597" s="57"/>
      <c r="AO2597" s="57"/>
      <c r="AP2597" s="57"/>
      <c r="BA2597" s="57"/>
      <c r="BF2597" s="6" t="e">
        <f t="shared" si="120"/>
        <v>#NUM!</v>
      </c>
      <c r="BG2597" t="e">
        <f t="shared" si="121"/>
        <v>#NUM!</v>
      </c>
      <c r="BH2597" t="e">
        <f t="shared" si="122"/>
        <v>#NUM!</v>
      </c>
      <c r="BI2597" t="e">
        <f>VLOOKUP(H2597,Sheet2!$A$1:$B$270,2,FALSE)</f>
        <v>#N/A</v>
      </c>
    </row>
    <row r="2598" spans="15:61" hidden="1">
      <c r="O2598" s="57"/>
      <c r="P2598" s="57"/>
      <c r="AO2598" s="57"/>
      <c r="AP2598" s="57"/>
      <c r="BA2598" s="57"/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e">
        <f>VLOOKUP(H2598,Sheet2!$A$1:$B$270,2,FALSE)</f>
        <v>#N/A</v>
      </c>
    </row>
    <row r="2599" spans="15:61" hidden="1">
      <c r="O2599" s="57"/>
      <c r="P2599" s="57"/>
      <c r="AO2599" s="57"/>
      <c r="AP2599" s="57"/>
      <c r="BA2599" s="57"/>
      <c r="BF2599" s="6" t="e">
        <f t="shared" si="120"/>
        <v>#NUM!</v>
      </c>
      <c r="BG2599" t="e">
        <f t="shared" si="121"/>
        <v>#NUM!</v>
      </c>
      <c r="BH2599" t="e">
        <f t="shared" si="122"/>
        <v>#NUM!</v>
      </c>
      <c r="BI2599" t="e">
        <f>VLOOKUP(H2599,Sheet2!$A$1:$B$270,2,FALSE)</f>
        <v>#N/A</v>
      </c>
    </row>
    <row r="2600" spans="15:61" hidden="1">
      <c r="O2600" s="57"/>
      <c r="P2600" s="57"/>
      <c r="AO2600" s="57"/>
      <c r="AP2600" s="57"/>
      <c r="BA2600" s="57"/>
      <c r="BF2600" s="6" t="e">
        <f t="shared" si="120"/>
        <v>#NUM!</v>
      </c>
      <c r="BG2600" t="e">
        <f t="shared" si="121"/>
        <v>#NUM!</v>
      </c>
      <c r="BH2600" t="e">
        <f t="shared" si="122"/>
        <v>#NUM!</v>
      </c>
      <c r="BI2600" t="e">
        <f>VLOOKUP(H2600,Sheet2!$A$1:$B$270,2,FALSE)</f>
        <v>#N/A</v>
      </c>
    </row>
    <row r="2601" spans="15:61" hidden="1">
      <c r="O2601" s="57"/>
      <c r="P2601" s="57"/>
      <c r="AO2601" s="57"/>
      <c r="AP2601" s="57"/>
      <c r="BA2601" s="57"/>
      <c r="BF2601" s="6" t="e">
        <f t="shared" si="120"/>
        <v>#NUM!</v>
      </c>
      <c r="BG2601" t="e">
        <f t="shared" si="121"/>
        <v>#NUM!</v>
      </c>
      <c r="BH2601" t="e">
        <f t="shared" si="122"/>
        <v>#NUM!</v>
      </c>
      <c r="BI2601" t="e">
        <f>VLOOKUP(H2601,Sheet2!$A$1:$B$270,2,FALSE)</f>
        <v>#N/A</v>
      </c>
    </row>
    <row r="2602" spans="15:61" hidden="1">
      <c r="O2602" s="57"/>
      <c r="P2602" s="57"/>
      <c r="AO2602" s="57"/>
      <c r="AP2602" s="57"/>
      <c r="BA2602" s="57"/>
      <c r="BF2602" s="6" t="e">
        <f t="shared" si="120"/>
        <v>#NUM!</v>
      </c>
      <c r="BG2602" t="e">
        <f t="shared" si="121"/>
        <v>#NUM!</v>
      </c>
      <c r="BH2602" t="e">
        <f t="shared" si="122"/>
        <v>#NUM!</v>
      </c>
      <c r="BI2602" t="e">
        <f>VLOOKUP(H2602,Sheet2!$A$1:$B$270,2,FALSE)</f>
        <v>#N/A</v>
      </c>
    </row>
    <row r="2603" spans="15:61" hidden="1">
      <c r="O2603" s="57"/>
      <c r="P2603" s="57"/>
      <c r="AO2603" s="57"/>
      <c r="AP2603" s="57"/>
      <c r="BA2603" s="57"/>
      <c r="BF2603" s="6" t="e">
        <f t="shared" si="120"/>
        <v>#NUM!</v>
      </c>
      <c r="BG2603" t="e">
        <f t="shared" si="121"/>
        <v>#NUM!</v>
      </c>
      <c r="BH2603" t="e">
        <f t="shared" si="122"/>
        <v>#NUM!</v>
      </c>
      <c r="BI2603" t="e">
        <f>VLOOKUP(H2603,Sheet2!$A$1:$B$270,2,FALSE)</f>
        <v>#N/A</v>
      </c>
    </row>
    <row r="2604" spans="15:61" hidden="1">
      <c r="O2604" s="57"/>
      <c r="P2604" s="57"/>
      <c r="AO2604" s="57"/>
      <c r="AP2604" s="57"/>
      <c r="BA2604" s="57"/>
      <c r="BF2604" s="6" t="e">
        <f t="shared" si="120"/>
        <v>#NUM!</v>
      </c>
      <c r="BG2604" t="e">
        <f t="shared" si="121"/>
        <v>#NUM!</v>
      </c>
      <c r="BH2604" t="e">
        <f t="shared" si="122"/>
        <v>#NUM!</v>
      </c>
      <c r="BI2604" t="e">
        <f>VLOOKUP(H2604,Sheet2!$A$1:$B$270,2,FALSE)</f>
        <v>#N/A</v>
      </c>
    </row>
    <row r="2605" spans="15:61" hidden="1">
      <c r="O2605" s="57"/>
      <c r="P2605" s="57"/>
      <c r="AO2605" s="57"/>
      <c r="AP2605" s="57"/>
      <c r="BA2605" s="57"/>
      <c r="BF2605" s="6" t="e">
        <f t="shared" si="120"/>
        <v>#NUM!</v>
      </c>
      <c r="BG2605" t="e">
        <f t="shared" si="121"/>
        <v>#NUM!</v>
      </c>
      <c r="BH2605" t="e">
        <f t="shared" si="122"/>
        <v>#NUM!</v>
      </c>
      <c r="BI2605" t="e">
        <f>VLOOKUP(H2605,Sheet2!$A$1:$B$270,2,FALSE)</f>
        <v>#N/A</v>
      </c>
    </row>
    <row r="2606" spans="15:61" hidden="1">
      <c r="O2606" s="57"/>
      <c r="P2606" s="57"/>
      <c r="AO2606" s="57"/>
      <c r="AP2606" s="57"/>
      <c r="BA2606" s="57"/>
      <c r="BF2606" s="6" t="e">
        <f t="shared" si="120"/>
        <v>#NUM!</v>
      </c>
      <c r="BG2606" t="e">
        <f t="shared" si="121"/>
        <v>#NUM!</v>
      </c>
      <c r="BH2606" t="e">
        <f t="shared" si="122"/>
        <v>#NUM!</v>
      </c>
      <c r="BI2606" t="e">
        <f>VLOOKUP(H2606,Sheet2!$A$1:$B$270,2,FALSE)</f>
        <v>#N/A</v>
      </c>
    </row>
    <row r="2607" spans="15:61" hidden="1">
      <c r="O2607" s="57"/>
      <c r="P2607" s="57"/>
      <c r="AO2607" s="57"/>
      <c r="AP2607" s="57"/>
      <c r="BA2607" s="57"/>
      <c r="BF2607" s="6" t="e">
        <f t="shared" si="120"/>
        <v>#NUM!</v>
      </c>
      <c r="BG2607" t="e">
        <f t="shared" si="121"/>
        <v>#NUM!</v>
      </c>
      <c r="BH2607" t="e">
        <f t="shared" si="122"/>
        <v>#NUM!</v>
      </c>
      <c r="BI2607" t="e">
        <f>VLOOKUP(H2607,Sheet2!$A$1:$B$270,2,FALSE)</f>
        <v>#N/A</v>
      </c>
    </row>
    <row r="2608" spans="15:61" hidden="1">
      <c r="O2608" s="57"/>
      <c r="P2608" s="57"/>
      <c r="AO2608" s="57"/>
      <c r="AP2608" s="57"/>
      <c r="BA2608" s="57"/>
      <c r="BF2608" s="6" t="e">
        <f t="shared" si="120"/>
        <v>#NUM!</v>
      </c>
      <c r="BG2608" t="e">
        <f t="shared" si="121"/>
        <v>#NUM!</v>
      </c>
      <c r="BH2608" t="e">
        <f t="shared" si="122"/>
        <v>#NUM!</v>
      </c>
      <c r="BI2608" t="e">
        <f>VLOOKUP(H2608,Sheet2!$A$1:$B$270,2,FALSE)</f>
        <v>#N/A</v>
      </c>
    </row>
    <row r="2609" spans="15:61" hidden="1">
      <c r="O2609" s="57"/>
      <c r="P2609" s="57"/>
      <c r="AP2609" s="57"/>
      <c r="BA2609" s="57"/>
      <c r="BF2609" s="6" t="e">
        <f t="shared" si="120"/>
        <v>#NUM!</v>
      </c>
      <c r="BG2609" t="e">
        <f t="shared" si="121"/>
        <v>#NUM!</v>
      </c>
      <c r="BH2609" t="e">
        <f t="shared" si="122"/>
        <v>#NUM!</v>
      </c>
      <c r="BI2609" t="e">
        <f>VLOOKUP(H2609,Sheet2!$A$1:$B$270,2,FALSE)</f>
        <v>#N/A</v>
      </c>
    </row>
    <row r="2610" spans="15:61" hidden="1">
      <c r="O2610" s="57"/>
      <c r="P2610" s="57"/>
      <c r="BA2610" s="57"/>
      <c r="BF2610" s="6" t="e">
        <f t="shared" si="120"/>
        <v>#NUM!</v>
      </c>
      <c r="BG2610" t="e">
        <f t="shared" si="121"/>
        <v>#NUM!</v>
      </c>
      <c r="BH2610" t="e">
        <f t="shared" si="122"/>
        <v>#NUM!</v>
      </c>
      <c r="BI2610" t="e">
        <f>VLOOKUP(H2610,Sheet2!$A$1:$B$270,2,FALSE)</f>
        <v>#N/A</v>
      </c>
    </row>
    <row r="2611" spans="15:61" hidden="1">
      <c r="O2611" s="57"/>
      <c r="P2611" s="57"/>
      <c r="BA2611" s="57"/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e">
        <f>VLOOKUP(H2611,Sheet2!$A$1:$B$270,2,FALSE)</f>
        <v>#N/A</v>
      </c>
    </row>
    <row r="2612" spans="15:61" hidden="1">
      <c r="O2612" s="57"/>
      <c r="P2612" s="57"/>
      <c r="AP2612" s="57"/>
      <c r="BA2612" s="57"/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e">
        <f>VLOOKUP(H2612,Sheet2!$A$1:$B$270,2,FALSE)</f>
        <v>#N/A</v>
      </c>
    </row>
    <row r="2613" spans="15:61" hidden="1">
      <c r="O2613" s="57"/>
      <c r="P2613" s="57"/>
      <c r="AP2613" s="57"/>
      <c r="BA2613" s="57"/>
      <c r="BF2613" s="6" t="e">
        <f t="shared" si="120"/>
        <v>#NUM!</v>
      </c>
      <c r="BG2613" t="e">
        <f t="shared" si="121"/>
        <v>#NUM!</v>
      </c>
      <c r="BH2613" t="e">
        <f t="shared" si="122"/>
        <v>#NUM!</v>
      </c>
      <c r="BI2613" t="e">
        <f>VLOOKUP(H2613,Sheet2!$A$1:$B$270,2,FALSE)</f>
        <v>#N/A</v>
      </c>
    </row>
    <row r="2614" spans="15:61" hidden="1">
      <c r="O2614" s="57"/>
      <c r="P2614" s="57"/>
      <c r="AP2614" s="57"/>
      <c r="BA2614" s="57"/>
      <c r="BF2614" s="6" t="e">
        <f t="shared" si="120"/>
        <v>#NUM!</v>
      </c>
      <c r="BG2614" t="e">
        <f t="shared" si="121"/>
        <v>#NUM!</v>
      </c>
      <c r="BH2614" t="e">
        <f t="shared" si="122"/>
        <v>#NUM!</v>
      </c>
      <c r="BI2614" t="e">
        <f>VLOOKUP(H2614,Sheet2!$A$1:$B$270,2,FALSE)</f>
        <v>#N/A</v>
      </c>
    </row>
    <row r="2615" spans="15:61" hidden="1">
      <c r="O2615" s="57"/>
      <c r="P2615" s="57"/>
      <c r="AP2615" s="57"/>
      <c r="BA2615" s="57"/>
      <c r="BF2615" s="6" t="e">
        <f t="shared" si="120"/>
        <v>#NUM!</v>
      </c>
      <c r="BG2615" t="e">
        <f t="shared" si="121"/>
        <v>#NUM!</v>
      </c>
      <c r="BH2615" t="e">
        <f t="shared" si="122"/>
        <v>#NUM!</v>
      </c>
      <c r="BI2615" t="e">
        <f>VLOOKUP(H2615,Sheet2!$A$1:$B$270,2,FALSE)</f>
        <v>#N/A</v>
      </c>
    </row>
    <row r="2616" spans="15:61" hidden="1">
      <c r="O2616" s="57"/>
      <c r="P2616" s="57"/>
      <c r="AP2616" s="57"/>
      <c r="BA2616" s="57"/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e">
        <f>VLOOKUP(H2616,Sheet2!$A$1:$B$270,2,FALSE)</f>
        <v>#N/A</v>
      </c>
    </row>
    <row r="2617" spans="15:61" hidden="1">
      <c r="O2617" s="57"/>
      <c r="P2617" s="57"/>
      <c r="AP2617" s="57"/>
      <c r="BA2617" s="57"/>
      <c r="BF2617" s="6" t="e">
        <f t="shared" si="120"/>
        <v>#NUM!</v>
      </c>
      <c r="BG2617" t="e">
        <f t="shared" si="121"/>
        <v>#NUM!</v>
      </c>
      <c r="BH2617" t="e">
        <f t="shared" si="122"/>
        <v>#NUM!</v>
      </c>
      <c r="BI2617" t="e">
        <f>VLOOKUP(H2617,Sheet2!$A$1:$B$270,2,FALSE)</f>
        <v>#N/A</v>
      </c>
    </row>
    <row r="2618" spans="15:61" hidden="1">
      <c r="O2618" s="57"/>
      <c r="P2618" s="57"/>
      <c r="AP2618" s="57"/>
      <c r="BA2618" s="57"/>
      <c r="BF2618" s="6" t="e">
        <f t="shared" si="120"/>
        <v>#NUM!</v>
      </c>
      <c r="BG2618" t="e">
        <f t="shared" si="121"/>
        <v>#NUM!</v>
      </c>
      <c r="BH2618" t="e">
        <f t="shared" si="122"/>
        <v>#NUM!</v>
      </c>
      <c r="BI2618" t="e">
        <f>VLOOKUP(H2618,Sheet2!$A$1:$B$270,2,FALSE)</f>
        <v>#N/A</v>
      </c>
    </row>
    <row r="2619" spans="15:61" hidden="1">
      <c r="O2619" s="57"/>
      <c r="P2619" s="57"/>
      <c r="AP2619" s="57"/>
      <c r="BA2619" s="57"/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e">
        <f>VLOOKUP(H2619,Sheet2!$A$1:$B$270,2,FALSE)</f>
        <v>#N/A</v>
      </c>
    </row>
    <row r="2620" spans="15:61" hidden="1">
      <c r="O2620" s="57"/>
      <c r="P2620" s="57"/>
      <c r="AP2620" s="57"/>
      <c r="BA2620" s="57"/>
      <c r="BF2620" s="6" t="e">
        <f t="shared" si="120"/>
        <v>#NUM!</v>
      </c>
      <c r="BG2620" t="e">
        <f t="shared" si="121"/>
        <v>#NUM!</v>
      </c>
      <c r="BH2620" t="e">
        <f t="shared" si="122"/>
        <v>#NUM!</v>
      </c>
      <c r="BI2620" t="e">
        <f>VLOOKUP(H2620,Sheet2!$A$1:$B$270,2,FALSE)</f>
        <v>#N/A</v>
      </c>
    </row>
    <row r="2621" spans="15:61" hidden="1">
      <c r="O2621" s="57"/>
      <c r="P2621" s="57"/>
      <c r="AP2621" s="57"/>
      <c r="BA2621" s="57"/>
      <c r="BF2621" s="6" t="e">
        <f t="shared" si="120"/>
        <v>#NUM!</v>
      </c>
      <c r="BG2621" t="e">
        <f t="shared" si="121"/>
        <v>#NUM!</v>
      </c>
      <c r="BH2621" t="e">
        <f t="shared" si="122"/>
        <v>#NUM!</v>
      </c>
      <c r="BI2621" t="e">
        <f>VLOOKUP(H2621,Sheet2!$A$1:$B$270,2,FALSE)</f>
        <v>#N/A</v>
      </c>
    </row>
    <row r="2622" spans="15:61" hidden="1">
      <c r="O2622" s="57"/>
      <c r="P2622" s="57"/>
      <c r="BA2622" s="57"/>
      <c r="BF2622" s="6" t="e">
        <f t="shared" si="120"/>
        <v>#NUM!</v>
      </c>
      <c r="BG2622" t="e">
        <f t="shared" si="121"/>
        <v>#NUM!</v>
      </c>
      <c r="BH2622" t="e">
        <f t="shared" si="122"/>
        <v>#NUM!</v>
      </c>
      <c r="BI2622" t="e">
        <f>VLOOKUP(H2622,Sheet2!$A$1:$B$270,2,FALSE)</f>
        <v>#N/A</v>
      </c>
    </row>
    <row r="2623" spans="15:61" hidden="1">
      <c r="O2623" s="57"/>
      <c r="P2623" s="57"/>
      <c r="AP2623" s="57"/>
      <c r="BA2623" s="57"/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e">
        <f>VLOOKUP(H2623,Sheet2!$A$1:$B$270,2,FALSE)</f>
        <v>#N/A</v>
      </c>
    </row>
    <row r="2624" spans="15:61" hidden="1">
      <c r="O2624" s="57"/>
      <c r="P2624" s="57"/>
      <c r="AP2624" s="57"/>
      <c r="BA2624" s="57"/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e">
        <f>VLOOKUP(H2624,Sheet2!$A$1:$B$270,2,FALSE)</f>
        <v>#N/A</v>
      </c>
    </row>
    <row r="2625" spans="15:61" hidden="1">
      <c r="O2625" s="57"/>
      <c r="P2625" s="57"/>
      <c r="AP2625" s="57"/>
      <c r="BA2625" s="57"/>
      <c r="BF2625" s="6" t="e">
        <f t="shared" si="120"/>
        <v>#NUM!</v>
      </c>
      <c r="BG2625" t="e">
        <f t="shared" si="121"/>
        <v>#NUM!</v>
      </c>
      <c r="BH2625" t="e">
        <f t="shared" si="122"/>
        <v>#NUM!</v>
      </c>
      <c r="BI2625" t="e">
        <f>VLOOKUP(H2625,Sheet2!$A$1:$B$270,2,FALSE)</f>
        <v>#N/A</v>
      </c>
    </row>
    <row r="2626" spans="15:61" hidden="1">
      <c r="O2626" s="57"/>
      <c r="P2626" s="57"/>
      <c r="AP2626" s="57"/>
      <c r="BA2626" s="57"/>
      <c r="BF2626" s="6" t="e">
        <f t="shared" ref="BF2626:BF2689" si="123">DATE(BC2626,BD2626,BE2626)</f>
        <v>#NUM!</v>
      </c>
      <c r="BG2626" t="e">
        <f t="shared" ref="BG2626:BG2689" si="124">BF2626-BA2626</f>
        <v>#NUM!</v>
      </c>
      <c r="BH2626" t="e">
        <f t="shared" ref="BH2626:BH2689" si="125">IF(BG2626=1,"COMPLY",IF(BG2626&lt;1,"COMPLY","NOT COMPLY"))</f>
        <v>#NUM!</v>
      </c>
      <c r="BI2626" t="e">
        <f>VLOOKUP(H2626,Sheet2!$A$1:$B$270,2,FALSE)</f>
        <v>#N/A</v>
      </c>
    </row>
    <row r="2627" spans="15:61" hidden="1">
      <c r="O2627" s="57"/>
      <c r="P2627" s="57"/>
      <c r="AP2627" s="57"/>
      <c r="BA2627" s="57"/>
      <c r="BF2627" s="6" t="e">
        <f t="shared" si="123"/>
        <v>#NUM!</v>
      </c>
      <c r="BG2627" t="e">
        <f t="shared" si="124"/>
        <v>#NUM!</v>
      </c>
      <c r="BH2627" t="e">
        <f t="shared" si="125"/>
        <v>#NUM!</v>
      </c>
      <c r="BI2627" t="e">
        <f>VLOOKUP(H2627,Sheet2!$A$1:$B$270,2,FALSE)</f>
        <v>#N/A</v>
      </c>
    </row>
    <row r="2628" spans="15:61" hidden="1">
      <c r="O2628" s="57"/>
      <c r="P2628" s="57"/>
      <c r="AP2628" s="57"/>
      <c r="BA2628" s="57"/>
      <c r="BF2628" s="6" t="e">
        <f t="shared" si="123"/>
        <v>#NUM!</v>
      </c>
      <c r="BG2628" t="e">
        <f t="shared" si="124"/>
        <v>#NUM!</v>
      </c>
      <c r="BH2628" t="e">
        <f t="shared" si="125"/>
        <v>#NUM!</v>
      </c>
      <c r="BI2628" t="e">
        <f>VLOOKUP(H2628,Sheet2!$A$1:$B$270,2,FALSE)</f>
        <v>#N/A</v>
      </c>
    </row>
    <row r="2629" spans="15:61" hidden="1">
      <c r="O2629" s="57"/>
      <c r="P2629" s="57"/>
      <c r="AP2629" s="57"/>
      <c r="BA2629" s="57"/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e">
        <f>VLOOKUP(H2629,Sheet2!$A$1:$B$270,2,FALSE)</f>
        <v>#N/A</v>
      </c>
    </row>
    <row r="2630" spans="15:61" hidden="1">
      <c r="O2630" s="57"/>
      <c r="P2630" s="57"/>
      <c r="AP2630" s="57"/>
      <c r="BA2630" s="57"/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e">
        <f>VLOOKUP(H2630,Sheet2!$A$1:$B$270,2,FALSE)</f>
        <v>#N/A</v>
      </c>
    </row>
    <row r="2631" spans="15:61" hidden="1">
      <c r="O2631" s="57"/>
      <c r="P2631" s="57"/>
      <c r="AO2631" s="57"/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e">
        <f>VLOOKUP(H2631,Sheet2!$A$1:$B$270,2,FALSE)</f>
        <v>#N/A</v>
      </c>
    </row>
    <row r="2632" spans="15:61" hidden="1">
      <c r="O2632" s="57"/>
      <c r="P2632" s="57"/>
      <c r="AO2632" s="57"/>
      <c r="BF2632" s="6" t="e">
        <f t="shared" si="123"/>
        <v>#NUM!</v>
      </c>
      <c r="BG2632" t="e">
        <f t="shared" si="124"/>
        <v>#NUM!</v>
      </c>
      <c r="BH2632" t="e">
        <f t="shared" si="125"/>
        <v>#NUM!</v>
      </c>
      <c r="BI2632" t="e">
        <f>VLOOKUP(H2632,Sheet2!$A$1:$B$270,2,FALSE)</f>
        <v>#N/A</v>
      </c>
    </row>
    <row r="2633" spans="15:61" hidden="1">
      <c r="O2633" s="57"/>
      <c r="P2633" s="57"/>
      <c r="AO2633" s="57"/>
      <c r="BF2633" s="6" t="e">
        <f t="shared" si="123"/>
        <v>#NUM!</v>
      </c>
      <c r="BG2633" t="e">
        <f t="shared" si="124"/>
        <v>#NUM!</v>
      </c>
      <c r="BH2633" t="e">
        <f t="shared" si="125"/>
        <v>#NUM!</v>
      </c>
      <c r="BI2633" t="e">
        <f>VLOOKUP(H2633,Sheet2!$A$1:$B$270,2,FALSE)</f>
        <v>#N/A</v>
      </c>
    </row>
    <row r="2634" spans="15:61" hidden="1">
      <c r="O2634" s="57"/>
      <c r="P2634" s="57"/>
      <c r="AO2634" s="57"/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e">
        <f>VLOOKUP(H2634,Sheet2!$A$1:$B$270,2,FALSE)</f>
        <v>#N/A</v>
      </c>
    </row>
    <row r="2635" spans="15:61" hidden="1">
      <c r="O2635" s="57"/>
      <c r="P2635" s="57"/>
      <c r="BF2635" s="6" t="e">
        <f t="shared" si="123"/>
        <v>#NUM!</v>
      </c>
      <c r="BG2635" t="e">
        <f t="shared" si="124"/>
        <v>#NUM!</v>
      </c>
      <c r="BH2635" t="e">
        <f t="shared" si="125"/>
        <v>#NUM!</v>
      </c>
      <c r="BI2635" t="e">
        <f>VLOOKUP(H2635,Sheet2!$A$1:$B$270,2,FALSE)</f>
        <v>#N/A</v>
      </c>
    </row>
    <row r="2636" spans="15:61" hidden="1">
      <c r="O2636" s="57"/>
      <c r="P2636" s="57"/>
      <c r="AP2636" s="57"/>
      <c r="BA2636" s="57"/>
      <c r="BF2636" s="6" t="e">
        <f t="shared" si="123"/>
        <v>#NUM!</v>
      </c>
      <c r="BG2636" t="e">
        <f t="shared" si="124"/>
        <v>#NUM!</v>
      </c>
      <c r="BH2636" t="e">
        <f t="shared" si="125"/>
        <v>#NUM!</v>
      </c>
      <c r="BI2636" t="e">
        <f>VLOOKUP(H2636,Sheet2!$A$1:$B$270,2,FALSE)</f>
        <v>#N/A</v>
      </c>
    </row>
    <row r="2637" spans="15:61" hidden="1">
      <c r="O2637" s="57"/>
      <c r="P2637" s="57"/>
      <c r="AP2637" s="57"/>
      <c r="BA2637" s="57"/>
      <c r="BF2637" s="6" t="e">
        <f t="shared" si="123"/>
        <v>#NUM!</v>
      </c>
      <c r="BG2637" t="e">
        <f t="shared" si="124"/>
        <v>#NUM!</v>
      </c>
      <c r="BH2637" t="e">
        <f t="shared" si="125"/>
        <v>#NUM!</v>
      </c>
      <c r="BI2637" t="e">
        <f>VLOOKUP(H2637,Sheet2!$A$1:$B$270,2,FALSE)</f>
        <v>#N/A</v>
      </c>
    </row>
    <row r="2638" spans="15:61" hidden="1">
      <c r="O2638" s="57"/>
      <c r="P2638" s="57"/>
      <c r="AO2638" s="57"/>
      <c r="AP2638" s="57"/>
      <c r="BA2638" s="57"/>
      <c r="BF2638" s="6" t="e">
        <f t="shared" si="123"/>
        <v>#NUM!</v>
      </c>
      <c r="BG2638" t="e">
        <f t="shared" si="124"/>
        <v>#NUM!</v>
      </c>
      <c r="BH2638" t="e">
        <f t="shared" si="125"/>
        <v>#NUM!</v>
      </c>
      <c r="BI2638" t="e">
        <f>VLOOKUP(H2638,Sheet2!$A$1:$B$270,2,FALSE)</f>
        <v>#N/A</v>
      </c>
    </row>
    <row r="2639" spans="15:61" hidden="1">
      <c r="O2639" s="57"/>
      <c r="P2639" s="57"/>
      <c r="AO2639" s="57"/>
      <c r="AP2639" s="57"/>
      <c r="BA2639" s="57"/>
      <c r="BF2639" s="6" t="e">
        <f t="shared" si="123"/>
        <v>#NUM!</v>
      </c>
      <c r="BG2639" t="e">
        <f t="shared" si="124"/>
        <v>#NUM!</v>
      </c>
      <c r="BH2639" t="e">
        <f t="shared" si="125"/>
        <v>#NUM!</v>
      </c>
      <c r="BI2639" t="e">
        <f>VLOOKUP(H2639,Sheet2!$A$1:$B$270,2,FALSE)</f>
        <v>#N/A</v>
      </c>
    </row>
    <row r="2640" spans="15:61" hidden="1">
      <c r="O2640" s="57"/>
      <c r="P2640" s="57"/>
      <c r="AO2640" s="57"/>
      <c r="AP2640" s="57"/>
      <c r="BA2640" s="57"/>
      <c r="BF2640" s="6" t="e">
        <f t="shared" si="123"/>
        <v>#NUM!</v>
      </c>
      <c r="BG2640" t="e">
        <f t="shared" si="124"/>
        <v>#NUM!</v>
      </c>
      <c r="BH2640" t="e">
        <f t="shared" si="125"/>
        <v>#NUM!</v>
      </c>
      <c r="BI2640" t="e">
        <f>VLOOKUP(H2640,Sheet2!$A$1:$B$270,2,FALSE)</f>
        <v>#N/A</v>
      </c>
    </row>
    <row r="2641" spans="15:61" hidden="1">
      <c r="O2641" s="57"/>
      <c r="P2641" s="57"/>
      <c r="AP2641" s="57"/>
      <c r="BA2641" s="57"/>
      <c r="BF2641" s="6" t="e">
        <f t="shared" si="123"/>
        <v>#NUM!</v>
      </c>
      <c r="BG2641" t="e">
        <f t="shared" si="124"/>
        <v>#NUM!</v>
      </c>
      <c r="BH2641" t="e">
        <f t="shared" si="125"/>
        <v>#NUM!</v>
      </c>
      <c r="BI2641" t="e">
        <f>VLOOKUP(H2641,Sheet2!$A$1:$B$270,2,FALSE)</f>
        <v>#N/A</v>
      </c>
    </row>
    <row r="2642" spans="15:61" hidden="1">
      <c r="O2642" s="57"/>
      <c r="P2642" s="57"/>
      <c r="AP2642" s="57"/>
      <c r="BA2642" s="57"/>
      <c r="BF2642" s="6" t="e">
        <f t="shared" si="123"/>
        <v>#NUM!</v>
      </c>
      <c r="BG2642" t="e">
        <f t="shared" si="124"/>
        <v>#NUM!</v>
      </c>
      <c r="BH2642" t="e">
        <f t="shared" si="125"/>
        <v>#NUM!</v>
      </c>
      <c r="BI2642" t="e">
        <f>VLOOKUP(H2642,Sheet2!$A$1:$B$270,2,FALSE)</f>
        <v>#N/A</v>
      </c>
    </row>
    <row r="2643" spans="15:61" hidden="1">
      <c r="O2643" s="57"/>
      <c r="P2643" s="57"/>
      <c r="AP2643" s="57"/>
      <c r="BA2643" s="57"/>
      <c r="BF2643" s="6" t="e">
        <f t="shared" si="123"/>
        <v>#NUM!</v>
      </c>
      <c r="BG2643" t="e">
        <f t="shared" si="124"/>
        <v>#NUM!</v>
      </c>
      <c r="BH2643" t="e">
        <f t="shared" si="125"/>
        <v>#NUM!</v>
      </c>
      <c r="BI2643" t="e">
        <f>VLOOKUP(H2643,Sheet2!$A$1:$B$270,2,FALSE)</f>
        <v>#N/A</v>
      </c>
    </row>
    <row r="2644" spans="15:61" hidden="1">
      <c r="O2644" s="57"/>
      <c r="P2644" s="57"/>
      <c r="AP2644" s="57"/>
      <c r="BA2644" s="57"/>
      <c r="BF2644" s="6" t="e">
        <f t="shared" si="123"/>
        <v>#NUM!</v>
      </c>
      <c r="BG2644" t="e">
        <f t="shared" si="124"/>
        <v>#NUM!</v>
      </c>
      <c r="BH2644" t="e">
        <f t="shared" si="125"/>
        <v>#NUM!</v>
      </c>
      <c r="BI2644" t="e">
        <f>VLOOKUP(H2644,Sheet2!$A$1:$B$270,2,FALSE)</f>
        <v>#N/A</v>
      </c>
    </row>
    <row r="2645" spans="15:61" hidden="1">
      <c r="O2645" s="57"/>
      <c r="P2645" s="57"/>
      <c r="BF2645" s="6" t="e">
        <f t="shared" si="123"/>
        <v>#NUM!</v>
      </c>
      <c r="BG2645" t="e">
        <f t="shared" si="124"/>
        <v>#NUM!</v>
      </c>
      <c r="BH2645" t="e">
        <f t="shared" si="125"/>
        <v>#NUM!</v>
      </c>
      <c r="BI2645" t="e">
        <f>VLOOKUP(H2645,Sheet2!$A$1:$B$270,2,FALSE)</f>
        <v>#N/A</v>
      </c>
    </row>
    <row r="2646" spans="15:61" hidden="1">
      <c r="O2646" s="57"/>
      <c r="P2646" s="57"/>
      <c r="AP2646" s="57"/>
      <c r="BA2646" s="57"/>
      <c r="BF2646" s="6" t="e">
        <f t="shared" si="123"/>
        <v>#NUM!</v>
      </c>
      <c r="BG2646" t="e">
        <f t="shared" si="124"/>
        <v>#NUM!</v>
      </c>
      <c r="BH2646" t="e">
        <f t="shared" si="125"/>
        <v>#NUM!</v>
      </c>
      <c r="BI2646" t="e">
        <f>VLOOKUP(H2646,Sheet2!$A$1:$B$270,2,FALSE)</f>
        <v>#N/A</v>
      </c>
    </row>
    <row r="2647" spans="15:61" hidden="1">
      <c r="O2647" s="57"/>
      <c r="P2647" s="57"/>
      <c r="AO2647" s="57"/>
      <c r="AP2647" s="57"/>
      <c r="BA2647" s="57"/>
      <c r="BF2647" s="6" t="e">
        <f t="shared" si="123"/>
        <v>#NUM!</v>
      </c>
      <c r="BG2647" t="e">
        <f t="shared" si="124"/>
        <v>#NUM!</v>
      </c>
      <c r="BH2647" t="e">
        <f t="shared" si="125"/>
        <v>#NUM!</v>
      </c>
      <c r="BI2647" t="e">
        <f>VLOOKUP(H2647,Sheet2!$A$1:$B$270,2,FALSE)</f>
        <v>#N/A</v>
      </c>
    </row>
    <row r="2648" spans="15:61" hidden="1">
      <c r="O2648" s="57"/>
      <c r="P2648" s="57"/>
      <c r="AP2648" s="57"/>
      <c r="BA2648" s="57"/>
      <c r="BF2648" s="6" t="e">
        <f t="shared" si="123"/>
        <v>#NUM!</v>
      </c>
      <c r="BG2648" t="e">
        <f t="shared" si="124"/>
        <v>#NUM!</v>
      </c>
      <c r="BH2648" t="e">
        <f t="shared" si="125"/>
        <v>#NUM!</v>
      </c>
      <c r="BI2648" t="e">
        <f>VLOOKUP(H2648,Sheet2!$A$1:$B$270,2,FALSE)</f>
        <v>#N/A</v>
      </c>
    </row>
    <row r="2649" spans="15:61" hidden="1">
      <c r="O2649" s="57"/>
      <c r="P2649" s="57"/>
      <c r="AO2649" s="57"/>
      <c r="AP2649" s="57"/>
      <c r="BA2649" s="57"/>
      <c r="BF2649" s="6" t="e">
        <f t="shared" si="123"/>
        <v>#NUM!</v>
      </c>
      <c r="BG2649" t="e">
        <f t="shared" si="124"/>
        <v>#NUM!</v>
      </c>
      <c r="BH2649" t="e">
        <f t="shared" si="125"/>
        <v>#NUM!</v>
      </c>
      <c r="BI2649" t="e">
        <f>VLOOKUP(H2649,Sheet2!$A$1:$B$270,2,FALSE)</f>
        <v>#N/A</v>
      </c>
    </row>
    <row r="2650" spans="15:61" hidden="1">
      <c r="O2650" s="57"/>
      <c r="P2650" s="57"/>
      <c r="AO2650" s="57"/>
      <c r="AP2650" s="57"/>
      <c r="BA2650" s="57"/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e">
        <f>VLOOKUP(H2650,Sheet2!$A$1:$B$270,2,FALSE)</f>
        <v>#N/A</v>
      </c>
    </row>
    <row r="2651" spans="15:61" hidden="1">
      <c r="O2651" s="57"/>
      <c r="P2651" s="57"/>
      <c r="AO2651" s="57"/>
      <c r="AP2651" s="57"/>
      <c r="BA2651" s="57"/>
      <c r="BF2651" s="6" t="e">
        <f t="shared" si="123"/>
        <v>#NUM!</v>
      </c>
      <c r="BG2651" t="e">
        <f t="shared" si="124"/>
        <v>#NUM!</v>
      </c>
      <c r="BH2651" t="e">
        <f t="shared" si="125"/>
        <v>#NUM!</v>
      </c>
      <c r="BI2651" t="e">
        <f>VLOOKUP(H2651,Sheet2!$A$1:$B$270,2,FALSE)</f>
        <v>#N/A</v>
      </c>
    </row>
    <row r="2652" spans="15:61" hidden="1">
      <c r="O2652" s="57"/>
      <c r="P2652" s="57"/>
      <c r="AO2652" s="57"/>
      <c r="AP2652" s="57"/>
      <c r="BA2652" s="57"/>
      <c r="BF2652" s="6" t="e">
        <f t="shared" si="123"/>
        <v>#NUM!</v>
      </c>
      <c r="BG2652" t="e">
        <f t="shared" si="124"/>
        <v>#NUM!</v>
      </c>
      <c r="BH2652" t="e">
        <f t="shared" si="125"/>
        <v>#NUM!</v>
      </c>
      <c r="BI2652" t="e">
        <f>VLOOKUP(H2652,Sheet2!$A$1:$B$270,2,FALSE)</f>
        <v>#N/A</v>
      </c>
    </row>
    <row r="2653" spans="15:61" hidden="1">
      <c r="O2653" s="57"/>
      <c r="P2653" s="57"/>
      <c r="AP2653" s="57"/>
      <c r="BA2653" s="57"/>
      <c r="BF2653" s="6" t="e">
        <f t="shared" si="123"/>
        <v>#NUM!</v>
      </c>
      <c r="BG2653" t="e">
        <f t="shared" si="124"/>
        <v>#NUM!</v>
      </c>
      <c r="BH2653" t="e">
        <f t="shared" si="125"/>
        <v>#NUM!</v>
      </c>
      <c r="BI2653" t="e">
        <f>VLOOKUP(H2653,Sheet2!$A$1:$B$270,2,FALSE)</f>
        <v>#N/A</v>
      </c>
    </row>
    <row r="2654" spans="15:61" hidden="1">
      <c r="O2654" s="57"/>
      <c r="P2654" s="57"/>
      <c r="AP2654" s="57"/>
      <c r="BA2654" s="57"/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e">
        <f>VLOOKUP(H2654,Sheet2!$A$1:$B$270,2,FALSE)</f>
        <v>#N/A</v>
      </c>
    </row>
    <row r="2655" spans="15:61" hidden="1">
      <c r="O2655" s="57"/>
      <c r="P2655" s="57"/>
      <c r="AP2655" s="57"/>
      <c r="BA2655" s="57"/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e">
        <f>VLOOKUP(H2655,Sheet2!$A$1:$B$270,2,FALSE)</f>
        <v>#N/A</v>
      </c>
    </row>
    <row r="2656" spans="15:61" hidden="1">
      <c r="O2656" s="57"/>
      <c r="P2656" s="57"/>
      <c r="AO2656" s="57"/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e">
        <f>VLOOKUP(H2656,Sheet2!$A$1:$B$270,2,FALSE)</f>
        <v>#N/A</v>
      </c>
    </row>
    <row r="2657" spans="15:61" hidden="1">
      <c r="O2657" s="57"/>
      <c r="P2657" s="57"/>
      <c r="AO2657" s="57"/>
      <c r="BF2657" s="6" t="e">
        <f t="shared" si="123"/>
        <v>#NUM!</v>
      </c>
      <c r="BG2657" t="e">
        <f t="shared" si="124"/>
        <v>#NUM!</v>
      </c>
      <c r="BH2657" t="e">
        <f t="shared" si="125"/>
        <v>#NUM!</v>
      </c>
      <c r="BI2657" t="e">
        <f>VLOOKUP(H2657,Sheet2!$A$1:$B$270,2,FALSE)</f>
        <v>#N/A</v>
      </c>
    </row>
    <row r="2658" spans="15:61" hidden="1">
      <c r="O2658" s="57"/>
      <c r="P2658" s="57"/>
      <c r="AO2658" s="57"/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e">
        <f>VLOOKUP(H2658,Sheet2!$A$1:$B$270,2,FALSE)</f>
        <v>#N/A</v>
      </c>
    </row>
    <row r="2659" spans="15:61" hidden="1">
      <c r="O2659" s="57"/>
      <c r="P2659" s="57"/>
      <c r="AO2659" s="57"/>
      <c r="AP2659" s="57"/>
      <c r="BA2659" s="57"/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e">
        <f>VLOOKUP(H2659,Sheet2!$A$1:$B$270,2,FALSE)</f>
        <v>#N/A</v>
      </c>
    </row>
    <row r="2660" spans="15:61" hidden="1">
      <c r="O2660" s="57"/>
      <c r="P2660" s="57"/>
      <c r="AO2660" s="57"/>
      <c r="AP2660" s="57"/>
      <c r="BA2660" s="57"/>
      <c r="BF2660" s="6" t="e">
        <f t="shared" si="123"/>
        <v>#NUM!</v>
      </c>
      <c r="BG2660" t="e">
        <f t="shared" si="124"/>
        <v>#NUM!</v>
      </c>
      <c r="BH2660" t="e">
        <f t="shared" si="125"/>
        <v>#NUM!</v>
      </c>
      <c r="BI2660" t="e">
        <f>VLOOKUP(H2660,Sheet2!$A$1:$B$270,2,FALSE)</f>
        <v>#N/A</v>
      </c>
    </row>
    <row r="2661" spans="15:61" hidden="1">
      <c r="O2661" s="57"/>
      <c r="P2661" s="57"/>
      <c r="AP2661" s="57"/>
      <c r="BA2661" s="57"/>
      <c r="BF2661" s="6" t="e">
        <f t="shared" si="123"/>
        <v>#NUM!</v>
      </c>
      <c r="BG2661" t="e">
        <f t="shared" si="124"/>
        <v>#NUM!</v>
      </c>
      <c r="BH2661" t="e">
        <f t="shared" si="125"/>
        <v>#NUM!</v>
      </c>
      <c r="BI2661" t="e">
        <f>VLOOKUP(H2661,Sheet2!$A$1:$B$270,2,FALSE)</f>
        <v>#N/A</v>
      </c>
    </row>
    <row r="2662" spans="15:61" hidden="1">
      <c r="O2662" s="57"/>
      <c r="P2662" s="57"/>
      <c r="AP2662" s="57"/>
      <c r="BA2662" s="57"/>
      <c r="BF2662" s="6" t="e">
        <f t="shared" si="123"/>
        <v>#NUM!</v>
      </c>
      <c r="BG2662" t="e">
        <f t="shared" si="124"/>
        <v>#NUM!</v>
      </c>
      <c r="BH2662" t="e">
        <f t="shared" si="125"/>
        <v>#NUM!</v>
      </c>
      <c r="BI2662" t="e">
        <f>VLOOKUP(H2662,Sheet2!$A$1:$B$270,2,FALSE)</f>
        <v>#N/A</v>
      </c>
    </row>
    <row r="2663" spans="15:61" hidden="1">
      <c r="O2663" s="57"/>
      <c r="P2663" s="57"/>
      <c r="AO2663" s="57"/>
      <c r="BA2663" s="57"/>
      <c r="BF2663" s="6" t="e">
        <f t="shared" si="123"/>
        <v>#NUM!</v>
      </c>
      <c r="BG2663" t="e">
        <f t="shared" si="124"/>
        <v>#NUM!</v>
      </c>
      <c r="BH2663" t="e">
        <f t="shared" si="125"/>
        <v>#NUM!</v>
      </c>
      <c r="BI2663" t="e">
        <f>VLOOKUP(H2663,Sheet2!$A$1:$B$270,2,FALSE)</f>
        <v>#N/A</v>
      </c>
    </row>
    <row r="2664" spans="15:61" hidden="1">
      <c r="O2664" s="57"/>
      <c r="P2664" s="57"/>
      <c r="AP2664" s="57"/>
      <c r="BA2664" s="57"/>
      <c r="BF2664" s="6" t="e">
        <f t="shared" si="123"/>
        <v>#NUM!</v>
      </c>
      <c r="BG2664" t="e">
        <f t="shared" si="124"/>
        <v>#NUM!</v>
      </c>
      <c r="BH2664" t="e">
        <f t="shared" si="125"/>
        <v>#NUM!</v>
      </c>
      <c r="BI2664" t="e">
        <f>VLOOKUP(H2664,Sheet2!$A$1:$B$270,2,FALSE)</f>
        <v>#N/A</v>
      </c>
    </row>
    <row r="2665" spans="15:61" hidden="1">
      <c r="O2665" s="57"/>
      <c r="P2665" s="57"/>
      <c r="AP2665" s="57"/>
      <c r="BA2665" s="57"/>
      <c r="BF2665" s="6" t="e">
        <f t="shared" si="123"/>
        <v>#NUM!</v>
      </c>
      <c r="BG2665" t="e">
        <f t="shared" si="124"/>
        <v>#NUM!</v>
      </c>
      <c r="BH2665" t="e">
        <f t="shared" si="125"/>
        <v>#NUM!</v>
      </c>
      <c r="BI2665" t="e">
        <f>VLOOKUP(H2665,Sheet2!$A$1:$B$270,2,FALSE)</f>
        <v>#N/A</v>
      </c>
    </row>
    <row r="2666" spans="15:61" hidden="1">
      <c r="O2666" s="57"/>
      <c r="P2666" s="57"/>
      <c r="AO2666" s="57"/>
      <c r="BA2666" s="57"/>
      <c r="BF2666" s="6" t="e">
        <f t="shared" si="123"/>
        <v>#NUM!</v>
      </c>
      <c r="BG2666" t="e">
        <f t="shared" si="124"/>
        <v>#NUM!</v>
      </c>
      <c r="BH2666" t="e">
        <f t="shared" si="125"/>
        <v>#NUM!</v>
      </c>
      <c r="BI2666" t="e">
        <f>VLOOKUP(H2666,Sheet2!$A$1:$B$270,2,FALSE)</f>
        <v>#N/A</v>
      </c>
    </row>
    <row r="2667" spans="15:61" hidden="1">
      <c r="O2667" s="57"/>
      <c r="P2667" s="57"/>
      <c r="AO2667" s="57"/>
      <c r="AP2667" s="57"/>
      <c r="BA2667" s="57"/>
      <c r="BF2667" s="6" t="e">
        <f t="shared" si="123"/>
        <v>#NUM!</v>
      </c>
      <c r="BG2667" t="e">
        <f t="shared" si="124"/>
        <v>#NUM!</v>
      </c>
      <c r="BH2667" t="e">
        <f t="shared" si="125"/>
        <v>#NUM!</v>
      </c>
      <c r="BI2667" t="e">
        <f>VLOOKUP(H2667,Sheet2!$A$1:$B$270,2,FALSE)</f>
        <v>#N/A</v>
      </c>
    </row>
    <row r="2668" spans="15:61" hidden="1">
      <c r="O2668" s="57"/>
      <c r="P2668" s="57"/>
      <c r="BA2668" s="57"/>
      <c r="BF2668" s="6" t="e">
        <f t="shared" si="123"/>
        <v>#NUM!</v>
      </c>
      <c r="BG2668" t="e">
        <f t="shared" si="124"/>
        <v>#NUM!</v>
      </c>
      <c r="BH2668" t="e">
        <f t="shared" si="125"/>
        <v>#NUM!</v>
      </c>
      <c r="BI2668" t="e">
        <f>VLOOKUP(H2668,Sheet2!$A$1:$B$270,2,FALSE)</f>
        <v>#N/A</v>
      </c>
    </row>
    <row r="2669" spans="15:61" hidden="1">
      <c r="O2669" s="57"/>
      <c r="P2669" s="57"/>
      <c r="AP2669" s="57"/>
      <c r="BA2669" s="57"/>
      <c r="BF2669" s="6" t="e">
        <f t="shared" si="123"/>
        <v>#NUM!</v>
      </c>
      <c r="BG2669" t="e">
        <f t="shared" si="124"/>
        <v>#NUM!</v>
      </c>
      <c r="BH2669" t="e">
        <f t="shared" si="125"/>
        <v>#NUM!</v>
      </c>
      <c r="BI2669" t="e">
        <f>VLOOKUP(H2669,Sheet2!$A$1:$B$270,2,FALSE)</f>
        <v>#N/A</v>
      </c>
    </row>
    <row r="2670" spans="15:61" hidden="1">
      <c r="O2670" s="57"/>
      <c r="P2670" s="57"/>
      <c r="AO2670" s="57"/>
      <c r="AP2670" s="57"/>
      <c r="BA2670" s="57"/>
      <c r="BF2670" s="6" t="e">
        <f t="shared" si="123"/>
        <v>#NUM!</v>
      </c>
      <c r="BG2670" t="e">
        <f t="shared" si="124"/>
        <v>#NUM!</v>
      </c>
      <c r="BH2670" t="e">
        <f t="shared" si="125"/>
        <v>#NUM!</v>
      </c>
      <c r="BI2670" t="e">
        <f>VLOOKUP(H2670,Sheet2!$A$1:$B$270,2,FALSE)</f>
        <v>#N/A</v>
      </c>
    </row>
    <row r="2671" spans="15:61" hidden="1">
      <c r="O2671" s="57"/>
      <c r="P2671" s="57"/>
      <c r="AP2671" s="57"/>
      <c r="BA2671" s="57"/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e">
        <f>VLOOKUP(H2671,Sheet2!$A$1:$B$270,2,FALSE)</f>
        <v>#N/A</v>
      </c>
    </row>
    <row r="2672" spans="15:61" hidden="1">
      <c r="O2672" s="57"/>
      <c r="P2672" s="57"/>
      <c r="AP2672" s="57"/>
      <c r="BA2672" s="57"/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e">
        <f>VLOOKUP(H2672,Sheet2!$A$1:$B$270,2,FALSE)</f>
        <v>#N/A</v>
      </c>
    </row>
    <row r="2673" spans="15:61" hidden="1">
      <c r="O2673" s="57"/>
      <c r="P2673" s="57"/>
      <c r="AP2673" s="57"/>
      <c r="BA2673" s="57"/>
      <c r="BF2673" s="6" t="e">
        <f t="shared" si="123"/>
        <v>#NUM!</v>
      </c>
      <c r="BG2673" t="e">
        <f t="shared" si="124"/>
        <v>#NUM!</v>
      </c>
      <c r="BH2673" t="e">
        <f t="shared" si="125"/>
        <v>#NUM!</v>
      </c>
      <c r="BI2673" t="e">
        <f>VLOOKUP(H2673,Sheet2!$A$1:$B$270,2,FALSE)</f>
        <v>#N/A</v>
      </c>
    </row>
    <row r="2674" spans="15:61" hidden="1">
      <c r="O2674" s="57"/>
      <c r="P2674" s="57"/>
      <c r="AP2674" s="57"/>
      <c r="BA2674" s="57"/>
      <c r="BF2674" s="6" t="e">
        <f t="shared" si="123"/>
        <v>#NUM!</v>
      </c>
      <c r="BG2674" t="e">
        <f t="shared" si="124"/>
        <v>#NUM!</v>
      </c>
      <c r="BH2674" t="e">
        <f t="shared" si="125"/>
        <v>#NUM!</v>
      </c>
      <c r="BI2674" t="e">
        <f>VLOOKUP(H2674,Sheet2!$A$1:$B$270,2,FALSE)</f>
        <v>#N/A</v>
      </c>
    </row>
    <row r="2675" spans="15:61" hidden="1">
      <c r="O2675" s="57"/>
      <c r="P2675" s="57"/>
      <c r="AP2675" s="57"/>
      <c r="BA2675" s="57"/>
      <c r="BF2675" s="6" t="e">
        <f t="shared" si="123"/>
        <v>#NUM!</v>
      </c>
      <c r="BG2675" t="e">
        <f t="shared" si="124"/>
        <v>#NUM!</v>
      </c>
      <c r="BH2675" t="e">
        <f t="shared" si="125"/>
        <v>#NUM!</v>
      </c>
      <c r="BI2675" t="e">
        <f>VLOOKUP(H2675,Sheet2!$A$1:$B$270,2,FALSE)</f>
        <v>#N/A</v>
      </c>
    </row>
    <row r="2676" spans="15:61" hidden="1">
      <c r="O2676" s="57"/>
      <c r="P2676" s="57"/>
      <c r="AO2676" s="57"/>
      <c r="AP2676" s="57"/>
      <c r="BA2676" s="57"/>
      <c r="BF2676" s="6" t="e">
        <f t="shared" si="123"/>
        <v>#NUM!</v>
      </c>
      <c r="BG2676" t="e">
        <f t="shared" si="124"/>
        <v>#NUM!</v>
      </c>
      <c r="BH2676" t="e">
        <f t="shared" si="125"/>
        <v>#NUM!</v>
      </c>
      <c r="BI2676" t="e">
        <f>VLOOKUP(H2676,Sheet2!$A$1:$B$270,2,FALSE)</f>
        <v>#N/A</v>
      </c>
    </row>
    <row r="2677" spans="15:61" hidden="1">
      <c r="O2677" s="57"/>
      <c r="P2677" s="57"/>
      <c r="AP2677" s="57"/>
      <c r="BA2677" s="57"/>
      <c r="BF2677" s="6" t="e">
        <f t="shared" si="123"/>
        <v>#NUM!</v>
      </c>
      <c r="BG2677" t="e">
        <f t="shared" si="124"/>
        <v>#NUM!</v>
      </c>
      <c r="BH2677" t="e">
        <f t="shared" si="125"/>
        <v>#NUM!</v>
      </c>
      <c r="BI2677" t="e">
        <f>VLOOKUP(H2677,Sheet2!$A$1:$B$270,2,FALSE)</f>
        <v>#N/A</v>
      </c>
    </row>
    <row r="2678" spans="15:61" hidden="1">
      <c r="O2678" s="57"/>
      <c r="P2678" s="57"/>
      <c r="AP2678" s="57"/>
      <c r="BA2678" s="57"/>
      <c r="BF2678" s="6" t="e">
        <f t="shared" si="123"/>
        <v>#NUM!</v>
      </c>
      <c r="BG2678" t="e">
        <f t="shared" si="124"/>
        <v>#NUM!</v>
      </c>
      <c r="BH2678" t="e">
        <f t="shared" si="125"/>
        <v>#NUM!</v>
      </c>
      <c r="BI2678" t="e">
        <f>VLOOKUP(H2678,Sheet2!$A$1:$B$270,2,FALSE)</f>
        <v>#N/A</v>
      </c>
    </row>
    <row r="2679" spans="15:61" hidden="1">
      <c r="O2679" s="57"/>
      <c r="P2679" s="57"/>
      <c r="AO2679" s="57"/>
      <c r="AP2679" s="57"/>
      <c r="BA2679" s="57"/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e">
        <f>VLOOKUP(H2679,Sheet2!$A$1:$B$270,2,FALSE)</f>
        <v>#N/A</v>
      </c>
    </row>
    <row r="2680" spans="15:61" hidden="1">
      <c r="O2680" s="57"/>
      <c r="P2680" s="57"/>
      <c r="AO2680" s="57"/>
      <c r="AP2680" s="57"/>
      <c r="BA2680" s="57"/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e">
        <f>VLOOKUP(H2680,Sheet2!$A$1:$B$270,2,FALSE)</f>
        <v>#N/A</v>
      </c>
    </row>
    <row r="2681" spans="15:61" hidden="1">
      <c r="O2681" s="57"/>
      <c r="P2681" s="57"/>
      <c r="AP2681" s="57"/>
      <c r="BA2681" s="57"/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e">
        <f>VLOOKUP(H2681,Sheet2!$A$1:$B$270,2,FALSE)</f>
        <v>#N/A</v>
      </c>
    </row>
    <row r="2682" spans="15:61" hidden="1">
      <c r="O2682" s="57"/>
      <c r="P2682" s="57"/>
      <c r="AP2682" s="57"/>
      <c r="BA2682" s="57"/>
      <c r="BF2682" s="6" t="e">
        <f t="shared" si="123"/>
        <v>#NUM!</v>
      </c>
      <c r="BG2682" t="e">
        <f t="shared" si="124"/>
        <v>#NUM!</v>
      </c>
      <c r="BH2682" t="e">
        <f t="shared" si="125"/>
        <v>#NUM!</v>
      </c>
      <c r="BI2682" t="e">
        <f>VLOOKUP(H2682,Sheet2!$A$1:$B$270,2,FALSE)</f>
        <v>#N/A</v>
      </c>
    </row>
    <row r="2683" spans="15:61" hidden="1">
      <c r="O2683" s="57"/>
      <c r="P2683" s="57"/>
      <c r="AP2683" s="57"/>
      <c r="BA2683" s="57"/>
      <c r="BF2683" s="6" t="e">
        <f t="shared" si="123"/>
        <v>#NUM!</v>
      </c>
      <c r="BG2683" t="e">
        <f t="shared" si="124"/>
        <v>#NUM!</v>
      </c>
      <c r="BH2683" t="e">
        <f t="shared" si="125"/>
        <v>#NUM!</v>
      </c>
      <c r="BI2683" t="e">
        <f>VLOOKUP(H2683,Sheet2!$A$1:$B$270,2,FALSE)</f>
        <v>#N/A</v>
      </c>
    </row>
    <row r="2684" spans="15:61" hidden="1">
      <c r="O2684" s="57"/>
      <c r="P2684" s="57"/>
      <c r="AP2684" s="57"/>
      <c r="BA2684" s="57"/>
      <c r="BF2684" s="6" t="e">
        <f t="shared" si="123"/>
        <v>#NUM!</v>
      </c>
      <c r="BG2684" t="e">
        <f t="shared" si="124"/>
        <v>#NUM!</v>
      </c>
      <c r="BH2684" t="e">
        <f t="shared" si="125"/>
        <v>#NUM!</v>
      </c>
      <c r="BI2684" t="e">
        <f>VLOOKUP(H2684,Sheet2!$A$1:$B$270,2,FALSE)</f>
        <v>#N/A</v>
      </c>
    </row>
    <row r="2685" spans="15:61" hidden="1">
      <c r="O2685" s="57"/>
      <c r="P2685" s="57"/>
      <c r="AP2685" s="57"/>
      <c r="BA2685" s="57"/>
      <c r="BF2685" s="6" t="e">
        <f t="shared" si="123"/>
        <v>#NUM!</v>
      </c>
      <c r="BG2685" t="e">
        <f t="shared" si="124"/>
        <v>#NUM!</v>
      </c>
      <c r="BH2685" t="e">
        <f t="shared" si="125"/>
        <v>#NUM!</v>
      </c>
      <c r="BI2685" t="e">
        <f>VLOOKUP(H2685,Sheet2!$A$1:$B$270,2,FALSE)</f>
        <v>#N/A</v>
      </c>
    </row>
    <row r="2686" spans="15:61" hidden="1">
      <c r="O2686" s="57"/>
      <c r="P2686" s="57"/>
      <c r="AP2686" s="57"/>
      <c r="BA2686" s="57"/>
      <c r="BF2686" s="6" t="e">
        <f t="shared" si="123"/>
        <v>#NUM!</v>
      </c>
      <c r="BG2686" t="e">
        <f t="shared" si="124"/>
        <v>#NUM!</v>
      </c>
      <c r="BH2686" t="e">
        <f t="shared" si="125"/>
        <v>#NUM!</v>
      </c>
      <c r="BI2686" t="e">
        <f>VLOOKUP(H2686,Sheet2!$A$1:$B$270,2,FALSE)</f>
        <v>#N/A</v>
      </c>
    </row>
    <row r="2687" spans="15:61" hidden="1">
      <c r="O2687" s="57"/>
      <c r="P2687" s="57"/>
      <c r="AO2687" s="57"/>
      <c r="AP2687" s="57"/>
      <c r="BA2687" s="57"/>
      <c r="BF2687" s="6" t="e">
        <f t="shared" si="123"/>
        <v>#NUM!</v>
      </c>
      <c r="BG2687" t="e">
        <f t="shared" si="124"/>
        <v>#NUM!</v>
      </c>
      <c r="BH2687" t="e">
        <f t="shared" si="125"/>
        <v>#NUM!</v>
      </c>
      <c r="BI2687" t="e">
        <f>VLOOKUP(H2687,Sheet2!$A$1:$B$270,2,FALSE)</f>
        <v>#N/A</v>
      </c>
    </row>
    <row r="2688" spans="15:61" hidden="1">
      <c r="O2688" s="57"/>
      <c r="P2688" s="57"/>
      <c r="AP2688" s="57"/>
      <c r="BA2688" s="57"/>
      <c r="BF2688" s="6" t="e">
        <f t="shared" si="123"/>
        <v>#NUM!</v>
      </c>
      <c r="BG2688" t="e">
        <f t="shared" si="124"/>
        <v>#NUM!</v>
      </c>
      <c r="BH2688" t="e">
        <f t="shared" si="125"/>
        <v>#NUM!</v>
      </c>
      <c r="BI2688" t="e">
        <f>VLOOKUP(H2688,Sheet2!$A$1:$B$270,2,FALSE)</f>
        <v>#N/A</v>
      </c>
    </row>
    <row r="2689" spans="15:61" hidden="1">
      <c r="O2689" s="57"/>
      <c r="P2689" s="57"/>
      <c r="BA2689" s="57"/>
      <c r="BF2689" s="6" t="e">
        <f t="shared" si="123"/>
        <v>#NUM!</v>
      </c>
      <c r="BG2689" t="e">
        <f t="shared" si="124"/>
        <v>#NUM!</v>
      </c>
      <c r="BH2689" t="e">
        <f t="shared" si="125"/>
        <v>#NUM!</v>
      </c>
      <c r="BI2689" t="e">
        <f>VLOOKUP(H2689,Sheet2!$A$1:$B$270,2,FALSE)</f>
        <v>#N/A</v>
      </c>
    </row>
    <row r="2690" spans="15:61" hidden="1">
      <c r="O2690" s="57"/>
      <c r="P2690" s="57"/>
      <c r="AP2690" s="57"/>
      <c r="BA2690" s="57"/>
      <c r="BF2690" s="6" t="e">
        <f t="shared" ref="BF2690:BF2753" si="126">DATE(BC2690,BD2690,BE2690)</f>
        <v>#NUM!</v>
      </c>
      <c r="BG2690" t="e">
        <f t="shared" ref="BG2690:BG2753" si="127">BF2690-BA2690</f>
        <v>#NUM!</v>
      </c>
      <c r="BH2690" t="e">
        <f t="shared" ref="BH2690:BH2753" si="128">IF(BG2690=1,"COMPLY",IF(BG2690&lt;1,"COMPLY","NOT COMPLY"))</f>
        <v>#NUM!</v>
      </c>
      <c r="BI2690" t="e">
        <f>VLOOKUP(H2690,Sheet2!$A$1:$B$270,2,FALSE)</f>
        <v>#N/A</v>
      </c>
    </row>
    <row r="2691" spans="15:61" hidden="1">
      <c r="O2691" s="57"/>
      <c r="P2691" s="57"/>
      <c r="AO2691" s="57"/>
      <c r="BF2691" s="6" t="e">
        <f t="shared" si="126"/>
        <v>#NUM!</v>
      </c>
      <c r="BG2691" t="e">
        <f t="shared" si="127"/>
        <v>#NUM!</v>
      </c>
      <c r="BH2691" t="e">
        <f t="shared" si="128"/>
        <v>#NUM!</v>
      </c>
      <c r="BI2691" t="e">
        <f>VLOOKUP(H2691,Sheet2!$A$1:$B$270,2,FALSE)</f>
        <v>#N/A</v>
      </c>
    </row>
    <row r="2692" spans="15:61" hidden="1">
      <c r="O2692" s="57"/>
      <c r="P2692" s="57"/>
      <c r="AP2692" s="57"/>
      <c r="BA2692" s="57"/>
      <c r="BF2692" s="6" t="e">
        <f t="shared" si="126"/>
        <v>#NUM!</v>
      </c>
      <c r="BG2692" t="e">
        <f t="shared" si="127"/>
        <v>#NUM!</v>
      </c>
      <c r="BH2692" t="e">
        <f t="shared" si="128"/>
        <v>#NUM!</v>
      </c>
      <c r="BI2692" t="e">
        <f>VLOOKUP(H2692,Sheet2!$A$1:$B$270,2,FALSE)</f>
        <v>#N/A</v>
      </c>
    </row>
    <row r="2693" spans="15:61" hidden="1">
      <c r="O2693" s="57"/>
      <c r="P2693" s="57"/>
      <c r="AP2693" s="57"/>
      <c r="BA2693" s="57"/>
      <c r="BF2693" s="6" t="e">
        <f t="shared" si="126"/>
        <v>#NUM!</v>
      </c>
      <c r="BG2693" t="e">
        <f t="shared" si="127"/>
        <v>#NUM!</v>
      </c>
      <c r="BH2693" t="e">
        <f t="shared" si="128"/>
        <v>#NUM!</v>
      </c>
      <c r="BI2693" t="e">
        <f>VLOOKUP(H2693,Sheet2!$A$1:$B$270,2,FALSE)</f>
        <v>#N/A</v>
      </c>
    </row>
    <row r="2694" spans="15:61" hidden="1">
      <c r="O2694" s="57"/>
      <c r="P2694" s="57"/>
      <c r="AP2694" s="57"/>
      <c r="BA2694" s="57"/>
      <c r="BF2694" s="6" t="e">
        <f t="shared" si="126"/>
        <v>#NUM!</v>
      </c>
      <c r="BG2694" t="e">
        <f t="shared" si="127"/>
        <v>#NUM!</v>
      </c>
      <c r="BH2694" t="e">
        <f t="shared" si="128"/>
        <v>#NUM!</v>
      </c>
      <c r="BI2694" t="e">
        <f>VLOOKUP(H2694,Sheet2!$A$1:$B$270,2,FALSE)</f>
        <v>#N/A</v>
      </c>
    </row>
    <row r="2695" spans="15:61" hidden="1">
      <c r="O2695" s="57"/>
      <c r="P2695" s="57"/>
      <c r="AO2695" s="57"/>
      <c r="AP2695" s="57"/>
      <c r="BA2695" s="57"/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e">
        <f>VLOOKUP(H2695,Sheet2!$A$1:$B$270,2,FALSE)</f>
        <v>#N/A</v>
      </c>
    </row>
    <row r="2696" spans="15:61" hidden="1">
      <c r="O2696" s="57"/>
      <c r="P2696" s="57"/>
      <c r="AO2696" s="57"/>
      <c r="AP2696" s="57"/>
      <c r="BA2696" s="57"/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e">
        <f>VLOOKUP(H2696,Sheet2!$A$1:$B$270,2,FALSE)</f>
        <v>#N/A</v>
      </c>
    </row>
    <row r="2697" spans="15:61" hidden="1">
      <c r="O2697" s="57"/>
      <c r="P2697" s="57"/>
      <c r="AO2697" s="57"/>
      <c r="AP2697" s="57"/>
      <c r="BA2697" s="57"/>
      <c r="BF2697" s="6" t="e">
        <f t="shared" si="126"/>
        <v>#NUM!</v>
      </c>
      <c r="BG2697" t="e">
        <f t="shared" si="127"/>
        <v>#NUM!</v>
      </c>
      <c r="BH2697" t="e">
        <f t="shared" si="128"/>
        <v>#NUM!</v>
      </c>
      <c r="BI2697" t="e">
        <f>VLOOKUP(H2697,Sheet2!$A$1:$B$270,2,FALSE)</f>
        <v>#N/A</v>
      </c>
    </row>
    <row r="2698" spans="15:61" hidden="1">
      <c r="O2698" s="57"/>
      <c r="P2698" s="57"/>
      <c r="AO2698" s="57"/>
      <c r="AP2698" s="57"/>
      <c r="BA2698" s="57"/>
      <c r="BF2698" s="6" t="e">
        <f t="shared" si="126"/>
        <v>#NUM!</v>
      </c>
      <c r="BG2698" t="e">
        <f t="shared" si="127"/>
        <v>#NUM!</v>
      </c>
      <c r="BH2698" t="e">
        <f t="shared" si="128"/>
        <v>#NUM!</v>
      </c>
      <c r="BI2698" t="e">
        <f>VLOOKUP(H2698,Sheet2!$A$1:$B$270,2,FALSE)</f>
        <v>#N/A</v>
      </c>
    </row>
    <row r="2699" spans="15:61" hidden="1">
      <c r="O2699" s="57"/>
      <c r="P2699" s="57"/>
      <c r="AP2699" s="57"/>
      <c r="BA2699" s="57"/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e">
        <f>VLOOKUP(H2699,Sheet2!$A$1:$B$270,2,FALSE)</f>
        <v>#N/A</v>
      </c>
    </row>
    <row r="2700" spans="15:61" hidden="1">
      <c r="O2700" s="57"/>
      <c r="P2700" s="57"/>
      <c r="AP2700" s="57"/>
      <c r="BA2700" s="57"/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e">
        <f>VLOOKUP(H2700,Sheet2!$A$1:$B$270,2,FALSE)</f>
        <v>#N/A</v>
      </c>
    </row>
    <row r="2701" spans="15:61" hidden="1">
      <c r="O2701" s="57"/>
      <c r="P2701" s="57"/>
      <c r="AP2701" s="57"/>
      <c r="BA2701" s="57"/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e">
        <f>VLOOKUP(H2701,Sheet2!$A$1:$B$270,2,FALSE)</f>
        <v>#N/A</v>
      </c>
    </row>
    <row r="2702" spans="15:61" hidden="1">
      <c r="O2702" s="57"/>
      <c r="P2702" s="57"/>
      <c r="BA2702" s="57"/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e">
        <f>VLOOKUP(H2702,Sheet2!$A$1:$B$270,2,FALSE)</f>
        <v>#N/A</v>
      </c>
    </row>
    <row r="2703" spans="15:61" hidden="1">
      <c r="O2703" s="57"/>
      <c r="P2703" s="57"/>
      <c r="AP2703" s="57"/>
      <c r="BA2703" s="57"/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e">
        <f>VLOOKUP(H2703,Sheet2!$A$1:$B$270,2,FALSE)</f>
        <v>#N/A</v>
      </c>
    </row>
    <row r="2704" spans="15:61" hidden="1">
      <c r="O2704" s="57"/>
      <c r="P2704" s="57"/>
      <c r="AP2704" s="57"/>
      <c r="BA2704" s="57"/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e">
        <f>VLOOKUP(H2704,Sheet2!$A$1:$B$270,2,FALSE)</f>
        <v>#N/A</v>
      </c>
    </row>
    <row r="2705" spans="15:61" hidden="1">
      <c r="O2705" s="57"/>
      <c r="P2705" s="57"/>
      <c r="AP2705" s="57"/>
      <c r="BA2705" s="57"/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e">
        <f>VLOOKUP(H2705,Sheet2!$A$1:$B$270,2,FALSE)</f>
        <v>#N/A</v>
      </c>
    </row>
    <row r="2706" spans="15:61" hidden="1">
      <c r="O2706" s="57"/>
      <c r="P2706" s="57"/>
      <c r="AP2706" s="57"/>
      <c r="BA2706" s="57"/>
      <c r="BF2706" s="6" t="e">
        <f t="shared" si="126"/>
        <v>#NUM!</v>
      </c>
      <c r="BG2706" t="e">
        <f t="shared" si="127"/>
        <v>#NUM!</v>
      </c>
      <c r="BH2706" t="e">
        <f t="shared" si="128"/>
        <v>#NUM!</v>
      </c>
      <c r="BI2706" t="e">
        <f>VLOOKUP(H2706,Sheet2!$A$1:$B$270,2,FALSE)</f>
        <v>#N/A</v>
      </c>
    </row>
    <row r="2707" spans="15:61" hidden="1">
      <c r="O2707" s="57"/>
      <c r="P2707" s="57"/>
      <c r="AP2707" s="57"/>
      <c r="BA2707" s="57"/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e">
        <f>VLOOKUP(H2707,Sheet2!$A$1:$B$270,2,FALSE)</f>
        <v>#N/A</v>
      </c>
    </row>
    <row r="2708" spans="15:61" hidden="1">
      <c r="O2708" s="57"/>
      <c r="P2708" s="57"/>
      <c r="AP2708" s="57"/>
      <c r="BA2708" s="57"/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e">
        <f>VLOOKUP(H2708,Sheet2!$A$1:$B$270,2,FALSE)</f>
        <v>#N/A</v>
      </c>
    </row>
    <row r="2709" spans="15:61" hidden="1">
      <c r="O2709" s="57"/>
      <c r="P2709" s="57"/>
      <c r="AP2709" s="57"/>
      <c r="BA2709" s="57"/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e">
        <f>VLOOKUP(H2709,Sheet2!$A$1:$B$270,2,FALSE)</f>
        <v>#N/A</v>
      </c>
    </row>
    <row r="2710" spans="15:61" hidden="1">
      <c r="O2710" s="57"/>
      <c r="P2710" s="57"/>
      <c r="AP2710" s="57"/>
      <c r="BA2710" s="57"/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e">
        <f>VLOOKUP(H2710,Sheet2!$A$1:$B$270,2,FALSE)</f>
        <v>#N/A</v>
      </c>
    </row>
    <row r="2711" spans="15:61" hidden="1">
      <c r="O2711" s="57"/>
      <c r="P2711" s="57"/>
      <c r="BA2711" s="57"/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e">
        <f>VLOOKUP(H2711,Sheet2!$A$1:$B$270,2,FALSE)</f>
        <v>#N/A</v>
      </c>
    </row>
    <row r="2712" spans="15:61" hidden="1">
      <c r="O2712" s="57"/>
      <c r="P2712" s="57"/>
      <c r="BA2712" s="57"/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e">
        <f>VLOOKUP(H2712,Sheet2!$A$1:$B$270,2,FALSE)</f>
        <v>#N/A</v>
      </c>
    </row>
    <row r="2713" spans="15:61" hidden="1">
      <c r="O2713" s="57"/>
      <c r="P2713" s="57"/>
      <c r="AO2713" s="57"/>
      <c r="AP2713" s="57"/>
      <c r="BA2713" s="57"/>
      <c r="BF2713" s="6" t="e">
        <f t="shared" si="126"/>
        <v>#NUM!</v>
      </c>
      <c r="BG2713" t="e">
        <f t="shared" si="127"/>
        <v>#NUM!</v>
      </c>
      <c r="BH2713" t="e">
        <f t="shared" si="128"/>
        <v>#NUM!</v>
      </c>
      <c r="BI2713" t="e">
        <f>VLOOKUP(H2713,Sheet2!$A$1:$B$270,2,FALSE)</f>
        <v>#N/A</v>
      </c>
    </row>
    <row r="2714" spans="15:61" hidden="1">
      <c r="O2714" s="57"/>
      <c r="P2714" s="57"/>
      <c r="AO2714" s="57"/>
      <c r="AP2714" s="57"/>
      <c r="BA2714" s="57"/>
      <c r="BF2714" s="6" t="e">
        <f t="shared" si="126"/>
        <v>#NUM!</v>
      </c>
      <c r="BG2714" t="e">
        <f t="shared" si="127"/>
        <v>#NUM!</v>
      </c>
      <c r="BH2714" t="e">
        <f t="shared" si="128"/>
        <v>#NUM!</v>
      </c>
      <c r="BI2714" t="e">
        <f>VLOOKUP(H2714,Sheet2!$A$1:$B$270,2,FALSE)</f>
        <v>#N/A</v>
      </c>
    </row>
    <row r="2715" spans="15:61" hidden="1">
      <c r="O2715" s="57"/>
      <c r="P2715" s="57"/>
      <c r="AO2715" s="57"/>
      <c r="AP2715" s="57"/>
      <c r="BA2715" s="57"/>
      <c r="BF2715" s="6" t="e">
        <f t="shared" si="126"/>
        <v>#NUM!</v>
      </c>
      <c r="BG2715" t="e">
        <f t="shared" si="127"/>
        <v>#NUM!</v>
      </c>
      <c r="BH2715" t="e">
        <f t="shared" si="128"/>
        <v>#NUM!</v>
      </c>
      <c r="BI2715" t="e">
        <f>VLOOKUP(H2715,Sheet2!$A$1:$B$270,2,FALSE)</f>
        <v>#N/A</v>
      </c>
    </row>
    <row r="2716" spans="15:61" hidden="1">
      <c r="O2716" s="57"/>
      <c r="P2716" s="57"/>
      <c r="AO2716" s="57"/>
      <c r="AP2716" s="57"/>
      <c r="BA2716" s="57"/>
      <c r="BF2716" s="6" t="e">
        <f t="shared" si="126"/>
        <v>#NUM!</v>
      </c>
      <c r="BG2716" t="e">
        <f t="shared" si="127"/>
        <v>#NUM!</v>
      </c>
      <c r="BH2716" t="e">
        <f t="shared" si="128"/>
        <v>#NUM!</v>
      </c>
      <c r="BI2716" t="e">
        <f>VLOOKUP(H2716,Sheet2!$A$1:$B$270,2,FALSE)</f>
        <v>#N/A</v>
      </c>
    </row>
    <row r="2717" spans="15:61" hidden="1">
      <c r="O2717" s="57"/>
      <c r="P2717" s="57"/>
      <c r="AP2717" s="57"/>
      <c r="BA2717" s="57"/>
      <c r="BF2717" s="6" t="e">
        <f t="shared" si="126"/>
        <v>#NUM!</v>
      </c>
      <c r="BG2717" t="e">
        <f t="shared" si="127"/>
        <v>#NUM!</v>
      </c>
      <c r="BH2717" t="e">
        <f t="shared" si="128"/>
        <v>#NUM!</v>
      </c>
      <c r="BI2717" t="e">
        <f>VLOOKUP(H2717,Sheet2!$A$1:$B$270,2,FALSE)</f>
        <v>#N/A</v>
      </c>
    </row>
    <row r="2718" spans="15:61" hidden="1">
      <c r="O2718" s="57"/>
      <c r="P2718" s="57"/>
      <c r="AP2718" s="57"/>
      <c r="BA2718" s="57"/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e">
        <f>VLOOKUP(H2718,Sheet2!$A$1:$B$270,2,FALSE)</f>
        <v>#N/A</v>
      </c>
    </row>
    <row r="2719" spans="15:61" hidden="1">
      <c r="O2719" s="57"/>
      <c r="P2719" s="57"/>
      <c r="AP2719" s="57"/>
      <c r="BA2719" s="57"/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e">
        <f>VLOOKUP(H2719,Sheet2!$A$1:$B$270,2,FALSE)</f>
        <v>#N/A</v>
      </c>
    </row>
    <row r="2720" spans="15:61" hidden="1">
      <c r="O2720" s="57"/>
      <c r="P2720" s="57"/>
      <c r="AP2720" s="57"/>
      <c r="BA2720" s="57"/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e">
        <f>VLOOKUP(H2720,Sheet2!$A$1:$B$270,2,FALSE)</f>
        <v>#N/A</v>
      </c>
    </row>
    <row r="2721" spans="15:61" hidden="1">
      <c r="O2721" s="57"/>
      <c r="P2721" s="57"/>
      <c r="AP2721" s="57"/>
      <c r="BA2721" s="57"/>
      <c r="BF2721" s="6" t="e">
        <f t="shared" si="126"/>
        <v>#NUM!</v>
      </c>
      <c r="BG2721" t="e">
        <f t="shared" si="127"/>
        <v>#NUM!</v>
      </c>
      <c r="BH2721" t="e">
        <f t="shared" si="128"/>
        <v>#NUM!</v>
      </c>
      <c r="BI2721" t="e">
        <f>VLOOKUP(H2721,Sheet2!$A$1:$B$270,2,FALSE)</f>
        <v>#N/A</v>
      </c>
    </row>
    <row r="2722" spans="15:61" hidden="1">
      <c r="O2722" s="57"/>
      <c r="P2722" s="57"/>
      <c r="AP2722" s="57"/>
      <c r="BA2722" s="57"/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e">
        <f>VLOOKUP(H2722,Sheet2!$A$1:$B$270,2,FALSE)</f>
        <v>#N/A</v>
      </c>
    </row>
    <row r="2723" spans="15:61" hidden="1">
      <c r="O2723" s="57"/>
      <c r="P2723" s="57"/>
      <c r="AP2723" s="57"/>
      <c r="BA2723" s="57"/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e">
        <f>VLOOKUP(H2723,Sheet2!$A$1:$B$270,2,FALSE)</f>
        <v>#N/A</v>
      </c>
    </row>
    <row r="2724" spans="15:61" hidden="1">
      <c r="O2724" s="57"/>
      <c r="P2724" s="57"/>
      <c r="AP2724" s="57"/>
      <c r="BA2724" s="57"/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e">
        <f>VLOOKUP(H2724,Sheet2!$A$1:$B$270,2,FALSE)</f>
        <v>#N/A</v>
      </c>
    </row>
    <row r="2725" spans="15:61" hidden="1">
      <c r="O2725" s="57"/>
      <c r="P2725" s="57"/>
      <c r="AO2725" s="57"/>
      <c r="AP2725" s="57"/>
      <c r="BA2725" s="57"/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e">
        <f>VLOOKUP(H2725,Sheet2!$A$1:$B$270,2,FALSE)</f>
        <v>#N/A</v>
      </c>
    </row>
    <row r="2726" spans="15:61" hidden="1">
      <c r="O2726" s="57"/>
      <c r="P2726" s="57"/>
      <c r="AO2726" s="57"/>
      <c r="AP2726" s="57"/>
      <c r="BA2726" s="57"/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e">
        <f>VLOOKUP(H2726,Sheet2!$A$1:$B$270,2,FALSE)</f>
        <v>#N/A</v>
      </c>
    </row>
    <row r="2727" spans="15:61" hidden="1">
      <c r="O2727" s="57"/>
      <c r="P2727" s="57"/>
      <c r="AO2727" s="57"/>
      <c r="AP2727" s="57"/>
      <c r="BA2727" s="57"/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e">
        <f>VLOOKUP(H2727,Sheet2!$A$1:$B$270,2,FALSE)</f>
        <v>#N/A</v>
      </c>
    </row>
    <row r="2728" spans="15:61" hidden="1">
      <c r="O2728" s="57"/>
      <c r="P2728" s="57"/>
      <c r="AO2728" s="57"/>
      <c r="AP2728" s="57"/>
      <c r="BA2728" s="57"/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e">
        <f>VLOOKUP(H2728,Sheet2!$A$1:$B$270,2,FALSE)</f>
        <v>#N/A</v>
      </c>
    </row>
    <row r="2729" spans="15:61" hidden="1">
      <c r="O2729" s="57"/>
      <c r="P2729" s="57"/>
      <c r="BA2729" s="57"/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e">
        <f>VLOOKUP(H2729,Sheet2!$A$1:$B$270,2,FALSE)</f>
        <v>#N/A</v>
      </c>
    </row>
    <row r="2730" spans="15:61" hidden="1">
      <c r="O2730" s="57"/>
      <c r="P2730" s="57"/>
      <c r="AP2730" s="57"/>
      <c r="BA2730" s="57"/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e">
        <f>VLOOKUP(H2730,Sheet2!$A$1:$B$270,2,FALSE)</f>
        <v>#N/A</v>
      </c>
    </row>
    <row r="2731" spans="15:61" hidden="1">
      <c r="O2731" s="57"/>
      <c r="P2731" s="57"/>
      <c r="BA2731" s="57"/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e">
        <f>VLOOKUP(H2731,Sheet2!$A$1:$B$270,2,FALSE)</f>
        <v>#N/A</v>
      </c>
    </row>
    <row r="2732" spans="15:61" hidden="1">
      <c r="O2732" s="57"/>
      <c r="P2732" s="57"/>
      <c r="AP2732" s="57"/>
      <c r="BA2732" s="57"/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e">
        <f>VLOOKUP(H2732,Sheet2!$A$1:$B$270,2,FALSE)</f>
        <v>#N/A</v>
      </c>
    </row>
    <row r="2733" spans="15:61" hidden="1">
      <c r="O2733" s="57"/>
      <c r="P2733" s="57"/>
      <c r="AP2733" s="57"/>
      <c r="BA2733" s="57"/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e">
        <f>VLOOKUP(H2733,Sheet2!$A$1:$B$270,2,FALSE)</f>
        <v>#N/A</v>
      </c>
    </row>
    <row r="2734" spans="15:61" hidden="1">
      <c r="O2734" s="57"/>
      <c r="P2734" s="57"/>
      <c r="AP2734" s="57"/>
      <c r="BA2734" s="57"/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e">
        <f>VLOOKUP(H2734,Sheet2!$A$1:$B$270,2,FALSE)</f>
        <v>#N/A</v>
      </c>
    </row>
    <row r="2735" spans="15:61" hidden="1">
      <c r="O2735" s="57"/>
      <c r="P2735" s="57"/>
      <c r="AP2735" s="57"/>
      <c r="BA2735" s="57"/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e">
        <f>VLOOKUP(H2735,Sheet2!$A$1:$B$270,2,FALSE)</f>
        <v>#N/A</v>
      </c>
    </row>
    <row r="2736" spans="15:61" hidden="1">
      <c r="O2736" s="57"/>
      <c r="P2736" s="57"/>
      <c r="BA2736" s="57"/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e">
        <f>VLOOKUP(H2736,Sheet2!$A$1:$B$270,2,FALSE)</f>
        <v>#N/A</v>
      </c>
    </row>
    <row r="2737" spans="15:61" hidden="1">
      <c r="O2737" s="57"/>
      <c r="P2737" s="57"/>
      <c r="AO2737" s="57"/>
      <c r="AP2737" s="57"/>
      <c r="BA2737" s="57"/>
      <c r="BF2737" s="6" t="e">
        <f t="shared" si="126"/>
        <v>#NUM!</v>
      </c>
      <c r="BG2737" t="e">
        <f t="shared" si="127"/>
        <v>#NUM!</v>
      </c>
      <c r="BH2737" t="e">
        <f t="shared" si="128"/>
        <v>#NUM!</v>
      </c>
      <c r="BI2737" t="e">
        <f>VLOOKUP(H2737,Sheet2!$A$1:$B$270,2,FALSE)</f>
        <v>#N/A</v>
      </c>
    </row>
    <row r="2738" spans="15:61" hidden="1">
      <c r="O2738" s="57"/>
      <c r="P2738" s="57"/>
      <c r="AP2738" s="57"/>
      <c r="BA2738" s="57"/>
      <c r="BF2738" s="6" t="e">
        <f t="shared" si="126"/>
        <v>#NUM!</v>
      </c>
      <c r="BG2738" t="e">
        <f t="shared" si="127"/>
        <v>#NUM!</v>
      </c>
      <c r="BH2738" t="e">
        <f t="shared" si="128"/>
        <v>#NUM!</v>
      </c>
      <c r="BI2738" t="e">
        <f>VLOOKUP(H2738,Sheet2!$A$1:$B$270,2,FALSE)</f>
        <v>#N/A</v>
      </c>
    </row>
    <row r="2739" spans="15:61" hidden="1">
      <c r="O2739" s="57"/>
      <c r="P2739" s="57"/>
      <c r="AO2739" s="57"/>
      <c r="AP2739" s="57"/>
      <c r="BA2739" s="57"/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e">
        <f>VLOOKUP(H2739,Sheet2!$A$1:$B$270,2,FALSE)</f>
        <v>#N/A</v>
      </c>
    </row>
    <row r="2740" spans="15:61" hidden="1">
      <c r="O2740" s="57"/>
      <c r="P2740" s="57"/>
      <c r="BA2740" s="57"/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e">
        <f>VLOOKUP(H2740,Sheet2!$A$1:$B$270,2,FALSE)</f>
        <v>#N/A</v>
      </c>
    </row>
    <row r="2741" spans="15:61" hidden="1">
      <c r="O2741" s="57"/>
      <c r="P2741" s="57"/>
      <c r="AP2741" s="57"/>
      <c r="BA2741" s="57"/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e">
        <f>VLOOKUP(H2741,Sheet2!$A$1:$B$270,2,FALSE)</f>
        <v>#N/A</v>
      </c>
    </row>
    <row r="2742" spans="15:61" hidden="1">
      <c r="O2742" s="57"/>
      <c r="P2742" s="57"/>
      <c r="AP2742" s="57"/>
      <c r="BA2742" s="57"/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e">
        <f>VLOOKUP(H2742,Sheet2!$A$1:$B$270,2,FALSE)</f>
        <v>#N/A</v>
      </c>
    </row>
    <row r="2743" spans="15:61" hidden="1">
      <c r="O2743" s="57"/>
      <c r="P2743" s="57"/>
      <c r="AP2743" s="57"/>
      <c r="BA2743" s="57"/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e">
        <f>VLOOKUP(H2743,Sheet2!$A$1:$B$270,2,FALSE)</f>
        <v>#N/A</v>
      </c>
    </row>
    <row r="2744" spans="15:61" hidden="1">
      <c r="O2744" s="57"/>
      <c r="P2744" s="57"/>
      <c r="AP2744" s="57"/>
      <c r="BA2744" s="57"/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e">
        <f>VLOOKUP(H2744,Sheet2!$A$1:$B$270,2,FALSE)</f>
        <v>#N/A</v>
      </c>
    </row>
    <row r="2745" spans="15:61" hidden="1">
      <c r="O2745" s="57"/>
      <c r="P2745" s="57"/>
      <c r="AO2745" s="57"/>
      <c r="BA2745" s="57"/>
      <c r="BF2745" s="6" t="e">
        <f t="shared" si="126"/>
        <v>#NUM!</v>
      </c>
      <c r="BG2745" t="e">
        <f t="shared" si="127"/>
        <v>#NUM!</v>
      </c>
      <c r="BH2745" t="e">
        <f t="shared" si="128"/>
        <v>#NUM!</v>
      </c>
      <c r="BI2745" t="e">
        <f>VLOOKUP(H2745,Sheet2!$A$1:$B$270,2,FALSE)</f>
        <v>#N/A</v>
      </c>
    </row>
    <row r="2746" spans="15:61" hidden="1">
      <c r="O2746" s="57"/>
      <c r="P2746" s="57"/>
      <c r="AP2746" s="57"/>
      <c r="BA2746" s="57"/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e">
        <f>VLOOKUP(H2746,Sheet2!$A$1:$B$270,2,FALSE)</f>
        <v>#N/A</v>
      </c>
    </row>
    <row r="2747" spans="15:61" hidden="1">
      <c r="O2747" s="57"/>
      <c r="P2747" s="57"/>
      <c r="BA2747" s="57"/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e">
        <f>VLOOKUP(H2747,Sheet2!$A$1:$B$270,2,FALSE)</f>
        <v>#N/A</v>
      </c>
    </row>
    <row r="2748" spans="15:61" hidden="1">
      <c r="O2748" s="57"/>
      <c r="P2748" s="57"/>
      <c r="AP2748" s="57"/>
      <c r="BA2748" s="57"/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e">
        <f>VLOOKUP(H2748,Sheet2!$A$1:$B$270,2,FALSE)</f>
        <v>#N/A</v>
      </c>
    </row>
    <row r="2749" spans="15:61" hidden="1">
      <c r="O2749" s="57"/>
      <c r="P2749" s="57"/>
      <c r="AP2749" s="57"/>
      <c r="BA2749" s="57"/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e">
        <f>VLOOKUP(H2749,Sheet2!$A$1:$B$270,2,FALSE)</f>
        <v>#N/A</v>
      </c>
    </row>
    <row r="2750" spans="15:61" hidden="1">
      <c r="O2750" s="57"/>
      <c r="P2750" s="57"/>
      <c r="AP2750" s="57"/>
      <c r="BA2750" s="57"/>
      <c r="BF2750" s="6" t="e">
        <f t="shared" si="126"/>
        <v>#NUM!</v>
      </c>
      <c r="BG2750" t="e">
        <f t="shared" si="127"/>
        <v>#NUM!</v>
      </c>
      <c r="BH2750" t="e">
        <f t="shared" si="128"/>
        <v>#NUM!</v>
      </c>
      <c r="BI2750" t="e">
        <f>VLOOKUP(H2750,Sheet2!$A$1:$B$270,2,FALSE)</f>
        <v>#N/A</v>
      </c>
    </row>
    <row r="2751" spans="15:61" hidden="1">
      <c r="O2751" s="57"/>
      <c r="P2751" s="57"/>
      <c r="AP2751" s="57"/>
      <c r="BA2751" s="57"/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e">
        <f>VLOOKUP(H2751,Sheet2!$A$1:$B$270,2,FALSE)</f>
        <v>#N/A</v>
      </c>
    </row>
    <row r="2752" spans="15:61" hidden="1">
      <c r="O2752" s="57"/>
      <c r="P2752" s="57"/>
      <c r="AP2752" s="57"/>
      <c r="BA2752" s="57"/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e">
        <f>VLOOKUP(H2752,Sheet2!$A$1:$B$270,2,FALSE)</f>
        <v>#N/A</v>
      </c>
    </row>
    <row r="2753" spans="15:61" hidden="1">
      <c r="O2753" s="57"/>
      <c r="P2753" s="57"/>
      <c r="AP2753" s="57"/>
      <c r="BA2753" s="57"/>
      <c r="BF2753" s="6" t="e">
        <f t="shared" si="126"/>
        <v>#NUM!</v>
      </c>
      <c r="BG2753" t="e">
        <f t="shared" si="127"/>
        <v>#NUM!</v>
      </c>
      <c r="BH2753" t="e">
        <f t="shared" si="128"/>
        <v>#NUM!</v>
      </c>
      <c r="BI2753" t="e">
        <f>VLOOKUP(H2753,Sheet2!$A$1:$B$270,2,FALSE)</f>
        <v>#N/A</v>
      </c>
    </row>
    <row r="2754" spans="15:61" hidden="1">
      <c r="O2754" s="57"/>
      <c r="P2754" s="57"/>
      <c r="AO2754" s="57"/>
      <c r="AP2754" s="57"/>
      <c r="BA2754" s="57"/>
      <c r="BF2754" s="6" t="e">
        <f t="shared" ref="BF2754:BF2817" si="129">DATE(BC2754,BD2754,BE2754)</f>
        <v>#NUM!</v>
      </c>
      <c r="BG2754" t="e">
        <f t="shared" ref="BG2754:BG2817" si="130">BF2754-BA2754</f>
        <v>#NUM!</v>
      </c>
      <c r="BH2754" t="e">
        <f t="shared" ref="BH2754:BH2817" si="131">IF(BG2754=1,"COMPLY",IF(BG2754&lt;1,"COMPLY","NOT COMPLY"))</f>
        <v>#NUM!</v>
      </c>
      <c r="BI2754" t="e">
        <f>VLOOKUP(H2754,Sheet2!$A$1:$B$270,2,FALSE)</f>
        <v>#N/A</v>
      </c>
    </row>
    <row r="2755" spans="15:61" hidden="1">
      <c r="O2755" s="57"/>
      <c r="P2755" s="57"/>
      <c r="AO2755" s="57"/>
      <c r="AP2755" s="57"/>
      <c r="BA2755" s="57"/>
      <c r="BF2755" s="6" t="e">
        <f t="shared" si="129"/>
        <v>#NUM!</v>
      </c>
      <c r="BG2755" t="e">
        <f t="shared" si="130"/>
        <v>#NUM!</v>
      </c>
      <c r="BH2755" t="e">
        <f t="shared" si="131"/>
        <v>#NUM!</v>
      </c>
      <c r="BI2755" t="e">
        <f>VLOOKUP(H2755,Sheet2!$A$1:$B$270,2,FALSE)</f>
        <v>#N/A</v>
      </c>
    </row>
    <row r="2756" spans="15:61" hidden="1">
      <c r="O2756" s="57"/>
      <c r="P2756" s="57"/>
      <c r="AO2756" s="57"/>
      <c r="AP2756" s="57"/>
      <c r="BA2756" s="57"/>
      <c r="BF2756" s="6" t="e">
        <f t="shared" si="129"/>
        <v>#NUM!</v>
      </c>
      <c r="BG2756" t="e">
        <f t="shared" si="130"/>
        <v>#NUM!</v>
      </c>
      <c r="BH2756" t="e">
        <f t="shared" si="131"/>
        <v>#NUM!</v>
      </c>
      <c r="BI2756" t="e">
        <f>VLOOKUP(H2756,Sheet2!$A$1:$B$270,2,FALSE)</f>
        <v>#N/A</v>
      </c>
    </row>
    <row r="2757" spans="15:61" hidden="1">
      <c r="O2757" s="57"/>
      <c r="P2757" s="57"/>
      <c r="AO2757" s="57"/>
      <c r="AP2757" s="57"/>
      <c r="BA2757" s="57"/>
      <c r="BF2757" s="6" t="e">
        <f t="shared" si="129"/>
        <v>#NUM!</v>
      </c>
      <c r="BG2757" t="e">
        <f t="shared" si="130"/>
        <v>#NUM!</v>
      </c>
      <c r="BH2757" t="e">
        <f t="shared" si="131"/>
        <v>#NUM!</v>
      </c>
      <c r="BI2757" t="e">
        <f>VLOOKUP(H2757,Sheet2!$A$1:$B$270,2,FALSE)</f>
        <v>#N/A</v>
      </c>
    </row>
    <row r="2758" spans="15:61" hidden="1">
      <c r="O2758" s="57"/>
      <c r="P2758" s="57"/>
      <c r="AO2758" s="57"/>
      <c r="AP2758" s="57"/>
      <c r="BA2758" s="57"/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e">
        <f>VLOOKUP(H2758,Sheet2!$A$1:$B$270,2,FALSE)</f>
        <v>#N/A</v>
      </c>
    </row>
    <row r="2759" spans="15:61" hidden="1">
      <c r="O2759" s="57"/>
      <c r="P2759" s="57"/>
      <c r="BA2759" s="57"/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e">
        <f>VLOOKUP(H2759,Sheet2!$A$1:$B$270,2,FALSE)</f>
        <v>#N/A</v>
      </c>
    </row>
    <row r="2760" spans="15:61" hidden="1">
      <c r="O2760" s="57"/>
      <c r="P2760" s="57"/>
      <c r="AP2760" s="57"/>
      <c r="BA2760" s="57"/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e">
        <f>VLOOKUP(H2760,Sheet2!$A$1:$B$270,2,FALSE)</f>
        <v>#N/A</v>
      </c>
    </row>
    <row r="2761" spans="15:61" hidden="1">
      <c r="O2761" s="57"/>
      <c r="P2761" s="57"/>
      <c r="BA2761" s="57"/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e">
        <f>VLOOKUP(H2761,Sheet2!$A$1:$B$270,2,FALSE)</f>
        <v>#N/A</v>
      </c>
    </row>
    <row r="2762" spans="15:61" hidden="1">
      <c r="O2762" s="57"/>
      <c r="P2762" s="57"/>
      <c r="AP2762" s="57"/>
      <c r="BA2762" s="57"/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e">
        <f>VLOOKUP(H2762,Sheet2!$A$1:$B$270,2,FALSE)</f>
        <v>#N/A</v>
      </c>
    </row>
    <row r="2763" spans="15:61" hidden="1">
      <c r="O2763" s="57"/>
      <c r="P2763" s="57"/>
      <c r="AP2763" s="57"/>
      <c r="BA2763" s="57"/>
      <c r="BF2763" s="6" t="e">
        <f t="shared" si="129"/>
        <v>#NUM!</v>
      </c>
      <c r="BG2763" t="e">
        <f t="shared" si="130"/>
        <v>#NUM!</v>
      </c>
      <c r="BH2763" t="e">
        <f t="shared" si="131"/>
        <v>#NUM!</v>
      </c>
      <c r="BI2763" t="e">
        <f>VLOOKUP(H2763,Sheet2!$A$1:$B$270,2,FALSE)</f>
        <v>#N/A</v>
      </c>
    </row>
    <row r="2764" spans="15:61" hidden="1">
      <c r="O2764" s="57"/>
      <c r="P2764" s="57"/>
      <c r="AP2764" s="57"/>
      <c r="BA2764" s="57"/>
      <c r="BF2764" s="6" t="e">
        <f t="shared" si="129"/>
        <v>#NUM!</v>
      </c>
      <c r="BG2764" t="e">
        <f t="shared" si="130"/>
        <v>#NUM!</v>
      </c>
      <c r="BH2764" t="e">
        <f t="shared" si="131"/>
        <v>#NUM!</v>
      </c>
      <c r="BI2764" t="e">
        <f>VLOOKUP(H2764,Sheet2!$A$1:$B$270,2,FALSE)</f>
        <v>#N/A</v>
      </c>
    </row>
    <row r="2765" spans="15:61" hidden="1">
      <c r="O2765" s="57"/>
      <c r="P2765" s="57"/>
      <c r="AP2765" s="57"/>
      <c r="BA2765" s="57"/>
      <c r="BF2765" s="6" t="e">
        <f t="shared" si="129"/>
        <v>#NUM!</v>
      </c>
      <c r="BG2765" t="e">
        <f t="shared" si="130"/>
        <v>#NUM!</v>
      </c>
      <c r="BH2765" t="e">
        <f t="shared" si="131"/>
        <v>#NUM!</v>
      </c>
      <c r="BI2765" t="e">
        <f>VLOOKUP(H2765,Sheet2!$A$1:$B$270,2,FALSE)</f>
        <v>#N/A</v>
      </c>
    </row>
    <row r="2766" spans="15:61" hidden="1">
      <c r="O2766" s="57"/>
      <c r="P2766" s="57"/>
      <c r="BA2766" s="57"/>
      <c r="BF2766" s="6" t="e">
        <f t="shared" si="129"/>
        <v>#NUM!</v>
      </c>
      <c r="BG2766" t="e">
        <f t="shared" si="130"/>
        <v>#NUM!</v>
      </c>
      <c r="BH2766" t="e">
        <f t="shared" si="131"/>
        <v>#NUM!</v>
      </c>
      <c r="BI2766" t="e">
        <f>VLOOKUP(H2766,Sheet2!$A$1:$B$270,2,FALSE)</f>
        <v>#N/A</v>
      </c>
    </row>
    <row r="2767" spans="15:61" hidden="1">
      <c r="O2767" s="57"/>
      <c r="P2767" s="57"/>
      <c r="BA2767" s="57"/>
      <c r="BF2767" s="6" t="e">
        <f t="shared" si="129"/>
        <v>#NUM!</v>
      </c>
      <c r="BG2767" t="e">
        <f t="shared" si="130"/>
        <v>#NUM!</v>
      </c>
      <c r="BH2767" t="e">
        <f t="shared" si="131"/>
        <v>#NUM!</v>
      </c>
      <c r="BI2767" t="e">
        <f>VLOOKUP(H2767,Sheet2!$A$1:$B$270,2,FALSE)</f>
        <v>#N/A</v>
      </c>
    </row>
    <row r="2768" spans="15:61" hidden="1">
      <c r="O2768" s="57"/>
      <c r="P2768" s="57"/>
      <c r="AP2768" s="57"/>
      <c r="BA2768" s="57"/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e">
        <f>VLOOKUP(H2768,Sheet2!$A$1:$B$270,2,FALSE)</f>
        <v>#N/A</v>
      </c>
    </row>
    <row r="2769" spans="15:61" hidden="1">
      <c r="O2769" s="57"/>
      <c r="P2769" s="57"/>
      <c r="AO2769" s="57"/>
      <c r="AP2769" s="57"/>
      <c r="BA2769" s="57"/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e">
        <f>VLOOKUP(H2769,Sheet2!$A$1:$B$270,2,FALSE)</f>
        <v>#N/A</v>
      </c>
    </row>
    <row r="2770" spans="15:61" hidden="1">
      <c r="O2770" s="57"/>
      <c r="P2770" s="57"/>
      <c r="AO2770" s="57"/>
      <c r="BA2770" s="57"/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e">
        <f>VLOOKUP(H2770,Sheet2!$A$1:$B$270,2,FALSE)</f>
        <v>#N/A</v>
      </c>
    </row>
    <row r="2771" spans="15:61" hidden="1">
      <c r="O2771" s="57"/>
      <c r="P2771" s="57"/>
      <c r="AO2771" s="57"/>
      <c r="AP2771" s="57"/>
      <c r="BA2771" s="57"/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e">
        <f>VLOOKUP(H2771,Sheet2!$A$1:$B$270,2,FALSE)</f>
        <v>#N/A</v>
      </c>
    </row>
    <row r="2772" spans="15:61" hidden="1">
      <c r="O2772" s="57"/>
      <c r="P2772" s="57"/>
      <c r="BA2772" s="57"/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e">
        <f>VLOOKUP(H2772,Sheet2!$A$1:$B$270,2,FALSE)</f>
        <v>#N/A</v>
      </c>
    </row>
    <row r="2773" spans="15:61" hidden="1">
      <c r="O2773" s="57"/>
      <c r="P2773" s="57"/>
      <c r="AP2773" s="57"/>
      <c r="BA2773" s="57"/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e">
        <f>VLOOKUP(H2773,Sheet2!$A$1:$B$270,2,FALSE)</f>
        <v>#N/A</v>
      </c>
    </row>
    <row r="2774" spans="15:61" hidden="1">
      <c r="O2774" s="57"/>
      <c r="P2774" s="57"/>
      <c r="AP2774" s="57"/>
      <c r="BA2774" s="57"/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e">
        <f>VLOOKUP(H2774,Sheet2!$A$1:$B$270,2,FALSE)</f>
        <v>#N/A</v>
      </c>
    </row>
    <row r="2775" spans="15:61" hidden="1">
      <c r="O2775" s="57"/>
      <c r="P2775" s="57"/>
      <c r="AP2775" s="57"/>
      <c r="BA2775" s="57"/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e">
        <f>VLOOKUP(H2775,Sheet2!$A$1:$B$270,2,FALSE)</f>
        <v>#N/A</v>
      </c>
    </row>
    <row r="2776" spans="15:61" hidden="1">
      <c r="O2776" s="57"/>
      <c r="P2776" s="57"/>
      <c r="AP2776" s="57"/>
      <c r="BA2776" s="57"/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e">
        <f>VLOOKUP(H2776,Sheet2!$A$1:$B$270,2,FALSE)</f>
        <v>#N/A</v>
      </c>
    </row>
    <row r="2777" spans="15:61" hidden="1">
      <c r="O2777" s="57"/>
      <c r="P2777" s="57"/>
      <c r="AO2777" s="57"/>
      <c r="AP2777" s="57"/>
      <c r="BA2777" s="57"/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e">
        <f>VLOOKUP(H2777,Sheet2!$A$1:$B$270,2,FALSE)</f>
        <v>#N/A</v>
      </c>
    </row>
    <row r="2778" spans="15:61" hidden="1">
      <c r="O2778" s="57"/>
      <c r="P2778" s="57"/>
      <c r="AP2778" s="57"/>
      <c r="BA2778" s="57"/>
      <c r="BF2778" s="6" t="e">
        <f t="shared" si="129"/>
        <v>#NUM!</v>
      </c>
      <c r="BG2778" t="e">
        <f t="shared" si="130"/>
        <v>#NUM!</v>
      </c>
      <c r="BH2778" t="e">
        <f t="shared" si="131"/>
        <v>#NUM!</v>
      </c>
      <c r="BI2778" t="e">
        <f>VLOOKUP(H2778,Sheet2!$A$1:$B$270,2,FALSE)</f>
        <v>#N/A</v>
      </c>
    </row>
    <row r="2779" spans="15:61" hidden="1">
      <c r="O2779" s="57"/>
      <c r="P2779" s="57"/>
      <c r="AP2779" s="57"/>
      <c r="BA2779" s="57"/>
      <c r="BF2779" s="6" t="e">
        <f t="shared" si="129"/>
        <v>#NUM!</v>
      </c>
      <c r="BG2779" t="e">
        <f t="shared" si="130"/>
        <v>#NUM!</v>
      </c>
      <c r="BH2779" t="e">
        <f t="shared" si="131"/>
        <v>#NUM!</v>
      </c>
      <c r="BI2779" t="e">
        <f>VLOOKUP(H2779,Sheet2!$A$1:$B$270,2,FALSE)</f>
        <v>#N/A</v>
      </c>
    </row>
    <row r="2780" spans="15:61" hidden="1">
      <c r="O2780" s="57"/>
      <c r="P2780" s="57"/>
      <c r="BA2780" s="57"/>
      <c r="BF2780" s="6" t="e">
        <f t="shared" si="129"/>
        <v>#NUM!</v>
      </c>
      <c r="BG2780" t="e">
        <f t="shared" si="130"/>
        <v>#NUM!</v>
      </c>
      <c r="BH2780" t="e">
        <f t="shared" si="131"/>
        <v>#NUM!</v>
      </c>
      <c r="BI2780" t="e">
        <f>VLOOKUP(H2780,Sheet2!$A$1:$B$270,2,FALSE)</f>
        <v>#N/A</v>
      </c>
    </row>
    <row r="2781" spans="15:61" hidden="1">
      <c r="O2781" s="57"/>
      <c r="P2781" s="57"/>
      <c r="AP2781" s="57"/>
      <c r="BA2781" s="57"/>
      <c r="BF2781" s="6" t="e">
        <f t="shared" si="129"/>
        <v>#NUM!</v>
      </c>
      <c r="BG2781" t="e">
        <f t="shared" si="130"/>
        <v>#NUM!</v>
      </c>
      <c r="BH2781" t="e">
        <f t="shared" si="131"/>
        <v>#NUM!</v>
      </c>
      <c r="BI2781" t="e">
        <f>VLOOKUP(H2781,Sheet2!$A$1:$B$270,2,FALSE)</f>
        <v>#N/A</v>
      </c>
    </row>
    <row r="2782" spans="15:61" hidden="1">
      <c r="O2782" s="57"/>
      <c r="P2782" s="57"/>
      <c r="AP2782" s="57"/>
      <c r="BA2782" s="57"/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e">
        <f>VLOOKUP(H2782,Sheet2!$A$1:$B$270,2,FALSE)</f>
        <v>#N/A</v>
      </c>
    </row>
    <row r="2783" spans="15:61" hidden="1">
      <c r="O2783" s="57"/>
      <c r="P2783" s="57"/>
      <c r="BA2783" s="57"/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e">
        <f>VLOOKUP(H2783,Sheet2!$A$1:$B$270,2,FALSE)</f>
        <v>#N/A</v>
      </c>
    </row>
    <row r="2784" spans="15:61" hidden="1">
      <c r="O2784" s="57"/>
      <c r="P2784" s="57"/>
      <c r="AO2784" s="57"/>
      <c r="BA2784" s="57"/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e">
        <f>VLOOKUP(H2784,Sheet2!$A$1:$B$270,2,FALSE)</f>
        <v>#N/A</v>
      </c>
    </row>
    <row r="2785" spans="15:61" hidden="1">
      <c r="O2785" s="57"/>
      <c r="P2785" s="57"/>
      <c r="AO2785" s="57"/>
      <c r="AP2785" s="57"/>
      <c r="BA2785" s="57"/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e">
        <f>VLOOKUP(H2785,Sheet2!$A$1:$B$270,2,FALSE)</f>
        <v>#N/A</v>
      </c>
    </row>
    <row r="2786" spans="15:61" hidden="1">
      <c r="O2786" s="57"/>
      <c r="P2786" s="57"/>
      <c r="AO2786" s="57"/>
      <c r="AP2786" s="57"/>
      <c r="BA2786" s="57"/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e">
        <f>VLOOKUP(H2786,Sheet2!$A$1:$B$270,2,FALSE)</f>
        <v>#N/A</v>
      </c>
    </row>
    <row r="2787" spans="15:61" hidden="1">
      <c r="O2787" s="57"/>
      <c r="P2787" s="57"/>
      <c r="AO2787" s="57"/>
      <c r="BA2787" s="57"/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e">
        <f>VLOOKUP(H2787,Sheet2!$A$1:$B$270,2,FALSE)</f>
        <v>#N/A</v>
      </c>
    </row>
    <row r="2788" spans="15:61" hidden="1">
      <c r="O2788" s="57"/>
      <c r="P2788" s="57"/>
      <c r="AO2788" s="57"/>
      <c r="AP2788" s="57"/>
      <c r="BA2788" s="57"/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e">
        <f>VLOOKUP(H2788,Sheet2!$A$1:$B$270,2,FALSE)</f>
        <v>#N/A</v>
      </c>
    </row>
    <row r="2789" spans="15:61" hidden="1">
      <c r="O2789" s="57"/>
      <c r="P2789" s="57"/>
      <c r="AO2789" s="57"/>
      <c r="AP2789" s="57"/>
      <c r="BA2789" s="57"/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e">
        <f>VLOOKUP(H2789,Sheet2!$A$1:$B$270,2,FALSE)</f>
        <v>#N/A</v>
      </c>
    </row>
    <row r="2790" spans="15:61" hidden="1">
      <c r="O2790" s="57"/>
      <c r="P2790" s="57"/>
      <c r="AO2790" s="57"/>
      <c r="AP2790" s="57"/>
      <c r="BA2790" s="57"/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e">
        <f>VLOOKUP(H2790,Sheet2!$A$1:$B$270,2,FALSE)</f>
        <v>#N/A</v>
      </c>
    </row>
    <row r="2791" spans="15:61" hidden="1">
      <c r="O2791" s="57"/>
      <c r="P2791" s="57"/>
      <c r="AO2791" s="57"/>
      <c r="AP2791" s="57"/>
      <c r="BA2791" s="57"/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e">
        <f>VLOOKUP(H2791,Sheet2!$A$1:$B$270,2,FALSE)</f>
        <v>#N/A</v>
      </c>
    </row>
    <row r="2792" spans="15:61" hidden="1">
      <c r="O2792" s="57"/>
      <c r="P2792" s="57"/>
      <c r="AO2792" s="57"/>
      <c r="AP2792" s="57"/>
      <c r="BA2792" s="57"/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e">
        <f>VLOOKUP(H2792,Sheet2!$A$1:$B$270,2,FALSE)</f>
        <v>#N/A</v>
      </c>
    </row>
    <row r="2793" spans="15:61" hidden="1">
      <c r="O2793" s="57"/>
      <c r="P2793" s="57"/>
      <c r="AO2793" s="57"/>
      <c r="AP2793" s="57"/>
      <c r="BA2793" s="57"/>
      <c r="BF2793" s="6" t="e">
        <f t="shared" si="129"/>
        <v>#NUM!</v>
      </c>
      <c r="BG2793" t="e">
        <f t="shared" si="130"/>
        <v>#NUM!</v>
      </c>
      <c r="BH2793" t="e">
        <f t="shared" si="131"/>
        <v>#NUM!</v>
      </c>
      <c r="BI2793" t="e">
        <f>VLOOKUP(H2793,Sheet2!$A$1:$B$270,2,FALSE)</f>
        <v>#N/A</v>
      </c>
    </row>
    <row r="2794" spans="15:61" hidden="1">
      <c r="O2794" s="57"/>
      <c r="P2794" s="57"/>
      <c r="AP2794" s="57"/>
      <c r="BA2794" s="57"/>
      <c r="BF2794" s="6" t="e">
        <f t="shared" si="129"/>
        <v>#NUM!</v>
      </c>
      <c r="BG2794" t="e">
        <f t="shared" si="130"/>
        <v>#NUM!</v>
      </c>
      <c r="BH2794" t="e">
        <f t="shared" si="131"/>
        <v>#NUM!</v>
      </c>
      <c r="BI2794" t="e">
        <f>VLOOKUP(H2794,Sheet2!$A$1:$B$270,2,FALSE)</f>
        <v>#N/A</v>
      </c>
    </row>
    <row r="2795" spans="15:61" hidden="1">
      <c r="O2795" s="57"/>
      <c r="P2795" s="57"/>
      <c r="AP2795" s="57"/>
      <c r="BA2795" s="57"/>
      <c r="BF2795" s="6" t="e">
        <f t="shared" si="129"/>
        <v>#NUM!</v>
      </c>
      <c r="BG2795" t="e">
        <f t="shared" si="130"/>
        <v>#NUM!</v>
      </c>
      <c r="BH2795" t="e">
        <f t="shared" si="131"/>
        <v>#NUM!</v>
      </c>
      <c r="BI2795" t="e">
        <f>VLOOKUP(H2795,Sheet2!$A$1:$B$270,2,FALSE)</f>
        <v>#N/A</v>
      </c>
    </row>
    <row r="2796" spans="15:61" hidden="1">
      <c r="O2796" s="57"/>
      <c r="P2796" s="57"/>
      <c r="AP2796" s="57"/>
      <c r="BA2796" s="57"/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e">
        <f>VLOOKUP(H2796,Sheet2!$A$1:$B$270,2,FALSE)</f>
        <v>#N/A</v>
      </c>
    </row>
    <row r="2797" spans="15:61" hidden="1">
      <c r="O2797" s="57"/>
      <c r="P2797" s="57"/>
      <c r="AP2797" s="57"/>
      <c r="BA2797" s="57"/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e">
        <f>VLOOKUP(H2797,Sheet2!$A$1:$B$270,2,FALSE)</f>
        <v>#N/A</v>
      </c>
    </row>
    <row r="2798" spans="15:61" hidden="1">
      <c r="O2798" s="57"/>
      <c r="P2798" s="57"/>
      <c r="AP2798" s="57"/>
      <c r="BA2798" s="57"/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e">
        <f>VLOOKUP(H2798,Sheet2!$A$1:$B$270,2,FALSE)</f>
        <v>#N/A</v>
      </c>
    </row>
    <row r="2799" spans="15:61" hidden="1">
      <c r="O2799" s="57"/>
      <c r="P2799" s="57"/>
      <c r="AP2799" s="57"/>
      <c r="BA2799" s="57"/>
      <c r="BF2799" s="6" t="e">
        <f t="shared" si="129"/>
        <v>#NUM!</v>
      </c>
      <c r="BG2799" t="e">
        <f t="shared" si="130"/>
        <v>#NUM!</v>
      </c>
      <c r="BH2799" t="e">
        <f t="shared" si="131"/>
        <v>#NUM!</v>
      </c>
      <c r="BI2799" t="e">
        <f>VLOOKUP(H2799,Sheet2!$A$1:$B$270,2,FALSE)</f>
        <v>#N/A</v>
      </c>
    </row>
    <row r="2800" spans="15:61" hidden="1">
      <c r="O2800" s="57"/>
      <c r="P2800" s="57"/>
      <c r="AP2800" s="57"/>
      <c r="BA2800" s="57"/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e">
        <f>VLOOKUP(H2800,Sheet2!$A$1:$B$270,2,FALSE)</f>
        <v>#N/A</v>
      </c>
    </row>
    <row r="2801" spans="15:61" hidden="1">
      <c r="O2801" s="57"/>
      <c r="P2801" s="57"/>
      <c r="AP2801" s="57"/>
      <c r="BA2801" s="57"/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e">
        <f>VLOOKUP(H2801,Sheet2!$A$1:$B$270,2,FALSE)</f>
        <v>#N/A</v>
      </c>
    </row>
    <row r="2802" spans="15:61" hidden="1">
      <c r="O2802" s="57"/>
      <c r="P2802" s="57"/>
      <c r="AP2802" s="57"/>
      <c r="BA2802" s="57"/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e">
        <f>VLOOKUP(H2802,Sheet2!$A$1:$B$270,2,FALSE)</f>
        <v>#N/A</v>
      </c>
    </row>
    <row r="2803" spans="15:61" hidden="1">
      <c r="O2803" s="57"/>
      <c r="P2803" s="57"/>
      <c r="BA2803" s="57"/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e">
        <f>VLOOKUP(H2803,Sheet2!$A$1:$B$270,2,FALSE)</f>
        <v>#N/A</v>
      </c>
    </row>
    <row r="2804" spans="15:61" hidden="1">
      <c r="O2804" s="57"/>
      <c r="P2804" s="57"/>
      <c r="AP2804" s="57"/>
      <c r="BA2804" s="57"/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e">
        <f>VLOOKUP(H2804,Sheet2!$A$1:$B$270,2,FALSE)</f>
        <v>#N/A</v>
      </c>
    </row>
    <row r="2805" spans="15:61" hidden="1">
      <c r="O2805" s="57"/>
      <c r="P2805" s="57"/>
      <c r="AP2805" s="57"/>
      <c r="BA2805" s="57"/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e">
        <f>VLOOKUP(H2805,Sheet2!$A$1:$B$270,2,FALSE)</f>
        <v>#N/A</v>
      </c>
    </row>
    <row r="2806" spans="15:61" hidden="1">
      <c r="O2806" s="57"/>
      <c r="P2806" s="57"/>
      <c r="BA2806" s="57"/>
      <c r="BF2806" s="6" t="e">
        <f t="shared" si="129"/>
        <v>#NUM!</v>
      </c>
      <c r="BG2806" t="e">
        <f t="shared" si="130"/>
        <v>#NUM!</v>
      </c>
      <c r="BH2806" t="e">
        <f t="shared" si="131"/>
        <v>#NUM!</v>
      </c>
      <c r="BI2806" t="e">
        <f>VLOOKUP(H2806,Sheet2!$A$1:$B$270,2,FALSE)</f>
        <v>#N/A</v>
      </c>
    </row>
    <row r="2807" spans="15:61" hidden="1">
      <c r="O2807" s="57"/>
      <c r="P2807" s="57"/>
      <c r="BA2807" s="57"/>
      <c r="BF2807" s="6" t="e">
        <f t="shared" si="129"/>
        <v>#NUM!</v>
      </c>
      <c r="BG2807" t="e">
        <f t="shared" si="130"/>
        <v>#NUM!</v>
      </c>
      <c r="BH2807" t="e">
        <f t="shared" si="131"/>
        <v>#NUM!</v>
      </c>
      <c r="BI2807" t="e">
        <f>VLOOKUP(H2807,Sheet2!$A$1:$B$270,2,FALSE)</f>
        <v>#N/A</v>
      </c>
    </row>
    <row r="2808" spans="15:61" hidden="1">
      <c r="O2808" s="57"/>
      <c r="P2808" s="57"/>
      <c r="AP2808" s="57"/>
      <c r="BA2808" s="57"/>
      <c r="BF2808" s="6" t="e">
        <f t="shared" si="129"/>
        <v>#NUM!</v>
      </c>
      <c r="BG2808" t="e">
        <f t="shared" si="130"/>
        <v>#NUM!</v>
      </c>
      <c r="BH2808" t="e">
        <f t="shared" si="131"/>
        <v>#NUM!</v>
      </c>
      <c r="BI2808" t="e">
        <f>VLOOKUP(H2808,Sheet2!$A$1:$B$270,2,FALSE)</f>
        <v>#N/A</v>
      </c>
    </row>
    <row r="2809" spans="15:61" hidden="1">
      <c r="O2809" s="57"/>
      <c r="P2809" s="57"/>
      <c r="AP2809" s="57"/>
      <c r="BA2809" s="57"/>
      <c r="BF2809" s="6" t="e">
        <f t="shared" si="129"/>
        <v>#NUM!</v>
      </c>
      <c r="BG2809" t="e">
        <f t="shared" si="130"/>
        <v>#NUM!</v>
      </c>
      <c r="BH2809" t="e">
        <f t="shared" si="131"/>
        <v>#NUM!</v>
      </c>
      <c r="BI2809" t="e">
        <f>VLOOKUP(H2809,Sheet2!$A$1:$B$270,2,FALSE)</f>
        <v>#N/A</v>
      </c>
    </row>
    <row r="2810" spans="15:61" hidden="1">
      <c r="O2810" s="57"/>
      <c r="P2810" s="57"/>
      <c r="AO2810" s="57"/>
      <c r="AP2810" s="57"/>
      <c r="BA2810" s="57"/>
      <c r="BF2810" s="6" t="e">
        <f t="shared" si="129"/>
        <v>#NUM!</v>
      </c>
      <c r="BG2810" t="e">
        <f t="shared" si="130"/>
        <v>#NUM!</v>
      </c>
      <c r="BH2810" t="e">
        <f t="shared" si="131"/>
        <v>#NUM!</v>
      </c>
      <c r="BI2810" t="e">
        <f>VLOOKUP(H2810,Sheet2!$A$1:$B$270,2,FALSE)</f>
        <v>#N/A</v>
      </c>
    </row>
    <row r="2811" spans="15:61" hidden="1">
      <c r="O2811" s="57"/>
      <c r="P2811" s="57"/>
      <c r="AO2811" s="57"/>
      <c r="AP2811" s="57"/>
      <c r="BA2811" s="57"/>
      <c r="BF2811" s="6" t="e">
        <f t="shared" si="129"/>
        <v>#NUM!</v>
      </c>
      <c r="BG2811" t="e">
        <f t="shared" si="130"/>
        <v>#NUM!</v>
      </c>
      <c r="BH2811" t="e">
        <f t="shared" si="131"/>
        <v>#NUM!</v>
      </c>
      <c r="BI2811" t="e">
        <f>VLOOKUP(H2811,Sheet2!$A$1:$B$270,2,FALSE)</f>
        <v>#N/A</v>
      </c>
    </row>
    <row r="2812" spans="15:61" hidden="1">
      <c r="O2812" s="57"/>
      <c r="P2812" s="57"/>
      <c r="BA2812" s="57"/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e">
        <f>VLOOKUP(H2812,Sheet2!$A$1:$B$270,2,FALSE)</f>
        <v>#N/A</v>
      </c>
    </row>
    <row r="2813" spans="15:61" hidden="1">
      <c r="O2813" s="57"/>
      <c r="P2813" s="57"/>
      <c r="AO2813" s="57"/>
      <c r="AP2813" s="57"/>
      <c r="BA2813" s="57"/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e">
        <f>VLOOKUP(H2813,Sheet2!$A$1:$B$270,2,FALSE)</f>
        <v>#N/A</v>
      </c>
    </row>
    <row r="2814" spans="15:61" hidden="1">
      <c r="O2814" s="57"/>
      <c r="P2814" s="57"/>
      <c r="AO2814" s="57"/>
      <c r="AP2814" s="57"/>
      <c r="BA2814" s="57"/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e">
        <f>VLOOKUP(H2814,Sheet2!$A$1:$B$270,2,FALSE)</f>
        <v>#N/A</v>
      </c>
    </row>
    <row r="2815" spans="15:61" hidden="1">
      <c r="O2815" s="57"/>
      <c r="P2815" s="57"/>
      <c r="AO2815" s="57"/>
      <c r="AP2815" s="57"/>
      <c r="BA2815" s="57"/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e">
        <f>VLOOKUP(H2815,Sheet2!$A$1:$B$270,2,FALSE)</f>
        <v>#N/A</v>
      </c>
    </row>
    <row r="2816" spans="15:61" hidden="1">
      <c r="O2816" s="57"/>
      <c r="P2816" s="57"/>
      <c r="AO2816" s="57"/>
      <c r="AP2816" s="57"/>
      <c r="BA2816" s="57"/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e">
        <f>VLOOKUP(H2816,Sheet2!$A$1:$B$270,2,FALSE)</f>
        <v>#N/A</v>
      </c>
    </row>
    <row r="2817" spans="15:61" hidden="1">
      <c r="O2817" s="57"/>
      <c r="P2817" s="57"/>
      <c r="AO2817" s="57"/>
      <c r="BA2817" s="57"/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e">
        <f>VLOOKUP(H2817,Sheet2!$A$1:$B$270,2,FALSE)</f>
        <v>#N/A</v>
      </c>
    </row>
    <row r="2818" spans="15:61" hidden="1">
      <c r="O2818" s="57"/>
      <c r="P2818" s="57"/>
      <c r="AO2818" s="57"/>
      <c r="AP2818" s="57"/>
      <c r="BA2818" s="57"/>
      <c r="BF2818" s="6" t="e">
        <f t="shared" ref="BF2818:BF2881" si="132">DATE(BC2818,BD2818,BE2818)</f>
        <v>#NUM!</v>
      </c>
      <c r="BG2818" t="e">
        <f t="shared" ref="BG2818:BG2881" si="133">BF2818-BA2818</f>
        <v>#NUM!</v>
      </c>
      <c r="BH2818" t="e">
        <f t="shared" ref="BH2818:BH2881" si="134">IF(BG2818=1,"COMPLY",IF(BG2818&lt;1,"COMPLY","NOT COMPLY"))</f>
        <v>#NUM!</v>
      </c>
      <c r="BI2818" t="e">
        <f>VLOOKUP(H2818,Sheet2!$A$1:$B$270,2,FALSE)</f>
        <v>#N/A</v>
      </c>
    </row>
    <row r="2819" spans="15:61" hidden="1">
      <c r="O2819" s="57"/>
      <c r="P2819" s="57"/>
      <c r="BA2819" s="57"/>
      <c r="BF2819" s="6" t="e">
        <f t="shared" si="132"/>
        <v>#NUM!</v>
      </c>
      <c r="BG2819" t="e">
        <f t="shared" si="133"/>
        <v>#NUM!</v>
      </c>
      <c r="BH2819" t="e">
        <f t="shared" si="134"/>
        <v>#NUM!</v>
      </c>
      <c r="BI2819" t="e">
        <f>VLOOKUP(H2819,Sheet2!$A$1:$B$270,2,FALSE)</f>
        <v>#N/A</v>
      </c>
    </row>
    <row r="2820" spans="15:61" hidden="1">
      <c r="O2820" s="57"/>
      <c r="P2820" s="57"/>
      <c r="AP2820" s="57"/>
      <c r="BA2820" s="57"/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e">
        <f>VLOOKUP(H2820,Sheet2!$A$1:$B$270,2,FALSE)</f>
        <v>#N/A</v>
      </c>
    </row>
    <row r="2821" spans="15:61" hidden="1">
      <c r="O2821" s="57"/>
      <c r="P2821" s="57"/>
      <c r="AP2821" s="57"/>
      <c r="BA2821" s="57"/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e">
        <f>VLOOKUP(H2821,Sheet2!$A$1:$B$270,2,FALSE)</f>
        <v>#N/A</v>
      </c>
    </row>
    <row r="2822" spans="15:61" hidden="1">
      <c r="O2822" s="57"/>
      <c r="P2822" s="57"/>
      <c r="AP2822" s="57"/>
      <c r="BA2822" s="57"/>
      <c r="BF2822" s="6" t="e">
        <f t="shared" si="132"/>
        <v>#NUM!</v>
      </c>
      <c r="BG2822" t="e">
        <f t="shared" si="133"/>
        <v>#NUM!</v>
      </c>
      <c r="BH2822" t="e">
        <f t="shared" si="134"/>
        <v>#NUM!</v>
      </c>
      <c r="BI2822" t="e">
        <f>VLOOKUP(H2822,Sheet2!$A$1:$B$270,2,FALSE)</f>
        <v>#N/A</v>
      </c>
    </row>
    <row r="2823" spans="15:61" hidden="1">
      <c r="O2823" s="57"/>
      <c r="P2823" s="57"/>
      <c r="AP2823" s="57"/>
      <c r="BA2823" s="57"/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e">
        <f>VLOOKUP(H2823,Sheet2!$A$1:$B$270,2,FALSE)</f>
        <v>#N/A</v>
      </c>
    </row>
    <row r="2824" spans="15:61" hidden="1">
      <c r="O2824" s="57"/>
      <c r="P2824" s="57"/>
      <c r="AP2824" s="57"/>
      <c r="BA2824" s="57"/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e">
        <f>VLOOKUP(H2824,Sheet2!$A$1:$B$270,2,FALSE)</f>
        <v>#N/A</v>
      </c>
    </row>
    <row r="2825" spans="15:61" hidden="1">
      <c r="O2825" s="57"/>
      <c r="P2825" s="57"/>
      <c r="AP2825" s="57"/>
      <c r="BA2825" s="57"/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e">
        <f>VLOOKUP(H2825,Sheet2!$A$1:$B$270,2,FALSE)</f>
        <v>#N/A</v>
      </c>
    </row>
    <row r="2826" spans="15:61" hidden="1">
      <c r="O2826" s="57"/>
      <c r="P2826" s="57"/>
      <c r="AP2826" s="57"/>
      <c r="BA2826" s="57"/>
      <c r="BF2826" s="6" t="e">
        <f t="shared" si="132"/>
        <v>#NUM!</v>
      </c>
      <c r="BG2826" t="e">
        <f t="shared" si="133"/>
        <v>#NUM!</v>
      </c>
      <c r="BH2826" t="e">
        <f t="shared" si="134"/>
        <v>#NUM!</v>
      </c>
      <c r="BI2826" t="e">
        <f>VLOOKUP(H2826,Sheet2!$A$1:$B$270,2,FALSE)</f>
        <v>#N/A</v>
      </c>
    </row>
    <row r="2827" spans="15:61" hidden="1">
      <c r="O2827" s="57"/>
      <c r="P2827" s="57"/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e">
        <f>VLOOKUP(H2827,Sheet2!$A$1:$B$270,2,FALSE)</f>
        <v>#N/A</v>
      </c>
    </row>
    <row r="2828" spans="15:61" hidden="1">
      <c r="O2828" s="57"/>
      <c r="P2828" s="57"/>
      <c r="AO2828" s="57"/>
      <c r="AP2828" s="57"/>
      <c r="BA2828" s="57"/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e">
        <f>VLOOKUP(H2828,Sheet2!$A$1:$B$270,2,FALSE)</f>
        <v>#N/A</v>
      </c>
    </row>
    <row r="2829" spans="15:61" hidden="1">
      <c r="O2829" s="57"/>
      <c r="P2829" s="57"/>
      <c r="AO2829" s="57"/>
      <c r="AP2829" s="57"/>
      <c r="BA2829" s="57"/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e">
        <f>VLOOKUP(H2829,Sheet2!$A$1:$B$270,2,FALSE)</f>
        <v>#N/A</v>
      </c>
    </row>
    <row r="2830" spans="15:61" hidden="1">
      <c r="O2830" s="57"/>
      <c r="P2830" s="57"/>
      <c r="AO2830" s="57"/>
      <c r="AP2830" s="57"/>
      <c r="BA2830" s="57"/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e">
        <f>VLOOKUP(H2830,Sheet2!$A$1:$B$270,2,FALSE)</f>
        <v>#N/A</v>
      </c>
    </row>
    <row r="2831" spans="15:61" hidden="1">
      <c r="O2831" s="57"/>
      <c r="P2831" s="57"/>
      <c r="BA2831" s="57"/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e">
        <f>VLOOKUP(H2831,Sheet2!$A$1:$B$270,2,FALSE)</f>
        <v>#N/A</v>
      </c>
    </row>
    <row r="2832" spans="15:61" hidden="1">
      <c r="O2832" s="57"/>
      <c r="P2832" s="57"/>
      <c r="AP2832" s="57"/>
      <c r="BA2832" s="57"/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e">
        <f>VLOOKUP(H2832,Sheet2!$A$1:$B$270,2,FALSE)</f>
        <v>#N/A</v>
      </c>
    </row>
    <row r="2833" spans="15:61" hidden="1">
      <c r="O2833" s="57"/>
      <c r="P2833" s="57"/>
      <c r="AP2833" s="57"/>
      <c r="BA2833" s="57"/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e">
        <f>VLOOKUP(H2833,Sheet2!$A$1:$B$270,2,FALSE)</f>
        <v>#N/A</v>
      </c>
    </row>
    <row r="2834" spans="15:61" hidden="1">
      <c r="O2834" s="57"/>
      <c r="P2834" s="57"/>
      <c r="AP2834" s="57"/>
      <c r="BA2834" s="57"/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e">
        <f>VLOOKUP(H2834,Sheet2!$A$1:$B$270,2,FALSE)</f>
        <v>#N/A</v>
      </c>
    </row>
    <row r="2835" spans="15:61" hidden="1">
      <c r="O2835" s="57"/>
      <c r="P2835" s="57"/>
      <c r="AO2835" s="57"/>
      <c r="AP2835" s="57"/>
      <c r="BA2835" s="57"/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e">
        <f>VLOOKUP(H2835,Sheet2!$A$1:$B$270,2,FALSE)</f>
        <v>#N/A</v>
      </c>
    </row>
    <row r="2836" spans="15:61" hidden="1">
      <c r="O2836" s="57"/>
      <c r="P2836" s="57"/>
      <c r="AO2836" s="57"/>
      <c r="AP2836" s="57"/>
      <c r="BA2836" s="57"/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e">
        <f>VLOOKUP(H2836,Sheet2!$A$1:$B$270,2,FALSE)</f>
        <v>#N/A</v>
      </c>
    </row>
    <row r="2837" spans="15:61" hidden="1">
      <c r="O2837" s="57"/>
      <c r="P2837" s="57"/>
      <c r="BA2837" s="57"/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e">
        <f>VLOOKUP(H2837,Sheet2!$A$1:$B$270,2,FALSE)</f>
        <v>#N/A</v>
      </c>
    </row>
    <row r="2838" spans="15:61" hidden="1">
      <c r="O2838" s="57"/>
      <c r="P2838" s="57"/>
      <c r="BA2838" s="57"/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5:61" hidden="1">
      <c r="O2839" s="57"/>
      <c r="P2839" s="57"/>
      <c r="AP2839" s="57"/>
      <c r="BA2839" s="57"/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5:61" hidden="1">
      <c r="O2840" s="57"/>
      <c r="P2840" s="57"/>
      <c r="AP2840" s="57"/>
      <c r="BA2840" s="57"/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e">
        <f>VLOOKUP(H2840,Sheet2!$A$1:$B$270,2,FALSE)</f>
        <v>#N/A</v>
      </c>
    </row>
    <row r="2841" spans="15:61" hidden="1">
      <c r="O2841" s="57"/>
      <c r="P2841" s="57"/>
      <c r="AP2841" s="57"/>
      <c r="BA2841" s="57"/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e">
        <f>VLOOKUP(H2841,Sheet2!$A$1:$B$270,2,FALSE)</f>
        <v>#N/A</v>
      </c>
    </row>
    <row r="2842" spans="15:61" hidden="1">
      <c r="O2842" s="57"/>
      <c r="P2842" s="57"/>
      <c r="AP2842" s="57"/>
      <c r="BA2842" s="57"/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e">
        <f>VLOOKUP(H2842,Sheet2!$A$1:$B$270,2,FALSE)</f>
        <v>#N/A</v>
      </c>
    </row>
    <row r="2843" spans="15:61" hidden="1">
      <c r="O2843" s="57"/>
      <c r="P2843" s="57"/>
      <c r="BA2843" s="57"/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e">
        <f>VLOOKUP(H2843,Sheet2!$A$1:$B$270,2,FALSE)</f>
        <v>#N/A</v>
      </c>
    </row>
    <row r="2844" spans="15:61" hidden="1">
      <c r="O2844" s="57"/>
      <c r="P2844" s="57"/>
      <c r="AP2844" s="57"/>
      <c r="BA2844" s="57"/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5:61" hidden="1">
      <c r="O2845" s="57"/>
      <c r="P2845" s="57"/>
      <c r="AP2845" s="57"/>
      <c r="BA2845" s="57"/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e">
        <f>VLOOKUP(H2845,Sheet2!$A$1:$B$270,2,FALSE)</f>
        <v>#N/A</v>
      </c>
    </row>
    <row r="2846" spans="15:61" hidden="1">
      <c r="O2846" s="57"/>
      <c r="P2846" s="57"/>
      <c r="AP2846" s="57"/>
      <c r="BA2846" s="57"/>
      <c r="BF2846" s="6" t="e">
        <f t="shared" si="132"/>
        <v>#NUM!</v>
      </c>
      <c r="BG2846" t="e">
        <f t="shared" si="133"/>
        <v>#NUM!</v>
      </c>
      <c r="BH2846" t="e">
        <f t="shared" si="134"/>
        <v>#NUM!</v>
      </c>
      <c r="BI2846" t="e">
        <f>VLOOKUP(H2846,Sheet2!$A$1:$B$270,2,FALSE)</f>
        <v>#N/A</v>
      </c>
    </row>
    <row r="2847" spans="15:61" hidden="1">
      <c r="O2847" s="57"/>
      <c r="P2847" s="57"/>
      <c r="AP2847" s="57"/>
      <c r="BA2847" s="57"/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e">
        <f>VLOOKUP(H2847,Sheet2!$A$1:$B$270,2,FALSE)</f>
        <v>#N/A</v>
      </c>
    </row>
    <row r="2848" spans="15:61" hidden="1">
      <c r="O2848" s="57"/>
      <c r="P2848" s="57"/>
      <c r="AO2848" s="57"/>
      <c r="AP2848" s="57"/>
      <c r="BA2848" s="57"/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e">
        <f>VLOOKUP(H2848,Sheet2!$A$1:$B$270,2,FALSE)</f>
        <v>#N/A</v>
      </c>
    </row>
    <row r="2849" spans="15:61" hidden="1">
      <c r="O2849" s="57"/>
      <c r="P2849" s="57"/>
      <c r="AP2849" s="57"/>
      <c r="BA2849" s="57"/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e">
        <f>VLOOKUP(H2849,Sheet2!$A$1:$B$270,2,FALSE)</f>
        <v>#N/A</v>
      </c>
    </row>
    <row r="2850" spans="15:61" hidden="1">
      <c r="O2850" s="57"/>
      <c r="P2850" s="57"/>
      <c r="AP2850" s="57"/>
      <c r="BA2850" s="57"/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e">
        <f>VLOOKUP(H2850,Sheet2!$A$1:$B$270,2,FALSE)</f>
        <v>#N/A</v>
      </c>
    </row>
    <row r="2851" spans="15:61" hidden="1">
      <c r="O2851" s="57"/>
      <c r="P2851" s="57"/>
      <c r="BA2851" s="57"/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e">
        <f>VLOOKUP(H2851,Sheet2!$A$1:$B$270,2,FALSE)</f>
        <v>#N/A</v>
      </c>
    </row>
    <row r="2852" spans="15:61" hidden="1">
      <c r="O2852" s="57"/>
      <c r="P2852" s="57"/>
      <c r="AP2852" s="57"/>
      <c r="BA2852" s="57"/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e">
        <f>VLOOKUP(H2852,Sheet2!$A$1:$B$270,2,FALSE)</f>
        <v>#N/A</v>
      </c>
    </row>
    <row r="2853" spans="15:61" hidden="1">
      <c r="O2853" s="57"/>
      <c r="P2853" s="57"/>
      <c r="AO2853" s="57"/>
      <c r="BA2853" s="57"/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e">
        <f>VLOOKUP(H2853,Sheet2!$A$1:$B$270,2,FALSE)</f>
        <v>#N/A</v>
      </c>
    </row>
    <row r="2854" spans="15:61" hidden="1">
      <c r="O2854" s="57"/>
      <c r="P2854" s="57"/>
      <c r="AO2854" s="57"/>
      <c r="BA2854" s="57"/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e">
        <f>VLOOKUP(H2854,Sheet2!$A$1:$B$270,2,FALSE)</f>
        <v>#N/A</v>
      </c>
    </row>
    <row r="2855" spans="15:61" hidden="1">
      <c r="O2855" s="57"/>
      <c r="P2855" s="57"/>
      <c r="AP2855" s="57"/>
      <c r="BA2855" s="57"/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e">
        <f>VLOOKUP(H2855,Sheet2!$A$1:$B$270,2,FALSE)</f>
        <v>#N/A</v>
      </c>
    </row>
    <row r="2856" spans="15:61" hidden="1">
      <c r="O2856" s="57"/>
      <c r="P2856" s="57"/>
      <c r="AP2856" s="57"/>
      <c r="BA2856" s="57"/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e">
        <f>VLOOKUP(H2856,Sheet2!$A$1:$B$270,2,FALSE)</f>
        <v>#N/A</v>
      </c>
    </row>
    <row r="2857" spans="15:61" hidden="1">
      <c r="O2857" s="57"/>
      <c r="P2857" s="57"/>
      <c r="AO2857" s="57"/>
      <c r="BA2857" s="57"/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e">
        <f>VLOOKUP(H2857,Sheet2!$A$1:$B$270,2,FALSE)</f>
        <v>#N/A</v>
      </c>
    </row>
    <row r="2858" spans="15:61" hidden="1">
      <c r="O2858" s="57"/>
      <c r="P2858" s="57"/>
      <c r="AO2858" s="57"/>
      <c r="BA2858" s="57"/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e">
        <f>VLOOKUP(H2858,Sheet2!$A$1:$B$270,2,FALSE)</f>
        <v>#N/A</v>
      </c>
    </row>
    <row r="2859" spans="15:61" hidden="1">
      <c r="O2859" s="57"/>
      <c r="P2859" s="57"/>
      <c r="AO2859" s="57"/>
      <c r="AP2859" s="57"/>
      <c r="BA2859" s="57"/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e">
        <f>VLOOKUP(H2859,Sheet2!$A$1:$B$270,2,FALSE)</f>
        <v>#N/A</v>
      </c>
    </row>
    <row r="2860" spans="15:61" hidden="1">
      <c r="O2860" s="57"/>
      <c r="P2860" s="57"/>
      <c r="AO2860" s="57"/>
      <c r="BA2860" s="57"/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e">
        <f>VLOOKUP(H2860,Sheet2!$A$1:$B$270,2,FALSE)</f>
        <v>#N/A</v>
      </c>
    </row>
    <row r="2861" spans="15:61" hidden="1">
      <c r="O2861" s="57"/>
      <c r="P2861" s="57"/>
      <c r="AO2861" s="57"/>
      <c r="BA2861" s="57"/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e">
        <f>VLOOKUP(H2861,Sheet2!$A$1:$B$270,2,FALSE)</f>
        <v>#N/A</v>
      </c>
    </row>
    <row r="2862" spans="15:61" hidden="1">
      <c r="O2862" s="57"/>
      <c r="P2862" s="57"/>
      <c r="AO2862" s="57"/>
      <c r="BA2862" s="57"/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e">
        <f>VLOOKUP(H2862,Sheet2!$A$1:$B$270,2,FALSE)</f>
        <v>#N/A</v>
      </c>
    </row>
    <row r="2863" spans="15:61" hidden="1">
      <c r="O2863" s="57"/>
      <c r="P2863" s="57"/>
      <c r="AO2863" s="57"/>
      <c r="AP2863" s="57"/>
      <c r="BA2863" s="57"/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e">
        <f>VLOOKUP(H2863,Sheet2!$A$1:$B$270,2,FALSE)</f>
        <v>#N/A</v>
      </c>
    </row>
    <row r="2864" spans="15:61" hidden="1">
      <c r="O2864" s="57"/>
      <c r="P2864" s="57"/>
      <c r="AP2864" s="57"/>
      <c r="BA2864" s="57"/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e">
        <f>VLOOKUP(H2864,Sheet2!$A$1:$B$270,2,FALSE)</f>
        <v>#N/A</v>
      </c>
    </row>
    <row r="2865" spans="15:61" hidden="1">
      <c r="O2865" s="57"/>
      <c r="P2865" s="57"/>
      <c r="AP2865" s="57"/>
      <c r="BA2865" s="57"/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e">
        <f>VLOOKUP(H2865,Sheet2!$A$1:$B$270,2,FALSE)</f>
        <v>#N/A</v>
      </c>
    </row>
    <row r="2866" spans="15:61" hidden="1">
      <c r="O2866" s="57"/>
      <c r="P2866" s="57"/>
      <c r="AP2866" s="57"/>
      <c r="BA2866" s="57"/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e">
        <f>VLOOKUP(H2866,Sheet2!$A$1:$B$270,2,FALSE)</f>
        <v>#N/A</v>
      </c>
    </row>
    <row r="2867" spans="15:61" hidden="1">
      <c r="O2867" s="57"/>
      <c r="P2867" s="57"/>
      <c r="AP2867" s="57"/>
      <c r="BA2867" s="57"/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5:61" hidden="1">
      <c r="O2868" s="57"/>
      <c r="P2868" s="57"/>
      <c r="AP2868" s="57"/>
      <c r="BA2868" s="57"/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e">
        <f>VLOOKUP(H2868,Sheet2!$A$1:$B$270,2,FALSE)</f>
        <v>#N/A</v>
      </c>
    </row>
    <row r="2869" spans="15:61" hidden="1">
      <c r="O2869" s="57"/>
      <c r="P2869" s="57"/>
      <c r="AP2869" s="57"/>
      <c r="BA2869" s="57"/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e">
        <f>VLOOKUP(H2869,Sheet2!$A$1:$B$270,2,FALSE)</f>
        <v>#N/A</v>
      </c>
    </row>
    <row r="2870" spans="15:61" hidden="1">
      <c r="O2870" s="57"/>
      <c r="P2870" s="57"/>
      <c r="BA2870" s="57"/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e">
        <f>VLOOKUP(H2870,Sheet2!$A$1:$B$270,2,FALSE)</f>
        <v>#N/A</v>
      </c>
    </row>
    <row r="2871" spans="15:61" hidden="1">
      <c r="O2871" s="57"/>
      <c r="P2871" s="57"/>
      <c r="AM2871" s="58"/>
      <c r="BA2871" s="57"/>
      <c r="BB2871" s="58"/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e">
        <f>VLOOKUP(H2871,Sheet2!$A$1:$B$270,2,FALSE)</f>
        <v>#N/A</v>
      </c>
    </row>
    <row r="2872" spans="15:61" hidden="1">
      <c r="O2872" s="57"/>
      <c r="P2872" s="57"/>
      <c r="AO2872" s="57"/>
      <c r="BA2872" s="57"/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e">
        <f>VLOOKUP(H2872,Sheet2!$A$1:$B$270,2,FALSE)</f>
        <v>#N/A</v>
      </c>
    </row>
    <row r="2873" spans="15:61" hidden="1">
      <c r="O2873" s="57"/>
      <c r="P2873" s="57"/>
      <c r="AP2873" s="57"/>
      <c r="BA2873" s="57"/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e">
        <f>VLOOKUP(H2873,Sheet2!$A$1:$B$270,2,FALSE)</f>
        <v>#N/A</v>
      </c>
    </row>
    <row r="2874" spans="15:61" hidden="1">
      <c r="O2874" s="57"/>
      <c r="P2874" s="57"/>
      <c r="AP2874" s="57"/>
      <c r="BA2874" s="57"/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e">
        <f>VLOOKUP(H2874,Sheet2!$A$1:$B$270,2,FALSE)</f>
        <v>#N/A</v>
      </c>
    </row>
    <row r="2875" spans="15:61" hidden="1">
      <c r="O2875" s="57"/>
      <c r="P2875" s="57"/>
      <c r="AP2875" s="57"/>
      <c r="BA2875" s="57"/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e">
        <f>VLOOKUP(H2875,Sheet2!$A$1:$B$270,2,FALSE)</f>
        <v>#N/A</v>
      </c>
    </row>
    <row r="2876" spans="15:61" hidden="1">
      <c r="O2876" s="57"/>
      <c r="P2876" s="57"/>
      <c r="AP2876" s="57"/>
      <c r="BA2876" s="57"/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e">
        <f>VLOOKUP(H2876,Sheet2!$A$1:$B$270,2,FALSE)</f>
        <v>#N/A</v>
      </c>
    </row>
    <row r="2877" spans="15:61" hidden="1">
      <c r="O2877" s="57"/>
      <c r="P2877" s="57"/>
      <c r="AP2877" s="57"/>
      <c r="BA2877" s="57"/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e">
        <f>VLOOKUP(H2877,Sheet2!$A$1:$B$270,2,FALSE)</f>
        <v>#N/A</v>
      </c>
    </row>
    <row r="2878" spans="15:61" hidden="1">
      <c r="O2878" s="57"/>
      <c r="P2878" s="57"/>
      <c r="AO2878" s="57"/>
      <c r="AP2878" s="57"/>
      <c r="BA2878" s="57"/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e">
        <f>VLOOKUP(H2878,Sheet2!$A$1:$B$270,2,FALSE)</f>
        <v>#N/A</v>
      </c>
    </row>
    <row r="2879" spans="15:61" hidden="1">
      <c r="O2879" s="57"/>
      <c r="P2879" s="57"/>
      <c r="AO2879" s="57"/>
      <c r="BA2879" s="57"/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e">
        <f>VLOOKUP(H2879,Sheet2!$A$1:$B$270,2,FALSE)</f>
        <v>#N/A</v>
      </c>
    </row>
    <row r="2880" spans="15:61" hidden="1">
      <c r="O2880" s="57"/>
      <c r="P2880" s="57"/>
      <c r="AO2880" s="57"/>
      <c r="AP2880" s="57"/>
      <c r="BA2880" s="57"/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e">
        <f>VLOOKUP(H2880,Sheet2!$A$1:$B$270,2,FALSE)</f>
        <v>#N/A</v>
      </c>
    </row>
    <row r="2881" spans="15:61" hidden="1">
      <c r="O2881" s="57"/>
      <c r="P2881" s="57"/>
      <c r="AO2881" s="57"/>
      <c r="AP2881" s="57"/>
      <c r="BA2881" s="57"/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e">
        <f>VLOOKUP(H2881,Sheet2!$A$1:$B$270,2,FALSE)</f>
        <v>#N/A</v>
      </c>
    </row>
    <row r="2882" spans="15:61" hidden="1">
      <c r="O2882" s="57"/>
      <c r="P2882" s="57"/>
      <c r="AO2882" s="57"/>
      <c r="AP2882" s="57"/>
      <c r="BA2882" s="57"/>
      <c r="BF2882" s="6" t="e">
        <f t="shared" ref="BF2882:BF2945" si="135">DATE(BC2882,BD2882,BE2882)</f>
        <v>#NUM!</v>
      </c>
      <c r="BG2882" t="e">
        <f t="shared" ref="BG2882:BG2945" si="136">BF2882-BA2882</f>
        <v>#NUM!</v>
      </c>
      <c r="BH2882" t="e">
        <f t="shared" ref="BH2882:BH2945" si="137">IF(BG2882=1,"COMPLY",IF(BG2882&lt;1,"COMPLY","NOT COMPLY"))</f>
        <v>#NUM!</v>
      </c>
      <c r="BI2882" t="e">
        <f>VLOOKUP(H2882,Sheet2!$A$1:$B$270,2,FALSE)</f>
        <v>#N/A</v>
      </c>
    </row>
    <row r="2883" spans="15:61" hidden="1">
      <c r="O2883" s="57"/>
      <c r="P2883" s="57"/>
      <c r="AO2883" s="57"/>
      <c r="AP2883" s="57"/>
      <c r="BA2883" s="57"/>
      <c r="BF2883" s="6" t="e">
        <f t="shared" si="135"/>
        <v>#NUM!</v>
      </c>
      <c r="BG2883" t="e">
        <f t="shared" si="136"/>
        <v>#NUM!</v>
      </c>
      <c r="BH2883" t="e">
        <f t="shared" si="137"/>
        <v>#NUM!</v>
      </c>
      <c r="BI2883" t="e">
        <f>VLOOKUP(H2883,Sheet2!$A$1:$B$270,2,FALSE)</f>
        <v>#N/A</v>
      </c>
    </row>
    <row r="2884" spans="15:61" hidden="1">
      <c r="O2884" s="57"/>
      <c r="P2884" s="57"/>
      <c r="AO2884" s="57"/>
      <c r="BA2884" s="57"/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e">
        <f>VLOOKUP(H2884,Sheet2!$A$1:$B$270,2,FALSE)</f>
        <v>#N/A</v>
      </c>
    </row>
    <row r="2885" spans="15:61" hidden="1">
      <c r="O2885" s="57"/>
      <c r="P2885" s="57"/>
      <c r="AO2885" s="57"/>
      <c r="AP2885" s="57"/>
      <c r="BA2885" s="57"/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e">
        <f>VLOOKUP(H2885,Sheet2!$A$1:$B$270,2,FALSE)</f>
        <v>#N/A</v>
      </c>
    </row>
    <row r="2886" spans="15:61" hidden="1">
      <c r="O2886" s="57"/>
      <c r="P2886" s="57"/>
      <c r="AP2886" s="57"/>
      <c r="BA2886" s="57"/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e">
        <f>VLOOKUP(H2886,Sheet2!$A$1:$B$270,2,FALSE)</f>
        <v>#N/A</v>
      </c>
    </row>
    <row r="2887" spans="15:61" hidden="1">
      <c r="O2887" s="57"/>
      <c r="P2887" s="57"/>
      <c r="AP2887" s="57"/>
      <c r="BA2887" s="57"/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e">
        <f>VLOOKUP(H2887,Sheet2!$A$1:$B$270,2,FALSE)</f>
        <v>#N/A</v>
      </c>
    </row>
    <row r="2888" spans="15:61" hidden="1">
      <c r="O2888" s="57"/>
      <c r="P2888" s="57"/>
      <c r="AP2888" s="57"/>
      <c r="BA2888" s="57"/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e">
        <f>VLOOKUP(H2888,Sheet2!$A$1:$B$270,2,FALSE)</f>
        <v>#N/A</v>
      </c>
    </row>
    <row r="2889" spans="15:61" hidden="1">
      <c r="O2889" s="57"/>
      <c r="P2889" s="57"/>
      <c r="AP2889" s="57"/>
      <c r="BA2889" s="57"/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e">
        <f>VLOOKUP(H2889,Sheet2!$A$1:$B$270,2,FALSE)</f>
        <v>#N/A</v>
      </c>
    </row>
    <row r="2890" spans="15:61" hidden="1">
      <c r="O2890" s="57"/>
      <c r="P2890" s="57"/>
      <c r="AP2890" s="57"/>
      <c r="BA2890" s="57"/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e">
        <f>VLOOKUP(H2890,Sheet2!$A$1:$B$270,2,FALSE)</f>
        <v>#N/A</v>
      </c>
    </row>
    <row r="2891" spans="15:61" hidden="1">
      <c r="O2891" s="57"/>
      <c r="P2891" s="57"/>
      <c r="AP2891" s="57"/>
      <c r="BA2891" s="57"/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e">
        <f>VLOOKUP(H2891,Sheet2!$A$1:$B$270,2,FALSE)</f>
        <v>#N/A</v>
      </c>
    </row>
    <row r="2892" spans="15:61" hidden="1">
      <c r="O2892" s="57"/>
      <c r="P2892" s="57"/>
      <c r="AP2892" s="57"/>
      <c r="BA2892" s="57"/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e">
        <f>VLOOKUP(H2892,Sheet2!$A$1:$B$270,2,FALSE)</f>
        <v>#N/A</v>
      </c>
    </row>
    <row r="2893" spans="15:61" hidden="1">
      <c r="O2893" s="57"/>
      <c r="P2893" s="57"/>
      <c r="AP2893" s="57"/>
      <c r="BA2893" s="57"/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5:61" hidden="1">
      <c r="O2894" s="57"/>
      <c r="P2894" s="57"/>
      <c r="AP2894" s="57"/>
      <c r="BA2894" s="57"/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5:61" hidden="1">
      <c r="O2895" s="57"/>
      <c r="P2895" s="57"/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5:61" hidden="1">
      <c r="O2896" s="57"/>
      <c r="P2896" s="57"/>
      <c r="AO2896" s="57"/>
      <c r="AP2896" s="57"/>
      <c r="BA2896" s="57"/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5:61" hidden="1">
      <c r="O2897" s="57"/>
      <c r="P2897" s="57"/>
      <c r="AO2897" s="57"/>
      <c r="BA2897" s="57"/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e">
        <f>VLOOKUP(H2897,Sheet2!$A$1:$B$270,2,FALSE)</f>
        <v>#N/A</v>
      </c>
    </row>
    <row r="2898" spans="15:61" hidden="1">
      <c r="O2898" s="57"/>
      <c r="P2898" s="57"/>
      <c r="AO2898" s="57"/>
      <c r="AP2898" s="57"/>
      <c r="BA2898" s="57"/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e">
        <f>VLOOKUP(H2898,Sheet2!$A$1:$B$270,2,FALSE)</f>
        <v>#N/A</v>
      </c>
    </row>
    <row r="2899" spans="15:61" hidden="1">
      <c r="O2899" s="57"/>
      <c r="P2899" s="57"/>
      <c r="AO2899" s="57"/>
      <c r="BA2899" s="57"/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e">
        <f>VLOOKUP(H2899,Sheet2!$A$1:$B$270,2,FALSE)</f>
        <v>#N/A</v>
      </c>
    </row>
    <row r="2900" spans="15:61" hidden="1">
      <c r="O2900" s="57"/>
      <c r="P2900" s="57"/>
      <c r="AO2900" s="57"/>
      <c r="AP2900" s="57"/>
      <c r="BA2900" s="57"/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e">
        <f>VLOOKUP(H2900,Sheet2!$A$1:$B$270,2,FALSE)</f>
        <v>#N/A</v>
      </c>
    </row>
    <row r="2901" spans="15:61" hidden="1">
      <c r="O2901" s="57"/>
      <c r="P2901" s="57"/>
      <c r="AO2901" s="57"/>
      <c r="BA2901" s="57"/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5:61" hidden="1">
      <c r="O2902" s="57"/>
      <c r="P2902" s="57"/>
      <c r="AO2902" s="57"/>
      <c r="BA2902" s="57"/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5:61" hidden="1">
      <c r="O2903" s="57"/>
      <c r="P2903" s="57"/>
      <c r="AO2903" s="57"/>
      <c r="BA2903" s="57"/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5:61" hidden="1">
      <c r="O2904" s="57"/>
      <c r="P2904" s="57"/>
      <c r="AO2904" s="57"/>
      <c r="AP2904" s="57"/>
      <c r="BA2904" s="57"/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5:61" hidden="1">
      <c r="O2905" s="57"/>
      <c r="P2905" s="57"/>
      <c r="AO2905" s="57"/>
      <c r="AP2905" s="57"/>
      <c r="BA2905" s="57"/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e">
        <f>VLOOKUP(H2905,Sheet2!$A$1:$B$270,2,FALSE)</f>
        <v>#N/A</v>
      </c>
    </row>
    <row r="2906" spans="15:61" hidden="1">
      <c r="O2906" s="57"/>
      <c r="P2906" s="57"/>
      <c r="AO2906" s="57"/>
      <c r="BA2906" s="57"/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e">
        <f>VLOOKUP(H2906,Sheet2!$A$1:$B$270,2,FALSE)</f>
        <v>#N/A</v>
      </c>
    </row>
    <row r="2907" spans="15:61" hidden="1">
      <c r="O2907" s="57"/>
      <c r="P2907" s="57"/>
      <c r="AO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5:61" hidden="1">
      <c r="O2908" s="57"/>
      <c r="P2908" s="57"/>
      <c r="BA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5:61" hidden="1">
      <c r="O2909" s="57"/>
      <c r="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5:61" hidden="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5:61" hidden="1">
      <c r="O2911" s="57"/>
      <c r="P2911" s="57"/>
      <c r="A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5:61" hidden="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 hidden="1">
      <c r="O2913" s="57"/>
      <c r="P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 hidden="1">
      <c r="O2914" s="57"/>
      <c r="P2914" s="57"/>
      <c r="AO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 hidden="1">
      <c r="O2915" s="57"/>
      <c r="P2915" s="57"/>
      <c r="AO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 hidden="1">
      <c r="O2916" s="57"/>
      <c r="P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 hidden="1">
      <c r="O2917" s="57"/>
      <c r="P2917" s="57"/>
      <c r="AO2917" s="57"/>
      <c r="A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 hidden="1">
      <c r="O2918" s="57"/>
      <c r="P2918" s="57"/>
      <c r="A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 hidden="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 hidden="1">
      <c r="O2920" s="57"/>
      <c r="P2920" s="57"/>
      <c r="AO2920" s="57"/>
      <c r="AP2920" s="57"/>
      <c r="BA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 hidden="1">
      <c r="O2921" s="57"/>
      <c r="P2921" s="57"/>
      <c r="A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 hidden="1">
      <c r="O2922" s="57"/>
      <c r="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 hidden="1">
      <c r="O2923" s="57"/>
      <c r="P2923" s="57"/>
      <c r="AO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 hidden="1">
      <c r="O2924" s="57"/>
      <c r="P2924" s="57"/>
      <c r="AO2924" s="57"/>
      <c r="AP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 hidden="1">
      <c r="O2925" s="57"/>
      <c r="P2925" s="57"/>
      <c r="AO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 hidden="1">
      <c r="O2926" s="57"/>
      <c r="P2926" s="57"/>
      <c r="AO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 hidden="1">
      <c r="O2927" s="57"/>
      <c r="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 hidden="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 hidden="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 hidden="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 hidden="1">
      <c r="O2931" s="57"/>
      <c r="P2931" s="57"/>
      <c r="A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 hidden="1">
      <c r="O2932" s="57"/>
      <c r="P2932" s="57"/>
      <c r="AP2932" s="57"/>
      <c r="BA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 hidden="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 hidden="1">
      <c r="O2934" s="57"/>
      <c r="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 hidden="1">
      <c r="O2935" s="57"/>
      <c r="P2935" s="57"/>
      <c r="A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 hidden="1">
      <c r="O2936" s="57"/>
      <c r="P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 hidden="1">
      <c r="O2937" s="57"/>
      <c r="P2937" s="57"/>
      <c r="AP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 hidden="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 hidden="1">
      <c r="O2939" s="57"/>
      <c r="P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 hidden="1">
      <c r="O2940" s="57"/>
      <c r="P2940" s="57"/>
      <c r="A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 hidden="1">
      <c r="O2941" s="57"/>
      <c r="P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 hidden="1">
      <c r="O2942" s="57"/>
      <c r="P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 hidden="1">
      <c r="O2943" s="57"/>
      <c r="P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 hidden="1">
      <c r="O2944" s="57"/>
      <c r="P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 hidden="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 hidden="1">
      <c r="O2946" s="57"/>
      <c r="P2946" s="57"/>
      <c r="AP2946" s="57"/>
      <c r="BA2946" s="57"/>
      <c r="BF2946" s="6" t="e">
        <f t="shared" ref="BF2946:BF3009" si="138">DATE(BC2946,BD2946,BE2946)</f>
        <v>#NUM!</v>
      </c>
      <c r="BG2946" t="e">
        <f t="shared" ref="BG2946:BG3009" si="139">BF2946-BA2946</f>
        <v>#NUM!</v>
      </c>
      <c r="BH2946" t="e">
        <f t="shared" ref="BH2946:BH3009" si="140">IF(BG2946=1,"COMPLY",IF(BG2946&lt;1,"COMPLY","NOT COMPLY"))</f>
        <v>#NUM!</v>
      </c>
      <c r="BI2946" t="e">
        <f>VLOOKUP(H2946,Sheet2!$A$1:$B$270,2,FALSE)</f>
        <v>#N/A</v>
      </c>
    </row>
    <row r="2947" spans="15:61" hidden="1">
      <c r="O2947" s="57"/>
      <c r="P2947" s="57"/>
      <c r="AP2947" s="57"/>
      <c r="BA2947" s="57"/>
      <c r="BF2947" s="6" t="e">
        <f t="shared" si="138"/>
        <v>#NUM!</v>
      </c>
      <c r="BG2947" t="e">
        <f t="shared" si="139"/>
        <v>#NUM!</v>
      </c>
      <c r="BH2947" t="e">
        <f t="shared" si="140"/>
        <v>#NUM!</v>
      </c>
      <c r="BI2947" t="e">
        <f>VLOOKUP(H2947,Sheet2!$A$1:$B$270,2,FALSE)</f>
        <v>#N/A</v>
      </c>
    </row>
    <row r="2948" spans="15:61" hidden="1">
      <c r="O2948" s="57"/>
      <c r="P2948" s="57"/>
      <c r="A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 hidden="1">
      <c r="O2949" s="57"/>
      <c r="P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 hidden="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 hidden="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 hidden="1">
      <c r="O2952" s="57"/>
      <c r="P2952" s="57"/>
      <c r="AO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 hidden="1">
      <c r="O2953" s="57"/>
      <c r="P2953" s="57"/>
      <c r="AO2953" s="57"/>
      <c r="AP2953" s="57"/>
      <c r="BA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 hidden="1">
      <c r="O2954" s="57"/>
      <c r="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 hidden="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 hidden="1">
      <c r="O2956" s="57"/>
      <c r="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 hidden="1">
      <c r="O2957" s="57"/>
      <c r="P2957" s="57"/>
      <c r="AO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 hidden="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 hidden="1">
      <c r="O2959" s="57"/>
      <c r="P2959" s="57"/>
      <c r="A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 hidden="1">
      <c r="O2960" s="57"/>
      <c r="P2960" s="57"/>
      <c r="A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 hidden="1">
      <c r="O2961" s="57"/>
      <c r="P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 hidden="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 hidden="1">
      <c r="O2963" s="57"/>
      <c r="P2963" s="57"/>
      <c r="AO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 hidden="1">
      <c r="O2964" s="57"/>
      <c r="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 hidden="1">
      <c r="O2965" s="57"/>
      <c r="P2965" s="57"/>
      <c r="AO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 hidden="1">
      <c r="O2966" s="57"/>
      <c r="P2966" s="57"/>
      <c r="AO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 hidden="1">
      <c r="O2967" s="57"/>
      <c r="P2967" s="57"/>
      <c r="AO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 hidden="1">
      <c r="O2968" s="57"/>
      <c r="P2968" s="57"/>
      <c r="AO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 hidden="1">
      <c r="O2969" s="57"/>
      <c r="P2969" s="57"/>
      <c r="AO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 hidden="1">
      <c r="O2970" s="57"/>
      <c r="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 hidden="1">
      <c r="O2971" s="57"/>
      <c r="P2971" s="57"/>
      <c r="A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 hidden="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 hidden="1">
      <c r="O2973" s="57"/>
      <c r="P2973" s="57"/>
      <c r="A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 hidden="1">
      <c r="O2974" s="57"/>
      <c r="P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 hidden="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 hidden="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 hidden="1">
      <c r="O2977" s="57"/>
      <c r="P2977" s="57"/>
      <c r="AO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 hidden="1">
      <c r="O2978" s="57"/>
      <c r="P2978" s="57"/>
      <c r="AO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 hidden="1">
      <c r="O2979" s="57"/>
      <c r="P2979" s="57"/>
      <c r="AO2979" s="57"/>
      <c r="AP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 hidden="1">
      <c r="O2980" s="57"/>
      <c r="P2980" s="57"/>
      <c r="AO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 hidden="1">
      <c r="O2981" s="57"/>
      <c r="P2981" s="57"/>
      <c r="AO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 hidden="1">
      <c r="O2982" s="57"/>
      <c r="P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 hidden="1">
      <c r="O2983" s="57"/>
      <c r="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 hidden="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 hidden="1">
      <c r="O2985" s="57"/>
      <c r="P2985" s="57"/>
      <c r="A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 hidden="1">
      <c r="O2986" s="57"/>
      <c r="P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 hidden="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 hidden="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 hidden="1">
      <c r="O2989" s="57"/>
      <c r="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 hidden="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 hidden="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 hidden="1">
      <c r="O2992" s="57"/>
      <c r="P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 hidden="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 hidden="1">
      <c r="O2994" s="57"/>
      <c r="P2994" s="57"/>
      <c r="A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 hidden="1">
      <c r="O2995" s="57"/>
      <c r="P2995" s="57"/>
      <c r="A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 hidden="1">
      <c r="O2996" s="57"/>
      <c r="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 hidden="1">
      <c r="O2997" s="57"/>
      <c r="P2997" s="57"/>
      <c r="AO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 hidden="1">
      <c r="O2998" s="57"/>
      <c r="P2998" s="57"/>
      <c r="AO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 hidden="1">
      <c r="O2999" s="57"/>
      <c r="P2999" s="57"/>
      <c r="AO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 hidden="1">
      <c r="O3000" s="57"/>
      <c r="P3000" s="57"/>
      <c r="AO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 hidden="1">
      <c r="O3001" s="57"/>
      <c r="P3001" s="57"/>
      <c r="AO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 hidden="1">
      <c r="O3002" s="57"/>
      <c r="P3002" s="57"/>
      <c r="AO3002" s="57"/>
      <c r="A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 hidden="1">
      <c r="O3003" s="57"/>
      <c r="P3003" s="57"/>
      <c r="AO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 hidden="1">
      <c r="O3004" s="57"/>
      <c r="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 hidden="1">
      <c r="O3005" s="57"/>
      <c r="P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 hidden="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 hidden="1">
      <c r="O3007" s="57"/>
      <c r="P3007" s="57"/>
      <c r="AO3007" s="57"/>
      <c r="BA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 hidden="1">
      <c r="O3008" s="57"/>
      <c r="P3008" s="57"/>
      <c r="AO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 hidden="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 hidden="1">
      <c r="O3010" s="57"/>
      <c r="P3010" s="57"/>
      <c r="AP3010" s="57"/>
      <c r="BA3010" s="57"/>
      <c r="BF3010" s="6" t="e">
        <f t="shared" ref="BF3010:BF3073" si="141">DATE(BC3010,BD3010,BE3010)</f>
        <v>#NUM!</v>
      </c>
      <c r="BG3010" t="e">
        <f t="shared" ref="BG3010:BG3073" si="142">BF3010-BA3010</f>
        <v>#NUM!</v>
      </c>
      <c r="BH3010" t="e">
        <f t="shared" ref="BH3010:BH3073" si="143">IF(BG3010=1,"COMPLY",IF(BG3010&lt;1,"COMPLY","NOT COMPLY"))</f>
        <v>#NUM!</v>
      </c>
      <c r="BI3010" t="e">
        <f>VLOOKUP(H3010,Sheet2!$A$1:$B$270,2,FALSE)</f>
        <v>#N/A</v>
      </c>
    </row>
    <row r="3011" spans="15:61" hidden="1">
      <c r="O3011" s="57"/>
      <c r="P3011" s="57"/>
      <c r="BA3011" s="57"/>
      <c r="BF3011" s="6" t="e">
        <f t="shared" si="141"/>
        <v>#NUM!</v>
      </c>
      <c r="BG3011" t="e">
        <f t="shared" si="142"/>
        <v>#NUM!</v>
      </c>
      <c r="BH3011" t="e">
        <f t="shared" si="143"/>
        <v>#NUM!</v>
      </c>
      <c r="BI3011" t="e">
        <f>VLOOKUP(H3011,Sheet2!$A$1:$B$270,2,FALSE)</f>
        <v>#N/A</v>
      </c>
    </row>
    <row r="3012" spans="15:61" hidden="1">
      <c r="O3012" s="57"/>
      <c r="P3012" s="57"/>
      <c r="A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 hidden="1">
      <c r="O3013" s="57"/>
      <c r="P3013" s="57"/>
      <c r="AO3013" s="57"/>
      <c r="AP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 hidden="1">
      <c r="O3014" s="57"/>
      <c r="P3014" s="57"/>
      <c r="AO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 hidden="1">
      <c r="O3015" s="57"/>
      <c r="P3015" s="57"/>
      <c r="AO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 hidden="1">
      <c r="O3016" s="57"/>
      <c r="P3016" s="57"/>
      <c r="AO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 hidden="1">
      <c r="O3017" s="57"/>
      <c r="P3017" s="57"/>
      <c r="AO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 hidden="1">
      <c r="O3018" s="57"/>
      <c r="P3018" s="57"/>
      <c r="AO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 hidden="1">
      <c r="O3019" s="57"/>
      <c r="P3019" s="57"/>
      <c r="AO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 hidden="1">
      <c r="O3020" s="57"/>
      <c r="P3020" s="57"/>
      <c r="AO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 hidden="1">
      <c r="O3021" s="57"/>
      <c r="P3021" s="57"/>
      <c r="AO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 hidden="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 hidden="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 hidden="1">
      <c r="O3024" s="57"/>
      <c r="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 hidden="1">
      <c r="O3025" s="57"/>
      <c r="P3025" s="57"/>
      <c r="A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 hidden="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 hidden="1">
      <c r="O3027" s="57"/>
      <c r="P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 hidden="1">
      <c r="O3028" s="57"/>
      <c r="P3028" s="57"/>
      <c r="A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 hidden="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 hidden="1">
      <c r="O3030" s="57"/>
      <c r="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 hidden="1">
      <c r="O3031" s="57"/>
      <c r="P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 hidden="1">
      <c r="O3032" s="57"/>
      <c r="P3032" s="57"/>
      <c r="A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 hidden="1">
      <c r="O3033" s="57"/>
      <c r="P3033" s="57"/>
      <c r="AP3033" s="57"/>
      <c r="BA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 hidden="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 hidden="1">
      <c r="O3035" s="57"/>
      <c r="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 hidden="1">
      <c r="O3036" s="57"/>
      <c r="P3036" s="57"/>
      <c r="A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 hidden="1">
      <c r="O3037" s="57"/>
      <c r="P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 hidden="1">
      <c r="O3038" s="57"/>
      <c r="P3038" s="57"/>
      <c r="A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 hidden="1">
      <c r="O3039" s="57"/>
      <c r="P3039" s="57"/>
      <c r="A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 hidden="1">
      <c r="O3040" s="57"/>
      <c r="P3040" s="57"/>
      <c r="AO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 hidden="1">
      <c r="O3041" s="57"/>
      <c r="P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 hidden="1">
      <c r="O3042" s="57"/>
      <c r="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 hidden="1">
      <c r="O3043" s="57"/>
      <c r="P3043" s="57"/>
      <c r="AO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 hidden="1">
      <c r="O3044" s="57"/>
      <c r="P3044" s="57"/>
      <c r="AO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 hidden="1">
      <c r="O3045" s="57"/>
      <c r="P3045" s="57"/>
      <c r="AO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 hidden="1">
      <c r="O3046" s="57"/>
      <c r="P3046" s="57"/>
      <c r="AO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 hidden="1">
      <c r="O3047" s="57"/>
      <c r="P3047" s="57"/>
      <c r="A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 hidden="1">
      <c r="O3048" s="57"/>
      <c r="P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 hidden="1">
      <c r="O3049" s="57"/>
      <c r="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 hidden="1">
      <c r="O3050" s="57"/>
      <c r="P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 hidden="1">
      <c r="O3051" s="57"/>
      <c r="P3051" s="57"/>
      <c r="AO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 hidden="1">
      <c r="O3052" s="57"/>
      <c r="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 hidden="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 hidden="1">
      <c r="O3054" s="57"/>
      <c r="P3054" s="57"/>
      <c r="A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 hidden="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 hidden="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 hidden="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 hidden="1">
      <c r="O3058" s="57"/>
      <c r="P3058" s="57"/>
      <c r="A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 hidden="1">
      <c r="O3059" s="57"/>
      <c r="P3059" s="57"/>
      <c r="AO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 hidden="1">
      <c r="O3060" s="57"/>
      <c r="P3060" s="57"/>
      <c r="AO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 hidden="1">
      <c r="O3061" s="57"/>
      <c r="P3061" s="57"/>
      <c r="AO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 hidden="1">
      <c r="O3062" s="57"/>
      <c r="P3062" s="57"/>
      <c r="AO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 hidden="1">
      <c r="O3063" s="57"/>
      <c r="P3063" s="57"/>
      <c r="A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 hidden="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 hidden="1">
      <c r="O3065" s="57"/>
      <c r="P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 hidden="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 hidden="1">
      <c r="O3067" s="57"/>
      <c r="P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 hidden="1">
      <c r="O3068" s="57"/>
      <c r="P3068" s="57"/>
      <c r="A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 hidden="1">
      <c r="O3069" s="57"/>
      <c r="P3069" s="57"/>
      <c r="A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 hidden="1">
      <c r="O3070" s="57"/>
      <c r="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 hidden="1">
      <c r="O3071" s="57"/>
      <c r="P3071" s="57"/>
      <c r="AP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 hidden="1">
      <c r="O3072" s="57"/>
      <c r="P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 hidden="1">
      <c r="O3073" s="57"/>
      <c r="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 hidden="1">
      <c r="O3074" s="57"/>
      <c r="P3074" s="57"/>
      <c r="AP3074" s="57"/>
      <c r="BA3074" s="57"/>
      <c r="BF3074" s="6" t="e">
        <f t="shared" ref="BF3074:BF3137" si="144">DATE(BC3074,BD3074,BE3074)</f>
        <v>#NUM!</v>
      </c>
      <c r="BG3074" t="e">
        <f t="shared" ref="BG3074:BG3137" si="145">BF3074-BA3074</f>
        <v>#NUM!</v>
      </c>
      <c r="BH3074" t="e">
        <f t="shared" ref="BH3074:BH3137" si="146">IF(BG3074=1,"COMPLY",IF(BG3074&lt;1,"COMPLY","NOT COMPLY"))</f>
        <v>#NUM!</v>
      </c>
      <c r="BI3074" t="e">
        <f>VLOOKUP(H3074,Sheet2!$A$1:$B$270,2,FALSE)</f>
        <v>#N/A</v>
      </c>
    </row>
    <row r="3075" spans="15:61" hidden="1">
      <c r="O3075" s="57"/>
      <c r="P3075" s="57"/>
      <c r="AO3075" s="57"/>
      <c r="AP3075" s="57"/>
      <c r="BA3075" s="57"/>
      <c r="BF3075" s="6" t="e">
        <f t="shared" si="144"/>
        <v>#NUM!</v>
      </c>
      <c r="BG3075" t="e">
        <f t="shared" si="145"/>
        <v>#NUM!</v>
      </c>
      <c r="BH3075" t="e">
        <f t="shared" si="146"/>
        <v>#NUM!</v>
      </c>
      <c r="BI3075" t="e">
        <f>VLOOKUP(H3075,Sheet2!$A$1:$B$270,2,FALSE)</f>
        <v>#N/A</v>
      </c>
    </row>
    <row r="3076" spans="15:61" hidden="1">
      <c r="O3076" s="57"/>
      <c r="P3076" s="57"/>
      <c r="AO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 hidden="1">
      <c r="O3077" s="57"/>
      <c r="P3077" s="57"/>
      <c r="AO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 hidden="1">
      <c r="O3078" s="57"/>
      <c r="P3078" s="57"/>
      <c r="AO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 hidden="1">
      <c r="O3079" s="57"/>
      <c r="P3079" s="57"/>
      <c r="AO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 hidden="1">
      <c r="O3080" s="57"/>
      <c r="P3080" s="57"/>
      <c r="AO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 hidden="1">
      <c r="O3081" s="57"/>
      <c r="P3081" s="57"/>
      <c r="AO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 hidden="1">
      <c r="O3082" s="57"/>
      <c r="P3082" s="57"/>
      <c r="AO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 hidden="1">
      <c r="O3083" s="57"/>
      <c r="P3083" s="57"/>
      <c r="AO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 hidden="1">
      <c r="O3084" s="57"/>
      <c r="P3084" s="57"/>
      <c r="AO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 hidden="1">
      <c r="O3085" s="57"/>
      <c r="P3085" s="57"/>
      <c r="AO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 hidden="1">
      <c r="O3086" s="57"/>
      <c r="P3086" s="57"/>
      <c r="AO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 hidden="1">
      <c r="O3087" s="57"/>
      <c r="P3087" s="57"/>
      <c r="AO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 hidden="1">
      <c r="O3088" s="57"/>
      <c r="P3088" s="57"/>
      <c r="AO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 hidden="1">
      <c r="O3089" s="57"/>
      <c r="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 hidden="1">
      <c r="O3090" s="57"/>
      <c r="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 hidden="1">
      <c r="O3091" s="57"/>
      <c r="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 hidden="1">
      <c r="O3092" s="57"/>
      <c r="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 hidden="1">
      <c r="O3093" s="57"/>
      <c r="P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 hidden="1">
      <c r="O3094" s="57"/>
      <c r="P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 hidden="1">
      <c r="O3095" s="57"/>
      <c r="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 hidden="1">
      <c r="O3096" s="57"/>
      <c r="P3096" s="57"/>
      <c r="AO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 hidden="1">
      <c r="O3097" s="57"/>
      <c r="P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 hidden="1">
      <c r="O3098" s="57"/>
      <c r="P3098" s="57"/>
      <c r="AO3098" s="57"/>
      <c r="BA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 hidden="1">
      <c r="O3099" s="57"/>
      <c r="P3099" s="57"/>
      <c r="AO3099" s="57"/>
      <c r="A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 hidden="1">
      <c r="O3100" s="57"/>
      <c r="P3100" s="57"/>
      <c r="AO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 hidden="1">
      <c r="O3101" s="57"/>
      <c r="P3101" s="57"/>
      <c r="AO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 hidden="1">
      <c r="O3102" s="57"/>
      <c r="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 hidden="1">
      <c r="O3103" s="57"/>
      <c r="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 hidden="1">
      <c r="O3104" s="57"/>
      <c r="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 hidden="1">
      <c r="O3105" s="57"/>
      <c r="P3105" s="57"/>
      <c r="AO3105" s="57"/>
      <c r="AP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 hidden="1">
      <c r="O3106" s="57"/>
      <c r="P3106" s="57"/>
      <c r="AO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 hidden="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 hidden="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 hidden="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 hidden="1">
      <c r="O3110" s="57"/>
      <c r="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 hidden="1">
      <c r="O3111" s="57"/>
      <c r="P3111" s="57"/>
      <c r="AO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 hidden="1">
      <c r="O3112" s="57"/>
      <c r="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 hidden="1">
      <c r="O3113" s="57"/>
      <c r="P3113" s="57"/>
      <c r="AO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 hidden="1">
      <c r="O3114" s="57"/>
      <c r="P3114" s="57"/>
      <c r="AO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 hidden="1">
      <c r="O3115" s="57"/>
      <c r="P3115" s="57"/>
      <c r="AO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 hidden="1">
      <c r="O3116" s="57"/>
      <c r="P3116" s="57"/>
      <c r="AO3116" s="57"/>
      <c r="AP3116" s="57"/>
      <c r="BA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 hidden="1">
      <c r="O3117" s="57"/>
      <c r="P3117" s="57"/>
      <c r="AO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 hidden="1">
      <c r="O3118" s="57"/>
      <c r="P3118" s="57"/>
      <c r="AO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 hidden="1">
      <c r="O3119" s="57"/>
      <c r="P3119" s="57"/>
      <c r="AO3119" s="57"/>
      <c r="A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 hidden="1">
      <c r="O3120" s="57"/>
      <c r="P3120" s="57"/>
      <c r="AO3120" s="57"/>
      <c r="A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 hidden="1">
      <c r="O3121" s="57"/>
      <c r="P3121" s="57"/>
      <c r="AO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 hidden="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 hidden="1">
      <c r="O3123" s="57"/>
      <c r="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 hidden="1">
      <c r="O3124" s="57"/>
      <c r="P3124" s="57"/>
      <c r="BA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 hidden="1">
      <c r="O3125" s="57"/>
      <c r="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 hidden="1">
      <c r="O3126" s="57"/>
      <c r="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 hidden="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 hidden="1">
      <c r="O3128" s="57"/>
      <c r="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 hidden="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 hidden="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 hidden="1">
      <c r="O3131" s="57"/>
      <c r="P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 hidden="1">
      <c r="O3132" s="57"/>
      <c r="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 hidden="1">
      <c r="O3133" s="57"/>
      <c r="P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 hidden="1">
      <c r="O3134" s="57"/>
      <c r="P3134" s="57"/>
      <c r="AO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 hidden="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 hidden="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 hidden="1">
      <c r="O3137" s="57"/>
      <c r="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 hidden="1">
      <c r="O3138" s="57"/>
      <c r="P3138" s="57"/>
      <c r="AO3138" s="57"/>
      <c r="BA3138" s="57"/>
      <c r="BF3138" s="6" t="e">
        <f t="shared" ref="BF3138:BF3201" si="147">DATE(BC3138,BD3138,BE3138)</f>
        <v>#NUM!</v>
      </c>
      <c r="BG3138" t="e">
        <f t="shared" ref="BG3138:BG3201" si="148">BF3138-BA3138</f>
        <v>#NUM!</v>
      </c>
      <c r="BH3138" t="e">
        <f t="shared" ref="BH3138:BH3201" si="149">IF(BG3138=1,"COMPLY",IF(BG3138&lt;1,"COMPLY","NOT COMPLY"))</f>
        <v>#NUM!</v>
      </c>
      <c r="BI3138" t="e">
        <f>VLOOKUP(H3138,Sheet2!$A$1:$B$270,2,FALSE)</f>
        <v>#N/A</v>
      </c>
    </row>
    <row r="3139" spans="15:61" hidden="1">
      <c r="O3139" s="57"/>
      <c r="P3139" s="57"/>
      <c r="AO3139" s="57"/>
      <c r="BA3139" s="57"/>
      <c r="BF3139" s="6" t="e">
        <f t="shared" si="147"/>
        <v>#NUM!</v>
      </c>
      <c r="BG3139" t="e">
        <f t="shared" si="148"/>
        <v>#NUM!</v>
      </c>
      <c r="BH3139" t="e">
        <f t="shared" si="149"/>
        <v>#NUM!</v>
      </c>
      <c r="BI3139" t="e">
        <f>VLOOKUP(H3139,Sheet2!$A$1:$B$270,2,FALSE)</f>
        <v>#N/A</v>
      </c>
    </row>
    <row r="3140" spans="15:61" hidden="1">
      <c r="O3140" s="57"/>
      <c r="P3140" s="57"/>
      <c r="AO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 hidden="1">
      <c r="O3141" s="57"/>
      <c r="P3141" s="57"/>
      <c r="AO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 hidden="1">
      <c r="O3142" s="57"/>
      <c r="P3142" s="57"/>
      <c r="A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 hidden="1">
      <c r="O3143" s="57"/>
      <c r="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 hidden="1">
      <c r="O3144" s="57"/>
      <c r="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 hidden="1">
      <c r="O3145" s="57"/>
      <c r="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 hidden="1">
      <c r="O3146" s="57"/>
      <c r="P3146" s="57"/>
      <c r="A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 hidden="1">
      <c r="O3147" s="57"/>
      <c r="P3147" s="57"/>
      <c r="AO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 hidden="1">
      <c r="O3148" s="57"/>
      <c r="P3148" s="57"/>
      <c r="AO3148" s="57"/>
      <c r="A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 hidden="1">
      <c r="O3149" s="57"/>
      <c r="P3149" s="57"/>
      <c r="AO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 hidden="1">
      <c r="O3150" s="57"/>
      <c r="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 hidden="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 hidden="1">
      <c r="O3152" s="57"/>
      <c r="P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 hidden="1">
      <c r="O3153" s="57"/>
      <c r="P3153" s="57"/>
      <c r="A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 hidden="1">
      <c r="O3154" s="57"/>
      <c r="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 hidden="1">
      <c r="O3155" s="57"/>
      <c r="P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 hidden="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 hidden="1">
      <c r="O3157" s="57"/>
      <c r="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 hidden="1">
      <c r="O3158" s="57"/>
      <c r="P3158" s="57"/>
      <c r="AO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 hidden="1">
      <c r="O3159" s="57"/>
      <c r="P3159" s="57"/>
      <c r="AO3159" s="57"/>
      <c r="AP3159" s="57"/>
      <c r="BA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 hidden="1">
      <c r="O3160" s="57"/>
      <c r="P3160" s="57"/>
      <c r="AO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 hidden="1">
      <c r="O3161" s="57"/>
      <c r="P3161" s="57"/>
      <c r="AO3161" s="57"/>
      <c r="A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 hidden="1">
      <c r="O3162" s="57"/>
      <c r="P3162" s="57"/>
      <c r="AO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 hidden="1">
      <c r="O3163" s="57"/>
      <c r="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 hidden="1">
      <c r="O3164" s="57"/>
      <c r="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 hidden="1">
      <c r="O3165" s="57"/>
      <c r="P3165" s="57"/>
      <c r="A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 hidden="1">
      <c r="O3166" s="57"/>
      <c r="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 hidden="1">
      <c r="O3167" s="57"/>
      <c r="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 hidden="1">
      <c r="O3168" s="57"/>
      <c r="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 hidden="1">
      <c r="O3169" s="57"/>
      <c r="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 hidden="1">
      <c r="O3170" s="57"/>
      <c r="P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 hidden="1">
      <c r="O3171" s="57"/>
      <c r="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 hidden="1">
      <c r="O3172" s="57"/>
      <c r="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 hidden="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 hidden="1">
      <c r="O3174" s="57"/>
      <c r="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 hidden="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 hidden="1">
      <c r="O3176" s="57"/>
      <c r="P3176" s="57"/>
      <c r="AO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 hidden="1">
      <c r="O3177" s="57"/>
      <c r="P3177" s="57"/>
      <c r="AO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 hidden="1">
      <c r="O3178" s="57"/>
      <c r="P3178" s="57"/>
      <c r="AO3178" s="57"/>
      <c r="A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 hidden="1">
      <c r="O3179" s="57"/>
      <c r="P3179" s="57"/>
      <c r="A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 hidden="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 hidden="1">
      <c r="O3181" s="57"/>
      <c r="P3181" s="57"/>
      <c r="A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 hidden="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 hidden="1">
      <c r="O3183" s="57"/>
      <c r="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 hidden="1">
      <c r="O3184" s="57"/>
      <c r="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 hidden="1">
      <c r="O3185" s="57"/>
      <c r="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 hidden="1">
      <c r="O3186" s="57"/>
      <c r="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 hidden="1">
      <c r="O3187" s="57"/>
      <c r="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 hidden="1">
      <c r="O3188" s="57"/>
      <c r="P3188" s="57"/>
      <c r="AP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 hidden="1">
      <c r="O3189" s="57"/>
      <c r="P3189" s="57"/>
      <c r="AO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 hidden="1">
      <c r="O3190" s="57"/>
      <c r="P3190" s="57"/>
      <c r="AO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 hidden="1">
      <c r="O3191" s="57"/>
      <c r="P3191" s="57"/>
      <c r="AO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 hidden="1">
      <c r="O3192" s="57"/>
      <c r="P3192" s="57"/>
      <c r="AO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 hidden="1">
      <c r="O3193" s="57"/>
      <c r="P3193" s="57"/>
      <c r="AO3193" s="57"/>
      <c r="A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 hidden="1">
      <c r="O3194" s="57"/>
      <c r="P3194" s="57"/>
      <c r="AO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 hidden="1">
      <c r="O3195" s="57"/>
      <c r="P3195" s="57"/>
      <c r="AO3195" s="57"/>
      <c r="A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 hidden="1">
      <c r="O3196" s="57"/>
      <c r="P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 hidden="1">
      <c r="O3197" s="57"/>
      <c r="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 hidden="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 hidden="1">
      <c r="O3199" s="57"/>
      <c r="P3199" s="57"/>
      <c r="A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 hidden="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 hidden="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 hidden="1">
      <c r="O3202" s="57"/>
      <c r="P3202" s="57"/>
      <c r="AP3202" s="57"/>
      <c r="BA3202" s="57"/>
      <c r="BF3202" s="6" t="e">
        <f t="shared" ref="BF3202:BF3265" si="150">DATE(BC3202,BD3202,BE3202)</f>
        <v>#NUM!</v>
      </c>
      <c r="BG3202" t="e">
        <f t="shared" ref="BG3202:BG3265" si="151">BF3202-BA3202</f>
        <v>#NUM!</v>
      </c>
      <c r="BH3202" t="e">
        <f t="shared" ref="BH3202:BH3265" si="152">IF(BG3202=1,"COMPLY",IF(BG3202&lt;1,"COMPLY","NOT COMPLY"))</f>
        <v>#NUM!</v>
      </c>
      <c r="BI3202" t="e">
        <f>VLOOKUP(H3202,Sheet2!$A$1:$B$270,2,FALSE)</f>
        <v>#N/A</v>
      </c>
    </row>
    <row r="3203" spans="15:61" hidden="1">
      <c r="O3203" s="57"/>
      <c r="P3203" s="57"/>
      <c r="AO3203" s="57"/>
      <c r="AP3203" s="57"/>
      <c r="BA3203" s="57"/>
      <c r="BF3203" s="6" t="e">
        <f t="shared" si="150"/>
        <v>#NUM!</v>
      </c>
      <c r="BG3203" t="e">
        <f t="shared" si="151"/>
        <v>#NUM!</v>
      </c>
      <c r="BH3203" t="e">
        <f t="shared" si="152"/>
        <v>#NUM!</v>
      </c>
      <c r="BI3203" t="e">
        <f>VLOOKUP(H3203,Sheet2!$A$1:$B$270,2,FALSE)</f>
        <v>#N/A</v>
      </c>
    </row>
    <row r="3204" spans="15:61" hidden="1">
      <c r="O3204" s="57"/>
      <c r="P3204" s="57"/>
      <c r="AO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 hidden="1">
      <c r="O3205" s="57"/>
      <c r="P3205" s="57"/>
      <c r="AO3205" s="57"/>
      <c r="AP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 hidden="1">
      <c r="O3206" s="57"/>
      <c r="P3206" s="57"/>
      <c r="AO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 hidden="1">
      <c r="O3207" s="57"/>
      <c r="P3207" s="57"/>
      <c r="AO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 hidden="1">
      <c r="O3208" s="57"/>
      <c r="P3208" s="57"/>
      <c r="AO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 hidden="1">
      <c r="O3209" s="57"/>
      <c r="P3209" s="57"/>
      <c r="AO3209" s="57"/>
      <c r="AP3209" s="57"/>
      <c r="BA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 hidden="1">
      <c r="O3210" s="57"/>
      <c r="P3210" s="57"/>
      <c r="AO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 hidden="1">
      <c r="O3211" s="57"/>
      <c r="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 hidden="1">
      <c r="O3212" s="57"/>
      <c r="P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 hidden="1">
      <c r="O3213" s="57"/>
      <c r="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 hidden="1">
      <c r="O3214" s="57"/>
      <c r="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 hidden="1">
      <c r="O3215" s="57"/>
      <c r="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 hidden="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 hidden="1">
      <c r="O3217" s="57"/>
      <c r="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 hidden="1">
      <c r="O3218" s="57"/>
      <c r="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 hidden="1">
      <c r="O3219" s="57"/>
      <c r="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 hidden="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 hidden="1">
      <c r="O3221" s="57"/>
      <c r="P3221" s="57"/>
      <c r="A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 hidden="1">
      <c r="O3222" s="57"/>
      <c r="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 hidden="1">
      <c r="O3223" s="57"/>
      <c r="P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 hidden="1">
      <c r="O3224" s="57"/>
      <c r="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 hidden="1">
      <c r="O3225" s="57"/>
      <c r="P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 hidden="1">
      <c r="O3226" s="57"/>
      <c r="P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 hidden="1">
      <c r="O3227" s="57"/>
      <c r="P3227" s="57"/>
      <c r="AP3227" s="57"/>
      <c r="BA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 hidden="1">
      <c r="O3228" s="57"/>
      <c r="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 hidden="1">
      <c r="O3229" s="57"/>
      <c r="P3229" s="57"/>
      <c r="AO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 hidden="1">
      <c r="O3230" s="57"/>
      <c r="P3230" s="57"/>
      <c r="AO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 hidden="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 hidden="1">
      <c r="O3232" s="57"/>
      <c r="P3232" s="57"/>
      <c r="AO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 hidden="1">
      <c r="O3233" s="57"/>
      <c r="P3233" s="57"/>
      <c r="AO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 hidden="1">
      <c r="O3234" s="57"/>
      <c r="P3234" s="57"/>
      <c r="AO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 hidden="1">
      <c r="O3235" s="57"/>
      <c r="P3235" s="57"/>
      <c r="AO3235" s="57"/>
      <c r="A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 hidden="1">
      <c r="O3236" s="57"/>
      <c r="P3236" s="57"/>
      <c r="AO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 hidden="1">
      <c r="O3237" s="57"/>
      <c r="P3237" s="57"/>
      <c r="AO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 hidden="1">
      <c r="O3238" s="57"/>
      <c r="P3238" s="57"/>
      <c r="AO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 hidden="1">
      <c r="O3239" s="57"/>
      <c r="P3239" s="57"/>
      <c r="AO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 hidden="1">
      <c r="O3240" s="57"/>
      <c r="P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 hidden="1">
      <c r="O3241" s="57"/>
      <c r="P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 hidden="1">
      <c r="O3242" s="57"/>
      <c r="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 hidden="1">
      <c r="O3243" s="57"/>
      <c r="P3243" s="57"/>
      <c r="AO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 hidden="1">
      <c r="O3244" s="57"/>
      <c r="P3244" s="57"/>
      <c r="AO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 hidden="1">
      <c r="O3245" s="57"/>
      <c r="P3245" s="57"/>
      <c r="AO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 hidden="1">
      <c r="O3246" s="57"/>
      <c r="P3246" s="57"/>
      <c r="AO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 hidden="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 hidden="1">
      <c r="O3248" s="57"/>
      <c r="P3248" s="57"/>
      <c r="AO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 hidden="1">
      <c r="O3249" s="57"/>
      <c r="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 hidden="1">
      <c r="O3250" s="57"/>
      <c r="P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 hidden="1">
      <c r="O3251" s="57"/>
      <c r="P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 hidden="1">
      <c r="O3252" s="57"/>
      <c r="P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 hidden="1">
      <c r="O3253" s="57"/>
      <c r="P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 hidden="1">
      <c r="O3254" s="57"/>
      <c r="P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 hidden="1">
      <c r="O3255" s="57"/>
      <c r="P3255" s="57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 hidden="1">
      <c r="O3256" s="57"/>
      <c r="P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 hidden="1">
      <c r="O3257" s="57"/>
      <c r="P3257" s="57"/>
      <c r="AO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 hidden="1">
      <c r="O3258" s="57"/>
      <c r="P3258" s="57"/>
      <c r="AO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 hidden="1">
      <c r="O3259" s="57"/>
      <c r="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 hidden="1">
      <c r="O3260" s="57"/>
      <c r="P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 hidden="1">
      <c r="O3261" s="57"/>
      <c r="P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 hidden="1">
      <c r="O3262" s="57"/>
      <c r="P3262" s="57"/>
      <c r="AM3262" s="58"/>
      <c r="BA3262" s="57"/>
      <c r="BB3262" s="58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 hidden="1">
      <c r="O3263" s="57"/>
      <c r="P3263" s="57"/>
      <c r="AO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 hidden="1">
      <c r="O3264" s="57"/>
      <c r="P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 hidden="1">
      <c r="O3265" s="57"/>
      <c r="P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 hidden="1">
      <c r="O3266" s="57"/>
      <c r="P3266" s="57"/>
      <c r="AP3266" s="57"/>
      <c r="BA3266" s="57"/>
      <c r="BF3266" s="6" t="e">
        <f t="shared" ref="BF3266:BF3329" si="153">DATE(BC3266,BD3266,BE3266)</f>
        <v>#NUM!</v>
      </c>
      <c r="BG3266" t="e">
        <f t="shared" ref="BG3266:BG3329" si="154">BF3266-BA3266</f>
        <v>#NUM!</v>
      </c>
      <c r="BH3266" t="e">
        <f t="shared" ref="BH3266:BH3329" si="155">IF(BG3266=1,"COMPLY",IF(BG3266&lt;1,"COMPLY","NOT COMPLY"))</f>
        <v>#NUM!</v>
      </c>
      <c r="BI3266" t="e">
        <f>VLOOKUP(H3266,Sheet2!$A$1:$B$270,2,FALSE)</f>
        <v>#N/A</v>
      </c>
    </row>
    <row r="3267" spans="15:61" hidden="1">
      <c r="O3267" s="57"/>
      <c r="P3267" s="57"/>
      <c r="AP3267" s="57"/>
      <c r="BA3267" s="57"/>
      <c r="BF3267" s="6" t="e">
        <f t="shared" si="153"/>
        <v>#NUM!</v>
      </c>
      <c r="BG3267" t="e">
        <f t="shared" si="154"/>
        <v>#NUM!</v>
      </c>
      <c r="BH3267" t="e">
        <f t="shared" si="155"/>
        <v>#NUM!</v>
      </c>
      <c r="BI3267" t="e">
        <f>VLOOKUP(H3267,Sheet2!$A$1:$B$270,2,FALSE)</f>
        <v>#N/A</v>
      </c>
    </row>
    <row r="3268" spans="15:61" hidden="1">
      <c r="O3268" s="57"/>
      <c r="P3268" s="57"/>
      <c r="A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 hidden="1">
      <c r="O3269" s="57"/>
      <c r="P3269" s="57"/>
      <c r="A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 hidden="1">
      <c r="O3270" s="57"/>
      <c r="P3270" s="57"/>
      <c r="AO3270" s="57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 hidden="1">
      <c r="O3271" s="57"/>
      <c r="P3271" s="57"/>
      <c r="A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 hidden="1">
      <c r="O3272" s="57"/>
      <c r="P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 hidden="1">
      <c r="O3273" s="57"/>
      <c r="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 hidden="1">
      <c r="O3274" s="57"/>
      <c r="P3274" s="57"/>
      <c r="AO3274" s="57"/>
      <c r="A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 hidden="1">
      <c r="O3275" s="57"/>
      <c r="P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 hidden="1">
      <c r="O3276" s="57"/>
      <c r="P3276" s="57"/>
      <c r="AO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 hidden="1">
      <c r="O3277" s="57"/>
      <c r="P3277" s="57"/>
      <c r="AO3277" s="57"/>
      <c r="AP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 hidden="1">
      <c r="O3278" s="57"/>
      <c r="P3278" s="57"/>
      <c r="AO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 hidden="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 hidden="1">
      <c r="O3280" s="57"/>
      <c r="P3280" s="57"/>
      <c r="AO3280" s="57"/>
      <c r="AP3280" s="57"/>
      <c r="BA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 hidden="1">
      <c r="O3281" s="57"/>
      <c r="P3281" s="57"/>
      <c r="AO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 hidden="1">
      <c r="O3282" s="57"/>
      <c r="P3282" s="57"/>
      <c r="AO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 hidden="1">
      <c r="O3283" s="57"/>
      <c r="P3283" s="57"/>
      <c r="AO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 hidden="1">
      <c r="O3284" s="57"/>
      <c r="P3284" s="57"/>
      <c r="AO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 hidden="1">
      <c r="O3285" s="57"/>
      <c r="P3285" s="57"/>
      <c r="AO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 hidden="1">
      <c r="O3286" s="57"/>
      <c r="P3286" s="57"/>
      <c r="AO3286" s="57"/>
      <c r="AP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 hidden="1">
      <c r="O3287" s="57"/>
      <c r="P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 hidden="1">
      <c r="O3288" s="57"/>
      <c r="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 hidden="1">
      <c r="O3289" s="57"/>
      <c r="P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 hidden="1">
      <c r="O3290" s="57"/>
      <c r="P3290" s="57"/>
      <c r="AP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 hidden="1">
      <c r="O3291" s="57"/>
      <c r="P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 hidden="1">
      <c r="O3292" s="57"/>
      <c r="P3292" s="57"/>
      <c r="AP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 hidden="1">
      <c r="O3293" s="57"/>
      <c r="P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 hidden="1">
      <c r="O3294" s="57"/>
      <c r="P3294" s="57"/>
      <c r="AP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 hidden="1">
      <c r="O3295" s="57"/>
      <c r="P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 hidden="1">
      <c r="O3296" s="57"/>
      <c r="P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 hidden="1">
      <c r="O3297" s="57"/>
      <c r="P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 hidden="1">
      <c r="O3298" s="57"/>
      <c r="P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 hidden="1">
      <c r="O3299" s="57"/>
      <c r="P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 hidden="1">
      <c r="O3300" s="57"/>
      <c r="P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 hidden="1">
      <c r="O3301" s="57"/>
      <c r="P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 hidden="1">
      <c r="O3302" s="57"/>
      <c r="P3302" s="57"/>
      <c r="AO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 hidden="1">
      <c r="O3303" s="57"/>
      <c r="P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 hidden="1">
      <c r="O3304" s="57"/>
      <c r="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 hidden="1">
      <c r="O3305" s="57"/>
      <c r="P3305" s="57"/>
      <c r="AP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 hidden="1">
      <c r="O3306" s="57"/>
      <c r="P3306" s="57"/>
      <c r="A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 hidden="1">
      <c r="O3307" s="57"/>
      <c r="P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 hidden="1">
      <c r="O3308" s="57"/>
      <c r="P3308" s="57"/>
      <c r="AO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 hidden="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 hidden="1">
      <c r="O3310" s="57"/>
      <c r="P3310" s="57"/>
      <c r="AO3310" s="57"/>
      <c r="AP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 hidden="1">
      <c r="O3311" s="57"/>
      <c r="P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 hidden="1">
      <c r="O3312" s="57"/>
      <c r="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 hidden="1">
      <c r="O3313" s="57"/>
      <c r="P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 hidden="1">
      <c r="O3314" s="57"/>
      <c r="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 hidden="1">
      <c r="O3315" s="57"/>
      <c r="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 hidden="1">
      <c r="O3316" s="57"/>
      <c r="P3316" s="57"/>
      <c r="AP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 hidden="1">
      <c r="O3317" s="57"/>
      <c r="P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 hidden="1">
      <c r="O3318" s="57"/>
      <c r="P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 hidden="1">
      <c r="O3319" s="57"/>
      <c r="P3319" s="57"/>
      <c r="AP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 hidden="1">
      <c r="O3320" s="57"/>
      <c r="P3320" s="57"/>
      <c r="AP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 hidden="1">
      <c r="O3321" s="57"/>
      <c r="P3321" s="57"/>
      <c r="A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 hidden="1">
      <c r="O3322" s="57"/>
      <c r="P3322" s="57"/>
      <c r="AP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 hidden="1">
      <c r="O3323" s="57"/>
      <c r="P3323" s="57"/>
      <c r="A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 hidden="1">
      <c r="O3324" s="57"/>
      <c r="P3324" s="57"/>
      <c r="AO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 hidden="1">
      <c r="O3325" s="57"/>
      <c r="P3325" s="57"/>
      <c r="AO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 hidden="1">
      <c r="O3326" s="57"/>
      <c r="P3326" s="57"/>
      <c r="AO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 hidden="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 hidden="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 hidden="1">
      <c r="O3329" s="57"/>
      <c r="P3329" s="57"/>
      <c r="AO3329" s="57"/>
      <c r="AP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 hidden="1">
      <c r="O3330" s="57"/>
      <c r="P3330" s="57"/>
      <c r="AO3330" s="57"/>
      <c r="BA3330" s="57"/>
      <c r="BF3330" s="6" t="e">
        <f t="shared" ref="BF3330:BF3393" si="156">DATE(BC3330,BD3330,BE3330)</f>
        <v>#NUM!</v>
      </c>
      <c r="BG3330" t="e">
        <f t="shared" ref="BG3330:BG3393" si="157">BF3330-BA3330</f>
        <v>#NUM!</v>
      </c>
      <c r="BH3330" t="e">
        <f t="shared" ref="BH3330:BH3393" si="158">IF(BG3330=1,"COMPLY",IF(BG3330&lt;1,"COMPLY","NOT COMPLY"))</f>
        <v>#NUM!</v>
      </c>
      <c r="BI3330" t="e">
        <f>VLOOKUP(H3330,Sheet2!$A$1:$B$270,2,FALSE)</f>
        <v>#N/A</v>
      </c>
    </row>
    <row r="3331" spans="15:61" hidden="1">
      <c r="O3331" s="57"/>
      <c r="P3331" s="57"/>
      <c r="AO3331" s="57"/>
      <c r="BA3331" s="57"/>
      <c r="BF3331" s="6" t="e">
        <f t="shared" si="156"/>
        <v>#NUM!</v>
      </c>
      <c r="BG3331" t="e">
        <f t="shared" si="157"/>
        <v>#NUM!</v>
      </c>
      <c r="BH3331" t="e">
        <f t="shared" si="158"/>
        <v>#NUM!</v>
      </c>
      <c r="BI3331" t="e">
        <f>VLOOKUP(H3331,Sheet2!$A$1:$B$270,2,FALSE)</f>
        <v>#N/A</v>
      </c>
    </row>
    <row r="3332" spans="15:61" hidden="1">
      <c r="O3332" s="57"/>
      <c r="P3332" s="57"/>
      <c r="AO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 hidden="1">
      <c r="O3333" s="57"/>
      <c r="P3333" s="57"/>
      <c r="AO3333" s="57"/>
      <c r="A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 hidden="1">
      <c r="O3334" s="57"/>
      <c r="P3334" s="57"/>
      <c r="AO3334" s="57"/>
      <c r="AP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 hidden="1">
      <c r="O3335" s="57"/>
      <c r="P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 hidden="1">
      <c r="O3336" s="57"/>
      <c r="P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 hidden="1">
      <c r="O3337" s="57"/>
      <c r="P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 hidden="1">
      <c r="O3338" s="57"/>
      <c r="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 hidden="1">
      <c r="O3339" s="57"/>
      <c r="P3339" s="57"/>
      <c r="A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 hidden="1">
      <c r="O3340" s="57"/>
      <c r="P3340" s="57"/>
      <c r="AP3340" s="57"/>
      <c r="BA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 hidden="1">
      <c r="O3341" s="57"/>
      <c r="P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 hidden="1">
      <c r="O3342" s="57"/>
      <c r="P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 hidden="1">
      <c r="O3343" s="57"/>
      <c r="P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 hidden="1">
      <c r="O3344" s="57"/>
      <c r="P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 hidden="1">
      <c r="O3345" s="57"/>
      <c r="P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 hidden="1">
      <c r="O3346" s="57"/>
      <c r="P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 hidden="1">
      <c r="O3347" s="57"/>
      <c r="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 hidden="1">
      <c r="O3348" s="57"/>
      <c r="P3348" s="57"/>
      <c r="AP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 hidden="1">
      <c r="O3349" s="57"/>
      <c r="P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 hidden="1">
      <c r="O3350" s="57"/>
      <c r="P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 hidden="1">
      <c r="O3351" s="57"/>
      <c r="P3351" s="57"/>
      <c r="AO3351" s="57"/>
      <c r="AP3351" s="57"/>
      <c r="BA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 hidden="1">
      <c r="O3352" s="57"/>
      <c r="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 hidden="1">
      <c r="O3353" s="57"/>
      <c r="P3353" s="57"/>
      <c r="A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 hidden="1">
      <c r="O3354" s="57"/>
      <c r="P3354" s="57"/>
      <c r="AO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 hidden="1">
      <c r="O3355" s="57"/>
      <c r="P3355" s="57"/>
      <c r="AO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 hidden="1">
      <c r="O3356" s="57"/>
      <c r="P3356" s="57"/>
      <c r="AP3356" s="57"/>
      <c r="BA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 hidden="1">
      <c r="O3357" s="57"/>
      <c r="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 hidden="1">
      <c r="O3358" s="57"/>
      <c r="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 hidden="1">
      <c r="O3359" s="57"/>
      <c r="P3359" s="57"/>
      <c r="AO3359" s="57"/>
      <c r="AP3359" s="57"/>
      <c r="BA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 hidden="1">
      <c r="O3360" s="57"/>
      <c r="P3360" s="57"/>
      <c r="AO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 hidden="1">
      <c r="O3361" s="57"/>
      <c r="P3361" s="57"/>
      <c r="AP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 hidden="1">
      <c r="O3362" s="57"/>
      <c r="P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 hidden="1">
      <c r="O3363" s="57"/>
      <c r="P3363" s="57"/>
      <c r="AP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 hidden="1">
      <c r="O3364" s="57"/>
      <c r="P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 hidden="1">
      <c r="O3365" s="57"/>
      <c r="P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 hidden="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 hidden="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 hidden="1">
      <c r="O3368" s="57"/>
      <c r="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 hidden="1">
      <c r="O3369" s="57"/>
      <c r="P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 hidden="1">
      <c r="O3370" s="57"/>
      <c r="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 hidden="1">
      <c r="O3371" s="57"/>
      <c r="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 hidden="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 hidden="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 hidden="1">
      <c r="O3374" s="57"/>
      <c r="P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 hidden="1">
      <c r="O3375" s="57"/>
      <c r="P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 hidden="1">
      <c r="O3376" s="57"/>
      <c r="P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 hidden="1">
      <c r="O3377" s="57"/>
      <c r="P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 hidden="1">
      <c r="O3378" s="57"/>
      <c r="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 hidden="1">
      <c r="O3379" s="57"/>
      <c r="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 hidden="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 hidden="1">
      <c r="O3381" s="57"/>
      <c r="P3381" s="57"/>
      <c r="AO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 hidden="1">
      <c r="O3382" s="57"/>
      <c r="P3382" s="57"/>
      <c r="AO3382" s="57"/>
      <c r="BA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 hidden="1">
      <c r="O3383" s="57"/>
      <c r="P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 hidden="1">
      <c r="O3384" s="57"/>
      <c r="P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 hidden="1">
      <c r="O3385" s="57"/>
      <c r="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 hidden="1">
      <c r="O3386" s="57"/>
      <c r="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 hidden="1">
      <c r="O3387" s="57"/>
      <c r="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 hidden="1">
      <c r="O3388" s="57"/>
      <c r="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 hidden="1">
      <c r="O3389" s="57"/>
      <c r="P3389" s="57"/>
      <c r="AP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 hidden="1">
      <c r="O3390" s="57"/>
      <c r="P3390" s="57"/>
      <c r="AP3390" s="57"/>
      <c r="BA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 hidden="1">
      <c r="O3391" s="57"/>
      <c r="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 hidden="1">
      <c r="O3392" s="57"/>
      <c r="P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 hidden="1">
      <c r="O3393" s="57"/>
      <c r="P3393" s="57"/>
      <c r="AP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 hidden="1">
      <c r="O3394" s="57"/>
      <c r="P3394" s="57"/>
      <c r="BA3394" s="57"/>
      <c r="BF3394" s="6" t="e">
        <f t="shared" ref="BF3394:BF3457" si="159">DATE(BC3394,BD3394,BE3394)</f>
        <v>#NUM!</v>
      </c>
      <c r="BG3394" t="e">
        <f t="shared" ref="BG3394:BG3457" si="160">BF3394-BA3394</f>
        <v>#NUM!</v>
      </c>
      <c r="BH3394" t="e">
        <f t="shared" ref="BH3394:BH3457" si="161">IF(BG3394=1,"COMPLY",IF(BG3394&lt;1,"COMPLY","NOT COMPLY"))</f>
        <v>#NUM!</v>
      </c>
      <c r="BI3394" t="e">
        <f>VLOOKUP(H3394,Sheet2!$A$1:$B$270,2,FALSE)</f>
        <v>#N/A</v>
      </c>
    </row>
    <row r="3395" spans="15:61" hidden="1">
      <c r="O3395" s="57"/>
      <c r="P3395" s="57"/>
      <c r="BA3395" s="57"/>
      <c r="BF3395" s="6" t="e">
        <f t="shared" si="159"/>
        <v>#NUM!</v>
      </c>
      <c r="BG3395" t="e">
        <f t="shared" si="160"/>
        <v>#NUM!</v>
      </c>
      <c r="BH3395" t="e">
        <f t="shared" si="161"/>
        <v>#NUM!</v>
      </c>
      <c r="BI3395" t="e">
        <f>VLOOKUP(H3395,Sheet2!$A$1:$B$270,2,FALSE)</f>
        <v>#N/A</v>
      </c>
    </row>
    <row r="3396" spans="15:61" hidden="1">
      <c r="O3396" s="57"/>
      <c r="P3396" s="57"/>
      <c r="AP3396" s="57"/>
      <c r="BA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 hidden="1">
      <c r="O3397" s="57"/>
      <c r="P3397" s="57"/>
      <c r="AM3397" s="58"/>
      <c r="AO3397" s="57"/>
      <c r="BA3397" s="57"/>
      <c r="BB3397" s="58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 hidden="1">
      <c r="O3398" s="57"/>
      <c r="P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 hidden="1">
      <c r="O3399" s="57"/>
      <c r="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 hidden="1">
      <c r="O3400" s="57"/>
      <c r="P3400" s="57"/>
      <c r="AO3400" s="57"/>
      <c r="AP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 hidden="1">
      <c r="O3401" s="57"/>
      <c r="P3401" s="57"/>
      <c r="AO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 hidden="1">
      <c r="O3402" s="57"/>
      <c r="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 hidden="1">
      <c r="O3403" s="57"/>
      <c r="P3403" s="57"/>
      <c r="AO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 hidden="1">
      <c r="O3404" s="57"/>
      <c r="P3404" s="57"/>
      <c r="AO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 hidden="1">
      <c r="O3405" s="57"/>
      <c r="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 hidden="1">
      <c r="O3406" s="57"/>
      <c r="P3406" s="57"/>
      <c r="AO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 hidden="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 hidden="1">
      <c r="O3408" s="57"/>
      <c r="P3408" s="57"/>
      <c r="AO3408" s="57"/>
      <c r="A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 hidden="1">
      <c r="O3409" s="57"/>
      <c r="P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 hidden="1">
      <c r="O3410" s="57"/>
      <c r="P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 hidden="1">
      <c r="O3411" s="57"/>
      <c r="P3411" s="57"/>
      <c r="AO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 hidden="1">
      <c r="O3412" s="57"/>
      <c r="P3412" s="57"/>
      <c r="AO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 hidden="1">
      <c r="O3413" s="57"/>
      <c r="P3413" s="57"/>
      <c r="AO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 hidden="1">
      <c r="O3414" s="57"/>
      <c r="P3414" s="57"/>
      <c r="AO3414" s="57"/>
      <c r="AP3414" s="57"/>
      <c r="BA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 hidden="1">
      <c r="O3415" s="57"/>
      <c r="P3415" s="57"/>
      <c r="AO3415" s="57"/>
      <c r="A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 hidden="1">
      <c r="O3416" s="57"/>
      <c r="P3416" s="57"/>
      <c r="AO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 hidden="1">
      <c r="O3417" s="57"/>
      <c r="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 hidden="1">
      <c r="O3418" s="57"/>
      <c r="P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 hidden="1">
      <c r="O3419" s="57"/>
      <c r="P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 hidden="1">
      <c r="O3420" s="57"/>
      <c r="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 hidden="1">
      <c r="O3421" s="57"/>
      <c r="P3421" s="57"/>
      <c r="AP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 hidden="1">
      <c r="O3422" s="57"/>
      <c r="P3422" s="57"/>
      <c r="AP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 hidden="1">
      <c r="O3423" s="57"/>
      <c r="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 hidden="1">
      <c r="O3424" s="57"/>
      <c r="P3424" s="57"/>
      <c r="AO3424" s="57"/>
      <c r="A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 hidden="1">
      <c r="O3425" s="57"/>
      <c r="P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 hidden="1">
      <c r="O3426" s="57"/>
      <c r="P3426" s="57"/>
      <c r="AO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 hidden="1">
      <c r="O3427" s="57"/>
      <c r="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 hidden="1">
      <c r="O3428" s="57"/>
      <c r="P3428" s="57"/>
      <c r="AP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 hidden="1">
      <c r="O3429" s="57"/>
      <c r="P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 hidden="1">
      <c r="O3430" s="57"/>
      <c r="P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 hidden="1">
      <c r="O3431" s="57"/>
      <c r="P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 hidden="1">
      <c r="O3432" s="57"/>
      <c r="P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 hidden="1">
      <c r="O3433" s="57"/>
      <c r="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 hidden="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 hidden="1">
      <c r="O3435" s="57"/>
      <c r="P3435" s="57"/>
      <c r="AO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 hidden="1">
      <c r="O3436" s="57"/>
      <c r="P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 hidden="1">
      <c r="O3437" s="57"/>
      <c r="P3437" s="57"/>
      <c r="AM3437" s="58"/>
      <c r="BA3437" s="57"/>
      <c r="BB3437" s="58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 hidden="1">
      <c r="O3438" s="57"/>
      <c r="P3438" s="57"/>
      <c r="AO3438" s="57"/>
      <c r="AP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 hidden="1">
      <c r="O3439" s="57"/>
      <c r="P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 hidden="1">
      <c r="O3440" s="57"/>
      <c r="P3440" s="57"/>
      <c r="AO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 hidden="1">
      <c r="O3441" s="57"/>
      <c r="P3441" s="57"/>
      <c r="AO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 hidden="1">
      <c r="O3442" s="57"/>
      <c r="P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 hidden="1">
      <c r="O3443" s="57"/>
      <c r="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 hidden="1">
      <c r="O3444" s="57"/>
      <c r="P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 hidden="1">
      <c r="O3445" s="57"/>
      <c r="P3445" s="57"/>
      <c r="AO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 hidden="1">
      <c r="O3446" s="57"/>
      <c r="P3446" s="57"/>
      <c r="AO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 hidden="1">
      <c r="O3447" s="57"/>
      <c r="P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 hidden="1">
      <c r="O3448" s="57"/>
      <c r="P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 hidden="1">
      <c r="O3449" s="57"/>
      <c r="P3449" s="57"/>
      <c r="AO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 hidden="1">
      <c r="O3450" s="57"/>
      <c r="P3450" s="57"/>
      <c r="AO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 hidden="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 hidden="1">
      <c r="O3452" s="57"/>
      <c r="P3452" s="57"/>
      <c r="AP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 hidden="1">
      <c r="O3453" s="57"/>
      <c r="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 hidden="1">
      <c r="O3454" s="57"/>
      <c r="P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 hidden="1">
      <c r="O3455" s="57"/>
      <c r="P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 hidden="1">
      <c r="O3456" s="57"/>
      <c r="P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 hidden="1">
      <c r="O3457" s="57"/>
      <c r="P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 hidden="1">
      <c r="O3458" s="57"/>
      <c r="P3458" s="57"/>
      <c r="AP3458" s="57"/>
      <c r="BA3458" s="57"/>
      <c r="BF3458" s="6" t="e">
        <f t="shared" ref="BF3458:BF3521" si="162">DATE(BC3458,BD3458,BE3458)</f>
        <v>#NUM!</v>
      </c>
      <c r="BG3458" t="e">
        <f t="shared" ref="BG3458:BG3521" si="163">BF3458-BA3458</f>
        <v>#NUM!</v>
      </c>
      <c r="BH3458" t="e">
        <f t="shared" ref="BH3458:BH3521" si="164">IF(BG3458=1,"COMPLY",IF(BG3458&lt;1,"COMPLY","NOT COMPLY"))</f>
        <v>#NUM!</v>
      </c>
      <c r="BI3458" t="e">
        <f>VLOOKUP(H3458,Sheet2!$A$1:$B$270,2,FALSE)</f>
        <v>#N/A</v>
      </c>
    </row>
    <row r="3459" spans="15:61" hidden="1">
      <c r="O3459" s="57"/>
      <c r="P3459" s="57"/>
      <c r="AP3459" s="57"/>
      <c r="BA3459" s="57"/>
      <c r="BF3459" s="6" t="e">
        <f t="shared" si="162"/>
        <v>#NUM!</v>
      </c>
      <c r="BG3459" t="e">
        <f t="shared" si="163"/>
        <v>#NUM!</v>
      </c>
      <c r="BH3459" t="e">
        <f t="shared" si="164"/>
        <v>#NUM!</v>
      </c>
      <c r="BI3459" t="e">
        <f>VLOOKUP(H3459,Sheet2!$A$1:$B$270,2,FALSE)</f>
        <v>#N/A</v>
      </c>
    </row>
    <row r="3460" spans="15:61" hidden="1">
      <c r="O3460" s="57"/>
      <c r="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 hidden="1">
      <c r="O3461" s="57"/>
      <c r="P3461" s="57"/>
      <c r="AO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 hidden="1">
      <c r="O3462" s="57"/>
      <c r="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 hidden="1">
      <c r="O3463" s="57"/>
      <c r="P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 hidden="1">
      <c r="O3464" s="57"/>
      <c r="P3464" s="57"/>
      <c r="AO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 hidden="1">
      <c r="O3465" s="57"/>
      <c r="P3465" s="57"/>
      <c r="AO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 hidden="1">
      <c r="O3466" s="57"/>
      <c r="P3466" s="57"/>
      <c r="AO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 hidden="1">
      <c r="O3467" s="57"/>
      <c r="P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 hidden="1">
      <c r="O3468" s="57"/>
      <c r="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 hidden="1">
      <c r="O3469" s="57"/>
      <c r="P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 hidden="1">
      <c r="O3470" s="57"/>
      <c r="P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 hidden="1">
      <c r="O3471" s="57"/>
      <c r="P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 hidden="1">
      <c r="O3472" s="57"/>
      <c r="P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 hidden="1">
      <c r="O3473" s="57"/>
      <c r="P3473" s="57"/>
      <c r="AO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 hidden="1">
      <c r="O3474" s="57"/>
      <c r="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 hidden="1">
      <c r="O3475" s="57"/>
      <c r="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 hidden="1">
      <c r="O3476" s="57"/>
      <c r="P3476" s="57"/>
      <c r="AO3476" s="57"/>
      <c r="AP3476" s="57"/>
      <c r="BA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 hidden="1">
      <c r="O3477" s="57"/>
      <c r="P3477" s="57"/>
      <c r="AO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 hidden="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 hidden="1">
      <c r="O3479" s="57"/>
      <c r="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 hidden="1">
      <c r="O3480" s="57"/>
      <c r="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 hidden="1">
      <c r="O3481" s="57"/>
      <c r="P3481" s="57"/>
      <c r="AO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 hidden="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 hidden="1">
      <c r="O3483" s="57"/>
      <c r="P3483" s="57"/>
      <c r="AO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 hidden="1">
      <c r="O3484" s="57"/>
      <c r="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 hidden="1">
      <c r="O3485" s="57"/>
      <c r="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 hidden="1">
      <c r="O3486" s="57"/>
      <c r="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 hidden="1">
      <c r="O3487" s="57"/>
      <c r="P3487" s="57"/>
      <c r="AO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 hidden="1">
      <c r="O3488" s="57"/>
      <c r="P3488" s="57"/>
      <c r="AO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 hidden="1">
      <c r="O3489" s="57"/>
      <c r="P3489" s="57"/>
      <c r="AO3489" s="57"/>
      <c r="AP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 hidden="1">
      <c r="O3490" s="57"/>
      <c r="P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 hidden="1">
      <c r="O3491" s="57"/>
      <c r="P3491" s="57"/>
      <c r="AP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 hidden="1">
      <c r="O3492" s="57"/>
      <c r="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 hidden="1">
      <c r="O3493" s="57"/>
      <c r="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 hidden="1">
      <c r="O3494" s="57"/>
      <c r="P3494" s="57"/>
      <c r="AO3494" s="57"/>
      <c r="AP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 hidden="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 hidden="1">
      <c r="O3496" s="57"/>
      <c r="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 hidden="1">
      <c r="O3497" s="57"/>
      <c r="P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 hidden="1">
      <c r="O3498" s="57"/>
      <c r="P3498" s="57"/>
      <c r="AO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 hidden="1">
      <c r="O3499" s="57"/>
      <c r="P3499" s="57"/>
      <c r="AO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 hidden="1">
      <c r="O3500" s="57"/>
      <c r="P3500" s="57"/>
      <c r="AO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 hidden="1">
      <c r="O3501" s="57"/>
      <c r="P3501" s="57"/>
      <c r="AO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 hidden="1">
      <c r="O3502" s="57"/>
      <c r="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 hidden="1">
      <c r="O3503" s="57"/>
      <c r="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 hidden="1">
      <c r="O3504" s="57"/>
      <c r="P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 hidden="1">
      <c r="O3505" s="57"/>
      <c r="P3505" s="57"/>
      <c r="AM3505" s="58"/>
      <c r="BA3505" s="57"/>
      <c r="BB3505" s="58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 hidden="1">
      <c r="O3506" s="57"/>
      <c r="P3506" s="57"/>
      <c r="AO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 hidden="1">
      <c r="O3507" s="57"/>
      <c r="P3507" s="57"/>
      <c r="AO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 hidden="1">
      <c r="O3508" s="57"/>
      <c r="P3508" s="57"/>
      <c r="AO3508" s="57"/>
      <c r="AP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 hidden="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 hidden="1">
      <c r="O3510" s="57"/>
      <c r="P3510" s="57"/>
      <c r="AO3510" s="57"/>
      <c r="AP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 hidden="1">
      <c r="O3511" s="57"/>
      <c r="P3511" s="57"/>
      <c r="AP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 hidden="1">
      <c r="O3512" s="57"/>
      <c r="P3512" s="57"/>
      <c r="AO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 hidden="1">
      <c r="O3513" s="57"/>
      <c r="P3513" s="57"/>
      <c r="AO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 hidden="1">
      <c r="O3514" s="57"/>
      <c r="P3514" s="57"/>
      <c r="AO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 hidden="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 hidden="1">
      <c r="O3516" s="57"/>
      <c r="P3516" s="57"/>
      <c r="AO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 hidden="1">
      <c r="O3517" s="57"/>
      <c r="P3517" s="57"/>
      <c r="AO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 hidden="1">
      <c r="O3518" s="57"/>
      <c r="P3518" s="57"/>
      <c r="AO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 hidden="1">
      <c r="O3519" s="57"/>
      <c r="P3519" s="57"/>
      <c r="AO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 hidden="1">
      <c r="O3520" s="57"/>
      <c r="P3520" s="57"/>
      <c r="AO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 hidden="1">
      <c r="O3521" s="57"/>
      <c r="P3521" s="57"/>
      <c r="AO3521" s="57"/>
      <c r="AP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 hidden="1">
      <c r="O3522" s="57"/>
      <c r="P3522" s="57"/>
      <c r="AO3522" s="57"/>
      <c r="AP3522" s="57"/>
      <c r="BA3522" s="57"/>
      <c r="BF3522" s="6" t="e">
        <f t="shared" ref="BF3522:BF3585" si="165">DATE(BC3522,BD3522,BE3522)</f>
        <v>#NUM!</v>
      </c>
      <c r="BG3522" t="e">
        <f t="shared" ref="BG3522:BG3585" si="166">BF3522-BA3522</f>
        <v>#NUM!</v>
      </c>
      <c r="BH3522" t="e">
        <f t="shared" ref="BH3522:BH3585" si="167">IF(BG3522=1,"COMPLY",IF(BG3522&lt;1,"COMPLY","NOT COMPLY"))</f>
        <v>#NUM!</v>
      </c>
      <c r="BI3522" t="e">
        <f>VLOOKUP(H3522,Sheet2!$A$1:$B$270,2,FALSE)</f>
        <v>#N/A</v>
      </c>
    </row>
    <row r="3523" spans="15:61" hidden="1">
      <c r="O3523" s="57"/>
      <c r="P3523" s="57"/>
      <c r="AO3523" s="57"/>
      <c r="AP3523" s="57"/>
      <c r="BA3523" s="57"/>
      <c r="BF3523" s="6" t="e">
        <f t="shared" si="165"/>
        <v>#NUM!</v>
      </c>
      <c r="BG3523" t="e">
        <f t="shared" si="166"/>
        <v>#NUM!</v>
      </c>
      <c r="BH3523" t="e">
        <f t="shared" si="167"/>
        <v>#NUM!</v>
      </c>
      <c r="BI3523" t="e">
        <f>VLOOKUP(H3523,Sheet2!$A$1:$B$270,2,FALSE)</f>
        <v>#N/A</v>
      </c>
    </row>
    <row r="3524" spans="15:61" hidden="1">
      <c r="O3524" s="57"/>
      <c r="P3524" s="57"/>
      <c r="A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 hidden="1">
      <c r="O3525" s="57"/>
      <c r="P3525" s="57"/>
      <c r="AP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 hidden="1">
      <c r="O3526" s="57"/>
      <c r="P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 hidden="1">
      <c r="O3527" s="57"/>
      <c r="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 hidden="1">
      <c r="O3528" s="57"/>
      <c r="P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 hidden="1">
      <c r="O3529" s="57"/>
      <c r="P3529" s="57"/>
      <c r="AP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 hidden="1">
      <c r="O3530" s="57"/>
      <c r="P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 hidden="1">
      <c r="O3531" s="57"/>
      <c r="P3531" s="57"/>
      <c r="AO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 hidden="1">
      <c r="O3532" s="57"/>
      <c r="P3532" s="57"/>
      <c r="AO3532" s="57"/>
      <c r="A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 hidden="1">
      <c r="O3533" s="57"/>
      <c r="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 hidden="1">
      <c r="O3534" s="57"/>
      <c r="P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 hidden="1">
      <c r="O3535" s="57"/>
      <c r="P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 hidden="1">
      <c r="O3536" s="57"/>
      <c r="P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 hidden="1">
      <c r="O3537" s="57"/>
      <c r="P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 hidden="1">
      <c r="O3538" s="57"/>
      <c r="P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 hidden="1">
      <c r="O3539" s="57"/>
      <c r="P3539" s="57"/>
      <c r="AO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 hidden="1">
      <c r="O3540" s="57"/>
      <c r="P3540" s="57"/>
      <c r="AO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 hidden="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 hidden="1">
      <c r="O3542" s="57"/>
      <c r="P3542" s="57"/>
      <c r="AO3542" s="57"/>
      <c r="AP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 hidden="1">
      <c r="O3543" s="57"/>
      <c r="P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 hidden="1">
      <c r="O3544" s="57"/>
      <c r="P3544" s="57"/>
      <c r="AP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 hidden="1">
      <c r="O3545" s="57"/>
      <c r="P3545" s="57"/>
      <c r="AP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 hidden="1">
      <c r="O3546" s="57"/>
      <c r="P3546" s="57"/>
      <c r="AP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 hidden="1">
      <c r="O3547" s="57"/>
      <c r="P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 hidden="1">
      <c r="O3548" s="57"/>
      <c r="P3548" s="57"/>
      <c r="A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 hidden="1">
      <c r="O3549" s="57"/>
      <c r="P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 hidden="1">
      <c r="O3550" s="57"/>
      <c r="P3550" s="57"/>
      <c r="AP3550" s="57"/>
      <c r="BA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 hidden="1">
      <c r="O3551" s="57"/>
      <c r="P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 hidden="1">
      <c r="O3552" s="57"/>
      <c r="P3552" s="57"/>
      <c r="AO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 hidden="1">
      <c r="O3553" s="57"/>
      <c r="P3553" s="57"/>
      <c r="AO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 hidden="1">
      <c r="O3554" s="57"/>
      <c r="P3554" s="57"/>
      <c r="AO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 hidden="1">
      <c r="O3555" s="57"/>
      <c r="P3555" s="57"/>
      <c r="AO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 hidden="1">
      <c r="O3556" s="57"/>
      <c r="P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 hidden="1">
      <c r="O3557" s="57"/>
      <c r="P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 hidden="1">
      <c r="O3558" s="57"/>
      <c r="P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 hidden="1">
      <c r="O3559" s="57"/>
      <c r="P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 hidden="1">
      <c r="O3560" s="57"/>
      <c r="P3560" s="57"/>
      <c r="AP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 hidden="1">
      <c r="O3561" s="57"/>
      <c r="P3561" s="57"/>
      <c r="AP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 hidden="1">
      <c r="O3562" s="57"/>
      <c r="P3562" s="57"/>
      <c r="AP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 hidden="1">
      <c r="O3563" s="57"/>
      <c r="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 hidden="1">
      <c r="O3564" s="57"/>
      <c r="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 hidden="1">
      <c r="O3565" s="57"/>
      <c r="P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 hidden="1">
      <c r="O3566" s="57"/>
      <c r="P3566" s="57"/>
      <c r="AP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 hidden="1">
      <c r="O3567" s="57"/>
      <c r="P3567" s="57"/>
      <c r="AP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 hidden="1">
      <c r="O3568" s="57"/>
      <c r="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 hidden="1">
      <c r="O3569" s="57"/>
      <c r="P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 hidden="1">
      <c r="O3570" s="57"/>
      <c r="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 hidden="1">
      <c r="O3571" s="57"/>
      <c r="P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 hidden="1">
      <c r="O3572" s="57"/>
      <c r="P3572" s="57"/>
      <c r="AP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 hidden="1">
      <c r="O3573" s="57"/>
      <c r="P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 hidden="1">
      <c r="O3574" s="57"/>
      <c r="P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 hidden="1">
      <c r="O3575" s="57"/>
      <c r="P3575" s="57"/>
      <c r="A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 hidden="1">
      <c r="O3576" s="57"/>
      <c r="P3576" s="57"/>
      <c r="AO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 hidden="1">
      <c r="O3577" s="57"/>
      <c r="P3577" s="57"/>
      <c r="AO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 hidden="1">
      <c r="O3578" s="57"/>
      <c r="P3578" s="57"/>
      <c r="AO3578" s="57"/>
      <c r="AP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 hidden="1">
      <c r="O3579" s="57"/>
      <c r="P3579" s="57"/>
      <c r="AO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 hidden="1">
      <c r="O3580" s="57"/>
      <c r="P3580" s="57"/>
      <c r="AO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 hidden="1">
      <c r="O3581" s="57"/>
      <c r="P3581" s="57"/>
      <c r="AO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 hidden="1">
      <c r="O3582" s="57"/>
      <c r="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 hidden="1">
      <c r="O3583" s="57"/>
      <c r="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 hidden="1">
      <c r="O3584" s="57"/>
      <c r="P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 hidden="1">
      <c r="O3585" s="57"/>
      <c r="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 hidden="1">
      <c r="O3586" s="57"/>
      <c r="P3586" s="57"/>
      <c r="AO3586" s="57"/>
      <c r="AP3586" s="57"/>
      <c r="BA3586" s="57"/>
      <c r="BF3586" s="6" t="e">
        <f t="shared" ref="BF3586:BF3649" si="168">DATE(BC3586,BD3586,BE3586)</f>
        <v>#NUM!</v>
      </c>
      <c r="BG3586" t="e">
        <f t="shared" ref="BG3586:BG3649" si="169">BF3586-BA3586</f>
        <v>#NUM!</v>
      </c>
      <c r="BH3586" t="e">
        <f t="shared" ref="BH3586:BH3649" si="170">IF(BG3586=1,"COMPLY",IF(BG3586&lt;1,"COMPLY","NOT COMPLY"))</f>
        <v>#NUM!</v>
      </c>
      <c r="BI3586" t="e">
        <f>VLOOKUP(H3586,Sheet2!$A$1:$B$270,2,FALSE)</f>
        <v>#N/A</v>
      </c>
    </row>
    <row r="3587" spans="15:61" hidden="1">
      <c r="O3587" s="57"/>
      <c r="P3587" s="57"/>
      <c r="AO3587" s="57"/>
      <c r="AP3587" s="57"/>
      <c r="BA3587" s="57"/>
      <c r="BF3587" s="6" t="e">
        <f t="shared" si="168"/>
        <v>#NUM!</v>
      </c>
      <c r="BG3587" t="e">
        <f t="shared" si="169"/>
        <v>#NUM!</v>
      </c>
      <c r="BH3587" t="e">
        <f t="shared" si="170"/>
        <v>#NUM!</v>
      </c>
      <c r="BI3587" t="e">
        <f>VLOOKUP(H3587,Sheet2!$A$1:$B$270,2,FALSE)</f>
        <v>#N/A</v>
      </c>
    </row>
    <row r="3588" spans="15:61" hidden="1">
      <c r="O3588" s="57"/>
      <c r="P3588" s="57"/>
      <c r="AO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 hidden="1">
      <c r="O3589" s="57"/>
      <c r="P3589" s="57"/>
      <c r="AO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 hidden="1">
      <c r="O3590" s="57"/>
      <c r="P3590" s="57"/>
      <c r="AO3590" s="57"/>
      <c r="AP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 hidden="1">
      <c r="O3591" s="57"/>
      <c r="P3591" s="57"/>
      <c r="AO3591" s="57"/>
      <c r="AP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 hidden="1">
      <c r="O3592" s="57"/>
      <c r="P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 hidden="1">
      <c r="O3593" s="57"/>
      <c r="P3593" s="57"/>
      <c r="AO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 hidden="1">
      <c r="O3594" s="57"/>
      <c r="P3594" s="57"/>
      <c r="AO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 hidden="1">
      <c r="O3595" s="57"/>
      <c r="P3595" s="57"/>
      <c r="AO3595" s="57"/>
      <c r="AP3595" s="57"/>
      <c r="BA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 hidden="1">
      <c r="O3596" s="57"/>
      <c r="P3596" s="57"/>
      <c r="AO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 hidden="1">
      <c r="O3597" s="57"/>
      <c r="P3597" s="57"/>
      <c r="AO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 hidden="1">
      <c r="O3598" s="57"/>
      <c r="P3598" s="57"/>
      <c r="AO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 hidden="1">
      <c r="O3599" s="57"/>
      <c r="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 hidden="1">
      <c r="O3600" s="57"/>
      <c r="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 hidden="1">
      <c r="O3601" s="57"/>
      <c r="P3601" s="57"/>
      <c r="AP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 hidden="1">
      <c r="O3602" s="57"/>
      <c r="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 hidden="1">
      <c r="O3603" s="57"/>
      <c r="P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 hidden="1">
      <c r="O3604" s="57"/>
      <c r="P3604" s="57"/>
      <c r="AP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 hidden="1">
      <c r="O3605" s="57"/>
      <c r="P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 hidden="1">
      <c r="O3606" s="57"/>
      <c r="P3606" s="57"/>
      <c r="AO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 hidden="1">
      <c r="O3607" s="57"/>
      <c r="P3607" s="57"/>
      <c r="AO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 hidden="1">
      <c r="O3608" s="57"/>
      <c r="P3608" s="57"/>
      <c r="AO3608" s="57"/>
      <c r="AP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 hidden="1">
      <c r="O3609" s="57"/>
      <c r="P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 hidden="1">
      <c r="O3610" s="57"/>
      <c r="P3610" s="57"/>
      <c r="AO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 hidden="1">
      <c r="O3611" s="57"/>
      <c r="P3611" s="57"/>
      <c r="AO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 hidden="1">
      <c r="O3612" s="57"/>
      <c r="P3612" s="57"/>
      <c r="AO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 hidden="1">
      <c r="O3613" s="57"/>
      <c r="P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 hidden="1">
      <c r="O3614" s="57"/>
      <c r="P3614" s="57"/>
      <c r="A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 hidden="1">
      <c r="O3615" s="57"/>
      <c r="P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 hidden="1">
      <c r="O3616" s="57"/>
      <c r="P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 hidden="1">
      <c r="O3617" s="57"/>
      <c r="P3617" s="57"/>
      <c r="AO3617" s="57"/>
      <c r="AP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 hidden="1">
      <c r="O3618" s="57"/>
      <c r="P3618" s="57"/>
      <c r="AO3618" s="57"/>
      <c r="AP3618" s="57"/>
      <c r="BA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 hidden="1">
      <c r="O3619" s="57"/>
      <c r="P3619" s="57"/>
      <c r="AO3619" s="57"/>
      <c r="AP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 hidden="1">
      <c r="O3620" s="57"/>
      <c r="P3620" s="57"/>
      <c r="AO3620" s="57"/>
      <c r="AP3620" s="57"/>
      <c r="BA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 hidden="1">
      <c r="O3621" s="57"/>
      <c r="P3621" s="57"/>
      <c r="AO3621" s="57"/>
      <c r="A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 hidden="1">
      <c r="O3622" s="57"/>
      <c r="P3622" s="57"/>
      <c r="AO3622" s="57"/>
      <c r="AP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 hidden="1">
      <c r="O3623" s="57"/>
      <c r="P3623" s="57"/>
      <c r="AO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 hidden="1">
      <c r="O3624" s="57"/>
      <c r="P3624" s="57"/>
      <c r="AO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 hidden="1">
      <c r="O3625" s="57"/>
      <c r="P3625" s="57"/>
      <c r="AO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 hidden="1">
      <c r="O3626" s="57"/>
      <c r="P3626" s="57"/>
      <c r="AO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 hidden="1">
      <c r="O3627" s="57"/>
      <c r="P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 hidden="1">
      <c r="O3628" s="57"/>
      <c r="P3628" s="57"/>
      <c r="AP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 hidden="1">
      <c r="O3629" s="57"/>
      <c r="P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 hidden="1">
      <c r="O3630" s="57"/>
      <c r="P3630" s="57"/>
      <c r="AO3630" s="57"/>
      <c r="AP3630" s="57"/>
      <c r="BA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 hidden="1">
      <c r="O3631" s="57"/>
      <c r="P3631" s="57"/>
      <c r="AO3631" s="57"/>
      <c r="AP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 hidden="1">
      <c r="O3632" s="57"/>
      <c r="P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 hidden="1">
      <c r="O3633" s="57"/>
      <c r="P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 hidden="1">
      <c r="O3634" s="57"/>
      <c r="P3634" s="57"/>
      <c r="A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 hidden="1">
      <c r="O3635" s="57"/>
      <c r="P3635" s="57"/>
      <c r="AP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 hidden="1">
      <c r="O3636" s="57"/>
      <c r="P3636" s="57"/>
      <c r="A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 hidden="1">
      <c r="O3637" s="57"/>
      <c r="P3637" s="57"/>
      <c r="AP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 hidden="1">
      <c r="O3638" s="57"/>
      <c r="P3638" s="57"/>
      <c r="AO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 hidden="1">
      <c r="O3639" s="57"/>
      <c r="P3639" s="57"/>
      <c r="AO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 hidden="1">
      <c r="O3640" s="57"/>
      <c r="P3640" s="57"/>
      <c r="AO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 hidden="1">
      <c r="O3641" s="57"/>
      <c r="P3641" s="57"/>
      <c r="AO3641" s="57"/>
      <c r="AP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 hidden="1">
      <c r="O3642" s="57"/>
      <c r="P3642" s="57"/>
      <c r="AO3642" s="57"/>
      <c r="AP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 hidden="1">
      <c r="O3643" s="57"/>
      <c r="P3643" s="57"/>
      <c r="AO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 hidden="1">
      <c r="O3644" s="57"/>
      <c r="P3644" s="57"/>
      <c r="AP3644" s="57"/>
      <c r="BA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 hidden="1">
      <c r="O3645" s="57"/>
      <c r="P3645" s="57"/>
      <c r="AP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 hidden="1">
      <c r="O3646" s="57"/>
      <c r="P3646" s="57"/>
      <c r="AP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 hidden="1">
      <c r="O3647" s="57"/>
      <c r="P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 hidden="1">
      <c r="O3648" s="57"/>
      <c r="P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 hidden="1">
      <c r="O3649" s="57"/>
      <c r="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 hidden="1">
      <c r="O3650" s="57"/>
      <c r="P3650" s="57"/>
      <c r="AP3650" s="57"/>
      <c r="BA3650" s="57"/>
      <c r="BF3650" s="6" t="e">
        <f t="shared" ref="BF3650:BF3713" si="171">DATE(BC3650,BD3650,BE3650)</f>
        <v>#NUM!</v>
      </c>
      <c r="BG3650" t="e">
        <f t="shared" ref="BG3650:BG3713" si="172">BF3650-BA3650</f>
        <v>#NUM!</v>
      </c>
      <c r="BH3650" t="e">
        <f t="shared" ref="BH3650:BH3713" si="173">IF(BG3650=1,"COMPLY",IF(BG3650&lt;1,"COMPLY","NOT COMPLY"))</f>
        <v>#NUM!</v>
      </c>
      <c r="BI3650" t="e">
        <f>VLOOKUP(H3650,Sheet2!$A$1:$B$270,2,FALSE)</f>
        <v>#N/A</v>
      </c>
    </row>
    <row r="3651" spans="15:61" hidden="1">
      <c r="O3651" s="57"/>
      <c r="P3651" s="57"/>
      <c r="BA3651" s="57"/>
      <c r="BF3651" s="6" t="e">
        <f t="shared" si="171"/>
        <v>#NUM!</v>
      </c>
      <c r="BG3651" t="e">
        <f t="shared" si="172"/>
        <v>#NUM!</v>
      </c>
      <c r="BH3651" t="e">
        <f t="shared" si="173"/>
        <v>#NUM!</v>
      </c>
      <c r="BI3651" t="e">
        <f>VLOOKUP(H3651,Sheet2!$A$1:$B$270,2,FALSE)</f>
        <v>#N/A</v>
      </c>
    </row>
    <row r="3652" spans="15:61" hidden="1">
      <c r="O3652" s="57"/>
      <c r="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 hidden="1">
      <c r="O3653" s="57"/>
      <c r="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 hidden="1">
      <c r="O3654" s="57"/>
      <c r="P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 hidden="1">
      <c r="O3655" s="57"/>
      <c r="P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 hidden="1">
      <c r="O3656" s="57"/>
      <c r="P3656" s="57"/>
      <c r="AP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 hidden="1">
      <c r="O3657" s="57"/>
      <c r="P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 hidden="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 hidden="1">
      <c r="O3659" s="57"/>
      <c r="P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 hidden="1">
      <c r="O3660" s="57"/>
      <c r="P3660" s="57"/>
      <c r="AP3660" s="57"/>
      <c r="BA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 hidden="1">
      <c r="O3661" s="57"/>
      <c r="P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 hidden="1">
      <c r="O3662" s="57"/>
      <c r="P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 hidden="1">
      <c r="O3663" s="57"/>
      <c r="P3663" s="57"/>
      <c r="AP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 hidden="1">
      <c r="O3664" s="57"/>
      <c r="P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 hidden="1">
      <c r="O3665" s="57"/>
      <c r="P3665" s="57"/>
      <c r="AO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 hidden="1">
      <c r="O3666" s="57"/>
      <c r="P3666" s="57"/>
      <c r="AO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 hidden="1">
      <c r="O3667" s="57"/>
      <c r="P3667" s="57"/>
      <c r="AO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 hidden="1">
      <c r="O3668" s="57"/>
      <c r="P3668" s="57"/>
      <c r="AP3668" s="57"/>
      <c r="BA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 hidden="1">
      <c r="O3669" s="57"/>
      <c r="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 hidden="1">
      <c r="O3670" s="57"/>
      <c r="P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 hidden="1">
      <c r="O3671" s="57"/>
      <c r="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 hidden="1">
      <c r="O3672" s="57"/>
      <c r="P3672" s="57"/>
      <c r="AO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 hidden="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 hidden="1">
      <c r="O3674" s="57"/>
      <c r="P3674" s="57"/>
      <c r="AO3674" s="57"/>
      <c r="A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 hidden="1">
      <c r="O3675" s="57"/>
      <c r="P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 hidden="1">
      <c r="O3676" s="57"/>
      <c r="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 hidden="1">
      <c r="O3677" s="57"/>
      <c r="P3677" s="57"/>
      <c r="AP3677" s="57"/>
      <c r="BA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 hidden="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 hidden="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 hidden="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 hidden="1">
      <c r="O3681" s="57"/>
      <c r="P3681" s="57"/>
      <c r="AO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 hidden="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 hidden="1">
      <c r="O3683" s="57"/>
      <c r="P3683" s="57"/>
      <c r="AO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 hidden="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 hidden="1">
      <c r="O3685" s="57"/>
      <c r="P3685" s="57"/>
      <c r="AO3685" s="57"/>
      <c r="AP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 hidden="1">
      <c r="O3686" s="57"/>
      <c r="P3686" s="57"/>
      <c r="AO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 hidden="1">
      <c r="O3687" s="57"/>
      <c r="P3687" s="57"/>
      <c r="AO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 hidden="1">
      <c r="O3688" s="57"/>
      <c r="P3688" s="57"/>
      <c r="AO3688" s="57"/>
      <c r="AP3688" s="57"/>
      <c r="BA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 hidden="1">
      <c r="O3689" s="57"/>
      <c r="P3689" s="57"/>
      <c r="AO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 hidden="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 hidden="1">
      <c r="O3691" s="57"/>
      <c r="P3691" s="57"/>
      <c r="AO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 hidden="1">
      <c r="O3692" s="57"/>
      <c r="P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 hidden="1">
      <c r="O3693" s="57"/>
      <c r="P3693" s="57"/>
      <c r="AP3693" s="57"/>
      <c r="BA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 hidden="1">
      <c r="O3694" s="57"/>
      <c r="P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 hidden="1">
      <c r="O3695" s="57"/>
      <c r="P3695" s="57"/>
      <c r="AP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 hidden="1">
      <c r="O3696" s="57"/>
      <c r="P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 hidden="1">
      <c r="O3697" s="57"/>
      <c r="P3697" s="57"/>
      <c r="AP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 hidden="1">
      <c r="O3698" s="57"/>
      <c r="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 hidden="1">
      <c r="O3699" s="57"/>
      <c r="P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 hidden="1">
      <c r="O3700" s="57"/>
      <c r="P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 hidden="1">
      <c r="O3701" s="57"/>
      <c r="P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 hidden="1">
      <c r="O3702" s="57"/>
      <c r="P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 hidden="1">
      <c r="O3703" s="57"/>
      <c r="P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 hidden="1">
      <c r="O3704" s="57"/>
      <c r="P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 hidden="1">
      <c r="O3705" s="57"/>
      <c r="P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 hidden="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 hidden="1">
      <c r="O3707" s="57"/>
      <c r="P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 hidden="1">
      <c r="O3708" s="57"/>
      <c r="P3708" s="57"/>
      <c r="AP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 hidden="1">
      <c r="O3709" s="57"/>
      <c r="P3709" s="57"/>
      <c r="AO3709" s="57"/>
      <c r="AP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 hidden="1">
      <c r="O3710" s="57"/>
      <c r="P3710" s="57"/>
      <c r="AO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 hidden="1">
      <c r="O3711" s="57"/>
      <c r="P3711" s="57"/>
      <c r="AP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 hidden="1">
      <c r="O3712" s="57"/>
      <c r="P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 hidden="1">
      <c r="O3713" s="57"/>
      <c r="P3713" s="57"/>
      <c r="AP3713" s="57"/>
      <c r="BA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 hidden="1">
      <c r="O3714" s="57"/>
      <c r="P3714" s="57"/>
      <c r="AO3714" s="57"/>
      <c r="AP3714" s="57"/>
      <c r="BA3714" s="57"/>
      <c r="BF3714" s="6" t="e">
        <f t="shared" ref="BF3714:BF3777" si="174">DATE(BC3714,BD3714,BE3714)</f>
        <v>#NUM!</v>
      </c>
      <c r="BG3714" t="e">
        <f t="shared" ref="BG3714:BG3777" si="175">BF3714-BA3714</f>
        <v>#NUM!</v>
      </c>
      <c r="BH3714" t="e">
        <f t="shared" ref="BH3714:BH3777" si="176">IF(BG3714=1,"COMPLY",IF(BG3714&lt;1,"COMPLY","NOT COMPLY"))</f>
        <v>#NUM!</v>
      </c>
      <c r="BI3714" t="e">
        <f>VLOOKUP(H3714,Sheet2!$A$1:$B$270,2,FALSE)</f>
        <v>#N/A</v>
      </c>
    </row>
    <row r="3715" spans="15:61" hidden="1">
      <c r="O3715" s="57"/>
      <c r="P3715" s="57"/>
      <c r="AP3715" s="57"/>
      <c r="BA3715" s="57"/>
      <c r="BF3715" s="6" t="e">
        <f t="shared" si="174"/>
        <v>#NUM!</v>
      </c>
      <c r="BG3715" t="e">
        <f t="shared" si="175"/>
        <v>#NUM!</v>
      </c>
      <c r="BH3715" t="e">
        <f t="shared" si="176"/>
        <v>#NUM!</v>
      </c>
      <c r="BI3715" t="e">
        <f>VLOOKUP(H3715,Sheet2!$A$1:$B$270,2,FALSE)</f>
        <v>#N/A</v>
      </c>
    </row>
    <row r="3716" spans="15:61" hidden="1">
      <c r="O3716" s="57"/>
      <c r="P3716" s="57"/>
      <c r="A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 hidden="1">
      <c r="O3717" s="57"/>
      <c r="P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 hidden="1">
      <c r="O3718" s="57"/>
      <c r="P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 hidden="1">
      <c r="O3719" s="57"/>
      <c r="P3719" s="57"/>
      <c r="AP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 hidden="1">
      <c r="O3720" s="57"/>
      <c r="P3720" s="57"/>
      <c r="AO3720" s="57"/>
      <c r="AP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 hidden="1">
      <c r="O3721" s="57"/>
      <c r="P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 hidden="1">
      <c r="O3722" s="57"/>
      <c r="P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 hidden="1">
      <c r="O3723" s="57"/>
      <c r="P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 hidden="1">
      <c r="O3724" s="57"/>
      <c r="P3724" s="57"/>
      <c r="AP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 hidden="1">
      <c r="O3725" s="57"/>
      <c r="P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 hidden="1">
      <c r="O3726" s="57"/>
      <c r="P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 hidden="1">
      <c r="O3727" s="57"/>
      <c r="P3727" s="57"/>
      <c r="AO3727" s="57"/>
      <c r="AP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 hidden="1">
      <c r="O3728" s="57"/>
      <c r="P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 hidden="1">
      <c r="O3729" s="57"/>
      <c r="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 hidden="1">
      <c r="O3730" s="57"/>
      <c r="P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 hidden="1">
      <c r="O3731" s="57"/>
      <c r="P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 hidden="1">
      <c r="O3732" s="57"/>
      <c r="P3732" s="57"/>
      <c r="AP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 hidden="1">
      <c r="O3733" s="57"/>
      <c r="P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 hidden="1">
      <c r="O3734" s="57"/>
      <c r="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 hidden="1">
      <c r="O3735" s="57"/>
      <c r="P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 hidden="1">
      <c r="O3736" s="57"/>
      <c r="P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 hidden="1">
      <c r="O3737" s="57"/>
      <c r="P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 hidden="1">
      <c r="O3738" s="57"/>
      <c r="P3738" s="57"/>
      <c r="AO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 hidden="1">
      <c r="O3739" s="57"/>
      <c r="P3739" s="57"/>
      <c r="AO3739" s="57"/>
      <c r="AP3739" s="57"/>
      <c r="BA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 hidden="1">
      <c r="O3740" s="57"/>
      <c r="P3740" s="57"/>
      <c r="AO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 hidden="1">
      <c r="O3741" s="57"/>
      <c r="P3741" s="57"/>
      <c r="AO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 hidden="1">
      <c r="O3742" s="57"/>
      <c r="P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 hidden="1">
      <c r="O3743" s="57"/>
      <c r="P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 hidden="1">
      <c r="O3744" s="57"/>
      <c r="P3744" s="57"/>
      <c r="A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 hidden="1">
      <c r="O3745" s="57"/>
      <c r="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 hidden="1">
      <c r="O3746" s="57"/>
      <c r="P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 hidden="1">
      <c r="O3747" s="57"/>
      <c r="P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 hidden="1">
      <c r="O3748" s="57"/>
      <c r="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 hidden="1">
      <c r="O3749" s="57"/>
      <c r="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 hidden="1">
      <c r="O3750" s="57"/>
      <c r="P3750" s="57"/>
      <c r="AP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 hidden="1">
      <c r="O3751" s="57"/>
      <c r="P3751" s="57"/>
      <c r="AO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 hidden="1">
      <c r="O3752" s="57"/>
      <c r="P3752" s="57"/>
      <c r="AP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 hidden="1">
      <c r="O3753" s="57"/>
      <c r="P3753" s="57"/>
      <c r="A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 hidden="1">
      <c r="O3754" s="57"/>
      <c r="P3754" s="57"/>
      <c r="AO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 hidden="1">
      <c r="O3755" s="57"/>
      <c r="P3755" s="57"/>
      <c r="AO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 hidden="1">
      <c r="O3756" s="57"/>
      <c r="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 hidden="1">
      <c r="O3757" s="57"/>
      <c r="P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 hidden="1">
      <c r="O3758" s="57"/>
      <c r="P3758" s="57"/>
      <c r="AP3758" s="57"/>
      <c r="BA3758" s="57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 hidden="1">
      <c r="O3759" s="57"/>
      <c r="P3759" s="57"/>
      <c r="AP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 hidden="1">
      <c r="O3760" s="57"/>
      <c r="P3760" s="57"/>
      <c r="AP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 hidden="1">
      <c r="O3761" s="57"/>
      <c r="P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 hidden="1">
      <c r="O3762" s="57"/>
      <c r="P3762" s="57"/>
      <c r="AP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 hidden="1">
      <c r="O3763" s="57"/>
      <c r="P3763" s="57"/>
      <c r="AP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 hidden="1">
      <c r="O3764" s="57"/>
      <c r="P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 hidden="1">
      <c r="O3765" s="57"/>
      <c r="P3765" s="57"/>
      <c r="AP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 hidden="1">
      <c r="O3766" s="57"/>
      <c r="P3766" s="57"/>
      <c r="AO3766" s="57"/>
      <c r="A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 hidden="1">
      <c r="O3767" s="57"/>
      <c r="P3767" s="57"/>
      <c r="AO3767" s="57"/>
      <c r="AP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 hidden="1">
      <c r="O3768" s="57"/>
      <c r="P3768" s="57"/>
      <c r="AO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 hidden="1">
      <c r="O3769" s="57"/>
      <c r="P3769" s="57"/>
      <c r="AO3769" s="57"/>
      <c r="AP3769" s="57"/>
      <c r="BA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 hidden="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 hidden="1">
      <c r="O3771" s="57"/>
      <c r="P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 hidden="1">
      <c r="O3772" s="57"/>
      <c r="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 hidden="1">
      <c r="O3773" s="57"/>
      <c r="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 hidden="1">
      <c r="O3774" s="57"/>
      <c r="P3774" s="57"/>
      <c r="AP3774" s="57"/>
      <c r="BA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 hidden="1">
      <c r="O3775" s="57"/>
      <c r="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 hidden="1">
      <c r="O3776" s="57"/>
      <c r="P3776" s="57"/>
      <c r="AP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 hidden="1">
      <c r="O3777" s="57"/>
      <c r="P3777" s="57"/>
      <c r="BA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 hidden="1">
      <c r="O3778" s="57"/>
      <c r="P3778" s="57"/>
      <c r="AP3778" s="57"/>
      <c r="BA3778" s="57"/>
      <c r="BF3778" s="6" t="e">
        <f t="shared" ref="BF3778:BF3841" si="177">DATE(BC3778,BD3778,BE3778)</f>
        <v>#NUM!</v>
      </c>
      <c r="BG3778" t="e">
        <f t="shared" ref="BG3778:BG3841" si="178">BF3778-BA3778</f>
        <v>#NUM!</v>
      </c>
      <c r="BH3778" t="e">
        <f t="shared" ref="BH3778:BH3841" si="179">IF(BG3778=1,"COMPLY",IF(BG3778&lt;1,"COMPLY","NOT COMPLY"))</f>
        <v>#NUM!</v>
      </c>
      <c r="BI3778" t="e">
        <f>VLOOKUP(H3778,Sheet2!$A$1:$B$270,2,FALSE)</f>
        <v>#N/A</v>
      </c>
    </row>
    <row r="3779" spans="15:61" hidden="1">
      <c r="O3779" s="57"/>
      <c r="P3779" s="57"/>
      <c r="AP3779" s="57"/>
      <c r="BA3779" s="57"/>
      <c r="BF3779" s="6" t="e">
        <f t="shared" si="177"/>
        <v>#NUM!</v>
      </c>
      <c r="BG3779" t="e">
        <f t="shared" si="178"/>
        <v>#NUM!</v>
      </c>
      <c r="BH3779" t="e">
        <f t="shared" si="179"/>
        <v>#NUM!</v>
      </c>
      <c r="BI3779" t="e">
        <f>VLOOKUP(H3779,Sheet2!$A$1:$B$270,2,FALSE)</f>
        <v>#N/A</v>
      </c>
    </row>
    <row r="3780" spans="15:61" hidden="1">
      <c r="O3780" s="57"/>
      <c r="P3780" s="57"/>
      <c r="AO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 hidden="1">
      <c r="O3781" s="57"/>
      <c r="P3781" s="57"/>
      <c r="AO3781" s="57"/>
      <c r="AP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 hidden="1">
      <c r="O3782" s="57"/>
      <c r="P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 hidden="1">
      <c r="O3783" s="57"/>
      <c r="P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 hidden="1">
      <c r="O3784" s="57"/>
      <c r="P3784" s="57"/>
      <c r="AP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 hidden="1">
      <c r="O3785" s="57"/>
      <c r="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 hidden="1">
      <c r="O3786" s="57"/>
      <c r="P3786" s="57"/>
      <c r="AP3786" s="57"/>
      <c r="BA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 hidden="1">
      <c r="O3787" s="57"/>
      <c r="P3787" s="57"/>
      <c r="A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 hidden="1">
      <c r="O3788" s="57"/>
      <c r="P3788" s="57"/>
      <c r="AO3788" s="57"/>
      <c r="AP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 hidden="1">
      <c r="O3789" s="57"/>
      <c r="P3789" s="57"/>
      <c r="AO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 hidden="1">
      <c r="O3790" s="57"/>
      <c r="P3790" s="57"/>
      <c r="AO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 hidden="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 hidden="1">
      <c r="O3792" s="57"/>
      <c r="P3792" s="57"/>
      <c r="AO3792" s="57"/>
      <c r="A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 hidden="1">
      <c r="O3793" s="57"/>
      <c r="P3793" s="57"/>
      <c r="AO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 hidden="1">
      <c r="O3794" s="57"/>
      <c r="P3794" s="57"/>
      <c r="AO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 hidden="1">
      <c r="O3795" s="57"/>
      <c r="P3795" s="57"/>
      <c r="AP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 hidden="1">
      <c r="O3796" s="57"/>
      <c r="P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 hidden="1">
      <c r="O3797" s="57"/>
      <c r="P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 hidden="1">
      <c r="O3798" s="57"/>
      <c r="P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 hidden="1">
      <c r="O3799" s="57"/>
      <c r="P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 hidden="1">
      <c r="O3800" s="57"/>
      <c r="P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 hidden="1">
      <c r="O3801" s="57"/>
      <c r="P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 hidden="1">
      <c r="O3802" s="57"/>
      <c r="P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 hidden="1">
      <c r="O3803" s="57"/>
      <c r="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 hidden="1">
      <c r="O3804" s="57"/>
      <c r="P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 hidden="1">
      <c r="O3805" s="57"/>
      <c r="P3805" s="57"/>
      <c r="A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 hidden="1">
      <c r="O3806" s="57"/>
      <c r="P3806" s="57"/>
      <c r="AO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 hidden="1">
      <c r="O3807" s="57"/>
      <c r="P3807" s="57"/>
      <c r="AO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 hidden="1">
      <c r="O3808" s="57"/>
      <c r="P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 hidden="1">
      <c r="O3809" s="57"/>
      <c r="P3809" s="57"/>
      <c r="AP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 hidden="1">
      <c r="O3810" s="57"/>
      <c r="P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 hidden="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 hidden="1">
      <c r="O3812" s="57"/>
      <c r="P3812" s="57"/>
      <c r="AO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 hidden="1">
      <c r="O3813" s="57"/>
      <c r="P3813" s="57"/>
      <c r="AO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 hidden="1">
      <c r="O3814" s="57"/>
      <c r="P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 hidden="1">
      <c r="O3815" s="57"/>
      <c r="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 hidden="1">
      <c r="O3816" s="57"/>
      <c r="P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 hidden="1">
      <c r="O3817" s="57"/>
      <c r="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 hidden="1">
      <c r="O3818" s="57"/>
      <c r="P3818" s="57"/>
      <c r="AO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 hidden="1">
      <c r="O3819" s="57"/>
      <c r="P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 hidden="1">
      <c r="O3820" s="57"/>
      <c r="P3820" s="57"/>
      <c r="AP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 hidden="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 hidden="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 hidden="1">
      <c r="O3823" s="57"/>
      <c r="P3823" s="57"/>
      <c r="AO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 hidden="1">
      <c r="O3824" s="57"/>
      <c r="P3824" s="57"/>
      <c r="AO3824" s="57"/>
      <c r="AP3824" s="57"/>
      <c r="BA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 hidden="1">
      <c r="O3825" s="57"/>
      <c r="P3825" s="57"/>
      <c r="AP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 hidden="1">
      <c r="O3826" s="57"/>
      <c r="P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 hidden="1">
      <c r="O3827" s="57"/>
      <c r="P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 hidden="1">
      <c r="O3828" s="57"/>
      <c r="P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 hidden="1">
      <c r="O3829" s="57"/>
      <c r="P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 hidden="1">
      <c r="O3830" s="57"/>
      <c r="P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 hidden="1">
      <c r="O3831" s="57"/>
      <c r="P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 hidden="1">
      <c r="O3832" s="57"/>
      <c r="P3832" s="57"/>
      <c r="AP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 hidden="1">
      <c r="O3833" s="57"/>
      <c r="P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 hidden="1">
      <c r="O3834" s="57"/>
      <c r="P3834" s="57"/>
      <c r="AO3834" s="57"/>
      <c r="AP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 hidden="1">
      <c r="O3835" s="57"/>
      <c r="P3835" s="57"/>
      <c r="A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 hidden="1">
      <c r="O3836" s="57"/>
      <c r="P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 hidden="1">
      <c r="O3837" s="57"/>
      <c r="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 hidden="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 hidden="1">
      <c r="O3839" s="57"/>
      <c r="P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 hidden="1">
      <c r="O3840" s="57"/>
      <c r="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 hidden="1">
      <c r="O3841" s="57"/>
      <c r="P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 hidden="1">
      <c r="O3842" s="57"/>
      <c r="P3842" s="57"/>
      <c r="AP3842" s="57"/>
      <c r="BA3842" s="57"/>
      <c r="BF3842" s="6" t="e">
        <f t="shared" ref="BF3842:BF3905" si="180">DATE(BC3842,BD3842,BE3842)</f>
        <v>#NUM!</v>
      </c>
      <c r="BG3842" t="e">
        <f t="shared" ref="BG3842:BG3905" si="181">BF3842-BA3842</f>
        <v>#NUM!</v>
      </c>
      <c r="BH3842" t="e">
        <f t="shared" ref="BH3842:BH3905" si="182">IF(BG3842=1,"COMPLY",IF(BG3842&lt;1,"COMPLY","NOT COMPLY"))</f>
        <v>#NUM!</v>
      </c>
      <c r="BI3842" t="e">
        <f>VLOOKUP(H3842,Sheet2!$A$1:$B$270,2,FALSE)</f>
        <v>#N/A</v>
      </c>
    </row>
    <row r="3843" spans="15:61" hidden="1">
      <c r="O3843" s="57"/>
      <c r="P3843" s="57"/>
      <c r="AP3843" s="57"/>
      <c r="BA3843" s="57"/>
      <c r="BF3843" s="6" t="e">
        <f t="shared" si="180"/>
        <v>#NUM!</v>
      </c>
      <c r="BG3843" t="e">
        <f t="shared" si="181"/>
        <v>#NUM!</v>
      </c>
      <c r="BH3843" t="e">
        <f t="shared" si="182"/>
        <v>#NUM!</v>
      </c>
      <c r="BI3843" t="e">
        <f>VLOOKUP(H3843,Sheet2!$A$1:$B$270,2,FALSE)</f>
        <v>#N/A</v>
      </c>
    </row>
    <row r="3844" spans="15:61" hidden="1">
      <c r="O3844" s="57"/>
      <c r="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 hidden="1">
      <c r="O3845" s="57"/>
      <c r="P3845" s="57"/>
      <c r="AP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 hidden="1">
      <c r="O3846" s="57"/>
      <c r="P3846" s="57"/>
      <c r="AP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 hidden="1">
      <c r="O3847" s="57"/>
      <c r="P3847" s="57"/>
      <c r="AO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 hidden="1">
      <c r="O3848" s="57"/>
      <c r="P3848" s="57"/>
      <c r="AO3848" s="57"/>
      <c r="AP3848" s="57"/>
      <c r="BA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 hidden="1">
      <c r="O3849" s="57"/>
      <c r="P3849" s="57"/>
      <c r="AO3849" s="57"/>
      <c r="AP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 hidden="1">
      <c r="O3850" s="57"/>
      <c r="P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 hidden="1">
      <c r="O3851" s="57"/>
      <c r="P3851" s="57"/>
      <c r="AO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 hidden="1">
      <c r="O3852" s="57"/>
      <c r="P3852" s="57"/>
      <c r="AO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 hidden="1">
      <c r="O3853" s="57"/>
      <c r="P3853" s="57"/>
      <c r="AO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 hidden="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 hidden="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 hidden="1">
      <c r="O3856" s="57"/>
      <c r="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 hidden="1">
      <c r="O3857" s="57"/>
      <c r="P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 hidden="1">
      <c r="O3858" s="57"/>
      <c r="P3858" s="57"/>
      <c r="AP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 hidden="1">
      <c r="O3859" s="57"/>
      <c r="P3859" s="57"/>
      <c r="AO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 hidden="1">
      <c r="O3860" s="57"/>
      <c r="P3860" s="57"/>
      <c r="AM3860" s="58"/>
      <c r="BA3860" s="57"/>
      <c r="BB3860" s="58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 hidden="1">
      <c r="O3861" s="57"/>
      <c r="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 hidden="1">
      <c r="O3862" s="57"/>
      <c r="P3862" s="57"/>
      <c r="AP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 hidden="1">
      <c r="O3863" s="57"/>
      <c r="P3863" s="57"/>
      <c r="AM3863" s="58"/>
      <c r="BA3863" s="57"/>
      <c r="BB3863" s="58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 hidden="1">
      <c r="O3864" s="57"/>
      <c r="P3864" s="57"/>
      <c r="AO3864" s="57"/>
      <c r="BA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 hidden="1">
      <c r="O3865" s="57"/>
      <c r="P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 hidden="1">
      <c r="O3866" s="57"/>
      <c r="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 hidden="1">
      <c r="O3867" s="57"/>
      <c r="P3867" s="57"/>
      <c r="AP3867" s="57"/>
      <c r="BA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 hidden="1">
      <c r="O3868" s="57"/>
      <c r="P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 hidden="1">
      <c r="O3869" s="57"/>
      <c r="P3869" s="57"/>
      <c r="AO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 hidden="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 hidden="1">
      <c r="O3871" s="57"/>
      <c r="P3871" s="57"/>
      <c r="AO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 hidden="1">
      <c r="O3872" s="57"/>
      <c r="P3872" s="57"/>
      <c r="AO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 hidden="1">
      <c r="O3873" s="57"/>
      <c r="P3873" s="57"/>
      <c r="AO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 hidden="1">
      <c r="O3874" s="57"/>
      <c r="P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 hidden="1">
      <c r="O3875" s="57"/>
      <c r="P3875" s="57"/>
      <c r="AP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 hidden="1">
      <c r="O3876" s="57"/>
      <c r="P3876" s="57"/>
      <c r="A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 hidden="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 hidden="1">
      <c r="O3878" s="57"/>
      <c r="P3878" s="57"/>
      <c r="AO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 hidden="1">
      <c r="O3879" s="57"/>
      <c r="P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 hidden="1">
      <c r="O3880" s="57"/>
      <c r="P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 hidden="1">
      <c r="O3881" s="57"/>
      <c r="P3881" s="57"/>
      <c r="AP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 hidden="1">
      <c r="O3882" s="57"/>
      <c r="P3882" s="57"/>
      <c r="AP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 hidden="1">
      <c r="O3883" s="57"/>
      <c r="P3883" s="57"/>
      <c r="AO3883" s="57"/>
      <c r="AP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 hidden="1">
      <c r="O3884" s="57"/>
      <c r="P3884" s="57"/>
      <c r="AO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 hidden="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 hidden="1">
      <c r="O3886" s="57"/>
      <c r="P3886" s="57"/>
      <c r="AO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 hidden="1">
      <c r="O3887" s="57"/>
      <c r="P3887" s="57"/>
      <c r="AO3887" s="57"/>
      <c r="AP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 hidden="1">
      <c r="O3888" s="57"/>
      <c r="P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 hidden="1">
      <c r="O3889" s="57"/>
      <c r="P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 hidden="1">
      <c r="O3890" s="57"/>
      <c r="P3890" s="57"/>
      <c r="AP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 hidden="1">
      <c r="O3891" s="57"/>
      <c r="P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 hidden="1">
      <c r="O3892" s="57"/>
      <c r="P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 hidden="1">
      <c r="O3893" s="57"/>
      <c r="P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 hidden="1">
      <c r="O3894" s="57"/>
      <c r="P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 hidden="1">
      <c r="O3895" s="57"/>
      <c r="P3895" s="57"/>
      <c r="A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 hidden="1">
      <c r="O3896" s="57"/>
      <c r="P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 hidden="1">
      <c r="O3897" s="57"/>
      <c r="P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 hidden="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 hidden="1">
      <c r="O3899" s="57"/>
      <c r="P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 hidden="1">
      <c r="O3900" s="57"/>
      <c r="P3900" s="57"/>
      <c r="AO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 hidden="1">
      <c r="O3901" s="57"/>
      <c r="P3901" s="57"/>
      <c r="AO3901" s="57"/>
      <c r="A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 hidden="1">
      <c r="O3902" s="57"/>
      <c r="P3902" s="57"/>
      <c r="AO3902" s="57"/>
      <c r="A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 hidden="1">
      <c r="O3903" s="57"/>
      <c r="P3903" s="57"/>
      <c r="AO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 hidden="1">
      <c r="O3904" s="57"/>
      <c r="P3904" s="57"/>
      <c r="AO3904" s="57"/>
      <c r="AP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 hidden="1">
      <c r="O3905" s="57"/>
      <c r="P3905" s="57"/>
      <c r="AO3905" s="57"/>
      <c r="AP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 hidden="1">
      <c r="O3906" s="57"/>
      <c r="P3906" s="57"/>
      <c r="AO3906" s="57"/>
      <c r="AP3906" s="57"/>
      <c r="BA3906" s="57"/>
      <c r="BF3906" s="6" t="e">
        <f t="shared" ref="BF3906:BF3969" si="183">DATE(BC3906,BD3906,BE3906)</f>
        <v>#NUM!</v>
      </c>
      <c r="BG3906" t="e">
        <f t="shared" ref="BG3906:BG3969" si="184">BF3906-BA3906</f>
        <v>#NUM!</v>
      </c>
      <c r="BH3906" t="e">
        <f t="shared" ref="BH3906:BH3969" si="185">IF(BG3906=1,"COMPLY",IF(BG3906&lt;1,"COMPLY","NOT COMPLY"))</f>
        <v>#NUM!</v>
      </c>
      <c r="BI3906" t="e">
        <f>VLOOKUP(H3906,Sheet2!$A$1:$B$270,2,FALSE)</f>
        <v>#N/A</v>
      </c>
    </row>
    <row r="3907" spans="15:61" hidden="1">
      <c r="O3907" s="57"/>
      <c r="P3907" s="57"/>
      <c r="AO3907" s="57"/>
      <c r="AP3907" s="57"/>
      <c r="BA3907" s="57"/>
      <c r="BF3907" s="6" t="e">
        <f t="shared" si="183"/>
        <v>#NUM!</v>
      </c>
      <c r="BG3907" t="e">
        <f t="shared" si="184"/>
        <v>#NUM!</v>
      </c>
      <c r="BH3907" t="e">
        <f t="shared" si="185"/>
        <v>#NUM!</v>
      </c>
      <c r="BI3907" t="e">
        <f>VLOOKUP(H3907,Sheet2!$A$1:$B$270,2,FALSE)</f>
        <v>#N/A</v>
      </c>
    </row>
    <row r="3908" spans="15:61" hidden="1">
      <c r="O3908" s="57"/>
      <c r="P3908" s="57"/>
      <c r="AO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 hidden="1">
      <c r="O3909" s="57"/>
      <c r="P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 hidden="1">
      <c r="O3910" s="57"/>
      <c r="P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 hidden="1">
      <c r="O3911" s="57"/>
      <c r="P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 hidden="1">
      <c r="O3912" s="57"/>
      <c r="P3912" s="57"/>
      <c r="AP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 hidden="1">
      <c r="O3913" s="57"/>
      <c r="P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 hidden="1">
      <c r="O3914" s="57"/>
      <c r="P3914" s="57"/>
      <c r="AP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 hidden="1">
      <c r="O3915" s="57"/>
      <c r="P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 hidden="1">
      <c r="O3916" s="57"/>
      <c r="P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 hidden="1">
      <c r="O3917" s="57"/>
      <c r="P3917" s="57"/>
      <c r="AP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 hidden="1">
      <c r="O3918" s="57"/>
      <c r="P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 hidden="1">
      <c r="O3919" s="57"/>
      <c r="P3919" s="57"/>
      <c r="AP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 hidden="1">
      <c r="O3920" s="57"/>
      <c r="P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 hidden="1">
      <c r="O3921" s="57"/>
      <c r="P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 hidden="1">
      <c r="O3922" s="57"/>
      <c r="P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 hidden="1">
      <c r="O3923" s="57"/>
      <c r="P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 hidden="1">
      <c r="O3924" s="57"/>
      <c r="P3924" s="57"/>
      <c r="AP3924" s="57"/>
      <c r="BA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 hidden="1">
      <c r="O3925" s="57"/>
      <c r="P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 hidden="1">
      <c r="O3926" s="57"/>
      <c r="P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 hidden="1">
      <c r="O3927" s="57"/>
      <c r="P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 hidden="1">
      <c r="O3928" s="57"/>
      <c r="P3928" s="57"/>
      <c r="AO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 hidden="1">
      <c r="O3929" s="57"/>
      <c r="P3929" s="57"/>
      <c r="AO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 hidden="1">
      <c r="O3930" s="57"/>
      <c r="P3930" s="57"/>
      <c r="AO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 hidden="1">
      <c r="O3931" s="57"/>
      <c r="P3931" s="57"/>
      <c r="AO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 hidden="1">
      <c r="O3932" s="57"/>
      <c r="P3932" s="57"/>
      <c r="AO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 hidden="1">
      <c r="O3933" s="57"/>
      <c r="P3933" s="57"/>
      <c r="AO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 hidden="1">
      <c r="O3934" s="57"/>
      <c r="P3934" s="57"/>
      <c r="AO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 hidden="1">
      <c r="O3935" s="57"/>
      <c r="P3935" s="57"/>
      <c r="AO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 hidden="1">
      <c r="O3936" s="57"/>
      <c r="P3936" s="57"/>
      <c r="AO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 hidden="1">
      <c r="O3937" s="57"/>
      <c r="P3937" s="57"/>
      <c r="AO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 hidden="1">
      <c r="O3938" s="57"/>
      <c r="P3938" s="57"/>
      <c r="AO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 hidden="1">
      <c r="O3939" s="57"/>
      <c r="P3939" s="57"/>
      <c r="AO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 hidden="1">
      <c r="O3940" s="57"/>
      <c r="P3940" s="57"/>
      <c r="AO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 hidden="1">
      <c r="O3941" s="57"/>
      <c r="P3941" s="57"/>
      <c r="AO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 hidden="1">
      <c r="O3942" s="57"/>
      <c r="P3942" s="57"/>
      <c r="AO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 hidden="1">
      <c r="O3943" s="57"/>
      <c r="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 hidden="1">
      <c r="O3944" s="57"/>
      <c r="P3944" s="57"/>
      <c r="A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 hidden="1">
      <c r="O3945" s="57"/>
      <c r="P3945" s="57"/>
      <c r="AO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 hidden="1">
      <c r="O3946" s="57"/>
      <c r="P3946" s="57"/>
      <c r="AO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 hidden="1">
      <c r="O3947" s="57"/>
      <c r="P3947" s="57"/>
      <c r="AO3947" s="57"/>
      <c r="A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 hidden="1">
      <c r="O3948" s="57"/>
      <c r="P3948" s="57"/>
      <c r="AO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 hidden="1">
      <c r="O3949" s="57"/>
      <c r="P3949" s="57"/>
      <c r="AO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 hidden="1">
      <c r="O3950" s="57"/>
      <c r="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 hidden="1">
      <c r="O3951" s="57"/>
      <c r="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 hidden="1">
      <c r="O3952" s="57"/>
      <c r="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 hidden="1">
      <c r="O3953" s="57"/>
      <c r="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 hidden="1">
      <c r="O3954" s="57"/>
      <c r="P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 hidden="1">
      <c r="O3955" s="57"/>
      <c r="P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 hidden="1">
      <c r="O3956" s="57"/>
      <c r="P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 hidden="1">
      <c r="O3957" s="57"/>
      <c r="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 hidden="1">
      <c r="O3958" s="57"/>
      <c r="P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 hidden="1">
      <c r="O3959" s="57"/>
      <c r="P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 hidden="1">
      <c r="O3960" s="57"/>
      <c r="P3960" s="57"/>
      <c r="AO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 hidden="1">
      <c r="O3961" s="57"/>
      <c r="P3961" s="57"/>
      <c r="AO3961" s="57"/>
      <c r="AP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 hidden="1">
      <c r="O3962" s="57"/>
      <c r="P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 hidden="1">
      <c r="O3963" s="57"/>
      <c r="P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 hidden="1">
      <c r="O3964" s="57"/>
      <c r="P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 hidden="1">
      <c r="O3965" s="57"/>
      <c r="P3965" s="57"/>
      <c r="AO3965" s="57"/>
      <c r="AP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 hidden="1">
      <c r="O3966" s="57"/>
      <c r="P3966" s="57"/>
      <c r="AP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 hidden="1">
      <c r="O3967" s="57"/>
      <c r="P3967" s="57"/>
      <c r="AP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 hidden="1">
      <c r="O3968" s="57"/>
      <c r="P3968" s="57"/>
      <c r="BA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 hidden="1">
      <c r="O3969" s="57"/>
      <c r="P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 hidden="1">
      <c r="O3970" s="57"/>
      <c r="P3970" s="57"/>
      <c r="AO3970" s="57"/>
      <c r="AP3970" s="57"/>
      <c r="BA3970" s="57"/>
      <c r="BF3970" s="6" t="e">
        <f t="shared" ref="BF3970:BF4033" si="186">DATE(BC3970,BD3970,BE3970)</f>
        <v>#NUM!</v>
      </c>
      <c r="BG3970" t="e">
        <f t="shared" ref="BG3970:BG4033" si="187">BF3970-BA3970</f>
        <v>#NUM!</v>
      </c>
      <c r="BH3970" t="e">
        <f t="shared" ref="BH3970:BH4033" si="188">IF(BG3970=1,"COMPLY",IF(BG3970&lt;1,"COMPLY","NOT COMPLY"))</f>
        <v>#NUM!</v>
      </c>
      <c r="BI3970" t="e">
        <f>VLOOKUP(H3970,Sheet2!$A$1:$B$270,2,FALSE)</f>
        <v>#N/A</v>
      </c>
    </row>
    <row r="3971" spans="15:61" hidden="1">
      <c r="O3971" s="57"/>
      <c r="P3971" s="57"/>
      <c r="AO3971" s="57"/>
      <c r="AP3971" s="57"/>
      <c r="BA3971" s="57"/>
      <c r="BF3971" s="6" t="e">
        <f t="shared" si="186"/>
        <v>#NUM!</v>
      </c>
      <c r="BG3971" t="e">
        <f t="shared" si="187"/>
        <v>#NUM!</v>
      </c>
      <c r="BH3971" t="e">
        <f t="shared" si="188"/>
        <v>#NUM!</v>
      </c>
      <c r="BI3971" t="e">
        <f>VLOOKUP(H3971,Sheet2!$A$1:$B$270,2,FALSE)</f>
        <v>#N/A</v>
      </c>
    </row>
    <row r="3972" spans="15:61" hidden="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 hidden="1">
      <c r="O3973" s="57"/>
      <c r="P3973" s="57"/>
      <c r="AO3973" s="57"/>
      <c r="A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 hidden="1">
      <c r="O3974" s="57"/>
      <c r="P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 hidden="1">
      <c r="O3975" s="57"/>
      <c r="P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 hidden="1">
      <c r="O3976" s="57"/>
      <c r="P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 hidden="1">
      <c r="O3977" s="57"/>
      <c r="P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 hidden="1">
      <c r="O3978" s="57"/>
      <c r="P3978" s="57"/>
      <c r="AO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 hidden="1">
      <c r="O3979" s="57"/>
      <c r="P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 hidden="1">
      <c r="O3980" s="57"/>
      <c r="P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 hidden="1">
      <c r="O3981" s="57"/>
      <c r="P3981" s="57"/>
      <c r="AO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 hidden="1">
      <c r="O3982" s="57"/>
      <c r="P3982" s="57"/>
      <c r="AO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 hidden="1">
      <c r="O3983" s="57"/>
      <c r="P3983" s="57"/>
      <c r="AO3983" s="57"/>
      <c r="AP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 hidden="1">
      <c r="O3984" s="57"/>
      <c r="P3984" s="57"/>
      <c r="AO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 hidden="1">
      <c r="O3985" s="57"/>
      <c r="P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 hidden="1">
      <c r="O3986" s="57"/>
      <c r="P3986" s="57"/>
      <c r="AP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 hidden="1">
      <c r="O3987" s="57"/>
      <c r="P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 hidden="1">
      <c r="O3988" s="57"/>
      <c r="P3988" s="57"/>
      <c r="AP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 hidden="1">
      <c r="O3989" s="57"/>
      <c r="P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 hidden="1">
      <c r="O3990" s="57"/>
      <c r="P3990" s="57"/>
      <c r="AO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 hidden="1">
      <c r="O3991" s="57"/>
      <c r="P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 hidden="1">
      <c r="O3992" s="57"/>
      <c r="P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 hidden="1">
      <c r="O3993" s="57"/>
      <c r="P3993" s="57"/>
      <c r="A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 hidden="1">
      <c r="O3994" s="57"/>
      <c r="P3994" s="57"/>
      <c r="AO3994" s="57"/>
      <c r="A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 hidden="1">
      <c r="O3995" s="57"/>
      <c r="P3995" s="57"/>
      <c r="AO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 hidden="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 hidden="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 hidden="1">
      <c r="O3998" s="57"/>
      <c r="P3998" s="57"/>
      <c r="AO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 hidden="1">
      <c r="O3999" s="57"/>
      <c r="P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 hidden="1">
      <c r="O4000" s="57"/>
      <c r="P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 hidden="1">
      <c r="O4001" s="57"/>
      <c r="P4001" s="57"/>
      <c r="AP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 hidden="1">
      <c r="O4002" s="57"/>
      <c r="P4002" s="57"/>
      <c r="AP4002" s="57"/>
      <c r="BA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 hidden="1">
      <c r="O4003" s="57"/>
      <c r="P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 hidden="1">
      <c r="O4004" s="57"/>
      <c r="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 hidden="1">
      <c r="O4005" s="57"/>
      <c r="P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 hidden="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 hidden="1">
      <c r="O4007" s="57"/>
      <c r="P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 hidden="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 hidden="1">
      <c r="O4009" s="57"/>
      <c r="P4009" s="57"/>
      <c r="AO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 hidden="1">
      <c r="O4010" s="57"/>
      <c r="P4010" s="57"/>
      <c r="AO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 hidden="1">
      <c r="O4011" s="57"/>
      <c r="P4011" s="57"/>
      <c r="AO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 hidden="1">
      <c r="O4012" s="57"/>
      <c r="P4012" s="57"/>
      <c r="AO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 hidden="1">
      <c r="O4013" s="57"/>
      <c r="P4013" s="57"/>
      <c r="AO4013" s="57"/>
      <c r="A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 hidden="1">
      <c r="O4014" s="57"/>
      <c r="P4014" s="57"/>
      <c r="AO4014" s="57"/>
      <c r="AP4014" s="57"/>
      <c r="BA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 hidden="1">
      <c r="O4015" s="57"/>
      <c r="P4015" s="57"/>
      <c r="AO4015" s="57"/>
      <c r="AP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 hidden="1">
      <c r="O4016" s="57"/>
      <c r="P4016" s="57"/>
      <c r="AP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 hidden="1">
      <c r="O4017" s="57"/>
      <c r="P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 hidden="1">
      <c r="O4018" s="57"/>
      <c r="P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 hidden="1">
      <c r="O4019" s="57"/>
      <c r="P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 hidden="1">
      <c r="O4020" s="57"/>
      <c r="P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 hidden="1">
      <c r="O4021" s="57"/>
      <c r="P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 hidden="1">
      <c r="O4022" s="57"/>
      <c r="P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 hidden="1">
      <c r="O4023" s="57"/>
      <c r="P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 hidden="1">
      <c r="O4024" s="57"/>
      <c r="P4024" s="57"/>
      <c r="A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 hidden="1">
      <c r="O4025" s="57"/>
      <c r="P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 hidden="1">
      <c r="O4026" s="57"/>
      <c r="P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 hidden="1">
      <c r="O4027" s="57"/>
      <c r="P4027" s="57"/>
      <c r="AP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 hidden="1">
      <c r="O4028" s="57"/>
      <c r="P4028" s="57"/>
      <c r="AP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 hidden="1">
      <c r="O4029" s="57"/>
      <c r="P4029" s="57"/>
      <c r="AP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 hidden="1">
      <c r="O4030" s="57"/>
      <c r="P4030" s="57"/>
      <c r="AP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 hidden="1">
      <c r="O4031" s="57"/>
      <c r="P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 hidden="1">
      <c r="O4032" s="57"/>
      <c r="P4032" s="57"/>
      <c r="AP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 hidden="1">
      <c r="O4033" s="57"/>
      <c r="P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 hidden="1">
      <c r="O4034" s="57"/>
      <c r="P4034" s="57"/>
      <c r="AP4034" s="57"/>
      <c r="BA4034" s="57"/>
      <c r="BF4034" s="6" t="e">
        <f t="shared" ref="BF4034:BF4097" si="189">DATE(BC4034,BD4034,BE4034)</f>
        <v>#NUM!</v>
      </c>
      <c r="BG4034" t="e">
        <f t="shared" ref="BG4034:BG4097" si="190">BF4034-BA4034</f>
        <v>#NUM!</v>
      </c>
      <c r="BH4034" t="e">
        <f t="shared" ref="BH4034:BH4097" si="191">IF(BG4034=1,"COMPLY",IF(BG4034&lt;1,"COMPLY","NOT COMPLY"))</f>
        <v>#NUM!</v>
      </c>
      <c r="BI4034" t="e">
        <f>VLOOKUP(H4034,Sheet2!$A$1:$B$270,2,FALSE)</f>
        <v>#N/A</v>
      </c>
    </row>
    <row r="4035" spans="15:61" hidden="1">
      <c r="O4035" s="57"/>
      <c r="P4035" s="57"/>
      <c r="BA4035" s="57"/>
      <c r="BF4035" s="6" t="e">
        <f t="shared" si="189"/>
        <v>#NUM!</v>
      </c>
      <c r="BG4035" t="e">
        <f t="shared" si="190"/>
        <v>#NUM!</v>
      </c>
      <c r="BH4035" t="e">
        <f t="shared" si="191"/>
        <v>#NUM!</v>
      </c>
      <c r="BI4035" t="e">
        <f>VLOOKUP(H4035,Sheet2!$A$1:$B$270,2,FALSE)</f>
        <v>#N/A</v>
      </c>
    </row>
    <row r="4036" spans="15:61" hidden="1">
      <c r="O4036" s="57"/>
      <c r="P4036" s="57"/>
      <c r="AP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 hidden="1">
      <c r="O4037" s="57"/>
      <c r="P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 hidden="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 hidden="1">
      <c r="O4039" s="57"/>
      <c r="P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 hidden="1">
      <c r="O4040" s="57"/>
      <c r="P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 hidden="1">
      <c r="O4041" s="57"/>
      <c r="P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 hidden="1">
      <c r="O4042" s="57"/>
      <c r="P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 hidden="1">
      <c r="O4043" s="57"/>
      <c r="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 hidden="1">
      <c r="O4044" s="57"/>
      <c r="P4044" s="57"/>
      <c r="AO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 hidden="1">
      <c r="O4045" s="57"/>
      <c r="P4045" s="57"/>
      <c r="AO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 hidden="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 hidden="1">
      <c r="O4047" s="57"/>
      <c r="P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 hidden="1">
      <c r="O4048" s="57"/>
      <c r="P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 hidden="1">
      <c r="O4049" s="57"/>
      <c r="P4049" s="57"/>
      <c r="AP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 hidden="1">
      <c r="O4050" s="57"/>
      <c r="P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 hidden="1">
      <c r="O4051" s="57"/>
      <c r="P4051" s="57"/>
      <c r="AO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 hidden="1">
      <c r="O4052" s="57"/>
      <c r="P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 hidden="1">
      <c r="O4053" s="57"/>
      <c r="P4053" s="57"/>
      <c r="AO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 hidden="1">
      <c r="O4054" s="57"/>
      <c r="P4054" s="57"/>
      <c r="AO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 hidden="1">
      <c r="O4055" s="57"/>
      <c r="P4055" s="57"/>
      <c r="AO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 hidden="1">
      <c r="O4056" s="57"/>
      <c r="P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 hidden="1">
      <c r="O4057" s="57"/>
      <c r="P4057" s="57"/>
      <c r="A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 hidden="1">
      <c r="O4058" s="57"/>
      <c r="P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 hidden="1">
      <c r="O4059" s="57"/>
      <c r="P4059" s="57"/>
      <c r="A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 hidden="1">
      <c r="O4060" s="57"/>
      <c r="P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 hidden="1">
      <c r="O4061" s="57"/>
      <c r="P4061" s="57"/>
      <c r="AP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 hidden="1">
      <c r="O4062" s="57"/>
      <c r="P4062" s="57"/>
      <c r="AP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 hidden="1">
      <c r="O4063" s="57"/>
      <c r="P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 hidden="1">
      <c r="O4064" s="57"/>
      <c r="P4064" s="57"/>
      <c r="AO4064" s="57"/>
      <c r="AP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 hidden="1">
      <c r="O4065" s="57"/>
      <c r="P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 hidden="1">
      <c r="O4066" s="57"/>
      <c r="P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 hidden="1">
      <c r="O4067" s="57"/>
      <c r="P4067" s="57"/>
      <c r="AO4067" s="57"/>
      <c r="A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 hidden="1">
      <c r="O4068" s="57"/>
      <c r="P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 hidden="1">
      <c r="O4069" s="57"/>
      <c r="P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 hidden="1">
      <c r="O4070" s="57"/>
      <c r="P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 hidden="1">
      <c r="O4071" s="57"/>
      <c r="P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 hidden="1">
      <c r="O4072" s="57"/>
      <c r="P4072" s="57"/>
      <c r="A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 hidden="1">
      <c r="O4073" s="57"/>
      <c r="P4073" s="57"/>
      <c r="AO4073" s="57"/>
      <c r="AP4073" s="57"/>
      <c r="BA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 hidden="1">
      <c r="O4074" s="57"/>
      <c r="P4074" s="57"/>
      <c r="AO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 hidden="1">
      <c r="O4075" s="57"/>
      <c r="P4075" s="57"/>
      <c r="AO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 hidden="1">
      <c r="O4076" s="57"/>
      <c r="P4076" s="57"/>
      <c r="AO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 hidden="1">
      <c r="O4077" s="57"/>
      <c r="P4077" s="57"/>
      <c r="AP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 hidden="1">
      <c r="O4078" s="57"/>
      <c r="P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 hidden="1">
      <c r="O4079" s="57"/>
      <c r="P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 hidden="1">
      <c r="O4080" s="57"/>
      <c r="P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 hidden="1">
      <c r="O4081" s="57"/>
      <c r="P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 hidden="1">
      <c r="O4082" s="57"/>
      <c r="P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 hidden="1">
      <c r="O4083" s="57"/>
      <c r="P4083" s="57"/>
      <c r="AO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 hidden="1">
      <c r="O4084" s="57"/>
      <c r="P4084" s="57"/>
      <c r="AP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 hidden="1">
      <c r="O4085" s="57"/>
      <c r="P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 hidden="1">
      <c r="O4086" s="57"/>
      <c r="P4086" s="57"/>
      <c r="AO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 hidden="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 hidden="1">
      <c r="O4088" s="57"/>
      <c r="P4088" s="57"/>
      <c r="AO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 hidden="1">
      <c r="O4089" s="57"/>
      <c r="P4089" s="57"/>
      <c r="AO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 hidden="1">
      <c r="O4090" s="57"/>
      <c r="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 hidden="1">
      <c r="O4091" s="57"/>
      <c r="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 hidden="1">
      <c r="O4092" s="57"/>
      <c r="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 hidden="1">
      <c r="O4093" s="57"/>
      <c r="P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 hidden="1">
      <c r="O4094" s="57"/>
      <c r="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 hidden="1">
      <c r="O4095" s="57"/>
      <c r="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 hidden="1">
      <c r="O4096" s="57"/>
      <c r="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 hidden="1">
      <c r="O4097" s="57"/>
      <c r="P4097" s="57"/>
      <c r="BA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 hidden="1">
      <c r="O4098" s="57"/>
      <c r="P4098" s="57"/>
      <c r="BA4098" s="57"/>
      <c r="BF4098" s="6" t="e">
        <f t="shared" ref="BF4098:BF4161" si="192">DATE(BC4098,BD4098,BE4098)</f>
        <v>#NUM!</v>
      </c>
      <c r="BG4098" t="e">
        <f t="shared" ref="BG4098:BG4161" si="193">BF4098-BA4098</f>
        <v>#NUM!</v>
      </c>
      <c r="BH4098" t="e">
        <f t="shared" ref="BH4098:BH4161" si="194">IF(BG4098=1,"COMPLY",IF(BG4098&lt;1,"COMPLY","NOT COMPLY"))</f>
        <v>#NUM!</v>
      </c>
      <c r="BI4098" t="e">
        <f>VLOOKUP(H4098,Sheet2!$A$1:$B$270,2,FALSE)</f>
        <v>#N/A</v>
      </c>
    </row>
    <row r="4099" spans="15:61" hidden="1">
      <c r="O4099" s="57"/>
      <c r="P4099" s="57"/>
      <c r="BA4099" s="57"/>
      <c r="BF4099" s="6" t="e">
        <f t="shared" si="192"/>
        <v>#NUM!</v>
      </c>
      <c r="BG4099" t="e">
        <f t="shared" si="193"/>
        <v>#NUM!</v>
      </c>
      <c r="BH4099" t="e">
        <f t="shared" si="194"/>
        <v>#NUM!</v>
      </c>
      <c r="BI4099" t="e">
        <f>VLOOKUP(H4099,Sheet2!$A$1:$B$270,2,FALSE)</f>
        <v>#N/A</v>
      </c>
    </row>
    <row r="4100" spans="15:61" hidden="1">
      <c r="O4100" s="57"/>
      <c r="P4100" s="57"/>
      <c r="BA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 hidden="1">
      <c r="O4101" s="57"/>
      <c r="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 hidden="1">
      <c r="O4102" s="57"/>
      <c r="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 hidden="1">
      <c r="O4103" s="57"/>
      <c r="P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 hidden="1">
      <c r="O4104" s="57"/>
      <c r="P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 hidden="1">
      <c r="O4105" s="57"/>
      <c r="P4105" s="57"/>
      <c r="A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 hidden="1">
      <c r="O4106" s="57"/>
      <c r="P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 hidden="1">
      <c r="O4107" s="57"/>
      <c r="P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 hidden="1">
      <c r="O4108" s="57"/>
      <c r="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 hidden="1">
      <c r="O4109" s="57"/>
      <c r="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 hidden="1">
      <c r="O4110" s="57"/>
      <c r="P4110" s="57"/>
      <c r="AO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 hidden="1">
      <c r="O4111" s="57"/>
      <c r="P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 hidden="1">
      <c r="O4112" s="57"/>
      <c r="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 hidden="1">
      <c r="O4113" s="57"/>
      <c r="P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 hidden="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 hidden="1">
      <c r="O4115" s="57"/>
      <c r="P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 hidden="1">
      <c r="O4116" s="57"/>
      <c r="P4116" s="57"/>
      <c r="AO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 hidden="1">
      <c r="O4117" s="57"/>
      <c r="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 hidden="1">
      <c r="O4118" s="57"/>
      <c r="P4118" s="57"/>
      <c r="AO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 hidden="1">
      <c r="O4119" s="57"/>
      <c r="P4119" s="57"/>
      <c r="AO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 hidden="1">
      <c r="O4120" s="57"/>
      <c r="P4120" s="57"/>
      <c r="AO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 hidden="1">
      <c r="O4121" s="57"/>
      <c r="P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 hidden="1">
      <c r="O4122" s="57"/>
      <c r="P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 hidden="1">
      <c r="O4123" s="57"/>
      <c r="P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 hidden="1">
      <c r="O4124" s="57"/>
      <c r="P4124" s="57"/>
      <c r="AO4124" s="57"/>
      <c r="AP4124" s="57"/>
      <c r="BA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 hidden="1">
      <c r="O4125" s="57"/>
      <c r="P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 hidden="1">
      <c r="O4126" s="57"/>
      <c r="P4126" s="57"/>
      <c r="A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 hidden="1">
      <c r="O4127" s="57"/>
      <c r="P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 hidden="1">
      <c r="O4128" s="57"/>
      <c r="P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 hidden="1">
      <c r="O4129" s="57"/>
      <c r="P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 hidden="1">
      <c r="O4130" s="57"/>
      <c r="P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 hidden="1">
      <c r="O4131" s="57"/>
      <c r="P4131" s="57"/>
      <c r="AO4131" s="57"/>
      <c r="AP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 hidden="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 hidden="1">
      <c r="O4133" s="57"/>
      <c r="P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 hidden="1">
      <c r="O4134" s="57"/>
      <c r="P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 hidden="1">
      <c r="O4135" s="57"/>
      <c r="P4135" s="57"/>
      <c r="AP4135" s="57"/>
      <c r="BA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 hidden="1">
      <c r="O4136" s="57"/>
      <c r="P4136" s="57"/>
      <c r="A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 hidden="1">
      <c r="O4137" s="57"/>
      <c r="P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 hidden="1">
      <c r="O4138" s="57"/>
      <c r="P4138" s="57"/>
      <c r="AP4138" s="57"/>
      <c r="BA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 hidden="1">
      <c r="O4139" s="57"/>
      <c r="P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 hidden="1">
      <c r="O4140" s="57"/>
      <c r="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 hidden="1">
      <c r="O4141" s="57"/>
      <c r="P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 hidden="1">
      <c r="O4142" s="57"/>
      <c r="P4142" s="57"/>
      <c r="A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 hidden="1">
      <c r="O4143" s="57"/>
      <c r="P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 hidden="1">
      <c r="O4144" s="57"/>
      <c r="P4144" s="57"/>
      <c r="AO4144" s="57"/>
      <c r="AP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 hidden="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 hidden="1">
      <c r="O4146" s="57"/>
      <c r="P4146" s="57"/>
      <c r="AO4146" s="57"/>
      <c r="A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 hidden="1">
      <c r="O4147" s="57"/>
      <c r="P4147" s="57"/>
      <c r="AO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 hidden="1">
      <c r="O4148" s="57"/>
      <c r="P4148" s="57"/>
      <c r="AO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 hidden="1">
      <c r="O4149" s="57"/>
      <c r="P4149" s="57"/>
      <c r="AO4149" s="57"/>
      <c r="AP4149" s="57"/>
      <c r="BA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 hidden="1">
      <c r="O4150" s="57"/>
      <c r="P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 hidden="1">
      <c r="O4151" s="57"/>
      <c r="P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 hidden="1">
      <c r="O4152" s="57"/>
      <c r="P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 hidden="1">
      <c r="O4153" s="57"/>
      <c r="P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 hidden="1">
      <c r="O4154" s="57"/>
      <c r="P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 hidden="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 hidden="1">
      <c r="O4156" s="57"/>
      <c r="P4156" s="57"/>
      <c r="AP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 hidden="1">
      <c r="O4157" s="57"/>
      <c r="P4157" s="57"/>
      <c r="A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 hidden="1">
      <c r="O4158" s="57"/>
      <c r="P4158" s="57"/>
      <c r="AO4158" s="57"/>
      <c r="AP4158" s="57"/>
      <c r="BA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 hidden="1">
      <c r="O4159" s="57"/>
      <c r="P4159" s="57"/>
      <c r="AO4159" s="57"/>
      <c r="A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 hidden="1">
      <c r="O4160" s="57"/>
      <c r="P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 hidden="1">
      <c r="O4161" s="57"/>
      <c r="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 hidden="1">
      <c r="O4162" s="57"/>
      <c r="P4162" s="57"/>
      <c r="AP4162" s="57"/>
      <c r="BA4162" s="57"/>
      <c r="BF4162" s="6" t="e">
        <f t="shared" ref="BF4162:BF4225" si="195">DATE(BC4162,BD4162,BE4162)</f>
        <v>#NUM!</v>
      </c>
      <c r="BG4162" t="e">
        <f t="shared" ref="BG4162:BG4225" si="196">BF4162-BA4162</f>
        <v>#NUM!</v>
      </c>
      <c r="BH4162" t="e">
        <f t="shared" ref="BH4162:BH4225" si="197">IF(BG4162=1,"COMPLY",IF(BG4162&lt;1,"COMPLY","NOT COMPLY"))</f>
        <v>#NUM!</v>
      </c>
      <c r="BI4162" t="e">
        <f>VLOOKUP(H4162,Sheet2!$A$1:$B$270,2,FALSE)</f>
        <v>#N/A</v>
      </c>
    </row>
    <row r="4163" spans="15:61" hidden="1">
      <c r="O4163" s="57"/>
      <c r="P4163" s="57"/>
      <c r="AP4163" s="57"/>
      <c r="BA4163" s="57"/>
      <c r="BF4163" s="6" t="e">
        <f t="shared" si="195"/>
        <v>#NUM!</v>
      </c>
      <c r="BG4163" t="e">
        <f t="shared" si="196"/>
        <v>#NUM!</v>
      </c>
      <c r="BH4163" t="e">
        <f t="shared" si="197"/>
        <v>#NUM!</v>
      </c>
      <c r="BI4163" t="e">
        <f>VLOOKUP(H4163,Sheet2!$A$1:$B$270,2,FALSE)</f>
        <v>#N/A</v>
      </c>
    </row>
    <row r="4164" spans="15:61" hidden="1">
      <c r="O4164" s="57"/>
      <c r="P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 hidden="1">
      <c r="O4165" s="57"/>
      <c r="P4165" s="57"/>
      <c r="AP4165" s="57"/>
      <c r="BA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 hidden="1">
      <c r="O4166" s="57"/>
      <c r="P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 hidden="1">
      <c r="O4167" s="57"/>
      <c r="P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 hidden="1">
      <c r="O4168" s="57"/>
      <c r="P4168" s="57"/>
      <c r="AO4168" s="57"/>
      <c r="AP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 hidden="1">
      <c r="O4169" s="57"/>
      <c r="P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 hidden="1">
      <c r="O4170" s="57"/>
      <c r="P4170" s="57"/>
      <c r="AO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 hidden="1">
      <c r="O4171" s="57"/>
      <c r="P4171" s="57"/>
      <c r="AO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 hidden="1">
      <c r="O4172" s="57"/>
      <c r="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 hidden="1">
      <c r="O4173" s="57"/>
      <c r="P4173" s="57"/>
      <c r="AP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 hidden="1">
      <c r="O4174" s="57"/>
      <c r="P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 hidden="1">
      <c r="O4175" s="57"/>
      <c r="P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 hidden="1">
      <c r="O4176" s="57"/>
      <c r="P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 hidden="1">
      <c r="O4177" s="57"/>
      <c r="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 hidden="1">
      <c r="O4178" s="57"/>
      <c r="P4178" s="57"/>
      <c r="A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 hidden="1">
      <c r="O4179" s="57"/>
      <c r="P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 hidden="1">
      <c r="O4180" s="57"/>
      <c r="P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 hidden="1">
      <c r="O4181" s="57"/>
      <c r="P4181" s="57"/>
      <c r="AP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 hidden="1">
      <c r="O4182" s="57"/>
      <c r="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 hidden="1">
      <c r="O4183" s="57"/>
      <c r="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 hidden="1">
      <c r="O4184" s="57"/>
      <c r="P4184" s="57"/>
      <c r="AO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 hidden="1">
      <c r="O4185" s="57"/>
      <c r="P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 hidden="1">
      <c r="O4186" s="57"/>
      <c r="P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 hidden="1">
      <c r="O4187" s="57"/>
      <c r="P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 hidden="1">
      <c r="O4188" s="57"/>
      <c r="P4188" s="57"/>
      <c r="AO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 hidden="1">
      <c r="O4189" s="57"/>
      <c r="P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 hidden="1">
      <c r="O4190" s="57"/>
      <c r="P4190" s="57"/>
      <c r="AP4190" s="57"/>
      <c r="BA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 hidden="1">
      <c r="O4191" s="57"/>
      <c r="P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 hidden="1">
      <c r="O4192" s="57"/>
      <c r="P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 hidden="1">
      <c r="O4193" s="57"/>
      <c r="P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 hidden="1">
      <c r="O4194" s="57"/>
      <c r="P4194" s="57"/>
      <c r="AO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 hidden="1">
      <c r="O4195" s="57"/>
      <c r="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 hidden="1">
      <c r="O4196" s="57"/>
      <c r="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 hidden="1">
      <c r="O4197" s="57"/>
      <c r="P4197" s="57"/>
      <c r="AP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 hidden="1">
      <c r="O4198" s="57"/>
      <c r="P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 hidden="1">
      <c r="O4199" s="57"/>
      <c r="P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 hidden="1">
      <c r="O4200" s="57"/>
      <c r="P4200" s="57"/>
      <c r="AO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 hidden="1">
      <c r="O4201" s="57"/>
      <c r="P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 hidden="1">
      <c r="O4202" s="57"/>
      <c r="P4202" s="57"/>
      <c r="AP4202" s="57"/>
      <c r="BA4202" s="57"/>
      <c r="BF4202" s="6" t="e">
        <f t="shared" si="195"/>
        <v>#NUM!</v>
      </c>
      <c r="BG4202" t="e">
        <f t="shared" si="196"/>
        <v>#NUM!</v>
      </c>
      <c r="BH4202" t="e">
        <f t="shared" si="197"/>
        <v>#NUM!</v>
      </c>
      <c r="BI4202" t="e">
        <f>VLOOKUP(H4202,Sheet2!$A$1:$B$270,2,FALSE)</f>
        <v>#N/A</v>
      </c>
    </row>
    <row r="4203" spans="15:61" hidden="1">
      <c r="O4203" s="57"/>
      <c r="P4203" s="57"/>
      <c r="AP4203" s="57"/>
      <c r="BA4203" s="57"/>
      <c r="BF4203" s="6" t="e">
        <f t="shared" si="195"/>
        <v>#NUM!</v>
      </c>
      <c r="BG4203" t="e">
        <f t="shared" si="196"/>
        <v>#NUM!</v>
      </c>
      <c r="BH4203" t="e">
        <f t="shared" si="197"/>
        <v>#NUM!</v>
      </c>
      <c r="BI4203" t="e">
        <f>VLOOKUP(H4203,Sheet2!$A$1:$B$270,2,FALSE)</f>
        <v>#N/A</v>
      </c>
    </row>
    <row r="4204" spans="15:61" hidden="1">
      <c r="O4204" s="57"/>
      <c r="P4204" s="57"/>
      <c r="BA4204" s="57"/>
      <c r="BF4204" s="6" t="e">
        <f t="shared" si="195"/>
        <v>#NUM!</v>
      </c>
      <c r="BG4204" t="e">
        <f t="shared" si="196"/>
        <v>#NUM!</v>
      </c>
      <c r="BH4204" t="e">
        <f t="shared" si="197"/>
        <v>#NUM!</v>
      </c>
      <c r="BI4204" t="e">
        <f>VLOOKUP(H4204,Sheet2!$A$1:$B$270,2,FALSE)</f>
        <v>#N/A</v>
      </c>
    </row>
    <row r="4205" spans="15:61" hidden="1">
      <c r="O4205" s="57"/>
      <c r="P4205" s="57"/>
      <c r="AO4205" s="57"/>
      <c r="AP4205" s="57"/>
      <c r="BA4205" s="57"/>
      <c r="BF4205" s="6" t="e">
        <f t="shared" si="195"/>
        <v>#NUM!</v>
      </c>
      <c r="BG4205" t="e">
        <f t="shared" si="196"/>
        <v>#NUM!</v>
      </c>
      <c r="BH4205" t="e">
        <f t="shared" si="197"/>
        <v>#NUM!</v>
      </c>
      <c r="BI4205" t="e">
        <f>VLOOKUP(H4205,Sheet2!$A$1:$B$270,2,FALSE)</f>
        <v>#N/A</v>
      </c>
    </row>
    <row r="4206" spans="15:61" hidden="1">
      <c r="O4206" s="57"/>
      <c r="P4206" s="57"/>
      <c r="AO4206" s="57"/>
      <c r="AP4206" s="57"/>
      <c r="BA4206" s="57"/>
      <c r="BF4206" s="6" t="e">
        <f t="shared" si="195"/>
        <v>#NUM!</v>
      </c>
      <c r="BG4206" t="e">
        <f t="shared" si="196"/>
        <v>#NUM!</v>
      </c>
      <c r="BH4206" t="e">
        <f t="shared" si="197"/>
        <v>#NUM!</v>
      </c>
      <c r="BI4206" t="e">
        <f>VLOOKUP(H4206,Sheet2!$A$1:$B$270,2,FALSE)</f>
        <v>#N/A</v>
      </c>
    </row>
    <row r="4207" spans="15:61" hidden="1">
      <c r="O4207" s="57"/>
      <c r="P4207" s="57"/>
      <c r="AO4207" s="57"/>
      <c r="AP4207" s="57"/>
      <c r="BA4207" s="57"/>
      <c r="BF4207" s="6" t="e">
        <f t="shared" si="195"/>
        <v>#NUM!</v>
      </c>
      <c r="BG4207" t="e">
        <f t="shared" si="196"/>
        <v>#NUM!</v>
      </c>
      <c r="BH4207" t="e">
        <f t="shared" si="197"/>
        <v>#NUM!</v>
      </c>
      <c r="BI4207" t="e">
        <f>VLOOKUP(H4207,Sheet2!$A$1:$B$270,2,FALSE)</f>
        <v>#N/A</v>
      </c>
    </row>
    <row r="4208" spans="15:61" hidden="1">
      <c r="O4208" s="57"/>
      <c r="P4208" s="57"/>
      <c r="AO4208" s="57"/>
      <c r="AP4208" s="57"/>
      <c r="BA4208" s="57"/>
      <c r="BF4208" s="6" t="e">
        <f t="shared" si="195"/>
        <v>#NUM!</v>
      </c>
      <c r="BG4208" t="e">
        <f t="shared" si="196"/>
        <v>#NUM!</v>
      </c>
      <c r="BH4208" t="e">
        <f t="shared" si="197"/>
        <v>#NUM!</v>
      </c>
      <c r="BI4208" t="e">
        <f>VLOOKUP(H4208,Sheet2!$A$1:$B$270,2,FALSE)</f>
        <v>#N/A</v>
      </c>
    </row>
    <row r="4209" spans="15:61" hidden="1">
      <c r="O4209" s="57"/>
      <c r="P4209" s="57"/>
      <c r="AP4209" s="57"/>
      <c r="BA4209" s="57"/>
      <c r="BF4209" s="6" t="e">
        <f t="shared" si="195"/>
        <v>#NUM!</v>
      </c>
      <c r="BG4209" t="e">
        <f t="shared" si="196"/>
        <v>#NUM!</v>
      </c>
      <c r="BH4209" t="e">
        <f t="shared" si="197"/>
        <v>#NUM!</v>
      </c>
      <c r="BI4209" t="e">
        <f>VLOOKUP(H4209,Sheet2!$A$1:$B$270,2,FALSE)</f>
        <v>#N/A</v>
      </c>
    </row>
    <row r="4210" spans="15:61" hidden="1">
      <c r="O4210" s="57"/>
      <c r="P4210" s="57"/>
      <c r="AP4210" s="57"/>
      <c r="BA4210" s="57"/>
      <c r="BF4210" s="6" t="e">
        <f t="shared" si="195"/>
        <v>#NUM!</v>
      </c>
      <c r="BG4210" t="e">
        <f t="shared" si="196"/>
        <v>#NUM!</v>
      </c>
      <c r="BH4210" t="e">
        <f t="shared" si="197"/>
        <v>#NUM!</v>
      </c>
      <c r="BI4210" t="e">
        <f>VLOOKUP(H4210,Sheet2!$A$1:$B$270,2,FALSE)</f>
        <v>#N/A</v>
      </c>
    </row>
    <row r="4211" spans="15:61" hidden="1">
      <c r="O4211" s="57"/>
      <c r="P4211" s="57"/>
      <c r="BA4211" s="57"/>
      <c r="BF4211" s="6" t="e">
        <f t="shared" si="195"/>
        <v>#NUM!</v>
      </c>
      <c r="BG4211" t="e">
        <f t="shared" si="196"/>
        <v>#NUM!</v>
      </c>
      <c r="BH4211" t="e">
        <f t="shared" si="197"/>
        <v>#NUM!</v>
      </c>
      <c r="BI4211" t="e">
        <f>VLOOKUP(H4211,Sheet2!$A$1:$B$270,2,FALSE)</f>
        <v>#N/A</v>
      </c>
    </row>
    <row r="4212" spans="15:61" hidden="1">
      <c r="O4212" s="57"/>
      <c r="P4212" s="57"/>
      <c r="AP4212" s="57"/>
      <c r="BA4212" s="57"/>
      <c r="BF4212" s="6" t="e">
        <f t="shared" si="195"/>
        <v>#NUM!</v>
      </c>
      <c r="BG4212" t="e">
        <f t="shared" si="196"/>
        <v>#NUM!</v>
      </c>
      <c r="BH4212" t="e">
        <f t="shared" si="197"/>
        <v>#NUM!</v>
      </c>
      <c r="BI4212" t="e">
        <f>VLOOKUP(H4212,Sheet2!$A$1:$B$270,2,FALSE)</f>
        <v>#N/A</v>
      </c>
    </row>
    <row r="4213" spans="15:61" hidden="1">
      <c r="O4213" s="57"/>
      <c r="P4213" s="57"/>
      <c r="AP4213" s="57"/>
      <c r="BA4213" s="57"/>
      <c r="BF4213" s="6" t="e">
        <f t="shared" si="195"/>
        <v>#NUM!</v>
      </c>
      <c r="BG4213" t="e">
        <f t="shared" si="196"/>
        <v>#NUM!</v>
      </c>
      <c r="BH4213" t="e">
        <f t="shared" si="197"/>
        <v>#NUM!</v>
      </c>
      <c r="BI4213" t="e">
        <f>VLOOKUP(H4213,Sheet2!$A$1:$B$270,2,FALSE)</f>
        <v>#N/A</v>
      </c>
    </row>
    <row r="4214" spans="15:61" hidden="1">
      <c r="O4214" s="57"/>
      <c r="P4214" s="57"/>
      <c r="AP4214" s="57"/>
      <c r="BA4214" s="57"/>
      <c r="BF4214" s="6" t="e">
        <f t="shared" si="195"/>
        <v>#NUM!</v>
      </c>
      <c r="BG4214" t="e">
        <f t="shared" si="196"/>
        <v>#NUM!</v>
      </c>
      <c r="BH4214" t="e">
        <f t="shared" si="197"/>
        <v>#NUM!</v>
      </c>
      <c r="BI4214" t="e">
        <f>VLOOKUP(H4214,Sheet2!$A$1:$B$270,2,FALSE)</f>
        <v>#N/A</v>
      </c>
    </row>
    <row r="4215" spans="15:61" hidden="1">
      <c r="O4215" s="57"/>
      <c r="P4215" s="57"/>
      <c r="AP4215" s="57"/>
      <c r="BA4215" s="57"/>
      <c r="BF4215" s="6" t="e">
        <f t="shared" si="195"/>
        <v>#NUM!</v>
      </c>
      <c r="BG4215" t="e">
        <f t="shared" si="196"/>
        <v>#NUM!</v>
      </c>
      <c r="BH4215" t="e">
        <f t="shared" si="197"/>
        <v>#NUM!</v>
      </c>
      <c r="BI4215" t="e">
        <f>VLOOKUP(H4215,Sheet2!$A$1:$B$270,2,FALSE)</f>
        <v>#N/A</v>
      </c>
    </row>
    <row r="4216" spans="15:61" hidden="1">
      <c r="O4216" s="57"/>
      <c r="P4216" s="57"/>
      <c r="AP4216" s="57"/>
      <c r="BA4216" s="57"/>
      <c r="BF4216" s="6" t="e">
        <f t="shared" si="195"/>
        <v>#NUM!</v>
      </c>
      <c r="BG4216" t="e">
        <f t="shared" si="196"/>
        <v>#NUM!</v>
      </c>
      <c r="BH4216" t="e">
        <f t="shared" si="197"/>
        <v>#NUM!</v>
      </c>
      <c r="BI4216" t="e">
        <f>VLOOKUP(H4216,Sheet2!$A$1:$B$270,2,FALSE)</f>
        <v>#N/A</v>
      </c>
    </row>
    <row r="4217" spans="15:61" hidden="1">
      <c r="O4217" s="57"/>
      <c r="P4217" s="57"/>
      <c r="AP4217" s="57"/>
      <c r="BA4217" s="57"/>
      <c r="BF4217" s="6" t="e">
        <f t="shared" si="195"/>
        <v>#NUM!</v>
      </c>
      <c r="BG4217" t="e">
        <f t="shared" si="196"/>
        <v>#NUM!</v>
      </c>
      <c r="BH4217" t="e">
        <f t="shared" si="197"/>
        <v>#NUM!</v>
      </c>
      <c r="BI4217" t="e">
        <f>VLOOKUP(H4217,Sheet2!$A$1:$B$270,2,FALSE)</f>
        <v>#N/A</v>
      </c>
    </row>
    <row r="4218" spans="15:61" hidden="1">
      <c r="O4218" s="57"/>
      <c r="P4218" s="57"/>
      <c r="AO4218" s="57"/>
      <c r="AP4218" s="57"/>
      <c r="BA4218" s="57"/>
      <c r="BF4218" s="6" t="e">
        <f t="shared" si="195"/>
        <v>#NUM!</v>
      </c>
      <c r="BG4218" t="e">
        <f t="shared" si="196"/>
        <v>#NUM!</v>
      </c>
      <c r="BH4218" t="e">
        <f t="shared" si="197"/>
        <v>#NUM!</v>
      </c>
      <c r="BI4218" t="e">
        <f>VLOOKUP(H4218,Sheet2!$A$1:$B$270,2,FALSE)</f>
        <v>#N/A</v>
      </c>
    </row>
    <row r="4219" spans="15:61" hidden="1">
      <c r="O4219" s="57"/>
      <c r="P4219" s="57"/>
      <c r="AP4219" s="57"/>
      <c r="BA4219" s="57"/>
      <c r="BF4219" s="6" t="e">
        <f t="shared" si="195"/>
        <v>#NUM!</v>
      </c>
      <c r="BG4219" t="e">
        <f t="shared" si="196"/>
        <v>#NUM!</v>
      </c>
      <c r="BH4219" t="e">
        <f t="shared" si="197"/>
        <v>#NUM!</v>
      </c>
      <c r="BI4219" t="e">
        <f>VLOOKUP(H4219,Sheet2!$A$1:$B$270,2,FALSE)</f>
        <v>#N/A</v>
      </c>
    </row>
    <row r="4220" spans="15:61" hidden="1">
      <c r="O4220" s="57"/>
      <c r="P4220" s="57"/>
      <c r="BA4220" s="57"/>
      <c r="BF4220" s="6" t="e">
        <f t="shared" si="195"/>
        <v>#NUM!</v>
      </c>
      <c r="BG4220" t="e">
        <f t="shared" si="196"/>
        <v>#NUM!</v>
      </c>
      <c r="BH4220" t="e">
        <f t="shared" si="197"/>
        <v>#NUM!</v>
      </c>
      <c r="BI4220" t="e">
        <f>VLOOKUP(H4220,Sheet2!$A$1:$B$270,2,FALSE)</f>
        <v>#N/A</v>
      </c>
    </row>
    <row r="4221" spans="15:61" hidden="1">
      <c r="O4221" s="57"/>
      <c r="P4221" s="57"/>
      <c r="BF4221" s="6" t="e">
        <f t="shared" si="195"/>
        <v>#NUM!</v>
      </c>
      <c r="BG4221" t="e">
        <f t="shared" si="196"/>
        <v>#NUM!</v>
      </c>
      <c r="BH4221" t="e">
        <f t="shared" si="197"/>
        <v>#NUM!</v>
      </c>
      <c r="BI4221" t="e">
        <f>VLOOKUP(H4221,Sheet2!$A$1:$B$270,2,FALSE)</f>
        <v>#N/A</v>
      </c>
    </row>
    <row r="4222" spans="15:61" hidden="1">
      <c r="O4222" s="57"/>
      <c r="P4222" s="57"/>
      <c r="BF4222" s="6" t="e">
        <f t="shared" si="195"/>
        <v>#NUM!</v>
      </c>
      <c r="BG4222" t="e">
        <f t="shared" si="196"/>
        <v>#NUM!</v>
      </c>
      <c r="BH4222" t="e">
        <f t="shared" si="197"/>
        <v>#NUM!</v>
      </c>
      <c r="BI4222" t="e">
        <f>VLOOKUP(H4222,Sheet2!$A$1:$B$270,2,FALSE)</f>
        <v>#N/A</v>
      </c>
    </row>
    <row r="4223" spans="15:61" hidden="1">
      <c r="O4223" s="57"/>
      <c r="P4223" s="57"/>
      <c r="AP4223" s="57"/>
      <c r="BA4223" s="57"/>
      <c r="BF4223" s="6" t="e">
        <f t="shared" si="195"/>
        <v>#NUM!</v>
      </c>
      <c r="BG4223" t="e">
        <f t="shared" si="196"/>
        <v>#NUM!</v>
      </c>
      <c r="BH4223" t="e">
        <f t="shared" si="197"/>
        <v>#NUM!</v>
      </c>
      <c r="BI4223" t="e">
        <f>VLOOKUP(H4223,Sheet2!$A$1:$B$270,2,FALSE)</f>
        <v>#N/A</v>
      </c>
    </row>
    <row r="4224" spans="15:61" hidden="1">
      <c r="O4224" s="57"/>
      <c r="P4224" s="57"/>
      <c r="AO4224" s="57"/>
      <c r="BA4224" s="57"/>
      <c r="BF4224" s="6" t="e">
        <f t="shared" si="195"/>
        <v>#NUM!</v>
      </c>
      <c r="BG4224" t="e">
        <f t="shared" si="196"/>
        <v>#NUM!</v>
      </c>
      <c r="BH4224" t="e">
        <f t="shared" si="197"/>
        <v>#NUM!</v>
      </c>
      <c r="BI4224" t="e">
        <f>VLOOKUP(H4224,Sheet2!$A$1:$B$270,2,FALSE)</f>
        <v>#N/A</v>
      </c>
    </row>
    <row r="4225" spans="15:61" hidden="1">
      <c r="O4225" s="57"/>
      <c r="P4225" s="57"/>
      <c r="AO4225" s="57"/>
      <c r="AP4225" s="57"/>
      <c r="BA4225" s="57"/>
      <c r="BF4225" s="6" t="e">
        <f t="shared" si="195"/>
        <v>#NUM!</v>
      </c>
      <c r="BG4225" t="e">
        <f t="shared" si="196"/>
        <v>#NUM!</v>
      </c>
      <c r="BH4225" t="e">
        <f t="shared" si="197"/>
        <v>#NUM!</v>
      </c>
      <c r="BI4225" t="e">
        <f>VLOOKUP(H4225,Sheet2!$A$1:$B$270,2,FALSE)</f>
        <v>#N/A</v>
      </c>
    </row>
    <row r="4226" spans="15:61" hidden="1">
      <c r="O4226" s="57"/>
      <c r="P4226" s="57"/>
      <c r="AO4226" s="57"/>
      <c r="AP4226" s="57"/>
      <c r="BA4226" s="57"/>
      <c r="BF4226" s="6" t="e">
        <f t="shared" ref="BF4226:BF4289" si="198">DATE(BC4226,BD4226,BE4226)</f>
        <v>#NUM!</v>
      </c>
      <c r="BG4226" t="e">
        <f t="shared" ref="BG4226:BG4289" si="199">BF4226-BA4226</f>
        <v>#NUM!</v>
      </c>
      <c r="BH4226" t="e">
        <f t="shared" ref="BH4226:BH4289" si="200">IF(BG4226=1,"COMPLY",IF(BG4226&lt;1,"COMPLY","NOT COMPLY"))</f>
        <v>#NUM!</v>
      </c>
      <c r="BI4226" t="e">
        <f>VLOOKUP(H4226,Sheet2!$A$1:$B$270,2,FALSE)</f>
        <v>#N/A</v>
      </c>
    </row>
    <row r="4227" spans="15:61" hidden="1">
      <c r="O4227" s="57"/>
      <c r="P4227" s="57"/>
      <c r="AO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 hidden="1">
      <c r="O4228" s="57"/>
      <c r="P4228" s="57"/>
      <c r="AO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 hidden="1">
      <c r="O4229" s="57"/>
      <c r="P4229" s="57"/>
      <c r="AO4229" s="57"/>
      <c r="AP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 hidden="1">
      <c r="O4230" s="57"/>
      <c r="P4230" s="57"/>
      <c r="AO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 hidden="1">
      <c r="O4231" s="57"/>
      <c r="P4231" s="57"/>
      <c r="AO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 hidden="1">
      <c r="O4232" s="57"/>
      <c r="P4232" s="57"/>
      <c r="AO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 hidden="1">
      <c r="O4233" s="57"/>
      <c r="P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 hidden="1">
      <c r="O4234" s="57"/>
      <c r="P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 hidden="1">
      <c r="O4235" s="57"/>
      <c r="P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 hidden="1">
      <c r="O4236" s="57"/>
      <c r="P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 hidden="1">
      <c r="O4237" s="57"/>
      <c r="P4237" s="57"/>
      <c r="AP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 hidden="1">
      <c r="O4238" s="57"/>
      <c r="P4238" s="57"/>
      <c r="AP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 hidden="1">
      <c r="O4239" s="57"/>
      <c r="P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 hidden="1">
      <c r="O4240" s="57"/>
      <c r="P4240" s="57"/>
      <c r="A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 hidden="1">
      <c r="O4241" s="57"/>
      <c r="P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 hidden="1">
      <c r="O4242" s="57"/>
      <c r="P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 hidden="1">
      <c r="O4243" s="57"/>
      <c r="P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 hidden="1">
      <c r="O4244" s="57"/>
      <c r="P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 hidden="1">
      <c r="O4245" s="57"/>
      <c r="P4245" s="57"/>
      <c r="AO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 hidden="1">
      <c r="O4246" s="57"/>
      <c r="P4246" s="57"/>
      <c r="AO4246" s="57"/>
      <c r="AP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 hidden="1">
      <c r="O4247" s="57"/>
      <c r="P4247" s="57"/>
      <c r="AP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 hidden="1">
      <c r="O4248" s="57"/>
      <c r="P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 hidden="1">
      <c r="O4249" s="57"/>
      <c r="P4249" s="57"/>
      <c r="AO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 hidden="1">
      <c r="O4250" s="57"/>
      <c r="P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 hidden="1">
      <c r="O4251" s="57"/>
      <c r="P4251" s="57"/>
      <c r="AO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 hidden="1">
      <c r="O4252" s="57"/>
      <c r="P4252" s="57"/>
      <c r="AO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 hidden="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 hidden="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 hidden="1">
      <c r="O4255" s="57"/>
      <c r="P4255" s="57"/>
      <c r="AO4255" s="57"/>
      <c r="AP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 hidden="1">
      <c r="O4256" s="57"/>
      <c r="P4256" s="57"/>
      <c r="AO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 hidden="1">
      <c r="O4257" s="57"/>
      <c r="P4257" s="57"/>
      <c r="AO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 hidden="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 hidden="1">
      <c r="O4259" s="57"/>
      <c r="P4259" s="57"/>
      <c r="AP4259" s="57"/>
      <c r="BA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 hidden="1">
      <c r="O4260" s="57"/>
      <c r="P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 hidden="1">
      <c r="O4261" s="57"/>
      <c r="P4261" s="57"/>
      <c r="AP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 hidden="1">
      <c r="O4262" s="57"/>
      <c r="P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 hidden="1">
      <c r="O4263" s="57"/>
      <c r="P4263" s="57"/>
      <c r="AO4263" s="57"/>
      <c r="AP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 hidden="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 hidden="1">
      <c r="O4265" s="57"/>
      <c r="P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 hidden="1">
      <c r="O4266" s="57"/>
      <c r="P4266" s="57"/>
      <c r="AP4266" s="57"/>
      <c r="BA4266" s="57"/>
      <c r="BF4266" s="6" t="e">
        <f t="shared" si="198"/>
        <v>#NUM!</v>
      </c>
      <c r="BG4266" t="e">
        <f t="shared" si="199"/>
        <v>#NUM!</v>
      </c>
      <c r="BH4266" t="e">
        <f t="shared" si="200"/>
        <v>#NUM!</v>
      </c>
      <c r="BI4266" t="e">
        <f>VLOOKUP(H4266,Sheet2!$A$1:$B$270,2,FALSE)</f>
        <v>#N/A</v>
      </c>
    </row>
    <row r="4267" spans="15:61" hidden="1">
      <c r="O4267" s="57"/>
      <c r="P4267" s="57"/>
      <c r="AP4267" s="57"/>
      <c r="BA4267" s="57"/>
      <c r="BF4267" s="6" t="e">
        <f t="shared" si="198"/>
        <v>#NUM!</v>
      </c>
      <c r="BG4267" t="e">
        <f t="shared" si="199"/>
        <v>#NUM!</v>
      </c>
      <c r="BH4267" t="e">
        <f t="shared" si="200"/>
        <v>#NUM!</v>
      </c>
      <c r="BI4267" t="e">
        <f>VLOOKUP(H4267,Sheet2!$A$1:$B$270,2,FALSE)</f>
        <v>#N/A</v>
      </c>
    </row>
    <row r="4268" spans="15:61" hidden="1">
      <c r="O4268" s="57"/>
      <c r="P4268" s="57"/>
      <c r="AO4268" s="57"/>
      <c r="AP4268" s="57"/>
      <c r="BA4268" s="57"/>
      <c r="BF4268" s="6" t="e">
        <f t="shared" si="198"/>
        <v>#NUM!</v>
      </c>
      <c r="BG4268" t="e">
        <f t="shared" si="199"/>
        <v>#NUM!</v>
      </c>
      <c r="BH4268" t="e">
        <f t="shared" si="200"/>
        <v>#NUM!</v>
      </c>
      <c r="BI4268" t="e">
        <f>VLOOKUP(H4268,Sheet2!$A$1:$B$270,2,FALSE)</f>
        <v>#N/A</v>
      </c>
    </row>
    <row r="4269" spans="15:61" hidden="1">
      <c r="O4269" s="57"/>
      <c r="P4269" s="57"/>
      <c r="AO4269" s="57"/>
      <c r="AP4269" s="57"/>
      <c r="BA4269" s="57"/>
      <c r="BF4269" s="6" t="e">
        <f t="shared" si="198"/>
        <v>#NUM!</v>
      </c>
      <c r="BG4269" t="e">
        <f t="shared" si="199"/>
        <v>#NUM!</v>
      </c>
      <c r="BH4269" t="e">
        <f t="shared" si="200"/>
        <v>#NUM!</v>
      </c>
      <c r="BI4269" t="e">
        <f>VLOOKUP(H4269,Sheet2!$A$1:$B$270,2,FALSE)</f>
        <v>#N/A</v>
      </c>
    </row>
    <row r="4270" spans="15:61" hidden="1">
      <c r="O4270" s="57"/>
      <c r="P4270" s="57"/>
      <c r="AO4270" s="57"/>
      <c r="AP4270" s="57"/>
      <c r="BA4270" s="57"/>
      <c r="BF4270" s="6" t="e">
        <f t="shared" si="198"/>
        <v>#NUM!</v>
      </c>
      <c r="BG4270" t="e">
        <f t="shared" si="199"/>
        <v>#NUM!</v>
      </c>
      <c r="BH4270" t="e">
        <f t="shared" si="200"/>
        <v>#NUM!</v>
      </c>
      <c r="BI4270" t="e">
        <f>VLOOKUP(H4270,Sheet2!$A$1:$B$270,2,FALSE)</f>
        <v>#N/A</v>
      </c>
    </row>
    <row r="4271" spans="15:61" hidden="1">
      <c r="O4271" s="57"/>
      <c r="P4271" s="57"/>
      <c r="AO4271" s="57"/>
      <c r="AP4271" s="57"/>
      <c r="BA4271" s="57"/>
      <c r="BF4271" s="6" t="e">
        <f t="shared" si="198"/>
        <v>#NUM!</v>
      </c>
      <c r="BG4271" t="e">
        <f t="shared" si="199"/>
        <v>#NUM!</v>
      </c>
      <c r="BH4271" t="e">
        <f t="shared" si="200"/>
        <v>#NUM!</v>
      </c>
      <c r="BI4271" t="e">
        <f>VLOOKUP(H4271,Sheet2!$A$1:$B$270,2,FALSE)</f>
        <v>#N/A</v>
      </c>
    </row>
    <row r="4272" spans="15:61" hidden="1">
      <c r="O4272" s="57"/>
      <c r="P4272" s="57"/>
      <c r="AO4272" s="57"/>
      <c r="AP4272" s="57"/>
      <c r="BA4272" s="57"/>
      <c r="BF4272" s="6" t="e">
        <f t="shared" si="198"/>
        <v>#NUM!</v>
      </c>
      <c r="BG4272" t="e">
        <f t="shared" si="199"/>
        <v>#NUM!</v>
      </c>
      <c r="BH4272" t="e">
        <f t="shared" si="200"/>
        <v>#NUM!</v>
      </c>
      <c r="BI4272" t="e">
        <f>VLOOKUP(H4272,Sheet2!$A$1:$B$270,2,FALSE)</f>
        <v>#N/A</v>
      </c>
    </row>
    <row r="4273" spans="15:61" hidden="1">
      <c r="O4273" s="57"/>
      <c r="P4273" s="57"/>
      <c r="AP4273" s="57"/>
      <c r="BA4273" s="57"/>
      <c r="BF4273" s="6" t="e">
        <f t="shared" si="198"/>
        <v>#NUM!</v>
      </c>
      <c r="BG4273" t="e">
        <f t="shared" si="199"/>
        <v>#NUM!</v>
      </c>
      <c r="BH4273" t="e">
        <f t="shared" si="200"/>
        <v>#NUM!</v>
      </c>
      <c r="BI4273" t="e">
        <f>VLOOKUP(H4273,Sheet2!$A$1:$B$270,2,FALSE)</f>
        <v>#N/A</v>
      </c>
    </row>
    <row r="4274" spans="15:61" hidden="1">
      <c r="O4274" s="57"/>
      <c r="P4274" s="57"/>
      <c r="AP4274" s="57"/>
      <c r="BA4274" s="57"/>
      <c r="BF4274" s="6" t="e">
        <f t="shared" si="198"/>
        <v>#NUM!</v>
      </c>
      <c r="BG4274" t="e">
        <f t="shared" si="199"/>
        <v>#NUM!</v>
      </c>
      <c r="BH4274" t="e">
        <f t="shared" si="200"/>
        <v>#NUM!</v>
      </c>
      <c r="BI4274" t="e">
        <f>VLOOKUP(H4274,Sheet2!$A$1:$B$270,2,FALSE)</f>
        <v>#N/A</v>
      </c>
    </row>
    <row r="4275" spans="15:61" hidden="1">
      <c r="O4275" s="57"/>
      <c r="P4275" s="57"/>
      <c r="AP4275" s="57"/>
      <c r="BA4275" s="57"/>
      <c r="BF4275" s="6" t="e">
        <f t="shared" si="198"/>
        <v>#NUM!</v>
      </c>
      <c r="BG4275" t="e">
        <f t="shared" si="199"/>
        <v>#NUM!</v>
      </c>
      <c r="BH4275" t="e">
        <f t="shared" si="200"/>
        <v>#NUM!</v>
      </c>
      <c r="BI4275" t="e">
        <f>VLOOKUP(H4275,Sheet2!$A$1:$B$270,2,FALSE)</f>
        <v>#N/A</v>
      </c>
    </row>
    <row r="4276" spans="15:61" hidden="1">
      <c r="O4276" s="57"/>
      <c r="P4276" s="57"/>
      <c r="AP4276" s="57"/>
      <c r="BA4276" s="57"/>
      <c r="BF4276" s="6" t="e">
        <f t="shared" si="198"/>
        <v>#NUM!</v>
      </c>
      <c r="BG4276" t="e">
        <f t="shared" si="199"/>
        <v>#NUM!</v>
      </c>
      <c r="BH4276" t="e">
        <f t="shared" si="200"/>
        <v>#NUM!</v>
      </c>
      <c r="BI4276" t="e">
        <f>VLOOKUP(H4276,Sheet2!$A$1:$B$270,2,FALSE)</f>
        <v>#N/A</v>
      </c>
    </row>
    <row r="4277" spans="15:61" hidden="1">
      <c r="O4277" s="57"/>
      <c r="P4277" s="57"/>
      <c r="AP4277" s="57"/>
      <c r="BA4277" s="57"/>
      <c r="BF4277" s="6" t="e">
        <f t="shared" si="198"/>
        <v>#NUM!</v>
      </c>
      <c r="BG4277" t="e">
        <f t="shared" si="199"/>
        <v>#NUM!</v>
      </c>
      <c r="BH4277" t="e">
        <f t="shared" si="200"/>
        <v>#NUM!</v>
      </c>
      <c r="BI4277" t="e">
        <f>VLOOKUP(H4277,Sheet2!$A$1:$B$270,2,FALSE)</f>
        <v>#N/A</v>
      </c>
    </row>
    <row r="4278" spans="15:61" hidden="1">
      <c r="O4278" s="57"/>
      <c r="P4278" s="57"/>
      <c r="AP4278" s="57"/>
      <c r="BA4278" s="57"/>
      <c r="BF4278" s="6" t="e">
        <f t="shared" si="198"/>
        <v>#NUM!</v>
      </c>
      <c r="BG4278" t="e">
        <f t="shared" si="199"/>
        <v>#NUM!</v>
      </c>
      <c r="BH4278" t="e">
        <f t="shared" si="200"/>
        <v>#NUM!</v>
      </c>
      <c r="BI4278" t="e">
        <f>VLOOKUP(H4278,Sheet2!$A$1:$B$270,2,FALSE)</f>
        <v>#N/A</v>
      </c>
    </row>
    <row r="4279" spans="15:61" hidden="1">
      <c r="O4279" s="57"/>
      <c r="P4279" s="57"/>
      <c r="AP4279" s="57"/>
      <c r="BA4279" s="57"/>
      <c r="BF4279" s="6" t="e">
        <f t="shared" si="198"/>
        <v>#NUM!</v>
      </c>
      <c r="BG4279" t="e">
        <f t="shared" si="199"/>
        <v>#NUM!</v>
      </c>
      <c r="BH4279" t="e">
        <f t="shared" si="200"/>
        <v>#NUM!</v>
      </c>
      <c r="BI4279" t="e">
        <f>VLOOKUP(H4279,Sheet2!$A$1:$B$270,2,FALSE)</f>
        <v>#N/A</v>
      </c>
    </row>
    <row r="4280" spans="15:61" hidden="1">
      <c r="O4280" s="57"/>
      <c r="P4280" s="57"/>
      <c r="AP4280" s="57"/>
      <c r="BA4280" s="57"/>
      <c r="BF4280" s="6" t="e">
        <f t="shared" si="198"/>
        <v>#NUM!</v>
      </c>
      <c r="BG4280" t="e">
        <f t="shared" si="199"/>
        <v>#NUM!</v>
      </c>
      <c r="BH4280" t="e">
        <f t="shared" si="200"/>
        <v>#NUM!</v>
      </c>
      <c r="BI4280" t="e">
        <f>VLOOKUP(H4280,Sheet2!$A$1:$B$270,2,FALSE)</f>
        <v>#N/A</v>
      </c>
    </row>
    <row r="4281" spans="15:61" hidden="1">
      <c r="O4281" s="57"/>
      <c r="P4281" s="57"/>
      <c r="BF4281" s="6" t="e">
        <f t="shared" si="198"/>
        <v>#NUM!</v>
      </c>
      <c r="BG4281" t="e">
        <f t="shared" si="199"/>
        <v>#NUM!</v>
      </c>
      <c r="BH4281" t="e">
        <f t="shared" si="200"/>
        <v>#NUM!</v>
      </c>
      <c r="BI4281" t="e">
        <f>VLOOKUP(H4281,Sheet2!$A$1:$B$270,2,FALSE)</f>
        <v>#N/A</v>
      </c>
    </row>
    <row r="4282" spans="15:61" hidden="1">
      <c r="O4282" s="57"/>
      <c r="P4282" s="57"/>
      <c r="AO4282" s="57"/>
      <c r="AP4282" s="57"/>
      <c r="BA4282" s="57"/>
      <c r="BF4282" s="6" t="e">
        <f t="shared" si="198"/>
        <v>#NUM!</v>
      </c>
      <c r="BG4282" t="e">
        <f t="shared" si="199"/>
        <v>#NUM!</v>
      </c>
      <c r="BH4282" t="e">
        <f t="shared" si="200"/>
        <v>#NUM!</v>
      </c>
      <c r="BI4282" t="e">
        <f>VLOOKUP(H4282,Sheet2!$A$1:$B$270,2,FALSE)</f>
        <v>#N/A</v>
      </c>
    </row>
    <row r="4283" spans="15:61" hidden="1">
      <c r="O4283" s="57"/>
      <c r="P4283" s="57"/>
      <c r="AO4283" s="57"/>
      <c r="AP4283" s="57"/>
      <c r="BA4283" s="57"/>
      <c r="BF4283" s="6" t="e">
        <f t="shared" si="198"/>
        <v>#NUM!</v>
      </c>
      <c r="BG4283" t="e">
        <f t="shared" si="199"/>
        <v>#NUM!</v>
      </c>
      <c r="BH4283" t="e">
        <f t="shared" si="200"/>
        <v>#NUM!</v>
      </c>
      <c r="BI4283" t="e">
        <f>VLOOKUP(H4283,Sheet2!$A$1:$B$270,2,FALSE)</f>
        <v>#N/A</v>
      </c>
    </row>
    <row r="4284" spans="15:61" hidden="1">
      <c r="O4284" s="57"/>
      <c r="P4284" s="57"/>
      <c r="AO4284" s="57"/>
      <c r="AP4284" s="57"/>
      <c r="BA4284" s="57"/>
      <c r="BF4284" s="6" t="e">
        <f t="shared" si="198"/>
        <v>#NUM!</v>
      </c>
      <c r="BG4284" t="e">
        <f t="shared" si="199"/>
        <v>#NUM!</v>
      </c>
      <c r="BH4284" t="e">
        <f t="shared" si="200"/>
        <v>#NUM!</v>
      </c>
      <c r="BI4284" t="e">
        <f>VLOOKUP(H4284,Sheet2!$A$1:$B$270,2,FALSE)</f>
        <v>#N/A</v>
      </c>
    </row>
    <row r="4285" spans="15:61" hidden="1">
      <c r="O4285" s="57"/>
      <c r="P4285" s="57"/>
      <c r="AP4285" s="57"/>
      <c r="BA4285" s="57"/>
      <c r="BF4285" s="6" t="e">
        <f t="shared" si="198"/>
        <v>#NUM!</v>
      </c>
      <c r="BG4285" t="e">
        <f t="shared" si="199"/>
        <v>#NUM!</v>
      </c>
      <c r="BH4285" t="e">
        <f t="shared" si="200"/>
        <v>#NUM!</v>
      </c>
      <c r="BI4285" t="e">
        <f>VLOOKUP(H4285,Sheet2!$A$1:$B$270,2,FALSE)</f>
        <v>#N/A</v>
      </c>
    </row>
    <row r="4286" spans="15:61" hidden="1">
      <c r="O4286" s="57"/>
      <c r="P4286" s="57"/>
      <c r="AP4286" s="57"/>
      <c r="BA4286" s="57"/>
      <c r="BF4286" s="6" t="e">
        <f t="shared" si="198"/>
        <v>#NUM!</v>
      </c>
      <c r="BG4286" t="e">
        <f t="shared" si="199"/>
        <v>#NUM!</v>
      </c>
      <c r="BH4286" t="e">
        <f t="shared" si="200"/>
        <v>#NUM!</v>
      </c>
      <c r="BI4286" t="e">
        <f>VLOOKUP(H4286,Sheet2!$A$1:$B$270,2,FALSE)</f>
        <v>#N/A</v>
      </c>
    </row>
    <row r="4287" spans="15:61" hidden="1">
      <c r="O4287" s="57"/>
      <c r="P4287" s="57"/>
      <c r="AP4287" s="57"/>
      <c r="BA4287" s="57"/>
      <c r="BF4287" s="6" t="e">
        <f t="shared" si="198"/>
        <v>#NUM!</v>
      </c>
      <c r="BG4287" t="e">
        <f t="shared" si="199"/>
        <v>#NUM!</v>
      </c>
      <c r="BH4287" t="e">
        <f t="shared" si="200"/>
        <v>#NUM!</v>
      </c>
      <c r="BI4287" t="e">
        <f>VLOOKUP(H4287,Sheet2!$A$1:$B$270,2,FALSE)</f>
        <v>#N/A</v>
      </c>
    </row>
    <row r="4288" spans="15:61" hidden="1">
      <c r="O4288" s="57"/>
      <c r="P4288" s="57"/>
      <c r="AP4288" s="57"/>
      <c r="BA4288" s="57"/>
      <c r="BF4288" s="6" t="e">
        <f t="shared" si="198"/>
        <v>#NUM!</v>
      </c>
      <c r="BG4288" t="e">
        <f t="shared" si="199"/>
        <v>#NUM!</v>
      </c>
      <c r="BH4288" t="e">
        <f t="shared" si="200"/>
        <v>#NUM!</v>
      </c>
      <c r="BI4288" t="e">
        <f>VLOOKUP(H4288,Sheet2!$A$1:$B$270,2,FALSE)</f>
        <v>#N/A</v>
      </c>
    </row>
    <row r="4289" spans="15:61" hidden="1">
      <c r="O4289" s="57"/>
      <c r="P4289" s="57"/>
      <c r="AP4289" s="57"/>
      <c r="BA4289" s="57"/>
      <c r="BF4289" s="6" t="e">
        <f t="shared" si="198"/>
        <v>#NUM!</v>
      </c>
      <c r="BG4289" t="e">
        <f t="shared" si="199"/>
        <v>#NUM!</v>
      </c>
      <c r="BH4289" t="e">
        <f t="shared" si="200"/>
        <v>#NUM!</v>
      </c>
      <c r="BI4289" t="e">
        <f>VLOOKUP(H4289,Sheet2!$A$1:$B$270,2,FALSE)</f>
        <v>#N/A</v>
      </c>
    </row>
    <row r="4290" spans="15:61" hidden="1">
      <c r="O4290" s="57"/>
      <c r="P4290" s="57"/>
      <c r="AP4290" s="57"/>
      <c r="BA4290" s="57"/>
      <c r="BF4290" s="6" t="e">
        <f t="shared" ref="BF4290:BF4353" si="201">DATE(BC4290,BD4290,BE4290)</f>
        <v>#NUM!</v>
      </c>
      <c r="BG4290" t="e">
        <f t="shared" ref="BG4290:BG4353" si="202">BF4290-BA4290</f>
        <v>#NUM!</v>
      </c>
      <c r="BH4290" t="e">
        <f t="shared" ref="BH4290:BH4353" si="203">IF(BG4290=1,"COMPLY",IF(BG4290&lt;1,"COMPLY","NOT COMPLY"))</f>
        <v>#NUM!</v>
      </c>
      <c r="BI4290" t="e">
        <f>VLOOKUP(H4290,Sheet2!$A$1:$B$270,2,FALSE)</f>
        <v>#N/A</v>
      </c>
    </row>
    <row r="4291" spans="15:61" hidden="1">
      <c r="O4291" s="57"/>
      <c r="P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 hidden="1">
      <c r="O4292" s="57"/>
      <c r="P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 hidden="1">
      <c r="O4293" s="57"/>
      <c r="P4293" s="57"/>
      <c r="AO4293" s="57"/>
      <c r="AP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 hidden="1">
      <c r="O4294" s="57"/>
      <c r="P4294" s="57"/>
      <c r="AO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 hidden="1">
      <c r="O4295" s="57"/>
      <c r="P4295" s="57"/>
      <c r="AO4295" s="57"/>
      <c r="AP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 hidden="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 hidden="1">
      <c r="O4297" s="57"/>
      <c r="P4297" s="57"/>
      <c r="AO4297" s="57"/>
      <c r="AP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 hidden="1">
      <c r="O4298" s="57"/>
      <c r="P4298" s="57"/>
      <c r="AO4298" s="57"/>
      <c r="AP4298" s="57"/>
      <c r="BA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 hidden="1">
      <c r="O4299" s="57"/>
      <c r="P4299" s="57"/>
      <c r="AO4299" s="57"/>
      <c r="A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 hidden="1">
      <c r="O4300" s="57"/>
      <c r="P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 hidden="1">
      <c r="O4301" s="57"/>
      <c r="P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 hidden="1">
      <c r="O4302" s="57"/>
      <c r="P4302" s="57"/>
      <c r="AP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 hidden="1">
      <c r="O4303" s="57"/>
      <c r="P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 hidden="1">
      <c r="O4304" s="57"/>
      <c r="P4304" s="57"/>
      <c r="AP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 hidden="1">
      <c r="O4305" s="57"/>
      <c r="P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 hidden="1">
      <c r="O4306" s="57"/>
      <c r="P4306" s="57"/>
      <c r="AP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 hidden="1">
      <c r="O4307" s="57"/>
      <c r="P4307" s="57"/>
      <c r="AP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 hidden="1">
      <c r="O4308" s="57"/>
      <c r="P4308" s="57"/>
      <c r="AO4308" s="57"/>
      <c r="A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 hidden="1">
      <c r="O4309" s="57"/>
      <c r="P4309" s="57"/>
      <c r="AO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 hidden="1">
      <c r="O4310" s="57"/>
      <c r="P4310" s="57"/>
      <c r="AP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 hidden="1">
      <c r="O4311" s="57"/>
      <c r="P4311" s="57"/>
      <c r="AP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 hidden="1">
      <c r="O4312" s="57"/>
      <c r="P4312" s="57"/>
      <c r="AP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 hidden="1">
      <c r="O4313" s="57"/>
      <c r="P4313" s="57"/>
      <c r="AO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 hidden="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 hidden="1">
      <c r="O4315" s="57"/>
      <c r="P4315" s="57"/>
      <c r="AP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 hidden="1">
      <c r="O4316" s="57"/>
      <c r="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 hidden="1">
      <c r="O4317" s="57"/>
      <c r="P4317" s="57"/>
      <c r="A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 hidden="1">
      <c r="O4318" s="57"/>
      <c r="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 hidden="1">
      <c r="O4319" s="57"/>
      <c r="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 hidden="1">
      <c r="O4320" s="57"/>
      <c r="P4320" s="57"/>
      <c r="AO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 hidden="1">
      <c r="O4321" s="57"/>
      <c r="P4321" s="57"/>
      <c r="AO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 hidden="1">
      <c r="O4322" s="57"/>
      <c r="P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 hidden="1">
      <c r="O4323" s="57"/>
      <c r="P4323" s="57"/>
      <c r="AO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 hidden="1">
      <c r="O4324" s="57"/>
      <c r="P4324" s="57"/>
      <c r="AO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 hidden="1">
      <c r="O4325" s="57"/>
      <c r="P4325" s="57"/>
      <c r="AO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 hidden="1">
      <c r="O4326" s="57"/>
      <c r="P4326" s="57"/>
      <c r="AO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 hidden="1">
      <c r="O4327" s="57"/>
      <c r="P4327" s="57"/>
      <c r="A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 hidden="1">
      <c r="O4328" s="57"/>
      <c r="P4328" s="57"/>
      <c r="AO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 hidden="1">
      <c r="O4329" s="57"/>
      <c r="P4329" s="57"/>
      <c r="AP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 hidden="1">
      <c r="O4330" s="57"/>
      <c r="P4330" s="57"/>
      <c r="AP4330" s="57"/>
      <c r="BA4330" s="57"/>
      <c r="BF4330" s="6" t="e">
        <f t="shared" si="201"/>
        <v>#NUM!</v>
      </c>
      <c r="BG4330" t="e">
        <f t="shared" si="202"/>
        <v>#NUM!</v>
      </c>
      <c r="BH4330" t="e">
        <f t="shared" si="203"/>
        <v>#NUM!</v>
      </c>
      <c r="BI4330" t="e">
        <f>VLOOKUP(H4330,Sheet2!$A$1:$B$270,2,FALSE)</f>
        <v>#N/A</v>
      </c>
    </row>
    <row r="4331" spans="15:61" hidden="1">
      <c r="O4331" s="57"/>
      <c r="P4331" s="57"/>
      <c r="AO4331" s="57"/>
      <c r="AP4331" s="57"/>
      <c r="BA4331" s="57"/>
      <c r="BF4331" s="6" t="e">
        <f t="shared" si="201"/>
        <v>#NUM!</v>
      </c>
      <c r="BG4331" t="e">
        <f t="shared" si="202"/>
        <v>#NUM!</v>
      </c>
      <c r="BH4331" t="e">
        <f t="shared" si="203"/>
        <v>#NUM!</v>
      </c>
      <c r="BI4331" t="e">
        <f>VLOOKUP(H4331,Sheet2!$A$1:$B$270,2,FALSE)</f>
        <v>#N/A</v>
      </c>
    </row>
    <row r="4332" spans="15:61" hidden="1">
      <c r="O4332" s="57"/>
      <c r="P4332" s="57"/>
      <c r="AO4332" s="57"/>
      <c r="AP4332" s="57"/>
      <c r="BA4332" s="57"/>
      <c r="BF4332" s="6" t="e">
        <f t="shared" si="201"/>
        <v>#NUM!</v>
      </c>
      <c r="BG4332" t="e">
        <f t="shared" si="202"/>
        <v>#NUM!</v>
      </c>
      <c r="BH4332" t="e">
        <f t="shared" si="203"/>
        <v>#NUM!</v>
      </c>
      <c r="BI4332" t="e">
        <f>VLOOKUP(H4332,Sheet2!$A$1:$B$270,2,FALSE)</f>
        <v>#N/A</v>
      </c>
    </row>
    <row r="4333" spans="15:61" hidden="1">
      <c r="O4333" s="57"/>
      <c r="P4333" s="57"/>
      <c r="AO4333" s="57"/>
      <c r="BA4333" s="57"/>
      <c r="BF4333" s="6" t="e">
        <f t="shared" si="201"/>
        <v>#NUM!</v>
      </c>
      <c r="BG4333" t="e">
        <f t="shared" si="202"/>
        <v>#NUM!</v>
      </c>
      <c r="BH4333" t="e">
        <f t="shared" si="203"/>
        <v>#NUM!</v>
      </c>
      <c r="BI4333" t="e">
        <f>VLOOKUP(H4333,Sheet2!$A$1:$B$270,2,FALSE)</f>
        <v>#N/A</v>
      </c>
    </row>
    <row r="4334" spans="15:61" hidden="1">
      <c r="O4334" s="57"/>
      <c r="P4334" s="57"/>
      <c r="AO4334" s="57"/>
      <c r="AP4334" s="57"/>
      <c r="BA4334" s="57"/>
      <c r="BF4334" s="6" t="e">
        <f t="shared" si="201"/>
        <v>#NUM!</v>
      </c>
      <c r="BG4334" t="e">
        <f t="shared" si="202"/>
        <v>#NUM!</v>
      </c>
      <c r="BH4334" t="e">
        <f t="shared" si="203"/>
        <v>#NUM!</v>
      </c>
      <c r="BI4334" t="e">
        <f>VLOOKUP(H4334,Sheet2!$A$1:$B$270,2,FALSE)</f>
        <v>#N/A</v>
      </c>
    </row>
    <row r="4335" spans="15:61" hidden="1">
      <c r="O4335" s="57"/>
      <c r="P4335" s="57"/>
      <c r="AO4335" s="57"/>
      <c r="AP4335" s="57"/>
      <c r="BA4335" s="57"/>
      <c r="BF4335" s="6" t="e">
        <f t="shared" si="201"/>
        <v>#NUM!</v>
      </c>
      <c r="BG4335" t="e">
        <f t="shared" si="202"/>
        <v>#NUM!</v>
      </c>
      <c r="BH4335" t="e">
        <f t="shared" si="203"/>
        <v>#NUM!</v>
      </c>
      <c r="BI4335" t="e">
        <f>VLOOKUP(H4335,Sheet2!$A$1:$B$270,2,FALSE)</f>
        <v>#N/A</v>
      </c>
    </row>
    <row r="4336" spans="15:61" hidden="1">
      <c r="O4336" s="57"/>
      <c r="P4336" s="57"/>
      <c r="AP4336" s="57"/>
      <c r="BA4336" s="57"/>
      <c r="BF4336" s="6" t="e">
        <f t="shared" si="201"/>
        <v>#NUM!</v>
      </c>
      <c r="BG4336" t="e">
        <f t="shared" si="202"/>
        <v>#NUM!</v>
      </c>
      <c r="BH4336" t="e">
        <f t="shared" si="203"/>
        <v>#NUM!</v>
      </c>
      <c r="BI4336" t="e">
        <f>VLOOKUP(H4336,Sheet2!$A$1:$B$270,2,FALSE)</f>
        <v>#N/A</v>
      </c>
    </row>
    <row r="4337" spans="15:61" hidden="1">
      <c r="O4337" s="57"/>
      <c r="P4337" s="57"/>
      <c r="AO4337" s="57"/>
      <c r="BA4337" s="57"/>
      <c r="BF4337" s="6" t="e">
        <f t="shared" si="201"/>
        <v>#NUM!</v>
      </c>
      <c r="BG4337" t="e">
        <f t="shared" si="202"/>
        <v>#NUM!</v>
      </c>
      <c r="BH4337" t="e">
        <f t="shared" si="203"/>
        <v>#NUM!</v>
      </c>
      <c r="BI4337" t="e">
        <f>VLOOKUP(H4337,Sheet2!$A$1:$B$270,2,FALSE)</f>
        <v>#N/A</v>
      </c>
    </row>
    <row r="4338" spans="15:61" hidden="1">
      <c r="O4338" s="57"/>
      <c r="P4338" s="57"/>
      <c r="AO4338" s="57"/>
      <c r="AP4338" s="57"/>
      <c r="BA4338" s="57"/>
      <c r="BF4338" s="6" t="e">
        <f t="shared" si="201"/>
        <v>#NUM!</v>
      </c>
      <c r="BG4338" t="e">
        <f t="shared" si="202"/>
        <v>#NUM!</v>
      </c>
      <c r="BH4338" t="e">
        <f t="shared" si="203"/>
        <v>#NUM!</v>
      </c>
      <c r="BI4338" t="e">
        <f>VLOOKUP(H4338,Sheet2!$A$1:$B$270,2,FALSE)</f>
        <v>#N/A</v>
      </c>
    </row>
    <row r="4339" spans="15:61" hidden="1">
      <c r="O4339" s="57"/>
      <c r="P4339" s="57"/>
      <c r="AO4339" s="57"/>
      <c r="AP4339" s="57"/>
      <c r="BA4339" s="57"/>
      <c r="BF4339" s="6" t="e">
        <f t="shared" si="201"/>
        <v>#NUM!</v>
      </c>
      <c r="BG4339" t="e">
        <f t="shared" si="202"/>
        <v>#NUM!</v>
      </c>
      <c r="BH4339" t="e">
        <f t="shared" si="203"/>
        <v>#NUM!</v>
      </c>
      <c r="BI4339" t="e">
        <f>VLOOKUP(H4339,Sheet2!$A$1:$B$270,2,FALSE)</f>
        <v>#N/A</v>
      </c>
    </row>
    <row r="4340" spans="15:61" hidden="1">
      <c r="O4340" s="57"/>
      <c r="P4340" s="57"/>
      <c r="AO4340" s="57"/>
      <c r="BA4340" s="57"/>
      <c r="BF4340" s="6" t="e">
        <f t="shared" si="201"/>
        <v>#NUM!</v>
      </c>
      <c r="BG4340" t="e">
        <f t="shared" si="202"/>
        <v>#NUM!</v>
      </c>
      <c r="BH4340" t="e">
        <f t="shared" si="203"/>
        <v>#NUM!</v>
      </c>
      <c r="BI4340" t="e">
        <f>VLOOKUP(H4340,Sheet2!$A$1:$B$270,2,FALSE)</f>
        <v>#N/A</v>
      </c>
    </row>
    <row r="4341" spans="15:61" hidden="1">
      <c r="O4341" s="57"/>
      <c r="P4341" s="57"/>
      <c r="AO4341" s="57"/>
      <c r="AP4341" s="57"/>
      <c r="BA4341" s="57"/>
      <c r="BF4341" s="6" t="e">
        <f t="shared" si="201"/>
        <v>#NUM!</v>
      </c>
      <c r="BG4341" t="e">
        <f t="shared" si="202"/>
        <v>#NUM!</v>
      </c>
      <c r="BH4341" t="e">
        <f t="shared" si="203"/>
        <v>#NUM!</v>
      </c>
      <c r="BI4341" t="e">
        <f>VLOOKUP(H4341,Sheet2!$A$1:$B$270,2,FALSE)</f>
        <v>#N/A</v>
      </c>
    </row>
    <row r="4342" spans="15:61" hidden="1">
      <c r="O4342" s="57"/>
      <c r="P4342" s="57"/>
      <c r="AO4342" s="57"/>
      <c r="BA4342" s="57"/>
      <c r="BF4342" s="6" t="e">
        <f t="shared" si="201"/>
        <v>#NUM!</v>
      </c>
      <c r="BG4342" t="e">
        <f t="shared" si="202"/>
        <v>#NUM!</v>
      </c>
      <c r="BH4342" t="e">
        <f t="shared" si="203"/>
        <v>#NUM!</v>
      </c>
      <c r="BI4342" t="e">
        <f>VLOOKUP(H4342,Sheet2!$A$1:$B$270,2,FALSE)</f>
        <v>#N/A</v>
      </c>
    </row>
    <row r="4343" spans="15:61" hidden="1">
      <c r="O4343" s="57"/>
      <c r="P4343" s="57"/>
      <c r="AO4343" s="57"/>
      <c r="AP4343" s="57"/>
      <c r="BA4343" s="57"/>
      <c r="BF4343" s="6" t="e">
        <f t="shared" si="201"/>
        <v>#NUM!</v>
      </c>
      <c r="BG4343" t="e">
        <f t="shared" si="202"/>
        <v>#NUM!</v>
      </c>
      <c r="BH4343" t="e">
        <f t="shared" si="203"/>
        <v>#NUM!</v>
      </c>
      <c r="BI4343" t="e">
        <f>VLOOKUP(H4343,Sheet2!$A$1:$B$270,2,FALSE)</f>
        <v>#N/A</v>
      </c>
    </row>
    <row r="4344" spans="15:61" hidden="1">
      <c r="O4344" s="57"/>
      <c r="P4344" s="57"/>
      <c r="AO4344" s="57"/>
      <c r="AP4344" s="57"/>
      <c r="BA4344" s="57"/>
      <c r="BF4344" s="6" t="e">
        <f t="shared" si="201"/>
        <v>#NUM!</v>
      </c>
      <c r="BG4344" t="e">
        <f t="shared" si="202"/>
        <v>#NUM!</v>
      </c>
      <c r="BH4344" t="e">
        <f t="shared" si="203"/>
        <v>#NUM!</v>
      </c>
      <c r="BI4344" t="e">
        <f>VLOOKUP(H4344,Sheet2!$A$1:$B$270,2,FALSE)</f>
        <v>#N/A</v>
      </c>
    </row>
    <row r="4345" spans="15:61" hidden="1">
      <c r="O4345" s="57"/>
      <c r="P4345" s="57"/>
      <c r="AO4345" s="57"/>
      <c r="AP4345" s="57"/>
      <c r="BA4345" s="57"/>
      <c r="BF4345" s="6" t="e">
        <f t="shared" si="201"/>
        <v>#NUM!</v>
      </c>
      <c r="BG4345" t="e">
        <f t="shared" si="202"/>
        <v>#NUM!</v>
      </c>
      <c r="BH4345" t="e">
        <f t="shared" si="203"/>
        <v>#NUM!</v>
      </c>
      <c r="BI4345" t="e">
        <f>VLOOKUP(H4345,Sheet2!$A$1:$B$270,2,FALSE)</f>
        <v>#N/A</v>
      </c>
    </row>
    <row r="4346" spans="15:61" hidden="1">
      <c r="O4346" s="57"/>
      <c r="P4346" s="57"/>
      <c r="AO4346" s="57"/>
      <c r="AP4346" s="57"/>
      <c r="BA4346" s="57"/>
      <c r="BF4346" s="6" t="e">
        <f t="shared" si="201"/>
        <v>#NUM!</v>
      </c>
      <c r="BG4346" t="e">
        <f t="shared" si="202"/>
        <v>#NUM!</v>
      </c>
      <c r="BH4346" t="e">
        <f t="shared" si="203"/>
        <v>#NUM!</v>
      </c>
      <c r="BI4346" t="e">
        <f>VLOOKUP(H4346,Sheet2!$A$1:$B$270,2,FALSE)</f>
        <v>#N/A</v>
      </c>
    </row>
    <row r="4347" spans="15:61" hidden="1">
      <c r="O4347" s="57"/>
      <c r="P4347" s="57"/>
      <c r="AP4347" s="57"/>
      <c r="BA4347" s="57"/>
      <c r="BF4347" s="6" t="e">
        <f t="shared" si="201"/>
        <v>#NUM!</v>
      </c>
      <c r="BG4347" t="e">
        <f t="shared" si="202"/>
        <v>#NUM!</v>
      </c>
      <c r="BH4347" t="e">
        <f t="shared" si="203"/>
        <v>#NUM!</v>
      </c>
      <c r="BI4347" t="e">
        <f>VLOOKUP(H4347,Sheet2!$A$1:$B$270,2,FALSE)</f>
        <v>#N/A</v>
      </c>
    </row>
    <row r="4348" spans="15:61" hidden="1">
      <c r="O4348" s="57"/>
      <c r="P4348" s="57"/>
      <c r="AP4348" s="57"/>
      <c r="BA4348" s="57"/>
      <c r="BF4348" s="6" t="e">
        <f t="shared" si="201"/>
        <v>#NUM!</v>
      </c>
      <c r="BG4348" t="e">
        <f t="shared" si="202"/>
        <v>#NUM!</v>
      </c>
      <c r="BH4348" t="e">
        <f t="shared" si="203"/>
        <v>#NUM!</v>
      </c>
      <c r="BI4348" t="e">
        <f>VLOOKUP(H4348,Sheet2!$A$1:$B$270,2,FALSE)</f>
        <v>#N/A</v>
      </c>
    </row>
    <row r="4349" spans="15:61" hidden="1">
      <c r="O4349" s="57"/>
      <c r="P4349" s="57"/>
      <c r="BA4349" s="57"/>
      <c r="BF4349" s="6" t="e">
        <f t="shared" si="201"/>
        <v>#NUM!</v>
      </c>
      <c r="BG4349" t="e">
        <f t="shared" si="202"/>
        <v>#NUM!</v>
      </c>
      <c r="BH4349" t="e">
        <f t="shared" si="203"/>
        <v>#NUM!</v>
      </c>
      <c r="BI4349" t="e">
        <f>VLOOKUP(H4349,Sheet2!$A$1:$B$270,2,FALSE)</f>
        <v>#N/A</v>
      </c>
    </row>
    <row r="4350" spans="15:61" hidden="1">
      <c r="O4350" s="57"/>
      <c r="P4350" s="57"/>
      <c r="AP4350" s="57"/>
      <c r="BA4350" s="57"/>
      <c r="BF4350" s="6" t="e">
        <f t="shared" si="201"/>
        <v>#NUM!</v>
      </c>
      <c r="BG4350" t="e">
        <f t="shared" si="202"/>
        <v>#NUM!</v>
      </c>
      <c r="BH4350" t="e">
        <f t="shared" si="203"/>
        <v>#NUM!</v>
      </c>
      <c r="BI4350" t="e">
        <f>VLOOKUP(H4350,Sheet2!$A$1:$B$270,2,FALSE)</f>
        <v>#N/A</v>
      </c>
    </row>
    <row r="4351" spans="15:61" hidden="1">
      <c r="O4351" s="57"/>
      <c r="P4351" s="57"/>
      <c r="BA4351" s="57"/>
      <c r="BF4351" s="6" t="e">
        <f t="shared" si="201"/>
        <v>#NUM!</v>
      </c>
      <c r="BG4351" t="e">
        <f t="shared" si="202"/>
        <v>#NUM!</v>
      </c>
      <c r="BH4351" t="e">
        <f t="shared" si="203"/>
        <v>#NUM!</v>
      </c>
      <c r="BI4351" t="e">
        <f>VLOOKUP(H4351,Sheet2!$A$1:$B$270,2,FALSE)</f>
        <v>#N/A</v>
      </c>
    </row>
    <row r="4352" spans="15:61" hidden="1">
      <c r="O4352" s="57"/>
      <c r="P4352" s="57"/>
      <c r="AP4352" s="57"/>
      <c r="BA4352" s="57"/>
      <c r="BF4352" s="6" t="e">
        <f t="shared" si="201"/>
        <v>#NUM!</v>
      </c>
      <c r="BG4352" t="e">
        <f t="shared" si="202"/>
        <v>#NUM!</v>
      </c>
      <c r="BH4352" t="e">
        <f t="shared" si="203"/>
        <v>#NUM!</v>
      </c>
      <c r="BI4352" t="e">
        <f>VLOOKUP(H4352,Sheet2!$A$1:$B$270,2,FALSE)</f>
        <v>#N/A</v>
      </c>
    </row>
    <row r="4353" spans="15:61" hidden="1">
      <c r="O4353" s="57"/>
      <c r="P4353" s="57"/>
      <c r="BA4353" s="57"/>
      <c r="BF4353" s="6" t="e">
        <f t="shared" si="201"/>
        <v>#NUM!</v>
      </c>
      <c r="BG4353" t="e">
        <f t="shared" si="202"/>
        <v>#NUM!</v>
      </c>
      <c r="BH4353" t="e">
        <f t="shared" si="203"/>
        <v>#NUM!</v>
      </c>
      <c r="BI4353" t="e">
        <f>VLOOKUP(H4353,Sheet2!$A$1:$B$270,2,FALSE)</f>
        <v>#N/A</v>
      </c>
    </row>
    <row r="4354" spans="15:61" hidden="1">
      <c r="O4354" s="57"/>
      <c r="P4354" s="57"/>
      <c r="AP4354" s="57"/>
      <c r="BA4354" s="57"/>
      <c r="BF4354" s="6" t="e">
        <f t="shared" ref="BF4354:BF4417" si="204">DATE(BC4354,BD4354,BE4354)</f>
        <v>#NUM!</v>
      </c>
      <c r="BG4354" t="e">
        <f t="shared" ref="BG4354:BG4417" si="205">BF4354-BA4354</f>
        <v>#NUM!</v>
      </c>
      <c r="BH4354" t="e">
        <f t="shared" ref="BH4354:BH4417" si="206">IF(BG4354=1,"COMPLY",IF(BG4354&lt;1,"COMPLY","NOT COMPLY"))</f>
        <v>#NUM!</v>
      </c>
      <c r="BI4354" t="e">
        <f>VLOOKUP(H4354,Sheet2!$A$1:$B$270,2,FALSE)</f>
        <v>#N/A</v>
      </c>
    </row>
    <row r="4355" spans="15:61" hidden="1">
      <c r="O4355" s="57"/>
      <c r="P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 hidden="1">
      <c r="O4356" s="57"/>
      <c r="P4356" s="57"/>
      <c r="AO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 hidden="1">
      <c r="O4357" s="57"/>
      <c r="P4357" s="57"/>
      <c r="AO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 hidden="1">
      <c r="O4358" s="57"/>
      <c r="P4358" s="57"/>
      <c r="AO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 hidden="1">
      <c r="O4359" s="57"/>
      <c r="P4359" s="57"/>
      <c r="AO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 hidden="1">
      <c r="O4360" s="57"/>
      <c r="P4360" s="57"/>
      <c r="AO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 hidden="1">
      <c r="O4361" s="57"/>
      <c r="P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 hidden="1">
      <c r="O4362" s="57"/>
      <c r="P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 hidden="1">
      <c r="O4363" s="57"/>
      <c r="P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 hidden="1">
      <c r="O4364" s="57"/>
      <c r="P4364" s="57"/>
      <c r="AO4364" s="57"/>
      <c r="AP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 hidden="1">
      <c r="O4365" s="57"/>
      <c r="P4365" s="57"/>
      <c r="AO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 hidden="1">
      <c r="O4366" s="57"/>
      <c r="P4366" s="57"/>
      <c r="AO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 hidden="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 hidden="1">
      <c r="O4368" s="57"/>
      <c r="P4368" s="57"/>
      <c r="AO4368" s="57"/>
      <c r="AP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 hidden="1">
      <c r="O4369" s="57"/>
      <c r="P4369" s="57"/>
      <c r="AO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 hidden="1">
      <c r="O4370" s="57"/>
      <c r="P4370" s="57"/>
      <c r="AO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 hidden="1">
      <c r="O4371" s="57"/>
      <c r="P4371" s="57"/>
      <c r="AO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 hidden="1">
      <c r="O4372" s="57"/>
      <c r="P4372" s="57"/>
      <c r="AO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 hidden="1">
      <c r="O4373" s="57"/>
      <c r="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 hidden="1">
      <c r="O4374" s="57"/>
      <c r="P4374" s="57"/>
      <c r="AO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 hidden="1">
      <c r="O4375" s="57"/>
      <c r="P4375" s="57"/>
      <c r="AO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 hidden="1">
      <c r="O4376" s="57"/>
      <c r="P4376" s="57"/>
      <c r="AO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 hidden="1">
      <c r="O4377" s="57"/>
      <c r="P4377" s="57"/>
      <c r="AO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 hidden="1">
      <c r="O4378" s="57"/>
      <c r="P4378" s="57"/>
      <c r="AO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 hidden="1">
      <c r="O4379" s="57"/>
      <c r="P4379" s="57"/>
      <c r="AO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 hidden="1">
      <c r="O4380" s="57"/>
      <c r="P4380" s="57"/>
      <c r="AO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 hidden="1">
      <c r="O4381" s="57"/>
      <c r="P4381" s="57"/>
      <c r="AO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 hidden="1">
      <c r="O4382" s="57"/>
      <c r="P4382" s="57"/>
      <c r="AO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 hidden="1">
      <c r="O4383" s="57"/>
      <c r="P4383" s="57"/>
      <c r="AO4383" s="57"/>
      <c r="AP4383" s="57"/>
      <c r="BA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 hidden="1">
      <c r="O4384" s="57"/>
      <c r="P4384" s="57"/>
      <c r="AP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 hidden="1">
      <c r="O4385" s="57"/>
      <c r="P4385" s="57"/>
      <c r="A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 hidden="1">
      <c r="O4386" s="57"/>
      <c r="P4386" s="57"/>
      <c r="A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 hidden="1">
      <c r="O4387" s="57"/>
      <c r="P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 hidden="1">
      <c r="O4388" s="57"/>
      <c r="P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 hidden="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 hidden="1">
      <c r="O4390" s="57"/>
      <c r="P4390" s="57"/>
      <c r="AO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 hidden="1">
      <c r="O4391" s="57"/>
      <c r="P4391" s="57"/>
      <c r="AO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 hidden="1">
      <c r="O4392" s="57"/>
      <c r="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 hidden="1">
      <c r="O4393" s="57"/>
      <c r="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 hidden="1">
      <c r="O4394" s="57"/>
      <c r="P4394" s="57"/>
      <c r="AP4394" s="57"/>
      <c r="BA4394" s="57"/>
      <c r="BF4394" s="6" t="e">
        <f t="shared" si="204"/>
        <v>#NUM!</v>
      </c>
      <c r="BG4394" t="e">
        <f t="shared" si="205"/>
        <v>#NUM!</v>
      </c>
      <c r="BH4394" t="e">
        <f t="shared" si="206"/>
        <v>#NUM!</v>
      </c>
      <c r="BI4394" t="e">
        <f>VLOOKUP(H4394,Sheet2!$A$1:$B$270,2,FALSE)</f>
        <v>#N/A</v>
      </c>
    </row>
    <row r="4395" spans="15:61" hidden="1">
      <c r="O4395" s="57"/>
      <c r="P4395" s="57"/>
      <c r="AO4395" s="57"/>
      <c r="BA4395" s="57"/>
      <c r="BF4395" s="6" t="e">
        <f t="shared" si="204"/>
        <v>#NUM!</v>
      </c>
      <c r="BG4395" t="e">
        <f t="shared" si="205"/>
        <v>#NUM!</v>
      </c>
      <c r="BH4395" t="e">
        <f t="shared" si="206"/>
        <v>#NUM!</v>
      </c>
      <c r="BI4395" t="e">
        <f>VLOOKUP(H4395,Sheet2!$A$1:$B$270,2,FALSE)</f>
        <v>#N/A</v>
      </c>
    </row>
    <row r="4396" spans="15:61" hidden="1">
      <c r="O4396" s="57"/>
      <c r="P4396" s="57"/>
      <c r="AO4396" s="57"/>
      <c r="BA4396" s="57"/>
      <c r="BF4396" s="6" t="e">
        <f t="shared" si="204"/>
        <v>#NUM!</v>
      </c>
      <c r="BG4396" t="e">
        <f t="shared" si="205"/>
        <v>#NUM!</v>
      </c>
      <c r="BH4396" t="e">
        <f t="shared" si="206"/>
        <v>#NUM!</v>
      </c>
      <c r="BI4396" t="e">
        <f>VLOOKUP(H4396,Sheet2!$A$1:$B$270,2,FALSE)</f>
        <v>#N/A</v>
      </c>
    </row>
    <row r="4397" spans="15:61" hidden="1">
      <c r="O4397" s="57"/>
      <c r="P4397" s="57"/>
      <c r="AM4397" s="58"/>
      <c r="AO4397" s="57"/>
      <c r="BA4397" s="57"/>
      <c r="BB4397" s="58"/>
      <c r="BF4397" s="6" t="e">
        <f t="shared" si="204"/>
        <v>#NUM!</v>
      </c>
      <c r="BG4397" t="e">
        <f t="shared" si="205"/>
        <v>#NUM!</v>
      </c>
      <c r="BH4397" t="e">
        <f t="shared" si="206"/>
        <v>#NUM!</v>
      </c>
      <c r="BI4397" t="e">
        <f>VLOOKUP(H4397,Sheet2!$A$1:$B$270,2,FALSE)</f>
        <v>#N/A</v>
      </c>
    </row>
    <row r="4398" spans="15:61" hidden="1">
      <c r="O4398" s="57"/>
      <c r="P4398" s="57"/>
      <c r="AO4398" s="57"/>
      <c r="BA4398" s="57"/>
      <c r="BF4398" s="6" t="e">
        <f t="shared" si="204"/>
        <v>#NUM!</v>
      </c>
      <c r="BG4398" t="e">
        <f t="shared" si="205"/>
        <v>#NUM!</v>
      </c>
      <c r="BH4398" t="e">
        <f t="shared" si="206"/>
        <v>#NUM!</v>
      </c>
      <c r="BI4398" t="e">
        <f>VLOOKUP(H4398,Sheet2!$A$1:$B$270,2,FALSE)</f>
        <v>#N/A</v>
      </c>
    </row>
    <row r="4399" spans="15:61" hidden="1">
      <c r="O4399" s="57"/>
      <c r="P4399" s="57"/>
      <c r="AO4399" s="57"/>
      <c r="BA4399" s="57"/>
      <c r="BF4399" s="6" t="e">
        <f t="shared" si="204"/>
        <v>#NUM!</v>
      </c>
      <c r="BG4399" t="e">
        <f t="shared" si="205"/>
        <v>#NUM!</v>
      </c>
      <c r="BH4399" t="e">
        <f t="shared" si="206"/>
        <v>#NUM!</v>
      </c>
      <c r="BI4399" t="e">
        <f>VLOOKUP(H4399,Sheet2!$A$1:$B$270,2,FALSE)</f>
        <v>#N/A</v>
      </c>
    </row>
    <row r="4400" spans="15:61" hidden="1">
      <c r="O4400" s="57"/>
      <c r="P4400" s="57"/>
      <c r="AO4400" s="57"/>
      <c r="BA4400" s="57"/>
      <c r="BF4400" s="6" t="e">
        <f t="shared" si="204"/>
        <v>#NUM!</v>
      </c>
      <c r="BG4400" t="e">
        <f t="shared" si="205"/>
        <v>#NUM!</v>
      </c>
      <c r="BH4400" t="e">
        <f t="shared" si="206"/>
        <v>#NUM!</v>
      </c>
      <c r="BI4400" t="e">
        <f>VLOOKUP(H4400,Sheet2!$A$1:$B$270,2,FALSE)</f>
        <v>#N/A</v>
      </c>
    </row>
    <row r="4401" spans="15:61" hidden="1">
      <c r="O4401" s="57"/>
      <c r="P4401" s="57"/>
      <c r="AO4401" s="57"/>
      <c r="BA4401" s="57"/>
      <c r="BF4401" s="6" t="e">
        <f t="shared" si="204"/>
        <v>#NUM!</v>
      </c>
      <c r="BG4401" t="e">
        <f t="shared" si="205"/>
        <v>#NUM!</v>
      </c>
      <c r="BH4401" t="e">
        <f t="shared" si="206"/>
        <v>#NUM!</v>
      </c>
      <c r="BI4401" t="e">
        <f>VLOOKUP(H4401,Sheet2!$A$1:$B$270,2,FALSE)</f>
        <v>#N/A</v>
      </c>
    </row>
    <row r="4402" spans="15:61" hidden="1">
      <c r="O4402" s="57"/>
      <c r="P4402" s="57"/>
      <c r="AO4402" s="57"/>
      <c r="BA4402" s="57"/>
      <c r="BF4402" s="6" t="e">
        <f t="shared" si="204"/>
        <v>#NUM!</v>
      </c>
      <c r="BG4402" t="e">
        <f t="shared" si="205"/>
        <v>#NUM!</v>
      </c>
      <c r="BH4402" t="e">
        <f t="shared" si="206"/>
        <v>#NUM!</v>
      </c>
      <c r="BI4402" t="e">
        <f>VLOOKUP(H4402,Sheet2!$A$1:$B$270,2,FALSE)</f>
        <v>#N/A</v>
      </c>
    </row>
    <row r="4403" spans="15:61" hidden="1">
      <c r="O4403" s="57"/>
      <c r="P4403" s="57"/>
      <c r="AO4403" s="57"/>
      <c r="AP4403" s="57"/>
      <c r="BA4403" s="57"/>
      <c r="BF4403" s="6" t="e">
        <f t="shared" si="204"/>
        <v>#NUM!</v>
      </c>
      <c r="BG4403" t="e">
        <f t="shared" si="205"/>
        <v>#NUM!</v>
      </c>
      <c r="BH4403" t="e">
        <f t="shared" si="206"/>
        <v>#NUM!</v>
      </c>
      <c r="BI4403" t="e">
        <f>VLOOKUP(H4403,Sheet2!$A$1:$B$270,2,FALSE)</f>
        <v>#N/A</v>
      </c>
    </row>
    <row r="4404" spans="15:61" hidden="1">
      <c r="O4404" s="57"/>
      <c r="P4404" s="57"/>
      <c r="AO4404" s="57"/>
      <c r="AP4404" s="57"/>
      <c r="BA4404" s="57"/>
      <c r="BF4404" s="6" t="e">
        <f t="shared" si="204"/>
        <v>#NUM!</v>
      </c>
      <c r="BG4404" t="e">
        <f t="shared" si="205"/>
        <v>#NUM!</v>
      </c>
      <c r="BH4404" t="e">
        <f t="shared" si="206"/>
        <v>#NUM!</v>
      </c>
      <c r="BI4404" t="e">
        <f>VLOOKUP(H4404,Sheet2!$A$1:$B$270,2,FALSE)</f>
        <v>#N/A</v>
      </c>
    </row>
    <row r="4405" spans="15:61" hidden="1">
      <c r="O4405" s="57"/>
      <c r="P4405" s="57"/>
      <c r="AO4405" s="57"/>
      <c r="AP4405" s="57"/>
      <c r="BA4405" s="57"/>
      <c r="BF4405" s="6" t="e">
        <f t="shared" si="204"/>
        <v>#NUM!</v>
      </c>
      <c r="BG4405" t="e">
        <f t="shared" si="205"/>
        <v>#NUM!</v>
      </c>
      <c r="BH4405" t="e">
        <f t="shared" si="206"/>
        <v>#NUM!</v>
      </c>
      <c r="BI4405" t="e">
        <f>VLOOKUP(H4405,Sheet2!$A$1:$B$270,2,FALSE)</f>
        <v>#N/A</v>
      </c>
    </row>
    <row r="4406" spans="15:61" hidden="1">
      <c r="O4406" s="57"/>
      <c r="P4406" s="57"/>
      <c r="AO4406" s="57"/>
      <c r="BA4406" s="57"/>
      <c r="BF4406" s="6" t="e">
        <f t="shared" si="204"/>
        <v>#NUM!</v>
      </c>
      <c r="BG4406" t="e">
        <f t="shared" si="205"/>
        <v>#NUM!</v>
      </c>
      <c r="BH4406" t="e">
        <f t="shared" si="206"/>
        <v>#NUM!</v>
      </c>
      <c r="BI4406" t="e">
        <f>VLOOKUP(H4406,Sheet2!$A$1:$B$270,2,FALSE)</f>
        <v>#N/A</v>
      </c>
    </row>
    <row r="4407" spans="15:61" hidden="1">
      <c r="O4407" s="57"/>
      <c r="P4407" s="57"/>
      <c r="AO4407" s="57"/>
      <c r="BA4407" s="57"/>
      <c r="BF4407" s="6" t="e">
        <f t="shared" si="204"/>
        <v>#NUM!</v>
      </c>
      <c r="BG4407" t="e">
        <f t="shared" si="205"/>
        <v>#NUM!</v>
      </c>
      <c r="BH4407" t="e">
        <f t="shared" si="206"/>
        <v>#NUM!</v>
      </c>
      <c r="BI4407" t="e">
        <f>VLOOKUP(H4407,Sheet2!$A$1:$B$270,2,FALSE)</f>
        <v>#N/A</v>
      </c>
    </row>
    <row r="4408" spans="15:61" hidden="1">
      <c r="O4408" s="57"/>
      <c r="P4408" s="57"/>
      <c r="BA4408" s="57"/>
      <c r="BF4408" s="6" t="e">
        <f t="shared" si="204"/>
        <v>#NUM!</v>
      </c>
      <c r="BG4408" t="e">
        <f t="shared" si="205"/>
        <v>#NUM!</v>
      </c>
      <c r="BH4408" t="e">
        <f t="shared" si="206"/>
        <v>#NUM!</v>
      </c>
      <c r="BI4408" t="e">
        <f>VLOOKUP(H4408,Sheet2!$A$1:$B$270,2,FALSE)</f>
        <v>#N/A</v>
      </c>
    </row>
    <row r="4409" spans="15:61" hidden="1">
      <c r="O4409" s="57"/>
      <c r="P4409" s="57"/>
      <c r="AP4409" s="57"/>
      <c r="BA4409" s="57"/>
      <c r="BF4409" s="6" t="e">
        <f t="shared" si="204"/>
        <v>#NUM!</v>
      </c>
      <c r="BG4409" t="e">
        <f t="shared" si="205"/>
        <v>#NUM!</v>
      </c>
      <c r="BH4409" t="e">
        <f t="shared" si="206"/>
        <v>#NUM!</v>
      </c>
      <c r="BI4409" t="e">
        <f>VLOOKUP(H4409,Sheet2!$A$1:$B$270,2,FALSE)</f>
        <v>#N/A</v>
      </c>
    </row>
    <row r="4410" spans="15:61" hidden="1">
      <c r="O4410" s="57"/>
      <c r="P4410" s="57"/>
      <c r="AP4410" s="57"/>
      <c r="BA4410" s="57"/>
      <c r="BF4410" s="6" t="e">
        <f t="shared" si="204"/>
        <v>#NUM!</v>
      </c>
      <c r="BG4410" t="e">
        <f t="shared" si="205"/>
        <v>#NUM!</v>
      </c>
      <c r="BH4410" t="e">
        <f t="shared" si="206"/>
        <v>#NUM!</v>
      </c>
      <c r="BI4410" t="e">
        <f>VLOOKUP(H4410,Sheet2!$A$1:$B$270,2,FALSE)</f>
        <v>#N/A</v>
      </c>
    </row>
    <row r="4411" spans="15:61" hidden="1">
      <c r="O4411" s="57"/>
      <c r="P4411" s="57"/>
      <c r="AP4411" s="57"/>
      <c r="BA4411" s="57"/>
      <c r="BF4411" s="6" t="e">
        <f t="shared" si="204"/>
        <v>#NUM!</v>
      </c>
      <c r="BG4411" t="e">
        <f t="shared" si="205"/>
        <v>#NUM!</v>
      </c>
      <c r="BH4411" t="e">
        <f t="shared" si="206"/>
        <v>#NUM!</v>
      </c>
      <c r="BI4411" t="e">
        <f>VLOOKUP(H4411,Sheet2!$A$1:$B$270,2,FALSE)</f>
        <v>#N/A</v>
      </c>
    </row>
    <row r="4412" spans="15:61" hidden="1">
      <c r="O4412" s="57"/>
      <c r="P4412" s="57"/>
      <c r="AP4412" s="57"/>
      <c r="BA4412" s="57"/>
      <c r="BF4412" s="6" t="e">
        <f t="shared" si="204"/>
        <v>#NUM!</v>
      </c>
      <c r="BG4412" t="e">
        <f t="shared" si="205"/>
        <v>#NUM!</v>
      </c>
      <c r="BH4412" t="e">
        <f t="shared" si="206"/>
        <v>#NUM!</v>
      </c>
      <c r="BI4412" t="e">
        <f>VLOOKUP(H4412,Sheet2!$A$1:$B$270,2,FALSE)</f>
        <v>#N/A</v>
      </c>
    </row>
    <row r="4413" spans="15:61" hidden="1">
      <c r="O4413" s="57"/>
      <c r="P4413" s="57"/>
      <c r="AP4413" s="57"/>
      <c r="BA4413" s="57"/>
      <c r="BF4413" s="6" t="e">
        <f t="shared" si="204"/>
        <v>#NUM!</v>
      </c>
      <c r="BG4413" t="e">
        <f t="shared" si="205"/>
        <v>#NUM!</v>
      </c>
      <c r="BH4413" t="e">
        <f t="shared" si="206"/>
        <v>#NUM!</v>
      </c>
      <c r="BI4413" t="e">
        <f>VLOOKUP(H4413,Sheet2!$A$1:$B$270,2,FALSE)</f>
        <v>#N/A</v>
      </c>
    </row>
    <row r="4414" spans="15:61" hidden="1">
      <c r="O4414" s="57"/>
      <c r="P4414" s="57"/>
      <c r="AP4414" s="57"/>
      <c r="BA4414" s="57"/>
      <c r="BF4414" s="6" t="e">
        <f t="shared" si="204"/>
        <v>#NUM!</v>
      </c>
      <c r="BG4414" t="e">
        <f t="shared" si="205"/>
        <v>#NUM!</v>
      </c>
      <c r="BH4414" t="e">
        <f t="shared" si="206"/>
        <v>#NUM!</v>
      </c>
      <c r="BI4414" t="e">
        <f>VLOOKUP(H4414,Sheet2!$A$1:$B$270,2,FALSE)</f>
        <v>#N/A</v>
      </c>
    </row>
    <row r="4415" spans="15:61" hidden="1">
      <c r="O4415" s="57"/>
      <c r="P4415" s="57"/>
      <c r="BA4415" s="57"/>
      <c r="BF4415" s="6" t="e">
        <f t="shared" si="204"/>
        <v>#NUM!</v>
      </c>
      <c r="BG4415" t="e">
        <f t="shared" si="205"/>
        <v>#NUM!</v>
      </c>
      <c r="BH4415" t="e">
        <f t="shared" si="206"/>
        <v>#NUM!</v>
      </c>
      <c r="BI4415" t="e">
        <f>VLOOKUP(H4415,Sheet2!$A$1:$B$270,2,FALSE)</f>
        <v>#N/A</v>
      </c>
    </row>
    <row r="4416" spans="15:61" hidden="1">
      <c r="O4416" s="57"/>
      <c r="P4416" s="57"/>
      <c r="BA4416" s="57"/>
      <c r="BF4416" s="6" t="e">
        <f t="shared" si="204"/>
        <v>#NUM!</v>
      </c>
      <c r="BG4416" t="e">
        <f t="shared" si="205"/>
        <v>#NUM!</v>
      </c>
      <c r="BH4416" t="e">
        <f t="shared" si="206"/>
        <v>#NUM!</v>
      </c>
      <c r="BI4416" t="e">
        <f>VLOOKUP(H4416,Sheet2!$A$1:$B$270,2,FALSE)</f>
        <v>#N/A</v>
      </c>
    </row>
    <row r="4417" spans="15:61" hidden="1">
      <c r="O4417" s="57"/>
      <c r="P4417" s="57"/>
      <c r="AP4417" s="57"/>
      <c r="BA4417" s="57"/>
      <c r="BF4417" s="6" t="e">
        <f t="shared" si="204"/>
        <v>#NUM!</v>
      </c>
      <c r="BG4417" t="e">
        <f t="shared" si="205"/>
        <v>#NUM!</v>
      </c>
      <c r="BH4417" t="e">
        <f t="shared" si="206"/>
        <v>#NUM!</v>
      </c>
      <c r="BI4417" t="e">
        <f>VLOOKUP(H4417,Sheet2!$A$1:$B$270,2,FALSE)</f>
        <v>#N/A</v>
      </c>
    </row>
    <row r="4418" spans="15:61" hidden="1">
      <c r="O4418" s="57"/>
      <c r="P4418" s="57"/>
      <c r="BA4418" s="57"/>
      <c r="BF4418" s="6" t="e">
        <f t="shared" ref="BF4418:BF4481" si="207">DATE(BC4418,BD4418,BE4418)</f>
        <v>#NUM!</v>
      </c>
      <c r="BG4418" t="e">
        <f t="shared" ref="BG4418:BG4481" si="208">BF4418-BA4418</f>
        <v>#NUM!</v>
      </c>
      <c r="BH4418" t="e">
        <f t="shared" ref="BH4418:BH4481" si="209">IF(BG4418=1,"COMPLY",IF(BG4418&lt;1,"COMPLY","NOT COMPLY"))</f>
        <v>#NUM!</v>
      </c>
      <c r="BI4418" t="e">
        <f>VLOOKUP(H4418,Sheet2!$A$1:$B$270,2,FALSE)</f>
        <v>#N/A</v>
      </c>
    </row>
    <row r="4419" spans="15:61" hidden="1">
      <c r="O4419" s="57"/>
      <c r="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 hidden="1">
      <c r="O4420" s="57"/>
      <c r="P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 hidden="1">
      <c r="O4421" s="57"/>
      <c r="P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 hidden="1">
      <c r="O4422" s="57"/>
      <c r="P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 hidden="1">
      <c r="O4423" s="57"/>
      <c r="P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 hidden="1">
      <c r="O4424" s="57"/>
      <c r="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 hidden="1">
      <c r="O4425" s="57"/>
      <c r="P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 hidden="1">
      <c r="O4426" s="57"/>
      <c r="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 hidden="1">
      <c r="O4427" s="57"/>
      <c r="P4427" s="57"/>
      <c r="AO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 hidden="1">
      <c r="O4428" s="57"/>
      <c r="P4428" s="57"/>
      <c r="AO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 hidden="1">
      <c r="O4429" s="57"/>
      <c r="P4429" s="57"/>
      <c r="AO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 hidden="1">
      <c r="O4430" s="57"/>
      <c r="P4430" s="57"/>
      <c r="AO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 hidden="1">
      <c r="O4431" s="57"/>
      <c r="P4431" s="57"/>
      <c r="AO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 hidden="1">
      <c r="O4432" s="57"/>
      <c r="P4432" s="57"/>
      <c r="AO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 hidden="1">
      <c r="O4433" s="57"/>
      <c r="P4433" s="57"/>
      <c r="AO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 hidden="1">
      <c r="O4434" s="57"/>
      <c r="P4434" s="57"/>
      <c r="AO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 hidden="1">
      <c r="O4435" s="57"/>
      <c r="P4435" s="57"/>
      <c r="AO4435" s="57"/>
      <c r="AP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 hidden="1">
      <c r="O4436" s="57"/>
      <c r="P4436" s="57"/>
      <c r="AO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 hidden="1">
      <c r="O4437" s="57"/>
      <c r="P4437" s="57"/>
      <c r="AO4437" s="57"/>
      <c r="A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 hidden="1">
      <c r="O4438" s="57"/>
      <c r="P4438" s="57"/>
      <c r="AO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 hidden="1">
      <c r="O4439" s="57"/>
      <c r="P4439" s="57"/>
      <c r="A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 hidden="1">
      <c r="O4440" s="57"/>
      <c r="P4440" s="57"/>
      <c r="AP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 hidden="1">
      <c r="O4441" s="57"/>
      <c r="P4441" s="57"/>
      <c r="AP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 hidden="1">
      <c r="O4442" s="57"/>
      <c r="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 hidden="1">
      <c r="O4443" s="57"/>
      <c r="P4443" s="57"/>
      <c r="AO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 hidden="1">
      <c r="O4444" s="57"/>
      <c r="P4444" s="57"/>
      <c r="AO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 hidden="1">
      <c r="O4445" s="57"/>
      <c r="P4445" s="57"/>
      <c r="AO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 hidden="1">
      <c r="O4446" s="57"/>
      <c r="P4446" s="57"/>
      <c r="AO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 hidden="1">
      <c r="O4447" s="57"/>
      <c r="P4447" s="57"/>
      <c r="AO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 hidden="1">
      <c r="O4448" s="57"/>
      <c r="P4448" s="57"/>
      <c r="AO4448" s="57"/>
      <c r="AP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 hidden="1">
      <c r="O4449" s="57"/>
      <c r="P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 hidden="1">
      <c r="O4450" s="57"/>
      <c r="P4450" s="57"/>
      <c r="AO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 hidden="1">
      <c r="O4451" s="57"/>
      <c r="P4451" s="57"/>
      <c r="AO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 hidden="1">
      <c r="O4452" s="57"/>
      <c r="P4452" s="57"/>
      <c r="AO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 hidden="1">
      <c r="O4453" s="57"/>
      <c r="P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 hidden="1">
      <c r="O4454" s="57"/>
      <c r="P4454" s="57"/>
      <c r="AP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 hidden="1">
      <c r="O4455" s="57"/>
      <c r="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 hidden="1">
      <c r="O4456" s="57"/>
      <c r="P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 hidden="1">
      <c r="O4457" s="57"/>
      <c r="P4457" s="57"/>
      <c r="AP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 hidden="1">
      <c r="O4458" s="57"/>
      <c r="P4458" s="57"/>
      <c r="BA4458" s="57"/>
      <c r="BF4458" s="6" t="e">
        <f t="shared" si="207"/>
        <v>#NUM!</v>
      </c>
      <c r="BG4458" t="e">
        <f t="shared" si="208"/>
        <v>#NUM!</v>
      </c>
      <c r="BH4458" t="e">
        <f t="shared" si="209"/>
        <v>#NUM!</v>
      </c>
      <c r="BI4458" t="e">
        <f>VLOOKUP(H4458,Sheet2!$A$1:$B$270,2,FALSE)</f>
        <v>#N/A</v>
      </c>
    </row>
    <row r="4459" spans="15:61" hidden="1">
      <c r="O4459" s="57"/>
      <c r="P4459" s="57"/>
      <c r="AO4459" s="57"/>
      <c r="AP4459" s="57"/>
      <c r="BA4459" s="57"/>
      <c r="BF4459" s="6" t="e">
        <f t="shared" si="207"/>
        <v>#NUM!</v>
      </c>
      <c r="BG4459" t="e">
        <f t="shared" si="208"/>
        <v>#NUM!</v>
      </c>
      <c r="BH4459" t="e">
        <f t="shared" si="209"/>
        <v>#NUM!</v>
      </c>
      <c r="BI4459" t="e">
        <f>VLOOKUP(H4459,Sheet2!$A$1:$B$270,2,FALSE)</f>
        <v>#N/A</v>
      </c>
    </row>
    <row r="4460" spans="15:61" hidden="1">
      <c r="O4460" s="57"/>
      <c r="P4460" s="57"/>
      <c r="AO4460" s="57"/>
      <c r="AP4460" s="57"/>
      <c r="BA4460" s="57"/>
      <c r="BF4460" s="6" t="e">
        <f t="shared" si="207"/>
        <v>#NUM!</v>
      </c>
      <c r="BG4460" t="e">
        <f t="shared" si="208"/>
        <v>#NUM!</v>
      </c>
      <c r="BH4460" t="e">
        <f t="shared" si="209"/>
        <v>#NUM!</v>
      </c>
      <c r="BI4460" t="e">
        <f>VLOOKUP(H4460,Sheet2!$A$1:$B$270,2,FALSE)</f>
        <v>#N/A</v>
      </c>
    </row>
    <row r="4461" spans="15:61" hidden="1">
      <c r="O4461" s="57"/>
      <c r="P4461" s="57"/>
      <c r="AO4461" s="57"/>
      <c r="BA4461" s="57"/>
      <c r="BF4461" s="6" t="e">
        <f t="shared" si="207"/>
        <v>#NUM!</v>
      </c>
      <c r="BG4461" t="e">
        <f t="shared" si="208"/>
        <v>#NUM!</v>
      </c>
      <c r="BH4461" t="e">
        <f t="shared" si="209"/>
        <v>#NUM!</v>
      </c>
      <c r="BI4461" t="e">
        <f>VLOOKUP(H4461,Sheet2!$A$1:$B$270,2,FALSE)</f>
        <v>#N/A</v>
      </c>
    </row>
    <row r="4462" spans="15:61" hidden="1">
      <c r="O4462" s="57"/>
      <c r="P4462" s="57"/>
      <c r="AO4462" s="57"/>
      <c r="BA4462" s="57"/>
      <c r="BF4462" s="6" t="e">
        <f t="shared" si="207"/>
        <v>#NUM!</v>
      </c>
      <c r="BG4462" t="e">
        <f t="shared" si="208"/>
        <v>#NUM!</v>
      </c>
      <c r="BH4462" t="e">
        <f t="shared" si="209"/>
        <v>#NUM!</v>
      </c>
      <c r="BI4462" t="e">
        <f>VLOOKUP(H4462,Sheet2!$A$1:$B$270,2,FALSE)</f>
        <v>#N/A</v>
      </c>
    </row>
    <row r="4463" spans="15:61" hidden="1">
      <c r="O4463" s="57"/>
      <c r="P4463" s="57"/>
      <c r="AP4463" s="57"/>
      <c r="BA4463" s="57"/>
      <c r="BF4463" s="6" t="e">
        <f t="shared" si="207"/>
        <v>#NUM!</v>
      </c>
      <c r="BG4463" t="e">
        <f t="shared" si="208"/>
        <v>#NUM!</v>
      </c>
      <c r="BH4463" t="e">
        <f t="shared" si="209"/>
        <v>#NUM!</v>
      </c>
      <c r="BI4463" t="e">
        <f>VLOOKUP(H4463,Sheet2!$A$1:$B$270,2,FALSE)</f>
        <v>#N/A</v>
      </c>
    </row>
    <row r="4464" spans="15:61" hidden="1">
      <c r="O4464" s="57"/>
      <c r="P4464" s="57"/>
      <c r="AP4464" s="57"/>
      <c r="BA4464" s="57"/>
      <c r="BF4464" s="6" t="e">
        <f t="shared" si="207"/>
        <v>#NUM!</v>
      </c>
      <c r="BG4464" t="e">
        <f t="shared" si="208"/>
        <v>#NUM!</v>
      </c>
      <c r="BH4464" t="e">
        <f t="shared" si="209"/>
        <v>#NUM!</v>
      </c>
      <c r="BI4464" t="e">
        <f>VLOOKUP(H4464,Sheet2!$A$1:$B$270,2,FALSE)</f>
        <v>#N/A</v>
      </c>
    </row>
    <row r="4465" spans="15:61" hidden="1">
      <c r="O4465" s="57"/>
      <c r="P4465" s="57"/>
      <c r="AP4465" s="57"/>
      <c r="BA4465" s="57"/>
      <c r="BF4465" s="6" t="e">
        <f t="shared" si="207"/>
        <v>#NUM!</v>
      </c>
      <c r="BG4465" t="e">
        <f t="shared" si="208"/>
        <v>#NUM!</v>
      </c>
      <c r="BH4465" t="e">
        <f t="shared" si="209"/>
        <v>#NUM!</v>
      </c>
      <c r="BI4465" t="e">
        <f>VLOOKUP(H4465,Sheet2!$A$1:$B$270,2,FALSE)</f>
        <v>#N/A</v>
      </c>
    </row>
    <row r="4466" spans="15:61" hidden="1">
      <c r="O4466" s="57"/>
      <c r="P4466" s="57"/>
      <c r="BA4466" s="57"/>
      <c r="BF4466" s="6" t="e">
        <f t="shared" si="207"/>
        <v>#NUM!</v>
      </c>
      <c r="BG4466" t="e">
        <f t="shared" si="208"/>
        <v>#NUM!</v>
      </c>
      <c r="BH4466" t="e">
        <f t="shared" si="209"/>
        <v>#NUM!</v>
      </c>
      <c r="BI4466" t="e">
        <f>VLOOKUP(H4466,Sheet2!$A$1:$B$270,2,FALSE)</f>
        <v>#N/A</v>
      </c>
    </row>
    <row r="4467" spans="15:61" hidden="1">
      <c r="O4467" s="57"/>
      <c r="P4467" s="57"/>
      <c r="AP4467" s="57"/>
      <c r="BA4467" s="57"/>
      <c r="BF4467" s="6" t="e">
        <f t="shared" si="207"/>
        <v>#NUM!</v>
      </c>
      <c r="BG4467" t="e">
        <f t="shared" si="208"/>
        <v>#NUM!</v>
      </c>
      <c r="BH4467" t="e">
        <f t="shared" si="209"/>
        <v>#NUM!</v>
      </c>
      <c r="BI4467" t="e">
        <f>VLOOKUP(H4467,Sheet2!$A$1:$B$270,2,FALSE)</f>
        <v>#N/A</v>
      </c>
    </row>
    <row r="4468" spans="15:61" hidden="1">
      <c r="O4468" s="57"/>
      <c r="P4468" s="57"/>
      <c r="BF4468" s="6" t="e">
        <f t="shared" si="207"/>
        <v>#NUM!</v>
      </c>
      <c r="BG4468" t="e">
        <f t="shared" si="208"/>
        <v>#NUM!</v>
      </c>
      <c r="BH4468" t="e">
        <f t="shared" si="209"/>
        <v>#NUM!</v>
      </c>
      <c r="BI4468" t="e">
        <f>VLOOKUP(H4468,Sheet2!$A$1:$B$270,2,FALSE)</f>
        <v>#N/A</v>
      </c>
    </row>
    <row r="4469" spans="15:61" hidden="1">
      <c r="O4469" s="57"/>
      <c r="P4469" s="57"/>
      <c r="BF4469" s="6" t="e">
        <f t="shared" si="207"/>
        <v>#NUM!</v>
      </c>
      <c r="BG4469" t="e">
        <f t="shared" si="208"/>
        <v>#NUM!</v>
      </c>
      <c r="BH4469" t="e">
        <f t="shared" si="209"/>
        <v>#NUM!</v>
      </c>
      <c r="BI4469" t="e">
        <f>VLOOKUP(H4469,Sheet2!$A$1:$B$270,2,FALSE)</f>
        <v>#N/A</v>
      </c>
    </row>
    <row r="4470" spans="15:61" hidden="1">
      <c r="O4470" s="57"/>
      <c r="P4470" s="57"/>
      <c r="BF4470" s="6" t="e">
        <f t="shared" si="207"/>
        <v>#NUM!</v>
      </c>
      <c r="BG4470" t="e">
        <f t="shared" si="208"/>
        <v>#NUM!</v>
      </c>
      <c r="BH4470" t="e">
        <f t="shared" si="209"/>
        <v>#NUM!</v>
      </c>
      <c r="BI4470" t="e">
        <f>VLOOKUP(H4470,Sheet2!$A$1:$B$270,2,FALSE)</f>
        <v>#N/A</v>
      </c>
    </row>
    <row r="4471" spans="15:61" hidden="1">
      <c r="O4471" s="57"/>
      <c r="P4471" s="57"/>
      <c r="AO4471" s="57"/>
      <c r="BA4471" s="57"/>
      <c r="BF4471" s="6" t="e">
        <f t="shared" si="207"/>
        <v>#NUM!</v>
      </c>
      <c r="BG4471" t="e">
        <f t="shared" si="208"/>
        <v>#NUM!</v>
      </c>
      <c r="BH4471" t="e">
        <f t="shared" si="209"/>
        <v>#NUM!</v>
      </c>
      <c r="BI4471" t="e">
        <f>VLOOKUP(H4471,Sheet2!$A$1:$B$270,2,FALSE)</f>
        <v>#N/A</v>
      </c>
    </row>
    <row r="4472" spans="15:61" hidden="1">
      <c r="O4472" s="57"/>
      <c r="P4472" s="57"/>
      <c r="AO4472" s="57"/>
      <c r="BA4472" s="57"/>
      <c r="BF4472" s="6" t="e">
        <f t="shared" si="207"/>
        <v>#NUM!</v>
      </c>
      <c r="BG4472" t="e">
        <f t="shared" si="208"/>
        <v>#NUM!</v>
      </c>
      <c r="BH4472" t="e">
        <f t="shared" si="209"/>
        <v>#NUM!</v>
      </c>
      <c r="BI4472" t="e">
        <f>VLOOKUP(H4472,Sheet2!$A$1:$B$270,2,FALSE)</f>
        <v>#N/A</v>
      </c>
    </row>
    <row r="4473" spans="15:61" hidden="1">
      <c r="O4473" s="57"/>
      <c r="P4473" s="57"/>
      <c r="AP4473" s="57"/>
      <c r="BA4473" s="57"/>
      <c r="BF4473" s="6" t="e">
        <f t="shared" si="207"/>
        <v>#NUM!</v>
      </c>
      <c r="BG4473" t="e">
        <f t="shared" si="208"/>
        <v>#NUM!</v>
      </c>
      <c r="BH4473" t="e">
        <f t="shared" si="209"/>
        <v>#NUM!</v>
      </c>
      <c r="BI4473" t="e">
        <f>VLOOKUP(H4473,Sheet2!$A$1:$B$270,2,FALSE)</f>
        <v>#N/A</v>
      </c>
    </row>
    <row r="4474" spans="15:61" hidden="1">
      <c r="O4474" s="57"/>
      <c r="P4474" s="57"/>
      <c r="AO4474" s="57"/>
      <c r="BA4474" s="57"/>
      <c r="BF4474" s="6" t="e">
        <f t="shared" si="207"/>
        <v>#NUM!</v>
      </c>
      <c r="BG4474" t="e">
        <f t="shared" si="208"/>
        <v>#NUM!</v>
      </c>
      <c r="BH4474" t="e">
        <f t="shared" si="209"/>
        <v>#NUM!</v>
      </c>
      <c r="BI4474" t="e">
        <f>VLOOKUP(H4474,Sheet2!$A$1:$B$270,2,FALSE)</f>
        <v>#N/A</v>
      </c>
    </row>
    <row r="4475" spans="15:61" hidden="1">
      <c r="O4475" s="57"/>
      <c r="P4475" s="57"/>
      <c r="AO4475" s="57"/>
      <c r="AP4475" s="57"/>
      <c r="BA4475" s="57"/>
      <c r="BF4475" s="6" t="e">
        <f t="shared" si="207"/>
        <v>#NUM!</v>
      </c>
      <c r="BG4475" t="e">
        <f t="shared" si="208"/>
        <v>#NUM!</v>
      </c>
      <c r="BH4475" t="e">
        <f t="shared" si="209"/>
        <v>#NUM!</v>
      </c>
      <c r="BI4475" t="e">
        <f>VLOOKUP(H4475,Sheet2!$A$1:$B$270,2,FALSE)</f>
        <v>#N/A</v>
      </c>
    </row>
    <row r="4476" spans="15:61" hidden="1">
      <c r="O4476" s="57"/>
      <c r="P4476" s="57"/>
      <c r="AO4476" s="57"/>
      <c r="AP4476" s="57"/>
      <c r="BA4476" s="57"/>
      <c r="BF4476" s="6" t="e">
        <f t="shared" si="207"/>
        <v>#NUM!</v>
      </c>
      <c r="BG4476" t="e">
        <f t="shared" si="208"/>
        <v>#NUM!</v>
      </c>
      <c r="BH4476" t="e">
        <f t="shared" si="209"/>
        <v>#NUM!</v>
      </c>
      <c r="BI4476" t="e">
        <f>VLOOKUP(H4476,Sheet2!$A$1:$B$270,2,FALSE)</f>
        <v>#N/A</v>
      </c>
    </row>
    <row r="4477" spans="15:61" hidden="1">
      <c r="O4477" s="57"/>
      <c r="P4477" s="57"/>
      <c r="AO4477" s="57"/>
      <c r="BA4477" s="57"/>
      <c r="BF4477" s="6" t="e">
        <f t="shared" si="207"/>
        <v>#NUM!</v>
      </c>
      <c r="BG4477" t="e">
        <f t="shared" si="208"/>
        <v>#NUM!</v>
      </c>
      <c r="BH4477" t="e">
        <f t="shared" si="209"/>
        <v>#NUM!</v>
      </c>
      <c r="BI4477" t="e">
        <f>VLOOKUP(H4477,Sheet2!$A$1:$B$270,2,FALSE)</f>
        <v>#N/A</v>
      </c>
    </row>
    <row r="4478" spans="15:61" hidden="1">
      <c r="O4478" s="57"/>
      <c r="P4478" s="57"/>
      <c r="AO4478" s="57"/>
      <c r="AP4478" s="57"/>
      <c r="BA4478" s="57"/>
      <c r="BF4478" s="6" t="e">
        <f t="shared" si="207"/>
        <v>#NUM!</v>
      </c>
      <c r="BG4478" t="e">
        <f t="shared" si="208"/>
        <v>#NUM!</v>
      </c>
      <c r="BH4478" t="e">
        <f t="shared" si="209"/>
        <v>#NUM!</v>
      </c>
      <c r="BI4478" t="e">
        <f>VLOOKUP(H4478,Sheet2!$A$1:$B$270,2,FALSE)</f>
        <v>#N/A</v>
      </c>
    </row>
    <row r="4479" spans="15:61" hidden="1">
      <c r="O4479" s="57"/>
      <c r="P4479" s="57"/>
      <c r="AP4479" s="57"/>
      <c r="BA4479" s="57"/>
      <c r="BF4479" s="6" t="e">
        <f t="shared" si="207"/>
        <v>#NUM!</v>
      </c>
      <c r="BG4479" t="e">
        <f t="shared" si="208"/>
        <v>#NUM!</v>
      </c>
      <c r="BH4479" t="e">
        <f t="shared" si="209"/>
        <v>#NUM!</v>
      </c>
      <c r="BI4479" t="e">
        <f>VLOOKUP(H4479,Sheet2!$A$1:$B$270,2,FALSE)</f>
        <v>#N/A</v>
      </c>
    </row>
    <row r="4480" spans="15:61" hidden="1">
      <c r="O4480" s="57"/>
      <c r="P4480" s="57"/>
      <c r="AP4480" s="57"/>
      <c r="BA4480" s="57"/>
      <c r="BF4480" s="6" t="e">
        <f t="shared" si="207"/>
        <v>#NUM!</v>
      </c>
      <c r="BG4480" t="e">
        <f t="shared" si="208"/>
        <v>#NUM!</v>
      </c>
      <c r="BH4480" t="e">
        <f t="shared" si="209"/>
        <v>#NUM!</v>
      </c>
      <c r="BI4480" t="e">
        <f>VLOOKUP(H4480,Sheet2!$A$1:$B$270,2,FALSE)</f>
        <v>#N/A</v>
      </c>
    </row>
    <row r="4481" spans="15:61" hidden="1">
      <c r="O4481" s="57"/>
      <c r="P4481" s="57"/>
      <c r="AO4481" s="57"/>
      <c r="AP4481" s="57"/>
      <c r="BA4481" s="57"/>
      <c r="BF4481" s="6" t="e">
        <f t="shared" si="207"/>
        <v>#NUM!</v>
      </c>
      <c r="BG4481" t="e">
        <f t="shared" si="208"/>
        <v>#NUM!</v>
      </c>
      <c r="BH4481" t="e">
        <f t="shared" si="209"/>
        <v>#NUM!</v>
      </c>
      <c r="BI4481" t="e">
        <f>VLOOKUP(H4481,Sheet2!$A$1:$B$270,2,FALSE)</f>
        <v>#N/A</v>
      </c>
    </row>
    <row r="4482" spans="15:61" hidden="1">
      <c r="O4482" s="57"/>
      <c r="P4482" s="57"/>
      <c r="AO4482" s="57"/>
      <c r="BA4482" s="57"/>
      <c r="BF4482" s="6" t="e">
        <f t="shared" ref="BF4482:BF4545" si="210">DATE(BC4482,BD4482,BE4482)</f>
        <v>#NUM!</v>
      </c>
      <c r="BG4482" t="e">
        <f t="shared" ref="BG4482:BG4545" si="211">BF4482-BA4482</f>
        <v>#NUM!</v>
      </c>
      <c r="BH4482" t="e">
        <f t="shared" ref="BH4482:BH4545" si="212">IF(BG4482=1,"COMPLY",IF(BG4482&lt;1,"COMPLY","NOT COMPLY"))</f>
        <v>#NUM!</v>
      </c>
      <c r="BI4482" t="e">
        <f>VLOOKUP(H4482,Sheet2!$A$1:$B$270,2,FALSE)</f>
        <v>#N/A</v>
      </c>
    </row>
    <row r="4483" spans="15:61" hidden="1">
      <c r="O4483" s="57"/>
      <c r="P4483" s="57"/>
      <c r="AO4483" s="57"/>
      <c r="AP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 hidden="1">
      <c r="O4484" s="57"/>
      <c r="P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 hidden="1">
      <c r="O4485" s="57"/>
      <c r="P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 hidden="1">
      <c r="O4486" s="57"/>
      <c r="P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 hidden="1">
      <c r="O4487" s="57"/>
      <c r="P4487" s="57"/>
      <c r="AO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 hidden="1">
      <c r="O4488" s="57"/>
      <c r="P4488" s="57"/>
      <c r="AO4488" s="57"/>
      <c r="BA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 hidden="1">
      <c r="O4489" s="57"/>
      <c r="P4489" s="57"/>
      <c r="AO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 hidden="1">
      <c r="O4490" s="57"/>
      <c r="P4490" s="57"/>
      <c r="A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 hidden="1">
      <c r="O4491" s="57"/>
      <c r="P4491" s="57"/>
      <c r="BA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 hidden="1">
      <c r="O4492" s="57"/>
      <c r="P4492" s="57"/>
      <c r="BA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 hidden="1">
      <c r="O4493" s="57"/>
      <c r="P4493" s="57"/>
      <c r="AP4493" s="57"/>
      <c r="BA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 hidden="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 hidden="1">
      <c r="O4495" s="57"/>
      <c r="P4495" s="57"/>
      <c r="AO4495" s="57"/>
      <c r="BA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 hidden="1">
      <c r="O4496" s="57"/>
      <c r="P4496" s="57"/>
      <c r="AO4496" s="57"/>
      <c r="A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 hidden="1">
      <c r="O4497" s="57"/>
      <c r="P4497" s="57"/>
      <c r="AO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 hidden="1">
      <c r="O4498" s="57"/>
      <c r="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 hidden="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 hidden="1">
      <c r="O4500" s="57"/>
      <c r="P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 hidden="1">
      <c r="O4501" s="57"/>
      <c r="P4501" s="57"/>
      <c r="AO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 hidden="1">
      <c r="O4502" s="57"/>
      <c r="P4502" s="57"/>
      <c r="AO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 hidden="1">
      <c r="O4503" s="57"/>
      <c r="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 hidden="1">
      <c r="O4504" s="57"/>
      <c r="P4504" s="57"/>
      <c r="AO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 hidden="1">
      <c r="O4505" s="57"/>
      <c r="P4505" s="57"/>
      <c r="AO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 hidden="1">
      <c r="O4506" s="57"/>
      <c r="P4506" s="57"/>
      <c r="AO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 hidden="1">
      <c r="O4507" s="57"/>
      <c r="P4507" s="57"/>
      <c r="AO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 hidden="1">
      <c r="O4508" s="57"/>
      <c r="P4508" s="57"/>
      <c r="AO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 hidden="1">
      <c r="O4509" s="57"/>
      <c r="P4509" s="57"/>
      <c r="AO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 hidden="1">
      <c r="O4510" s="57"/>
      <c r="P4510" s="57"/>
      <c r="AO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 hidden="1">
      <c r="O4511" s="57"/>
      <c r="P4511" s="57"/>
      <c r="AO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 hidden="1">
      <c r="O4512" s="57"/>
      <c r="P4512" s="57"/>
      <c r="AO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 hidden="1">
      <c r="O4513" s="57"/>
      <c r="P4513" s="57"/>
      <c r="AO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 hidden="1">
      <c r="O4514" s="57"/>
      <c r="P4514" s="57"/>
      <c r="AO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 hidden="1">
      <c r="O4515" s="57"/>
      <c r="P4515" s="57"/>
      <c r="AO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 hidden="1">
      <c r="O4516" s="57"/>
      <c r="P4516" s="57"/>
      <c r="AO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 hidden="1">
      <c r="O4517" s="57"/>
      <c r="P4517" s="57"/>
      <c r="AO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 hidden="1">
      <c r="O4518" s="57"/>
      <c r="P4518" s="57"/>
      <c r="AO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 hidden="1">
      <c r="O4519" s="57"/>
      <c r="P4519" s="57"/>
      <c r="AO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 hidden="1">
      <c r="O4520" s="57"/>
      <c r="P4520" s="57"/>
      <c r="AO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 hidden="1">
      <c r="O4521" s="57"/>
      <c r="P4521" s="57"/>
      <c r="AO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 hidden="1">
      <c r="O4522" s="57"/>
      <c r="P4522" s="57"/>
      <c r="AO4522" s="57"/>
      <c r="BA4522" s="57"/>
      <c r="BF4522" s="6" t="e">
        <f t="shared" si="210"/>
        <v>#NUM!</v>
      </c>
      <c r="BG4522" t="e">
        <f t="shared" si="211"/>
        <v>#NUM!</v>
      </c>
      <c r="BH4522" t="e">
        <f t="shared" si="212"/>
        <v>#NUM!</v>
      </c>
      <c r="BI4522" t="e">
        <f>VLOOKUP(H4522,Sheet2!$A$1:$B$270,2,FALSE)</f>
        <v>#N/A</v>
      </c>
    </row>
    <row r="4523" spans="15:61" hidden="1">
      <c r="O4523" s="57"/>
      <c r="P4523" s="57"/>
      <c r="AO4523" s="57"/>
      <c r="BA4523" s="57"/>
      <c r="BF4523" s="6" t="e">
        <f t="shared" si="210"/>
        <v>#NUM!</v>
      </c>
      <c r="BG4523" t="e">
        <f t="shared" si="211"/>
        <v>#NUM!</v>
      </c>
      <c r="BH4523" t="e">
        <f t="shared" si="212"/>
        <v>#NUM!</v>
      </c>
      <c r="BI4523" t="e">
        <f>VLOOKUP(H4523,Sheet2!$A$1:$B$270,2,FALSE)</f>
        <v>#N/A</v>
      </c>
    </row>
    <row r="4524" spans="15:61" hidden="1">
      <c r="O4524" s="57"/>
      <c r="P4524" s="57"/>
      <c r="AO4524" s="57"/>
      <c r="AP4524" s="57"/>
      <c r="BA4524" s="57"/>
      <c r="BF4524" s="6" t="e">
        <f t="shared" si="210"/>
        <v>#NUM!</v>
      </c>
      <c r="BG4524" t="e">
        <f t="shared" si="211"/>
        <v>#NUM!</v>
      </c>
      <c r="BH4524" t="e">
        <f t="shared" si="212"/>
        <v>#NUM!</v>
      </c>
      <c r="BI4524" t="e">
        <f>VLOOKUP(H4524,Sheet2!$A$1:$B$270,2,FALSE)</f>
        <v>#N/A</v>
      </c>
    </row>
    <row r="4525" spans="15:61" hidden="1">
      <c r="O4525" s="57"/>
      <c r="P4525" s="57"/>
      <c r="AO4525" s="57"/>
      <c r="BA4525" s="57"/>
      <c r="BF4525" s="6" t="e">
        <f t="shared" si="210"/>
        <v>#NUM!</v>
      </c>
      <c r="BG4525" t="e">
        <f t="shared" si="211"/>
        <v>#NUM!</v>
      </c>
      <c r="BH4525" t="e">
        <f t="shared" si="212"/>
        <v>#NUM!</v>
      </c>
      <c r="BI4525" t="e">
        <f>VLOOKUP(H4525,Sheet2!$A$1:$B$270,2,FALSE)</f>
        <v>#N/A</v>
      </c>
    </row>
    <row r="4526" spans="15:61" hidden="1">
      <c r="O4526" s="57"/>
      <c r="P4526" s="57"/>
      <c r="AP4526" s="57"/>
      <c r="BA4526" s="57"/>
      <c r="BF4526" s="6" t="e">
        <f t="shared" si="210"/>
        <v>#NUM!</v>
      </c>
      <c r="BG4526" t="e">
        <f t="shared" si="211"/>
        <v>#NUM!</v>
      </c>
      <c r="BH4526" t="e">
        <f t="shared" si="212"/>
        <v>#NUM!</v>
      </c>
      <c r="BI4526" t="e">
        <f>VLOOKUP(H4526,Sheet2!$A$1:$B$270,2,FALSE)</f>
        <v>#N/A</v>
      </c>
    </row>
    <row r="4527" spans="15:61" hidden="1">
      <c r="O4527" s="57"/>
      <c r="P4527" s="57"/>
      <c r="BA4527" s="57"/>
      <c r="BF4527" s="6" t="e">
        <f t="shared" si="210"/>
        <v>#NUM!</v>
      </c>
      <c r="BG4527" t="e">
        <f t="shared" si="211"/>
        <v>#NUM!</v>
      </c>
      <c r="BH4527" t="e">
        <f t="shared" si="212"/>
        <v>#NUM!</v>
      </c>
      <c r="BI4527" t="e">
        <f>VLOOKUP(H4527,Sheet2!$A$1:$B$270,2,FALSE)</f>
        <v>#N/A</v>
      </c>
    </row>
    <row r="4528" spans="15:61" hidden="1">
      <c r="O4528" s="57"/>
      <c r="P4528" s="57"/>
      <c r="BA4528" s="57"/>
      <c r="BF4528" s="6" t="e">
        <f t="shared" si="210"/>
        <v>#NUM!</v>
      </c>
      <c r="BG4528" t="e">
        <f t="shared" si="211"/>
        <v>#NUM!</v>
      </c>
      <c r="BH4528" t="e">
        <f t="shared" si="212"/>
        <v>#NUM!</v>
      </c>
      <c r="BI4528" t="e">
        <f>VLOOKUP(H4528,Sheet2!$A$1:$B$270,2,FALSE)</f>
        <v>#N/A</v>
      </c>
    </row>
    <row r="4529" spans="15:61" hidden="1">
      <c r="O4529" s="57"/>
      <c r="P4529" s="57"/>
      <c r="AP4529" s="57"/>
      <c r="BA4529" s="57"/>
      <c r="BF4529" s="6" t="e">
        <f t="shared" si="210"/>
        <v>#NUM!</v>
      </c>
      <c r="BG4529" t="e">
        <f t="shared" si="211"/>
        <v>#NUM!</v>
      </c>
      <c r="BH4529" t="e">
        <f t="shared" si="212"/>
        <v>#NUM!</v>
      </c>
      <c r="BI4529" t="e">
        <f>VLOOKUP(H4529,Sheet2!$A$1:$B$270,2,FALSE)</f>
        <v>#N/A</v>
      </c>
    </row>
    <row r="4530" spans="15:61" hidden="1">
      <c r="O4530" s="57"/>
      <c r="P4530" s="57"/>
      <c r="AP4530" s="57"/>
      <c r="BA4530" s="57"/>
      <c r="BF4530" s="6" t="e">
        <f t="shared" si="210"/>
        <v>#NUM!</v>
      </c>
      <c r="BG4530" t="e">
        <f t="shared" si="211"/>
        <v>#NUM!</v>
      </c>
      <c r="BH4530" t="e">
        <f t="shared" si="212"/>
        <v>#NUM!</v>
      </c>
      <c r="BI4530" t="e">
        <f>VLOOKUP(H4530,Sheet2!$A$1:$B$270,2,FALSE)</f>
        <v>#N/A</v>
      </c>
    </row>
    <row r="4531" spans="15:61" hidden="1">
      <c r="O4531" s="57"/>
      <c r="P4531" s="57"/>
      <c r="AP4531" s="57"/>
      <c r="BA4531" s="57"/>
      <c r="BF4531" s="6" t="e">
        <f t="shared" si="210"/>
        <v>#NUM!</v>
      </c>
      <c r="BG4531" t="e">
        <f t="shared" si="211"/>
        <v>#NUM!</v>
      </c>
      <c r="BH4531" t="e">
        <f t="shared" si="212"/>
        <v>#NUM!</v>
      </c>
      <c r="BI4531" t="e">
        <f>VLOOKUP(H4531,Sheet2!$A$1:$B$270,2,FALSE)</f>
        <v>#N/A</v>
      </c>
    </row>
    <row r="4532" spans="15:61" hidden="1">
      <c r="O4532" s="57"/>
      <c r="P4532" s="57"/>
      <c r="AP4532" s="57"/>
      <c r="BA4532" s="57"/>
      <c r="BF4532" s="6" t="e">
        <f t="shared" si="210"/>
        <v>#NUM!</v>
      </c>
      <c r="BG4532" t="e">
        <f t="shared" si="211"/>
        <v>#NUM!</v>
      </c>
      <c r="BH4532" t="e">
        <f t="shared" si="212"/>
        <v>#NUM!</v>
      </c>
      <c r="BI4532" t="e">
        <f>VLOOKUP(H4532,Sheet2!$A$1:$B$270,2,FALSE)</f>
        <v>#N/A</v>
      </c>
    </row>
    <row r="4533" spans="15:61" hidden="1">
      <c r="O4533" s="57"/>
      <c r="P4533" s="57"/>
      <c r="AP4533" s="57"/>
      <c r="BA4533" s="57"/>
      <c r="BF4533" s="6" t="e">
        <f t="shared" si="210"/>
        <v>#NUM!</v>
      </c>
      <c r="BG4533" t="e">
        <f t="shared" si="211"/>
        <v>#NUM!</v>
      </c>
      <c r="BH4533" t="e">
        <f t="shared" si="212"/>
        <v>#NUM!</v>
      </c>
      <c r="BI4533" t="e">
        <f>VLOOKUP(H4533,Sheet2!$A$1:$B$270,2,FALSE)</f>
        <v>#N/A</v>
      </c>
    </row>
    <row r="4534" spans="15:61" hidden="1">
      <c r="O4534" s="57"/>
      <c r="P4534" s="57"/>
      <c r="AP4534" s="57"/>
      <c r="BA4534" s="57"/>
      <c r="BF4534" s="6" t="e">
        <f t="shared" si="210"/>
        <v>#NUM!</v>
      </c>
      <c r="BG4534" t="e">
        <f t="shared" si="211"/>
        <v>#NUM!</v>
      </c>
      <c r="BH4534" t="e">
        <f t="shared" si="212"/>
        <v>#NUM!</v>
      </c>
      <c r="BI4534" t="e">
        <f>VLOOKUP(H4534,Sheet2!$A$1:$B$270,2,FALSE)</f>
        <v>#N/A</v>
      </c>
    </row>
    <row r="4535" spans="15:61" hidden="1">
      <c r="O4535" s="57"/>
      <c r="P4535" s="57"/>
      <c r="BA4535" s="57"/>
      <c r="BF4535" s="6" t="e">
        <f t="shared" si="210"/>
        <v>#NUM!</v>
      </c>
      <c r="BG4535" t="e">
        <f t="shared" si="211"/>
        <v>#NUM!</v>
      </c>
      <c r="BH4535" t="e">
        <f t="shared" si="212"/>
        <v>#NUM!</v>
      </c>
      <c r="BI4535" t="e">
        <f>VLOOKUP(H4535,Sheet2!$A$1:$B$270,2,FALSE)</f>
        <v>#N/A</v>
      </c>
    </row>
    <row r="4536" spans="15:61" hidden="1">
      <c r="O4536" s="57"/>
      <c r="P4536" s="57"/>
      <c r="AP4536" s="57"/>
      <c r="BA4536" s="57"/>
      <c r="BF4536" s="6" t="e">
        <f t="shared" si="210"/>
        <v>#NUM!</v>
      </c>
      <c r="BG4536" t="e">
        <f t="shared" si="211"/>
        <v>#NUM!</v>
      </c>
      <c r="BH4536" t="e">
        <f t="shared" si="212"/>
        <v>#NUM!</v>
      </c>
      <c r="BI4536" t="e">
        <f>VLOOKUP(H4536,Sheet2!$A$1:$B$270,2,FALSE)</f>
        <v>#N/A</v>
      </c>
    </row>
    <row r="4537" spans="15:61" hidden="1">
      <c r="O4537" s="57"/>
      <c r="P4537" s="57"/>
      <c r="AP4537" s="57"/>
      <c r="BA4537" s="57"/>
      <c r="BF4537" s="6" t="e">
        <f t="shared" si="210"/>
        <v>#NUM!</v>
      </c>
      <c r="BG4537" t="e">
        <f t="shared" si="211"/>
        <v>#NUM!</v>
      </c>
      <c r="BH4537" t="e">
        <f t="shared" si="212"/>
        <v>#NUM!</v>
      </c>
      <c r="BI4537" t="e">
        <f>VLOOKUP(H4537,Sheet2!$A$1:$B$270,2,FALSE)</f>
        <v>#N/A</v>
      </c>
    </row>
    <row r="4538" spans="15:61" hidden="1">
      <c r="O4538" s="57"/>
      <c r="P4538" s="57"/>
      <c r="BA4538" s="57"/>
      <c r="BF4538" s="6" t="e">
        <f t="shared" si="210"/>
        <v>#NUM!</v>
      </c>
      <c r="BG4538" t="e">
        <f t="shared" si="211"/>
        <v>#NUM!</v>
      </c>
      <c r="BH4538" t="e">
        <f t="shared" si="212"/>
        <v>#NUM!</v>
      </c>
      <c r="BI4538" t="e">
        <f>VLOOKUP(H4538,Sheet2!$A$1:$B$270,2,FALSE)</f>
        <v>#N/A</v>
      </c>
    </row>
    <row r="4539" spans="15:61" hidden="1">
      <c r="O4539" s="57"/>
      <c r="P4539" s="57"/>
      <c r="AP4539" s="57"/>
      <c r="BA4539" s="57"/>
      <c r="BF4539" s="6" t="e">
        <f t="shared" si="210"/>
        <v>#NUM!</v>
      </c>
      <c r="BG4539" t="e">
        <f t="shared" si="211"/>
        <v>#NUM!</v>
      </c>
      <c r="BH4539" t="e">
        <f t="shared" si="212"/>
        <v>#NUM!</v>
      </c>
      <c r="BI4539" t="e">
        <f>VLOOKUP(H4539,Sheet2!$A$1:$B$270,2,FALSE)</f>
        <v>#N/A</v>
      </c>
    </row>
    <row r="4540" spans="15:61" hidden="1">
      <c r="O4540" s="57"/>
      <c r="P4540" s="57"/>
      <c r="AP4540" s="57"/>
      <c r="BA4540" s="57"/>
      <c r="BF4540" s="6" t="e">
        <f t="shared" si="210"/>
        <v>#NUM!</v>
      </c>
      <c r="BG4540" t="e">
        <f t="shared" si="211"/>
        <v>#NUM!</v>
      </c>
      <c r="BH4540" t="e">
        <f t="shared" si="212"/>
        <v>#NUM!</v>
      </c>
      <c r="BI4540" t="e">
        <f>VLOOKUP(H4540,Sheet2!$A$1:$B$270,2,FALSE)</f>
        <v>#N/A</v>
      </c>
    </row>
    <row r="4541" spans="15:61" hidden="1">
      <c r="O4541" s="57"/>
      <c r="P4541" s="57"/>
      <c r="BA4541" s="57"/>
      <c r="BF4541" s="6" t="e">
        <f t="shared" si="210"/>
        <v>#NUM!</v>
      </c>
      <c r="BG4541" t="e">
        <f t="shared" si="211"/>
        <v>#NUM!</v>
      </c>
      <c r="BH4541" t="e">
        <f t="shared" si="212"/>
        <v>#NUM!</v>
      </c>
      <c r="BI4541" t="e">
        <f>VLOOKUP(H4541,Sheet2!$A$1:$B$270,2,FALSE)</f>
        <v>#N/A</v>
      </c>
    </row>
    <row r="4542" spans="15:61" hidden="1">
      <c r="O4542" s="57"/>
      <c r="P4542" s="57"/>
      <c r="AP4542" s="57"/>
      <c r="BA4542" s="57"/>
      <c r="BF4542" s="6" t="e">
        <f t="shared" si="210"/>
        <v>#NUM!</v>
      </c>
      <c r="BG4542" t="e">
        <f t="shared" si="211"/>
        <v>#NUM!</v>
      </c>
      <c r="BH4542" t="e">
        <f t="shared" si="212"/>
        <v>#NUM!</v>
      </c>
      <c r="BI4542" t="e">
        <f>VLOOKUP(H4542,Sheet2!$A$1:$B$270,2,FALSE)</f>
        <v>#N/A</v>
      </c>
    </row>
    <row r="4543" spans="15:61" hidden="1">
      <c r="O4543" s="57"/>
      <c r="P4543" s="57"/>
      <c r="AP4543" s="57"/>
      <c r="BA4543" s="57"/>
      <c r="BF4543" s="6" t="e">
        <f t="shared" si="210"/>
        <v>#NUM!</v>
      </c>
      <c r="BG4543" t="e">
        <f t="shared" si="211"/>
        <v>#NUM!</v>
      </c>
      <c r="BH4543" t="e">
        <f t="shared" si="212"/>
        <v>#NUM!</v>
      </c>
      <c r="BI4543" t="e">
        <f>VLOOKUP(H4543,Sheet2!$A$1:$B$270,2,FALSE)</f>
        <v>#N/A</v>
      </c>
    </row>
    <row r="4544" spans="15:61" hidden="1">
      <c r="O4544" s="57"/>
      <c r="P4544" s="57"/>
      <c r="BA4544" s="57"/>
      <c r="BF4544" s="6" t="e">
        <f t="shared" si="210"/>
        <v>#NUM!</v>
      </c>
      <c r="BG4544" t="e">
        <f t="shared" si="211"/>
        <v>#NUM!</v>
      </c>
      <c r="BH4544" t="e">
        <f t="shared" si="212"/>
        <v>#NUM!</v>
      </c>
      <c r="BI4544" t="e">
        <f>VLOOKUP(H4544,Sheet2!$A$1:$B$270,2,FALSE)</f>
        <v>#N/A</v>
      </c>
    </row>
    <row r="4545" spans="15:61" hidden="1">
      <c r="O4545" s="57"/>
      <c r="P4545" s="57"/>
      <c r="BA4545" s="57"/>
      <c r="BF4545" s="6" t="e">
        <f t="shared" si="210"/>
        <v>#NUM!</v>
      </c>
      <c r="BG4545" t="e">
        <f t="shared" si="211"/>
        <v>#NUM!</v>
      </c>
      <c r="BH4545" t="e">
        <f t="shared" si="212"/>
        <v>#NUM!</v>
      </c>
      <c r="BI4545" t="e">
        <f>VLOOKUP(H4545,Sheet2!$A$1:$B$270,2,FALSE)</f>
        <v>#N/A</v>
      </c>
    </row>
    <row r="4546" spans="15:61" hidden="1">
      <c r="O4546" s="57"/>
      <c r="P4546" s="57"/>
      <c r="BF4546" s="6" t="e">
        <f t="shared" ref="BF4546:BF4609" si="213">DATE(BC4546,BD4546,BE4546)</f>
        <v>#NUM!</v>
      </c>
      <c r="BG4546" t="e">
        <f t="shared" ref="BG4546:BG4609" si="214">BF4546-BA4546</f>
        <v>#NUM!</v>
      </c>
      <c r="BH4546" t="e">
        <f t="shared" ref="BH4546:BH4609" si="215">IF(BG4546=1,"COMPLY",IF(BG4546&lt;1,"COMPLY","NOT COMPLY"))</f>
        <v>#NUM!</v>
      </c>
      <c r="BI4546" t="e">
        <f>VLOOKUP(H4546,Sheet2!$A$1:$B$270,2,FALSE)</f>
        <v>#N/A</v>
      </c>
    </row>
    <row r="4547" spans="15:61" hidden="1">
      <c r="O4547" s="57"/>
      <c r="P4547" s="57"/>
      <c r="AP4547" s="57"/>
      <c r="BA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 hidden="1">
      <c r="O4548" s="57"/>
      <c r="P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 hidden="1">
      <c r="O4549" s="57"/>
      <c r="P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 hidden="1">
      <c r="O4550" s="57"/>
      <c r="P4550" s="57"/>
      <c r="AO4550" s="57"/>
      <c r="A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 hidden="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 hidden="1">
      <c r="O4552" s="57"/>
      <c r="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 hidden="1">
      <c r="O4553" s="57"/>
      <c r="P4553" s="57"/>
      <c r="AO4553" s="57"/>
      <c r="BA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 hidden="1">
      <c r="O4554" s="57"/>
      <c r="P4554" s="57"/>
      <c r="AO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 hidden="1">
      <c r="O4555" s="57"/>
      <c r="P4555" s="57"/>
      <c r="AO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 hidden="1">
      <c r="O4556" s="57"/>
      <c r="P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 hidden="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 hidden="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 hidden="1">
      <c r="O4559" s="57"/>
      <c r="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 hidden="1">
      <c r="O4560" s="57"/>
      <c r="P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 hidden="1">
      <c r="O4561" s="57"/>
      <c r="P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 hidden="1">
      <c r="O4562" s="57"/>
      <c r="P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 hidden="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 hidden="1">
      <c r="O4564" s="57"/>
      <c r="P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 hidden="1">
      <c r="O4565" s="57"/>
      <c r="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 hidden="1">
      <c r="O4566" s="57"/>
      <c r="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 hidden="1">
      <c r="O4567" s="57"/>
      <c r="P4567" s="57"/>
      <c r="AO4567" s="57"/>
      <c r="AP4567" s="57"/>
      <c r="BA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 hidden="1">
      <c r="O4568" s="57"/>
      <c r="P4568" s="57"/>
      <c r="AO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 hidden="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 hidden="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 hidden="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 hidden="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 hidden="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 hidden="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 hidden="1">
      <c r="O4575" s="57"/>
      <c r="P4575" s="57"/>
      <c r="AP4575" s="57"/>
      <c r="BA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 hidden="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 hidden="1">
      <c r="O4577" s="57"/>
      <c r="P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 hidden="1">
      <c r="O4578" s="57"/>
      <c r="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 hidden="1">
      <c r="O4579" s="57"/>
      <c r="P4579" s="57"/>
      <c r="AO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 hidden="1">
      <c r="O4580" s="57"/>
      <c r="P4580" s="57"/>
      <c r="AO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 hidden="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 hidden="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 hidden="1">
      <c r="O4583" s="57"/>
      <c r="P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 hidden="1">
      <c r="O4584" s="57"/>
      <c r="P4584" s="57"/>
      <c r="AP4584" s="57"/>
      <c r="BA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 hidden="1">
      <c r="O4585" s="57"/>
      <c r="P4585" s="57"/>
      <c r="A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 hidden="1">
      <c r="O4586" s="57"/>
      <c r="P4586" s="57"/>
      <c r="BA4586" s="57"/>
      <c r="BF4586" s="6" t="e">
        <f t="shared" si="213"/>
        <v>#NUM!</v>
      </c>
      <c r="BG4586" t="e">
        <f t="shared" si="214"/>
        <v>#NUM!</v>
      </c>
      <c r="BH4586" t="e">
        <f t="shared" si="215"/>
        <v>#NUM!</v>
      </c>
      <c r="BI4586" t="e">
        <f>VLOOKUP(H4586,Sheet2!$A$1:$B$270,2,FALSE)</f>
        <v>#N/A</v>
      </c>
    </row>
    <row r="4587" spans="15:61" hidden="1">
      <c r="O4587" s="57"/>
      <c r="P4587" s="57"/>
      <c r="BA4587" s="57"/>
      <c r="BF4587" s="6" t="e">
        <f t="shared" si="213"/>
        <v>#NUM!</v>
      </c>
      <c r="BG4587" t="e">
        <f t="shared" si="214"/>
        <v>#NUM!</v>
      </c>
      <c r="BH4587" t="e">
        <f t="shared" si="215"/>
        <v>#NUM!</v>
      </c>
      <c r="BI4587" t="e">
        <f>VLOOKUP(H4587,Sheet2!$A$1:$B$270,2,FALSE)</f>
        <v>#N/A</v>
      </c>
    </row>
    <row r="4588" spans="15:61" hidden="1">
      <c r="O4588" s="57"/>
      <c r="P4588" s="57"/>
      <c r="BA4588" s="57"/>
      <c r="BF4588" s="6" t="e">
        <f t="shared" si="213"/>
        <v>#NUM!</v>
      </c>
      <c r="BG4588" t="e">
        <f t="shared" si="214"/>
        <v>#NUM!</v>
      </c>
      <c r="BH4588" t="e">
        <f t="shared" si="215"/>
        <v>#NUM!</v>
      </c>
      <c r="BI4588" t="e">
        <f>VLOOKUP(H4588,Sheet2!$A$1:$B$270,2,FALSE)</f>
        <v>#N/A</v>
      </c>
    </row>
    <row r="4589" spans="15:61" hidden="1">
      <c r="O4589" s="57"/>
      <c r="P4589" s="57"/>
      <c r="AP4589" s="57"/>
      <c r="BA4589" s="57"/>
      <c r="BF4589" s="6" t="e">
        <f t="shared" si="213"/>
        <v>#NUM!</v>
      </c>
      <c r="BG4589" t="e">
        <f t="shared" si="214"/>
        <v>#NUM!</v>
      </c>
      <c r="BH4589" t="e">
        <f t="shared" si="215"/>
        <v>#NUM!</v>
      </c>
      <c r="BI4589" t="e">
        <f>VLOOKUP(H4589,Sheet2!$A$1:$B$270,2,FALSE)</f>
        <v>#N/A</v>
      </c>
    </row>
    <row r="4590" spans="15:61" hidden="1">
      <c r="O4590" s="57"/>
      <c r="P4590" s="57"/>
      <c r="AP4590" s="57"/>
      <c r="BA4590" s="57"/>
      <c r="BF4590" s="6" t="e">
        <f t="shared" si="213"/>
        <v>#NUM!</v>
      </c>
      <c r="BG4590" t="e">
        <f t="shared" si="214"/>
        <v>#NUM!</v>
      </c>
      <c r="BH4590" t="e">
        <f t="shared" si="215"/>
        <v>#NUM!</v>
      </c>
      <c r="BI4590" t="e">
        <f>VLOOKUP(H4590,Sheet2!$A$1:$B$270,2,FALSE)</f>
        <v>#N/A</v>
      </c>
    </row>
    <row r="4591" spans="15:61" hidden="1">
      <c r="O4591" s="57"/>
      <c r="P4591" s="57"/>
      <c r="BA4591" s="57"/>
      <c r="BF4591" s="6" t="e">
        <f t="shared" si="213"/>
        <v>#NUM!</v>
      </c>
      <c r="BG4591" t="e">
        <f t="shared" si="214"/>
        <v>#NUM!</v>
      </c>
      <c r="BH4591" t="e">
        <f t="shared" si="215"/>
        <v>#NUM!</v>
      </c>
      <c r="BI4591" t="e">
        <f>VLOOKUP(H4591,Sheet2!$A$1:$B$270,2,FALSE)</f>
        <v>#N/A</v>
      </c>
    </row>
    <row r="4592" spans="15:61" hidden="1">
      <c r="O4592" s="57"/>
      <c r="P4592" s="57"/>
      <c r="BA4592" s="57"/>
      <c r="BF4592" s="6" t="e">
        <f t="shared" si="213"/>
        <v>#NUM!</v>
      </c>
      <c r="BG4592" t="e">
        <f t="shared" si="214"/>
        <v>#NUM!</v>
      </c>
      <c r="BH4592" t="e">
        <f t="shared" si="215"/>
        <v>#NUM!</v>
      </c>
      <c r="BI4592" t="e">
        <f>VLOOKUP(H4592,Sheet2!$A$1:$B$270,2,FALSE)</f>
        <v>#N/A</v>
      </c>
    </row>
    <row r="4593" spans="15:61" hidden="1">
      <c r="O4593" s="57"/>
      <c r="P4593" s="57"/>
      <c r="AP4593" s="57"/>
      <c r="BA4593" s="57"/>
      <c r="BF4593" s="6" t="e">
        <f t="shared" si="213"/>
        <v>#NUM!</v>
      </c>
      <c r="BG4593" t="e">
        <f t="shared" si="214"/>
        <v>#NUM!</v>
      </c>
      <c r="BH4593" t="e">
        <f t="shared" si="215"/>
        <v>#NUM!</v>
      </c>
      <c r="BI4593" t="e">
        <f>VLOOKUP(H4593,Sheet2!$A$1:$B$270,2,FALSE)</f>
        <v>#N/A</v>
      </c>
    </row>
    <row r="4594" spans="15:61" hidden="1">
      <c r="O4594" s="57"/>
      <c r="P4594" s="57"/>
      <c r="BA4594" s="57"/>
      <c r="BF4594" s="6" t="e">
        <f t="shared" si="213"/>
        <v>#NUM!</v>
      </c>
      <c r="BG4594" t="e">
        <f t="shared" si="214"/>
        <v>#NUM!</v>
      </c>
      <c r="BH4594" t="e">
        <f t="shared" si="215"/>
        <v>#NUM!</v>
      </c>
      <c r="BI4594" t="e">
        <f>VLOOKUP(H4594,Sheet2!$A$1:$B$270,2,FALSE)</f>
        <v>#N/A</v>
      </c>
    </row>
    <row r="4595" spans="15:61" hidden="1">
      <c r="O4595" s="57"/>
      <c r="P4595" s="57"/>
      <c r="BA4595" s="57"/>
      <c r="BF4595" s="6" t="e">
        <f t="shared" si="213"/>
        <v>#NUM!</v>
      </c>
      <c r="BG4595" t="e">
        <f t="shared" si="214"/>
        <v>#NUM!</v>
      </c>
      <c r="BH4595" t="e">
        <f t="shared" si="215"/>
        <v>#NUM!</v>
      </c>
      <c r="BI4595" t="e">
        <f>VLOOKUP(H4595,Sheet2!$A$1:$B$270,2,FALSE)</f>
        <v>#N/A</v>
      </c>
    </row>
    <row r="4596" spans="15:61" hidden="1">
      <c r="O4596" s="57"/>
      <c r="P4596" s="57"/>
      <c r="BA4596" s="57"/>
      <c r="BF4596" s="6" t="e">
        <f t="shared" si="213"/>
        <v>#NUM!</v>
      </c>
      <c r="BG4596" t="e">
        <f t="shared" si="214"/>
        <v>#NUM!</v>
      </c>
      <c r="BH4596" t="e">
        <f t="shared" si="215"/>
        <v>#NUM!</v>
      </c>
      <c r="BI4596" t="e">
        <f>VLOOKUP(H4596,Sheet2!$A$1:$B$270,2,FALSE)</f>
        <v>#N/A</v>
      </c>
    </row>
    <row r="4597" spans="15:61" hidden="1">
      <c r="O4597" s="57"/>
      <c r="P4597" s="57"/>
      <c r="BA4597" s="57"/>
      <c r="BF4597" s="6" t="e">
        <f t="shared" si="213"/>
        <v>#NUM!</v>
      </c>
      <c r="BG4597" t="e">
        <f t="shared" si="214"/>
        <v>#NUM!</v>
      </c>
      <c r="BH4597" t="e">
        <f t="shared" si="215"/>
        <v>#NUM!</v>
      </c>
      <c r="BI4597" t="e">
        <f>VLOOKUP(H4597,Sheet2!$A$1:$B$270,2,FALSE)</f>
        <v>#N/A</v>
      </c>
    </row>
    <row r="4598" spans="15:61" hidden="1">
      <c r="O4598" s="57"/>
      <c r="P4598" s="57"/>
      <c r="AP4598" s="57"/>
      <c r="BA4598" s="57"/>
      <c r="BF4598" s="6" t="e">
        <f t="shared" si="213"/>
        <v>#NUM!</v>
      </c>
      <c r="BG4598" t="e">
        <f t="shared" si="214"/>
        <v>#NUM!</v>
      </c>
      <c r="BH4598" t="e">
        <f t="shared" si="215"/>
        <v>#NUM!</v>
      </c>
      <c r="BI4598" t="e">
        <f>VLOOKUP(H4598,Sheet2!$A$1:$B$270,2,FALSE)</f>
        <v>#N/A</v>
      </c>
    </row>
    <row r="4599" spans="15:61" hidden="1">
      <c r="O4599" s="57"/>
      <c r="P4599" s="57"/>
      <c r="BF4599" s="6" t="e">
        <f t="shared" si="213"/>
        <v>#NUM!</v>
      </c>
      <c r="BG4599" t="e">
        <f t="shared" si="214"/>
        <v>#NUM!</v>
      </c>
      <c r="BH4599" t="e">
        <f t="shared" si="215"/>
        <v>#NUM!</v>
      </c>
      <c r="BI4599" t="e">
        <f>VLOOKUP(H4599,Sheet2!$A$1:$B$270,2,FALSE)</f>
        <v>#N/A</v>
      </c>
    </row>
    <row r="4600" spans="15:61" hidden="1">
      <c r="O4600" s="57"/>
      <c r="P4600" s="57"/>
      <c r="BF4600" s="6" t="e">
        <f t="shared" si="213"/>
        <v>#NUM!</v>
      </c>
      <c r="BG4600" t="e">
        <f t="shared" si="214"/>
        <v>#NUM!</v>
      </c>
      <c r="BH4600" t="e">
        <f t="shared" si="215"/>
        <v>#NUM!</v>
      </c>
      <c r="BI4600" t="e">
        <f>VLOOKUP(H4600,Sheet2!$A$1:$B$270,2,FALSE)</f>
        <v>#N/A</v>
      </c>
    </row>
    <row r="4601" spans="15:61" hidden="1">
      <c r="O4601" s="57"/>
      <c r="P4601" s="57"/>
      <c r="AO4601" s="57"/>
      <c r="BA4601" s="57"/>
      <c r="BF4601" s="6" t="e">
        <f t="shared" si="213"/>
        <v>#NUM!</v>
      </c>
      <c r="BG4601" t="e">
        <f t="shared" si="214"/>
        <v>#NUM!</v>
      </c>
      <c r="BH4601" t="e">
        <f t="shared" si="215"/>
        <v>#NUM!</v>
      </c>
      <c r="BI4601" t="e">
        <f>VLOOKUP(H4601,Sheet2!$A$1:$B$270,2,FALSE)</f>
        <v>#N/A</v>
      </c>
    </row>
    <row r="4602" spans="15:61" hidden="1">
      <c r="O4602" s="57"/>
      <c r="P4602" s="57"/>
      <c r="AO4602" s="57"/>
      <c r="AP4602" s="57"/>
      <c r="BA4602" s="57"/>
      <c r="BF4602" s="6" t="e">
        <f t="shared" si="213"/>
        <v>#NUM!</v>
      </c>
      <c r="BG4602" t="e">
        <f t="shared" si="214"/>
        <v>#NUM!</v>
      </c>
      <c r="BH4602" t="e">
        <f t="shared" si="215"/>
        <v>#NUM!</v>
      </c>
      <c r="BI4602" t="e">
        <f>VLOOKUP(H4602,Sheet2!$A$1:$B$270,2,FALSE)</f>
        <v>#N/A</v>
      </c>
    </row>
    <row r="4603" spans="15:61" hidden="1">
      <c r="O4603" s="57"/>
      <c r="P4603" s="57"/>
      <c r="BA4603" s="57"/>
      <c r="BF4603" s="6" t="e">
        <f t="shared" si="213"/>
        <v>#NUM!</v>
      </c>
      <c r="BG4603" t="e">
        <f t="shared" si="214"/>
        <v>#NUM!</v>
      </c>
      <c r="BH4603" t="e">
        <f t="shared" si="215"/>
        <v>#NUM!</v>
      </c>
      <c r="BI4603" t="e">
        <f>VLOOKUP(H4603,Sheet2!$A$1:$B$270,2,FALSE)</f>
        <v>#N/A</v>
      </c>
    </row>
    <row r="4604" spans="15:61" hidden="1">
      <c r="O4604" s="57"/>
      <c r="P4604" s="57"/>
      <c r="AP4604" s="57"/>
      <c r="BA4604" s="57"/>
      <c r="BF4604" s="6" t="e">
        <f t="shared" si="213"/>
        <v>#NUM!</v>
      </c>
      <c r="BG4604" t="e">
        <f t="shared" si="214"/>
        <v>#NUM!</v>
      </c>
      <c r="BH4604" t="e">
        <f t="shared" si="215"/>
        <v>#NUM!</v>
      </c>
      <c r="BI4604" t="e">
        <f>VLOOKUP(H4604,Sheet2!$A$1:$B$270,2,FALSE)</f>
        <v>#N/A</v>
      </c>
    </row>
    <row r="4605" spans="15:61" hidden="1">
      <c r="O4605" s="57"/>
      <c r="P4605" s="57"/>
      <c r="AP4605" s="57"/>
      <c r="BA4605" s="57"/>
      <c r="BF4605" s="6" t="e">
        <f t="shared" si="213"/>
        <v>#NUM!</v>
      </c>
      <c r="BG4605" t="e">
        <f t="shared" si="214"/>
        <v>#NUM!</v>
      </c>
      <c r="BH4605" t="e">
        <f t="shared" si="215"/>
        <v>#NUM!</v>
      </c>
      <c r="BI4605" t="e">
        <f>VLOOKUP(H4605,Sheet2!$A$1:$B$270,2,FALSE)</f>
        <v>#N/A</v>
      </c>
    </row>
    <row r="4606" spans="15:61" hidden="1">
      <c r="O4606" s="57"/>
      <c r="P4606" s="57"/>
      <c r="BF4606" s="6" t="e">
        <f t="shared" si="213"/>
        <v>#NUM!</v>
      </c>
      <c r="BG4606" t="e">
        <f t="shared" si="214"/>
        <v>#NUM!</v>
      </c>
      <c r="BH4606" t="e">
        <f t="shared" si="215"/>
        <v>#NUM!</v>
      </c>
      <c r="BI4606" t="e">
        <f>VLOOKUP(H4606,Sheet2!$A$1:$B$270,2,FALSE)</f>
        <v>#N/A</v>
      </c>
    </row>
    <row r="4607" spans="15:61" hidden="1">
      <c r="O4607" s="57"/>
      <c r="P4607" s="57"/>
      <c r="BF4607" s="6" t="e">
        <f t="shared" si="213"/>
        <v>#NUM!</v>
      </c>
      <c r="BG4607" t="e">
        <f t="shared" si="214"/>
        <v>#NUM!</v>
      </c>
      <c r="BH4607" t="e">
        <f t="shared" si="215"/>
        <v>#NUM!</v>
      </c>
      <c r="BI4607" t="e">
        <f>VLOOKUP(H4607,Sheet2!$A$1:$B$270,2,FALSE)</f>
        <v>#N/A</v>
      </c>
    </row>
    <row r="4608" spans="15:61" hidden="1">
      <c r="O4608" s="57"/>
      <c r="P4608" s="57"/>
      <c r="AO4608" s="57"/>
      <c r="BF4608" s="6" t="e">
        <f t="shared" si="213"/>
        <v>#NUM!</v>
      </c>
      <c r="BG4608" t="e">
        <f t="shared" si="214"/>
        <v>#NUM!</v>
      </c>
      <c r="BH4608" t="e">
        <f t="shared" si="215"/>
        <v>#NUM!</v>
      </c>
      <c r="BI4608" t="e">
        <f>VLOOKUP(H4608,Sheet2!$A$1:$B$270,2,FALSE)</f>
        <v>#N/A</v>
      </c>
    </row>
    <row r="4609" spans="15:61" hidden="1">
      <c r="O4609" s="57"/>
      <c r="P4609" s="57"/>
      <c r="AP4609" s="57"/>
      <c r="BA4609" s="57"/>
      <c r="BF4609" s="6" t="e">
        <f t="shared" si="213"/>
        <v>#NUM!</v>
      </c>
      <c r="BG4609" t="e">
        <f t="shared" si="214"/>
        <v>#NUM!</v>
      </c>
      <c r="BH4609" t="e">
        <f t="shared" si="215"/>
        <v>#NUM!</v>
      </c>
      <c r="BI4609" t="e">
        <f>VLOOKUP(H4609,Sheet2!$A$1:$B$270,2,FALSE)</f>
        <v>#N/A</v>
      </c>
    </row>
    <row r="4610" spans="15:61" hidden="1">
      <c r="O4610" s="57"/>
      <c r="P4610" s="57"/>
      <c r="BA4610" s="57"/>
      <c r="BF4610" s="6" t="e">
        <f t="shared" ref="BF4610:BF4673" si="216">DATE(BC4610,BD4610,BE4610)</f>
        <v>#NUM!</v>
      </c>
      <c r="BG4610" t="e">
        <f t="shared" ref="BG4610:BG4673" si="217">BF4610-BA4610</f>
        <v>#NUM!</v>
      </c>
      <c r="BH4610" t="e">
        <f t="shared" ref="BH4610:BH4673" si="218">IF(BG4610=1,"COMPLY",IF(BG4610&lt;1,"COMPLY","NOT COMPLY"))</f>
        <v>#NUM!</v>
      </c>
      <c r="BI4610" t="e">
        <f>VLOOKUP(H4610,Sheet2!$A$1:$B$270,2,FALSE)</f>
        <v>#N/A</v>
      </c>
    </row>
    <row r="4611" spans="15:61" hidden="1">
      <c r="O4611" s="57"/>
      <c r="P4611" s="57"/>
      <c r="AP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 hidden="1">
      <c r="O4612" s="57"/>
      <c r="P4612" s="57"/>
      <c r="AP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 hidden="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 hidden="1">
      <c r="O4614" s="57"/>
      <c r="P4614" s="57"/>
      <c r="AO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 hidden="1">
      <c r="O4615" s="57"/>
      <c r="P4615" s="57"/>
      <c r="AO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 hidden="1">
      <c r="O4616" s="57"/>
      <c r="P4616" s="57"/>
      <c r="AO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 hidden="1">
      <c r="O4617" s="57"/>
      <c r="P4617" s="57"/>
      <c r="AO4617" s="57"/>
      <c r="AP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 hidden="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 hidden="1">
      <c r="O4619" s="57"/>
      <c r="P4619" s="57"/>
      <c r="AO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 hidden="1">
      <c r="O4620" s="57"/>
      <c r="P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 hidden="1">
      <c r="O4621" s="57"/>
      <c r="P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 hidden="1">
      <c r="O4622" s="57"/>
      <c r="P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 hidden="1">
      <c r="O4623" s="57"/>
      <c r="P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 hidden="1">
      <c r="O4624" s="57"/>
      <c r="P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 hidden="1">
      <c r="O4625" s="57"/>
      <c r="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 hidden="1">
      <c r="O4626" s="57"/>
      <c r="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 hidden="1">
      <c r="O4627" s="57"/>
      <c r="P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 hidden="1">
      <c r="O4628" s="57"/>
      <c r="P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 hidden="1">
      <c r="O4629" s="57"/>
      <c r="P4629" s="57"/>
      <c r="AO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 hidden="1">
      <c r="O4630" s="57"/>
      <c r="P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 hidden="1">
      <c r="O4631" s="57"/>
      <c r="P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 hidden="1">
      <c r="O4632" s="57"/>
      <c r="P4632" s="57"/>
      <c r="AO4632" s="57"/>
      <c r="AP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 hidden="1">
      <c r="O4633" s="57"/>
      <c r="P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 hidden="1">
      <c r="O4634" s="57"/>
      <c r="P4634" s="57"/>
      <c r="AP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 hidden="1">
      <c r="O4635" s="57"/>
      <c r="P4635" s="57"/>
      <c r="AO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 hidden="1">
      <c r="O4636" s="57"/>
      <c r="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 hidden="1">
      <c r="O4637" s="57"/>
      <c r="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 hidden="1">
      <c r="O4638" s="57"/>
      <c r="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 hidden="1">
      <c r="O4639" s="57"/>
      <c r="P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 hidden="1">
      <c r="O4640" s="57"/>
      <c r="P4640" s="57"/>
      <c r="AP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 hidden="1">
      <c r="O4641" s="57"/>
      <c r="P4641" s="57"/>
      <c r="AO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 hidden="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 hidden="1">
      <c r="O4643" s="57"/>
      <c r="P4643" s="57"/>
      <c r="AO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 hidden="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 hidden="1">
      <c r="O4645" s="57"/>
      <c r="P4645" s="57"/>
      <c r="AO4645" s="57"/>
      <c r="A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 hidden="1">
      <c r="O4646" s="57"/>
      <c r="P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 hidden="1">
      <c r="O4647" s="57"/>
      <c r="P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 hidden="1">
      <c r="O4648" s="57"/>
      <c r="P4648" s="57"/>
      <c r="AP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 hidden="1">
      <c r="O4649" s="57"/>
      <c r="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 hidden="1">
      <c r="O4650" s="57"/>
      <c r="P4650" s="57"/>
      <c r="AO4650" s="57"/>
      <c r="BA4650" s="57"/>
      <c r="BF4650" s="6" t="e">
        <f t="shared" si="216"/>
        <v>#NUM!</v>
      </c>
      <c r="BG4650" t="e">
        <f t="shared" si="217"/>
        <v>#NUM!</v>
      </c>
      <c r="BH4650" t="e">
        <f t="shared" si="218"/>
        <v>#NUM!</v>
      </c>
      <c r="BI4650" t="e">
        <f>VLOOKUP(H4650,Sheet2!$A$1:$B$270,2,FALSE)</f>
        <v>#N/A</v>
      </c>
    </row>
    <row r="4651" spans="15:61" hidden="1">
      <c r="O4651" s="57"/>
      <c r="P4651" s="57"/>
      <c r="AO4651" s="57"/>
      <c r="BA4651" s="57"/>
      <c r="BF4651" s="6" t="e">
        <f t="shared" si="216"/>
        <v>#NUM!</v>
      </c>
      <c r="BG4651" t="e">
        <f t="shared" si="217"/>
        <v>#NUM!</v>
      </c>
      <c r="BH4651" t="e">
        <f t="shared" si="218"/>
        <v>#NUM!</v>
      </c>
      <c r="BI4651" t="e">
        <f>VLOOKUP(H4651,Sheet2!$A$1:$B$270,2,FALSE)</f>
        <v>#N/A</v>
      </c>
    </row>
    <row r="4652" spans="15:61" hidden="1">
      <c r="O4652" s="57"/>
      <c r="P4652" s="57"/>
      <c r="AO4652" s="57"/>
      <c r="BA4652" s="57"/>
      <c r="BF4652" s="6" t="e">
        <f t="shared" si="216"/>
        <v>#NUM!</v>
      </c>
      <c r="BG4652" t="e">
        <f t="shared" si="217"/>
        <v>#NUM!</v>
      </c>
      <c r="BH4652" t="e">
        <f t="shared" si="218"/>
        <v>#NUM!</v>
      </c>
      <c r="BI4652" t="e">
        <f>VLOOKUP(H4652,Sheet2!$A$1:$B$270,2,FALSE)</f>
        <v>#N/A</v>
      </c>
    </row>
    <row r="4653" spans="15:61" hidden="1">
      <c r="O4653" s="57"/>
      <c r="P4653" s="57"/>
      <c r="AO4653" s="57"/>
      <c r="AP4653" s="57"/>
      <c r="BA4653" s="57"/>
      <c r="BF4653" s="6" t="e">
        <f t="shared" si="216"/>
        <v>#NUM!</v>
      </c>
      <c r="BG4653" t="e">
        <f t="shared" si="217"/>
        <v>#NUM!</v>
      </c>
      <c r="BH4653" t="e">
        <f t="shared" si="218"/>
        <v>#NUM!</v>
      </c>
      <c r="BI4653" t="e">
        <f>VLOOKUP(H4653,Sheet2!$A$1:$B$270,2,FALSE)</f>
        <v>#N/A</v>
      </c>
    </row>
    <row r="4654" spans="15:61" hidden="1">
      <c r="O4654" s="57"/>
      <c r="P4654" s="57"/>
      <c r="AO4654" s="57"/>
      <c r="AP4654" s="57"/>
      <c r="BA4654" s="57"/>
      <c r="BF4654" s="6" t="e">
        <f t="shared" si="216"/>
        <v>#NUM!</v>
      </c>
      <c r="BG4654" t="e">
        <f t="shared" si="217"/>
        <v>#NUM!</v>
      </c>
      <c r="BH4654" t="e">
        <f t="shared" si="218"/>
        <v>#NUM!</v>
      </c>
      <c r="BI4654" t="e">
        <f>VLOOKUP(H4654,Sheet2!$A$1:$B$270,2,FALSE)</f>
        <v>#N/A</v>
      </c>
    </row>
    <row r="4655" spans="15:61" hidden="1">
      <c r="O4655" s="57"/>
      <c r="P4655" s="57"/>
      <c r="AO4655" s="57"/>
      <c r="AP4655" s="57"/>
      <c r="BA4655" s="57"/>
      <c r="BF4655" s="6" t="e">
        <f t="shared" si="216"/>
        <v>#NUM!</v>
      </c>
      <c r="BG4655" t="e">
        <f t="shared" si="217"/>
        <v>#NUM!</v>
      </c>
      <c r="BH4655" t="e">
        <f t="shared" si="218"/>
        <v>#NUM!</v>
      </c>
      <c r="BI4655" t="e">
        <f>VLOOKUP(H4655,Sheet2!$A$1:$B$270,2,FALSE)</f>
        <v>#N/A</v>
      </c>
    </row>
    <row r="4656" spans="15:61" hidden="1">
      <c r="O4656" s="57"/>
      <c r="P4656" s="57"/>
      <c r="AO4656" s="57"/>
      <c r="AP4656" s="57"/>
      <c r="BA4656" s="57"/>
      <c r="BF4656" s="6" t="e">
        <f t="shared" si="216"/>
        <v>#NUM!</v>
      </c>
      <c r="BG4656" t="e">
        <f t="shared" si="217"/>
        <v>#NUM!</v>
      </c>
      <c r="BH4656" t="e">
        <f t="shared" si="218"/>
        <v>#NUM!</v>
      </c>
      <c r="BI4656" t="e">
        <f>VLOOKUP(H4656,Sheet2!$A$1:$B$270,2,FALSE)</f>
        <v>#N/A</v>
      </c>
    </row>
    <row r="4657" spans="15:61" hidden="1">
      <c r="O4657" s="57"/>
      <c r="P4657" s="57"/>
      <c r="AO4657" s="57"/>
      <c r="AP4657" s="57"/>
      <c r="BA4657" s="57"/>
      <c r="BF4657" s="6" t="e">
        <f t="shared" si="216"/>
        <v>#NUM!</v>
      </c>
      <c r="BG4657" t="e">
        <f t="shared" si="217"/>
        <v>#NUM!</v>
      </c>
      <c r="BH4657" t="e">
        <f t="shared" si="218"/>
        <v>#NUM!</v>
      </c>
      <c r="BI4657" t="e">
        <f>VLOOKUP(H4657,Sheet2!$A$1:$B$270,2,FALSE)</f>
        <v>#N/A</v>
      </c>
    </row>
    <row r="4658" spans="15:61" hidden="1">
      <c r="O4658" s="57"/>
      <c r="P4658" s="57"/>
      <c r="AP4658" s="57"/>
      <c r="BA4658" s="57"/>
      <c r="BF4658" s="6" t="e">
        <f t="shared" si="216"/>
        <v>#NUM!</v>
      </c>
      <c r="BG4658" t="e">
        <f t="shared" si="217"/>
        <v>#NUM!</v>
      </c>
      <c r="BH4658" t="e">
        <f t="shared" si="218"/>
        <v>#NUM!</v>
      </c>
      <c r="BI4658" t="e">
        <f>VLOOKUP(H4658,Sheet2!$A$1:$B$270,2,FALSE)</f>
        <v>#N/A</v>
      </c>
    </row>
    <row r="4659" spans="15:61" hidden="1">
      <c r="O4659" s="57"/>
      <c r="P4659" s="57"/>
      <c r="BA4659" s="57"/>
      <c r="BF4659" s="6" t="e">
        <f t="shared" si="216"/>
        <v>#NUM!</v>
      </c>
      <c r="BG4659" t="e">
        <f t="shared" si="217"/>
        <v>#NUM!</v>
      </c>
      <c r="BH4659" t="e">
        <f t="shared" si="218"/>
        <v>#NUM!</v>
      </c>
      <c r="BI4659" t="e">
        <f>VLOOKUP(H4659,Sheet2!$A$1:$B$270,2,FALSE)</f>
        <v>#N/A</v>
      </c>
    </row>
    <row r="4660" spans="15:61" hidden="1">
      <c r="O4660" s="57"/>
      <c r="P4660" s="57"/>
      <c r="BA4660" s="57"/>
      <c r="BF4660" s="6" t="e">
        <f t="shared" si="216"/>
        <v>#NUM!</v>
      </c>
      <c r="BG4660" t="e">
        <f t="shared" si="217"/>
        <v>#NUM!</v>
      </c>
      <c r="BH4660" t="e">
        <f t="shared" si="218"/>
        <v>#NUM!</v>
      </c>
      <c r="BI4660" t="e">
        <f>VLOOKUP(H4660,Sheet2!$A$1:$B$270,2,FALSE)</f>
        <v>#N/A</v>
      </c>
    </row>
    <row r="4661" spans="15:61" hidden="1">
      <c r="O4661" s="57"/>
      <c r="P4661" s="57"/>
      <c r="BA4661" s="57"/>
      <c r="BF4661" s="6" t="e">
        <f t="shared" si="216"/>
        <v>#NUM!</v>
      </c>
      <c r="BG4661" t="e">
        <f t="shared" si="217"/>
        <v>#NUM!</v>
      </c>
      <c r="BH4661" t="e">
        <f t="shared" si="218"/>
        <v>#NUM!</v>
      </c>
      <c r="BI4661" t="e">
        <f>VLOOKUP(H4661,Sheet2!$A$1:$B$270,2,FALSE)</f>
        <v>#N/A</v>
      </c>
    </row>
    <row r="4662" spans="15:61" hidden="1">
      <c r="O4662" s="57"/>
      <c r="P4662" s="57"/>
      <c r="BA4662" s="57"/>
      <c r="BF4662" s="6" t="e">
        <f t="shared" si="216"/>
        <v>#NUM!</v>
      </c>
      <c r="BG4662" t="e">
        <f t="shared" si="217"/>
        <v>#NUM!</v>
      </c>
      <c r="BH4662" t="e">
        <f t="shared" si="218"/>
        <v>#NUM!</v>
      </c>
      <c r="BI4662" t="e">
        <f>VLOOKUP(H4662,Sheet2!$A$1:$B$270,2,FALSE)</f>
        <v>#N/A</v>
      </c>
    </row>
    <row r="4663" spans="15:61" hidden="1">
      <c r="O4663" s="57"/>
      <c r="P4663" s="57"/>
      <c r="AP4663" s="57"/>
      <c r="BA4663" s="57"/>
      <c r="BF4663" s="6" t="e">
        <f t="shared" si="216"/>
        <v>#NUM!</v>
      </c>
      <c r="BG4663" t="e">
        <f t="shared" si="217"/>
        <v>#NUM!</v>
      </c>
      <c r="BH4663" t="e">
        <f t="shared" si="218"/>
        <v>#NUM!</v>
      </c>
      <c r="BI4663" t="e">
        <f>VLOOKUP(H4663,Sheet2!$A$1:$B$270,2,FALSE)</f>
        <v>#N/A</v>
      </c>
    </row>
    <row r="4664" spans="15:61" hidden="1">
      <c r="O4664" s="57"/>
      <c r="P4664" s="57"/>
      <c r="AP4664" s="57"/>
      <c r="BA4664" s="57"/>
      <c r="BF4664" s="6" t="e">
        <f t="shared" si="216"/>
        <v>#NUM!</v>
      </c>
      <c r="BG4664" t="e">
        <f t="shared" si="217"/>
        <v>#NUM!</v>
      </c>
      <c r="BH4664" t="e">
        <f t="shared" si="218"/>
        <v>#NUM!</v>
      </c>
      <c r="BI4664" t="e">
        <f>VLOOKUP(H4664,Sheet2!$A$1:$B$270,2,FALSE)</f>
        <v>#N/A</v>
      </c>
    </row>
    <row r="4665" spans="15:61" hidden="1">
      <c r="O4665" s="57"/>
      <c r="P4665" s="57"/>
      <c r="AP4665" s="57"/>
      <c r="BA4665" s="57"/>
      <c r="BF4665" s="6" t="e">
        <f t="shared" si="216"/>
        <v>#NUM!</v>
      </c>
      <c r="BG4665" t="e">
        <f t="shared" si="217"/>
        <v>#NUM!</v>
      </c>
      <c r="BH4665" t="e">
        <f t="shared" si="218"/>
        <v>#NUM!</v>
      </c>
      <c r="BI4665" t="e">
        <f>VLOOKUP(H4665,Sheet2!$A$1:$B$270,2,FALSE)</f>
        <v>#N/A</v>
      </c>
    </row>
    <row r="4666" spans="15:61" hidden="1">
      <c r="O4666" s="57"/>
      <c r="P4666" s="57"/>
      <c r="AP4666" s="57"/>
      <c r="BA4666" s="57"/>
      <c r="BF4666" s="6" t="e">
        <f t="shared" si="216"/>
        <v>#NUM!</v>
      </c>
      <c r="BG4666" t="e">
        <f t="shared" si="217"/>
        <v>#NUM!</v>
      </c>
      <c r="BH4666" t="e">
        <f t="shared" si="218"/>
        <v>#NUM!</v>
      </c>
      <c r="BI4666" t="e">
        <f>VLOOKUP(H4666,Sheet2!$A$1:$B$270,2,FALSE)</f>
        <v>#N/A</v>
      </c>
    </row>
    <row r="4667" spans="15:61" hidden="1">
      <c r="O4667" s="57"/>
      <c r="P4667" s="57"/>
      <c r="AP4667" s="57"/>
      <c r="BA4667" s="57"/>
      <c r="BF4667" s="6" t="e">
        <f t="shared" si="216"/>
        <v>#NUM!</v>
      </c>
      <c r="BG4667" t="e">
        <f t="shared" si="217"/>
        <v>#NUM!</v>
      </c>
      <c r="BH4667" t="e">
        <f t="shared" si="218"/>
        <v>#NUM!</v>
      </c>
      <c r="BI4667" t="e">
        <f>VLOOKUP(H4667,Sheet2!$A$1:$B$270,2,FALSE)</f>
        <v>#N/A</v>
      </c>
    </row>
    <row r="4668" spans="15:61" hidden="1">
      <c r="O4668" s="57"/>
      <c r="P4668" s="57"/>
      <c r="AP4668" s="57"/>
      <c r="BA4668" s="57"/>
      <c r="BF4668" s="6" t="e">
        <f t="shared" si="216"/>
        <v>#NUM!</v>
      </c>
      <c r="BG4668" t="e">
        <f t="shared" si="217"/>
        <v>#NUM!</v>
      </c>
      <c r="BH4668" t="e">
        <f t="shared" si="218"/>
        <v>#NUM!</v>
      </c>
      <c r="BI4668" t="e">
        <f>VLOOKUP(H4668,Sheet2!$A$1:$B$270,2,FALSE)</f>
        <v>#N/A</v>
      </c>
    </row>
    <row r="4669" spans="15:61" hidden="1">
      <c r="O4669" s="57"/>
      <c r="P4669" s="57"/>
      <c r="AP4669" s="57"/>
      <c r="BA4669" s="57"/>
      <c r="BF4669" s="6" t="e">
        <f t="shared" si="216"/>
        <v>#NUM!</v>
      </c>
      <c r="BG4669" t="e">
        <f t="shared" si="217"/>
        <v>#NUM!</v>
      </c>
      <c r="BH4669" t="e">
        <f t="shared" si="218"/>
        <v>#NUM!</v>
      </c>
      <c r="BI4669" t="e">
        <f>VLOOKUP(H4669,Sheet2!$A$1:$B$270,2,FALSE)</f>
        <v>#N/A</v>
      </c>
    </row>
    <row r="4670" spans="15:61" hidden="1">
      <c r="O4670" s="57"/>
      <c r="P4670" s="57"/>
      <c r="BA4670" s="57"/>
      <c r="BF4670" s="6" t="e">
        <f t="shared" si="216"/>
        <v>#NUM!</v>
      </c>
      <c r="BG4670" t="e">
        <f t="shared" si="217"/>
        <v>#NUM!</v>
      </c>
      <c r="BH4670" t="e">
        <f t="shared" si="218"/>
        <v>#NUM!</v>
      </c>
      <c r="BI4670" t="e">
        <f>VLOOKUP(H4670,Sheet2!$A$1:$B$270,2,FALSE)</f>
        <v>#N/A</v>
      </c>
    </row>
    <row r="4671" spans="15:61" hidden="1">
      <c r="O4671" s="57"/>
      <c r="P4671" s="57"/>
      <c r="AO4671" s="57"/>
      <c r="BF4671" s="6" t="e">
        <f t="shared" si="216"/>
        <v>#NUM!</v>
      </c>
      <c r="BG4671" t="e">
        <f t="shared" si="217"/>
        <v>#NUM!</v>
      </c>
      <c r="BH4671" t="e">
        <f t="shared" si="218"/>
        <v>#NUM!</v>
      </c>
      <c r="BI4671" t="e">
        <f>VLOOKUP(H4671,Sheet2!$A$1:$B$270,2,FALSE)</f>
        <v>#N/A</v>
      </c>
    </row>
    <row r="4672" spans="15:61" hidden="1">
      <c r="O4672" s="57"/>
      <c r="P4672" s="57"/>
      <c r="AO4672" s="57"/>
      <c r="BF4672" s="6" t="e">
        <f t="shared" si="216"/>
        <v>#NUM!</v>
      </c>
      <c r="BG4672" t="e">
        <f t="shared" si="217"/>
        <v>#NUM!</v>
      </c>
      <c r="BH4672" t="e">
        <f t="shared" si="218"/>
        <v>#NUM!</v>
      </c>
      <c r="BI4672" t="e">
        <f>VLOOKUP(H4672,Sheet2!$A$1:$B$270,2,FALSE)</f>
        <v>#N/A</v>
      </c>
    </row>
    <row r="4673" spans="15:61" hidden="1">
      <c r="O4673" s="57"/>
      <c r="P4673" s="57"/>
      <c r="AO4673" s="57"/>
      <c r="BF4673" s="6" t="e">
        <f t="shared" si="216"/>
        <v>#NUM!</v>
      </c>
      <c r="BG4673" t="e">
        <f t="shared" si="217"/>
        <v>#NUM!</v>
      </c>
      <c r="BH4673" t="e">
        <f t="shared" si="218"/>
        <v>#NUM!</v>
      </c>
      <c r="BI4673" t="e">
        <f>VLOOKUP(H4673,Sheet2!$A$1:$B$270,2,FALSE)</f>
        <v>#N/A</v>
      </c>
    </row>
    <row r="4674" spans="15:61" hidden="1">
      <c r="O4674" s="57"/>
      <c r="P4674" s="57"/>
      <c r="AO4674" s="57"/>
      <c r="BF4674" s="6" t="e">
        <f t="shared" ref="BF4674:BF4737" si="219">DATE(BC4674,BD4674,BE4674)</f>
        <v>#NUM!</v>
      </c>
      <c r="BG4674" t="e">
        <f t="shared" ref="BG4674:BG4737" si="220">BF4674-BA4674</f>
        <v>#NUM!</v>
      </c>
      <c r="BH4674" t="e">
        <f t="shared" ref="BH4674:BH4737" si="221">IF(BG4674=1,"COMPLY",IF(BG4674&lt;1,"COMPLY","NOT COMPLY"))</f>
        <v>#NUM!</v>
      </c>
      <c r="BI4674" t="e">
        <f>VLOOKUP(H4674,Sheet2!$A$1:$B$270,2,FALSE)</f>
        <v>#N/A</v>
      </c>
    </row>
    <row r="4675" spans="15:61" hidden="1">
      <c r="O4675" s="57"/>
      <c r="P4675" s="57"/>
      <c r="AO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 hidden="1">
      <c r="O4676" s="57"/>
      <c r="P4676" s="57"/>
      <c r="AO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 hidden="1">
      <c r="O4677" s="57"/>
      <c r="P4677" s="57"/>
      <c r="AO4677" s="57"/>
      <c r="A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 hidden="1">
      <c r="O4678" s="57"/>
      <c r="P4678" s="57"/>
      <c r="AP4678" s="57"/>
      <c r="BA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 hidden="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 hidden="1">
      <c r="O4680" s="57"/>
      <c r="P4680" s="57"/>
      <c r="A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 hidden="1">
      <c r="O4681" s="57"/>
      <c r="P4681" s="57"/>
      <c r="A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 hidden="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 hidden="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 hidden="1">
      <c r="O4684" s="57"/>
      <c r="P4684" s="57"/>
      <c r="AO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 hidden="1">
      <c r="O4685" s="57"/>
      <c r="P4685" s="57"/>
      <c r="AO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 hidden="1">
      <c r="O4686" s="57"/>
      <c r="P4686" s="57"/>
      <c r="AO4686" s="57"/>
      <c r="A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 hidden="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 hidden="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 hidden="1">
      <c r="O4689" s="57"/>
      <c r="P4689" s="57"/>
      <c r="AO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 hidden="1">
      <c r="O4690" s="57"/>
      <c r="P4690" s="57"/>
      <c r="AO4690" s="57"/>
      <c r="A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 hidden="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 hidden="1">
      <c r="O4692" s="57"/>
      <c r="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 hidden="1">
      <c r="O4693" s="57"/>
      <c r="P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 hidden="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 hidden="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 hidden="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 hidden="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 hidden="1">
      <c r="O4698" s="57"/>
      <c r="P4698" s="57"/>
      <c r="AP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 hidden="1">
      <c r="O4699" s="57"/>
      <c r="P4699" s="57"/>
      <c r="AP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 hidden="1">
      <c r="O4700" s="57"/>
      <c r="P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 hidden="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 hidden="1">
      <c r="O4702" s="57"/>
      <c r="P4702" s="57"/>
      <c r="AP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 hidden="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 hidden="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 hidden="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 hidden="1">
      <c r="O4706" s="57"/>
      <c r="P4706" s="57"/>
      <c r="A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 hidden="1">
      <c r="O4707" s="57"/>
      <c r="P4707" s="57"/>
      <c r="A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 hidden="1">
      <c r="O4708" s="57"/>
      <c r="P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 hidden="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 hidden="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 hidden="1">
      <c r="O4711" s="57"/>
      <c r="P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 hidden="1">
      <c r="O4712" s="57"/>
      <c r="P4712" s="57"/>
      <c r="A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 hidden="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 hidden="1">
      <c r="O4714" s="57"/>
      <c r="P4714" s="57"/>
      <c r="AP4714" s="57"/>
      <c r="BA4714" s="57"/>
      <c r="BF4714" s="6" t="e">
        <f t="shared" si="219"/>
        <v>#NUM!</v>
      </c>
      <c r="BG4714" t="e">
        <f t="shared" si="220"/>
        <v>#NUM!</v>
      </c>
      <c r="BH4714" t="e">
        <f t="shared" si="221"/>
        <v>#NUM!</v>
      </c>
      <c r="BI4714" t="e">
        <f>VLOOKUP(H4714,Sheet2!$A$1:$B$270,2,FALSE)</f>
        <v>#N/A</v>
      </c>
    </row>
    <row r="4715" spans="15:61" hidden="1">
      <c r="O4715" s="57"/>
      <c r="P4715" s="57"/>
      <c r="AP4715" s="57"/>
      <c r="BA4715" s="57"/>
      <c r="BF4715" s="6" t="e">
        <f t="shared" si="219"/>
        <v>#NUM!</v>
      </c>
      <c r="BG4715" t="e">
        <f t="shared" si="220"/>
        <v>#NUM!</v>
      </c>
      <c r="BH4715" t="e">
        <f t="shared" si="221"/>
        <v>#NUM!</v>
      </c>
      <c r="BI4715" t="e">
        <f>VLOOKUP(H4715,Sheet2!$A$1:$B$270,2,FALSE)</f>
        <v>#N/A</v>
      </c>
    </row>
    <row r="4716" spans="15:61" hidden="1">
      <c r="O4716" s="57"/>
      <c r="P4716" s="57"/>
      <c r="AP4716" s="57"/>
      <c r="BA4716" s="57"/>
      <c r="BF4716" s="6" t="e">
        <f t="shared" si="219"/>
        <v>#NUM!</v>
      </c>
      <c r="BG4716" t="e">
        <f t="shared" si="220"/>
        <v>#NUM!</v>
      </c>
      <c r="BH4716" t="e">
        <f t="shared" si="221"/>
        <v>#NUM!</v>
      </c>
      <c r="BI4716" t="e">
        <f>VLOOKUP(H4716,Sheet2!$A$1:$B$270,2,FALSE)</f>
        <v>#N/A</v>
      </c>
    </row>
    <row r="4717" spans="15:61" hidden="1">
      <c r="O4717" s="57"/>
      <c r="P4717" s="57"/>
      <c r="AP4717" s="57"/>
      <c r="BA4717" s="57"/>
      <c r="BF4717" s="6" t="e">
        <f t="shared" si="219"/>
        <v>#NUM!</v>
      </c>
      <c r="BG4717" t="e">
        <f t="shared" si="220"/>
        <v>#NUM!</v>
      </c>
      <c r="BH4717" t="e">
        <f t="shared" si="221"/>
        <v>#NUM!</v>
      </c>
      <c r="BI4717" t="e">
        <f>VLOOKUP(H4717,Sheet2!$A$1:$B$270,2,FALSE)</f>
        <v>#N/A</v>
      </c>
    </row>
    <row r="4718" spans="15:61" hidden="1">
      <c r="O4718" s="57"/>
      <c r="P4718" s="57"/>
      <c r="AP4718" s="57"/>
      <c r="BA4718" s="57"/>
      <c r="BF4718" s="6" t="e">
        <f t="shared" si="219"/>
        <v>#NUM!</v>
      </c>
      <c r="BG4718" t="e">
        <f t="shared" si="220"/>
        <v>#NUM!</v>
      </c>
      <c r="BH4718" t="e">
        <f t="shared" si="221"/>
        <v>#NUM!</v>
      </c>
      <c r="BI4718" t="e">
        <f>VLOOKUP(H4718,Sheet2!$A$1:$B$270,2,FALSE)</f>
        <v>#N/A</v>
      </c>
    </row>
    <row r="4719" spans="15:61" hidden="1">
      <c r="O4719" s="57"/>
      <c r="P4719" s="57"/>
      <c r="AP4719" s="57"/>
      <c r="BA4719" s="57"/>
      <c r="BF4719" s="6" t="e">
        <f t="shared" si="219"/>
        <v>#NUM!</v>
      </c>
      <c r="BG4719" t="e">
        <f t="shared" si="220"/>
        <v>#NUM!</v>
      </c>
      <c r="BH4719" t="e">
        <f t="shared" si="221"/>
        <v>#NUM!</v>
      </c>
      <c r="BI4719" t="e">
        <f>VLOOKUP(H4719,Sheet2!$A$1:$B$270,2,FALSE)</f>
        <v>#N/A</v>
      </c>
    </row>
    <row r="4720" spans="15:61" hidden="1">
      <c r="O4720" s="57"/>
      <c r="P4720" s="57"/>
      <c r="AP4720" s="57"/>
      <c r="BA4720" s="57"/>
      <c r="BF4720" s="6" t="e">
        <f t="shared" si="219"/>
        <v>#NUM!</v>
      </c>
      <c r="BG4720" t="e">
        <f t="shared" si="220"/>
        <v>#NUM!</v>
      </c>
      <c r="BH4720" t="e">
        <f t="shared" si="221"/>
        <v>#NUM!</v>
      </c>
      <c r="BI4720" t="e">
        <f>VLOOKUP(H4720,Sheet2!$A$1:$B$270,2,FALSE)</f>
        <v>#N/A</v>
      </c>
    </row>
    <row r="4721" spans="15:61" hidden="1">
      <c r="O4721" s="57"/>
      <c r="P4721" s="57"/>
      <c r="AP4721" s="57"/>
      <c r="BA4721" s="57"/>
      <c r="BF4721" s="6" t="e">
        <f t="shared" si="219"/>
        <v>#NUM!</v>
      </c>
      <c r="BG4721" t="e">
        <f t="shared" si="220"/>
        <v>#NUM!</v>
      </c>
      <c r="BH4721" t="e">
        <f t="shared" si="221"/>
        <v>#NUM!</v>
      </c>
      <c r="BI4721" t="e">
        <f>VLOOKUP(H4721,Sheet2!$A$1:$B$270,2,FALSE)</f>
        <v>#N/A</v>
      </c>
    </row>
    <row r="4722" spans="15:61" hidden="1">
      <c r="O4722" s="57"/>
      <c r="P4722" s="57"/>
      <c r="AP4722" s="57"/>
      <c r="BA4722" s="57"/>
      <c r="BF4722" s="6" t="e">
        <f t="shared" si="219"/>
        <v>#NUM!</v>
      </c>
      <c r="BG4722" t="e">
        <f t="shared" si="220"/>
        <v>#NUM!</v>
      </c>
      <c r="BH4722" t="e">
        <f t="shared" si="221"/>
        <v>#NUM!</v>
      </c>
      <c r="BI4722" t="e">
        <f>VLOOKUP(H4722,Sheet2!$A$1:$B$270,2,FALSE)</f>
        <v>#N/A</v>
      </c>
    </row>
    <row r="4723" spans="15:61" hidden="1">
      <c r="O4723" s="57"/>
      <c r="P4723" s="57"/>
      <c r="AP4723" s="57"/>
      <c r="BA4723" s="57"/>
      <c r="BF4723" s="6" t="e">
        <f t="shared" si="219"/>
        <v>#NUM!</v>
      </c>
      <c r="BG4723" t="e">
        <f t="shared" si="220"/>
        <v>#NUM!</v>
      </c>
      <c r="BH4723" t="e">
        <f t="shared" si="221"/>
        <v>#NUM!</v>
      </c>
      <c r="BI4723" t="e">
        <f>VLOOKUP(H4723,Sheet2!$A$1:$B$270,2,FALSE)</f>
        <v>#N/A</v>
      </c>
    </row>
    <row r="4724" spans="15:61" hidden="1">
      <c r="O4724" s="57"/>
      <c r="P4724" s="57"/>
      <c r="AP4724" s="57"/>
      <c r="BA4724" s="57"/>
      <c r="BF4724" s="6" t="e">
        <f t="shared" si="219"/>
        <v>#NUM!</v>
      </c>
      <c r="BG4724" t="e">
        <f t="shared" si="220"/>
        <v>#NUM!</v>
      </c>
      <c r="BH4724" t="e">
        <f t="shared" si="221"/>
        <v>#NUM!</v>
      </c>
      <c r="BI4724" t="e">
        <f>VLOOKUP(H4724,Sheet2!$A$1:$B$270,2,FALSE)</f>
        <v>#N/A</v>
      </c>
    </row>
    <row r="4725" spans="15:61" hidden="1">
      <c r="O4725" s="57"/>
      <c r="P4725" s="57"/>
      <c r="AP4725" s="57"/>
      <c r="BA4725" s="57"/>
      <c r="BF4725" s="6" t="e">
        <f t="shared" si="219"/>
        <v>#NUM!</v>
      </c>
      <c r="BG4725" t="e">
        <f t="shared" si="220"/>
        <v>#NUM!</v>
      </c>
      <c r="BH4725" t="e">
        <f t="shared" si="221"/>
        <v>#NUM!</v>
      </c>
      <c r="BI4725" t="e">
        <f>VLOOKUP(H4725,Sheet2!$A$1:$B$270,2,FALSE)</f>
        <v>#N/A</v>
      </c>
    </row>
    <row r="4726" spans="15:61" hidden="1">
      <c r="O4726" s="57"/>
      <c r="P4726" s="57"/>
      <c r="AP4726" s="57"/>
      <c r="BA4726" s="57"/>
      <c r="BF4726" s="6" t="e">
        <f t="shared" si="219"/>
        <v>#NUM!</v>
      </c>
      <c r="BG4726" t="e">
        <f t="shared" si="220"/>
        <v>#NUM!</v>
      </c>
      <c r="BH4726" t="e">
        <f t="shared" si="221"/>
        <v>#NUM!</v>
      </c>
      <c r="BI4726" t="e">
        <f>VLOOKUP(H4726,Sheet2!$A$1:$B$270,2,FALSE)</f>
        <v>#N/A</v>
      </c>
    </row>
    <row r="4727" spans="15:61" hidden="1">
      <c r="O4727" s="57"/>
      <c r="P4727" s="57"/>
      <c r="AP4727" s="57"/>
      <c r="BA4727" s="57"/>
      <c r="BF4727" s="6" t="e">
        <f t="shared" si="219"/>
        <v>#NUM!</v>
      </c>
      <c r="BG4727" t="e">
        <f t="shared" si="220"/>
        <v>#NUM!</v>
      </c>
      <c r="BH4727" t="e">
        <f t="shared" si="221"/>
        <v>#NUM!</v>
      </c>
      <c r="BI4727" t="e">
        <f>VLOOKUP(H4727,Sheet2!$A$1:$B$270,2,FALSE)</f>
        <v>#N/A</v>
      </c>
    </row>
    <row r="4728" spans="15:61" hidden="1">
      <c r="O4728" s="57"/>
      <c r="P4728" s="57"/>
      <c r="AP4728" s="57"/>
      <c r="BA4728" s="57"/>
      <c r="BF4728" s="6" t="e">
        <f t="shared" si="219"/>
        <v>#NUM!</v>
      </c>
      <c r="BG4728" t="e">
        <f t="shared" si="220"/>
        <v>#NUM!</v>
      </c>
      <c r="BH4728" t="e">
        <f t="shared" si="221"/>
        <v>#NUM!</v>
      </c>
      <c r="BI4728" t="e">
        <f>VLOOKUP(H4728,Sheet2!$A$1:$B$270,2,FALSE)</f>
        <v>#N/A</v>
      </c>
    </row>
    <row r="4729" spans="15:61" hidden="1">
      <c r="O4729" s="57"/>
      <c r="P4729" s="57"/>
      <c r="AP4729" s="57"/>
      <c r="BA4729" s="57"/>
      <c r="BF4729" s="6" t="e">
        <f t="shared" si="219"/>
        <v>#NUM!</v>
      </c>
      <c r="BG4729" t="e">
        <f t="shared" si="220"/>
        <v>#NUM!</v>
      </c>
      <c r="BH4729" t="e">
        <f t="shared" si="221"/>
        <v>#NUM!</v>
      </c>
      <c r="BI4729" t="e">
        <f>VLOOKUP(H4729,Sheet2!$A$1:$B$270,2,FALSE)</f>
        <v>#N/A</v>
      </c>
    </row>
    <row r="4730" spans="15:61" hidden="1">
      <c r="O4730" s="57"/>
      <c r="P4730" s="57"/>
      <c r="AP4730" s="57"/>
      <c r="BA4730" s="57"/>
      <c r="BF4730" s="6" t="e">
        <f t="shared" si="219"/>
        <v>#NUM!</v>
      </c>
      <c r="BG4730" t="e">
        <f t="shared" si="220"/>
        <v>#NUM!</v>
      </c>
      <c r="BH4730" t="e">
        <f t="shared" si="221"/>
        <v>#NUM!</v>
      </c>
      <c r="BI4730" t="e">
        <f>VLOOKUP(H4730,Sheet2!$A$1:$B$270,2,FALSE)</f>
        <v>#N/A</v>
      </c>
    </row>
    <row r="4731" spans="15:61" hidden="1">
      <c r="O4731" s="57"/>
      <c r="P4731" s="57"/>
      <c r="AP4731" s="57"/>
      <c r="BA4731" s="57"/>
      <c r="BF4731" s="6" t="e">
        <f t="shared" si="219"/>
        <v>#NUM!</v>
      </c>
      <c r="BG4731" t="e">
        <f t="shared" si="220"/>
        <v>#NUM!</v>
      </c>
      <c r="BH4731" t="e">
        <f t="shared" si="221"/>
        <v>#NUM!</v>
      </c>
      <c r="BI4731" t="e">
        <f>VLOOKUP(H4731,Sheet2!$A$1:$B$270,2,FALSE)</f>
        <v>#N/A</v>
      </c>
    </row>
    <row r="4732" spans="15:61" hidden="1">
      <c r="O4732" s="57"/>
      <c r="P4732" s="57"/>
      <c r="AP4732" s="57"/>
      <c r="BA4732" s="57"/>
      <c r="BF4732" s="6" t="e">
        <f t="shared" si="219"/>
        <v>#NUM!</v>
      </c>
      <c r="BG4732" t="e">
        <f t="shared" si="220"/>
        <v>#NUM!</v>
      </c>
      <c r="BH4732" t="e">
        <f t="shared" si="221"/>
        <v>#NUM!</v>
      </c>
      <c r="BI4732" t="e">
        <f>VLOOKUP(H4732,Sheet2!$A$1:$B$270,2,FALSE)</f>
        <v>#N/A</v>
      </c>
    </row>
    <row r="4733" spans="15:61" hidden="1">
      <c r="O4733" s="57"/>
      <c r="P4733" s="57"/>
      <c r="AP4733" s="57"/>
      <c r="BA4733" s="57"/>
      <c r="BF4733" s="6" t="e">
        <f t="shared" si="219"/>
        <v>#NUM!</v>
      </c>
      <c r="BG4733" t="e">
        <f t="shared" si="220"/>
        <v>#NUM!</v>
      </c>
      <c r="BH4733" t="e">
        <f t="shared" si="221"/>
        <v>#NUM!</v>
      </c>
      <c r="BI4733" t="e">
        <f>VLOOKUP(H4733,Sheet2!$A$1:$B$270,2,FALSE)</f>
        <v>#N/A</v>
      </c>
    </row>
    <row r="4734" spans="15:61" hidden="1">
      <c r="O4734" s="57"/>
      <c r="P4734" s="57"/>
      <c r="AP4734" s="57"/>
      <c r="BA4734" s="57"/>
      <c r="BF4734" s="6" t="e">
        <f t="shared" si="219"/>
        <v>#NUM!</v>
      </c>
      <c r="BG4734" t="e">
        <f t="shared" si="220"/>
        <v>#NUM!</v>
      </c>
      <c r="BH4734" t="e">
        <f t="shared" si="221"/>
        <v>#NUM!</v>
      </c>
      <c r="BI4734" t="e">
        <f>VLOOKUP(H4734,Sheet2!$A$1:$B$270,2,FALSE)</f>
        <v>#N/A</v>
      </c>
    </row>
    <row r="4735" spans="15:61" hidden="1">
      <c r="O4735" s="57"/>
      <c r="P4735" s="57"/>
      <c r="AP4735" s="57"/>
      <c r="BA4735" s="57"/>
      <c r="BF4735" s="6" t="e">
        <f t="shared" si="219"/>
        <v>#NUM!</v>
      </c>
      <c r="BG4735" t="e">
        <f t="shared" si="220"/>
        <v>#NUM!</v>
      </c>
      <c r="BH4735" t="e">
        <f t="shared" si="221"/>
        <v>#NUM!</v>
      </c>
      <c r="BI4735" t="e">
        <f>VLOOKUP(H4735,Sheet2!$A$1:$B$270,2,FALSE)</f>
        <v>#N/A</v>
      </c>
    </row>
    <row r="4736" spans="15:61" hidden="1">
      <c r="O4736" s="57"/>
      <c r="P4736" s="57"/>
      <c r="AP4736" s="57"/>
      <c r="BA4736" s="57"/>
      <c r="BF4736" s="6" t="e">
        <f t="shared" si="219"/>
        <v>#NUM!</v>
      </c>
      <c r="BG4736" t="e">
        <f t="shared" si="220"/>
        <v>#NUM!</v>
      </c>
      <c r="BH4736" t="e">
        <f t="shared" si="221"/>
        <v>#NUM!</v>
      </c>
      <c r="BI4736" t="e">
        <f>VLOOKUP(H4736,Sheet2!$A$1:$B$270,2,FALSE)</f>
        <v>#N/A</v>
      </c>
    </row>
    <row r="4737" spans="15:61" hidden="1">
      <c r="O4737" s="57"/>
      <c r="P4737" s="57"/>
      <c r="AP4737" s="57"/>
      <c r="BA4737" s="57"/>
      <c r="BF4737" s="6" t="e">
        <f t="shared" si="219"/>
        <v>#NUM!</v>
      </c>
      <c r="BG4737" t="e">
        <f t="shared" si="220"/>
        <v>#NUM!</v>
      </c>
      <c r="BH4737" t="e">
        <f t="shared" si="221"/>
        <v>#NUM!</v>
      </c>
      <c r="BI4737" t="e">
        <f>VLOOKUP(H4737,Sheet2!$A$1:$B$270,2,FALSE)</f>
        <v>#N/A</v>
      </c>
    </row>
    <row r="4738" spans="15:61" hidden="1">
      <c r="O4738" s="57"/>
      <c r="P4738" s="57"/>
      <c r="AP4738" s="57"/>
      <c r="BA4738" s="57"/>
      <c r="BF4738" s="6" t="e">
        <f t="shared" ref="BF4738:BF4801" si="222">DATE(BC4738,BD4738,BE4738)</f>
        <v>#NUM!</v>
      </c>
      <c r="BG4738" t="e">
        <f t="shared" ref="BG4738:BG4801" si="223">BF4738-BA4738</f>
        <v>#NUM!</v>
      </c>
      <c r="BH4738" t="e">
        <f t="shared" ref="BH4738:BH4801" si="224">IF(BG4738=1,"COMPLY",IF(BG4738&lt;1,"COMPLY","NOT COMPLY"))</f>
        <v>#NUM!</v>
      </c>
      <c r="BI4738" t="e">
        <f>VLOOKUP(H4738,Sheet2!$A$1:$B$270,2,FALSE)</f>
        <v>#N/A</v>
      </c>
    </row>
    <row r="4739" spans="15:61" hidden="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 hidden="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 hidden="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 hidden="1">
      <c r="O4742" s="57"/>
      <c r="P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 hidden="1">
      <c r="O4743" s="57"/>
      <c r="P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 hidden="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 hidden="1">
      <c r="O4745" s="57"/>
      <c r="P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 hidden="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 hidden="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 hidden="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 hidden="1">
      <c r="O4749" s="57"/>
      <c r="P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 hidden="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 hidden="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 hidden="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 hidden="1">
      <c r="O4753" s="57"/>
      <c r="P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 hidden="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 hidden="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 hidden="1">
      <c r="O4756" s="57"/>
      <c r="P4756" s="57"/>
      <c r="AP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 hidden="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 hidden="1">
      <c r="O4758" s="57"/>
      <c r="P4758" s="57"/>
      <c r="AP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 hidden="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 hidden="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 hidden="1">
      <c r="O4761" s="57"/>
      <c r="P4761" s="57"/>
      <c r="AP4761" s="57"/>
      <c r="BA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 hidden="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 hidden="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 hidden="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 hidden="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 hidden="1">
      <c r="O4766" s="57"/>
      <c r="P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 hidden="1">
      <c r="O4767" s="57"/>
      <c r="P4767" s="57"/>
      <c r="A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 hidden="1">
      <c r="O4768" s="57"/>
      <c r="P4768" s="57"/>
      <c r="AO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 hidden="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 hidden="1">
      <c r="O4770" s="57"/>
      <c r="P4770" s="57"/>
      <c r="AP4770" s="57"/>
      <c r="BA4770" s="57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 hidden="1">
      <c r="O4771" s="57"/>
      <c r="P4771" s="57"/>
      <c r="AP4771" s="57"/>
      <c r="BA4771" s="57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 hidden="1">
      <c r="O4772" s="57"/>
      <c r="P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 hidden="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 hidden="1">
      <c r="O4774" s="57"/>
      <c r="P4774" s="57"/>
      <c r="AP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 hidden="1">
      <c r="O4775" s="57"/>
      <c r="P4775" s="57"/>
      <c r="AP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 hidden="1">
      <c r="O4776" s="57"/>
      <c r="P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 hidden="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 hidden="1">
      <c r="O4778" s="57"/>
      <c r="P4778" s="57"/>
      <c r="AP4778" s="57"/>
      <c r="BA4778" s="57"/>
      <c r="BF4778" s="6" t="e">
        <f t="shared" si="222"/>
        <v>#NUM!</v>
      </c>
      <c r="BG4778" t="e">
        <f t="shared" si="223"/>
        <v>#NUM!</v>
      </c>
      <c r="BH4778" t="e">
        <f t="shared" si="224"/>
        <v>#NUM!</v>
      </c>
      <c r="BI4778" t="e">
        <f>VLOOKUP(H4778,Sheet2!$A$1:$B$270,2,FALSE)</f>
        <v>#N/A</v>
      </c>
    </row>
    <row r="4779" spans="15:61" hidden="1">
      <c r="O4779" s="57"/>
      <c r="P4779" s="57"/>
      <c r="AP4779" s="57"/>
      <c r="BA4779" s="57"/>
      <c r="BF4779" s="6" t="e">
        <f t="shared" si="222"/>
        <v>#NUM!</v>
      </c>
      <c r="BG4779" t="e">
        <f t="shared" si="223"/>
        <v>#NUM!</v>
      </c>
      <c r="BH4779" t="e">
        <f t="shared" si="224"/>
        <v>#NUM!</v>
      </c>
      <c r="BI4779" t="e">
        <f>VLOOKUP(H4779,Sheet2!$A$1:$B$270,2,FALSE)</f>
        <v>#N/A</v>
      </c>
    </row>
    <row r="4780" spans="15:61" hidden="1">
      <c r="O4780" s="57"/>
      <c r="P4780" s="57"/>
      <c r="AP4780" s="57"/>
      <c r="BA4780" s="57"/>
      <c r="BF4780" s="6" t="e">
        <f t="shared" si="222"/>
        <v>#NUM!</v>
      </c>
      <c r="BG4780" t="e">
        <f t="shared" si="223"/>
        <v>#NUM!</v>
      </c>
      <c r="BH4780" t="e">
        <f t="shared" si="224"/>
        <v>#NUM!</v>
      </c>
      <c r="BI4780" t="e">
        <f>VLOOKUP(H4780,Sheet2!$A$1:$B$270,2,FALSE)</f>
        <v>#N/A</v>
      </c>
    </row>
    <row r="4781" spans="15:61" hidden="1">
      <c r="O4781" s="57"/>
      <c r="P4781" s="57"/>
      <c r="AP4781" s="57"/>
      <c r="BA4781" s="57"/>
      <c r="BF4781" s="6" t="e">
        <f t="shared" si="222"/>
        <v>#NUM!</v>
      </c>
      <c r="BG4781" t="e">
        <f t="shared" si="223"/>
        <v>#NUM!</v>
      </c>
      <c r="BH4781" t="e">
        <f t="shared" si="224"/>
        <v>#NUM!</v>
      </c>
      <c r="BI4781" t="e">
        <f>VLOOKUP(H4781,Sheet2!$A$1:$B$270,2,FALSE)</f>
        <v>#N/A</v>
      </c>
    </row>
    <row r="4782" spans="15:61" hidden="1">
      <c r="O4782" s="57"/>
      <c r="P4782" s="57"/>
      <c r="AP4782" s="57"/>
      <c r="BA4782" s="57"/>
      <c r="BF4782" s="6" t="e">
        <f t="shared" si="222"/>
        <v>#NUM!</v>
      </c>
      <c r="BG4782" t="e">
        <f t="shared" si="223"/>
        <v>#NUM!</v>
      </c>
      <c r="BH4782" t="e">
        <f t="shared" si="224"/>
        <v>#NUM!</v>
      </c>
      <c r="BI4782" t="e">
        <f>VLOOKUP(H4782,Sheet2!$A$1:$B$270,2,FALSE)</f>
        <v>#N/A</v>
      </c>
    </row>
    <row r="4783" spans="15:61" hidden="1">
      <c r="O4783" s="57"/>
      <c r="P4783" s="57"/>
      <c r="AP4783" s="57"/>
      <c r="BA4783" s="57"/>
      <c r="BF4783" s="6" t="e">
        <f t="shared" si="222"/>
        <v>#NUM!</v>
      </c>
      <c r="BG4783" t="e">
        <f t="shared" si="223"/>
        <v>#NUM!</v>
      </c>
      <c r="BH4783" t="e">
        <f t="shared" si="224"/>
        <v>#NUM!</v>
      </c>
      <c r="BI4783" t="e">
        <f>VLOOKUP(H4783,Sheet2!$A$1:$B$270,2,FALSE)</f>
        <v>#N/A</v>
      </c>
    </row>
    <row r="4784" spans="15:61" hidden="1">
      <c r="O4784" s="57"/>
      <c r="P4784" s="57"/>
      <c r="AP4784" s="57"/>
      <c r="BA4784" s="57"/>
      <c r="BF4784" s="6" t="e">
        <f t="shared" si="222"/>
        <v>#NUM!</v>
      </c>
      <c r="BG4784" t="e">
        <f t="shared" si="223"/>
        <v>#NUM!</v>
      </c>
      <c r="BH4784" t="e">
        <f t="shared" si="224"/>
        <v>#NUM!</v>
      </c>
      <c r="BI4784" t="e">
        <f>VLOOKUP(H4784,Sheet2!$A$1:$B$270,2,FALSE)</f>
        <v>#N/A</v>
      </c>
    </row>
    <row r="4785" spans="15:61" hidden="1">
      <c r="O4785" s="57"/>
      <c r="P4785" s="57"/>
      <c r="AP4785" s="57"/>
      <c r="BA4785" s="57"/>
      <c r="BF4785" s="6" t="e">
        <f t="shared" si="222"/>
        <v>#NUM!</v>
      </c>
      <c r="BG4785" t="e">
        <f t="shared" si="223"/>
        <v>#NUM!</v>
      </c>
      <c r="BH4785" t="e">
        <f t="shared" si="224"/>
        <v>#NUM!</v>
      </c>
      <c r="BI4785" t="e">
        <f>VLOOKUP(H4785,Sheet2!$A$1:$B$270,2,FALSE)</f>
        <v>#N/A</v>
      </c>
    </row>
    <row r="4786" spans="15:61" hidden="1">
      <c r="O4786" s="57"/>
      <c r="P4786" s="57"/>
      <c r="AP4786" s="57"/>
      <c r="BA4786" s="57"/>
      <c r="BF4786" s="6" t="e">
        <f t="shared" si="222"/>
        <v>#NUM!</v>
      </c>
      <c r="BG4786" t="e">
        <f t="shared" si="223"/>
        <v>#NUM!</v>
      </c>
      <c r="BH4786" t="e">
        <f t="shared" si="224"/>
        <v>#NUM!</v>
      </c>
      <c r="BI4786" t="e">
        <f>VLOOKUP(H4786,Sheet2!$A$1:$B$270,2,FALSE)</f>
        <v>#N/A</v>
      </c>
    </row>
    <row r="4787" spans="15:61" hidden="1">
      <c r="O4787" s="57"/>
      <c r="P4787" s="57"/>
      <c r="AP4787" s="57"/>
      <c r="BA4787" s="57"/>
      <c r="BF4787" s="6" t="e">
        <f t="shared" si="222"/>
        <v>#NUM!</v>
      </c>
      <c r="BG4787" t="e">
        <f t="shared" si="223"/>
        <v>#NUM!</v>
      </c>
      <c r="BH4787" t="e">
        <f t="shared" si="224"/>
        <v>#NUM!</v>
      </c>
      <c r="BI4787" t="e">
        <f>VLOOKUP(H4787,Sheet2!$A$1:$B$270,2,FALSE)</f>
        <v>#N/A</v>
      </c>
    </row>
    <row r="4788" spans="15:61" hidden="1">
      <c r="O4788" s="57"/>
      <c r="P4788" s="57"/>
      <c r="AP4788" s="57"/>
      <c r="BA4788" s="57"/>
      <c r="BF4788" s="6" t="e">
        <f t="shared" si="222"/>
        <v>#NUM!</v>
      </c>
      <c r="BG4788" t="e">
        <f t="shared" si="223"/>
        <v>#NUM!</v>
      </c>
      <c r="BH4788" t="e">
        <f t="shared" si="224"/>
        <v>#NUM!</v>
      </c>
      <c r="BI4788" t="e">
        <f>VLOOKUP(H4788,Sheet2!$A$1:$B$270,2,FALSE)</f>
        <v>#N/A</v>
      </c>
    </row>
    <row r="4789" spans="15:61" hidden="1">
      <c r="O4789" s="57"/>
      <c r="P4789" s="57"/>
      <c r="AP4789" s="57"/>
      <c r="BA4789" s="57"/>
      <c r="BF4789" s="6" t="e">
        <f t="shared" si="222"/>
        <v>#NUM!</v>
      </c>
      <c r="BG4789" t="e">
        <f t="shared" si="223"/>
        <v>#NUM!</v>
      </c>
      <c r="BH4789" t="e">
        <f t="shared" si="224"/>
        <v>#NUM!</v>
      </c>
      <c r="BI4789" t="e">
        <f>VLOOKUP(H4789,Sheet2!$A$1:$B$270,2,FALSE)</f>
        <v>#N/A</v>
      </c>
    </row>
    <row r="4790" spans="15:61" hidden="1">
      <c r="O4790" s="57"/>
      <c r="P4790" s="57"/>
      <c r="AP4790" s="57"/>
      <c r="BA4790" s="57"/>
      <c r="BF4790" s="6" t="e">
        <f t="shared" si="222"/>
        <v>#NUM!</v>
      </c>
      <c r="BG4790" t="e">
        <f t="shared" si="223"/>
        <v>#NUM!</v>
      </c>
      <c r="BH4790" t="e">
        <f t="shared" si="224"/>
        <v>#NUM!</v>
      </c>
      <c r="BI4790" t="e">
        <f>VLOOKUP(H4790,Sheet2!$A$1:$B$270,2,FALSE)</f>
        <v>#N/A</v>
      </c>
    </row>
    <row r="4791" spans="15:61" hidden="1">
      <c r="O4791" s="57"/>
      <c r="P4791" s="57"/>
      <c r="AP4791" s="57"/>
      <c r="BA4791" s="57"/>
      <c r="BF4791" s="6" t="e">
        <f t="shared" si="222"/>
        <v>#NUM!</v>
      </c>
      <c r="BG4791" t="e">
        <f t="shared" si="223"/>
        <v>#NUM!</v>
      </c>
      <c r="BH4791" t="e">
        <f t="shared" si="224"/>
        <v>#NUM!</v>
      </c>
      <c r="BI4791" t="e">
        <f>VLOOKUP(H4791,Sheet2!$A$1:$B$270,2,FALSE)</f>
        <v>#N/A</v>
      </c>
    </row>
    <row r="4792" spans="15:61" hidden="1">
      <c r="O4792" s="57"/>
      <c r="P4792" s="57"/>
      <c r="AP4792" s="57"/>
      <c r="BA4792" s="57"/>
      <c r="BF4792" s="6" t="e">
        <f t="shared" si="222"/>
        <v>#NUM!</v>
      </c>
      <c r="BG4792" t="e">
        <f t="shared" si="223"/>
        <v>#NUM!</v>
      </c>
      <c r="BH4792" t="e">
        <f t="shared" si="224"/>
        <v>#NUM!</v>
      </c>
      <c r="BI4792" t="e">
        <f>VLOOKUP(H4792,Sheet2!$A$1:$B$270,2,FALSE)</f>
        <v>#N/A</v>
      </c>
    </row>
    <row r="4793" spans="15:61" hidden="1">
      <c r="O4793" s="57"/>
      <c r="P4793" s="57"/>
      <c r="AP4793" s="57"/>
      <c r="BA4793" s="57"/>
      <c r="BF4793" s="6" t="e">
        <f t="shared" si="222"/>
        <v>#NUM!</v>
      </c>
      <c r="BG4793" t="e">
        <f t="shared" si="223"/>
        <v>#NUM!</v>
      </c>
      <c r="BH4793" t="e">
        <f t="shared" si="224"/>
        <v>#NUM!</v>
      </c>
      <c r="BI4793" t="e">
        <f>VLOOKUP(H4793,Sheet2!$A$1:$B$270,2,FALSE)</f>
        <v>#N/A</v>
      </c>
    </row>
    <row r="4794" spans="15:61" hidden="1">
      <c r="O4794" s="57"/>
      <c r="P4794" s="57"/>
      <c r="AP4794" s="57"/>
      <c r="BA4794" s="57"/>
      <c r="BF4794" s="6" t="e">
        <f t="shared" si="222"/>
        <v>#NUM!</v>
      </c>
      <c r="BG4794" t="e">
        <f t="shared" si="223"/>
        <v>#NUM!</v>
      </c>
      <c r="BH4794" t="e">
        <f t="shared" si="224"/>
        <v>#NUM!</v>
      </c>
      <c r="BI4794" t="e">
        <f>VLOOKUP(H4794,Sheet2!$A$1:$B$270,2,FALSE)</f>
        <v>#N/A</v>
      </c>
    </row>
    <row r="4795" spans="15:61" hidden="1">
      <c r="O4795" s="57"/>
      <c r="P4795" s="57"/>
      <c r="AP4795" s="57"/>
      <c r="BA4795" s="57"/>
      <c r="BF4795" s="6" t="e">
        <f t="shared" si="222"/>
        <v>#NUM!</v>
      </c>
      <c r="BG4795" t="e">
        <f t="shared" si="223"/>
        <v>#NUM!</v>
      </c>
      <c r="BH4795" t="e">
        <f t="shared" si="224"/>
        <v>#NUM!</v>
      </c>
      <c r="BI4795" t="e">
        <f>VLOOKUP(H4795,Sheet2!$A$1:$B$270,2,FALSE)</f>
        <v>#N/A</v>
      </c>
    </row>
    <row r="4796" spans="15:61" hidden="1">
      <c r="O4796" s="57"/>
      <c r="P4796" s="57"/>
      <c r="AP4796" s="57"/>
      <c r="BA4796" s="57"/>
      <c r="BF4796" s="6" t="e">
        <f t="shared" si="222"/>
        <v>#NUM!</v>
      </c>
      <c r="BG4796" t="e">
        <f t="shared" si="223"/>
        <v>#NUM!</v>
      </c>
      <c r="BH4796" t="e">
        <f t="shared" si="224"/>
        <v>#NUM!</v>
      </c>
      <c r="BI4796" t="e">
        <f>VLOOKUP(H4796,Sheet2!$A$1:$B$270,2,FALSE)</f>
        <v>#N/A</v>
      </c>
    </row>
    <row r="4797" spans="15:61" hidden="1">
      <c r="O4797" s="57"/>
      <c r="P4797" s="57"/>
      <c r="AP4797" s="57"/>
      <c r="BA4797" s="57"/>
      <c r="BF4797" s="6" t="e">
        <f t="shared" si="222"/>
        <v>#NUM!</v>
      </c>
      <c r="BG4797" t="e">
        <f t="shared" si="223"/>
        <v>#NUM!</v>
      </c>
      <c r="BH4797" t="e">
        <f t="shared" si="224"/>
        <v>#NUM!</v>
      </c>
      <c r="BI4797" t="e">
        <f>VLOOKUP(H4797,Sheet2!$A$1:$B$270,2,FALSE)</f>
        <v>#N/A</v>
      </c>
    </row>
    <row r="4798" spans="15:61" hidden="1">
      <c r="O4798" s="57"/>
      <c r="P4798" s="57"/>
      <c r="AP4798" s="57"/>
      <c r="BA4798" s="57"/>
      <c r="BF4798" s="6" t="e">
        <f t="shared" si="222"/>
        <v>#NUM!</v>
      </c>
      <c r="BG4798" t="e">
        <f t="shared" si="223"/>
        <v>#NUM!</v>
      </c>
      <c r="BH4798" t="e">
        <f t="shared" si="224"/>
        <v>#NUM!</v>
      </c>
      <c r="BI4798" t="e">
        <f>VLOOKUP(H4798,Sheet2!$A$1:$B$270,2,FALSE)</f>
        <v>#N/A</v>
      </c>
    </row>
    <row r="4799" spans="15:61" hidden="1">
      <c r="O4799" s="57"/>
      <c r="P4799" s="57"/>
      <c r="AP4799" s="57"/>
      <c r="BA4799" s="57"/>
      <c r="BF4799" s="6" t="e">
        <f t="shared" si="222"/>
        <v>#NUM!</v>
      </c>
      <c r="BG4799" t="e">
        <f t="shared" si="223"/>
        <v>#NUM!</v>
      </c>
      <c r="BH4799" t="e">
        <f t="shared" si="224"/>
        <v>#NUM!</v>
      </c>
      <c r="BI4799" t="e">
        <f>VLOOKUP(H4799,Sheet2!$A$1:$B$270,2,FALSE)</f>
        <v>#N/A</v>
      </c>
    </row>
    <row r="4800" spans="15:61" hidden="1">
      <c r="O4800" s="57"/>
      <c r="P4800" s="57"/>
      <c r="AP4800" s="57"/>
      <c r="BA4800" s="57"/>
      <c r="BF4800" s="6" t="e">
        <f t="shared" si="222"/>
        <v>#NUM!</v>
      </c>
      <c r="BG4800" t="e">
        <f t="shared" si="223"/>
        <v>#NUM!</v>
      </c>
      <c r="BH4800" t="e">
        <f t="shared" si="224"/>
        <v>#NUM!</v>
      </c>
      <c r="BI4800" t="e">
        <f>VLOOKUP(H4800,Sheet2!$A$1:$B$270,2,FALSE)</f>
        <v>#N/A</v>
      </c>
    </row>
    <row r="4801" spans="15:61" hidden="1">
      <c r="O4801" s="57"/>
      <c r="P4801" s="57"/>
      <c r="AP4801" s="57"/>
      <c r="BA4801" s="57"/>
      <c r="BF4801" s="6" t="e">
        <f t="shared" si="222"/>
        <v>#NUM!</v>
      </c>
      <c r="BG4801" t="e">
        <f t="shared" si="223"/>
        <v>#NUM!</v>
      </c>
      <c r="BH4801" t="e">
        <f t="shared" si="224"/>
        <v>#NUM!</v>
      </c>
      <c r="BI4801" t="e">
        <f>VLOOKUP(H4801,Sheet2!$A$1:$B$270,2,FALSE)</f>
        <v>#N/A</v>
      </c>
    </row>
    <row r="4802" spans="15:61" hidden="1">
      <c r="O4802" s="57"/>
      <c r="P4802" s="57"/>
      <c r="AP4802" s="57"/>
      <c r="BA4802" s="57"/>
      <c r="BF4802" s="6" t="e">
        <f t="shared" ref="BF4802:BF4865" si="225">DATE(BC4802,BD4802,BE4802)</f>
        <v>#NUM!</v>
      </c>
      <c r="BG4802" t="e">
        <f t="shared" ref="BG4802:BG4865" si="226">BF4802-BA4802</f>
        <v>#NUM!</v>
      </c>
      <c r="BH4802" t="e">
        <f t="shared" ref="BH4802:BH4865" si="227">IF(BG4802=1,"COMPLY",IF(BG4802&lt;1,"COMPLY","NOT COMPLY"))</f>
        <v>#NUM!</v>
      </c>
      <c r="BI4802" t="e">
        <f>VLOOKUP(H4802,Sheet2!$A$1:$B$270,2,FALSE)</f>
        <v>#N/A</v>
      </c>
    </row>
    <row r="4803" spans="15:61" hidden="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 hidden="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 hidden="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 hidden="1">
      <c r="O4806" s="57"/>
      <c r="P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 hidden="1">
      <c r="O4807" s="57"/>
      <c r="P4807" s="57"/>
      <c r="AP4807" s="57"/>
      <c r="BA4807" s="57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 hidden="1">
      <c r="O4808" s="57"/>
      <c r="P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 hidden="1">
      <c r="O4809" s="57"/>
      <c r="P4809" s="57"/>
      <c r="AP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 hidden="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 hidden="1">
      <c r="O4811" s="57"/>
      <c r="P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 hidden="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 hidden="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 hidden="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 hidden="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 hidden="1">
      <c r="O4816" s="57"/>
      <c r="P4816" s="57"/>
      <c r="AP4816" s="57"/>
      <c r="BA4816" s="57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 hidden="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 hidden="1">
      <c r="O4818" s="57"/>
      <c r="P4818" s="57"/>
      <c r="A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 hidden="1">
      <c r="O4819" s="57"/>
      <c r="P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 hidden="1">
      <c r="O4820" s="57"/>
      <c r="P4820" s="57"/>
      <c r="AP4820" s="57"/>
      <c r="BA4820" s="57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 hidden="1">
      <c r="O4821" s="57"/>
      <c r="P4821" s="57"/>
      <c r="AP4821" s="57"/>
      <c r="BA4821" s="57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 hidden="1">
      <c r="O4822" s="57"/>
      <c r="P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 hidden="1">
      <c r="O4823" s="57"/>
      <c r="P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 hidden="1">
      <c r="O4824" s="57"/>
      <c r="P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 hidden="1">
      <c r="O4825" s="57"/>
      <c r="P4825" s="57"/>
      <c r="AP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 hidden="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 hidden="1">
      <c r="O4827" s="57"/>
      <c r="P4827" s="57"/>
      <c r="A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 hidden="1">
      <c r="O4828" s="57"/>
      <c r="P4828" s="57"/>
      <c r="AP4828" s="57"/>
      <c r="BA4828" s="57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 hidden="1">
      <c r="O4829" s="57"/>
      <c r="P4829" s="57"/>
      <c r="AP4829" s="57"/>
      <c r="BA4829" s="57"/>
      <c r="BF4829" s="6" t="e">
        <f t="shared" si="225"/>
        <v>#NUM!</v>
      </c>
      <c r="BG4829" t="e">
        <f t="shared" si="226"/>
        <v>#NUM!</v>
      </c>
      <c r="BH4829" t="e">
        <f t="shared" si="227"/>
        <v>#NUM!</v>
      </c>
      <c r="BI4829" t="e">
        <f>VLOOKUP(H4829,Sheet2!$A$1:$B$270,2,FALSE)</f>
        <v>#N/A</v>
      </c>
    </row>
    <row r="4830" spans="15:61" hidden="1">
      <c r="O4830" s="57"/>
      <c r="P4830" s="57"/>
      <c r="AP4830" s="57"/>
      <c r="BA4830" s="57"/>
      <c r="BF4830" s="6" t="e">
        <f t="shared" si="225"/>
        <v>#NUM!</v>
      </c>
      <c r="BG4830" t="e">
        <f t="shared" si="226"/>
        <v>#NUM!</v>
      </c>
      <c r="BH4830" t="e">
        <f t="shared" si="227"/>
        <v>#NUM!</v>
      </c>
      <c r="BI4830" t="e">
        <f>VLOOKUP(H4830,Sheet2!$A$1:$B$270,2,FALSE)</f>
        <v>#N/A</v>
      </c>
    </row>
    <row r="4831" spans="15:61" hidden="1">
      <c r="O4831" s="57"/>
      <c r="P4831" s="57"/>
      <c r="AP4831" s="57"/>
      <c r="BA4831" s="57"/>
      <c r="BF4831" s="6" t="e">
        <f t="shared" si="225"/>
        <v>#NUM!</v>
      </c>
      <c r="BG4831" t="e">
        <f t="shared" si="226"/>
        <v>#NUM!</v>
      </c>
      <c r="BH4831" t="e">
        <f t="shared" si="227"/>
        <v>#NUM!</v>
      </c>
      <c r="BI4831" t="e">
        <f>VLOOKUP(H4831,Sheet2!$A$1:$B$270,2,FALSE)</f>
        <v>#N/A</v>
      </c>
    </row>
    <row r="4832" spans="15:61" hidden="1">
      <c r="O4832" s="57"/>
      <c r="P4832" s="57"/>
      <c r="AP4832" s="57"/>
      <c r="BA4832" s="57"/>
      <c r="BF4832" s="6" t="e">
        <f t="shared" si="225"/>
        <v>#NUM!</v>
      </c>
      <c r="BG4832" t="e">
        <f t="shared" si="226"/>
        <v>#NUM!</v>
      </c>
      <c r="BH4832" t="e">
        <f t="shared" si="227"/>
        <v>#NUM!</v>
      </c>
      <c r="BI4832" t="e">
        <f>VLOOKUP(H4832,Sheet2!$A$1:$B$270,2,FALSE)</f>
        <v>#N/A</v>
      </c>
    </row>
    <row r="4833" spans="15:61" hidden="1">
      <c r="O4833" s="57"/>
      <c r="P4833" s="57"/>
      <c r="AP4833" s="57"/>
      <c r="BA4833" s="57"/>
      <c r="BF4833" s="6" t="e">
        <f t="shared" si="225"/>
        <v>#NUM!</v>
      </c>
      <c r="BG4833" t="e">
        <f t="shared" si="226"/>
        <v>#NUM!</v>
      </c>
      <c r="BH4833" t="e">
        <f t="shared" si="227"/>
        <v>#NUM!</v>
      </c>
      <c r="BI4833" t="e">
        <f>VLOOKUP(H4833,Sheet2!$A$1:$B$270,2,FALSE)</f>
        <v>#N/A</v>
      </c>
    </row>
    <row r="4834" spans="15:61" hidden="1">
      <c r="O4834" s="57"/>
      <c r="P4834" s="57"/>
      <c r="AP4834" s="57"/>
      <c r="BA4834" s="57"/>
      <c r="BF4834" s="6" t="e">
        <f t="shared" si="225"/>
        <v>#NUM!</v>
      </c>
      <c r="BG4834" t="e">
        <f t="shared" si="226"/>
        <v>#NUM!</v>
      </c>
      <c r="BH4834" t="e">
        <f t="shared" si="227"/>
        <v>#NUM!</v>
      </c>
      <c r="BI4834" t="e">
        <f>VLOOKUP(H4834,Sheet2!$A$1:$B$270,2,FALSE)</f>
        <v>#N/A</v>
      </c>
    </row>
    <row r="4835" spans="15:61" hidden="1">
      <c r="O4835" s="57"/>
      <c r="P4835" s="57"/>
      <c r="AP4835" s="57"/>
      <c r="BA4835" s="57"/>
      <c r="BF4835" s="6" t="e">
        <f t="shared" si="225"/>
        <v>#NUM!</v>
      </c>
      <c r="BG4835" t="e">
        <f t="shared" si="226"/>
        <v>#NUM!</v>
      </c>
      <c r="BH4835" t="e">
        <f t="shared" si="227"/>
        <v>#NUM!</v>
      </c>
      <c r="BI4835" t="e">
        <f>VLOOKUP(H4835,Sheet2!$A$1:$B$270,2,FALSE)</f>
        <v>#N/A</v>
      </c>
    </row>
    <row r="4836" spans="15:61" hidden="1">
      <c r="O4836" s="57"/>
      <c r="P4836" s="57"/>
      <c r="AP4836" s="57"/>
      <c r="BA4836" s="57"/>
      <c r="BF4836" s="6" t="e">
        <f t="shared" si="225"/>
        <v>#NUM!</v>
      </c>
      <c r="BG4836" t="e">
        <f t="shared" si="226"/>
        <v>#NUM!</v>
      </c>
      <c r="BH4836" t="e">
        <f t="shared" si="227"/>
        <v>#NUM!</v>
      </c>
      <c r="BI4836" t="e">
        <f>VLOOKUP(H4836,Sheet2!$A$1:$B$270,2,FALSE)</f>
        <v>#N/A</v>
      </c>
    </row>
    <row r="4837" spans="15:61" hidden="1">
      <c r="O4837" s="57"/>
      <c r="P4837" s="57"/>
      <c r="AP4837" s="57"/>
      <c r="BA4837" s="57"/>
      <c r="BF4837" s="6" t="e">
        <f t="shared" si="225"/>
        <v>#NUM!</v>
      </c>
      <c r="BG4837" t="e">
        <f t="shared" si="226"/>
        <v>#NUM!</v>
      </c>
      <c r="BH4837" t="e">
        <f t="shared" si="227"/>
        <v>#NUM!</v>
      </c>
      <c r="BI4837" t="e">
        <f>VLOOKUP(H4837,Sheet2!$A$1:$B$270,2,FALSE)</f>
        <v>#N/A</v>
      </c>
    </row>
    <row r="4838" spans="15:61" hidden="1">
      <c r="O4838" s="57"/>
      <c r="P4838" s="57"/>
      <c r="AP4838" s="57"/>
      <c r="BA4838" s="57"/>
      <c r="BF4838" s="6" t="e">
        <f t="shared" si="225"/>
        <v>#NUM!</v>
      </c>
      <c r="BG4838" t="e">
        <f t="shared" si="226"/>
        <v>#NUM!</v>
      </c>
      <c r="BH4838" t="e">
        <f t="shared" si="227"/>
        <v>#NUM!</v>
      </c>
      <c r="BI4838" t="e">
        <f>VLOOKUP(H4838,Sheet2!$A$1:$B$270,2,FALSE)</f>
        <v>#N/A</v>
      </c>
    </row>
    <row r="4839" spans="15:61" hidden="1">
      <c r="O4839" s="57"/>
      <c r="P4839" s="57"/>
      <c r="AP4839" s="57"/>
      <c r="BA4839" s="57"/>
      <c r="BF4839" s="6" t="e">
        <f t="shared" si="225"/>
        <v>#NUM!</v>
      </c>
      <c r="BG4839" t="e">
        <f t="shared" si="226"/>
        <v>#NUM!</v>
      </c>
      <c r="BH4839" t="e">
        <f t="shared" si="227"/>
        <v>#NUM!</v>
      </c>
      <c r="BI4839" t="e">
        <f>VLOOKUP(H4839,Sheet2!$A$1:$B$270,2,FALSE)</f>
        <v>#N/A</v>
      </c>
    </row>
    <row r="4840" spans="15:61" hidden="1">
      <c r="O4840" s="57"/>
      <c r="P4840" s="57"/>
      <c r="AP4840" s="57"/>
      <c r="BA4840" s="57"/>
      <c r="BF4840" s="6" t="e">
        <f t="shared" si="225"/>
        <v>#NUM!</v>
      </c>
      <c r="BG4840" t="e">
        <f t="shared" si="226"/>
        <v>#NUM!</v>
      </c>
      <c r="BH4840" t="e">
        <f t="shared" si="227"/>
        <v>#NUM!</v>
      </c>
      <c r="BI4840" t="e">
        <f>VLOOKUP(H4840,Sheet2!$A$1:$B$270,2,FALSE)</f>
        <v>#N/A</v>
      </c>
    </row>
    <row r="4841" spans="15:61" hidden="1">
      <c r="O4841" s="57"/>
      <c r="P4841" s="57"/>
      <c r="AP4841" s="57"/>
      <c r="BA4841" s="57"/>
      <c r="BF4841" s="6" t="e">
        <f t="shared" si="225"/>
        <v>#NUM!</v>
      </c>
      <c r="BG4841" t="e">
        <f t="shared" si="226"/>
        <v>#NUM!</v>
      </c>
      <c r="BH4841" t="e">
        <f t="shared" si="227"/>
        <v>#NUM!</v>
      </c>
      <c r="BI4841" t="e">
        <f>VLOOKUP(H4841,Sheet2!$A$1:$B$270,2,FALSE)</f>
        <v>#N/A</v>
      </c>
    </row>
    <row r="4842" spans="15:61" hidden="1">
      <c r="O4842" s="57"/>
      <c r="P4842" s="57"/>
      <c r="AP4842" s="57"/>
      <c r="BA4842" s="57"/>
      <c r="BF4842" s="6" t="e">
        <f t="shared" si="225"/>
        <v>#NUM!</v>
      </c>
      <c r="BG4842" t="e">
        <f t="shared" si="226"/>
        <v>#NUM!</v>
      </c>
      <c r="BH4842" t="e">
        <f t="shared" si="227"/>
        <v>#NUM!</v>
      </c>
      <c r="BI4842" t="e">
        <f>VLOOKUP(H4842,Sheet2!$A$1:$B$270,2,FALSE)</f>
        <v>#N/A</v>
      </c>
    </row>
    <row r="4843" spans="15:61" hidden="1">
      <c r="O4843" s="57"/>
      <c r="P4843" s="57"/>
      <c r="AP4843" s="57"/>
      <c r="BA4843" s="57"/>
      <c r="BF4843" s="6" t="e">
        <f t="shared" si="225"/>
        <v>#NUM!</v>
      </c>
      <c r="BG4843" t="e">
        <f t="shared" si="226"/>
        <v>#NUM!</v>
      </c>
      <c r="BH4843" t="e">
        <f t="shared" si="227"/>
        <v>#NUM!</v>
      </c>
      <c r="BI4843" t="e">
        <f>VLOOKUP(H4843,Sheet2!$A$1:$B$270,2,FALSE)</f>
        <v>#N/A</v>
      </c>
    </row>
    <row r="4844" spans="15:61" hidden="1">
      <c r="O4844" s="57"/>
      <c r="P4844" s="57"/>
      <c r="AP4844" s="57"/>
      <c r="BA4844" s="57"/>
      <c r="BF4844" s="6" t="e">
        <f t="shared" si="225"/>
        <v>#NUM!</v>
      </c>
      <c r="BG4844" t="e">
        <f t="shared" si="226"/>
        <v>#NUM!</v>
      </c>
      <c r="BH4844" t="e">
        <f t="shared" si="227"/>
        <v>#NUM!</v>
      </c>
      <c r="BI4844" t="e">
        <f>VLOOKUP(H4844,Sheet2!$A$1:$B$270,2,FALSE)</f>
        <v>#N/A</v>
      </c>
    </row>
    <row r="4845" spans="15:61" hidden="1">
      <c r="O4845" s="57"/>
      <c r="P4845" s="57"/>
      <c r="AP4845" s="57"/>
      <c r="BA4845" s="57"/>
      <c r="BF4845" s="6" t="e">
        <f t="shared" si="225"/>
        <v>#NUM!</v>
      </c>
      <c r="BG4845" t="e">
        <f t="shared" si="226"/>
        <v>#NUM!</v>
      </c>
      <c r="BH4845" t="e">
        <f t="shared" si="227"/>
        <v>#NUM!</v>
      </c>
      <c r="BI4845" t="e">
        <f>VLOOKUP(H4845,Sheet2!$A$1:$B$270,2,FALSE)</f>
        <v>#N/A</v>
      </c>
    </row>
    <row r="4846" spans="15:61" hidden="1">
      <c r="O4846" s="57"/>
      <c r="P4846" s="57"/>
      <c r="AP4846" s="57"/>
      <c r="BA4846" s="57"/>
      <c r="BF4846" s="6" t="e">
        <f t="shared" si="225"/>
        <v>#NUM!</v>
      </c>
      <c r="BG4846" t="e">
        <f t="shared" si="226"/>
        <v>#NUM!</v>
      </c>
      <c r="BH4846" t="e">
        <f t="shared" si="227"/>
        <v>#NUM!</v>
      </c>
      <c r="BI4846" t="e">
        <f>VLOOKUP(H4846,Sheet2!$A$1:$B$270,2,FALSE)</f>
        <v>#N/A</v>
      </c>
    </row>
    <row r="4847" spans="15:61" hidden="1">
      <c r="O4847" s="57"/>
      <c r="P4847" s="57"/>
      <c r="AP4847" s="57"/>
      <c r="BA4847" s="57"/>
      <c r="BF4847" s="6" t="e">
        <f t="shared" si="225"/>
        <v>#NUM!</v>
      </c>
      <c r="BG4847" t="e">
        <f t="shared" si="226"/>
        <v>#NUM!</v>
      </c>
      <c r="BH4847" t="e">
        <f t="shared" si="227"/>
        <v>#NUM!</v>
      </c>
      <c r="BI4847" t="e">
        <f>VLOOKUP(H4847,Sheet2!$A$1:$B$270,2,FALSE)</f>
        <v>#N/A</v>
      </c>
    </row>
    <row r="4848" spans="15:61" hidden="1">
      <c r="O4848" s="57"/>
      <c r="P4848" s="57"/>
      <c r="AP4848" s="57"/>
      <c r="BA4848" s="57"/>
      <c r="BF4848" s="6" t="e">
        <f t="shared" si="225"/>
        <v>#NUM!</v>
      </c>
      <c r="BG4848" t="e">
        <f t="shared" si="226"/>
        <v>#NUM!</v>
      </c>
      <c r="BH4848" t="e">
        <f t="shared" si="227"/>
        <v>#NUM!</v>
      </c>
      <c r="BI4848" t="e">
        <f>VLOOKUP(H4848,Sheet2!$A$1:$B$270,2,FALSE)</f>
        <v>#N/A</v>
      </c>
    </row>
    <row r="4849" spans="15:61" hidden="1">
      <c r="O4849" s="57"/>
      <c r="P4849" s="57"/>
      <c r="AP4849" s="57"/>
      <c r="BA4849" s="57"/>
      <c r="BF4849" s="6" t="e">
        <f t="shared" si="225"/>
        <v>#NUM!</v>
      </c>
      <c r="BG4849" t="e">
        <f t="shared" si="226"/>
        <v>#NUM!</v>
      </c>
      <c r="BH4849" t="e">
        <f t="shared" si="227"/>
        <v>#NUM!</v>
      </c>
      <c r="BI4849" t="e">
        <f>VLOOKUP(H4849,Sheet2!$A$1:$B$270,2,FALSE)</f>
        <v>#N/A</v>
      </c>
    </row>
    <row r="4850" spans="15:61" hidden="1">
      <c r="O4850" s="57"/>
      <c r="P4850" s="57"/>
      <c r="AP4850" s="57"/>
      <c r="BA4850" s="57"/>
      <c r="BF4850" s="6" t="e">
        <f t="shared" si="225"/>
        <v>#NUM!</v>
      </c>
      <c r="BG4850" t="e">
        <f t="shared" si="226"/>
        <v>#NUM!</v>
      </c>
      <c r="BH4850" t="e">
        <f t="shared" si="227"/>
        <v>#NUM!</v>
      </c>
      <c r="BI4850" t="e">
        <f>VLOOKUP(H4850,Sheet2!$A$1:$B$270,2,FALSE)</f>
        <v>#N/A</v>
      </c>
    </row>
    <row r="4851" spans="15:61" hidden="1">
      <c r="O4851" s="57"/>
      <c r="P4851" s="57"/>
      <c r="AP4851" s="57"/>
      <c r="BA4851" s="57"/>
      <c r="BF4851" s="6" t="e">
        <f t="shared" si="225"/>
        <v>#NUM!</v>
      </c>
      <c r="BG4851" t="e">
        <f t="shared" si="226"/>
        <v>#NUM!</v>
      </c>
      <c r="BH4851" t="e">
        <f t="shared" si="227"/>
        <v>#NUM!</v>
      </c>
      <c r="BI4851" t="e">
        <f>VLOOKUP(H4851,Sheet2!$A$1:$B$270,2,FALSE)</f>
        <v>#N/A</v>
      </c>
    </row>
    <row r="4852" spans="15:61" hidden="1">
      <c r="O4852" s="57"/>
      <c r="P4852" s="57"/>
      <c r="AP4852" s="57"/>
      <c r="BA4852" s="57"/>
      <c r="BF4852" s="6" t="e">
        <f t="shared" si="225"/>
        <v>#NUM!</v>
      </c>
      <c r="BG4852" t="e">
        <f t="shared" si="226"/>
        <v>#NUM!</v>
      </c>
      <c r="BH4852" t="e">
        <f t="shared" si="227"/>
        <v>#NUM!</v>
      </c>
      <c r="BI4852" t="e">
        <f>VLOOKUP(H4852,Sheet2!$A$1:$B$270,2,FALSE)</f>
        <v>#N/A</v>
      </c>
    </row>
    <row r="4853" spans="15:61" hidden="1">
      <c r="O4853" s="57"/>
      <c r="P4853" s="57"/>
      <c r="AP4853" s="57"/>
      <c r="BA4853" s="57"/>
      <c r="BF4853" s="6" t="e">
        <f t="shared" si="225"/>
        <v>#NUM!</v>
      </c>
      <c r="BG4853" t="e">
        <f t="shared" si="226"/>
        <v>#NUM!</v>
      </c>
      <c r="BH4853" t="e">
        <f t="shared" si="227"/>
        <v>#NUM!</v>
      </c>
      <c r="BI4853" t="e">
        <f>VLOOKUP(H4853,Sheet2!$A$1:$B$270,2,FALSE)</f>
        <v>#N/A</v>
      </c>
    </row>
    <row r="4854" spans="15:61" hidden="1">
      <c r="O4854" s="57"/>
      <c r="P4854" s="57"/>
      <c r="AP4854" s="57"/>
      <c r="BA4854" s="57"/>
      <c r="BF4854" s="6" t="e">
        <f t="shared" si="225"/>
        <v>#NUM!</v>
      </c>
      <c r="BG4854" t="e">
        <f t="shared" si="226"/>
        <v>#NUM!</v>
      </c>
      <c r="BH4854" t="e">
        <f t="shared" si="227"/>
        <v>#NUM!</v>
      </c>
      <c r="BI4854" t="e">
        <f>VLOOKUP(H4854,Sheet2!$A$1:$B$270,2,FALSE)</f>
        <v>#N/A</v>
      </c>
    </row>
    <row r="4855" spans="15:61" hidden="1">
      <c r="O4855" s="57"/>
      <c r="P4855" s="57"/>
      <c r="AP4855" s="57"/>
      <c r="BA4855" s="57"/>
      <c r="BF4855" s="6" t="e">
        <f t="shared" si="225"/>
        <v>#NUM!</v>
      </c>
      <c r="BG4855" t="e">
        <f t="shared" si="226"/>
        <v>#NUM!</v>
      </c>
      <c r="BH4855" t="e">
        <f t="shared" si="227"/>
        <v>#NUM!</v>
      </c>
      <c r="BI4855" t="e">
        <f>VLOOKUP(H4855,Sheet2!$A$1:$B$270,2,FALSE)</f>
        <v>#N/A</v>
      </c>
    </row>
    <row r="4856" spans="15:61" hidden="1">
      <c r="O4856" s="57"/>
      <c r="P4856" s="57"/>
      <c r="AP4856" s="57"/>
      <c r="BA4856" s="57"/>
      <c r="BF4856" s="6" t="e">
        <f t="shared" si="225"/>
        <v>#NUM!</v>
      </c>
      <c r="BG4856" t="e">
        <f t="shared" si="226"/>
        <v>#NUM!</v>
      </c>
      <c r="BH4856" t="e">
        <f t="shared" si="227"/>
        <v>#NUM!</v>
      </c>
      <c r="BI4856" t="e">
        <f>VLOOKUP(H4856,Sheet2!$A$1:$B$270,2,FALSE)</f>
        <v>#N/A</v>
      </c>
    </row>
    <row r="4857" spans="15:61" hidden="1">
      <c r="O4857" s="57"/>
      <c r="P4857" s="57"/>
      <c r="AP4857" s="57"/>
      <c r="BA4857" s="57"/>
      <c r="BF4857" s="6" t="e">
        <f t="shared" si="225"/>
        <v>#NUM!</v>
      </c>
      <c r="BG4857" t="e">
        <f t="shared" si="226"/>
        <v>#NUM!</v>
      </c>
      <c r="BH4857" t="e">
        <f t="shared" si="227"/>
        <v>#NUM!</v>
      </c>
      <c r="BI4857" t="e">
        <f>VLOOKUP(H4857,Sheet2!$A$1:$B$270,2,FALSE)</f>
        <v>#N/A</v>
      </c>
    </row>
    <row r="4858" spans="15:61" hidden="1">
      <c r="O4858" s="57"/>
      <c r="P4858" s="57"/>
      <c r="AP4858" s="57"/>
      <c r="BA4858" s="57"/>
      <c r="BF4858" s="6" t="e">
        <f t="shared" si="225"/>
        <v>#NUM!</v>
      </c>
      <c r="BG4858" t="e">
        <f t="shared" si="226"/>
        <v>#NUM!</v>
      </c>
      <c r="BH4858" t="e">
        <f t="shared" si="227"/>
        <v>#NUM!</v>
      </c>
      <c r="BI4858" t="e">
        <f>VLOOKUP(H4858,Sheet2!$A$1:$B$270,2,FALSE)</f>
        <v>#N/A</v>
      </c>
    </row>
    <row r="4859" spans="15:61" hidden="1">
      <c r="O4859" s="57"/>
      <c r="P4859" s="57"/>
      <c r="AP4859" s="57"/>
      <c r="BA4859" s="57"/>
      <c r="BF4859" s="6" t="e">
        <f t="shared" si="225"/>
        <v>#NUM!</v>
      </c>
      <c r="BG4859" t="e">
        <f t="shared" si="226"/>
        <v>#NUM!</v>
      </c>
      <c r="BH4859" t="e">
        <f t="shared" si="227"/>
        <v>#NUM!</v>
      </c>
      <c r="BI4859" t="e">
        <f>VLOOKUP(H4859,Sheet2!$A$1:$B$270,2,FALSE)</f>
        <v>#N/A</v>
      </c>
    </row>
    <row r="4860" spans="15:61" hidden="1">
      <c r="O4860" s="57"/>
      <c r="P4860" s="57"/>
      <c r="AP4860" s="57"/>
      <c r="BA4860" s="57"/>
      <c r="BF4860" s="6" t="e">
        <f t="shared" si="225"/>
        <v>#NUM!</v>
      </c>
      <c r="BG4860" t="e">
        <f t="shared" si="226"/>
        <v>#NUM!</v>
      </c>
      <c r="BH4860" t="e">
        <f t="shared" si="227"/>
        <v>#NUM!</v>
      </c>
      <c r="BI4860" t="e">
        <f>VLOOKUP(H4860,Sheet2!$A$1:$B$270,2,FALSE)</f>
        <v>#N/A</v>
      </c>
    </row>
    <row r="4861" spans="15:61" hidden="1">
      <c r="O4861" s="57"/>
      <c r="P4861" s="57"/>
      <c r="AP4861" s="57"/>
      <c r="BA4861" s="57"/>
      <c r="BF4861" s="6" t="e">
        <f t="shared" si="225"/>
        <v>#NUM!</v>
      </c>
      <c r="BG4861" t="e">
        <f t="shared" si="226"/>
        <v>#NUM!</v>
      </c>
      <c r="BH4861" t="e">
        <f t="shared" si="227"/>
        <v>#NUM!</v>
      </c>
      <c r="BI4861" t="e">
        <f>VLOOKUP(H4861,Sheet2!$A$1:$B$270,2,FALSE)</f>
        <v>#N/A</v>
      </c>
    </row>
    <row r="4862" spans="15:61" hidden="1">
      <c r="O4862" s="57"/>
      <c r="P4862" s="57"/>
      <c r="AP4862" s="57"/>
      <c r="BA4862" s="57"/>
      <c r="BF4862" s="6" t="e">
        <f t="shared" si="225"/>
        <v>#NUM!</v>
      </c>
      <c r="BG4862" t="e">
        <f t="shared" si="226"/>
        <v>#NUM!</v>
      </c>
      <c r="BH4862" t="e">
        <f t="shared" si="227"/>
        <v>#NUM!</v>
      </c>
      <c r="BI4862" t="e">
        <f>VLOOKUP(H4862,Sheet2!$A$1:$B$270,2,FALSE)</f>
        <v>#N/A</v>
      </c>
    </row>
    <row r="4863" spans="15:61" hidden="1">
      <c r="O4863" s="57"/>
      <c r="P4863" s="57"/>
      <c r="AP4863" s="57"/>
      <c r="BA4863" s="57"/>
      <c r="BF4863" s="6" t="e">
        <f t="shared" si="225"/>
        <v>#NUM!</v>
      </c>
      <c r="BG4863" t="e">
        <f t="shared" si="226"/>
        <v>#NUM!</v>
      </c>
      <c r="BH4863" t="e">
        <f t="shared" si="227"/>
        <v>#NUM!</v>
      </c>
      <c r="BI4863" t="e">
        <f>VLOOKUP(H4863,Sheet2!$A$1:$B$270,2,FALSE)</f>
        <v>#N/A</v>
      </c>
    </row>
    <row r="4864" spans="15:61" hidden="1">
      <c r="O4864" s="57"/>
      <c r="P4864" s="57"/>
      <c r="AP4864" s="57"/>
      <c r="BA4864" s="57"/>
      <c r="BF4864" s="6" t="e">
        <f t="shared" si="225"/>
        <v>#NUM!</v>
      </c>
      <c r="BG4864" t="e">
        <f t="shared" si="226"/>
        <v>#NUM!</v>
      </c>
      <c r="BH4864" t="e">
        <f t="shared" si="227"/>
        <v>#NUM!</v>
      </c>
      <c r="BI4864" t="e">
        <f>VLOOKUP(H4864,Sheet2!$A$1:$B$270,2,FALSE)</f>
        <v>#N/A</v>
      </c>
    </row>
    <row r="4865" spans="15:61" hidden="1">
      <c r="O4865" s="57"/>
      <c r="P4865" s="57"/>
      <c r="AP4865" s="57"/>
      <c r="BA4865" s="57"/>
      <c r="BF4865" s="6" t="e">
        <f t="shared" si="225"/>
        <v>#NUM!</v>
      </c>
      <c r="BG4865" t="e">
        <f t="shared" si="226"/>
        <v>#NUM!</v>
      </c>
      <c r="BH4865" t="e">
        <f t="shared" si="227"/>
        <v>#NUM!</v>
      </c>
      <c r="BI4865" t="e">
        <f>VLOOKUP(H4865,Sheet2!$A$1:$B$270,2,FALSE)</f>
        <v>#N/A</v>
      </c>
    </row>
    <row r="4866" spans="15:61" hidden="1">
      <c r="O4866" s="57"/>
      <c r="P4866" s="57"/>
      <c r="AP4866" s="57"/>
      <c r="BA4866" s="57"/>
      <c r="BF4866" s="6" t="e">
        <f t="shared" ref="BF4866:BF4929" si="228">DATE(BC4866,BD4866,BE4866)</f>
        <v>#NUM!</v>
      </c>
      <c r="BG4866" t="e">
        <f t="shared" ref="BG4866:BG4929" si="229">BF4866-BA4866</f>
        <v>#NUM!</v>
      </c>
      <c r="BH4866" t="e">
        <f t="shared" ref="BH4866:BH4929" si="230">IF(BG4866=1,"COMPLY",IF(BG4866&lt;1,"COMPLY","NOT COMPLY"))</f>
        <v>#NUM!</v>
      </c>
      <c r="BI4866" t="e">
        <f>VLOOKUP(H4866,Sheet2!$A$1:$B$270,2,FALSE)</f>
        <v>#N/A</v>
      </c>
    </row>
    <row r="4867" spans="15:61" hidden="1">
      <c r="O4867" s="57"/>
      <c r="P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 hidden="1">
      <c r="O4868" s="57"/>
      <c r="P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 hidden="1">
      <c r="O4869" s="57"/>
      <c r="P4869" s="57"/>
      <c r="AP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 hidden="1">
      <c r="O4870" s="57"/>
      <c r="P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 hidden="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 hidden="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 hidden="1">
      <c r="O4873" s="57"/>
      <c r="P4873" s="57"/>
      <c r="AP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 hidden="1">
      <c r="O4874" s="57"/>
      <c r="P4874" s="57"/>
      <c r="A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 hidden="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 hidden="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 hidden="1">
      <c r="O4877" s="57"/>
      <c r="P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 hidden="1">
      <c r="O4878" s="57"/>
      <c r="P4878" s="57"/>
      <c r="AP4878" s="57"/>
      <c r="BA4878" s="57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 hidden="1">
      <c r="O4879" s="57"/>
      <c r="P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 hidden="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 hidden="1">
      <c r="O4881" s="57"/>
      <c r="P4881" s="57"/>
      <c r="A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 hidden="1">
      <c r="O4882" s="57"/>
      <c r="P4882" s="57"/>
      <c r="AP4882" s="57"/>
      <c r="BA4882" s="57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 hidden="1">
      <c r="O4883" s="57"/>
      <c r="P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 hidden="1">
      <c r="O4884" s="57"/>
      <c r="P4884" s="57"/>
      <c r="AP4884" s="57"/>
      <c r="BA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 hidden="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 hidden="1">
      <c r="O4886" s="57"/>
      <c r="P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 hidden="1">
      <c r="O4887" s="57"/>
      <c r="P4887" s="57"/>
      <c r="AP4887" s="57"/>
      <c r="BA4887" s="57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 hidden="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 hidden="1">
      <c r="O4889" s="57"/>
      <c r="P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 hidden="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 hidden="1">
      <c r="O4891" s="57"/>
      <c r="P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 hidden="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 hidden="1">
      <c r="O4893" s="57"/>
      <c r="P4893" s="57"/>
      <c r="AP4893" s="57"/>
      <c r="BA4893" s="57"/>
      <c r="BF4893" s="6" t="e">
        <f t="shared" si="228"/>
        <v>#NUM!</v>
      </c>
      <c r="BG4893" t="e">
        <f t="shared" si="229"/>
        <v>#NUM!</v>
      </c>
      <c r="BH4893" t="e">
        <f t="shared" si="230"/>
        <v>#NUM!</v>
      </c>
      <c r="BI4893" t="e">
        <f>VLOOKUP(H4893,Sheet2!$A$1:$B$270,2,FALSE)</f>
        <v>#N/A</v>
      </c>
    </row>
    <row r="4894" spans="15:61" hidden="1">
      <c r="O4894" s="57"/>
      <c r="P4894" s="57"/>
      <c r="AP4894" s="57"/>
      <c r="BA4894" s="57"/>
      <c r="BF4894" s="6" t="e">
        <f t="shared" si="228"/>
        <v>#NUM!</v>
      </c>
      <c r="BG4894" t="e">
        <f t="shared" si="229"/>
        <v>#NUM!</v>
      </c>
      <c r="BH4894" t="e">
        <f t="shared" si="230"/>
        <v>#NUM!</v>
      </c>
      <c r="BI4894" t="e">
        <f>VLOOKUP(H4894,Sheet2!$A$1:$B$270,2,FALSE)</f>
        <v>#N/A</v>
      </c>
    </row>
    <row r="4895" spans="15:61" hidden="1">
      <c r="O4895" s="57"/>
      <c r="P4895" s="57"/>
      <c r="AP4895" s="57"/>
      <c r="BA4895" s="57"/>
      <c r="BF4895" s="6" t="e">
        <f t="shared" si="228"/>
        <v>#NUM!</v>
      </c>
      <c r="BG4895" t="e">
        <f t="shared" si="229"/>
        <v>#NUM!</v>
      </c>
      <c r="BH4895" t="e">
        <f t="shared" si="230"/>
        <v>#NUM!</v>
      </c>
      <c r="BI4895" t="e">
        <f>VLOOKUP(H4895,Sheet2!$A$1:$B$270,2,FALSE)</f>
        <v>#N/A</v>
      </c>
    </row>
    <row r="4896" spans="15:61" hidden="1">
      <c r="O4896" s="57"/>
      <c r="P4896" s="57"/>
      <c r="AP4896" s="57"/>
      <c r="BA4896" s="57"/>
      <c r="BF4896" s="6" t="e">
        <f t="shared" si="228"/>
        <v>#NUM!</v>
      </c>
      <c r="BG4896" t="e">
        <f t="shared" si="229"/>
        <v>#NUM!</v>
      </c>
      <c r="BH4896" t="e">
        <f t="shared" si="230"/>
        <v>#NUM!</v>
      </c>
      <c r="BI4896" t="e">
        <f>VLOOKUP(H4896,Sheet2!$A$1:$B$270,2,FALSE)</f>
        <v>#N/A</v>
      </c>
    </row>
    <row r="4897" spans="15:61" hidden="1">
      <c r="O4897" s="57"/>
      <c r="P4897" s="57"/>
      <c r="AP4897" s="57"/>
      <c r="BA4897" s="57"/>
      <c r="BF4897" s="6" t="e">
        <f t="shared" si="228"/>
        <v>#NUM!</v>
      </c>
      <c r="BG4897" t="e">
        <f t="shared" si="229"/>
        <v>#NUM!</v>
      </c>
      <c r="BH4897" t="e">
        <f t="shared" si="230"/>
        <v>#NUM!</v>
      </c>
      <c r="BI4897" t="e">
        <f>VLOOKUP(H4897,Sheet2!$A$1:$B$270,2,FALSE)</f>
        <v>#N/A</v>
      </c>
    </row>
    <row r="4898" spans="15:61" hidden="1">
      <c r="O4898" s="57"/>
      <c r="P4898" s="57"/>
      <c r="AP4898" s="57"/>
      <c r="BA4898" s="57"/>
      <c r="BF4898" s="6" t="e">
        <f t="shared" si="228"/>
        <v>#NUM!</v>
      </c>
      <c r="BG4898" t="e">
        <f t="shared" si="229"/>
        <v>#NUM!</v>
      </c>
      <c r="BH4898" t="e">
        <f t="shared" si="230"/>
        <v>#NUM!</v>
      </c>
      <c r="BI4898" t="e">
        <f>VLOOKUP(H4898,Sheet2!$A$1:$B$270,2,FALSE)</f>
        <v>#N/A</v>
      </c>
    </row>
    <row r="4899" spans="15:61" hidden="1">
      <c r="O4899" s="57"/>
      <c r="P4899" s="57"/>
      <c r="AP4899" s="57"/>
      <c r="BA4899" s="57"/>
      <c r="BF4899" s="6" t="e">
        <f t="shared" si="228"/>
        <v>#NUM!</v>
      </c>
      <c r="BG4899" t="e">
        <f t="shared" si="229"/>
        <v>#NUM!</v>
      </c>
      <c r="BH4899" t="e">
        <f t="shared" si="230"/>
        <v>#NUM!</v>
      </c>
      <c r="BI4899" t="e">
        <f>VLOOKUP(H4899,Sheet2!$A$1:$B$270,2,FALSE)</f>
        <v>#N/A</v>
      </c>
    </row>
    <row r="4900" spans="15:61" hidden="1">
      <c r="O4900" s="57"/>
      <c r="P4900" s="57"/>
      <c r="AP4900" s="57"/>
      <c r="BA4900" s="57"/>
      <c r="BF4900" s="6" t="e">
        <f t="shared" si="228"/>
        <v>#NUM!</v>
      </c>
      <c r="BG4900" t="e">
        <f t="shared" si="229"/>
        <v>#NUM!</v>
      </c>
      <c r="BH4900" t="e">
        <f t="shared" si="230"/>
        <v>#NUM!</v>
      </c>
      <c r="BI4900" t="e">
        <f>VLOOKUP(H4900,Sheet2!$A$1:$B$270,2,FALSE)</f>
        <v>#N/A</v>
      </c>
    </row>
    <row r="4901" spans="15:61" hidden="1">
      <c r="O4901" s="57"/>
      <c r="P4901" s="57"/>
      <c r="AP4901" s="57"/>
      <c r="BA4901" s="57"/>
      <c r="BF4901" s="6" t="e">
        <f t="shared" si="228"/>
        <v>#NUM!</v>
      </c>
      <c r="BG4901" t="e">
        <f t="shared" si="229"/>
        <v>#NUM!</v>
      </c>
      <c r="BH4901" t="e">
        <f t="shared" si="230"/>
        <v>#NUM!</v>
      </c>
      <c r="BI4901" t="e">
        <f>VLOOKUP(H4901,Sheet2!$A$1:$B$270,2,FALSE)</f>
        <v>#N/A</v>
      </c>
    </row>
    <row r="4902" spans="15:61" hidden="1">
      <c r="O4902" s="57"/>
      <c r="P4902" s="57"/>
      <c r="AP4902" s="57"/>
      <c r="BA4902" s="57"/>
      <c r="BF4902" s="6" t="e">
        <f t="shared" si="228"/>
        <v>#NUM!</v>
      </c>
      <c r="BG4902" t="e">
        <f t="shared" si="229"/>
        <v>#NUM!</v>
      </c>
      <c r="BH4902" t="e">
        <f t="shared" si="230"/>
        <v>#NUM!</v>
      </c>
      <c r="BI4902" t="e">
        <f>VLOOKUP(H4902,Sheet2!$A$1:$B$270,2,FALSE)</f>
        <v>#N/A</v>
      </c>
    </row>
    <row r="4903" spans="15:61" hidden="1">
      <c r="O4903" s="57"/>
      <c r="P4903" s="57"/>
      <c r="AP4903" s="57"/>
      <c r="BA4903" s="57"/>
      <c r="BF4903" s="6" t="e">
        <f t="shared" si="228"/>
        <v>#NUM!</v>
      </c>
      <c r="BG4903" t="e">
        <f t="shared" si="229"/>
        <v>#NUM!</v>
      </c>
      <c r="BH4903" t="e">
        <f t="shared" si="230"/>
        <v>#NUM!</v>
      </c>
      <c r="BI4903" t="e">
        <f>VLOOKUP(H4903,Sheet2!$A$1:$B$270,2,FALSE)</f>
        <v>#N/A</v>
      </c>
    </row>
    <row r="4904" spans="15:61" hidden="1">
      <c r="O4904" s="57"/>
      <c r="P4904" s="57"/>
      <c r="AP4904" s="57"/>
      <c r="BA4904" s="57"/>
      <c r="BF4904" s="6" t="e">
        <f t="shared" si="228"/>
        <v>#NUM!</v>
      </c>
      <c r="BG4904" t="e">
        <f t="shared" si="229"/>
        <v>#NUM!</v>
      </c>
      <c r="BH4904" t="e">
        <f t="shared" si="230"/>
        <v>#NUM!</v>
      </c>
      <c r="BI4904" t="e">
        <f>VLOOKUP(H4904,Sheet2!$A$1:$B$270,2,FALSE)</f>
        <v>#N/A</v>
      </c>
    </row>
    <row r="4905" spans="15:61" hidden="1">
      <c r="O4905" s="57"/>
      <c r="P4905" s="57"/>
      <c r="AP4905" s="57"/>
      <c r="BA4905" s="57"/>
      <c r="BF4905" s="6" t="e">
        <f t="shared" si="228"/>
        <v>#NUM!</v>
      </c>
      <c r="BG4905" t="e">
        <f t="shared" si="229"/>
        <v>#NUM!</v>
      </c>
      <c r="BH4905" t="e">
        <f t="shared" si="230"/>
        <v>#NUM!</v>
      </c>
      <c r="BI4905" t="e">
        <f>VLOOKUP(H4905,Sheet2!$A$1:$B$270,2,FALSE)</f>
        <v>#N/A</v>
      </c>
    </row>
    <row r="4906" spans="15:61" hidden="1">
      <c r="O4906" s="57"/>
      <c r="P4906" s="57"/>
      <c r="AP4906" s="57"/>
      <c r="BA4906" s="57"/>
      <c r="BF4906" s="6" t="e">
        <f t="shared" si="228"/>
        <v>#NUM!</v>
      </c>
      <c r="BG4906" t="e">
        <f t="shared" si="229"/>
        <v>#NUM!</v>
      </c>
      <c r="BH4906" t="e">
        <f t="shared" si="230"/>
        <v>#NUM!</v>
      </c>
      <c r="BI4906" t="e">
        <f>VLOOKUP(H4906,Sheet2!$A$1:$B$270,2,FALSE)</f>
        <v>#N/A</v>
      </c>
    </row>
    <row r="4907" spans="15:61" hidden="1">
      <c r="O4907" s="57"/>
      <c r="P4907" s="57"/>
      <c r="AP4907" s="57"/>
      <c r="BA4907" s="57"/>
      <c r="BF4907" s="6" t="e">
        <f t="shared" si="228"/>
        <v>#NUM!</v>
      </c>
      <c r="BG4907" t="e">
        <f t="shared" si="229"/>
        <v>#NUM!</v>
      </c>
      <c r="BH4907" t="e">
        <f t="shared" si="230"/>
        <v>#NUM!</v>
      </c>
      <c r="BI4907" t="e">
        <f>VLOOKUP(H4907,Sheet2!$A$1:$B$270,2,FALSE)</f>
        <v>#N/A</v>
      </c>
    </row>
    <row r="4908" spans="15:61" hidden="1">
      <c r="O4908" s="57"/>
      <c r="P4908" s="57"/>
      <c r="AP4908" s="57"/>
      <c r="BA4908" s="57"/>
      <c r="BF4908" s="6" t="e">
        <f t="shared" si="228"/>
        <v>#NUM!</v>
      </c>
      <c r="BG4908" t="e">
        <f t="shared" si="229"/>
        <v>#NUM!</v>
      </c>
      <c r="BH4908" t="e">
        <f t="shared" si="230"/>
        <v>#NUM!</v>
      </c>
      <c r="BI4908" t="e">
        <f>VLOOKUP(H4908,Sheet2!$A$1:$B$270,2,FALSE)</f>
        <v>#N/A</v>
      </c>
    </row>
    <row r="4909" spans="15:61" hidden="1">
      <c r="O4909" s="57"/>
      <c r="P4909" s="57"/>
      <c r="AP4909" s="57"/>
      <c r="BA4909" s="57"/>
      <c r="BF4909" s="6" t="e">
        <f t="shared" si="228"/>
        <v>#NUM!</v>
      </c>
      <c r="BG4909" t="e">
        <f t="shared" si="229"/>
        <v>#NUM!</v>
      </c>
      <c r="BH4909" t="e">
        <f t="shared" si="230"/>
        <v>#NUM!</v>
      </c>
      <c r="BI4909" t="e">
        <f>VLOOKUP(H4909,Sheet2!$A$1:$B$270,2,FALSE)</f>
        <v>#N/A</v>
      </c>
    </row>
    <row r="4910" spans="15:61" hidden="1">
      <c r="O4910" s="57"/>
      <c r="P4910" s="57"/>
      <c r="AP4910" s="57"/>
      <c r="BA4910" s="57"/>
      <c r="BF4910" s="6" t="e">
        <f t="shared" si="228"/>
        <v>#NUM!</v>
      </c>
      <c r="BG4910" t="e">
        <f t="shared" si="229"/>
        <v>#NUM!</v>
      </c>
      <c r="BH4910" t="e">
        <f t="shared" si="230"/>
        <v>#NUM!</v>
      </c>
      <c r="BI4910" t="e">
        <f>VLOOKUP(H4910,Sheet2!$A$1:$B$270,2,FALSE)</f>
        <v>#N/A</v>
      </c>
    </row>
    <row r="4911" spans="15:61" hidden="1">
      <c r="O4911" s="57"/>
      <c r="P4911" s="57"/>
      <c r="AP4911" s="57"/>
      <c r="BA4911" s="57"/>
      <c r="BF4911" s="6" t="e">
        <f t="shared" si="228"/>
        <v>#NUM!</v>
      </c>
      <c r="BG4911" t="e">
        <f t="shared" si="229"/>
        <v>#NUM!</v>
      </c>
      <c r="BH4911" t="e">
        <f t="shared" si="230"/>
        <v>#NUM!</v>
      </c>
      <c r="BI4911" t="e">
        <f>VLOOKUP(H4911,Sheet2!$A$1:$B$270,2,FALSE)</f>
        <v>#N/A</v>
      </c>
    </row>
    <row r="4912" spans="15:61" hidden="1">
      <c r="O4912" s="57"/>
      <c r="P4912" s="57"/>
      <c r="AP4912" s="57"/>
      <c r="BA4912" s="57"/>
      <c r="BF4912" s="6" t="e">
        <f t="shared" si="228"/>
        <v>#NUM!</v>
      </c>
      <c r="BG4912" t="e">
        <f t="shared" si="229"/>
        <v>#NUM!</v>
      </c>
      <c r="BH4912" t="e">
        <f t="shared" si="230"/>
        <v>#NUM!</v>
      </c>
      <c r="BI4912" t="e">
        <f>VLOOKUP(H4912,Sheet2!$A$1:$B$270,2,FALSE)</f>
        <v>#N/A</v>
      </c>
    </row>
    <row r="4913" spans="15:61" hidden="1">
      <c r="O4913" s="57"/>
      <c r="P4913" s="57"/>
      <c r="AP4913" s="57"/>
      <c r="BA4913" s="57"/>
      <c r="BF4913" s="6" t="e">
        <f t="shared" si="228"/>
        <v>#NUM!</v>
      </c>
      <c r="BG4913" t="e">
        <f t="shared" si="229"/>
        <v>#NUM!</v>
      </c>
      <c r="BH4913" t="e">
        <f t="shared" si="230"/>
        <v>#NUM!</v>
      </c>
      <c r="BI4913" t="e">
        <f>VLOOKUP(H4913,Sheet2!$A$1:$B$270,2,FALSE)</f>
        <v>#N/A</v>
      </c>
    </row>
    <row r="4914" spans="15:61" hidden="1">
      <c r="O4914" s="57"/>
      <c r="P4914" s="57"/>
      <c r="AP4914" s="57"/>
      <c r="BA4914" s="57"/>
      <c r="BF4914" s="6" t="e">
        <f t="shared" si="228"/>
        <v>#NUM!</v>
      </c>
      <c r="BG4914" t="e">
        <f t="shared" si="229"/>
        <v>#NUM!</v>
      </c>
      <c r="BH4914" t="e">
        <f t="shared" si="230"/>
        <v>#NUM!</v>
      </c>
      <c r="BI4914" t="e">
        <f>VLOOKUP(H4914,Sheet2!$A$1:$B$270,2,FALSE)</f>
        <v>#N/A</v>
      </c>
    </row>
    <row r="4915" spans="15:61" hidden="1">
      <c r="O4915" s="57"/>
      <c r="P4915" s="57"/>
      <c r="AP4915" s="57"/>
      <c r="BA4915" s="57"/>
      <c r="BF4915" s="6" t="e">
        <f t="shared" si="228"/>
        <v>#NUM!</v>
      </c>
      <c r="BG4915" t="e">
        <f t="shared" si="229"/>
        <v>#NUM!</v>
      </c>
      <c r="BH4915" t="e">
        <f t="shared" si="230"/>
        <v>#NUM!</v>
      </c>
      <c r="BI4915" t="e">
        <f>VLOOKUP(H4915,Sheet2!$A$1:$B$270,2,FALSE)</f>
        <v>#N/A</v>
      </c>
    </row>
    <row r="4916" spans="15:61" hidden="1">
      <c r="O4916" s="57"/>
      <c r="P4916" s="57"/>
      <c r="AP4916" s="57"/>
      <c r="BA4916" s="57"/>
      <c r="BF4916" s="6" t="e">
        <f t="shared" si="228"/>
        <v>#NUM!</v>
      </c>
      <c r="BG4916" t="e">
        <f t="shared" si="229"/>
        <v>#NUM!</v>
      </c>
      <c r="BH4916" t="e">
        <f t="shared" si="230"/>
        <v>#NUM!</v>
      </c>
      <c r="BI4916" t="e">
        <f>VLOOKUP(H4916,Sheet2!$A$1:$B$270,2,FALSE)</f>
        <v>#N/A</v>
      </c>
    </row>
    <row r="4917" spans="15:61" hidden="1">
      <c r="O4917" s="57"/>
      <c r="P4917" s="57"/>
      <c r="AP4917" s="57"/>
      <c r="BA4917" s="57"/>
      <c r="BF4917" s="6" t="e">
        <f t="shared" si="228"/>
        <v>#NUM!</v>
      </c>
      <c r="BG4917" t="e">
        <f t="shared" si="229"/>
        <v>#NUM!</v>
      </c>
      <c r="BH4917" t="e">
        <f t="shared" si="230"/>
        <v>#NUM!</v>
      </c>
      <c r="BI4917" t="e">
        <f>VLOOKUP(H4917,Sheet2!$A$1:$B$270,2,FALSE)</f>
        <v>#N/A</v>
      </c>
    </row>
    <row r="4918" spans="15:61" hidden="1">
      <c r="O4918" s="57"/>
      <c r="P4918" s="57"/>
      <c r="AP4918" s="57"/>
      <c r="BA4918" s="57"/>
      <c r="BF4918" s="6" t="e">
        <f t="shared" si="228"/>
        <v>#NUM!</v>
      </c>
      <c r="BG4918" t="e">
        <f t="shared" si="229"/>
        <v>#NUM!</v>
      </c>
      <c r="BH4918" t="e">
        <f t="shared" si="230"/>
        <v>#NUM!</v>
      </c>
      <c r="BI4918" t="e">
        <f>VLOOKUP(H4918,Sheet2!$A$1:$B$270,2,FALSE)</f>
        <v>#N/A</v>
      </c>
    </row>
    <row r="4919" spans="15:61" hidden="1">
      <c r="O4919" s="57"/>
      <c r="P4919" s="57"/>
      <c r="AP4919" s="57"/>
      <c r="BA4919" s="57"/>
      <c r="BF4919" s="6" t="e">
        <f t="shared" si="228"/>
        <v>#NUM!</v>
      </c>
      <c r="BG4919" t="e">
        <f t="shared" si="229"/>
        <v>#NUM!</v>
      </c>
      <c r="BH4919" t="e">
        <f t="shared" si="230"/>
        <v>#NUM!</v>
      </c>
      <c r="BI4919" t="e">
        <f>VLOOKUP(H4919,Sheet2!$A$1:$B$270,2,FALSE)</f>
        <v>#N/A</v>
      </c>
    </row>
    <row r="4920" spans="15:61" hidden="1">
      <c r="O4920" s="57"/>
      <c r="P4920" s="57"/>
      <c r="AP4920" s="57"/>
      <c r="BA4920" s="57"/>
      <c r="BF4920" s="6" t="e">
        <f t="shared" si="228"/>
        <v>#NUM!</v>
      </c>
      <c r="BG4920" t="e">
        <f t="shared" si="229"/>
        <v>#NUM!</v>
      </c>
      <c r="BH4920" t="e">
        <f t="shared" si="230"/>
        <v>#NUM!</v>
      </c>
      <c r="BI4920" t="e">
        <f>VLOOKUP(H4920,Sheet2!$A$1:$B$270,2,FALSE)</f>
        <v>#N/A</v>
      </c>
    </row>
    <row r="4921" spans="15:61" hidden="1">
      <c r="O4921" s="57"/>
      <c r="P4921" s="57"/>
      <c r="AP4921" s="57"/>
      <c r="BA4921" s="57"/>
      <c r="BF4921" s="6" t="e">
        <f t="shared" si="228"/>
        <v>#NUM!</v>
      </c>
      <c r="BG4921" t="e">
        <f t="shared" si="229"/>
        <v>#NUM!</v>
      </c>
      <c r="BH4921" t="e">
        <f t="shared" si="230"/>
        <v>#NUM!</v>
      </c>
      <c r="BI4921" t="e">
        <f>VLOOKUP(H4921,Sheet2!$A$1:$B$270,2,FALSE)</f>
        <v>#N/A</v>
      </c>
    </row>
    <row r="4922" spans="15:61" hidden="1">
      <c r="O4922" s="57"/>
      <c r="P4922" s="57"/>
      <c r="AP4922" s="57"/>
      <c r="BA4922" s="57"/>
      <c r="BF4922" s="6" t="e">
        <f t="shared" si="228"/>
        <v>#NUM!</v>
      </c>
      <c r="BG4922" t="e">
        <f t="shared" si="229"/>
        <v>#NUM!</v>
      </c>
      <c r="BH4922" t="e">
        <f t="shared" si="230"/>
        <v>#NUM!</v>
      </c>
      <c r="BI4922" t="e">
        <f>VLOOKUP(H4922,Sheet2!$A$1:$B$270,2,FALSE)</f>
        <v>#N/A</v>
      </c>
    </row>
    <row r="4923" spans="15:61" hidden="1">
      <c r="O4923" s="57"/>
      <c r="P4923" s="57"/>
      <c r="AP4923" s="57"/>
      <c r="BA4923" s="57"/>
      <c r="BF4923" s="6" t="e">
        <f t="shared" si="228"/>
        <v>#NUM!</v>
      </c>
      <c r="BG4923" t="e">
        <f t="shared" si="229"/>
        <v>#NUM!</v>
      </c>
      <c r="BH4923" t="e">
        <f t="shared" si="230"/>
        <v>#NUM!</v>
      </c>
      <c r="BI4923" t="e">
        <f>VLOOKUP(H4923,Sheet2!$A$1:$B$270,2,FALSE)</f>
        <v>#N/A</v>
      </c>
    </row>
    <row r="4924" spans="15:61" hidden="1">
      <c r="O4924" s="57"/>
      <c r="P4924" s="57"/>
      <c r="AP4924" s="57"/>
      <c r="BA4924" s="57"/>
      <c r="BF4924" s="6" t="e">
        <f t="shared" si="228"/>
        <v>#NUM!</v>
      </c>
      <c r="BG4924" t="e">
        <f t="shared" si="229"/>
        <v>#NUM!</v>
      </c>
      <c r="BH4924" t="e">
        <f t="shared" si="230"/>
        <v>#NUM!</v>
      </c>
      <c r="BI4924" t="e">
        <f>VLOOKUP(H4924,Sheet2!$A$1:$B$270,2,FALSE)</f>
        <v>#N/A</v>
      </c>
    </row>
    <row r="4925" spans="15:61" hidden="1">
      <c r="O4925" s="57"/>
      <c r="P4925" s="57"/>
      <c r="AP4925" s="57"/>
      <c r="BA4925" s="57"/>
      <c r="BF4925" s="6" t="e">
        <f t="shared" si="228"/>
        <v>#NUM!</v>
      </c>
      <c r="BG4925" t="e">
        <f t="shared" si="229"/>
        <v>#NUM!</v>
      </c>
      <c r="BH4925" t="e">
        <f t="shared" si="230"/>
        <v>#NUM!</v>
      </c>
      <c r="BI4925" t="e">
        <f>VLOOKUP(H4925,Sheet2!$A$1:$B$270,2,FALSE)</f>
        <v>#N/A</v>
      </c>
    </row>
    <row r="4926" spans="15:61" hidden="1">
      <c r="O4926" s="57"/>
      <c r="P4926" s="57"/>
      <c r="AP4926" s="57"/>
      <c r="BA4926" s="57"/>
      <c r="BF4926" s="6" t="e">
        <f t="shared" si="228"/>
        <v>#NUM!</v>
      </c>
      <c r="BG4926" t="e">
        <f t="shared" si="229"/>
        <v>#NUM!</v>
      </c>
      <c r="BH4926" t="e">
        <f t="shared" si="230"/>
        <v>#NUM!</v>
      </c>
      <c r="BI4926" t="e">
        <f>VLOOKUP(H4926,Sheet2!$A$1:$B$270,2,FALSE)</f>
        <v>#N/A</v>
      </c>
    </row>
    <row r="4927" spans="15:61" hidden="1">
      <c r="O4927" s="57"/>
      <c r="P4927" s="57"/>
      <c r="AP4927" s="57"/>
      <c r="BA4927" s="57"/>
      <c r="BF4927" s="6" t="e">
        <f t="shared" si="228"/>
        <v>#NUM!</v>
      </c>
      <c r="BG4927" t="e">
        <f t="shared" si="229"/>
        <v>#NUM!</v>
      </c>
      <c r="BH4927" t="e">
        <f t="shared" si="230"/>
        <v>#NUM!</v>
      </c>
      <c r="BI4927" t="e">
        <f>VLOOKUP(H4927,Sheet2!$A$1:$B$270,2,FALSE)</f>
        <v>#N/A</v>
      </c>
    </row>
    <row r="4928" spans="15:61" hidden="1">
      <c r="O4928" s="57"/>
      <c r="P4928" s="57"/>
      <c r="AP4928" s="57"/>
      <c r="BA4928" s="57"/>
      <c r="BF4928" s="6" t="e">
        <f t="shared" si="228"/>
        <v>#NUM!</v>
      </c>
      <c r="BG4928" t="e">
        <f t="shared" si="229"/>
        <v>#NUM!</v>
      </c>
      <c r="BH4928" t="e">
        <f t="shared" si="230"/>
        <v>#NUM!</v>
      </c>
      <c r="BI4928" t="e">
        <f>VLOOKUP(H4928,Sheet2!$A$1:$B$270,2,FALSE)</f>
        <v>#N/A</v>
      </c>
    </row>
    <row r="4929" spans="15:61" hidden="1">
      <c r="O4929" s="57"/>
      <c r="P4929" s="57"/>
      <c r="AP4929" s="57"/>
      <c r="BA4929" s="57"/>
      <c r="BF4929" s="6" t="e">
        <f t="shared" si="228"/>
        <v>#NUM!</v>
      </c>
      <c r="BG4929" t="e">
        <f t="shared" si="229"/>
        <v>#NUM!</v>
      </c>
      <c r="BH4929" t="e">
        <f t="shared" si="230"/>
        <v>#NUM!</v>
      </c>
      <c r="BI4929" t="e">
        <f>VLOOKUP(H4929,Sheet2!$A$1:$B$270,2,FALSE)</f>
        <v>#N/A</v>
      </c>
    </row>
    <row r="4930" spans="15:61" hidden="1">
      <c r="O4930" s="57"/>
      <c r="P4930" s="57"/>
      <c r="AP4930" s="57"/>
      <c r="BA4930" s="57"/>
      <c r="BF4930" s="6" t="e">
        <f t="shared" ref="BF4930:BF4993" si="231">DATE(BC4930,BD4930,BE4930)</f>
        <v>#NUM!</v>
      </c>
      <c r="BG4930" t="e">
        <f t="shared" ref="BG4930:BG4993" si="232">BF4930-BA4930</f>
        <v>#NUM!</v>
      </c>
      <c r="BH4930" t="e">
        <f t="shared" ref="BH4930:BH4993" si="233">IF(BG4930=1,"COMPLY",IF(BG4930&lt;1,"COMPLY","NOT COMPLY"))</f>
        <v>#NUM!</v>
      </c>
      <c r="BI4930" t="e">
        <f>VLOOKUP(H4930,Sheet2!$A$1:$B$270,2,FALSE)</f>
        <v>#N/A</v>
      </c>
    </row>
    <row r="4931" spans="15:61" hidden="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 hidden="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 hidden="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 hidden="1">
      <c r="O4934" s="57"/>
      <c r="P4934" s="57"/>
      <c r="AP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 hidden="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 hidden="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 hidden="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 hidden="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 hidden="1">
      <c r="O4939" s="57"/>
      <c r="P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 hidden="1">
      <c r="O4940" s="57"/>
      <c r="P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 hidden="1">
      <c r="O4941" s="57"/>
      <c r="P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 hidden="1">
      <c r="O4942" s="57"/>
      <c r="P4942" s="57"/>
      <c r="AP4942" s="57"/>
      <c r="BA4942" s="57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 hidden="1">
      <c r="O4943" s="57"/>
      <c r="P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 hidden="1">
      <c r="O4944" s="57"/>
      <c r="P4944" s="57"/>
      <c r="A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 hidden="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 hidden="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 hidden="1">
      <c r="O4947" s="57"/>
      <c r="P4947" s="57"/>
      <c r="AP4947" s="57"/>
      <c r="BA4947" s="57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 hidden="1">
      <c r="O4948" s="57"/>
      <c r="P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 hidden="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 hidden="1">
      <c r="O4950" s="57"/>
      <c r="P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 hidden="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 hidden="1">
      <c r="O4952" s="57"/>
      <c r="P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 hidden="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 hidden="1">
      <c r="O4954" s="57"/>
      <c r="P4954" s="57"/>
      <c r="AP4954" s="57"/>
      <c r="BA4954" s="57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 hidden="1">
      <c r="O4955" s="57"/>
      <c r="P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 hidden="1">
      <c r="O4956" s="57"/>
      <c r="P4956" s="57"/>
      <c r="A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 hidden="1">
      <c r="O4957" s="57"/>
      <c r="P4957" s="57"/>
      <c r="AP4957" s="57"/>
      <c r="BA4957" s="57"/>
      <c r="BF4957" s="6" t="e">
        <f t="shared" si="231"/>
        <v>#NUM!</v>
      </c>
      <c r="BG4957" t="e">
        <f t="shared" si="232"/>
        <v>#NUM!</v>
      </c>
      <c r="BH4957" t="e">
        <f t="shared" si="233"/>
        <v>#NUM!</v>
      </c>
      <c r="BI4957" t="e">
        <f>VLOOKUP(H4957,Sheet2!$A$1:$B$270,2,FALSE)</f>
        <v>#N/A</v>
      </c>
    </row>
    <row r="4958" spans="15:61" hidden="1">
      <c r="O4958" s="57"/>
      <c r="P4958" s="57"/>
      <c r="AP4958" s="57"/>
      <c r="BA4958" s="57"/>
      <c r="BF4958" s="6" t="e">
        <f t="shared" si="231"/>
        <v>#NUM!</v>
      </c>
      <c r="BG4958" t="e">
        <f t="shared" si="232"/>
        <v>#NUM!</v>
      </c>
      <c r="BH4958" t="e">
        <f t="shared" si="233"/>
        <v>#NUM!</v>
      </c>
      <c r="BI4958" t="e">
        <f>VLOOKUP(H4958,Sheet2!$A$1:$B$270,2,FALSE)</f>
        <v>#N/A</v>
      </c>
    </row>
    <row r="4959" spans="15:61" hidden="1">
      <c r="O4959" s="57"/>
      <c r="P4959" s="57"/>
      <c r="AP4959" s="57"/>
      <c r="BA4959" s="57"/>
      <c r="BF4959" s="6" t="e">
        <f t="shared" si="231"/>
        <v>#NUM!</v>
      </c>
      <c r="BG4959" t="e">
        <f t="shared" si="232"/>
        <v>#NUM!</v>
      </c>
      <c r="BH4959" t="e">
        <f t="shared" si="233"/>
        <v>#NUM!</v>
      </c>
      <c r="BI4959" t="e">
        <f>VLOOKUP(H4959,Sheet2!$A$1:$B$270,2,FALSE)</f>
        <v>#N/A</v>
      </c>
    </row>
    <row r="4960" spans="15:61" hidden="1">
      <c r="O4960" s="57"/>
      <c r="P4960" s="57"/>
      <c r="AP4960" s="57"/>
      <c r="BA4960" s="57"/>
      <c r="BF4960" s="6" t="e">
        <f t="shared" si="231"/>
        <v>#NUM!</v>
      </c>
      <c r="BG4960" t="e">
        <f t="shared" si="232"/>
        <v>#NUM!</v>
      </c>
      <c r="BH4960" t="e">
        <f t="shared" si="233"/>
        <v>#NUM!</v>
      </c>
      <c r="BI4960" t="e">
        <f>VLOOKUP(H4960,Sheet2!$A$1:$B$270,2,FALSE)</f>
        <v>#N/A</v>
      </c>
    </row>
    <row r="4961" spans="15:61" hidden="1">
      <c r="O4961" s="57"/>
      <c r="P4961" s="57"/>
      <c r="AP4961" s="57"/>
      <c r="BA4961" s="57"/>
      <c r="BF4961" s="6" t="e">
        <f t="shared" si="231"/>
        <v>#NUM!</v>
      </c>
      <c r="BG4961" t="e">
        <f t="shared" si="232"/>
        <v>#NUM!</v>
      </c>
      <c r="BH4961" t="e">
        <f t="shared" si="233"/>
        <v>#NUM!</v>
      </c>
      <c r="BI4961" t="e">
        <f>VLOOKUP(H4961,Sheet2!$A$1:$B$270,2,FALSE)</f>
        <v>#N/A</v>
      </c>
    </row>
    <row r="4962" spans="15:61" hidden="1">
      <c r="O4962" s="57"/>
      <c r="P4962" s="57"/>
      <c r="AP4962" s="57"/>
      <c r="BA4962" s="57"/>
      <c r="BF4962" s="6" t="e">
        <f t="shared" si="231"/>
        <v>#NUM!</v>
      </c>
      <c r="BG4962" t="e">
        <f t="shared" si="232"/>
        <v>#NUM!</v>
      </c>
      <c r="BH4962" t="e">
        <f t="shared" si="233"/>
        <v>#NUM!</v>
      </c>
      <c r="BI4962" t="e">
        <f>VLOOKUP(H4962,Sheet2!$A$1:$B$270,2,FALSE)</f>
        <v>#N/A</v>
      </c>
    </row>
    <row r="4963" spans="15:61" hidden="1">
      <c r="O4963" s="57"/>
      <c r="P4963" s="57"/>
      <c r="AP4963" s="57"/>
      <c r="BA4963" s="57"/>
      <c r="BF4963" s="6" t="e">
        <f t="shared" si="231"/>
        <v>#NUM!</v>
      </c>
      <c r="BG4963" t="e">
        <f t="shared" si="232"/>
        <v>#NUM!</v>
      </c>
      <c r="BH4963" t="e">
        <f t="shared" si="233"/>
        <v>#NUM!</v>
      </c>
      <c r="BI4963" t="e">
        <f>VLOOKUP(H4963,Sheet2!$A$1:$B$270,2,FALSE)</f>
        <v>#N/A</v>
      </c>
    </row>
    <row r="4964" spans="15:61" hidden="1">
      <c r="O4964" s="57"/>
      <c r="P4964" s="57"/>
      <c r="AP4964" s="57"/>
      <c r="BA4964" s="57"/>
      <c r="BF4964" s="6" t="e">
        <f t="shared" si="231"/>
        <v>#NUM!</v>
      </c>
      <c r="BG4964" t="e">
        <f t="shared" si="232"/>
        <v>#NUM!</v>
      </c>
      <c r="BH4964" t="e">
        <f t="shared" si="233"/>
        <v>#NUM!</v>
      </c>
      <c r="BI4964" t="e">
        <f>VLOOKUP(H4964,Sheet2!$A$1:$B$270,2,FALSE)</f>
        <v>#N/A</v>
      </c>
    </row>
    <row r="4965" spans="15:61" hidden="1">
      <c r="O4965" s="57"/>
      <c r="P4965" s="57"/>
      <c r="AP4965" s="57"/>
      <c r="BA4965" s="57"/>
      <c r="BF4965" s="6" t="e">
        <f t="shared" si="231"/>
        <v>#NUM!</v>
      </c>
      <c r="BG4965" t="e">
        <f t="shared" si="232"/>
        <v>#NUM!</v>
      </c>
      <c r="BH4965" t="e">
        <f t="shared" si="233"/>
        <v>#NUM!</v>
      </c>
      <c r="BI4965" t="e">
        <f>VLOOKUP(H4965,Sheet2!$A$1:$B$270,2,FALSE)</f>
        <v>#N/A</v>
      </c>
    </row>
    <row r="4966" spans="15:61" hidden="1">
      <c r="O4966" s="57"/>
      <c r="P4966" s="57"/>
      <c r="AP4966" s="57"/>
      <c r="BA4966" s="57"/>
      <c r="BF4966" s="6" t="e">
        <f t="shared" si="231"/>
        <v>#NUM!</v>
      </c>
      <c r="BG4966" t="e">
        <f t="shared" si="232"/>
        <v>#NUM!</v>
      </c>
      <c r="BH4966" t="e">
        <f t="shared" si="233"/>
        <v>#NUM!</v>
      </c>
      <c r="BI4966" t="e">
        <f>VLOOKUP(H4966,Sheet2!$A$1:$B$270,2,FALSE)</f>
        <v>#N/A</v>
      </c>
    </row>
    <row r="4967" spans="15:61" hidden="1">
      <c r="O4967" s="57"/>
      <c r="P4967" s="57"/>
      <c r="AP4967" s="57"/>
      <c r="BA4967" s="57"/>
      <c r="BF4967" s="6" t="e">
        <f t="shared" si="231"/>
        <v>#NUM!</v>
      </c>
      <c r="BG4967" t="e">
        <f t="shared" si="232"/>
        <v>#NUM!</v>
      </c>
      <c r="BH4967" t="e">
        <f t="shared" si="233"/>
        <v>#NUM!</v>
      </c>
      <c r="BI4967" t="e">
        <f>VLOOKUP(H4967,Sheet2!$A$1:$B$270,2,FALSE)</f>
        <v>#N/A</v>
      </c>
    </row>
    <row r="4968" spans="15:61" hidden="1">
      <c r="O4968" s="57"/>
      <c r="P4968" s="57"/>
      <c r="AP4968" s="57"/>
      <c r="BA4968" s="57"/>
      <c r="BF4968" s="6" t="e">
        <f t="shared" si="231"/>
        <v>#NUM!</v>
      </c>
      <c r="BG4968" t="e">
        <f t="shared" si="232"/>
        <v>#NUM!</v>
      </c>
      <c r="BH4968" t="e">
        <f t="shared" si="233"/>
        <v>#NUM!</v>
      </c>
      <c r="BI4968" t="e">
        <f>VLOOKUP(H4968,Sheet2!$A$1:$B$270,2,FALSE)</f>
        <v>#N/A</v>
      </c>
    </row>
    <row r="4969" spans="15:61" hidden="1">
      <c r="O4969" s="57"/>
      <c r="P4969" s="57"/>
      <c r="AP4969" s="57"/>
      <c r="BA4969" s="57"/>
      <c r="BF4969" s="6" t="e">
        <f t="shared" si="231"/>
        <v>#NUM!</v>
      </c>
      <c r="BG4969" t="e">
        <f t="shared" si="232"/>
        <v>#NUM!</v>
      </c>
      <c r="BH4969" t="e">
        <f t="shared" si="233"/>
        <v>#NUM!</v>
      </c>
      <c r="BI4969" t="e">
        <f>VLOOKUP(H4969,Sheet2!$A$1:$B$270,2,FALSE)</f>
        <v>#N/A</v>
      </c>
    </row>
    <row r="4970" spans="15:61" hidden="1">
      <c r="O4970" s="57"/>
      <c r="P4970" s="57"/>
      <c r="AP4970" s="57"/>
      <c r="BA4970" s="57"/>
      <c r="BF4970" s="6" t="e">
        <f t="shared" si="231"/>
        <v>#NUM!</v>
      </c>
      <c r="BG4970" t="e">
        <f t="shared" si="232"/>
        <v>#NUM!</v>
      </c>
      <c r="BH4970" t="e">
        <f t="shared" si="233"/>
        <v>#NUM!</v>
      </c>
      <c r="BI4970" t="e">
        <f>VLOOKUP(H4970,Sheet2!$A$1:$B$270,2,FALSE)</f>
        <v>#N/A</v>
      </c>
    </row>
    <row r="4971" spans="15:61" hidden="1">
      <c r="O4971" s="57"/>
      <c r="P4971" s="57"/>
      <c r="AP4971" s="57"/>
      <c r="BA4971" s="57"/>
      <c r="BF4971" s="6" t="e">
        <f t="shared" si="231"/>
        <v>#NUM!</v>
      </c>
      <c r="BG4971" t="e">
        <f t="shared" si="232"/>
        <v>#NUM!</v>
      </c>
      <c r="BH4971" t="e">
        <f t="shared" si="233"/>
        <v>#NUM!</v>
      </c>
      <c r="BI4971" t="e">
        <f>VLOOKUP(H4971,Sheet2!$A$1:$B$270,2,FALSE)</f>
        <v>#N/A</v>
      </c>
    </row>
    <row r="4972" spans="15:61" hidden="1">
      <c r="O4972" s="57"/>
      <c r="P4972" s="57"/>
      <c r="AP4972" s="57"/>
      <c r="BA4972" s="57"/>
      <c r="BF4972" s="6" t="e">
        <f t="shared" si="231"/>
        <v>#NUM!</v>
      </c>
      <c r="BG4972" t="e">
        <f t="shared" si="232"/>
        <v>#NUM!</v>
      </c>
      <c r="BH4972" t="e">
        <f t="shared" si="233"/>
        <v>#NUM!</v>
      </c>
      <c r="BI4972" t="e">
        <f>VLOOKUP(H4972,Sheet2!$A$1:$B$270,2,FALSE)</f>
        <v>#N/A</v>
      </c>
    </row>
    <row r="4973" spans="15:61" hidden="1">
      <c r="O4973" s="57"/>
      <c r="P4973" s="57"/>
      <c r="AP4973" s="57"/>
      <c r="BA4973" s="57"/>
      <c r="BF4973" s="6" t="e">
        <f t="shared" si="231"/>
        <v>#NUM!</v>
      </c>
      <c r="BG4973" t="e">
        <f t="shared" si="232"/>
        <v>#NUM!</v>
      </c>
      <c r="BH4973" t="e">
        <f t="shared" si="233"/>
        <v>#NUM!</v>
      </c>
      <c r="BI4973" t="e">
        <f>VLOOKUP(H4973,Sheet2!$A$1:$B$270,2,FALSE)</f>
        <v>#N/A</v>
      </c>
    </row>
    <row r="4974" spans="15:61" hidden="1">
      <c r="O4974" s="57"/>
      <c r="P4974" s="57"/>
      <c r="AP4974" s="57"/>
      <c r="BA4974" s="57"/>
      <c r="BF4974" s="6" t="e">
        <f t="shared" si="231"/>
        <v>#NUM!</v>
      </c>
      <c r="BG4974" t="e">
        <f t="shared" si="232"/>
        <v>#NUM!</v>
      </c>
      <c r="BH4974" t="e">
        <f t="shared" si="233"/>
        <v>#NUM!</v>
      </c>
      <c r="BI4974" t="e">
        <f>VLOOKUP(H4974,Sheet2!$A$1:$B$270,2,FALSE)</f>
        <v>#N/A</v>
      </c>
    </row>
    <row r="4975" spans="15:61" hidden="1">
      <c r="O4975" s="57"/>
      <c r="P4975" s="57"/>
      <c r="AP4975" s="57"/>
      <c r="BA4975" s="57"/>
      <c r="BF4975" s="6" t="e">
        <f t="shared" si="231"/>
        <v>#NUM!</v>
      </c>
      <c r="BG4975" t="e">
        <f t="shared" si="232"/>
        <v>#NUM!</v>
      </c>
      <c r="BH4975" t="e">
        <f t="shared" si="233"/>
        <v>#NUM!</v>
      </c>
      <c r="BI4975" t="e">
        <f>VLOOKUP(H4975,Sheet2!$A$1:$B$270,2,FALSE)</f>
        <v>#N/A</v>
      </c>
    </row>
    <row r="4976" spans="15:61" hidden="1">
      <c r="O4976" s="57"/>
      <c r="P4976" s="57"/>
      <c r="AP4976" s="57"/>
      <c r="BA4976" s="57"/>
      <c r="BF4976" s="6" t="e">
        <f t="shared" si="231"/>
        <v>#NUM!</v>
      </c>
      <c r="BG4976" t="e">
        <f t="shared" si="232"/>
        <v>#NUM!</v>
      </c>
      <c r="BH4976" t="e">
        <f t="shared" si="233"/>
        <v>#NUM!</v>
      </c>
      <c r="BI4976" t="e">
        <f>VLOOKUP(H4976,Sheet2!$A$1:$B$270,2,FALSE)</f>
        <v>#N/A</v>
      </c>
    </row>
    <row r="4977" spans="15:61" hidden="1">
      <c r="O4977" s="57"/>
      <c r="P4977" s="57"/>
      <c r="AP4977" s="57"/>
      <c r="BA4977" s="57"/>
      <c r="BF4977" s="6" t="e">
        <f t="shared" si="231"/>
        <v>#NUM!</v>
      </c>
      <c r="BG4977" t="e">
        <f t="shared" si="232"/>
        <v>#NUM!</v>
      </c>
      <c r="BH4977" t="e">
        <f t="shared" si="233"/>
        <v>#NUM!</v>
      </c>
      <c r="BI4977" t="e">
        <f>VLOOKUP(H4977,Sheet2!$A$1:$B$270,2,FALSE)</f>
        <v>#N/A</v>
      </c>
    </row>
    <row r="4978" spans="15:61" hidden="1">
      <c r="O4978" s="57"/>
      <c r="P4978" s="57"/>
      <c r="AP4978" s="57"/>
      <c r="BA4978" s="57"/>
      <c r="BF4978" s="6" t="e">
        <f t="shared" si="231"/>
        <v>#NUM!</v>
      </c>
      <c r="BG4978" t="e">
        <f t="shared" si="232"/>
        <v>#NUM!</v>
      </c>
      <c r="BH4978" t="e">
        <f t="shared" si="233"/>
        <v>#NUM!</v>
      </c>
      <c r="BI4978" t="e">
        <f>VLOOKUP(H4978,Sheet2!$A$1:$B$270,2,FALSE)</f>
        <v>#N/A</v>
      </c>
    </row>
    <row r="4979" spans="15:61" hidden="1">
      <c r="O4979" s="57"/>
      <c r="P4979" s="57"/>
      <c r="AP4979" s="57"/>
      <c r="BA4979" s="57"/>
      <c r="BF4979" s="6" t="e">
        <f t="shared" si="231"/>
        <v>#NUM!</v>
      </c>
      <c r="BG4979" t="e">
        <f t="shared" si="232"/>
        <v>#NUM!</v>
      </c>
      <c r="BH4979" t="e">
        <f t="shared" si="233"/>
        <v>#NUM!</v>
      </c>
      <c r="BI4979" t="e">
        <f>VLOOKUP(H4979,Sheet2!$A$1:$B$270,2,FALSE)</f>
        <v>#N/A</v>
      </c>
    </row>
    <row r="4980" spans="15:61" hidden="1">
      <c r="O4980" s="57"/>
      <c r="P4980" s="57"/>
      <c r="AP4980" s="57"/>
      <c r="BA4980" s="57"/>
      <c r="BF4980" s="6" t="e">
        <f t="shared" si="231"/>
        <v>#NUM!</v>
      </c>
      <c r="BG4980" t="e">
        <f t="shared" si="232"/>
        <v>#NUM!</v>
      </c>
      <c r="BH4980" t="e">
        <f t="shared" si="233"/>
        <v>#NUM!</v>
      </c>
      <c r="BI4980" t="e">
        <f>VLOOKUP(H4980,Sheet2!$A$1:$B$270,2,FALSE)</f>
        <v>#N/A</v>
      </c>
    </row>
    <row r="4981" spans="15:61" hidden="1">
      <c r="O4981" s="57"/>
      <c r="P4981" s="57"/>
      <c r="AP4981" s="57"/>
      <c r="BA4981" s="57"/>
      <c r="BF4981" s="6" t="e">
        <f t="shared" si="231"/>
        <v>#NUM!</v>
      </c>
      <c r="BG4981" t="e">
        <f t="shared" si="232"/>
        <v>#NUM!</v>
      </c>
      <c r="BH4981" t="e">
        <f t="shared" si="233"/>
        <v>#NUM!</v>
      </c>
      <c r="BI4981" t="e">
        <f>VLOOKUP(H4981,Sheet2!$A$1:$B$270,2,FALSE)</f>
        <v>#N/A</v>
      </c>
    </row>
    <row r="4982" spans="15:61" hidden="1">
      <c r="O4982" s="57"/>
      <c r="P4982" s="57"/>
      <c r="AP4982" s="57"/>
      <c r="BA4982" s="57"/>
      <c r="BF4982" s="6" t="e">
        <f t="shared" si="231"/>
        <v>#NUM!</v>
      </c>
      <c r="BG4982" t="e">
        <f t="shared" si="232"/>
        <v>#NUM!</v>
      </c>
      <c r="BH4982" t="e">
        <f t="shared" si="233"/>
        <v>#NUM!</v>
      </c>
      <c r="BI4982" t="e">
        <f>VLOOKUP(H4982,Sheet2!$A$1:$B$270,2,FALSE)</f>
        <v>#N/A</v>
      </c>
    </row>
    <row r="4983" spans="15:61" hidden="1">
      <c r="O4983" s="57"/>
      <c r="P4983" s="57"/>
      <c r="AP4983" s="57"/>
      <c r="BA4983" s="57"/>
      <c r="BF4983" s="6" t="e">
        <f t="shared" si="231"/>
        <v>#NUM!</v>
      </c>
      <c r="BG4983" t="e">
        <f t="shared" si="232"/>
        <v>#NUM!</v>
      </c>
      <c r="BH4983" t="e">
        <f t="shared" si="233"/>
        <v>#NUM!</v>
      </c>
      <c r="BI4983" t="e">
        <f>VLOOKUP(H4983,Sheet2!$A$1:$B$270,2,FALSE)</f>
        <v>#N/A</v>
      </c>
    </row>
    <row r="4984" spans="15:61" hidden="1">
      <c r="O4984" s="57"/>
      <c r="P4984" s="57"/>
      <c r="AP4984" s="57"/>
      <c r="BA4984" s="57"/>
      <c r="BF4984" s="6" t="e">
        <f t="shared" si="231"/>
        <v>#NUM!</v>
      </c>
      <c r="BG4984" t="e">
        <f t="shared" si="232"/>
        <v>#NUM!</v>
      </c>
      <c r="BH4984" t="e">
        <f t="shared" si="233"/>
        <v>#NUM!</v>
      </c>
      <c r="BI4984" t="e">
        <f>VLOOKUP(H4984,Sheet2!$A$1:$B$270,2,FALSE)</f>
        <v>#N/A</v>
      </c>
    </row>
    <row r="4985" spans="15:61" hidden="1">
      <c r="O4985" s="57"/>
      <c r="P4985" s="57"/>
      <c r="AP4985" s="57"/>
      <c r="BA4985" s="57"/>
      <c r="BF4985" s="6" t="e">
        <f t="shared" si="231"/>
        <v>#NUM!</v>
      </c>
      <c r="BG4985" t="e">
        <f t="shared" si="232"/>
        <v>#NUM!</v>
      </c>
      <c r="BH4985" t="e">
        <f t="shared" si="233"/>
        <v>#NUM!</v>
      </c>
      <c r="BI4985" t="e">
        <f>VLOOKUP(H4985,Sheet2!$A$1:$B$270,2,FALSE)</f>
        <v>#N/A</v>
      </c>
    </row>
    <row r="4986" spans="15:61" hidden="1">
      <c r="O4986" s="57"/>
      <c r="P4986" s="57"/>
      <c r="AP4986" s="57"/>
      <c r="BA4986" s="57"/>
      <c r="BF4986" s="6" t="e">
        <f t="shared" si="231"/>
        <v>#NUM!</v>
      </c>
      <c r="BG4986" t="e">
        <f t="shared" si="232"/>
        <v>#NUM!</v>
      </c>
      <c r="BH4986" t="e">
        <f t="shared" si="233"/>
        <v>#NUM!</v>
      </c>
      <c r="BI4986" t="e">
        <f>VLOOKUP(H4986,Sheet2!$A$1:$B$270,2,FALSE)</f>
        <v>#N/A</v>
      </c>
    </row>
    <row r="4987" spans="15:61" hidden="1">
      <c r="O4987" s="57"/>
      <c r="P4987" s="57"/>
      <c r="AP4987" s="57"/>
      <c r="BA4987" s="57"/>
      <c r="BF4987" s="6" t="e">
        <f t="shared" si="231"/>
        <v>#NUM!</v>
      </c>
      <c r="BG4987" t="e">
        <f t="shared" si="232"/>
        <v>#NUM!</v>
      </c>
      <c r="BH4987" t="e">
        <f t="shared" si="233"/>
        <v>#NUM!</v>
      </c>
      <c r="BI4987" t="e">
        <f>VLOOKUP(H4987,Sheet2!$A$1:$B$270,2,FALSE)</f>
        <v>#N/A</v>
      </c>
    </row>
    <row r="4988" spans="15:61" hidden="1">
      <c r="O4988" s="57"/>
      <c r="P4988" s="57"/>
      <c r="AP4988" s="57"/>
      <c r="BA4988" s="57"/>
      <c r="BF4988" s="6" t="e">
        <f t="shared" si="231"/>
        <v>#NUM!</v>
      </c>
      <c r="BG4988" t="e">
        <f t="shared" si="232"/>
        <v>#NUM!</v>
      </c>
      <c r="BH4988" t="e">
        <f t="shared" si="233"/>
        <v>#NUM!</v>
      </c>
      <c r="BI4988" t="e">
        <f>VLOOKUP(H4988,Sheet2!$A$1:$B$270,2,FALSE)</f>
        <v>#N/A</v>
      </c>
    </row>
    <row r="4989" spans="15:61" hidden="1">
      <c r="O4989" s="57"/>
      <c r="P4989" s="57"/>
      <c r="AP4989" s="57"/>
      <c r="BA4989" s="57"/>
      <c r="BF4989" s="6" t="e">
        <f t="shared" si="231"/>
        <v>#NUM!</v>
      </c>
      <c r="BG4989" t="e">
        <f t="shared" si="232"/>
        <v>#NUM!</v>
      </c>
      <c r="BH4989" t="e">
        <f t="shared" si="233"/>
        <v>#NUM!</v>
      </c>
      <c r="BI4989" t="e">
        <f>VLOOKUP(H4989,Sheet2!$A$1:$B$270,2,FALSE)</f>
        <v>#N/A</v>
      </c>
    </row>
    <row r="4990" spans="15:61" hidden="1">
      <c r="O4990" s="57"/>
      <c r="P4990" s="57"/>
      <c r="AP4990" s="57"/>
      <c r="BA4990" s="57"/>
      <c r="BF4990" s="6" t="e">
        <f t="shared" si="231"/>
        <v>#NUM!</v>
      </c>
      <c r="BG4990" t="e">
        <f t="shared" si="232"/>
        <v>#NUM!</v>
      </c>
      <c r="BH4990" t="e">
        <f t="shared" si="233"/>
        <v>#NUM!</v>
      </c>
      <c r="BI4990" t="e">
        <f>VLOOKUP(H4990,Sheet2!$A$1:$B$270,2,FALSE)</f>
        <v>#N/A</v>
      </c>
    </row>
    <row r="4991" spans="15:61" hidden="1">
      <c r="O4991" s="57"/>
      <c r="P4991" s="57"/>
      <c r="AP4991" s="57"/>
      <c r="BA4991" s="57"/>
      <c r="BF4991" s="6" t="e">
        <f t="shared" si="231"/>
        <v>#NUM!</v>
      </c>
      <c r="BG4991" t="e">
        <f t="shared" si="232"/>
        <v>#NUM!</v>
      </c>
      <c r="BH4991" t="e">
        <f t="shared" si="233"/>
        <v>#NUM!</v>
      </c>
      <c r="BI4991" t="e">
        <f>VLOOKUP(H4991,Sheet2!$A$1:$B$270,2,FALSE)</f>
        <v>#N/A</v>
      </c>
    </row>
    <row r="4992" spans="15:61" hidden="1">
      <c r="O4992" s="57"/>
      <c r="P4992" s="57"/>
      <c r="AP4992" s="57"/>
      <c r="BA4992" s="57"/>
      <c r="BF4992" s="6" t="e">
        <f t="shared" si="231"/>
        <v>#NUM!</v>
      </c>
      <c r="BG4992" t="e">
        <f t="shared" si="232"/>
        <v>#NUM!</v>
      </c>
      <c r="BH4992" t="e">
        <f t="shared" si="233"/>
        <v>#NUM!</v>
      </c>
      <c r="BI4992" t="e">
        <f>VLOOKUP(H4992,Sheet2!$A$1:$B$270,2,FALSE)</f>
        <v>#N/A</v>
      </c>
    </row>
    <row r="4993" spans="15:61" hidden="1">
      <c r="O4993" s="57"/>
      <c r="P4993" s="57"/>
      <c r="AP4993" s="57"/>
      <c r="BA4993" s="57"/>
      <c r="BF4993" s="6" t="e">
        <f t="shared" si="231"/>
        <v>#NUM!</v>
      </c>
      <c r="BG4993" t="e">
        <f t="shared" si="232"/>
        <v>#NUM!</v>
      </c>
      <c r="BH4993" t="e">
        <f t="shared" si="233"/>
        <v>#NUM!</v>
      </c>
      <c r="BI4993" t="e">
        <f>VLOOKUP(H4993,Sheet2!$A$1:$B$270,2,FALSE)</f>
        <v>#N/A</v>
      </c>
    </row>
    <row r="4994" spans="15:61" hidden="1">
      <c r="O4994" s="57"/>
      <c r="P4994" s="57"/>
      <c r="AP4994" s="57"/>
      <c r="BA4994" s="57"/>
      <c r="BF4994" s="6" t="e">
        <f t="shared" ref="BF4994:BF5057" si="234">DATE(BC4994,BD4994,BE4994)</f>
        <v>#NUM!</v>
      </c>
      <c r="BG4994" t="e">
        <f t="shared" ref="BG4994:BG5057" si="235">BF4994-BA4994</f>
        <v>#NUM!</v>
      </c>
      <c r="BH4994" t="e">
        <f t="shared" ref="BH4994:BH5057" si="236">IF(BG4994=1,"COMPLY",IF(BG4994&lt;1,"COMPLY","NOT COMPLY"))</f>
        <v>#NUM!</v>
      </c>
      <c r="BI4994" t="e">
        <f>VLOOKUP(H4994,Sheet2!$A$1:$B$270,2,FALSE)</f>
        <v>#N/A</v>
      </c>
    </row>
    <row r="4995" spans="15:61" hidden="1">
      <c r="O4995" s="57"/>
      <c r="P4995" s="57"/>
      <c r="AP4995" s="57"/>
      <c r="BA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 hidden="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 hidden="1">
      <c r="O4997" s="57"/>
      <c r="P4997" s="57"/>
      <c r="AP4997" s="57"/>
      <c r="BA4997" s="57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 hidden="1">
      <c r="O4998" s="57"/>
      <c r="P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 hidden="1">
      <c r="O4999" s="57"/>
      <c r="P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 hidden="1">
      <c r="O5000" s="57"/>
      <c r="P5000" s="57"/>
      <c r="AP5000" s="57"/>
      <c r="BA5000" s="57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 hidden="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 hidden="1">
      <c r="O5002" s="57"/>
      <c r="P5002" s="57"/>
      <c r="AP5002" s="57"/>
      <c r="BA5002" s="57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 hidden="1">
      <c r="O5003" s="57"/>
      <c r="P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 hidden="1">
      <c r="O5004" s="57"/>
      <c r="P5004" s="57"/>
      <c r="A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 hidden="1">
      <c r="O5005" s="57"/>
      <c r="P5005" s="57"/>
      <c r="AP5005" s="57"/>
      <c r="BA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 hidden="1">
      <c r="O5006" s="57"/>
      <c r="P5006" s="57"/>
      <c r="AP5006" s="57"/>
      <c r="BA5006" s="57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 hidden="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 hidden="1">
      <c r="O5008" s="57"/>
      <c r="P5008" s="57"/>
      <c r="AP5008" s="57"/>
      <c r="BA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 hidden="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 hidden="1">
      <c r="O5010" s="57"/>
      <c r="P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 hidden="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 hidden="1">
      <c r="O5012" s="57"/>
      <c r="P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 hidden="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 hidden="1">
      <c r="O5014" s="57"/>
      <c r="P5014" s="57"/>
      <c r="AP5014" s="57"/>
      <c r="BA5014" s="57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 hidden="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 hidden="1">
      <c r="O5016" s="57"/>
      <c r="P5016" s="57"/>
      <c r="A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 hidden="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 hidden="1">
      <c r="O5018" s="57"/>
      <c r="P5018" s="57"/>
      <c r="AP5018" s="57"/>
      <c r="BA5018" s="57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 hidden="1">
      <c r="O5019" s="57"/>
      <c r="P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 hidden="1">
      <c r="O5020" s="57"/>
      <c r="P5020" s="57"/>
      <c r="A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 hidden="1">
      <c r="O5021" s="57"/>
      <c r="P5021" s="57"/>
      <c r="AP5021" s="57"/>
      <c r="BA5021" s="57"/>
      <c r="BF5021" s="6" t="e">
        <f t="shared" si="234"/>
        <v>#NUM!</v>
      </c>
      <c r="BG5021" t="e">
        <f t="shared" si="235"/>
        <v>#NUM!</v>
      </c>
      <c r="BH5021" t="e">
        <f t="shared" si="236"/>
        <v>#NUM!</v>
      </c>
      <c r="BI5021" t="e">
        <f>VLOOKUP(H5021,Sheet2!$A$1:$B$270,2,FALSE)</f>
        <v>#N/A</v>
      </c>
    </row>
    <row r="5022" spans="15:61" hidden="1">
      <c r="O5022" s="57"/>
      <c r="P5022" s="57"/>
      <c r="AP5022" s="57"/>
      <c r="BA5022" s="57"/>
      <c r="BF5022" s="6" t="e">
        <f t="shared" si="234"/>
        <v>#NUM!</v>
      </c>
      <c r="BG5022" t="e">
        <f t="shared" si="235"/>
        <v>#NUM!</v>
      </c>
      <c r="BH5022" t="e">
        <f t="shared" si="236"/>
        <v>#NUM!</v>
      </c>
      <c r="BI5022" t="e">
        <f>VLOOKUP(H5022,Sheet2!$A$1:$B$270,2,FALSE)</f>
        <v>#N/A</v>
      </c>
    </row>
    <row r="5023" spans="15:61" hidden="1">
      <c r="O5023" s="57"/>
      <c r="P5023" s="57"/>
      <c r="AP5023" s="57"/>
      <c r="BA5023" s="57"/>
      <c r="BF5023" s="6" t="e">
        <f t="shared" si="234"/>
        <v>#NUM!</v>
      </c>
      <c r="BG5023" t="e">
        <f t="shared" si="235"/>
        <v>#NUM!</v>
      </c>
      <c r="BH5023" t="e">
        <f t="shared" si="236"/>
        <v>#NUM!</v>
      </c>
      <c r="BI5023" t="e">
        <f>VLOOKUP(H5023,Sheet2!$A$1:$B$270,2,FALSE)</f>
        <v>#N/A</v>
      </c>
    </row>
    <row r="5024" spans="15:61" hidden="1">
      <c r="O5024" s="57"/>
      <c r="P5024" s="57"/>
      <c r="AP5024" s="57"/>
      <c r="BA5024" s="57"/>
      <c r="BF5024" s="6" t="e">
        <f t="shared" si="234"/>
        <v>#NUM!</v>
      </c>
      <c r="BG5024" t="e">
        <f t="shared" si="235"/>
        <v>#NUM!</v>
      </c>
      <c r="BH5024" t="e">
        <f t="shared" si="236"/>
        <v>#NUM!</v>
      </c>
      <c r="BI5024" t="e">
        <f>VLOOKUP(H5024,Sheet2!$A$1:$B$270,2,FALSE)</f>
        <v>#N/A</v>
      </c>
    </row>
    <row r="5025" spans="15:61" hidden="1">
      <c r="O5025" s="57"/>
      <c r="P5025" s="57"/>
      <c r="AP5025" s="57"/>
      <c r="BA5025" s="57"/>
      <c r="BF5025" s="6" t="e">
        <f t="shared" si="234"/>
        <v>#NUM!</v>
      </c>
      <c r="BG5025" t="e">
        <f t="shared" si="235"/>
        <v>#NUM!</v>
      </c>
      <c r="BH5025" t="e">
        <f t="shared" si="236"/>
        <v>#NUM!</v>
      </c>
      <c r="BI5025" t="e">
        <f>VLOOKUP(H5025,Sheet2!$A$1:$B$270,2,FALSE)</f>
        <v>#N/A</v>
      </c>
    </row>
    <row r="5026" spans="15:61" hidden="1">
      <c r="O5026" s="57"/>
      <c r="P5026" s="57"/>
      <c r="AP5026" s="57"/>
      <c r="BA5026" s="57"/>
      <c r="BF5026" s="6" t="e">
        <f t="shared" si="234"/>
        <v>#NUM!</v>
      </c>
      <c r="BG5026" t="e">
        <f t="shared" si="235"/>
        <v>#NUM!</v>
      </c>
      <c r="BH5026" t="e">
        <f t="shared" si="236"/>
        <v>#NUM!</v>
      </c>
      <c r="BI5026" t="e">
        <f>VLOOKUP(H5026,Sheet2!$A$1:$B$270,2,FALSE)</f>
        <v>#N/A</v>
      </c>
    </row>
    <row r="5027" spans="15:61" hidden="1">
      <c r="O5027" s="57"/>
      <c r="P5027" s="57"/>
      <c r="AP5027" s="57"/>
      <c r="BA5027" s="57"/>
      <c r="BF5027" s="6" t="e">
        <f t="shared" si="234"/>
        <v>#NUM!</v>
      </c>
      <c r="BG5027" t="e">
        <f t="shared" si="235"/>
        <v>#NUM!</v>
      </c>
      <c r="BH5027" t="e">
        <f t="shared" si="236"/>
        <v>#NUM!</v>
      </c>
      <c r="BI5027" t="e">
        <f>VLOOKUP(H5027,Sheet2!$A$1:$B$270,2,FALSE)</f>
        <v>#N/A</v>
      </c>
    </row>
    <row r="5028" spans="15:61" hidden="1">
      <c r="O5028" s="57"/>
      <c r="P5028" s="57"/>
      <c r="AP5028" s="57"/>
      <c r="BA5028" s="57"/>
      <c r="BF5028" s="6" t="e">
        <f t="shared" si="234"/>
        <v>#NUM!</v>
      </c>
      <c r="BG5028" t="e">
        <f t="shared" si="235"/>
        <v>#NUM!</v>
      </c>
      <c r="BH5028" t="e">
        <f t="shared" si="236"/>
        <v>#NUM!</v>
      </c>
      <c r="BI5028" t="e">
        <f>VLOOKUP(H5028,Sheet2!$A$1:$B$270,2,FALSE)</f>
        <v>#N/A</v>
      </c>
    </row>
    <row r="5029" spans="15:61" hidden="1">
      <c r="O5029" s="57"/>
      <c r="P5029" s="57"/>
      <c r="AP5029" s="57"/>
      <c r="BA5029" s="57"/>
      <c r="BF5029" s="6" t="e">
        <f t="shared" si="234"/>
        <v>#NUM!</v>
      </c>
      <c r="BG5029" t="e">
        <f t="shared" si="235"/>
        <v>#NUM!</v>
      </c>
      <c r="BH5029" t="e">
        <f t="shared" si="236"/>
        <v>#NUM!</v>
      </c>
      <c r="BI5029" t="e">
        <f>VLOOKUP(H5029,Sheet2!$A$1:$B$270,2,FALSE)</f>
        <v>#N/A</v>
      </c>
    </row>
    <row r="5030" spans="15:61" hidden="1">
      <c r="O5030" s="57"/>
      <c r="P5030" s="57"/>
      <c r="AP5030" s="57"/>
      <c r="BA5030" s="57"/>
      <c r="BF5030" s="6" t="e">
        <f t="shared" si="234"/>
        <v>#NUM!</v>
      </c>
      <c r="BG5030" t="e">
        <f t="shared" si="235"/>
        <v>#NUM!</v>
      </c>
      <c r="BH5030" t="e">
        <f t="shared" si="236"/>
        <v>#NUM!</v>
      </c>
      <c r="BI5030" t="e">
        <f>VLOOKUP(H5030,Sheet2!$A$1:$B$270,2,FALSE)</f>
        <v>#N/A</v>
      </c>
    </row>
    <row r="5031" spans="15:61" hidden="1">
      <c r="O5031" s="57"/>
      <c r="P5031" s="57"/>
      <c r="AP5031" s="57"/>
      <c r="BA5031" s="57"/>
      <c r="BF5031" s="6" t="e">
        <f t="shared" si="234"/>
        <v>#NUM!</v>
      </c>
      <c r="BG5031" t="e">
        <f t="shared" si="235"/>
        <v>#NUM!</v>
      </c>
      <c r="BH5031" t="e">
        <f t="shared" si="236"/>
        <v>#NUM!</v>
      </c>
      <c r="BI5031" t="e">
        <f>VLOOKUP(H5031,Sheet2!$A$1:$B$270,2,FALSE)</f>
        <v>#N/A</v>
      </c>
    </row>
    <row r="5032" spans="15:61" hidden="1">
      <c r="O5032" s="57"/>
      <c r="P5032" s="57"/>
      <c r="AP5032" s="57"/>
      <c r="BA5032" s="57"/>
      <c r="BF5032" s="6" t="e">
        <f t="shared" si="234"/>
        <v>#NUM!</v>
      </c>
      <c r="BG5032" t="e">
        <f t="shared" si="235"/>
        <v>#NUM!</v>
      </c>
      <c r="BH5032" t="e">
        <f t="shared" si="236"/>
        <v>#NUM!</v>
      </c>
      <c r="BI5032" t="e">
        <f>VLOOKUP(H5032,Sheet2!$A$1:$B$270,2,FALSE)</f>
        <v>#N/A</v>
      </c>
    </row>
    <row r="5033" spans="15:61" hidden="1">
      <c r="O5033" s="57"/>
      <c r="P5033" s="57"/>
      <c r="AP5033" s="57"/>
      <c r="BA5033" s="57"/>
      <c r="BF5033" s="6" t="e">
        <f t="shared" si="234"/>
        <v>#NUM!</v>
      </c>
      <c r="BG5033" t="e">
        <f t="shared" si="235"/>
        <v>#NUM!</v>
      </c>
      <c r="BH5033" t="e">
        <f t="shared" si="236"/>
        <v>#NUM!</v>
      </c>
      <c r="BI5033" t="e">
        <f>VLOOKUP(H5033,Sheet2!$A$1:$B$270,2,FALSE)</f>
        <v>#N/A</v>
      </c>
    </row>
    <row r="5034" spans="15:61" hidden="1">
      <c r="O5034" s="57"/>
      <c r="P5034" s="57"/>
      <c r="AP5034" s="57"/>
      <c r="BA5034" s="57"/>
      <c r="BF5034" s="6" t="e">
        <f t="shared" si="234"/>
        <v>#NUM!</v>
      </c>
      <c r="BG5034" t="e">
        <f t="shared" si="235"/>
        <v>#NUM!</v>
      </c>
      <c r="BH5034" t="e">
        <f t="shared" si="236"/>
        <v>#NUM!</v>
      </c>
      <c r="BI5034" t="e">
        <f>VLOOKUP(H5034,Sheet2!$A$1:$B$270,2,FALSE)</f>
        <v>#N/A</v>
      </c>
    </row>
    <row r="5035" spans="15:61" hidden="1">
      <c r="O5035" s="57"/>
      <c r="P5035" s="57"/>
      <c r="AP5035" s="57"/>
      <c r="BA5035" s="57"/>
      <c r="BF5035" s="6" t="e">
        <f t="shared" si="234"/>
        <v>#NUM!</v>
      </c>
      <c r="BG5035" t="e">
        <f t="shared" si="235"/>
        <v>#NUM!</v>
      </c>
      <c r="BH5035" t="e">
        <f t="shared" si="236"/>
        <v>#NUM!</v>
      </c>
      <c r="BI5035" t="e">
        <f>VLOOKUP(H5035,Sheet2!$A$1:$B$270,2,FALSE)</f>
        <v>#N/A</v>
      </c>
    </row>
    <row r="5036" spans="15:61" hidden="1">
      <c r="O5036" s="57"/>
      <c r="P5036" s="57"/>
      <c r="AP5036" s="57"/>
      <c r="BA5036" s="57"/>
      <c r="BF5036" s="6" t="e">
        <f t="shared" si="234"/>
        <v>#NUM!</v>
      </c>
      <c r="BG5036" t="e">
        <f t="shared" si="235"/>
        <v>#NUM!</v>
      </c>
      <c r="BH5036" t="e">
        <f t="shared" si="236"/>
        <v>#NUM!</v>
      </c>
      <c r="BI5036" t="e">
        <f>VLOOKUP(H5036,Sheet2!$A$1:$B$270,2,FALSE)</f>
        <v>#N/A</v>
      </c>
    </row>
    <row r="5037" spans="15:61" hidden="1">
      <c r="O5037" s="57"/>
      <c r="P5037" s="57"/>
      <c r="AP5037" s="57"/>
      <c r="BA5037" s="57"/>
      <c r="BF5037" s="6" t="e">
        <f t="shared" si="234"/>
        <v>#NUM!</v>
      </c>
      <c r="BG5037" t="e">
        <f t="shared" si="235"/>
        <v>#NUM!</v>
      </c>
      <c r="BH5037" t="e">
        <f t="shared" si="236"/>
        <v>#NUM!</v>
      </c>
      <c r="BI5037" t="e">
        <f>VLOOKUP(H5037,Sheet2!$A$1:$B$270,2,FALSE)</f>
        <v>#N/A</v>
      </c>
    </row>
    <row r="5038" spans="15:61" hidden="1">
      <c r="O5038" s="57"/>
      <c r="P5038" s="57"/>
      <c r="AP5038" s="57"/>
      <c r="BA5038" s="57"/>
      <c r="BF5038" s="6" t="e">
        <f t="shared" si="234"/>
        <v>#NUM!</v>
      </c>
      <c r="BG5038" t="e">
        <f t="shared" si="235"/>
        <v>#NUM!</v>
      </c>
      <c r="BH5038" t="e">
        <f t="shared" si="236"/>
        <v>#NUM!</v>
      </c>
      <c r="BI5038" t="e">
        <f>VLOOKUP(H5038,Sheet2!$A$1:$B$270,2,FALSE)</f>
        <v>#N/A</v>
      </c>
    </row>
    <row r="5039" spans="15:61" hidden="1">
      <c r="O5039" s="57"/>
      <c r="P5039" s="57"/>
      <c r="AP5039" s="57"/>
      <c r="BA5039" s="57"/>
      <c r="BF5039" s="6" t="e">
        <f t="shared" si="234"/>
        <v>#NUM!</v>
      </c>
      <c r="BG5039" t="e">
        <f t="shared" si="235"/>
        <v>#NUM!</v>
      </c>
      <c r="BH5039" t="e">
        <f t="shared" si="236"/>
        <v>#NUM!</v>
      </c>
      <c r="BI5039" t="e">
        <f>VLOOKUP(H5039,Sheet2!$A$1:$B$270,2,FALSE)</f>
        <v>#N/A</v>
      </c>
    </row>
    <row r="5040" spans="15:61" hidden="1">
      <c r="O5040" s="57"/>
      <c r="P5040" s="57"/>
      <c r="AP5040" s="57"/>
      <c r="BA5040" s="57"/>
      <c r="BF5040" s="6" t="e">
        <f t="shared" si="234"/>
        <v>#NUM!</v>
      </c>
      <c r="BG5040" t="e">
        <f t="shared" si="235"/>
        <v>#NUM!</v>
      </c>
      <c r="BH5040" t="e">
        <f t="shared" si="236"/>
        <v>#NUM!</v>
      </c>
      <c r="BI5040" t="e">
        <f>VLOOKUP(H5040,Sheet2!$A$1:$B$270,2,FALSE)</f>
        <v>#N/A</v>
      </c>
    </row>
    <row r="5041" spans="15:61" hidden="1">
      <c r="O5041" s="57"/>
      <c r="P5041" s="57"/>
      <c r="AP5041" s="57"/>
      <c r="BA5041" s="57"/>
      <c r="BF5041" s="6" t="e">
        <f t="shared" si="234"/>
        <v>#NUM!</v>
      </c>
      <c r="BG5041" t="e">
        <f t="shared" si="235"/>
        <v>#NUM!</v>
      </c>
      <c r="BH5041" t="e">
        <f t="shared" si="236"/>
        <v>#NUM!</v>
      </c>
      <c r="BI5041" t="e">
        <f>VLOOKUP(H5041,Sheet2!$A$1:$B$270,2,FALSE)</f>
        <v>#N/A</v>
      </c>
    </row>
    <row r="5042" spans="15:61" hidden="1">
      <c r="O5042" s="57"/>
      <c r="P5042" s="57"/>
      <c r="AP5042" s="57"/>
      <c r="BA5042" s="57"/>
      <c r="BF5042" s="6" t="e">
        <f t="shared" si="234"/>
        <v>#NUM!</v>
      </c>
      <c r="BG5042" t="e">
        <f t="shared" si="235"/>
        <v>#NUM!</v>
      </c>
      <c r="BH5042" t="e">
        <f t="shared" si="236"/>
        <v>#NUM!</v>
      </c>
      <c r="BI5042" t="e">
        <f>VLOOKUP(H5042,Sheet2!$A$1:$B$270,2,FALSE)</f>
        <v>#N/A</v>
      </c>
    </row>
    <row r="5043" spans="15:61" hidden="1">
      <c r="O5043" s="57"/>
      <c r="P5043" s="57"/>
      <c r="AP5043" s="57"/>
      <c r="BA5043" s="57"/>
      <c r="BF5043" s="6" t="e">
        <f t="shared" si="234"/>
        <v>#NUM!</v>
      </c>
      <c r="BG5043" t="e">
        <f t="shared" si="235"/>
        <v>#NUM!</v>
      </c>
      <c r="BH5043" t="e">
        <f t="shared" si="236"/>
        <v>#NUM!</v>
      </c>
      <c r="BI5043" t="e">
        <f>VLOOKUP(H5043,Sheet2!$A$1:$B$270,2,FALSE)</f>
        <v>#N/A</v>
      </c>
    </row>
    <row r="5044" spans="15:61" hidden="1">
      <c r="O5044" s="57"/>
      <c r="P5044" s="57"/>
      <c r="AP5044" s="57"/>
      <c r="BA5044" s="57"/>
      <c r="BF5044" s="6" t="e">
        <f t="shared" si="234"/>
        <v>#NUM!</v>
      </c>
      <c r="BG5044" t="e">
        <f t="shared" si="235"/>
        <v>#NUM!</v>
      </c>
      <c r="BH5044" t="e">
        <f t="shared" si="236"/>
        <v>#NUM!</v>
      </c>
      <c r="BI5044" t="e">
        <f>VLOOKUP(H5044,Sheet2!$A$1:$B$270,2,FALSE)</f>
        <v>#N/A</v>
      </c>
    </row>
    <row r="5045" spans="15:61" hidden="1">
      <c r="O5045" s="57"/>
      <c r="P5045" s="57"/>
      <c r="AP5045" s="57"/>
      <c r="BA5045" s="57"/>
      <c r="BF5045" s="6" t="e">
        <f t="shared" si="234"/>
        <v>#NUM!</v>
      </c>
      <c r="BG5045" t="e">
        <f t="shared" si="235"/>
        <v>#NUM!</v>
      </c>
      <c r="BH5045" t="e">
        <f t="shared" si="236"/>
        <v>#NUM!</v>
      </c>
      <c r="BI5045" t="e">
        <f>VLOOKUP(H5045,Sheet2!$A$1:$B$270,2,FALSE)</f>
        <v>#N/A</v>
      </c>
    </row>
    <row r="5046" spans="15:61" hidden="1">
      <c r="O5046" s="57"/>
      <c r="P5046" s="57"/>
      <c r="AP5046" s="57"/>
      <c r="BA5046" s="57"/>
      <c r="BF5046" s="6" t="e">
        <f t="shared" si="234"/>
        <v>#NUM!</v>
      </c>
      <c r="BG5046" t="e">
        <f t="shared" si="235"/>
        <v>#NUM!</v>
      </c>
      <c r="BH5046" t="e">
        <f t="shared" si="236"/>
        <v>#NUM!</v>
      </c>
      <c r="BI5046" t="e">
        <f>VLOOKUP(H5046,Sheet2!$A$1:$B$270,2,FALSE)</f>
        <v>#N/A</v>
      </c>
    </row>
    <row r="5047" spans="15:61" hidden="1">
      <c r="O5047" s="57"/>
      <c r="P5047" s="57"/>
      <c r="AP5047" s="57"/>
      <c r="BA5047" s="57"/>
      <c r="BF5047" s="6" t="e">
        <f t="shared" si="234"/>
        <v>#NUM!</v>
      </c>
      <c r="BG5047" t="e">
        <f t="shared" si="235"/>
        <v>#NUM!</v>
      </c>
      <c r="BH5047" t="e">
        <f t="shared" si="236"/>
        <v>#NUM!</v>
      </c>
      <c r="BI5047" t="e">
        <f>VLOOKUP(H5047,Sheet2!$A$1:$B$270,2,FALSE)</f>
        <v>#N/A</v>
      </c>
    </row>
    <row r="5048" spans="15:61" hidden="1">
      <c r="O5048" s="57"/>
      <c r="P5048" s="57"/>
      <c r="AP5048" s="57"/>
      <c r="BA5048" s="57"/>
      <c r="BF5048" s="6" t="e">
        <f t="shared" si="234"/>
        <v>#NUM!</v>
      </c>
      <c r="BG5048" t="e">
        <f t="shared" si="235"/>
        <v>#NUM!</v>
      </c>
      <c r="BH5048" t="e">
        <f t="shared" si="236"/>
        <v>#NUM!</v>
      </c>
      <c r="BI5048" t="e">
        <f>VLOOKUP(H5048,Sheet2!$A$1:$B$270,2,FALSE)</f>
        <v>#N/A</v>
      </c>
    </row>
    <row r="5049" spans="15:61" hidden="1">
      <c r="O5049" s="57"/>
      <c r="P5049" s="57"/>
      <c r="AP5049" s="57"/>
      <c r="BA5049" s="57"/>
      <c r="BF5049" s="6" t="e">
        <f t="shared" si="234"/>
        <v>#NUM!</v>
      </c>
      <c r="BG5049" t="e">
        <f t="shared" si="235"/>
        <v>#NUM!</v>
      </c>
      <c r="BH5049" t="e">
        <f t="shared" si="236"/>
        <v>#NUM!</v>
      </c>
      <c r="BI5049" t="e">
        <f>VLOOKUP(H5049,Sheet2!$A$1:$B$270,2,FALSE)</f>
        <v>#N/A</v>
      </c>
    </row>
    <row r="5050" spans="15:61" hidden="1">
      <c r="O5050" s="57"/>
      <c r="P5050" s="57"/>
      <c r="AP5050" s="57"/>
      <c r="BA5050" s="57"/>
      <c r="BF5050" s="6" t="e">
        <f t="shared" si="234"/>
        <v>#NUM!</v>
      </c>
      <c r="BG5050" t="e">
        <f t="shared" si="235"/>
        <v>#NUM!</v>
      </c>
      <c r="BH5050" t="e">
        <f t="shared" si="236"/>
        <v>#NUM!</v>
      </c>
      <c r="BI5050" t="e">
        <f>VLOOKUP(H5050,Sheet2!$A$1:$B$270,2,FALSE)</f>
        <v>#N/A</v>
      </c>
    </row>
    <row r="5051" spans="15:61" hidden="1">
      <c r="O5051" s="57"/>
      <c r="P5051" s="57"/>
      <c r="AP5051" s="57"/>
      <c r="BA5051" s="57"/>
      <c r="BF5051" s="6" t="e">
        <f t="shared" si="234"/>
        <v>#NUM!</v>
      </c>
      <c r="BG5051" t="e">
        <f t="shared" si="235"/>
        <v>#NUM!</v>
      </c>
      <c r="BH5051" t="e">
        <f t="shared" si="236"/>
        <v>#NUM!</v>
      </c>
      <c r="BI5051" t="e">
        <f>VLOOKUP(H5051,Sheet2!$A$1:$B$270,2,FALSE)</f>
        <v>#N/A</v>
      </c>
    </row>
    <row r="5052" spans="15:61" hidden="1">
      <c r="O5052" s="57"/>
      <c r="P5052" s="57"/>
      <c r="AP5052" s="57"/>
      <c r="BA5052" s="57"/>
      <c r="BF5052" s="6" t="e">
        <f t="shared" si="234"/>
        <v>#NUM!</v>
      </c>
      <c r="BG5052" t="e">
        <f t="shared" si="235"/>
        <v>#NUM!</v>
      </c>
      <c r="BH5052" t="e">
        <f t="shared" si="236"/>
        <v>#NUM!</v>
      </c>
      <c r="BI5052" t="e">
        <f>VLOOKUP(H5052,Sheet2!$A$1:$B$270,2,FALSE)</f>
        <v>#N/A</v>
      </c>
    </row>
    <row r="5053" spans="15:61" hidden="1">
      <c r="O5053" s="57"/>
      <c r="P5053" s="57"/>
      <c r="AP5053" s="57"/>
      <c r="BA5053" s="57"/>
      <c r="BF5053" s="6" t="e">
        <f t="shared" si="234"/>
        <v>#NUM!</v>
      </c>
      <c r="BG5053" t="e">
        <f t="shared" si="235"/>
        <v>#NUM!</v>
      </c>
      <c r="BH5053" t="e">
        <f t="shared" si="236"/>
        <v>#NUM!</v>
      </c>
      <c r="BI5053" t="e">
        <f>VLOOKUP(H5053,Sheet2!$A$1:$B$270,2,FALSE)</f>
        <v>#N/A</v>
      </c>
    </row>
    <row r="5054" spans="15:61" hidden="1">
      <c r="O5054" s="57"/>
      <c r="P5054" s="57"/>
      <c r="AP5054" s="57"/>
      <c r="BA5054" s="57"/>
      <c r="BF5054" s="6" t="e">
        <f t="shared" si="234"/>
        <v>#NUM!</v>
      </c>
      <c r="BG5054" t="e">
        <f t="shared" si="235"/>
        <v>#NUM!</v>
      </c>
      <c r="BH5054" t="e">
        <f t="shared" si="236"/>
        <v>#NUM!</v>
      </c>
      <c r="BI5054" t="e">
        <f>VLOOKUP(H5054,Sheet2!$A$1:$B$270,2,FALSE)</f>
        <v>#N/A</v>
      </c>
    </row>
    <row r="5055" spans="15:61" hidden="1">
      <c r="O5055" s="57"/>
      <c r="P5055" s="57"/>
      <c r="AP5055" s="57"/>
      <c r="BA5055" s="57"/>
      <c r="BF5055" s="6" t="e">
        <f t="shared" si="234"/>
        <v>#NUM!</v>
      </c>
      <c r="BG5055" t="e">
        <f t="shared" si="235"/>
        <v>#NUM!</v>
      </c>
      <c r="BH5055" t="e">
        <f t="shared" si="236"/>
        <v>#NUM!</v>
      </c>
      <c r="BI5055" t="e">
        <f>VLOOKUP(H5055,Sheet2!$A$1:$B$270,2,FALSE)</f>
        <v>#N/A</v>
      </c>
    </row>
    <row r="5056" spans="15:61" hidden="1">
      <c r="O5056" s="57"/>
      <c r="P5056" s="57"/>
      <c r="AP5056" s="57"/>
      <c r="BA5056" s="57"/>
      <c r="BF5056" s="6" t="e">
        <f t="shared" si="234"/>
        <v>#NUM!</v>
      </c>
      <c r="BG5056" t="e">
        <f t="shared" si="235"/>
        <v>#NUM!</v>
      </c>
      <c r="BH5056" t="e">
        <f t="shared" si="236"/>
        <v>#NUM!</v>
      </c>
      <c r="BI5056" t="e">
        <f>VLOOKUP(H5056,Sheet2!$A$1:$B$270,2,FALSE)</f>
        <v>#N/A</v>
      </c>
    </row>
    <row r="5057" spans="15:61" hidden="1">
      <c r="O5057" s="57"/>
      <c r="P5057" s="57"/>
      <c r="AP5057" s="57"/>
      <c r="BA5057" s="57"/>
      <c r="BF5057" s="6" t="e">
        <f t="shared" si="234"/>
        <v>#NUM!</v>
      </c>
      <c r="BG5057" t="e">
        <f t="shared" si="235"/>
        <v>#NUM!</v>
      </c>
      <c r="BH5057" t="e">
        <f t="shared" si="236"/>
        <v>#NUM!</v>
      </c>
      <c r="BI5057" t="e">
        <f>VLOOKUP(H5057,Sheet2!$A$1:$B$270,2,FALSE)</f>
        <v>#N/A</v>
      </c>
    </row>
    <row r="5058" spans="15:61" hidden="1">
      <c r="O5058" s="57"/>
      <c r="P5058" s="57"/>
      <c r="AP5058" s="57"/>
      <c r="BA5058" s="57"/>
      <c r="BF5058" s="6" t="e">
        <f t="shared" ref="BF5058:BF5121" si="237">DATE(BC5058,BD5058,BE5058)</f>
        <v>#NUM!</v>
      </c>
      <c r="BG5058" t="e">
        <f t="shared" ref="BG5058:BG5121" si="238">BF5058-BA5058</f>
        <v>#NUM!</v>
      </c>
      <c r="BH5058" t="e">
        <f t="shared" ref="BH5058:BH5121" si="239">IF(BG5058=1,"COMPLY",IF(BG5058&lt;1,"COMPLY","NOT COMPLY"))</f>
        <v>#NUM!</v>
      </c>
      <c r="BI5058" t="e">
        <f>VLOOKUP(H5058,Sheet2!$A$1:$B$270,2,FALSE)</f>
        <v>#N/A</v>
      </c>
    </row>
    <row r="5059" spans="15:61" hidden="1">
      <c r="O5059" s="57"/>
      <c r="P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 hidden="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 hidden="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 hidden="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 hidden="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 hidden="1">
      <c r="O5064" s="57"/>
      <c r="P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 hidden="1">
      <c r="O5065" s="57"/>
      <c r="P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 hidden="1">
      <c r="O5066" s="57"/>
      <c r="P5066" s="57"/>
      <c r="AP5066" s="57"/>
      <c r="BA5066" s="57"/>
      <c r="BF5066" s="6" t="e">
        <f t="shared" si="237"/>
        <v>#NUM!</v>
      </c>
      <c r="BG5066" t="e">
        <f t="shared" si="238"/>
        <v>#NUM!</v>
      </c>
      <c r="BH5066" t="e">
        <f t="shared" si="239"/>
        <v>#NUM!</v>
      </c>
      <c r="BI5066" t="e">
        <f>VLOOKUP(H5066,Sheet2!$A$1:$B$270,2,FALSE)</f>
        <v>#N/A</v>
      </c>
    </row>
    <row r="5067" spans="15:61" hidden="1">
      <c r="O5067" s="57"/>
      <c r="P5067" s="57"/>
      <c r="AP5067" s="57"/>
      <c r="BA5067" s="57"/>
      <c r="BF5067" s="6" t="e">
        <f t="shared" si="237"/>
        <v>#NUM!</v>
      </c>
      <c r="BG5067" t="e">
        <f t="shared" si="238"/>
        <v>#NUM!</v>
      </c>
      <c r="BH5067" t="e">
        <f t="shared" si="239"/>
        <v>#NUM!</v>
      </c>
      <c r="BI5067" t="e">
        <f>VLOOKUP(H5067,Sheet2!$A$1:$B$270,2,FALSE)</f>
        <v>#N/A</v>
      </c>
    </row>
    <row r="5068" spans="15:61" hidden="1">
      <c r="O5068" s="57"/>
      <c r="P5068" s="57"/>
      <c r="AP5068" s="57"/>
      <c r="BA5068" s="57"/>
      <c r="BF5068" s="6" t="e">
        <f t="shared" si="237"/>
        <v>#NUM!</v>
      </c>
      <c r="BG5068" t="e">
        <f t="shared" si="238"/>
        <v>#NUM!</v>
      </c>
      <c r="BH5068" t="e">
        <f t="shared" si="239"/>
        <v>#NUM!</v>
      </c>
      <c r="BI5068" t="e">
        <f>VLOOKUP(H5068,Sheet2!$A$1:$B$270,2,FALSE)</f>
        <v>#N/A</v>
      </c>
    </row>
    <row r="5069" spans="15:61" hidden="1">
      <c r="O5069" s="57"/>
      <c r="P5069" s="57"/>
      <c r="AP5069" s="57"/>
      <c r="BA5069" s="57"/>
      <c r="BF5069" s="6" t="e">
        <f t="shared" si="237"/>
        <v>#NUM!</v>
      </c>
      <c r="BG5069" t="e">
        <f t="shared" si="238"/>
        <v>#NUM!</v>
      </c>
      <c r="BH5069" t="e">
        <f t="shared" si="239"/>
        <v>#NUM!</v>
      </c>
      <c r="BI5069" t="e">
        <f>VLOOKUP(H5069,Sheet2!$A$1:$B$270,2,FALSE)</f>
        <v>#N/A</v>
      </c>
    </row>
    <row r="5070" spans="15:61" hidden="1">
      <c r="O5070" s="57"/>
      <c r="P5070" s="57"/>
      <c r="AP5070" s="57"/>
      <c r="BA5070" s="57"/>
      <c r="BF5070" s="6" t="e">
        <f t="shared" si="237"/>
        <v>#NUM!</v>
      </c>
      <c r="BG5070" t="e">
        <f t="shared" si="238"/>
        <v>#NUM!</v>
      </c>
      <c r="BH5070" t="e">
        <f t="shared" si="239"/>
        <v>#NUM!</v>
      </c>
      <c r="BI5070" t="e">
        <f>VLOOKUP(H5070,Sheet2!$A$1:$B$270,2,FALSE)</f>
        <v>#N/A</v>
      </c>
    </row>
    <row r="5071" spans="15:61" hidden="1">
      <c r="O5071" s="57"/>
      <c r="P5071" s="57"/>
      <c r="BF5071" s="6" t="e">
        <f t="shared" si="237"/>
        <v>#NUM!</v>
      </c>
      <c r="BG5071" t="e">
        <f t="shared" si="238"/>
        <v>#NUM!</v>
      </c>
      <c r="BH5071" t="e">
        <f t="shared" si="239"/>
        <v>#NUM!</v>
      </c>
      <c r="BI5071" t="e">
        <f>VLOOKUP(H5071,Sheet2!$A$1:$B$270,2,FALSE)</f>
        <v>#N/A</v>
      </c>
    </row>
    <row r="5072" spans="15:61" hidden="1">
      <c r="O5072" s="57"/>
      <c r="P5072" s="57"/>
      <c r="AP5072" s="57"/>
      <c r="BA5072" s="57"/>
      <c r="BF5072" s="6" t="e">
        <f t="shared" si="237"/>
        <v>#NUM!</v>
      </c>
      <c r="BG5072" t="e">
        <f t="shared" si="238"/>
        <v>#NUM!</v>
      </c>
      <c r="BH5072" t="e">
        <f t="shared" si="239"/>
        <v>#NUM!</v>
      </c>
      <c r="BI5072" t="e">
        <f>VLOOKUP(H5072,Sheet2!$A$1:$B$270,2,FALSE)</f>
        <v>#N/A</v>
      </c>
    </row>
    <row r="5073" spans="15:61" hidden="1">
      <c r="O5073" s="57"/>
      <c r="P5073" s="57"/>
      <c r="AP5073" s="57"/>
      <c r="BA5073" s="57"/>
      <c r="BF5073" s="6" t="e">
        <f t="shared" si="237"/>
        <v>#NUM!</v>
      </c>
      <c r="BG5073" t="e">
        <f t="shared" si="238"/>
        <v>#NUM!</v>
      </c>
      <c r="BH5073" t="e">
        <f t="shared" si="239"/>
        <v>#NUM!</v>
      </c>
      <c r="BI5073" t="e">
        <f>VLOOKUP(H5073,Sheet2!$A$1:$B$270,2,FALSE)</f>
        <v>#N/A</v>
      </c>
    </row>
    <row r="5074" spans="15:61" hidden="1">
      <c r="O5074" s="57"/>
      <c r="P5074" s="57"/>
      <c r="AP5074" s="57"/>
      <c r="BA5074" s="57"/>
      <c r="BF5074" s="6" t="e">
        <f t="shared" si="237"/>
        <v>#NUM!</v>
      </c>
      <c r="BG5074" t="e">
        <f t="shared" si="238"/>
        <v>#NUM!</v>
      </c>
      <c r="BH5074" t="e">
        <f t="shared" si="239"/>
        <v>#NUM!</v>
      </c>
      <c r="BI5074" t="e">
        <f>VLOOKUP(H5074,Sheet2!$A$1:$B$270,2,FALSE)</f>
        <v>#N/A</v>
      </c>
    </row>
    <row r="5075" spans="15:61" hidden="1">
      <c r="O5075" s="57"/>
      <c r="P5075" s="57"/>
      <c r="AP5075" s="57"/>
      <c r="BA5075" s="57"/>
      <c r="BF5075" s="6" t="e">
        <f t="shared" si="237"/>
        <v>#NUM!</v>
      </c>
      <c r="BG5075" t="e">
        <f t="shared" si="238"/>
        <v>#NUM!</v>
      </c>
      <c r="BH5075" t="e">
        <f t="shared" si="239"/>
        <v>#NUM!</v>
      </c>
      <c r="BI5075" t="e">
        <f>VLOOKUP(H5075,Sheet2!$A$1:$B$270,2,FALSE)</f>
        <v>#N/A</v>
      </c>
    </row>
    <row r="5076" spans="15:61" hidden="1">
      <c r="O5076" s="57"/>
      <c r="P5076" s="57"/>
      <c r="AP5076" s="57"/>
      <c r="BA5076" s="57"/>
      <c r="BF5076" s="6" t="e">
        <f t="shared" si="237"/>
        <v>#NUM!</v>
      </c>
      <c r="BG5076" t="e">
        <f t="shared" si="238"/>
        <v>#NUM!</v>
      </c>
      <c r="BH5076" t="e">
        <f t="shared" si="239"/>
        <v>#NUM!</v>
      </c>
      <c r="BI5076" t="e">
        <f>VLOOKUP(H5076,Sheet2!$A$1:$B$270,2,FALSE)</f>
        <v>#N/A</v>
      </c>
    </row>
    <row r="5077" spans="15:61" hidden="1">
      <c r="O5077" s="57"/>
      <c r="P5077" s="57"/>
      <c r="AP5077" s="57"/>
      <c r="BA5077" s="57"/>
      <c r="BF5077" s="6" t="e">
        <f t="shared" si="237"/>
        <v>#NUM!</v>
      </c>
      <c r="BG5077" t="e">
        <f t="shared" si="238"/>
        <v>#NUM!</v>
      </c>
      <c r="BH5077" t="e">
        <f t="shared" si="239"/>
        <v>#NUM!</v>
      </c>
      <c r="BI5077" t="e">
        <f>VLOOKUP(H5077,Sheet2!$A$1:$B$270,2,FALSE)</f>
        <v>#N/A</v>
      </c>
    </row>
    <row r="5078" spans="15:61" hidden="1">
      <c r="O5078" s="57"/>
      <c r="P5078" s="57"/>
      <c r="AP5078" s="57"/>
      <c r="BA5078" s="57"/>
      <c r="BF5078" s="6" t="e">
        <f t="shared" si="237"/>
        <v>#NUM!</v>
      </c>
      <c r="BG5078" t="e">
        <f t="shared" si="238"/>
        <v>#NUM!</v>
      </c>
      <c r="BH5078" t="e">
        <f t="shared" si="239"/>
        <v>#NUM!</v>
      </c>
      <c r="BI5078" t="e">
        <f>VLOOKUP(H5078,Sheet2!$A$1:$B$270,2,FALSE)</f>
        <v>#N/A</v>
      </c>
    </row>
    <row r="5079" spans="15:61" hidden="1">
      <c r="O5079" s="57"/>
      <c r="P5079" s="57"/>
      <c r="AP5079" s="57"/>
      <c r="BA5079" s="57"/>
      <c r="BF5079" s="6" t="e">
        <f t="shared" si="237"/>
        <v>#NUM!</v>
      </c>
      <c r="BG5079" t="e">
        <f t="shared" si="238"/>
        <v>#NUM!</v>
      </c>
      <c r="BH5079" t="e">
        <f t="shared" si="239"/>
        <v>#NUM!</v>
      </c>
      <c r="BI5079" t="e">
        <f>VLOOKUP(H5079,Sheet2!$A$1:$B$270,2,FALSE)</f>
        <v>#N/A</v>
      </c>
    </row>
    <row r="5080" spans="15:61" hidden="1">
      <c r="O5080" s="57"/>
      <c r="P5080" s="57"/>
      <c r="AP5080" s="57"/>
      <c r="BA5080" s="57"/>
      <c r="BF5080" s="6" t="e">
        <f t="shared" si="237"/>
        <v>#NUM!</v>
      </c>
      <c r="BG5080" t="e">
        <f t="shared" si="238"/>
        <v>#NUM!</v>
      </c>
      <c r="BH5080" t="e">
        <f t="shared" si="239"/>
        <v>#NUM!</v>
      </c>
      <c r="BI5080" t="e">
        <f>VLOOKUP(H5080,Sheet2!$A$1:$B$270,2,FALSE)</f>
        <v>#N/A</v>
      </c>
    </row>
    <row r="5081" spans="15:61" hidden="1">
      <c r="O5081" s="57"/>
      <c r="P5081" s="57"/>
      <c r="AP5081" s="57"/>
      <c r="BA5081" s="57"/>
      <c r="BF5081" s="6" t="e">
        <f t="shared" si="237"/>
        <v>#NUM!</v>
      </c>
      <c r="BG5081" t="e">
        <f t="shared" si="238"/>
        <v>#NUM!</v>
      </c>
      <c r="BH5081" t="e">
        <f t="shared" si="239"/>
        <v>#NUM!</v>
      </c>
      <c r="BI5081" t="e">
        <f>VLOOKUP(H5081,Sheet2!$A$1:$B$270,2,FALSE)</f>
        <v>#N/A</v>
      </c>
    </row>
    <row r="5082" spans="15:61" hidden="1">
      <c r="O5082" s="57"/>
      <c r="P5082" s="57"/>
      <c r="AP5082" s="57"/>
      <c r="BA5082" s="57"/>
      <c r="BF5082" s="6" t="e">
        <f t="shared" si="237"/>
        <v>#NUM!</v>
      </c>
      <c r="BG5082" t="e">
        <f t="shared" si="238"/>
        <v>#NUM!</v>
      </c>
      <c r="BH5082" t="e">
        <f t="shared" si="239"/>
        <v>#NUM!</v>
      </c>
      <c r="BI5082" t="e">
        <f>VLOOKUP(H5082,Sheet2!$A$1:$B$270,2,FALSE)</f>
        <v>#N/A</v>
      </c>
    </row>
    <row r="5083" spans="15:61" hidden="1">
      <c r="O5083" s="57"/>
      <c r="P5083" s="57"/>
      <c r="AP5083" s="57"/>
      <c r="BA5083" s="57"/>
      <c r="BF5083" s="6" t="e">
        <f t="shared" si="237"/>
        <v>#NUM!</v>
      </c>
      <c r="BG5083" t="e">
        <f t="shared" si="238"/>
        <v>#NUM!</v>
      </c>
      <c r="BH5083" t="e">
        <f t="shared" si="239"/>
        <v>#NUM!</v>
      </c>
      <c r="BI5083" t="e">
        <f>VLOOKUP(H5083,Sheet2!$A$1:$B$270,2,FALSE)</f>
        <v>#N/A</v>
      </c>
    </row>
    <row r="5084" spans="15:61" hidden="1">
      <c r="O5084" s="57"/>
      <c r="P5084" s="57"/>
      <c r="AP5084" s="57"/>
      <c r="BA5084" s="57"/>
      <c r="BF5084" s="6" t="e">
        <f t="shared" si="237"/>
        <v>#NUM!</v>
      </c>
      <c r="BG5084" t="e">
        <f t="shared" si="238"/>
        <v>#NUM!</v>
      </c>
      <c r="BH5084" t="e">
        <f t="shared" si="239"/>
        <v>#NUM!</v>
      </c>
      <c r="BI5084" t="e">
        <f>VLOOKUP(H5084,Sheet2!$A$1:$B$270,2,FALSE)</f>
        <v>#N/A</v>
      </c>
    </row>
    <row r="5085" spans="15:61" hidden="1">
      <c r="O5085" s="57"/>
      <c r="P5085" s="57"/>
      <c r="AP5085" s="57"/>
      <c r="BA5085" s="57"/>
      <c r="BF5085" s="6" t="e">
        <f t="shared" si="237"/>
        <v>#NUM!</v>
      </c>
      <c r="BG5085" t="e">
        <f t="shared" si="238"/>
        <v>#NUM!</v>
      </c>
      <c r="BH5085" t="e">
        <f t="shared" si="239"/>
        <v>#NUM!</v>
      </c>
      <c r="BI5085" t="e">
        <f>VLOOKUP(H5085,Sheet2!$A$1:$B$270,2,FALSE)</f>
        <v>#N/A</v>
      </c>
    </row>
    <row r="5086" spans="15:61" hidden="1">
      <c r="O5086" s="57"/>
      <c r="P5086" s="57"/>
      <c r="AP5086" s="57"/>
      <c r="BA5086" s="57"/>
      <c r="BF5086" s="6" t="e">
        <f t="shared" si="237"/>
        <v>#NUM!</v>
      </c>
      <c r="BG5086" t="e">
        <f t="shared" si="238"/>
        <v>#NUM!</v>
      </c>
      <c r="BH5086" t="e">
        <f t="shared" si="239"/>
        <v>#NUM!</v>
      </c>
      <c r="BI5086" t="e">
        <f>VLOOKUP(H5086,Sheet2!$A$1:$B$270,2,FALSE)</f>
        <v>#N/A</v>
      </c>
    </row>
    <row r="5087" spans="15:61" hidden="1">
      <c r="O5087" s="57"/>
      <c r="P5087" s="57"/>
      <c r="AP5087" s="57"/>
      <c r="BA5087" s="57"/>
      <c r="BF5087" s="6" t="e">
        <f t="shared" si="237"/>
        <v>#NUM!</v>
      </c>
      <c r="BG5087" t="e">
        <f t="shared" si="238"/>
        <v>#NUM!</v>
      </c>
      <c r="BH5087" t="e">
        <f t="shared" si="239"/>
        <v>#NUM!</v>
      </c>
      <c r="BI5087" t="e">
        <f>VLOOKUP(H5087,Sheet2!$A$1:$B$270,2,FALSE)</f>
        <v>#N/A</v>
      </c>
    </row>
    <row r="5088" spans="15:61" hidden="1">
      <c r="O5088" s="57"/>
      <c r="P5088" s="57"/>
      <c r="AP5088" s="57"/>
      <c r="BA5088" s="57"/>
      <c r="BF5088" s="6" t="e">
        <f t="shared" si="237"/>
        <v>#NUM!</v>
      </c>
      <c r="BG5088" t="e">
        <f t="shared" si="238"/>
        <v>#NUM!</v>
      </c>
      <c r="BH5088" t="e">
        <f t="shared" si="239"/>
        <v>#NUM!</v>
      </c>
      <c r="BI5088" t="e">
        <f>VLOOKUP(H5088,Sheet2!$A$1:$B$270,2,FALSE)</f>
        <v>#N/A</v>
      </c>
    </row>
    <row r="5089" spans="15:61" hidden="1">
      <c r="O5089" s="57"/>
      <c r="P5089" s="57"/>
      <c r="AP5089" s="57"/>
      <c r="BA5089" s="57"/>
      <c r="BF5089" s="6" t="e">
        <f t="shared" si="237"/>
        <v>#NUM!</v>
      </c>
      <c r="BG5089" t="e">
        <f t="shared" si="238"/>
        <v>#NUM!</v>
      </c>
      <c r="BH5089" t="e">
        <f t="shared" si="239"/>
        <v>#NUM!</v>
      </c>
      <c r="BI5089" t="e">
        <f>VLOOKUP(H5089,Sheet2!$A$1:$B$270,2,FALSE)</f>
        <v>#N/A</v>
      </c>
    </row>
    <row r="5090" spans="15:61" hidden="1">
      <c r="O5090" s="57"/>
      <c r="P5090" s="57"/>
      <c r="AP5090" s="57"/>
      <c r="BA5090" s="57"/>
      <c r="BF5090" s="6" t="e">
        <f t="shared" si="237"/>
        <v>#NUM!</v>
      </c>
      <c r="BG5090" t="e">
        <f t="shared" si="238"/>
        <v>#NUM!</v>
      </c>
      <c r="BH5090" t="e">
        <f t="shared" si="239"/>
        <v>#NUM!</v>
      </c>
      <c r="BI5090" t="e">
        <f>VLOOKUP(H5090,Sheet2!$A$1:$B$270,2,FALSE)</f>
        <v>#N/A</v>
      </c>
    </row>
    <row r="5091" spans="15:61" hidden="1">
      <c r="O5091" s="57"/>
      <c r="P5091" s="57"/>
      <c r="AP5091" s="57"/>
      <c r="BA5091" s="57"/>
      <c r="BF5091" s="6" t="e">
        <f t="shared" si="237"/>
        <v>#NUM!</v>
      </c>
      <c r="BG5091" t="e">
        <f t="shared" si="238"/>
        <v>#NUM!</v>
      </c>
      <c r="BH5091" t="e">
        <f t="shared" si="239"/>
        <v>#NUM!</v>
      </c>
      <c r="BI5091" t="e">
        <f>VLOOKUP(H5091,Sheet2!$A$1:$B$270,2,FALSE)</f>
        <v>#N/A</v>
      </c>
    </row>
    <row r="5092" spans="15:61" hidden="1">
      <c r="O5092" s="57"/>
      <c r="P5092" s="57"/>
      <c r="AP5092" s="57"/>
      <c r="BA5092" s="57"/>
      <c r="BF5092" s="6" t="e">
        <f t="shared" si="237"/>
        <v>#NUM!</v>
      </c>
      <c r="BG5092" t="e">
        <f t="shared" si="238"/>
        <v>#NUM!</v>
      </c>
      <c r="BH5092" t="e">
        <f t="shared" si="239"/>
        <v>#NUM!</v>
      </c>
      <c r="BI5092" t="e">
        <f>VLOOKUP(H5092,Sheet2!$A$1:$B$270,2,FALSE)</f>
        <v>#N/A</v>
      </c>
    </row>
    <row r="5093" spans="15:61" hidden="1">
      <c r="O5093" s="57"/>
      <c r="P5093" s="57"/>
      <c r="AP5093" s="57"/>
      <c r="BA5093" s="57"/>
      <c r="BF5093" s="6" t="e">
        <f t="shared" si="237"/>
        <v>#NUM!</v>
      </c>
      <c r="BG5093" t="e">
        <f t="shared" si="238"/>
        <v>#NUM!</v>
      </c>
      <c r="BH5093" t="e">
        <f t="shared" si="239"/>
        <v>#NUM!</v>
      </c>
      <c r="BI5093" t="e">
        <f>VLOOKUP(H5093,Sheet2!$A$1:$B$270,2,FALSE)</f>
        <v>#N/A</v>
      </c>
    </row>
    <row r="5094" spans="15:61" hidden="1">
      <c r="O5094" s="57"/>
      <c r="P5094" s="57"/>
      <c r="AP5094" s="57"/>
      <c r="BA5094" s="57"/>
      <c r="BF5094" s="6" t="e">
        <f t="shared" si="237"/>
        <v>#NUM!</v>
      </c>
      <c r="BG5094" t="e">
        <f t="shared" si="238"/>
        <v>#NUM!</v>
      </c>
      <c r="BH5094" t="e">
        <f t="shared" si="239"/>
        <v>#NUM!</v>
      </c>
      <c r="BI5094" t="e">
        <f>VLOOKUP(H5094,Sheet2!$A$1:$B$270,2,FALSE)</f>
        <v>#N/A</v>
      </c>
    </row>
    <row r="5095" spans="15:61" hidden="1">
      <c r="O5095" s="57"/>
      <c r="P5095" s="57"/>
      <c r="AP5095" s="57"/>
      <c r="BA5095" s="57"/>
      <c r="BF5095" s="6" t="e">
        <f t="shared" si="237"/>
        <v>#NUM!</v>
      </c>
      <c r="BG5095" t="e">
        <f t="shared" si="238"/>
        <v>#NUM!</v>
      </c>
      <c r="BH5095" t="e">
        <f t="shared" si="239"/>
        <v>#NUM!</v>
      </c>
      <c r="BI5095" t="e">
        <f>VLOOKUP(H5095,Sheet2!$A$1:$B$270,2,FALSE)</f>
        <v>#N/A</v>
      </c>
    </row>
    <row r="5096" spans="15:61" hidden="1">
      <c r="O5096" s="57"/>
      <c r="P5096" s="57"/>
      <c r="AP5096" s="57"/>
      <c r="BA5096" s="57"/>
      <c r="BF5096" s="6" t="e">
        <f t="shared" si="237"/>
        <v>#NUM!</v>
      </c>
      <c r="BG5096" t="e">
        <f t="shared" si="238"/>
        <v>#NUM!</v>
      </c>
      <c r="BH5096" t="e">
        <f t="shared" si="239"/>
        <v>#NUM!</v>
      </c>
      <c r="BI5096" t="e">
        <f>VLOOKUP(H5096,Sheet2!$A$1:$B$270,2,FALSE)</f>
        <v>#N/A</v>
      </c>
    </row>
    <row r="5097" spans="15:61" hidden="1">
      <c r="O5097" s="57"/>
      <c r="P5097" s="57"/>
      <c r="AP5097" s="57"/>
      <c r="BA5097" s="57"/>
      <c r="BF5097" s="6" t="e">
        <f t="shared" si="237"/>
        <v>#NUM!</v>
      </c>
      <c r="BG5097" t="e">
        <f t="shared" si="238"/>
        <v>#NUM!</v>
      </c>
      <c r="BH5097" t="e">
        <f t="shared" si="239"/>
        <v>#NUM!</v>
      </c>
      <c r="BI5097" t="e">
        <f>VLOOKUP(H5097,Sheet2!$A$1:$B$270,2,FALSE)</f>
        <v>#N/A</v>
      </c>
    </row>
    <row r="5098" spans="15:61" hidden="1">
      <c r="O5098" s="57"/>
      <c r="P5098" s="57"/>
      <c r="AP5098" s="57"/>
      <c r="BA5098" s="57"/>
      <c r="BF5098" s="6" t="e">
        <f t="shared" si="237"/>
        <v>#NUM!</v>
      </c>
      <c r="BG5098" t="e">
        <f t="shared" si="238"/>
        <v>#NUM!</v>
      </c>
      <c r="BH5098" t="e">
        <f t="shared" si="239"/>
        <v>#NUM!</v>
      </c>
      <c r="BI5098" t="e">
        <f>VLOOKUP(H5098,Sheet2!$A$1:$B$270,2,FALSE)</f>
        <v>#N/A</v>
      </c>
    </row>
    <row r="5099" spans="15:61" hidden="1">
      <c r="O5099" s="57"/>
      <c r="P5099" s="57"/>
      <c r="AP5099" s="57"/>
      <c r="BA5099" s="57"/>
      <c r="BF5099" s="6" t="e">
        <f t="shared" si="237"/>
        <v>#NUM!</v>
      </c>
      <c r="BG5099" t="e">
        <f t="shared" si="238"/>
        <v>#NUM!</v>
      </c>
      <c r="BH5099" t="e">
        <f t="shared" si="239"/>
        <v>#NUM!</v>
      </c>
      <c r="BI5099" t="e">
        <f>VLOOKUP(H5099,Sheet2!$A$1:$B$270,2,FALSE)</f>
        <v>#N/A</v>
      </c>
    </row>
    <row r="5100" spans="15:61" hidden="1">
      <c r="O5100" s="57"/>
      <c r="P5100" s="57"/>
      <c r="AP5100" s="57"/>
      <c r="BA5100" s="57"/>
      <c r="BF5100" s="6" t="e">
        <f t="shared" si="237"/>
        <v>#NUM!</v>
      </c>
      <c r="BG5100" t="e">
        <f t="shared" si="238"/>
        <v>#NUM!</v>
      </c>
      <c r="BH5100" t="e">
        <f t="shared" si="239"/>
        <v>#NUM!</v>
      </c>
      <c r="BI5100" t="e">
        <f>VLOOKUP(H5100,Sheet2!$A$1:$B$270,2,FALSE)</f>
        <v>#N/A</v>
      </c>
    </row>
    <row r="5101" spans="15:61" hidden="1">
      <c r="O5101" s="57"/>
      <c r="P5101" s="57"/>
      <c r="AP5101" s="57"/>
      <c r="BA5101" s="57"/>
      <c r="BF5101" s="6" t="e">
        <f t="shared" si="237"/>
        <v>#NUM!</v>
      </c>
      <c r="BG5101" t="e">
        <f t="shared" si="238"/>
        <v>#NUM!</v>
      </c>
      <c r="BH5101" t="e">
        <f t="shared" si="239"/>
        <v>#NUM!</v>
      </c>
      <c r="BI5101" t="e">
        <f>VLOOKUP(H5101,Sheet2!$A$1:$B$270,2,FALSE)</f>
        <v>#N/A</v>
      </c>
    </row>
    <row r="5102" spans="15:61" hidden="1">
      <c r="O5102" s="57"/>
      <c r="P5102" s="57"/>
      <c r="AP5102" s="57"/>
      <c r="BA5102" s="57"/>
      <c r="BF5102" s="6" t="e">
        <f t="shared" si="237"/>
        <v>#NUM!</v>
      </c>
      <c r="BG5102" t="e">
        <f t="shared" si="238"/>
        <v>#NUM!</v>
      </c>
      <c r="BH5102" t="e">
        <f t="shared" si="239"/>
        <v>#NUM!</v>
      </c>
      <c r="BI5102" t="e">
        <f>VLOOKUP(H5102,Sheet2!$A$1:$B$270,2,FALSE)</f>
        <v>#N/A</v>
      </c>
    </row>
    <row r="5103" spans="15:61" hidden="1">
      <c r="O5103" s="57"/>
      <c r="P5103" s="57"/>
      <c r="AP5103" s="57"/>
      <c r="BA5103" s="57"/>
      <c r="BF5103" s="6" t="e">
        <f t="shared" si="237"/>
        <v>#NUM!</v>
      </c>
      <c r="BG5103" t="e">
        <f t="shared" si="238"/>
        <v>#NUM!</v>
      </c>
      <c r="BH5103" t="e">
        <f t="shared" si="239"/>
        <v>#NUM!</v>
      </c>
      <c r="BI5103" t="e">
        <f>VLOOKUP(H5103,Sheet2!$A$1:$B$270,2,FALSE)</f>
        <v>#N/A</v>
      </c>
    </row>
    <row r="5104" spans="15:61" hidden="1">
      <c r="O5104" s="57"/>
      <c r="P5104" s="57"/>
      <c r="AP5104" s="57"/>
      <c r="BA5104" s="57"/>
      <c r="BF5104" s="6" t="e">
        <f t="shared" si="237"/>
        <v>#NUM!</v>
      </c>
      <c r="BG5104" t="e">
        <f t="shared" si="238"/>
        <v>#NUM!</v>
      </c>
      <c r="BH5104" t="e">
        <f t="shared" si="239"/>
        <v>#NUM!</v>
      </c>
      <c r="BI5104" t="e">
        <f>VLOOKUP(H5104,Sheet2!$A$1:$B$270,2,FALSE)</f>
        <v>#N/A</v>
      </c>
    </row>
    <row r="5105" spans="15:61" hidden="1">
      <c r="O5105" s="57"/>
      <c r="P5105" s="57"/>
      <c r="AP5105" s="57"/>
      <c r="BA5105" s="57"/>
      <c r="BF5105" s="6" t="e">
        <f t="shared" si="237"/>
        <v>#NUM!</v>
      </c>
      <c r="BG5105" t="e">
        <f t="shared" si="238"/>
        <v>#NUM!</v>
      </c>
      <c r="BH5105" t="e">
        <f t="shared" si="239"/>
        <v>#NUM!</v>
      </c>
      <c r="BI5105" t="e">
        <f>VLOOKUP(H5105,Sheet2!$A$1:$B$270,2,FALSE)</f>
        <v>#N/A</v>
      </c>
    </row>
    <row r="5106" spans="15:61" hidden="1">
      <c r="O5106" s="57"/>
      <c r="P5106" s="57"/>
      <c r="AP5106" s="57"/>
      <c r="BA5106" s="57"/>
      <c r="BF5106" s="6" t="e">
        <f t="shared" si="237"/>
        <v>#NUM!</v>
      </c>
      <c r="BG5106" t="e">
        <f t="shared" si="238"/>
        <v>#NUM!</v>
      </c>
      <c r="BH5106" t="e">
        <f t="shared" si="239"/>
        <v>#NUM!</v>
      </c>
      <c r="BI5106" t="e">
        <f>VLOOKUP(H5106,Sheet2!$A$1:$B$270,2,FALSE)</f>
        <v>#N/A</v>
      </c>
    </row>
    <row r="5107" spans="15:61" hidden="1">
      <c r="O5107" s="57"/>
      <c r="P5107" s="57"/>
      <c r="AP5107" s="57"/>
      <c r="BA5107" s="57"/>
      <c r="BF5107" s="6" t="e">
        <f t="shared" si="237"/>
        <v>#NUM!</v>
      </c>
      <c r="BG5107" t="e">
        <f t="shared" si="238"/>
        <v>#NUM!</v>
      </c>
      <c r="BH5107" t="e">
        <f t="shared" si="239"/>
        <v>#NUM!</v>
      </c>
      <c r="BI5107" t="e">
        <f>VLOOKUP(H5107,Sheet2!$A$1:$B$270,2,FALSE)</f>
        <v>#N/A</v>
      </c>
    </row>
    <row r="5108" spans="15:61" hidden="1">
      <c r="O5108" s="57"/>
      <c r="P5108" s="57"/>
      <c r="AP5108" s="57"/>
      <c r="BA5108" s="57"/>
      <c r="BF5108" s="6" t="e">
        <f t="shared" si="237"/>
        <v>#NUM!</v>
      </c>
      <c r="BG5108" t="e">
        <f t="shared" si="238"/>
        <v>#NUM!</v>
      </c>
      <c r="BH5108" t="e">
        <f t="shared" si="239"/>
        <v>#NUM!</v>
      </c>
      <c r="BI5108" t="e">
        <f>VLOOKUP(H5108,Sheet2!$A$1:$B$270,2,FALSE)</f>
        <v>#N/A</v>
      </c>
    </row>
    <row r="5109" spans="15:61" hidden="1">
      <c r="O5109" s="57"/>
      <c r="P5109" s="57"/>
      <c r="AP5109" s="57"/>
      <c r="BA5109" s="57"/>
      <c r="BF5109" s="6" t="e">
        <f t="shared" si="237"/>
        <v>#NUM!</v>
      </c>
      <c r="BG5109" t="e">
        <f t="shared" si="238"/>
        <v>#NUM!</v>
      </c>
      <c r="BH5109" t="e">
        <f t="shared" si="239"/>
        <v>#NUM!</v>
      </c>
      <c r="BI5109" t="e">
        <f>VLOOKUP(H5109,Sheet2!$A$1:$B$270,2,FALSE)</f>
        <v>#N/A</v>
      </c>
    </row>
    <row r="5110" spans="15:61" hidden="1">
      <c r="O5110" s="57"/>
      <c r="P5110" s="57"/>
      <c r="AP5110" s="57"/>
      <c r="BA5110" s="57"/>
      <c r="BF5110" s="6" t="e">
        <f t="shared" si="237"/>
        <v>#NUM!</v>
      </c>
      <c r="BG5110" t="e">
        <f t="shared" si="238"/>
        <v>#NUM!</v>
      </c>
      <c r="BH5110" t="e">
        <f t="shared" si="239"/>
        <v>#NUM!</v>
      </c>
      <c r="BI5110" t="e">
        <f>VLOOKUP(H5110,Sheet2!$A$1:$B$270,2,FALSE)</f>
        <v>#N/A</v>
      </c>
    </row>
    <row r="5111" spans="15:61" hidden="1">
      <c r="O5111" s="57"/>
      <c r="P5111" s="57"/>
      <c r="AP5111" s="57"/>
      <c r="BA5111" s="57"/>
      <c r="BF5111" s="6" t="e">
        <f t="shared" si="237"/>
        <v>#NUM!</v>
      </c>
      <c r="BG5111" t="e">
        <f t="shared" si="238"/>
        <v>#NUM!</v>
      </c>
      <c r="BH5111" t="e">
        <f t="shared" si="239"/>
        <v>#NUM!</v>
      </c>
      <c r="BI5111" t="e">
        <f>VLOOKUP(H5111,Sheet2!$A$1:$B$270,2,FALSE)</f>
        <v>#N/A</v>
      </c>
    </row>
    <row r="5112" spans="15:61" hidden="1">
      <c r="O5112" s="57"/>
      <c r="P5112" s="57"/>
      <c r="AP5112" s="57"/>
      <c r="BA5112" s="57"/>
      <c r="BF5112" s="6" t="e">
        <f t="shared" si="237"/>
        <v>#NUM!</v>
      </c>
      <c r="BG5112" t="e">
        <f t="shared" si="238"/>
        <v>#NUM!</v>
      </c>
      <c r="BH5112" t="e">
        <f t="shared" si="239"/>
        <v>#NUM!</v>
      </c>
      <c r="BI5112" t="e">
        <f>VLOOKUP(H5112,Sheet2!$A$1:$B$270,2,FALSE)</f>
        <v>#N/A</v>
      </c>
    </row>
    <row r="5113" spans="15:61" hidden="1">
      <c r="O5113" s="57"/>
      <c r="P5113" s="57"/>
      <c r="AP5113" s="57"/>
      <c r="BA5113" s="57"/>
      <c r="BF5113" s="6" t="e">
        <f t="shared" si="237"/>
        <v>#NUM!</v>
      </c>
      <c r="BG5113" t="e">
        <f t="shared" si="238"/>
        <v>#NUM!</v>
      </c>
      <c r="BH5113" t="e">
        <f t="shared" si="239"/>
        <v>#NUM!</v>
      </c>
      <c r="BI5113" t="e">
        <f>VLOOKUP(H5113,Sheet2!$A$1:$B$270,2,FALSE)</f>
        <v>#N/A</v>
      </c>
    </row>
    <row r="5114" spans="15:61" hidden="1">
      <c r="O5114" s="57"/>
      <c r="P5114" s="57"/>
      <c r="AP5114" s="57"/>
      <c r="BA5114" s="57"/>
      <c r="BF5114" s="6" t="e">
        <f t="shared" si="237"/>
        <v>#NUM!</v>
      </c>
      <c r="BG5114" t="e">
        <f t="shared" si="238"/>
        <v>#NUM!</v>
      </c>
      <c r="BH5114" t="e">
        <f t="shared" si="239"/>
        <v>#NUM!</v>
      </c>
      <c r="BI5114" t="e">
        <f>VLOOKUP(H5114,Sheet2!$A$1:$B$270,2,FALSE)</f>
        <v>#N/A</v>
      </c>
    </row>
    <row r="5115" spans="15:61" hidden="1">
      <c r="O5115" s="57"/>
      <c r="P5115" s="57"/>
      <c r="AP5115" s="57"/>
      <c r="BA5115" s="57"/>
      <c r="BF5115" s="6" t="e">
        <f t="shared" si="237"/>
        <v>#NUM!</v>
      </c>
      <c r="BG5115" t="e">
        <f t="shared" si="238"/>
        <v>#NUM!</v>
      </c>
      <c r="BH5115" t="e">
        <f t="shared" si="239"/>
        <v>#NUM!</v>
      </c>
      <c r="BI5115" t="e">
        <f>VLOOKUP(H5115,Sheet2!$A$1:$B$270,2,FALSE)</f>
        <v>#N/A</v>
      </c>
    </row>
    <row r="5116" spans="15:61" hidden="1">
      <c r="O5116" s="57"/>
      <c r="P5116" s="57"/>
      <c r="AP5116" s="57"/>
      <c r="BA5116" s="57"/>
      <c r="BF5116" s="6" t="e">
        <f t="shared" si="237"/>
        <v>#NUM!</v>
      </c>
      <c r="BG5116" t="e">
        <f t="shared" si="238"/>
        <v>#NUM!</v>
      </c>
      <c r="BH5116" t="e">
        <f t="shared" si="239"/>
        <v>#NUM!</v>
      </c>
      <c r="BI5116" t="e">
        <f>VLOOKUP(H5116,Sheet2!$A$1:$B$270,2,FALSE)</f>
        <v>#N/A</v>
      </c>
    </row>
    <row r="5117" spans="15:61" hidden="1">
      <c r="O5117" s="57"/>
      <c r="P5117" s="57"/>
      <c r="AP5117" s="57"/>
      <c r="BA5117" s="57"/>
      <c r="BF5117" s="6" t="e">
        <f t="shared" si="237"/>
        <v>#NUM!</v>
      </c>
      <c r="BG5117" t="e">
        <f t="shared" si="238"/>
        <v>#NUM!</v>
      </c>
      <c r="BH5117" t="e">
        <f t="shared" si="239"/>
        <v>#NUM!</v>
      </c>
      <c r="BI5117" t="e">
        <f>VLOOKUP(H5117,Sheet2!$A$1:$B$270,2,FALSE)</f>
        <v>#N/A</v>
      </c>
    </row>
    <row r="5118" spans="15:61" hidden="1">
      <c r="O5118" s="57"/>
      <c r="P5118" s="57"/>
      <c r="AP5118" s="57"/>
      <c r="BA5118" s="57"/>
      <c r="BF5118" s="6" t="e">
        <f t="shared" si="237"/>
        <v>#NUM!</v>
      </c>
      <c r="BG5118" t="e">
        <f t="shared" si="238"/>
        <v>#NUM!</v>
      </c>
      <c r="BH5118" t="e">
        <f t="shared" si="239"/>
        <v>#NUM!</v>
      </c>
      <c r="BI5118" t="e">
        <f>VLOOKUP(H5118,Sheet2!$A$1:$B$270,2,FALSE)</f>
        <v>#N/A</v>
      </c>
    </row>
    <row r="5119" spans="15:61" hidden="1">
      <c r="O5119" s="57"/>
      <c r="P5119" s="57"/>
      <c r="AP5119" s="57"/>
      <c r="BA5119" s="57"/>
      <c r="BF5119" s="6" t="e">
        <f t="shared" si="237"/>
        <v>#NUM!</v>
      </c>
      <c r="BG5119" t="e">
        <f t="shared" si="238"/>
        <v>#NUM!</v>
      </c>
      <c r="BH5119" t="e">
        <f t="shared" si="239"/>
        <v>#NUM!</v>
      </c>
      <c r="BI5119" t="e">
        <f>VLOOKUP(H5119,Sheet2!$A$1:$B$270,2,FALSE)</f>
        <v>#N/A</v>
      </c>
    </row>
    <row r="5120" spans="15:61" hidden="1">
      <c r="O5120" s="57"/>
      <c r="P5120" s="57"/>
      <c r="AP5120" s="57"/>
      <c r="BA5120" s="57"/>
      <c r="BF5120" s="6" t="e">
        <f t="shared" si="237"/>
        <v>#NUM!</v>
      </c>
      <c r="BG5120" t="e">
        <f t="shared" si="238"/>
        <v>#NUM!</v>
      </c>
      <c r="BH5120" t="e">
        <f t="shared" si="239"/>
        <v>#NUM!</v>
      </c>
      <c r="BI5120" t="e">
        <f>VLOOKUP(H5120,Sheet2!$A$1:$B$270,2,FALSE)</f>
        <v>#N/A</v>
      </c>
    </row>
    <row r="5121" spans="15:61" hidden="1">
      <c r="O5121" s="57"/>
      <c r="P5121" s="57"/>
      <c r="AP5121" s="57"/>
      <c r="BA5121" s="57"/>
      <c r="BF5121" s="6" t="e">
        <f t="shared" si="237"/>
        <v>#NUM!</v>
      </c>
      <c r="BG5121" t="e">
        <f t="shared" si="238"/>
        <v>#NUM!</v>
      </c>
      <c r="BH5121" t="e">
        <f t="shared" si="239"/>
        <v>#NUM!</v>
      </c>
      <c r="BI5121" t="e">
        <f>VLOOKUP(H5121,Sheet2!$A$1:$B$270,2,FALSE)</f>
        <v>#N/A</v>
      </c>
    </row>
    <row r="5122" spans="15:61" hidden="1">
      <c r="O5122" s="57"/>
      <c r="P5122" s="57"/>
      <c r="AP5122" s="57"/>
      <c r="BA5122" s="57"/>
      <c r="BF5122" s="6" t="e">
        <f t="shared" ref="BF5122:BF5185" si="240">DATE(BC5122,BD5122,BE5122)</f>
        <v>#NUM!</v>
      </c>
      <c r="BG5122" t="e">
        <f t="shared" ref="BG5122:BG5185" si="241">BF5122-BA5122</f>
        <v>#NUM!</v>
      </c>
      <c r="BH5122" t="e">
        <f t="shared" ref="BH5122:BH5185" si="242">IF(BG5122=1,"COMPLY",IF(BG5122&lt;1,"COMPLY","NOT COMPLY"))</f>
        <v>#NUM!</v>
      </c>
      <c r="BI5122" t="e">
        <f>VLOOKUP(H5122,Sheet2!$A$1:$B$270,2,FALSE)</f>
        <v>#N/A</v>
      </c>
    </row>
    <row r="5123" spans="15:61" hidden="1">
      <c r="O5123" s="57"/>
      <c r="P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 hidden="1">
      <c r="O5124" s="57"/>
      <c r="P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 hidden="1">
      <c r="O5125" s="57"/>
      <c r="P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 hidden="1">
      <c r="O5126" s="57"/>
      <c r="P5126" s="57"/>
      <c r="AP5126" s="57"/>
      <c r="BA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 hidden="1">
      <c r="O5127" s="57"/>
      <c r="P5127" s="57"/>
      <c r="AP5127" s="57"/>
      <c r="BA5127" s="57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 hidden="1">
      <c r="O5128" s="57"/>
      <c r="P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 hidden="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 hidden="1">
      <c r="O5130" s="57"/>
      <c r="P5130" s="57"/>
      <c r="AP5130" s="57"/>
      <c r="BA5130" s="57"/>
      <c r="BF5130" s="6" t="e">
        <f t="shared" si="240"/>
        <v>#NUM!</v>
      </c>
      <c r="BG5130" t="e">
        <f t="shared" si="241"/>
        <v>#NUM!</v>
      </c>
      <c r="BH5130" t="e">
        <f t="shared" si="242"/>
        <v>#NUM!</v>
      </c>
      <c r="BI5130" t="e">
        <f>VLOOKUP(H5130,Sheet2!$A$1:$B$270,2,FALSE)</f>
        <v>#N/A</v>
      </c>
    </row>
    <row r="5131" spans="15:61" hidden="1">
      <c r="O5131" s="57"/>
      <c r="P5131" s="57"/>
      <c r="AP5131" s="57"/>
      <c r="BA5131" s="57"/>
      <c r="BF5131" s="6" t="e">
        <f t="shared" si="240"/>
        <v>#NUM!</v>
      </c>
      <c r="BG5131" t="e">
        <f t="shared" si="241"/>
        <v>#NUM!</v>
      </c>
      <c r="BH5131" t="e">
        <f t="shared" si="242"/>
        <v>#NUM!</v>
      </c>
      <c r="BI5131" t="e">
        <f>VLOOKUP(H5131,Sheet2!$A$1:$B$270,2,FALSE)</f>
        <v>#N/A</v>
      </c>
    </row>
    <row r="5132" spans="15:61" hidden="1">
      <c r="O5132" s="57"/>
      <c r="P5132" s="57"/>
      <c r="AP5132" s="57"/>
      <c r="BA5132" s="57"/>
      <c r="BF5132" s="6" t="e">
        <f t="shared" si="240"/>
        <v>#NUM!</v>
      </c>
      <c r="BG5132" t="e">
        <f t="shared" si="241"/>
        <v>#NUM!</v>
      </c>
      <c r="BH5132" t="e">
        <f t="shared" si="242"/>
        <v>#NUM!</v>
      </c>
      <c r="BI5132" t="e">
        <f>VLOOKUP(H5132,Sheet2!$A$1:$B$270,2,FALSE)</f>
        <v>#N/A</v>
      </c>
    </row>
    <row r="5133" spans="15:61" hidden="1">
      <c r="O5133" s="57"/>
      <c r="P5133" s="57"/>
      <c r="AP5133" s="57"/>
      <c r="BA5133" s="57"/>
      <c r="BF5133" s="6" t="e">
        <f t="shared" si="240"/>
        <v>#NUM!</v>
      </c>
      <c r="BG5133" t="e">
        <f t="shared" si="241"/>
        <v>#NUM!</v>
      </c>
      <c r="BH5133" t="e">
        <f t="shared" si="242"/>
        <v>#NUM!</v>
      </c>
      <c r="BI5133" t="e">
        <f>VLOOKUP(H5133,Sheet2!$A$1:$B$270,2,FALSE)</f>
        <v>#N/A</v>
      </c>
    </row>
    <row r="5134" spans="15:61" hidden="1">
      <c r="O5134" s="57"/>
      <c r="P5134" s="57"/>
      <c r="AP5134" s="57"/>
      <c r="BA5134" s="57"/>
      <c r="BF5134" s="6" t="e">
        <f t="shared" si="240"/>
        <v>#NUM!</v>
      </c>
      <c r="BG5134" t="e">
        <f t="shared" si="241"/>
        <v>#NUM!</v>
      </c>
      <c r="BH5134" t="e">
        <f t="shared" si="242"/>
        <v>#NUM!</v>
      </c>
      <c r="BI5134" t="e">
        <f>VLOOKUP(H5134,Sheet2!$A$1:$B$270,2,FALSE)</f>
        <v>#N/A</v>
      </c>
    </row>
    <row r="5135" spans="15:61" hidden="1">
      <c r="O5135" s="57"/>
      <c r="P5135" s="57"/>
      <c r="AP5135" s="57"/>
      <c r="BA5135" s="57"/>
      <c r="BF5135" s="6" t="e">
        <f t="shared" si="240"/>
        <v>#NUM!</v>
      </c>
      <c r="BG5135" t="e">
        <f t="shared" si="241"/>
        <v>#NUM!</v>
      </c>
      <c r="BH5135" t="e">
        <f t="shared" si="242"/>
        <v>#NUM!</v>
      </c>
      <c r="BI5135" t="e">
        <f>VLOOKUP(H5135,Sheet2!$A$1:$B$270,2,FALSE)</f>
        <v>#N/A</v>
      </c>
    </row>
    <row r="5136" spans="15:61" hidden="1">
      <c r="O5136" s="57"/>
      <c r="P5136" s="57"/>
      <c r="AP5136" s="57"/>
      <c r="BA5136" s="57"/>
      <c r="BF5136" s="6" t="e">
        <f t="shared" si="240"/>
        <v>#NUM!</v>
      </c>
      <c r="BG5136" t="e">
        <f t="shared" si="241"/>
        <v>#NUM!</v>
      </c>
      <c r="BH5136" t="e">
        <f t="shared" si="242"/>
        <v>#NUM!</v>
      </c>
      <c r="BI5136" t="e">
        <f>VLOOKUP(H5136,Sheet2!$A$1:$B$270,2,FALSE)</f>
        <v>#N/A</v>
      </c>
    </row>
    <row r="5137" spans="15:61" hidden="1">
      <c r="O5137" s="57"/>
      <c r="P5137" s="57"/>
      <c r="AP5137" s="57"/>
      <c r="BA5137" s="57"/>
      <c r="BF5137" s="6" t="e">
        <f t="shared" si="240"/>
        <v>#NUM!</v>
      </c>
      <c r="BG5137" t="e">
        <f t="shared" si="241"/>
        <v>#NUM!</v>
      </c>
      <c r="BH5137" t="e">
        <f t="shared" si="242"/>
        <v>#NUM!</v>
      </c>
      <c r="BI5137" t="e">
        <f>VLOOKUP(H5137,Sheet2!$A$1:$B$270,2,FALSE)</f>
        <v>#N/A</v>
      </c>
    </row>
    <row r="5138" spans="15:61" hidden="1">
      <c r="O5138" s="57"/>
      <c r="P5138" s="57"/>
      <c r="AP5138" s="57"/>
      <c r="BA5138" s="57"/>
      <c r="BF5138" s="6" t="e">
        <f t="shared" si="240"/>
        <v>#NUM!</v>
      </c>
      <c r="BG5138" t="e">
        <f t="shared" si="241"/>
        <v>#NUM!</v>
      </c>
      <c r="BH5138" t="e">
        <f t="shared" si="242"/>
        <v>#NUM!</v>
      </c>
      <c r="BI5138" t="e">
        <f>VLOOKUP(H5138,Sheet2!$A$1:$B$270,2,FALSE)</f>
        <v>#N/A</v>
      </c>
    </row>
    <row r="5139" spans="15:61" hidden="1">
      <c r="O5139" s="57"/>
      <c r="P5139" s="57"/>
      <c r="AP5139" s="57"/>
      <c r="BA5139" s="57"/>
      <c r="BF5139" s="6" t="e">
        <f t="shared" si="240"/>
        <v>#NUM!</v>
      </c>
      <c r="BG5139" t="e">
        <f t="shared" si="241"/>
        <v>#NUM!</v>
      </c>
      <c r="BH5139" t="e">
        <f t="shared" si="242"/>
        <v>#NUM!</v>
      </c>
      <c r="BI5139" t="e">
        <f>VLOOKUP(H5139,Sheet2!$A$1:$B$270,2,FALSE)</f>
        <v>#N/A</v>
      </c>
    </row>
    <row r="5140" spans="15:61" hidden="1">
      <c r="O5140" s="57"/>
      <c r="P5140" s="57"/>
      <c r="AP5140" s="57"/>
      <c r="BA5140" s="57"/>
      <c r="BF5140" s="6" t="e">
        <f t="shared" si="240"/>
        <v>#NUM!</v>
      </c>
      <c r="BG5140" t="e">
        <f t="shared" si="241"/>
        <v>#NUM!</v>
      </c>
      <c r="BH5140" t="e">
        <f t="shared" si="242"/>
        <v>#NUM!</v>
      </c>
      <c r="BI5140" t="e">
        <f>VLOOKUP(H5140,Sheet2!$A$1:$B$270,2,FALSE)</f>
        <v>#N/A</v>
      </c>
    </row>
    <row r="5141" spans="15:61" hidden="1">
      <c r="O5141" s="57"/>
      <c r="P5141" s="57"/>
      <c r="AP5141" s="57"/>
      <c r="BA5141" s="57"/>
      <c r="BF5141" s="6" t="e">
        <f t="shared" si="240"/>
        <v>#NUM!</v>
      </c>
      <c r="BG5141" t="e">
        <f t="shared" si="241"/>
        <v>#NUM!</v>
      </c>
      <c r="BH5141" t="e">
        <f t="shared" si="242"/>
        <v>#NUM!</v>
      </c>
      <c r="BI5141" t="e">
        <f>VLOOKUP(H5141,Sheet2!$A$1:$B$270,2,FALSE)</f>
        <v>#N/A</v>
      </c>
    </row>
    <row r="5142" spans="15:61" hidden="1">
      <c r="O5142" s="57"/>
      <c r="P5142" s="57"/>
      <c r="AP5142" s="57"/>
      <c r="BA5142" s="57"/>
      <c r="BF5142" s="6" t="e">
        <f t="shared" si="240"/>
        <v>#NUM!</v>
      </c>
      <c r="BG5142" t="e">
        <f t="shared" si="241"/>
        <v>#NUM!</v>
      </c>
      <c r="BH5142" t="e">
        <f t="shared" si="242"/>
        <v>#NUM!</v>
      </c>
      <c r="BI5142" t="e">
        <f>VLOOKUP(H5142,Sheet2!$A$1:$B$270,2,FALSE)</f>
        <v>#N/A</v>
      </c>
    </row>
    <row r="5143" spans="15:61" hidden="1">
      <c r="O5143" s="57"/>
      <c r="P5143" s="57"/>
      <c r="AP5143" s="57"/>
      <c r="BA5143" s="57"/>
      <c r="BF5143" s="6" t="e">
        <f t="shared" si="240"/>
        <v>#NUM!</v>
      </c>
      <c r="BG5143" t="e">
        <f t="shared" si="241"/>
        <v>#NUM!</v>
      </c>
      <c r="BH5143" t="e">
        <f t="shared" si="242"/>
        <v>#NUM!</v>
      </c>
      <c r="BI5143" t="e">
        <f>VLOOKUP(H5143,Sheet2!$A$1:$B$270,2,FALSE)</f>
        <v>#N/A</v>
      </c>
    </row>
    <row r="5144" spans="15:61" hidden="1">
      <c r="O5144" s="57"/>
      <c r="P5144" s="57"/>
      <c r="AP5144" s="57"/>
      <c r="BA5144" s="57"/>
      <c r="BF5144" s="6" t="e">
        <f t="shared" si="240"/>
        <v>#NUM!</v>
      </c>
      <c r="BG5144" t="e">
        <f t="shared" si="241"/>
        <v>#NUM!</v>
      </c>
      <c r="BH5144" t="e">
        <f t="shared" si="242"/>
        <v>#NUM!</v>
      </c>
      <c r="BI5144" t="e">
        <f>VLOOKUP(H5144,Sheet2!$A$1:$B$270,2,FALSE)</f>
        <v>#N/A</v>
      </c>
    </row>
    <row r="5145" spans="15:61" hidden="1">
      <c r="O5145" s="57"/>
      <c r="P5145" s="57"/>
      <c r="AP5145" s="57"/>
      <c r="BA5145" s="57"/>
      <c r="BF5145" s="6" t="e">
        <f t="shared" si="240"/>
        <v>#NUM!</v>
      </c>
      <c r="BG5145" t="e">
        <f t="shared" si="241"/>
        <v>#NUM!</v>
      </c>
      <c r="BH5145" t="e">
        <f t="shared" si="242"/>
        <v>#NUM!</v>
      </c>
      <c r="BI5145" t="e">
        <f>VLOOKUP(H5145,Sheet2!$A$1:$B$270,2,FALSE)</f>
        <v>#N/A</v>
      </c>
    </row>
    <row r="5146" spans="15:61" hidden="1">
      <c r="O5146" s="57"/>
      <c r="P5146" s="57"/>
      <c r="AP5146" s="57"/>
      <c r="BA5146" s="57"/>
      <c r="BF5146" s="6" t="e">
        <f t="shared" si="240"/>
        <v>#NUM!</v>
      </c>
      <c r="BG5146" t="e">
        <f t="shared" si="241"/>
        <v>#NUM!</v>
      </c>
      <c r="BH5146" t="e">
        <f t="shared" si="242"/>
        <v>#NUM!</v>
      </c>
      <c r="BI5146" t="e">
        <f>VLOOKUP(H5146,Sheet2!$A$1:$B$270,2,FALSE)</f>
        <v>#N/A</v>
      </c>
    </row>
    <row r="5147" spans="15:61" hidden="1">
      <c r="O5147" s="57"/>
      <c r="P5147" s="57"/>
      <c r="AP5147" s="57"/>
      <c r="BA5147" s="57"/>
      <c r="BF5147" s="6" t="e">
        <f t="shared" si="240"/>
        <v>#NUM!</v>
      </c>
      <c r="BG5147" t="e">
        <f t="shared" si="241"/>
        <v>#NUM!</v>
      </c>
      <c r="BH5147" t="e">
        <f t="shared" si="242"/>
        <v>#NUM!</v>
      </c>
      <c r="BI5147" t="e">
        <f>VLOOKUP(H5147,Sheet2!$A$1:$B$270,2,FALSE)</f>
        <v>#N/A</v>
      </c>
    </row>
    <row r="5148" spans="15:61" hidden="1">
      <c r="O5148" s="57"/>
      <c r="P5148" s="57"/>
      <c r="AP5148" s="57"/>
      <c r="BA5148" s="57"/>
      <c r="BF5148" s="6" t="e">
        <f t="shared" si="240"/>
        <v>#NUM!</v>
      </c>
      <c r="BG5148" t="e">
        <f t="shared" si="241"/>
        <v>#NUM!</v>
      </c>
      <c r="BH5148" t="e">
        <f t="shared" si="242"/>
        <v>#NUM!</v>
      </c>
      <c r="BI5148" t="e">
        <f>VLOOKUP(H5148,Sheet2!$A$1:$B$270,2,FALSE)</f>
        <v>#N/A</v>
      </c>
    </row>
    <row r="5149" spans="15:61" hidden="1">
      <c r="O5149" s="57"/>
      <c r="P5149" s="57"/>
      <c r="AP5149" s="57"/>
      <c r="BA5149" s="57"/>
      <c r="BF5149" s="6" t="e">
        <f t="shared" si="240"/>
        <v>#NUM!</v>
      </c>
      <c r="BG5149" t="e">
        <f t="shared" si="241"/>
        <v>#NUM!</v>
      </c>
      <c r="BH5149" t="e">
        <f t="shared" si="242"/>
        <v>#NUM!</v>
      </c>
      <c r="BI5149" t="e">
        <f>VLOOKUP(H5149,Sheet2!$A$1:$B$270,2,FALSE)</f>
        <v>#N/A</v>
      </c>
    </row>
    <row r="5150" spans="15:61" hidden="1">
      <c r="O5150" s="57"/>
      <c r="P5150" s="57"/>
      <c r="AP5150" s="57"/>
      <c r="BA5150" s="57"/>
      <c r="BF5150" s="6" t="e">
        <f t="shared" si="240"/>
        <v>#NUM!</v>
      </c>
      <c r="BG5150" t="e">
        <f t="shared" si="241"/>
        <v>#NUM!</v>
      </c>
      <c r="BH5150" t="e">
        <f t="shared" si="242"/>
        <v>#NUM!</v>
      </c>
      <c r="BI5150" t="e">
        <f>VLOOKUP(H5150,Sheet2!$A$1:$B$270,2,FALSE)</f>
        <v>#N/A</v>
      </c>
    </row>
    <row r="5151" spans="15:61" hidden="1">
      <c r="O5151" s="57"/>
      <c r="P5151" s="57"/>
      <c r="AP5151" s="57"/>
      <c r="BA5151" s="57"/>
      <c r="BF5151" s="6" t="e">
        <f t="shared" si="240"/>
        <v>#NUM!</v>
      </c>
      <c r="BG5151" t="e">
        <f t="shared" si="241"/>
        <v>#NUM!</v>
      </c>
      <c r="BH5151" t="e">
        <f t="shared" si="242"/>
        <v>#NUM!</v>
      </c>
      <c r="BI5151" t="e">
        <f>VLOOKUP(H5151,Sheet2!$A$1:$B$270,2,FALSE)</f>
        <v>#N/A</v>
      </c>
    </row>
    <row r="5152" spans="15:61" hidden="1">
      <c r="O5152" s="57"/>
      <c r="P5152" s="57"/>
      <c r="AP5152" s="57"/>
      <c r="BA5152" s="57"/>
      <c r="BF5152" s="6" t="e">
        <f t="shared" si="240"/>
        <v>#NUM!</v>
      </c>
      <c r="BG5152" t="e">
        <f t="shared" si="241"/>
        <v>#NUM!</v>
      </c>
      <c r="BH5152" t="e">
        <f t="shared" si="242"/>
        <v>#NUM!</v>
      </c>
      <c r="BI5152" t="e">
        <f>VLOOKUP(H5152,Sheet2!$A$1:$B$270,2,FALSE)</f>
        <v>#N/A</v>
      </c>
    </row>
    <row r="5153" spans="15:61" hidden="1">
      <c r="O5153" s="57"/>
      <c r="P5153" s="57"/>
      <c r="AP5153" s="57"/>
      <c r="BA5153" s="57"/>
      <c r="BF5153" s="6" t="e">
        <f t="shared" si="240"/>
        <v>#NUM!</v>
      </c>
      <c r="BG5153" t="e">
        <f t="shared" si="241"/>
        <v>#NUM!</v>
      </c>
      <c r="BH5153" t="e">
        <f t="shared" si="242"/>
        <v>#NUM!</v>
      </c>
      <c r="BI5153" t="e">
        <f>VLOOKUP(H5153,Sheet2!$A$1:$B$270,2,FALSE)</f>
        <v>#N/A</v>
      </c>
    </row>
    <row r="5154" spans="15:61" hidden="1">
      <c r="O5154" s="57"/>
      <c r="P5154" s="57"/>
      <c r="AP5154" s="57"/>
      <c r="BA5154" s="57"/>
      <c r="BF5154" s="6" t="e">
        <f t="shared" si="240"/>
        <v>#NUM!</v>
      </c>
      <c r="BG5154" t="e">
        <f t="shared" si="241"/>
        <v>#NUM!</v>
      </c>
      <c r="BH5154" t="e">
        <f t="shared" si="242"/>
        <v>#NUM!</v>
      </c>
      <c r="BI5154" t="e">
        <f>VLOOKUP(H5154,Sheet2!$A$1:$B$270,2,FALSE)</f>
        <v>#N/A</v>
      </c>
    </row>
    <row r="5155" spans="15:61" hidden="1">
      <c r="O5155" s="57"/>
      <c r="P5155" s="57"/>
      <c r="AP5155" s="57"/>
      <c r="BA5155" s="57"/>
      <c r="BF5155" s="6" t="e">
        <f t="shared" si="240"/>
        <v>#NUM!</v>
      </c>
      <c r="BG5155" t="e">
        <f t="shared" si="241"/>
        <v>#NUM!</v>
      </c>
      <c r="BH5155" t="e">
        <f t="shared" si="242"/>
        <v>#NUM!</v>
      </c>
      <c r="BI5155" t="e">
        <f>VLOOKUP(H5155,Sheet2!$A$1:$B$270,2,FALSE)</f>
        <v>#N/A</v>
      </c>
    </row>
    <row r="5156" spans="15:61" hidden="1">
      <c r="O5156" s="57"/>
      <c r="P5156" s="57"/>
      <c r="AP5156" s="57"/>
      <c r="BA5156" s="57"/>
      <c r="BF5156" s="6" t="e">
        <f t="shared" si="240"/>
        <v>#NUM!</v>
      </c>
      <c r="BG5156" t="e">
        <f t="shared" si="241"/>
        <v>#NUM!</v>
      </c>
      <c r="BH5156" t="e">
        <f t="shared" si="242"/>
        <v>#NUM!</v>
      </c>
      <c r="BI5156" t="e">
        <f>VLOOKUP(H5156,Sheet2!$A$1:$B$270,2,FALSE)</f>
        <v>#N/A</v>
      </c>
    </row>
    <row r="5157" spans="15:61" hidden="1">
      <c r="O5157" s="57"/>
      <c r="P5157" s="57"/>
      <c r="AP5157" s="57"/>
      <c r="BA5157" s="57"/>
      <c r="BF5157" s="6" t="e">
        <f t="shared" si="240"/>
        <v>#NUM!</v>
      </c>
      <c r="BG5157" t="e">
        <f t="shared" si="241"/>
        <v>#NUM!</v>
      </c>
      <c r="BH5157" t="e">
        <f t="shared" si="242"/>
        <v>#NUM!</v>
      </c>
      <c r="BI5157" t="e">
        <f>VLOOKUP(H5157,Sheet2!$A$1:$B$270,2,FALSE)</f>
        <v>#N/A</v>
      </c>
    </row>
    <row r="5158" spans="15:61" hidden="1">
      <c r="O5158" s="57"/>
      <c r="P5158" s="57"/>
      <c r="AP5158" s="57"/>
      <c r="BA5158" s="57"/>
      <c r="BF5158" s="6" t="e">
        <f t="shared" si="240"/>
        <v>#NUM!</v>
      </c>
      <c r="BG5158" t="e">
        <f t="shared" si="241"/>
        <v>#NUM!</v>
      </c>
      <c r="BH5158" t="e">
        <f t="shared" si="242"/>
        <v>#NUM!</v>
      </c>
      <c r="BI5158" t="e">
        <f>VLOOKUP(H5158,Sheet2!$A$1:$B$270,2,FALSE)</f>
        <v>#N/A</v>
      </c>
    </row>
    <row r="5159" spans="15:61" hidden="1">
      <c r="O5159" s="57"/>
      <c r="P5159" s="57"/>
      <c r="AP5159" s="57"/>
      <c r="BA5159" s="57"/>
      <c r="BF5159" s="6" t="e">
        <f t="shared" si="240"/>
        <v>#NUM!</v>
      </c>
      <c r="BG5159" t="e">
        <f t="shared" si="241"/>
        <v>#NUM!</v>
      </c>
      <c r="BH5159" t="e">
        <f t="shared" si="242"/>
        <v>#NUM!</v>
      </c>
      <c r="BI5159" t="e">
        <f>VLOOKUP(H5159,Sheet2!$A$1:$B$270,2,FALSE)</f>
        <v>#N/A</v>
      </c>
    </row>
    <row r="5160" spans="15:61" hidden="1">
      <c r="O5160" s="57"/>
      <c r="P5160" s="57"/>
      <c r="AP5160" s="57"/>
      <c r="BA5160" s="57"/>
      <c r="BF5160" s="6" t="e">
        <f t="shared" si="240"/>
        <v>#NUM!</v>
      </c>
      <c r="BG5160" t="e">
        <f t="shared" si="241"/>
        <v>#NUM!</v>
      </c>
      <c r="BH5160" t="e">
        <f t="shared" si="242"/>
        <v>#NUM!</v>
      </c>
      <c r="BI5160" t="e">
        <f>VLOOKUP(H5160,Sheet2!$A$1:$B$270,2,FALSE)</f>
        <v>#N/A</v>
      </c>
    </row>
    <row r="5161" spans="15:61" hidden="1">
      <c r="O5161" s="57"/>
      <c r="P5161" s="57"/>
      <c r="AP5161" s="57"/>
      <c r="BA5161" s="57"/>
      <c r="BF5161" s="6" t="e">
        <f t="shared" si="240"/>
        <v>#NUM!</v>
      </c>
      <c r="BG5161" t="e">
        <f t="shared" si="241"/>
        <v>#NUM!</v>
      </c>
      <c r="BH5161" t="e">
        <f t="shared" si="242"/>
        <v>#NUM!</v>
      </c>
      <c r="BI5161" t="e">
        <f>VLOOKUP(H5161,Sheet2!$A$1:$B$270,2,FALSE)</f>
        <v>#N/A</v>
      </c>
    </row>
    <row r="5162" spans="15:61" hidden="1">
      <c r="O5162" s="57"/>
      <c r="P5162" s="57"/>
      <c r="AP5162" s="57"/>
      <c r="BA5162" s="57"/>
      <c r="BF5162" s="6" t="e">
        <f t="shared" si="240"/>
        <v>#NUM!</v>
      </c>
      <c r="BG5162" t="e">
        <f t="shared" si="241"/>
        <v>#NUM!</v>
      </c>
      <c r="BH5162" t="e">
        <f t="shared" si="242"/>
        <v>#NUM!</v>
      </c>
      <c r="BI5162" t="e">
        <f>VLOOKUP(H5162,Sheet2!$A$1:$B$270,2,FALSE)</f>
        <v>#N/A</v>
      </c>
    </row>
    <row r="5163" spans="15:61" hidden="1">
      <c r="O5163" s="57"/>
      <c r="P5163" s="57"/>
      <c r="AP5163" s="57"/>
      <c r="BA5163" s="57"/>
      <c r="BF5163" s="6" t="e">
        <f t="shared" si="240"/>
        <v>#NUM!</v>
      </c>
      <c r="BG5163" t="e">
        <f t="shared" si="241"/>
        <v>#NUM!</v>
      </c>
      <c r="BH5163" t="e">
        <f t="shared" si="242"/>
        <v>#NUM!</v>
      </c>
      <c r="BI5163" t="e">
        <f>VLOOKUP(H5163,Sheet2!$A$1:$B$270,2,FALSE)</f>
        <v>#N/A</v>
      </c>
    </row>
    <row r="5164" spans="15:61" hidden="1">
      <c r="O5164" s="57"/>
      <c r="P5164" s="57"/>
      <c r="AP5164" s="57"/>
      <c r="BA5164" s="57"/>
      <c r="BF5164" s="6" t="e">
        <f t="shared" si="240"/>
        <v>#NUM!</v>
      </c>
      <c r="BG5164" t="e">
        <f t="shared" si="241"/>
        <v>#NUM!</v>
      </c>
      <c r="BH5164" t="e">
        <f t="shared" si="242"/>
        <v>#NUM!</v>
      </c>
      <c r="BI5164" t="e">
        <f>VLOOKUP(H5164,Sheet2!$A$1:$B$270,2,FALSE)</f>
        <v>#N/A</v>
      </c>
    </row>
    <row r="5165" spans="15:61" hidden="1">
      <c r="O5165" s="57"/>
      <c r="P5165" s="57"/>
      <c r="AP5165" s="57"/>
      <c r="BA5165" s="57"/>
      <c r="BF5165" s="6" t="e">
        <f t="shared" si="240"/>
        <v>#NUM!</v>
      </c>
      <c r="BG5165" t="e">
        <f t="shared" si="241"/>
        <v>#NUM!</v>
      </c>
      <c r="BH5165" t="e">
        <f t="shared" si="242"/>
        <v>#NUM!</v>
      </c>
      <c r="BI5165" t="e">
        <f>VLOOKUP(H5165,Sheet2!$A$1:$B$270,2,FALSE)</f>
        <v>#N/A</v>
      </c>
    </row>
    <row r="5166" spans="15:61" hidden="1">
      <c r="O5166" s="57"/>
      <c r="P5166" s="57"/>
      <c r="AP5166" s="57"/>
      <c r="BA5166" s="57"/>
      <c r="BF5166" s="6" t="e">
        <f t="shared" si="240"/>
        <v>#NUM!</v>
      </c>
      <c r="BG5166" t="e">
        <f t="shared" si="241"/>
        <v>#NUM!</v>
      </c>
      <c r="BH5166" t="e">
        <f t="shared" si="242"/>
        <v>#NUM!</v>
      </c>
      <c r="BI5166" t="e">
        <f>VLOOKUP(H5166,Sheet2!$A$1:$B$270,2,FALSE)</f>
        <v>#N/A</v>
      </c>
    </row>
    <row r="5167" spans="15:61" hidden="1">
      <c r="O5167" s="57"/>
      <c r="P5167" s="57"/>
      <c r="AP5167" s="57"/>
      <c r="BA5167" s="57"/>
      <c r="BF5167" s="6" t="e">
        <f t="shared" si="240"/>
        <v>#NUM!</v>
      </c>
      <c r="BG5167" t="e">
        <f t="shared" si="241"/>
        <v>#NUM!</v>
      </c>
      <c r="BH5167" t="e">
        <f t="shared" si="242"/>
        <v>#NUM!</v>
      </c>
      <c r="BI5167" t="e">
        <f>VLOOKUP(H5167,Sheet2!$A$1:$B$270,2,FALSE)</f>
        <v>#N/A</v>
      </c>
    </row>
    <row r="5168" spans="15:61" hidden="1">
      <c r="O5168" s="57"/>
      <c r="P5168" s="57"/>
      <c r="AP5168" s="57"/>
      <c r="BA5168" s="57"/>
      <c r="BF5168" s="6" t="e">
        <f t="shared" si="240"/>
        <v>#NUM!</v>
      </c>
      <c r="BG5168" t="e">
        <f t="shared" si="241"/>
        <v>#NUM!</v>
      </c>
      <c r="BH5168" t="e">
        <f t="shared" si="242"/>
        <v>#NUM!</v>
      </c>
      <c r="BI5168" t="e">
        <f>VLOOKUP(H5168,Sheet2!$A$1:$B$270,2,FALSE)</f>
        <v>#N/A</v>
      </c>
    </row>
    <row r="5169" spans="15:61" hidden="1">
      <c r="O5169" s="57"/>
      <c r="P5169" s="57"/>
      <c r="AP5169" s="57"/>
      <c r="BA5169" s="57"/>
      <c r="BF5169" s="6" t="e">
        <f t="shared" si="240"/>
        <v>#NUM!</v>
      </c>
      <c r="BG5169" t="e">
        <f t="shared" si="241"/>
        <v>#NUM!</v>
      </c>
      <c r="BH5169" t="e">
        <f t="shared" si="242"/>
        <v>#NUM!</v>
      </c>
      <c r="BI5169" t="e">
        <f>VLOOKUP(H5169,Sheet2!$A$1:$B$270,2,FALSE)</f>
        <v>#N/A</v>
      </c>
    </row>
    <row r="5170" spans="15:61" hidden="1">
      <c r="O5170" s="57"/>
      <c r="P5170" s="57"/>
      <c r="AP5170" s="57"/>
      <c r="BA5170" s="57"/>
      <c r="BF5170" s="6" t="e">
        <f t="shared" si="240"/>
        <v>#NUM!</v>
      </c>
      <c r="BG5170" t="e">
        <f t="shared" si="241"/>
        <v>#NUM!</v>
      </c>
      <c r="BH5170" t="e">
        <f t="shared" si="242"/>
        <v>#NUM!</v>
      </c>
      <c r="BI5170" t="e">
        <f>VLOOKUP(H5170,Sheet2!$A$1:$B$270,2,FALSE)</f>
        <v>#N/A</v>
      </c>
    </row>
    <row r="5171" spans="15:61" hidden="1">
      <c r="O5171" s="57"/>
      <c r="P5171" s="57"/>
      <c r="AP5171" s="57"/>
      <c r="BA5171" s="57"/>
      <c r="BF5171" s="6" t="e">
        <f t="shared" si="240"/>
        <v>#NUM!</v>
      </c>
      <c r="BG5171" t="e">
        <f t="shared" si="241"/>
        <v>#NUM!</v>
      </c>
      <c r="BH5171" t="e">
        <f t="shared" si="242"/>
        <v>#NUM!</v>
      </c>
      <c r="BI5171" t="e">
        <f>VLOOKUP(H5171,Sheet2!$A$1:$B$270,2,FALSE)</f>
        <v>#N/A</v>
      </c>
    </row>
    <row r="5172" spans="15:61" hidden="1">
      <c r="O5172" s="57"/>
      <c r="P5172" s="57"/>
      <c r="AP5172" s="57"/>
      <c r="BA5172" s="57"/>
      <c r="BF5172" s="6" t="e">
        <f t="shared" si="240"/>
        <v>#NUM!</v>
      </c>
      <c r="BG5172" t="e">
        <f t="shared" si="241"/>
        <v>#NUM!</v>
      </c>
      <c r="BH5172" t="e">
        <f t="shared" si="242"/>
        <v>#NUM!</v>
      </c>
      <c r="BI5172" t="e">
        <f>VLOOKUP(H5172,Sheet2!$A$1:$B$270,2,FALSE)</f>
        <v>#N/A</v>
      </c>
    </row>
    <row r="5173" spans="15:61" hidden="1">
      <c r="O5173" s="57"/>
      <c r="P5173" s="57"/>
      <c r="AP5173" s="57"/>
      <c r="BA5173" s="57"/>
      <c r="BF5173" s="6" t="e">
        <f t="shared" si="240"/>
        <v>#NUM!</v>
      </c>
      <c r="BG5173" t="e">
        <f t="shared" si="241"/>
        <v>#NUM!</v>
      </c>
      <c r="BH5173" t="e">
        <f t="shared" si="242"/>
        <v>#NUM!</v>
      </c>
      <c r="BI5173" t="e">
        <f>VLOOKUP(H5173,Sheet2!$A$1:$B$270,2,FALSE)</f>
        <v>#N/A</v>
      </c>
    </row>
    <row r="5174" spans="15:61" hidden="1">
      <c r="O5174" s="57"/>
      <c r="P5174" s="57"/>
      <c r="AP5174" s="57"/>
      <c r="BA5174" s="57"/>
      <c r="BF5174" s="6" t="e">
        <f t="shared" si="240"/>
        <v>#NUM!</v>
      </c>
      <c r="BG5174" t="e">
        <f t="shared" si="241"/>
        <v>#NUM!</v>
      </c>
      <c r="BH5174" t="e">
        <f t="shared" si="242"/>
        <v>#NUM!</v>
      </c>
      <c r="BI5174" t="e">
        <f>VLOOKUP(H5174,Sheet2!$A$1:$B$270,2,FALSE)</f>
        <v>#N/A</v>
      </c>
    </row>
    <row r="5175" spans="15:61" hidden="1">
      <c r="O5175" s="57"/>
      <c r="P5175" s="57"/>
      <c r="AP5175" s="57"/>
      <c r="BA5175" s="57"/>
      <c r="BF5175" s="6" t="e">
        <f t="shared" si="240"/>
        <v>#NUM!</v>
      </c>
      <c r="BG5175" t="e">
        <f t="shared" si="241"/>
        <v>#NUM!</v>
      </c>
      <c r="BH5175" t="e">
        <f t="shared" si="242"/>
        <v>#NUM!</v>
      </c>
      <c r="BI5175" t="e">
        <f>VLOOKUP(H5175,Sheet2!$A$1:$B$270,2,FALSE)</f>
        <v>#N/A</v>
      </c>
    </row>
    <row r="5176" spans="15:61" hidden="1">
      <c r="O5176" s="57"/>
      <c r="P5176" s="57"/>
      <c r="AP5176" s="57"/>
      <c r="BA5176" s="57"/>
      <c r="BF5176" s="6" t="e">
        <f t="shared" si="240"/>
        <v>#NUM!</v>
      </c>
      <c r="BG5176" t="e">
        <f t="shared" si="241"/>
        <v>#NUM!</v>
      </c>
      <c r="BH5176" t="e">
        <f t="shared" si="242"/>
        <v>#NUM!</v>
      </c>
      <c r="BI5176" t="e">
        <f>VLOOKUP(H5176,Sheet2!$A$1:$B$270,2,FALSE)</f>
        <v>#N/A</v>
      </c>
    </row>
    <row r="5177" spans="15:61" hidden="1">
      <c r="O5177" s="57"/>
      <c r="P5177" s="57"/>
      <c r="AP5177" s="57"/>
      <c r="BA5177" s="57"/>
      <c r="BF5177" s="6" t="e">
        <f t="shared" si="240"/>
        <v>#NUM!</v>
      </c>
      <c r="BG5177" t="e">
        <f t="shared" si="241"/>
        <v>#NUM!</v>
      </c>
      <c r="BH5177" t="e">
        <f t="shared" si="242"/>
        <v>#NUM!</v>
      </c>
      <c r="BI5177" t="e">
        <f>VLOOKUP(H5177,Sheet2!$A$1:$B$270,2,FALSE)</f>
        <v>#N/A</v>
      </c>
    </row>
    <row r="5178" spans="15:61" hidden="1">
      <c r="O5178" s="57"/>
      <c r="P5178" s="57"/>
      <c r="AP5178" s="57"/>
      <c r="BA5178" s="57"/>
      <c r="BF5178" s="6" t="e">
        <f t="shared" si="240"/>
        <v>#NUM!</v>
      </c>
      <c r="BG5178" t="e">
        <f t="shared" si="241"/>
        <v>#NUM!</v>
      </c>
      <c r="BH5178" t="e">
        <f t="shared" si="242"/>
        <v>#NUM!</v>
      </c>
      <c r="BI5178" t="e">
        <f>VLOOKUP(H5178,Sheet2!$A$1:$B$270,2,FALSE)</f>
        <v>#N/A</v>
      </c>
    </row>
    <row r="5179" spans="15:61" hidden="1">
      <c r="O5179" s="57"/>
      <c r="P5179" s="57"/>
      <c r="AO5179" s="57"/>
      <c r="AP5179" s="57"/>
      <c r="BA5179" s="57"/>
      <c r="BF5179" s="6" t="e">
        <f t="shared" si="240"/>
        <v>#NUM!</v>
      </c>
      <c r="BG5179" t="e">
        <f t="shared" si="241"/>
        <v>#NUM!</v>
      </c>
      <c r="BH5179" t="e">
        <f t="shared" si="242"/>
        <v>#NUM!</v>
      </c>
      <c r="BI5179" t="e">
        <f>VLOOKUP(H5179,Sheet2!$A$1:$B$270,2,FALSE)</f>
        <v>#N/A</v>
      </c>
    </row>
    <row r="5180" spans="15:61" hidden="1">
      <c r="O5180" s="57"/>
      <c r="P5180" s="57"/>
      <c r="AO5180" s="57"/>
      <c r="AP5180" s="57"/>
      <c r="BA5180" s="57"/>
      <c r="BF5180" s="6" t="e">
        <f t="shared" si="240"/>
        <v>#NUM!</v>
      </c>
      <c r="BG5180" t="e">
        <f t="shared" si="241"/>
        <v>#NUM!</v>
      </c>
      <c r="BH5180" t="e">
        <f t="shared" si="242"/>
        <v>#NUM!</v>
      </c>
      <c r="BI5180" t="e">
        <f>VLOOKUP(H5180,Sheet2!$A$1:$B$270,2,FALSE)</f>
        <v>#N/A</v>
      </c>
    </row>
    <row r="5181" spans="15:61" hidden="1">
      <c r="O5181" s="57"/>
      <c r="P5181" s="57"/>
      <c r="AO5181" s="57"/>
      <c r="AP5181" s="57"/>
      <c r="BA5181" s="57"/>
      <c r="BF5181" s="6" t="e">
        <f t="shared" si="240"/>
        <v>#NUM!</v>
      </c>
      <c r="BG5181" t="e">
        <f t="shared" si="241"/>
        <v>#NUM!</v>
      </c>
      <c r="BH5181" t="e">
        <f t="shared" si="242"/>
        <v>#NUM!</v>
      </c>
      <c r="BI5181" t="e">
        <f>VLOOKUP(H5181,Sheet2!$A$1:$B$270,2,FALSE)</f>
        <v>#N/A</v>
      </c>
    </row>
    <row r="5182" spans="15:61" hidden="1">
      <c r="O5182" s="57"/>
      <c r="P5182" s="57"/>
      <c r="AO5182" s="57"/>
      <c r="AP5182" s="57"/>
      <c r="BA5182" s="57"/>
      <c r="BF5182" s="6" t="e">
        <f t="shared" si="240"/>
        <v>#NUM!</v>
      </c>
      <c r="BG5182" t="e">
        <f t="shared" si="241"/>
        <v>#NUM!</v>
      </c>
      <c r="BH5182" t="e">
        <f t="shared" si="242"/>
        <v>#NUM!</v>
      </c>
      <c r="BI5182" t="e">
        <f>VLOOKUP(H5182,Sheet2!$A$1:$B$270,2,FALSE)</f>
        <v>#N/A</v>
      </c>
    </row>
    <row r="5183" spans="15:61" hidden="1">
      <c r="O5183" s="57"/>
      <c r="P5183" s="57"/>
      <c r="AO5183" s="57"/>
      <c r="AP5183" s="57"/>
      <c r="BA5183" s="57"/>
      <c r="BF5183" s="6" t="e">
        <f t="shared" si="240"/>
        <v>#NUM!</v>
      </c>
      <c r="BG5183" t="e">
        <f t="shared" si="241"/>
        <v>#NUM!</v>
      </c>
      <c r="BH5183" t="e">
        <f t="shared" si="242"/>
        <v>#NUM!</v>
      </c>
      <c r="BI5183" t="e">
        <f>VLOOKUP(H5183,Sheet2!$A$1:$B$270,2,FALSE)</f>
        <v>#N/A</v>
      </c>
    </row>
    <row r="5184" spans="15:61" hidden="1">
      <c r="O5184" s="57"/>
      <c r="P5184" s="57"/>
      <c r="AO5184" s="57"/>
      <c r="AP5184" s="57"/>
      <c r="BA5184" s="57"/>
      <c r="BF5184" s="6" t="e">
        <f t="shared" si="240"/>
        <v>#NUM!</v>
      </c>
      <c r="BG5184" t="e">
        <f t="shared" si="241"/>
        <v>#NUM!</v>
      </c>
      <c r="BH5184" t="e">
        <f t="shared" si="242"/>
        <v>#NUM!</v>
      </c>
      <c r="BI5184" t="e">
        <f>VLOOKUP(H5184,Sheet2!$A$1:$B$270,2,FALSE)</f>
        <v>#N/A</v>
      </c>
    </row>
    <row r="5185" spans="15:61" hidden="1">
      <c r="O5185" s="57"/>
      <c r="P5185" s="57"/>
      <c r="AO5185" s="57"/>
      <c r="AP5185" s="57"/>
      <c r="BA5185" s="57"/>
      <c r="BF5185" s="6" t="e">
        <f t="shared" si="240"/>
        <v>#NUM!</v>
      </c>
      <c r="BG5185" t="e">
        <f t="shared" si="241"/>
        <v>#NUM!</v>
      </c>
      <c r="BH5185" t="e">
        <f t="shared" si="242"/>
        <v>#NUM!</v>
      </c>
      <c r="BI5185" t="e">
        <f>VLOOKUP(H5185,Sheet2!$A$1:$B$270,2,FALSE)</f>
        <v>#N/A</v>
      </c>
    </row>
    <row r="5186" spans="15:61" hidden="1">
      <c r="O5186" s="57"/>
      <c r="P5186" s="57"/>
      <c r="AO5186" s="57"/>
      <c r="AP5186" s="57"/>
      <c r="BA5186" s="57"/>
      <c r="BF5186" s="6" t="e">
        <f t="shared" ref="BF5186:BF5249" si="243">DATE(BC5186,BD5186,BE5186)</f>
        <v>#NUM!</v>
      </c>
      <c r="BG5186" t="e">
        <f t="shared" ref="BG5186:BG5249" si="244">BF5186-BA5186</f>
        <v>#NUM!</v>
      </c>
      <c r="BH5186" t="e">
        <f t="shared" ref="BH5186:BH5249" si="245">IF(BG5186=1,"COMPLY",IF(BG5186&lt;1,"COMPLY","NOT COMPLY"))</f>
        <v>#NUM!</v>
      </c>
      <c r="BI5186" t="e">
        <f>VLOOKUP(H5186,Sheet2!$A$1:$B$270,2,FALSE)</f>
        <v>#N/A</v>
      </c>
    </row>
    <row r="5187" spans="15:61" hidden="1">
      <c r="O5187" s="57"/>
      <c r="P5187" s="57"/>
      <c r="AO5187" s="57"/>
      <c r="AP5187" s="57"/>
      <c r="BA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 hidden="1">
      <c r="O5188" s="57"/>
      <c r="P5188" s="57"/>
      <c r="AO5188" s="57"/>
      <c r="AP5188" s="57"/>
      <c r="BA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 hidden="1">
      <c r="O5189" s="57"/>
      <c r="P5189" s="57"/>
      <c r="AO5189" s="57"/>
      <c r="AP5189" s="57"/>
      <c r="BA5189" s="57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 hidden="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 hidden="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 hidden="1">
      <c r="O5192" s="57"/>
      <c r="P5192" s="57"/>
      <c r="AO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 hidden="1">
      <c r="O5193" s="57"/>
      <c r="P5193" s="57"/>
      <c r="AO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 hidden="1">
      <c r="O5194" s="57"/>
      <c r="P5194" s="57"/>
      <c r="AO5194" s="57"/>
      <c r="AP5194" s="57"/>
      <c r="BA5194" s="57"/>
      <c r="BF5194" s="6" t="e">
        <f t="shared" si="243"/>
        <v>#NUM!</v>
      </c>
      <c r="BG5194" t="e">
        <f t="shared" si="244"/>
        <v>#NUM!</v>
      </c>
      <c r="BH5194" t="e">
        <f t="shared" si="245"/>
        <v>#NUM!</v>
      </c>
      <c r="BI5194" t="e">
        <f>VLOOKUP(H5194,Sheet2!$A$1:$B$270,2,FALSE)</f>
        <v>#N/A</v>
      </c>
    </row>
    <row r="5195" spans="15:61" hidden="1">
      <c r="O5195" s="57"/>
      <c r="P5195" s="57"/>
      <c r="AO5195" s="57"/>
      <c r="AP5195" s="57"/>
      <c r="BA5195" s="57"/>
      <c r="BF5195" s="6" t="e">
        <f t="shared" si="243"/>
        <v>#NUM!</v>
      </c>
      <c r="BG5195" t="e">
        <f t="shared" si="244"/>
        <v>#NUM!</v>
      </c>
      <c r="BH5195" t="e">
        <f t="shared" si="245"/>
        <v>#NUM!</v>
      </c>
      <c r="BI5195" t="e">
        <f>VLOOKUP(H5195,Sheet2!$A$1:$B$270,2,FALSE)</f>
        <v>#N/A</v>
      </c>
    </row>
    <row r="5196" spans="15:61" hidden="1">
      <c r="O5196" s="57"/>
      <c r="P5196" s="57"/>
      <c r="AO5196" s="57"/>
      <c r="AP5196" s="57"/>
      <c r="BA5196" s="57"/>
      <c r="BF5196" s="6" t="e">
        <f t="shared" si="243"/>
        <v>#NUM!</v>
      </c>
      <c r="BG5196" t="e">
        <f t="shared" si="244"/>
        <v>#NUM!</v>
      </c>
      <c r="BH5196" t="e">
        <f t="shared" si="245"/>
        <v>#NUM!</v>
      </c>
      <c r="BI5196" t="e">
        <f>VLOOKUP(H5196,Sheet2!$A$1:$B$270,2,FALSE)</f>
        <v>#N/A</v>
      </c>
    </row>
    <row r="5197" spans="15:61" hidden="1">
      <c r="O5197" s="57"/>
      <c r="P5197" s="57"/>
      <c r="AO5197" s="57"/>
      <c r="AP5197" s="57"/>
      <c r="BA5197" s="57"/>
      <c r="BF5197" s="6" t="e">
        <f t="shared" si="243"/>
        <v>#NUM!</v>
      </c>
      <c r="BG5197" t="e">
        <f t="shared" si="244"/>
        <v>#NUM!</v>
      </c>
      <c r="BH5197" t="e">
        <f t="shared" si="245"/>
        <v>#NUM!</v>
      </c>
      <c r="BI5197" t="e">
        <f>VLOOKUP(H5197,Sheet2!$A$1:$B$270,2,FALSE)</f>
        <v>#N/A</v>
      </c>
    </row>
    <row r="5198" spans="15:61" hidden="1">
      <c r="O5198" s="57"/>
      <c r="P5198" s="57"/>
      <c r="AO5198" s="57"/>
      <c r="AP5198" s="57"/>
      <c r="BA5198" s="57"/>
      <c r="BF5198" s="6" t="e">
        <f t="shared" si="243"/>
        <v>#NUM!</v>
      </c>
      <c r="BG5198" t="e">
        <f t="shared" si="244"/>
        <v>#NUM!</v>
      </c>
      <c r="BH5198" t="e">
        <f t="shared" si="245"/>
        <v>#NUM!</v>
      </c>
      <c r="BI5198" t="e">
        <f>VLOOKUP(H5198,Sheet2!$A$1:$B$270,2,FALSE)</f>
        <v>#N/A</v>
      </c>
    </row>
    <row r="5199" spans="15:61" hidden="1">
      <c r="O5199" s="57"/>
      <c r="P5199" s="57"/>
      <c r="AO5199" s="57"/>
      <c r="AP5199" s="57"/>
      <c r="BA5199" s="57"/>
      <c r="BF5199" s="6" t="e">
        <f t="shared" si="243"/>
        <v>#NUM!</v>
      </c>
      <c r="BG5199" t="e">
        <f t="shared" si="244"/>
        <v>#NUM!</v>
      </c>
      <c r="BH5199" t="e">
        <f t="shared" si="245"/>
        <v>#NUM!</v>
      </c>
      <c r="BI5199" t="e">
        <f>VLOOKUP(H5199,Sheet2!$A$1:$B$270,2,FALSE)</f>
        <v>#N/A</v>
      </c>
    </row>
    <row r="5200" spans="15:61" hidden="1">
      <c r="O5200" s="57"/>
      <c r="P5200" s="57"/>
      <c r="AO5200" s="57"/>
      <c r="AP5200" s="57"/>
      <c r="BA5200" s="57"/>
      <c r="BF5200" s="6" t="e">
        <f t="shared" si="243"/>
        <v>#NUM!</v>
      </c>
      <c r="BG5200" t="e">
        <f t="shared" si="244"/>
        <v>#NUM!</v>
      </c>
      <c r="BH5200" t="e">
        <f t="shared" si="245"/>
        <v>#NUM!</v>
      </c>
      <c r="BI5200" t="e">
        <f>VLOOKUP(H5200,Sheet2!$A$1:$B$270,2,FALSE)</f>
        <v>#N/A</v>
      </c>
    </row>
    <row r="5201" spans="15:61" hidden="1">
      <c r="O5201" s="57"/>
      <c r="P5201" s="57"/>
      <c r="AO5201" s="57"/>
      <c r="AP5201" s="57"/>
      <c r="BA5201" s="57"/>
      <c r="BF5201" s="6" t="e">
        <f t="shared" si="243"/>
        <v>#NUM!</v>
      </c>
      <c r="BG5201" t="e">
        <f t="shared" si="244"/>
        <v>#NUM!</v>
      </c>
      <c r="BH5201" t="e">
        <f t="shared" si="245"/>
        <v>#NUM!</v>
      </c>
      <c r="BI5201" t="e">
        <f>VLOOKUP(H5201,Sheet2!$A$1:$B$270,2,FALSE)</f>
        <v>#N/A</v>
      </c>
    </row>
    <row r="5202" spans="15:61" hidden="1">
      <c r="O5202" s="57"/>
      <c r="P5202" s="57"/>
      <c r="AO5202" s="57"/>
      <c r="AP5202" s="57"/>
      <c r="BA5202" s="57"/>
      <c r="BF5202" s="6" t="e">
        <f t="shared" si="243"/>
        <v>#NUM!</v>
      </c>
      <c r="BG5202" t="e">
        <f t="shared" si="244"/>
        <v>#NUM!</v>
      </c>
      <c r="BH5202" t="e">
        <f t="shared" si="245"/>
        <v>#NUM!</v>
      </c>
      <c r="BI5202" t="e">
        <f>VLOOKUP(H5202,Sheet2!$A$1:$B$270,2,FALSE)</f>
        <v>#N/A</v>
      </c>
    </row>
    <row r="5203" spans="15:61" hidden="1">
      <c r="O5203" s="57"/>
      <c r="P5203" s="57"/>
      <c r="AO5203" s="57"/>
      <c r="AP5203" s="57"/>
      <c r="BA5203" s="57"/>
      <c r="BF5203" s="6" t="e">
        <f t="shared" si="243"/>
        <v>#NUM!</v>
      </c>
      <c r="BG5203" t="e">
        <f t="shared" si="244"/>
        <v>#NUM!</v>
      </c>
      <c r="BH5203" t="e">
        <f t="shared" si="245"/>
        <v>#NUM!</v>
      </c>
      <c r="BI5203" t="e">
        <f>VLOOKUP(H5203,Sheet2!$A$1:$B$270,2,FALSE)</f>
        <v>#N/A</v>
      </c>
    </row>
    <row r="5204" spans="15:61" hidden="1">
      <c r="O5204" s="57"/>
      <c r="P5204" s="57"/>
      <c r="AO5204" s="57"/>
      <c r="AP5204" s="57"/>
      <c r="BA5204" s="57"/>
      <c r="BF5204" s="6" t="e">
        <f t="shared" si="243"/>
        <v>#NUM!</v>
      </c>
      <c r="BG5204" t="e">
        <f t="shared" si="244"/>
        <v>#NUM!</v>
      </c>
      <c r="BH5204" t="e">
        <f t="shared" si="245"/>
        <v>#NUM!</v>
      </c>
      <c r="BI5204" t="e">
        <f>VLOOKUP(H5204,Sheet2!$A$1:$B$270,2,FALSE)</f>
        <v>#N/A</v>
      </c>
    </row>
    <row r="5205" spans="15:61" hidden="1">
      <c r="O5205" s="57"/>
      <c r="P5205" s="57"/>
      <c r="AO5205" s="57"/>
      <c r="BF5205" s="6" t="e">
        <f t="shared" si="243"/>
        <v>#NUM!</v>
      </c>
      <c r="BG5205" t="e">
        <f t="shared" si="244"/>
        <v>#NUM!</v>
      </c>
      <c r="BH5205" t="e">
        <f t="shared" si="245"/>
        <v>#NUM!</v>
      </c>
      <c r="BI5205" t="e">
        <f>VLOOKUP(H5205,Sheet2!$A$1:$B$270,2,FALSE)</f>
        <v>#N/A</v>
      </c>
    </row>
    <row r="5206" spans="15:61" hidden="1">
      <c r="O5206" s="57"/>
      <c r="P5206" s="57"/>
      <c r="AO5206" s="57"/>
      <c r="AP5206" s="57"/>
      <c r="BA5206" s="57"/>
      <c r="BF5206" s="6" t="e">
        <f t="shared" si="243"/>
        <v>#NUM!</v>
      </c>
      <c r="BG5206" t="e">
        <f t="shared" si="244"/>
        <v>#NUM!</v>
      </c>
      <c r="BH5206" t="e">
        <f t="shared" si="245"/>
        <v>#NUM!</v>
      </c>
      <c r="BI5206" t="e">
        <f>VLOOKUP(H5206,Sheet2!$A$1:$B$270,2,FALSE)</f>
        <v>#N/A</v>
      </c>
    </row>
    <row r="5207" spans="15:61" hidden="1">
      <c r="O5207" s="57"/>
      <c r="P5207" s="57"/>
      <c r="AO5207" s="57"/>
      <c r="AP5207" s="57"/>
      <c r="BA5207" s="57"/>
      <c r="BF5207" s="6" t="e">
        <f t="shared" si="243"/>
        <v>#NUM!</v>
      </c>
      <c r="BG5207" t="e">
        <f t="shared" si="244"/>
        <v>#NUM!</v>
      </c>
      <c r="BH5207" t="e">
        <f t="shared" si="245"/>
        <v>#NUM!</v>
      </c>
      <c r="BI5207" t="e">
        <f>VLOOKUP(H5207,Sheet2!$A$1:$B$270,2,FALSE)</f>
        <v>#N/A</v>
      </c>
    </row>
    <row r="5208" spans="15:61" hidden="1">
      <c r="O5208" s="57"/>
      <c r="P5208" s="57"/>
      <c r="AO5208" s="57"/>
      <c r="AP5208" s="57"/>
      <c r="BA5208" s="57"/>
      <c r="BF5208" s="6" t="e">
        <f t="shared" si="243"/>
        <v>#NUM!</v>
      </c>
      <c r="BG5208" t="e">
        <f t="shared" si="244"/>
        <v>#NUM!</v>
      </c>
      <c r="BH5208" t="e">
        <f t="shared" si="245"/>
        <v>#NUM!</v>
      </c>
      <c r="BI5208" t="e">
        <f>VLOOKUP(H5208,Sheet2!$A$1:$B$270,2,FALSE)</f>
        <v>#N/A</v>
      </c>
    </row>
    <row r="5209" spans="15:61" hidden="1">
      <c r="O5209" s="57"/>
      <c r="P5209" s="57"/>
      <c r="AO5209" s="57"/>
      <c r="AP5209" s="57"/>
      <c r="BA5209" s="57"/>
      <c r="BF5209" s="6" t="e">
        <f t="shared" si="243"/>
        <v>#NUM!</v>
      </c>
      <c r="BG5209" t="e">
        <f t="shared" si="244"/>
        <v>#NUM!</v>
      </c>
      <c r="BH5209" t="e">
        <f t="shared" si="245"/>
        <v>#NUM!</v>
      </c>
      <c r="BI5209" t="e">
        <f>VLOOKUP(H5209,Sheet2!$A$1:$B$270,2,FALSE)</f>
        <v>#N/A</v>
      </c>
    </row>
    <row r="5210" spans="15:61" hidden="1">
      <c r="O5210" s="57"/>
      <c r="P5210" s="57"/>
      <c r="AO5210" s="57"/>
      <c r="AP5210" s="57"/>
      <c r="BA5210" s="57"/>
      <c r="BF5210" s="6" t="e">
        <f t="shared" si="243"/>
        <v>#NUM!</v>
      </c>
      <c r="BG5210" t="e">
        <f t="shared" si="244"/>
        <v>#NUM!</v>
      </c>
      <c r="BH5210" t="e">
        <f t="shared" si="245"/>
        <v>#NUM!</v>
      </c>
      <c r="BI5210" t="e">
        <f>VLOOKUP(H5210,Sheet2!$A$1:$B$270,2,FALSE)</f>
        <v>#N/A</v>
      </c>
    </row>
    <row r="5211" spans="15:61" hidden="1">
      <c r="O5211" s="57"/>
      <c r="P5211" s="57"/>
      <c r="AO5211" s="57"/>
      <c r="AP5211" s="57"/>
      <c r="BA5211" s="57"/>
      <c r="BF5211" s="6" t="e">
        <f t="shared" si="243"/>
        <v>#NUM!</v>
      </c>
      <c r="BG5211" t="e">
        <f t="shared" si="244"/>
        <v>#NUM!</v>
      </c>
      <c r="BH5211" t="e">
        <f t="shared" si="245"/>
        <v>#NUM!</v>
      </c>
      <c r="BI5211" t="e">
        <f>VLOOKUP(H5211,Sheet2!$A$1:$B$270,2,FALSE)</f>
        <v>#N/A</v>
      </c>
    </row>
    <row r="5212" spans="15:61" hidden="1">
      <c r="O5212" s="57"/>
      <c r="P5212" s="57"/>
      <c r="AO5212" s="57"/>
      <c r="AP5212" s="57"/>
      <c r="BA5212" s="57"/>
      <c r="BF5212" s="6" t="e">
        <f t="shared" si="243"/>
        <v>#NUM!</v>
      </c>
      <c r="BG5212" t="e">
        <f t="shared" si="244"/>
        <v>#NUM!</v>
      </c>
      <c r="BH5212" t="e">
        <f t="shared" si="245"/>
        <v>#NUM!</v>
      </c>
      <c r="BI5212" t="e">
        <f>VLOOKUP(H5212,Sheet2!$A$1:$B$270,2,FALSE)</f>
        <v>#N/A</v>
      </c>
    </row>
    <row r="5213" spans="15:61" hidden="1">
      <c r="O5213" s="57"/>
      <c r="P5213" s="57"/>
      <c r="AO5213" s="57"/>
      <c r="AP5213" s="57"/>
      <c r="BA5213" s="57"/>
      <c r="BF5213" s="6" t="e">
        <f t="shared" si="243"/>
        <v>#NUM!</v>
      </c>
      <c r="BG5213" t="e">
        <f t="shared" si="244"/>
        <v>#NUM!</v>
      </c>
      <c r="BH5213" t="e">
        <f t="shared" si="245"/>
        <v>#NUM!</v>
      </c>
      <c r="BI5213" t="e">
        <f>VLOOKUP(H5213,Sheet2!$A$1:$B$270,2,FALSE)</f>
        <v>#N/A</v>
      </c>
    </row>
    <row r="5214" spans="15:61" hidden="1">
      <c r="O5214" s="57"/>
      <c r="P5214" s="57"/>
      <c r="AO5214" s="57"/>
      <c r="AP5214" s="57"/>
      <c r="BA5214" s="57"/>
      <c r="BF5214" s="6" t="e">
        <f t="shared" si="243"/>
        <v>#NUM!</v>
      </c>
      <c r="BG5214" t="e">
        <f t="shared" si="244"/>
        <v>#NUM!</v>
      </c>
      <c r="BH5214" t="e">
        <f t="shared" si="245"/>
        <v>#NUM!</v>
      </c>
      <c r="BI5214" t="e">
        <f>VLOOKUP(H5214,Sheet2!$A$1:$B$270,2,FALSE)</f>
        <v>#N/A</v>
      </c>
    </row>
    <row r="5215" spans="15:61" hidden="1">
      <c r="O5215" s="57"/>
      <c r="P5215" s="57"/>
      <c r="AO5215" s="57"/>
      <c r="AP5215" s="57"/>
      <c r="BA5215" s="57"/>
      <c r="BF5215" s="6" t="e">
        <f t="shared" si="243"/>
        <v>#NUM!</v>
      </c>
      <c r="BG5215" t="e">
        <f t="shared" si="244"/>
        <v>#NUM!</v>
      </c>
      <c r="BH5215" t="e">
        <f t="shared" si="245"/>
        <v>#NUM!</v>
      </c>
      <c r="BI5215" t="e">
        <f>VLOOKUP(H5215,Sheet2!$A$1:$B$270,2,FALSE)</f>
        <v>#N/A</v>
      </c>
    </row>
    <row r="5216" spans="15:61" hidden="1">
      <c r="O5216" s="57"/>
      <c r="P5216" s="57"/>
      <c r="AO5216" s="57"/>
      <c r="AP5216" s="57"/>
      <c r="BA5216" s="57"/>
      <c r="BF5216" s="6" t="e">
        <f t="shared" si="243"/>
        <v>#NUM!</v>
      </c>
      <c r="BG5216" t="e">
        <f t="shared" si="244"/>
        <v>#NUM!</v>
      </c>
      <c r="BH5216" t="e">
        <f t="shared" si="245"/>
        <v>#NUM!</v>
      </c>
      <c r="BI5216" t="e">
        <f>VLOOKUP(H5216,Sheet2!$A$1:$B$270,2,FALSE)</f>
        <v>#N/A</v>
      </c>
    </row>
    <row r="5217" spans="15:61" hidden="1">
      <c r="O5217" s="57"/>
      <c r="P5217" s="57"/>
      <c r="AO5217" s="57"/>
      <c r="AP5217" s="57"/>
      <c r="BA5217" s="57"/>
      <c r="BF5217" s="6" t="e">
        <f t="shared" si="243"/>
        <v>#NUM!</v>
      </c>
      <c r="BG5217" t="e">
        <f t="shared" si="244"/>
        <v>#NUM!</v>
      </c>
      <c r="BH5217" t="e">
        <f t="shared" si="245"/>
        <v>#NUM!</v>
      </c>
      <c r="BI5217" t="e">
        <f>VLOOKUP(H5217,Sheet2!$A$1:$B$270,2,FALSE)</f>
        <v>#N/A</v>
      </c>
    </row>
    <row r="5218" spans="15:61" hidden="1">
      <c r="O5218" s="57"/>
      <c r="P5218" s="57"/>
      <c r="AO5218" s="57"/>
      <c r="AP5218" s="57"/>
      <c r="BA5218" s="57"/>
      <c r="BF5218" s="6" t="e">
        <f t="shared" si="243"/>
        <v>#NUM!</v>
      </c>
      <c r="BG5218" t="e">
        <f t="shared" si="244"/>
        <v>#NUM!</v>
      </c>
      <c r="BH5218" t="e">
        <f t="shared" si="245"/>
        <v>#NUM!</v>
      </c>
      <c r="BI5218" t="e">
        <f>VLOOKUP(H5218,Sheet2!$A$1:$B$270,2,FALSE)</f>
        <v>#N/A</v>
      </c>
    </row>
    <row r="5219" spans="15:61" hidden="1">
      <c r="O5219" s="57"/>
      <c r="P5219" s="57"/>
      <c r="AO5219" s="57"/>
      <c r="AP5219" s="57"/>
      <c r="BA5219" s="57"/>
      <c r="BF5219" s="6" t="e">
        <f t="shared" si="243"/>
        <v>#NUM!</v>
      </c>
      <c r="BG5219" t="e">
        <f t="shared" si="244"/>
        <v>#NUM!</v>
      </c>
      <c r="BH5219" t="e">
        <f t="shared" si="245"/>
        <v>#NUM!</v>
      </c>
      <c r="BI5219" t="e">
        <f>VLOOKUP(H5219,Sheet2!$A$1:$B$270,2,FALSE)</f>
        <v>#N/A</v>
      </c>
    </row>
    <row r="5220" spans="15:61" hidden="1">
      <c r="O5220" s="57"/>
      <c r="P5220" s="57"/>
      <c r="AO5220" s="57"/>
      <c r="AP5220" s="57"/>
      <c r="BA5220" s="57"/>
      <c r="BF5220" s="6" t="e">
        <f t="shared" si="243"/>
        <v>#NUM!</v>
      </c>
      <c r="BG5220" t="e">
        <f t="shared" si="244"/>
        <v>#NUM!</v>
      </c>
      <c r="BH5220" t="e">
        <f t="shared" si="245"/>
        <v>#NUM!</v>
      </c>
      <c r="BI5220" t="e">
        <f>VLOOKUP(H5220,Sheet2!$A$1:$B$270,2,FALSE)</f>
        <v>#N/A</v>
      </c>
    </row>
    <row r="5221" spans="15:61" hidden="1">
      <c r="O5221" s="57"/>
      <c r="P5221" s="57"/>
      <c r="AO5221" s="57"/>
      <c r="AP5221" s="57"/>
      <c r="BA5221" s="57"/>
      <c r="BF5221" s="6" t="e">
        <f t="shared" si="243"/>
        <v>#NUM!</v>
      </c>
      <c r="BG5221" t="e">
        <f t="shared" si="244"/>
        <v>#NUM!</v>
      </c>
      <c r="BH5221" t="e">
        <f t="shared" si="245"/>
        <v>#NUM!</v>
      </c>
      <c r="BI5221" t="e">
        <f>VLOOKUP(H5221,Sheet2!$A$1:$B$270,2,FALSE)</f>
        <v>#N/A</v>
      </c>
    </row>
    <row r="5222" spans="15:61" hidden="1">
      <c r="O5222" s="57"/>
      <c r="P5222" s="57"/>
      <c r="AO5222" s="57"/>
      <c r="AP5222" s="57"/>
      <c r="BA5222" s="57"/>
      <c r="BF5222" s="6" t="e">
        <f t="shared" si="243"/>
        <v>#NUM!</v>
      </c>
      <c r="BG5222" t="e">
        <f t="shared" si="244"/>
        <v>#NUM!</v>
      </c>
      <c r="BH5222" t="e">
        <f t="shared" si="245"/>
        <v>#NUM!</v>
      </c>
      <c r="BI5222" t="e">
        <f>VLOOKUP(H5222,Sheet2!$A$1:$B$270,2,FALSE)</f>
        <v>#N/A</v>
      </c>
    </row>
    <row r="5223" spans="15:61" hidden="1">
      <c r="O5223" s="57"/>
      <c r="P5223" s="57"/>
      <c r="AO5223" s="57"/>
      <c r="AP5223" s="57"/>
      <c r="BA5223" s="57"/>
      <c r="BF5223" s="6" t="e">
        <f t="shared" si="243"/>
        <v>#NUM!</v>
      </c>
      <c r="BG5223" t="e">
        <f t="shared" si="244"/>
        <v>#NUM!</v>
      </c>
      <c r="BH5223" t="e">
        <f t="shared" si="245"/>
        <v>#NUM!</v>
      </c>
      <c r="BI5223" t="e">
        <f>VLOOKUP(H5223,Sheet2!$A$1:$B$270,2,FALSE)</f>
        <v>#N/A</v>
      </c>
    </row>
    <row r="5224" spans="15:61" hidden="1">
      <c r="O5224" s="57"/>
      <c r="P5224" s="57"/>
      <c r="AO5224" s="57"/>
      <c r="AP5224" s="57"/>
      <c r="BA5224" s="57"/>
      <c r="BF5224" s="6" t="e">
        <f t="shared" si="243"/>
        <v>#NUM!</v>
      </c>
      <c r="BG5224" t="e">
        <f t="shared" si="244"/>
        <v>#NUM!</v>
      </c>
      <c r="BH5224" t="e">
        <f t="shared" si="245"/>
        <v>#NUM!</v>
      </c>
      <c r="BI5224" t="e">
        <f>VLOOKUP(H5224,Sheet2!$A$1:$B$270,2,FALSE)</f>
        <v>#N/A</v>
      </c>
    </row>
    <row r="5225" spans="15:61" hidden="1">
      <c r="O5225" s="57"/>
      <c r="P5225" s="57"/>
      <c r="AO5225" s="57"/>
      <c r="AP5225" s="57"/>
      <c r="BA5225" s="57"/>
      <c r="BF5225" s="6" t="e">
        <f t="shared" si="243"/>
        <v>#NUM!</v>
      </c>
      <c r="BG5225" t="e">
        <f t="shared" si="244"/>
        <v>#NUM!</v>
      </c>
      <c r="BH5225" t="e">
        <f t="shared" si="245"/>
        <v>#NUM!</v>
      </c>
      <c r="BI5225" t="e">
        <f>VLOOKUP(H5225,Sheet2!$A$1:$B$270,2,FALSE)</f>
        <v>#N/A</v>
      </c>
    </row>
    <row r="5226" spans="15:61" hidden="1">
      <c r="O5226" s="57"/>
      <c r="P5226" s="57"/>
      <c r="AO5226" s="57"/>
      <c r="AP5226" s="57"/>
      <c r="BA5226" s="57"/>
      <c r="BF5226" s="6" t="e">
        <f t="shared" si="243"/>
        <v>#NUM!</v>
      </c>
      <c r="BG5226" t="e">
        <f t="shared" si="244"/>
        <v>#NUM!</v>
      </c>
      <c r="BH5226" t="e">
        <f t="shared" si="245"/>
        <v>#NUM!</v>
      </c>
      <c r="BI5226" t="e">
        <f>VLOOKUP(H5226,Sheet2!$A$1:$B$270,2,FALSE)</f>
        <v>#N/A</v>
      </c>
    </row>
    <row r="5227" spans="15:61" hidden="1">
      <c r="O5227" s="57"/>
      <c r="P5227" s="57"/>
      <c r="AO5227" s="57"/>
      <c r="AP5227" s="57"/>
      <c r="BA5227" s="57"/>
      <c r="BF5227" s="6" t="e">
        <f t="shared" si="243"/>
        <v>#NUM!</v>
      </c>
      <c r="BG5227" t="e">
        <f t="shared" si="244"/>
        <v>#NUM!</v>
      </c>
      <c r="BH5227" t="e">
        <f t="shared" si="245"/>
        <v>#NUM!</v>
      </c>
      <c r="BI5227" t="e">
        <f>VLOOKUP(H5227,Sheet2!$A$1:$B$270,2,FALSE)</f>
        <v>#N/A</v>
      </c>
    </row>
    <row r="5228" spans="15:61" hidden="1">
      <c r="O5228" s="57"/>
      <c r="P5228" s="57"/>
      <c r="AO5228" s="57"/>
      <c r="AP5228" s="57"/>
      <c r="BA5228" s="57"/>
      <c r="BF5228" s="6" t="e">
        <f t="shared" si="243"/>
        <v>#NUM!</v>
      </c>
      <c r="BG5228" t="e">
        <f t="shared" si="244"/>
        <v>#NUM!</v>
      </c>
      <c r="BH5228" t="e">
        <f t="shared" si="245"/>
        <v>#NUM!</v>
      </c>
      <c r="BI5228" t="e">
        <f>VLOOKUP(H5228,Sheet2!$A$1:$B$270,2,FALSE)</f>
        <v>#N/A</v>
      </c>
    </row>
    <row r="5229" spans="15:61" hidden="1">
      <c r="O5229" s="57"/>
      <c r="P5229" s="57"/>
      <c r="AO5229" s="57"/>
      <c r="AP5229" s="57"/>
      <c r="BA5229" s="57"/>
      <c r="BF5229" s="6" t="e">
        <f t="shared" si="243"/>
        <v>#NUM!</v>
      </c>
      <c r="BG5229" t="e">
        <f t="shared" si="244"/>
        <v>#NUM!</v>
      </c>
      <c r="BH5229" t="e">
        <f t="shared" si="245"/>
        <v>#NUM!</v>
      </c>
      <c r="BI5229" t="e">
        <f>VLOOKUP(H5229,Sheet2!$A$1:$B$270,2,FALSE)</f>
        <v>#N/A</v>
      </c>
    </row>
    <row r="5230" spans="15:61" hidden="1">
      <c r="O5230" s="57"/>
      <c r="P5230" s="57"/>
      <c r="AO5230" s="57"/>
      <c r="AP5230" s="57"/>
      <c r="BA5230" s="57"/>
      <c r="BF5230" s="6" t="e">
        <f t="shared" si="243"/>
        <v>#NUM!</v>
      </c>
      <c r="BG5230" t="e">
        <f t="shared" si="244"/>
        <v>#NUM!</v>
      </c>
      <c r="BH5230" t="e">
        <f t="shared" si="245"/>
        <v>#NUM!</v>
      </c>
      <c r="BI5230" t="e">
        <f>VLOOKUP(H5230,Sheet2!$A$1:$B$270,2,FALSE)</f>
        <v>#N/A</v>
      </c>
    </row>
    <row r="5231" spans="15:61" hidden="1">
      <c r="O5231" s="57"/>
      <c r="P5231" s="57"/>
      <c r="AO5231" s="57"/>
      <c r="AP5231" s="57"/>
      <c r="BA5231" s="57"/>
      <c r="BF5231" s="6" t="e">
        <f t="shared" si="243"/>
        <v>#NUM!</v>
      </c>
      <c r="BG5231" t="e">
        <f t="shared" si="244"/>
        <v>#NUM!</v>
      </c>
      <c r="BH5231" t="e">
        <f t="shared" si="245"/>
        <v>#NUM!</v>
      </c>
      <c r="BI5231" t="e">
        <f>VLOOKUP(H5231,Sheet2!$A$1:$B$270,2,FALSE)</f>
        <v>#N/A</v>
      </c>
    </row>
    <row r="5232" spans="15:61" hidden="1">
      <c r="O5232" s="57"/>
      <c r="P5232" s="57"/>
      <c r="AO5232" s="57"/>
      <c r="AP5232" s="57"/>
      <c r="BA5232" s="57"/>
      <c r="BF5232" s="6" t="e">
        <f t="shared" si="243"/>
        <v>#NUM!</v>
      </c>
      <c r="BG5232" t="e">
        <f t="shared" si="244"/>
        <v>#NUM!</v>
      </c>
      <c r="BH5232" t="e">
        <f t="shared" si="245"/>
        <v>#NUM!</v>
      </c>
      <c r="BI5232" t="e">
        <f>VLOOKUP(H5232,Sheet2!$A$1:$B$270,2,FALSE)</f>
        <v>#N/A</v>
      </c>
    </row>
    <row r="5233" spans="15:61" hidden="1">
      <c r="O5233" s="57"/>
      <c r="P5233" s="57"/>
      <c r="AO5233" s="57"/>
      <c r="AP5233" s="57"/>
      <c r="BA5233" s="57"/>
      <c r="BF5233" s="6" t="e">
        <f t="shared" si="243"/>
        <v>#NUM!</v>
      </c>
      <c r="BG5233" t="e">
        <f t="shared" si="244"/>
        <v>#NUM!</v>
      </c>
      <c r="BH5233" t="e">
        <f t="shared" si="245"/>
        <v>#NUM!</v>
      </c>
      <c r="BI5233" t="e">
        <f>VLOOKUP(H5233,Sheet2!$A$1:$B$270,2,FALSE)</f>
        <v>#N/A</v>
      </c>
    </row>
    <row r="5234" spans="15:61" hidden="1">
      <c r="O5234" s="57"/>
      <c r="P5234" s="57"/>
      <c r="AO5234" s="57"/>
      <c r="AP5234" s="57"/>
      <c r="BA5234" s="57"/>
      <c r="BF5234" s="6" t="e">
        <f t="shared" si="243"/>
        <v>#NUM!</v>
      </c>
      <c r="BG5234" t="e">
        <f t="shared" si="244"/>
        <v>#NUM!</v>
      </c>
      <c r="BH5234" t="e">
        <f t="shared" si="245"/>
        <v>#NUM!</v>
      </c>
      <c r="BI5234" t="e">
        <f>VLOOKUP(H5234,Sheet2!$A$1:$B$270,2,FALSE)</f>
        <v>#N/A</v>
      </c>
    </row>
    <row r="5235" spans="15:61" hidden="1">
      <c r="O5235" s="57"/>
      <c r="P5235" s="57"/>
      <c r="AO5235" s="57"/>
      <c r="AP5235" s="57"/>
      <c r="BA5235" s="57"/>
      <c r="BF5235" s="6" t="e">
        <f t="shared" si="243"/>
        <v>#NUM!</v>
      </c>
      <c r="BG5235" t="e">
        <f t="shared" si="244"/>
        <v>#NUM!</v>
      </c>
      <c r="BH5235" t="e">
        <f t="shared" si="245"/>
        <v>#NUM!</v>
      </c>
      <c r="BI5235" t="e">
        <f>VLOOKUP(H5235,Sheet2!$A$1:$B$270,2,FALSE)</f>
        <v>#N/A</v>
      </c>
    </row>
    <row r="5236" spans="15:61" hidden="1">
      <c r="O5236" s="57"/>
      <c r="P5236" s="57"/>
      <c r="AO5236" s="57"/>
      <c r="AP5236" s="57"/>
      <c r="BA5236" s="57"/>
      <c r="BF5236" s="6" t="e">
        <f t="shared" si="243"/>
        <v>#NUM!</v>
      </c>
      <c r="BG5236" t="e">
        <f t="shared" si="244"/>
        <v>#NUM!</v>
      </c>
      <c r="BH5236" t="e">
        <f t="shared" si="245"/>
        <v>#NUM!</v>
      </c>
      <c r="BI5236" t="e">
        <f>VLOOKUP(H5236,Sheet2!$A$1:$B$270,2,FALSE)</f>
        <v>#N/A</v>
      </c>
    </row>
    <row r="5237" spans="15:61" hidden="1">
      <c r="O5237" s="57"/>
      <c r="P5237" s="57"/>
      <c r="AO5237" s="57"/>
      <c r="AP5237" s="57"/>
      <c r="BA5237" s="57"/>
      <c r="BF5237" s="6" t="e">
        <f t="shared" si="243"/>
        <v>#NUM!</v>
      </c>
      <c r="BG5237" t="e">
        <f t="shared" si="244"/>
        <v>#NUM!</v>
      </c>
      <c r="BH5237" t="e">
        <f t="shared" si="245"/>
        <v>#NUM!</v>
      </c>
      <c r="BI5237" t="e">
        <f>VLOOKUP(H5237,Sheet2!$A$1:$B$270,2,FALSE)</f>
        <v>#N/A</v>
      </c>
    </row>
    <row r="5238" spans="15:61" hidden="1">
      <c r="O5238" s="57"/>
      <c r="P5238" s="57"/>
      <c r="AO5238" s="57"/>
      <c r="AP5238" s="57"/>
      <c r="BA5238" s="57"/>
      <c r="BF5238" s="6" t="e">
        <f t="shared" si="243"/>
        <v>#NUM!</v>
      </c>
      <c r="BG5238" t="e">
        <f t="shared" si="244"/>
        <v>#NUM!</v>
      </c>
      <c r="BH5238" t="e">
        <f t="shared" si="245"/>
        <v>#NUM!</v>
      </c>
      <c r="BI5238" t="e">
        <f>VLOOKUP(H5238,Sheet2!$A$1:$B$270,2,FALSE)</f>
        <v>#N/A</v>
      </c>
    </row>
    <row r="5239" spans="15:61" hidden="1">
      <c r="O5239" s="57"/>
      <c r="P5239" s="57"/>
      <c r="AO5239" s="57"/>
      <c r="AP5239" s="57"/>
      <c r="BA5239" s="57"/>
      <c r="BF5239" s="6" t="e">
        <f t="shared" si="243"/>
        <v>#NUM!</v>
      </c>
      <c r="BG5239" t="e">
        <f t="shared" si="244"/>
        <v>#NUM!</v>
      </c>
      <c r="BH5239" t="e">
        <f t="shared" si="245"/>
        <v>#NUM!</v>
      </c>
      <c r="BI5239" t="e">
        <f>VLOOKUP(H5239,Sheet2!$A$1:$B$270,2,FALSE)</f>
        <v>#N/A</v>
      </c>
    </row>
    <row r="5240" spans="15:61" hidden="1">
      <c r="O5240" s="57"/>
      <c r="P5240" s="57"/>
      <c r="AO5240" s="57"/>
      <c r="AP5240" s="57"/>
      <c r="BA5240" s="57"/>
      <c r="BF5240" s="6" t="e">
        <f t="shared" si="243"/>
        <v>#NUM!</v>
      </c>
      <c r="BG5240" t="e">
        <f t="shared" si="244"/>
        <v>#NUM!</v>
      </c>
      <c r="BH5240" t="e">
        <f t="shared" si="245"/>
        <v>#NUM!</v>
      </c>
      <c r="BI5240" t="e">
        <f>VLOOKUP(H5240,Sheet2!$A$1:$B$270,2,FALSE)</f>
        <v>#N/A</v>
      </c>
    </row>
    <row r="5241" spans="15:61" hidden="1">
      <c r="O5241" s="57"/>
      <c r="P5241" s="57"/>
      <c r="AO5241" s="57"/>
      <c r="AP5241" s="57"/>
      <c r="BA5241" s="57"/>
      <c r="BF5241" s="6" t="e">
        <f t="shared" si="243"/>
        <v>#NUM!</v>
      </c>
      <c r="BG5241" t="e">
        <f t="shared" si="244"/>
        <v>#NUM!</v>
      </c>
      <c r="BH5241" t="e">
        <f t="shared" si="245"/>
        <v>#NUM!</v>
      </c>
      <c r="BI5241" t="e">
        <f>VLOOKUP(H5241,Sheet2!$A$1:$B$270,2,FALSE)</f>
        <v>#N/A</v>
      </c>
    </row>
    <row r="5242" spans="15:61" hidden="1">
      <c r="O5242" s="57"/>
      <c r="P5242" s="57"/>
      <c r="AO5242" s="57"/>
      <c r="AP5242" s="57"/>
      <c r="BA5242" s="57"/>
      <c r="BF5242" s="6" t="e">
        <f t="shared" si="243"/>
        <v>#NUM!</v>
      </c>
      <c r="BG5242" t="e">
        <f t="shared" si="244"/>
        <v>#NUM!</v>
      </c>
      <c r="BH5242" t="e">
        <f t="shared" si="245"/>
        <v>#NUM!</v>
      </c>
      <c r="BI5242" t="e">
        <f>VLOOKUP(H5242,Sheet2!$A$1:$B$270,2,FALSE)</f>
        <v>#N/A</v>
      </c>
    </row>
    <row r="5243" spans="15:61" hidden="1">
      <c r="O5243" s="57"/>
      <c r="P5243" s="57"/>
      <c r="AO5243" s="57"/>
      <c r="AP5243" s="57"/>
      <c r="BA5243" s="57"/>
      <c r="BF5243" s="6" t="e">
        <f t="shared" si="243"/>
        <v>#NUM!</v>
      </c>
      <c r="BG5243" t="e">
        <f t="shared" si="244"/>
        <v>#NUM!</v>
      </c>
      <c r="BH5243" t="e">
        <f t="shared" si="245"/>
        <v>#NUM!</v>
      </c>
      <c r="BI5243" t="e">
        <f>VLOOKUP(H5243,Sheet2!$A$1:$B$270,2,FALSE)</f>
        <v>#N/A</v>
      </c>
    </row>
    <row r="5244" spans="15:61" hidden="1">
      <c r="O5244" s="57"/>
      <c r="P5244" s="57"/>
      <c r="AO5244" s="57"/>
      <c r="AP5244" s="57"/>
      <c r="BA5244" s="57"/>
      <c r="BF5244" s="6" t="e">
        <f t="shared" si="243"/>
        <v>#NUM!</v>
      </c>
      <c r="BG5244" t="e">
        <f t="shared" si="244"/>
        <v>#NUM!</v>
      </c>
      <c r="BH5244" t="e">
        <f t="shared" si="245"/>
        <v>#NUM!</v>
      </c>
      <c r="BI5244" t="e">
        <f>VLOOKUP(H5244,Sheet2!$A$1:$B$270,2,FALSE)</f>
        <v>#N/A</v>
      </c>
    </row>
    <row r="5245" spans="15:61" hidden="1">
      <c r="O5245" s="57"/>
      <c r="P5245" s="57"/>
      <c r="AO5245" s="57"/>
      <c r="AP5245" s="57"/>
      <c r="BA5245" s="57"/>
      <c r="BF5245" s="6" t="e">
        <f t="shared" si="243"/>
        <v>#NUM!</v>
      </c>
      <c r="BG5245" t="e">
        <f t="shared" si="244"/>
        <v>#NUM!</v>
      </c>
      <c r="BH5245" t="e">
        <f t="shared" si="245"/>
        <v>#NUM!</v>
      </c>
      <c r="BI5245" t="e">
        <f>VLOOKUP(H5245,Sheet2!$A$1:$B$270,2,FALSE)</f>
        <v>#N/A</v>
      </c>
    </row>
    <row r="5246" spans="15:61" hidden="1">
      <c r="O5246" s="57"/>
      <c r="P5246" s="57"/>
      <c r="AO5246" s="57"/>
      <c r="AP5246" s="57"/>
      <c r="BA5246" s="57"/>
      <c r="BF5246" s="6" t="e">
        <f t="shared" si="243"/>
        <v>#NUM!</v>
      </c>
      <c r="BG5246" t="e">
        <f t="shared" si="244"/>
        <v>#NUM!</v>
      </c>
      <c r="BH5246" t="e">
        <f t="shared" si="245"/>
        <v>#NUM!</v>
      </c>
      <c r="BI5246" t="e">
        <f>VLOOKUP(H5246,Sheet2!$A$1:$B$270,2,FALSE)</f>
        <v>#N/A</v>
      </c>
    </row>
    <row r="5247" spans="15:61" hidden="1">
      <c r="O5247" s="57"/>
      <c r="P5247" s="57"/>
      <c r="AO5247" s="57"/>
      <c r="AP5247" s="57"/>
      <c r="BA5247" s="57"/>
      <c r="BF5247" s="6" t="e">
        <f t="shared" si="243"/>
        <v>#NUM!</v>
      </c>
      <c r="BG5247" t="e">
        <f t="shared" si="244"/>
        <v>#NUM!</v>
      </c>
      <c r="BH5247" t="e">
        <f t="shared" si="245"/>
        <v>#NUM!</v>
      </c>
      <c r="BI5247" t="e">
        <f>VLOOKUP(H5247,Sheet2!$A$1:$B$270,2,FALSE)</f>
        <v>#N/A</v>
      </c>
    </row>
    <row r="5248" spans="15:61" hidden="1">
      <c r="O5248" s="57"/>
      <c r="P5248" s="57"/>
      <c r="AO5248" s="57"/>
      <c r="AP5248" s="57"/>
      <c r="BA5248" s="57"/>
      <c r="BF5248" s="6" t="e">
        <f t="shared" si="243"/>
        <v>#NUM!</v>
      </c>
      <c r="BG5248" t="e">
        <f t="shared" si="244"/>
        <v>#NUM!</v>
      </c>
      <c r="BH5248" t="e">
        <f t="shared" si="245"/>
        <v>#NUM!</v>
      </c>
      <c r="BI5248" t="e">
        <f>VLOOKUP(H5248,Sheet2!$A$1:$B$270,2,FALSE)</f>
        <v>#N/A</v>
      </c>
    </row>
    <row r="5249" spans="15:61" hidden="1">
      <c r="O5249" s="57"/>
      <c r="P5249" s="57"/>
      <c r="AO5249" s="57"/>
      <c r="AP5249" s="57"/>
      <c r="BA5249" s="57"/>
      <c r="BF5249" s="6" t="e">
        <f t="shared" si="243"/>
        <v>#NUM!</v>
      </c>
      <c r="BG5249" t="e">
        <f t="shared" si="244"/>
        <v>#NUM!</v>
      </c>
      <c r="BH5249" t="e">
        <f t="shared" si="245"/>
        <v>#NUM!</v>
      </c>
      <c r="BI5249" t="e">
        <f>VLOOKUP(H5249,Sheet2!$A$1:$B$270,2,FALSE)</f>
        <v>#N/A</v>
      </c>
    </row>
    <row r="5250" spans="15:61" hidden="1">
      <c r="O5250" s="57"/>
      <c r="P5250" s="57"/>
      <c r="AO5250" s="57"/>
      <c r="AP5250" s="57"/>
      <c r="BA5250" s="57"/>
      <c r="BF5250" s="6" t="e">
        <f t="shared" ref="BF5250:BF5313" si="246">DATE(BC5250,BD5250,BE5250)</f>
        <v>#NUM!</v>
      </c>
      <c r="BG5250" t="e">
        <f t="shared" ref="BG5250:BG5313" si="247">BF5250-BA5250</f>
        <v>#NUM!</v>
      </c>
      <c r="BH5250" t="e">
        <f t="shared" ref="BH5250:BH5313" si="248">IF(BG5250=1,"COMPLY",IF(BG5250&lt;1,"COMPLY","NOT COMPLY"))</f>
        <v>#NUM!</v>
      </c>
      <c r="BI5250" t="e">
        <f>VLOOKUP(H5250,Sheet2!$A$1:$B$270,2,FALSE)</f>
        <v>#N/A</v>
      </c>
    </row>
    <row r="5251" spans="15:61" hidden="1">
      <c r="O5251" s="57"/>
      <c r="P5251" s="57"/>
      <c r="AO5251" s="57"/>
      <c r="AP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 hidden="1">
      <c r="O5252" s="57"/>
      <c r="P5252" s="57"/>
      <c r="AO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 hidden="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 hidden="1">
      <c r="O5254" s="57"/>
      <c r="P5254" s="57"/>
      <c r="AO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 hidden="1">
      <c r="O5255" s="57"/>
      <c r="P5255" s="57"/>
      <c r="AO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 hidden="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 hidden="1">
      <c r="O5257" s="57"/>
      <c r="P5257" s="57"/>
      <c r="AO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 hidden="1">
      <c r="O5258" s="57"/>
      <c r="P5258" s="57"/>
      <c r="AO5258" s="57"/>
      <c r="AP5258" s="57"/>
      <c r="BA5258" s="57"/>
      <c r="BF5258" s="6" t="e">
        <f t="shared" si="246"/>
        <v>#NUM!</v>
      </c>
      <c r="BG5258" t="e">
        <f t="shared" si="247"/>
        <v>#NUM!</v>
      </c>
      <c r="BH5258" t="e">
        <f t="shared" si="248"/>
        <v>#NUM!</v>
      </c>
      <c r="BI5258" t="e">
        <f>VLOOKUP(H5258,Sheet2!$A$1:$B$270,2,FALSE)</f>
        <v>#N/A</v>
      </c>
    </row>
    <row r="5259" spans="15:61" hidden="1">
      <c r="O5259" s="57"/>
      <c r="P5259" s="57"/>
      <c r="AO5259" s="57"/>
      <c r="AP5259" s="57"/>
      <c r="BA5259" s="57"/>
      <c r="BF5259" s="6" t="e">
        <f t="shared" si="246"/>
        <v>#NUM!</v>
      </c>
      <c r="BG5259" t="e">
        <f t="shared" si="247"/>
        <v>#NUM!</v>
      </c>
      <c r="BH5259" t="e">
        <f t="shared" si="248"/>
        <v>#NUM!</v>
      </c>
      <c r="BI5259" t="e">
        <f>VLOOKUP(H5259,Sheet2!$A$1:$B$270,2,FALSE)</f>
        <v>#N/A</v>
      </c>
    </row>
    <row r="5260" spans="15:61" hidden="1">
      <c r="O5260" s="57"/>
      <c r="P5260" s="57"/>
      <c r="AO5260" s="57"/>
      <c r="AP5260" s="57"/>
      <c r="BA5260" s="57"/>
      <c r="BF5260" s="6" t="e">
        <f t="shared" si="246"/>
        <v>#NUM!</v>
      </c>
      <c r="BG5260" t="e">
        <f t="shared" si="247"/>
        <v>#NUM!</v>
      </c>
      <c r="BH5260" t="e">
        <f t="shared" si="248"/>
        <v>#NUM!</v>
      </c>
      <c r="BI5260" t="e">
        <f>VLOOKUP(H5260,Sheet2!$A$1:$B$270,2,FALSE)</f>
        <v>#N/A</v>
      </c>
    </row>
    <row r="5261" spans="15:61" hidden="1">
      <c r="O5261" s="57"/>
      <c r="P5261" s="57"/>
      <c r="AO5261" s="57"/>
      <c r="AP5261" s="57"/>
      <c r="BA5261" s="57"/>
      <c r="BF5261" s="6" t="e">
        <f t="shared" si="246"/>
        <v>#NUM!</v>
      </c>
      <c r="BG5261" t="e">
        <f t="shared" si="247"/>
        <v>#NUM!</v>
      </c>
      <c r="BH5261" t="e">
        <f t="shared" si="248"/>
        <v>#NUM!</v>
      </c>
      <c r="BI5261" t="e">
        <f>VLOOKUP(H5261,Sheet2!$A$1:$B$270,2,FALSE)</f>
        <v>#N/A</v>
      </c>
    </row>
    <row r="5262" spans="15:61" hidden="1">
      <c r="O5262" s="57"/>
      <c r="P5262" s="57"/>
      <c r="AO5262" s="57"/>
      <c r="AP5262" s="57"/>
      <c r="BA5262" s="57"/>
      <c r="BF5262" s="6" t="e">
        <f t="shared" si="246"/>
        <v>#NUM!</v>
      </c>
      <c r="BG5262" t="e">
        <f t="shared" si="247"/>
        <v>#NUM!</v>
      </c>
      <c r="BH5262" t="e">
        <f t="shared" si="248"/>
        <v>#NUM!</v>
      </c>
      <c r="BI5262" t="e">
        <f>VLOOKUP(H5262,Sheet2!$A$1:$B$270,2,FALSE)</f>
        <v>#N/A</v>
      </c>
    </row>
    <row r="5263" spans="15:61" hidden="1">
      <c r="O5263" s="57"/>
      <c r="P5263" s="57"/>
      <c r="AO5263" s="57"/>
      <c r="AP5263" s="57"/>
      <c r="BA5263" s="57"/>
      <c r="BF5263" s="6" t="e">
        <f t="shared" si="246"/>
        <v>#NUM!</v>
      </c>
      <c r="BG5263" t="e">
        <f t="shared" si="247"/>
        <v>#NUM!</v>
      </c>
      <c r="BH5263" t="e">
        <f t="shared" si="248"/>
        <v>#NUM!</v>
      </c>
      <c r="BI5263" t="e">
        <f>VLOOKUP(H5263,Sheet2!$A$1:$B$270,2,FALSE)</f>
        <v>#N/A</v>
      </c>
    </row>
    <row r="5264" spans="15:61" hidden="1">
      <c r="O5264" s="57"/>
      <c r="P5264" s="57"/>
      <c r="AO5264" s="57"/>
      <c r="AP5264" s="57"/>
      <c r="BA5264" s="57"/>
      <c r="BF5264" s="6" t="e">
        <f t="shared" si="246"/>
        <v>#NUM!</v>
      </c>
      <c r="BG5264" t="e">
        <f t="shared" si="247"/>
        <v>#NUM!</v>
      </c>
      <c r="BH5264" t="e">
        <f t="shared" si="248"/>
        <v>#NUM!</v>
      </c>
      <c r="BI5264" t="e">
        <f>VLOOKUP(H5264,Sheet2!$A$1:$B$270,2,FALSE)</f>
        <v>#N/A</v>
      </c>
    </row>
    <row r="5265" spans="15:61" hidden="1">
      <c r="O5265" s="57"/>
      <c r="P5265" s="57"/>
      <c r="AO5265" s="57"/>
      <c r="AP5265" s="57"/>
      <c r="BA5265" s="57"/>
      <c r="BF5265" s="6" t="e">
        <f t="shared" si="246"/>
        <v>#NUM!</v>
      </c>
      <c r="BG5265" t="e">
        <f t="shared" si="247"/>
        <v>#NUM!</v>
      </c>
      <c r="BH5265" t="e">
        <f t="shared" si="248"/>
        <v>#NUM!</v>
      </c>
      <c r="BI5265" t="e">
        <f>VLOOKUP(H5265,Sheet2!$A$1:$B$270,2,FALSE)</f>
        <v>#N/A</v>
      </c>
    </row>
    <row r="5266" spans="15:61" hidden="1">
      <c r="O5266" s="57"/>
      <c r="P5266" s="57"/>
      <c r="AO5266" s="57"/>
      <c r="AP5266" s="57"/>
      <c r="BA5266" s="57"/>
      <c r="BF5266" s="6" t="e">
        <f t="shared" si="246"/>
        <v>#NUM!</v>
      </c>
      <c r="BG5266" t="e">
        <f t="shared" si="247"/>
        <v>#NUM!</v>
      </c>
      <c r="BH5266" t="e">
        <f t="shared" si="248"/>
        <v>#NUM!</v>
      </c>
      <c r="BI5266" t="e">
        <f>VLOOKUP(H5266,Sheet2!$A$1:$B$270,2,FALSE)</f>
        <v>#N/A</v>
      </c>
    </row>
    <row r="5267" spans="15:61" hidden="1">
      <c r="O5267" s="57"/>
      <c r="P5267" s="57"/>
      <c r="AO5267" s="57"/>
      <c r="AP5267" s="57"/>
      <c r="BA5267" s="57"/>
      <c r="BF5267" s="6" t="e">
        <f t="shared" si="246"/>
        <v>#NUM!</v>
      </c>
      <c r="BG5267" t="e">
        <f t="shared" si="247"/>
        <v>#NUM!</v>
      </c>
      <c r="BH5267" t="e">
        <f t="shared" si="248"/>
        <v>#NUM!</v>
      </c>
      <c r="BI5267" t="e">
        <f>VLOOKUP(H5267,Sheet2!$A$1:$B$270,2,FALSE)</f>
        <v>#N/A</v>
      </c>
    </row>
    <row r="5268" spans="15:61" hidden="1">
      <c r="O5268" s="57"/>
      <c r="P5268" s="57"/>
      <c r="AO5268" s="57"/>
      <c r="AP5268" s="57"/>
      <c r="BA5268" s="57"/>
      <c r="BF5268" s="6" t="e">
        <f t="shared" si="246"/>
        <v>#NUM!</v>
      </c>
      <c r="BG5268" t="e">
        <f t="shared" si="247"/>
        <v>#NUM!</v>
      </c>
      <c r="BH5268" t="e">
        <f t="shared" si="248"/>
        <v>#NUM!</v>
      </c>
      <c r="BI5268" t="e">
        <f>VLOOKUP(H5268,Sheet2!$A$1:$B$270,2,FALSE)</f>
        <v>#N/A</v>
      </c>
    </row>
    <row r="5269" spans="15:61" hidden="1">
      <c r="O5269" s="57"/>
      <c r="P5269" s="57"/>
      <c r="AO5269" s="57"/>
      <c r="AP5269" s="57"/>
      <c r="BA5269" s="57"/>
      <c r="BF5269" s="6" t="e">
        <f t="shared" si="246"/>
        <v>#NUM!</v>
      </c>
      <c r="BG5269" t="e">
        <f t="shared" si="247"/>
        <v>#NUM!</v>
      </c>
      <c r="BH5269" t="e">
        <f t="shared" si="248"/>
        <v>#NUM!</v>
      </c>
      <c r="BI5269" t="e">
        <f>VLOOKUP(H5269,Sheet2!$A$1:$B$270,2,FALSE)</f>
        <v>#N/A</v>
      </c>
    </row>
    <row r="5270" spans="15:61" hidden="1">
      <c r="O5270" s="57"/>
      <c r="P5270" s="57"/>
      <c r="AO5270" s="57"/>
      <c r="AP5270" s="57"/>
      <c r="BA5270" s="57"/>
      <c r="BF5270" s="6" t="e">
        <f t="shared" si="246"/>
        <v>#NUM!</v>
      </c>
      <c r="BG5270" t="e">
        <f t="shared" si="247"/>
        <v>#NUM!</v>
      </c>
      <c r="BH5270" t="e">
        <f t="shared" si="248"/>
        <v>#NUM!</v>
      </c>
      <c r="BI5270" t="e">
        <f>VLOOKUP(H5270,Sheet2!$A$1:$B$270,2,FALSE)</f>
        <v>#N/A</v>
      </c>
    </row>
    <row r="5271" spans="15:61" hidden="1">
      <c r="O5271" s="57"/>
      <c r="P5271" s="57"/>
      <c r="AO5271" s="57"/>
      <c r="AP5271" s="57"/>
      <c r="BA5271" s="57"/>
      <c r="BF5271" s="6" t="e">
        <f t="shared" si="246"/>
        <v>#NUM!</v>
      </c>
      <c r="BG5271" t="e">
        <f t="shared" si="247"/>
        <v>#NUM!</v>
      </c>
      <c r="BH5271" t="e">
        <f t="shared" si="248"/>
        <v>#NUM!</v>
      </c>
      <c r="BI5271" t="e">
        <f>VLOOKUP(H5271,Sheet2!$A$1:$B$270,2,FALSE)</f>
        <v>#N/A</v>
      </c>
    </row>
    <row r="5272" spans="15:61" hidden="1">
      <c r="O5272" s="57"/>
      <c r="P5272" s="57"/>
      <c r="AO5272" s="57"/>
      <c r="AP5272" s="57"/>
      <c r="BA5272" s="57"/>
      <c r="BF5272" s="6" t="e">
        <f t="shared" si="246"/>
        <v>#NUM!</v>
      </c>
      <c r="BG5272" t="e">
        <f t="shared" si="247"/>
        <v>#NUM!</v>
      </c>
      <c r="BH5272" t="e">
        <f t="shared" si="248"/>
        <v>#NUM!</v>
      </c>
      <c r="BI5272" t="e">
        <f>VLOOKUP(H5272,Sheet2!$A$1:$B$270,2,FALSE)</f>
        <v>#N/A</v>
      </c>
    </row>
    <row r="5273" spans="15:61" hidden="1">
      <c r="O5273" s="57"/>
      <c r="P5273" s="57"/>
      <c r="AO5273" s="57"/>
      <c r="AP5273" s="57"/>
      <c r="BA5273" s="57"/>
      <c r="BF5273" s="6" t="e">
        <f t="shared" si="246"/>
        <v>#NUM!</v>
      </c>
      <c r="BG5273" t="e">
        <f t="shared" si="247"/>
        <v>#NUM!</v>
      </c>
      <c r="BH5273" t="e">
        <f t="shared" si="248"/>
        <v>#NUM!</v>
      </c>
      <c r="BI5273" t="e">
        <f>VLOOKUP(H5273,Sheet2!$A$1:$B$270,2,FALSE)</f>
        <v>#N/A</v>
      </c>
    </row>
    <row r="5274" spans="15:61" hidden="1">
      <c r="O5274" s="57"/>
      <c r="P5274" s="57"/>
      <c r="AO5274" s="57"/>
      <c r="AP5274" s="57"/>
      <c r="BA5274" s="57"/>
      <c r="BF5274" s="6" t="e">
        <f t="shared" si="246"/>
        <v>#NUM!</v>
      </c>
      <c r="BG5274" t="e">
        <f t="shared" si="247"/>
        <v>#NUM!</v>
      </c>
      <c r="BH5274" t="e">
        <f t="shared" si="248"/>
        <v>#NUM!</v>
      </c>
      <c r="BI5274" t="e">
        <f>VLOOKUP(H5274,Sheet2!$A$1:$B$270,2,FALSE)</f>
        <v>#N/A</v>
      </c>
    </row>
    <row r="5275" spans="15:61" hidden="1">
      <c r="O5275" s="57"/>
      <c r="P5275" s="57"/>
      <c r="AO5275" s="57"/>
      <c r="AP5275" s="57"/>
      <c r="BA5275" s="57"/>
      <c r="BF5275" s="6" t="e">
        <f t="shared" si="246"/>
        <v>#NUM!</v>
      </c>
      <c r="BG5275" t="e">
        <f t="shared" si="247"/>
        <v>#NUM!</v>
      </c>
      <c r="BH5275" t="e">
        <f t="shared" si="248"/>
        <v>#NUM!</v>
      </c>
      <c r="BI5275" t="e">
        <f>VLOOKUP(H5275,Sheet2!$A$1:$B$270,2,FALSE)</f>
        <v>#N/A</v>
      </c>
    </row>
    <row r="5276" spans="15:61" hidden="1">
      <c r="O5276" s="57"/>
      <c r="P5276" s="57"/>
      <c r="AO5276" s="57"/>
      <c r="AP5276" s="57"/>
      <c r="BA5276" s="57"/>
      <c r="BF5276" s="6" t="e">
        <f t="shared" si="246"/>
        <v>#NUM!</v>
      </c>
      <c r="BG5276" t="e">
        <f t="shared" si="247"/>
        <v>#NUM!</v>
      </c>
      <c r="BH5276" t="e">
        <f t="shared" si="248"/>
        <v>#NUM!</v>
      </c>
      <c r="BI5276" t="e">
        <f>VLOOKUP(H5276,Sheet2!$A$1:$B$270,2,FALSE)</f>
        <v>#N/A</v>
      </c>
    </row>
    <row r="5277" spans="15:61" hidden="1">
      <c r="O5277" s="57"/>
      <c r="P5277" s="57"/>
      <c r="AO5277" s="57"/>
      <c r="AP5277" s="57"/>
      <c r="BA5277" s="57"/>
      <c r="BF5277" s="6" t="e">
        <f t="shared" si="246"/>
        <v>#NUM!</v>
      </c>
      <c r="BG5277" t="e">
        <f t="shared" si="247"/>
        <v>#NUM!</v>
      </c>
      <c r="BH5277" t="e">
        <f t="shared" si="248"/>
        <v>#NUM!</v>
      </c>
      <c r="BI5277" t="e">
        <f>VLOOKUP(H5277,Sheet2!$A$1:$B$270,2,FALSE)</f>
        <v>#N/A</v>
      </c>
    </row>
    <row r="5278" spans="15:61" hidden="1">
      <c r="O5278" s="57"/>
      <c r="P5278" s="57"/>
      <c r="AO5278" s="57"/>
      <c r="AP5278" s="57"/>
      <c r="BA5278" s="57"/>
      <c r="BF5278" s="6" t="e">
        <f t="shared" si="246"/>
        <v>#NUM!</v>
      </c>
      <c r="BG5278" t="e">
        <f t="shared" si="247"/>
        <v>#NUM!</v>
      </c>
      <c r="BH5278" t="e">
        <f t="shared" si="248"/>
        <v>#NUM!</v>
      </c>
      <c r="BI5278" t="e">
        <f>VLOOKUP(H5278,Sheet2!$A$1:$B$270,2,FALSE)</f>
        <v>#N/A</v>
      </c>
    </row>
    <row r="5279" spans="15:61" hidden="1">
      <c r="O5279" s="57"/>
      <c r="P5279" s="57"/>
      <c r="AO5279" s="57"/>
      <c r="AP5279" s="57"/>
      <c r="BA5279" s="57"/>
      <c r="BF5279" s="6" t="e">
        <f t="shared" si="246"/>
        <v>#NUM!</v>
      </c>
      <c r="BG5279" t="e">
        <f t="shared" si="247"/>
        <v>#NUM!</v>
      </c>
      <c r="BH5279" t="e">
        <f t="shared" si="248"/>
        <v>#NUM!</v>
      </c>
      <c r="BI5279" t="e">
        <f>VLOOKUP(H5279,Sheet2!$A$1:$B$270,2,FALSE)</f>
        <v>#N/A</v>
      </c>
    </row>
    <row r="5280" spans="15:61" hidden="1">
      <c r="O5280" s="57"/>
      <c r="P5280" s="57"/>
      <c r="AO5280" s="57"/>
      <c r="AP5280" s="57"/>
      <c r="BA5280" s="57"/>
      <c r="BF5280" s="6" t="e">
        <f t="shared" si="246"/>
        <v>#NUM!</v>
      </c>
      <c r="BG5280" t="e">
        <f t="shared" si="247"/>
        <v>#NUM!</v>
      </c>
      <c r="BH5280" t="e">
        <f t="shared" si="248"/>
        <v>#NUM!</v>
      </c>
      <c r="BI5280" t="e">
        <f>VLOOKUP(H5280,Sheet2!$A$1:$B$270,2,FALSE)</f>
        <v>#N/A</v>
      </c>
    </row>
    <row r="5281" spans="15:61" hidden="1">
      <c r="O5281" s="57"/>
      <c r="P5281" s="57"/>
      <c r="AO5281" s="57"/>
      <c r="AP5281" s="57"/>
      <c r="BA5281" s="57"/>
      <c r="BF5281" s="6" t="e">
        <f t="shared" si="246"/>
        <v>#NUM!</v>
      </c>
      <c r="BG5281" t="e">
        <f t="shared" si="247"/>
        <v>#NUM!</v>
      </c>
      <c r="BH5281" t="e">
        <f t="shared" si="248"/>
        <v>#NUM!</v>
      </c>
      <c r="BI5281" t="e">
        <f>VLOOKUP(H5281,Sheet2!$A$1:$B$270,2,FALSE)</f>
        <v>#N/A</v>
      </c>
    </row>
    <row r="5282" spans="15:61" hidden="1">
      <c r="O5282" s="57"/>
      <c r="P5282" s="57"/>
      <c r="AO5282" s="57"/>
      <c r="AP5282" s="57"/>
      <c r="BA5282" s="57"/>
      <c r="BF5282" s="6" t="e">
        <f t="shared" si="246"/>
        <v>#NUM!</v>
      </c>
      <c r="BG5282" t="e">
        <f t="shared" si="247"/>
        <v>#NUM!</v>
      </c>
      <c r="BH5282" t="e">
        <f t="shared" si="248"/>
        <v>#NUM!</v>
      </c>
      <c r="BI5282" t="e">
        <f>VLOOKUP(H5282,Sheet2!$A$1:$B$270,2,FALSE)</f>
        <v>#N/A</v>
      </c>
    </row>
    <row r="5283" spans="15:61" hidden="1">
      <c r="O5283" s="57"/>
      <c r="P5283" s="57"/>
      <c r="AO5283" s="57"/>
      <c r="AP5283" s="57"/>
      <c r="BA5283" s="57"/>
      <c r="BF5283" s="6" t="e">
        <f t="shared" si="246"/>
        <v>#NUM!</v>
      </c>
      <c r="BG5283" t="e">
        <f t="shared" si="247"/>
        <v>#NUM!</v>
      </c>
      <c r="BH5283" t="e">
        <f t="shared" si="248"/>
        <v>#NUM!</v>
      </c>
      <c r="BI5283" t="e">
        <f>VLOOKUP(H5283,Sheet2!$A$1:$B$270,2,FALSE)</f>
        <v>#N/A</v>
      </c>
    </row>
    <row r="5284" spans="15:61" hidden="1">
      <c r="O5284" s="57"/>
      <c r="P5284" s="57"/>
      <c r="AO5284" s="57"/>
      <c r="AP5284" s="57"/>
      <c r="BA5284" s="57"/>
      <c r="BF5284" s="6" t="e">
        <f t="shared" si="246"/>
        <v>#NUM!</v>
      </c>
      <c r="BG5284" t="e">
        <f t="shared" si="247"/>
        <v>#NUM!</v>
      </c>
      <c r="BH5284" t="e">
        <f t="shared" si="248"/>
        <v>#NUM!</v>
      </c>
      <c r="BI5284" t="e">
        <f>VLOOKUP(H5284,Sheet2!$A$1:$B$270,2,FALSE)</f>
        <v>#N/A</v>
      </c>
    </row>
    <row r="5285" spans="15:61" hidden="1">
      <c r="O5285" s="57"/>
      <c r="P5285" s="57"/>
      <c r="AO5285" s="57"/>
      <c r="AP5285" s="57"/>
      <c r="BA5285" s="57"/>
      <c r="BF5285" s="6" t="e">
        <f t="shared" si="246"/>
        <v>#NUM!</v>
      </c>
      <c r="BG5285" t="e">
        <f t="shared" si="247"/>
        <v>#NUM!</v>
      </c>
      <c r="BH5285" t="e">
        <f t="shared" si="248"/>
        <v>#NUM!</v>
      </c>
      <c r="BI5285" t="e">
        <f>VLOOKUP(H5285,Sheet2!$A$1:$B$270,2,FALSE)</f>
        <v>#N/A</v>
      </c>
    </row>
    <row r="5286" spans="15:61" hidden="1">
      <c r="O5286" s="57"/>
      <c r="P5286" s="57"/>
      <c r="AO5286" s="57"/>
      <c r="AP5286" s="57"/>
      <c r="BA5286" s="57"/>
      <c r="BF5286" s="6" t="e">
        <f t="shared" si="246"/>
        <v>#NUM!</v>
      </c>
      <c r="BG5286" t="e">
        <f t="shared" si="247"/>
        <v>#NUM!</v>
      </c>
      <c r="BH5286" t="e">
        <f t="shared" si="248"/>
        <v>#NUM!</v>
      </c>
      <c r="BI5286" t="e">
        <f>VLOOKUP(H5286,Sheet2!$A$1:$B$270,2,FALSE)</f>
        <v>#N/A</v>
      </c>
    </row>
    <row r="5287" spans="15:61" hidden="1">
      <c r="O5287" s="57"/>
      <c r="P5287" s="57"/>
      <c r="AO5287" s="57"/>
      <c r="AP5287" s="57"/>
      <c r="BA5287" s="57"/>
      <c r="BF5287" s="6" t="e">
        <f t="shared" si="246"/>
        <v>#NUM!</v>
      </c>
      <c r="BG5287" t="e">
        <f t="shared" si="247"/>
        <v>#NUM!</v>
      </c>
      <c r="BH5287" t="e">
        <f t="shared" si="248"/>
        <v>#NUM!</v>
      </c>
      <c r="BI5287" t="e">
        <f>VLOOKUP(H5287,Sheet2!$A$1:$B$270,2,FALSE)</f>
        <v>#N/A</v>
      </c>
    </row>
    <row r="5288" spans="15:61" hidden="1">
      <c r="O5288" s="57"/>
      <c r="P5288" s="57"/>
      <c r="AO5288" s="57"/>
      <c r="AP5288" s="57"/>
      <c r="BA5288" s="57"/>
      <c r="BF5288" s="6" t="e">
        <f t="shared" si="246"/>
        <v>#NUM!</v>
      </c>
      <c r="BG5288" t="e">
        <f t="shared" si="247"/>
        <v>#NUM!</v>
      </c>
      <c r="BH5288" t="e">
        <f t="shared" si="248"/>
        <v>#NUM!</v>
      </c>
      <c r="BI5288" t="e">
        <f>VLOOKUP(H5288,Sheet2!$A$1:$B$270,2,FALSE)</f>
        <v>#N/A</v>
      </c>
    </row>
    <row r="5289" spans="15:61" hidden="1">
      <c r="O5289" s="57"/>
      <c r="P5289" s="57"/>
      <c r="AO5289" s="57"/>
      <c r="AP5289" s="57"/>
      <c r="BA5289" s="57"/>
      <c r="BF5289" s="6" t="e">
        <f t="shared" si="246"/>
        <v>#NUM!</v>
      </c>
      <c r="BG5289" t="e">
        <f t="shared" si="247"/>
        <v>#NUM!</v>
      </c>
      <c r="BH5289" t="e">
        <f t="shared" si="248"/>
        <v>#NUM!</v>
      </c>
      <c r="BI5289" t="e">
        <f>VLOOKUP(H5289,Sheet2!$A$1:$B$270,2,FALSE)</f>
        <v>#N/A</v>
      </c>
    </row>
    <row r="5290" spans="15:61" hidden="1">
      <c r="O5290" s="57"/>
      <c r="P5290" s="57"/>
      <c r="AO5290" s="57"/>
      <c r="AP5290" s="57"/>
      <c r="BA5290" s="57"/>
      <c r="BF5290" s="6" t="e">
        <f t="shared" si="246"/>
        <v>#NUM!</v>
      </c>
      <c r="BG5290" t="e">
        <f t="shared" si="247"/>
        <v>#NUM!</v>
      </c>
      <c r="BH5290" t="e">
        <f t="shared" si="248"/>
        <v>#NUM!</v>
      </c>
      <c r="BI5290" t="e">
        <f>VLOOKUP(H5290,Sheet2!$A$1:$B$270,2,FALSE)</f>
        <v>#N/A</v>
      </c>
    </row>
    <row r="5291" spans="15:61" hidden="1">
      <c r="O5291" s="57"/>
      <c r="P5291" s="57"/>
      <c r="AO5291" s="57"/>
      <c r="AP5291" s="57"/>
      <c r="BA5291" s="57"/>
      <c r="BF5291" s="6" t="e">
        <f t="shared" si="246"/>
        <v>#NUM!</v>
      </c>
      <c r="BG5291" t="e">
        <f t="shared" si="247"/>
        <v>#NUM!</v>
      </c>
      <c r="BH5291" t="e">
        <f t="shared" si="248"/>
        <v>#NUM!</v>
      </c>
      <c r="BI5291" t="e">
        <f>VLOOKUP(H5291,Sheet2!$A$1:$B$270,2,FALSE)</f>
        <v>#N/A</v>
      </c>
    </row>
    <row r="5292" spans="15:61" hidden="1">
      <c r="O5292" s="57"/>
      <c r="P5292" s="57"/>
      <c r="AO5292" s="57"/>
      <c r="AP5292" s="57"/>
      <c r="BA5292" s="57"/>
      <c r="BF5292" s="6" t="e">
        <f t="shared" si="246"/>
        <v>#NUM!</v>
      </c>
      <c r="BG5292" t="e">
        <f t="shared" si="247"/>
        <v>#NUM!</v>
      </c>
      <c r="BH5292" t="e">
        <f t="shared" si="248"/>
        <v>#NUM!</v>
      </c>
      <c r="BI5292" t="e">
        <f>VLOOKUP(H5292,Sheet2!$A$1:$B$270,2,FALSE)</f>
        <v>#N/A</v>
      </c>
    </row>
    <row r="5293" spans="15:61" hidden="1">
      <c r="O5293" s="57"/>
      <c r="P5293" s="57"/>
      <c r="AO5293" s="57"/>
      <c r="AP5293" s="57"/>
      <c r="BA5293" s="57"/>
      <c r="BF5293" s="6" t="e">
        <f t="shared" si="246"/>
        <v>#NUM!</v>
      </c>
      <c r="BG5293" t="e">
        <f t="shared" si="247"/>
        <v>#NUM!</v>
      </c>
      <c r="BH5293" t="e">
        <f t="shared" si="248"/>
        <v>#NUM!</v>
      </c>
      <c r="BI5293" t="e">
        <f>VLOOKUP(H5293,Sheet2!$A$1:$B$270,2,FALSE)</f>
        <v>#N/A</v>
      </c>
    </row>
    <row r="5294" spans="15:61" hidden="1">
      <c r="O5294" s="57"/>
      <c r="P5294" s="57"/>
      <c r="AO5294" s="57"/>
      <c r="AP5294" s="57"/>
      <c r="BA5294" s="57"/>
      <c r="BF5294" s="6" t="e">
        <f t="shared" si="246"/>
        <v>#NUM!</v>
      </c>
      <c r="BG5294" t="e">
        <f t="shared" si="247"/>
        <v>#NUM!</v>
      </c>
      <c r="BH5294" t="e">
        <f t="shared" si="248"/>
        <v>#NUM!</v>
      </c>
      <c r="BI5294" t="e">
        <f>VLOOKUP(H5294,Sheet2!$A$1:$B$270,2,FALSE)</f>
        <v>#N/A</v>
      </c>
    </row>
    <row r="5295" spans="15:61" hidden="1">
      <c r="O5295" s="57"/>
      <c r="P5295" s="57"/>
      <c r="AO5295" s="57"/>
      <c r="AP5295" s="57"/>
      <c r="BA5295" s="57"/>
      <c r="BF5295" s="6" t="e">
        <f t="shared" si="246"/>
        <v>#NUM!</v>
      </c>
      <c r="BG5295" t="e">
        <f t="shared" si="247"/>
        <v>#NUM!</v>
      </c>
      <c r="BH5295" t="e">
        <f t="shared" si="248"/>
        <v>#NUM!</v>
      </c>
      <c r="BI5295" t="e">
        <f>VLOOKUP(H5295,Sheet2!$A$1:$B$270,2,FALSE)</f>
        <v>#N/A</v>
      </c>
    </row>
    <row r="5296" spans="15:61" hidden="1">
      <c r="O5296" s="57"/>
      <c r="P5296" s="57"/>
      <c r="AO5296" s="57"/>
      <c r="AP5296" s="57"/>
      <c r="BA5296" s="57"/>
      <c r="BF5296" s="6" t="e">
        <f t="shared" si="246"/>
        <v>#NUM!</v>
      </c>
      <c r="BG5296" t="e">
        <f t="shared" si="247"/>
        <v>#NUM!</v>
      </c>
      <c r="BH5296" t="e">
        <f t="shared" si="248"/>
        <v>#NUM!</v>
      </c>
      <c r="BI5296" t="e">
        <f>VLOOKUP(H5296,Sheet2!$A$1:$B$270,2,FALSE)</f>
        <v>#N/A</v>
      </c>
    </row>
    <row r="5297" spans="15:61" hidden="1">
      <c r="O5297" s="57"/>
      <c r="P5297" s="57"/>
      <c r="AO5297" s="57"/>
      <c r="AP5297" s="57"/>
      <c r="BA5297" s="57"/>
      <c r="BF5297" s="6" t="e">
        <f t="shared" si="246"/>
        <v>#NUM!</v>
      </c>
      <c r="BG5297" t="e">
        <f t="shared" si="247"/>
        <v>#NUM!</v>
      </c>
      <c r="BH5297" t="e">
        <f t="shared" si="248"/>
        <v>#NUM!</v>
      </c>
      <c r="BI5297" t="e">
        <f>VLOOKUP(H5297,Sheet2!$A$1:$B$270,2,FALSE)</f>
        <v>#N/A</v>
      </c>
    </row>
    <row r="5298" spans="15:61" hidden="1">
      <c r="O5298" s="57"/>
      <c r="P5298" s="57"/>
      <c r="AO5298" s="57"/>
      <c r="AP5298" s="57"/>
      <c r="BA5298" s="57"/>
      <c r="BF5298" s="6" t="e">
        <f t="shared" si="246"/>
        <v>#NUM!</v>
      </c>
      <c r="BG5298" t="e">
        <f t="shared" si="247"/>
        <v>#NUM!</v>
      </c>
      <c r="BH5298" t="e">
        <f t="shared" si="248"/>
        <v>#NUM!</v>
      </c>
      <c r="BI5298" t="e">
        <f>VLOOKUP(H5298,Sheet2!$A$1:$B$270,2,FALSE)</f>
        <v>#N/A</v>
      </c>
    </row>
    <row r="5299" spans="15:61" hidden="1">
      <c r="O5299" s="57"/>
      <c r="P5299" s="57"/>
      <c r="AO5299" s="57"/>
      <c r="AP5299" s="57"/>
      <c r="BA5299" s="57"/>
      <c r="BF5299" s="6" t="e">
        <f t="shared" si="246"/>
        <v>#NUM!</v>
      </c>
      <c r="BG5299" t="e">
        <f t="shared" si="247"/>
        <v>#NUM!</v>
      </c>
      <c r="BH5299" t="e">
        <f t="shared" si="248"/>
        <v>#NUM!</v>
      </c>
      <c r="BI5299" t="e">
        <f>VLOOKUP(H5299,Sheet2!$A$1:$B$270,2,FALSE)</f>
        <v>#N/A</v>
      </c>
    </row>
    <row r="5300" spans="15:61" hidden="1">
      <c r="O5300" s="57"/>
      <c r="P5300" s="57"/>
      <c r="AO5300" s="57"/>
      <c r="AP5300" s="57"/>
      <c r="BA5300" s="57"/>
      <c r="BF5300" s="6" t="e">
        <f t="shared" si="246"/>
        <v>#NUM!</v>
      </c>
      <c r="BG5300" t="e">
        <f t="shared" si="247"/>
        <v>#NUM!</v>
      </c>
      <c r="BH5300" t="e">
        <f t="shared" si="248"/>
        <v>#NUM!</v>
      </c>
      <c r="BI5300" t="e">
        <f>VLOOKUP(H5300,Sheet2!$A$1:$B$270,2,FALSE)</f>
        <v>#N/A</v>
      </c>
    </row>
    <row r="5301" spans="15:61" hidden="1">
      <c r="O5301" s="57"/>
      <c r="P5301" s="57"/>
      <c r="AO5301" s="57"/>
      <c r="AP5301" s="57"/>
      <c r="BA5301" s="57"/>
      <c r="BF5301" s="6" t="e">
        <f t="shared" si="246"/>
        <v>#NUM!</v>
      </c>
      <c r="BG5301" t="e">
        <f t="shared" si="247"/>
        <v>#NUM!</v>
      </c>
      <c r="BH5301" t="e">
        <f t="shared" si="248"/>
        <v>#NUM!</v>
      </c>
      <c r="BI5301" t="e">
        <f>VLOOKUP(H5301,Sheet2!$A$1:$B$270,2,FALSE)</f>
        <v>#N/A</v>
      </c>
    </row>
    <row r="5302" spans="15:61" hidden="1">
      <c r="O5302" s="57"/>
      <c r="P5302" s="57"/>
      <c r="AO5302" s="57"/>
      <c r="AP5302" s="57"/>
      <c r="BA5302" s="57"/>
      <c r="BF5302" s="6" t="e">
        <f t="shared" si="246"/>
        <v>#NUM!</v>
      </c>
      <c r="BG5302" t="e">
        <f t="shared" si="247"/>
        <v>#NUM!</v>
      </c>
      <c r="BH5302" t="e">
        <f t="shared" si="248"/>
        <v>#NUM!</v>
      </c>
      <c r="BI5302" t="e">
        <f>VLOOKUP(H5302,Sheet2!$A$1:$B$270,2,FALSE)</f>
        <v>#N/A</v>
      </c>
    </row>
    <row r="5303" spans="15:61" hidden="1">
      <c r="O5303" s="57"/>
      <c r="P5303" s="57"/>
      <c r="AO5303" s="57"/>
      <c r="AP5303" s="57"/>
      <c r="BA5303" s="57"/>
      <c r="BF5303" s="6" t="e">
        <f t="shared" si="246"/>
        <v>#NUM!</v>
      </c>
      <c r="BG5303" t="e">
        <f t="shared" si="247"/>
        <v>#NUM!</v>
      </c>
      <c r="BH5303" t="e">
        <f t="shared" si="248"/>
        <v>#NUM!</v>
      </c>
      <c r="BI5303" t="e">
        <f>VLOOKUP(H5303,Sheet2!$A$1:$B$270,2,FALSE)</f>
        <v>#N/A</v>
      </c>
    </row>
    <row r="5304" spans="15:61" hidden="1">
      <c r="O5304" s="57"/>
      <c r="P5304" s="57"/>
      <c r="AO5304" s="57"/>
      <c r="AP5304" s="57"/>
      <c r="BA5304" s="57"/>
      <c r="BF5304" s="6" t="e">
        <f t="shared" si="246"/>
        <v>#NUM!</v>
      </c>
      <c r="BG5304" t="e">
        <f t="shared" si="247"/>
        <v>#NUM!</v>
      </c>
      <c r="BH5304" t="e">
        <f t="shared" si="248"/>
        <v>#NUM!</v>
      </c>
      <c r="BI5304" t="e">
        <f>VLOOKUP(H5304,Sheet2!$A$1:$B$270,2,FALSE)</f>
        <v>#N/A</v>
      </c>
    </row>
    <row r="5305" spans="15:61" hidden="1">
      <c r="O5305" s="57"/>
      <c r="P5305" s="57"/>
      <c r="AO5305" s="57"/>
      <c r="AP5305" s="57"/>
      <c r="BA5305" s="57"/>
      <c r="BF5305" s="6" t="e">
        <f t="shared" si="246"/>
        <v>#NUM!</v>
      </c>
      <c r="BG5305" t="e">
        <f t="shared" si="247"/>
        <v>#NUM!</v>
      </c>
      <c r="BH5305" t="e">
        <f t="shared" si="248"/>
        <v>#NUM!</v>
      </c>
      <c r="BI5305" t="e">
        <f>VLOOKUP(H5305,Sheet2!$A$1:$B$270,2,FALSE)</f>
        <v>#N/A</v>
      </c>
    </row>
    <row r="5306" spans="15:61" hidden="1">
      <c r="O5306" s="57"/>
      <c r="P5306" s="57"/>
      <c r="AO5306" s="57"/>
      <c r="AP5306" s="57"/>
      <c r="BA5306" s="57"/>
      <c r="BF5306" s="6" t="e">
        <f t="shared" si="246"/>
        <v>#NUM!</v>
      </c>
      <c r="BG5306" t="e">
        <f t="shared" si="247"/>
        <v>#NUM!</v>
      </c>
      <c r="BH5306" t="e">
        <f t="shared" si="248"/>
        <v>#NUM!</v>
      </c>
      <c r="BI5306" t="e">
        <f>VLOOKUP(H5306,Sheet2!$A$1:$B$270,2,FALSE)</f>
        <v>#N/A</v>
      </c>
    </row>
    <row r="5307" spans="15:61" hidden="1">
      <c r="O5307" s="57"/>
      <c r="P5307" s="57"/>
      <c r="AO5307" s="57"/>
      <c r="AP5307" s="57"/>
      <c r="BA5307" s="57"/>
      <c r="BF5307" s="6" t="e">
        <f t="shared" si="246"/>
        <v>#NUM!</v>
      </c>
      <c r="BG5307" t="e">
        <f t="shared" si="247"/>
        <v>#NUM!</v>
      </c>
      <c r="BH5307" t="e">
        <f t="shared" si="248"/>
        <v>#NUM!</v>
      </c>
      <c r="BI5307" t="e">
        <f>VLOOKUP(H5307,Sheet2!$A$1:$B$270,2,FALSE)</f>
        <v>#N/A</v>
      </c>
    </row>
    <row r="5308" spans="15:61" hidden="1">
      <c r="O5308" s="57"/>
      <c r="P5308" s="57"/>
      <c r="AO5308" s="57"/>
      <c r="AP5308" s="57"/>
      <c r="BA5308" s="57"/>
      <c r="BF5308" s="6" t="e">
        <f t="shared" si="246"/>
        <v>#NUM!</v>
      </c>
      <c r="BG5308" t="e">
        <f t="shared" si="247"/>
        <v>#NUM!</v>
      </c>
      <c r="BH5308" t="e">
        <f t="shared" si="248"/>
        <v>#NUM!</v>
      </c>
      <c r="BI5308" t="e">
        <f>VLOOKUP(H5308,Sheet2!$A$1:$B$270,2,FALSE)</f>
        <v>#N/A</v>
      </c>
    </row>
    <row r="5309" spans="15:61" hidden="1">
      <c r="O5309" s="57"/>
      <c r="P5309" s="57"/>
      <c r="AO5309" s="57"/>
      <c r="AP5309" s="57"/>
      <c r="BA5309" s="57"/>
      <c r="BF5309" s="6" t="e">
        <f t="shared" si="246"/>
        <v>#NUM!</v>
      </c>
      <c r="BG5309" t="e">
        <f t="shared" si="247"/>
        <v>#NUM!</v>
      </c>
      <c r="BH5309" t="e">
        <f t="shared" si="248"/>
        <v>#NUM!</v>
      </c>
      <c r="BI5309" t="e">
        <f>VLOOKUP(H5309,Sheet2!$A$1:$B$270,2,FALSE)</f>
        <v>#N/A</v>
      </c>
    </row>
    <row r="5310" spans="15:61" hidden="1">
      <c r="O5310" s="57"/>
      <c r="P5310" s="57"/>
      <c r="AO5310" s="57"/>
      <c r="AP5310" s="57"/>
      <c r="BA5310" s="57"/>
      <c r="BF5310" s="6" t="e">
        <f t="shared" si="246"/>
        <v>#NUM!</v>
      </c>
      <c r="BG5310" t="e">
        <f t="shared" si="247"/>
        <v>#NUM!</v>
      </c>
      <c r="BH5310" t="e">
        <f t="shared" si="248"/>
        <v>#NUM!</v>
      </c>
      <c r="BI5310" t="e">
        <f>VLOOKUP(H5310,Sheet2!$A$1:$B$270,2,FALSE)</f>
        <v>#N/A</v>
      </c>
    </row>
    <row r="5311" spans="15:61" hidden="1">
      <c r="O5311" s="57"/>
      <c r="P5311" s="57"/>
      <c r="AO5311" s="57"/>
      <c r="AP5311" s="57"/>
      <c r="BA5311" s="57"/>
      <c r="BF5311" s="6" t="e">
        <f t="shared" si="246"/>
        <v>#NUM!</v>
      </c>
      <c r="BG5311" t="e">
        <f t="shared" si="247"/>
        <v>#NUM!</v>
      </c>
      <c r="BH5311" t="e">
        <f t="shared" si="248"/>
        <v>#NUM!</v>
      </c>
      <c r="BI5311" t="e">
        <f>VLOOKUP(H5311,Sheet2!$A$1:$B$270,2,FALSE)</f>
        <v>#N/A</v>
      </c>
    </row>
    <row r="5312" spans="15:61" hidden="1">
      <c r="O5312" s="57"/>
      <c r="P5312" s="57"/>
      <c r="AO5312" s="57"/>
      <c r="AP5312" s="57"/>
      <c r="BA5312" s="57"/>
      <c r="BF5312" s="6" t="e">
        <f t="shared" si="246"/>
        <v>#NUM!</v>
      </c>
      <c r="BG5312" t="e">
        <f t="shared" si="247"/>
        <v>#NUM!</v>
      </c>
      <c r="BH5312" t="e">
        <f t="shared" si="248"/>
        <v>#NUM!</v>
      </c>
      <c r="BI5312" t="e">
        <f>VLOOKUP(H5312,Sheet2!$A$1:$B$270,2,FALSE)</f>
        <v>#N/A</v>
      </c>
    </row>
    <row r="5313" spans="15:61" hidden="1">
      <c r="O5313" s="57"/>
      <c r="P5313" s="57"/>
      <c r="AO5313" s="57"/>
      <c r="AP5313" s="57"/>
      <c r="BA5313" s="57"/>
      <c r="BF5313" s="6" t="e">
        <f t="shared" si="246"/>
        <v>#NUM!</v>
      </c>
      <c r="BG5313" t="e">
        <f t="shared" si="247"/>
        <v>#NUM!</v>
      </c>
      <c r="BH5313" t="e">
        <f t="shared" si="248"/>
        <v>#NUM!</v>
      </c>
      <c r="BI5313" t="e">
        <f>VLOOKUP(H5313,Sheet2!$A$1:$B$270,2,FALSE)</f>
        <v>#N/A</v>
      </c>
    </row>
    <row r="5314" spans="15:61" hidden="1">
      <c r="O5314" s="57"/>
      <c r="P5314" s="57"/>
      <c r="AO5314" s="57"/>
      <c r="AP5314" s="57"/>
      <c r="BA5314" s="57"/>
      <c r="BF5314" s="6" t="e">
        <f t="shared" ref="BF5314:BF5377" si="249">DATE(BC5314,BD5314,BE5314)</f>
        <v>#NUM!</v>
      </c>
      <c r="BG5314" t="e">
        <f t="shared" ref="BG5314:BG5377" si="250">BF5314-BA5314</f>
        <v>#NUM!</v>
      </c>
      <c r="BH5314" t="e">
        <f t="shared" ref="BH5314:BH5377" si="251">IF(BG5314=1,"COMPLY",IF(BG5314&lt;1,"COMPLY","NOT COMPLY"))</f>
        <v>#NUM!</v>
      </c>
      <c r="BI5314" t="e">
        <f>VLOOKUP(H5314,Sheet2!$A$1:$B$270,2,FALSE)</f>
        <v>#N/A</v>
      </c>
    </row>
    <row r="5315" spans="15:61" hidden="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 hidden="1">
      <c r="O5316" s="57"/>
      <c r="P5316" s="57"/>
      <c r="AO5316" s="57"/>
      <c r="AP5316" s="57"/>
      <c r="BA5316" s="57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 hidden="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 hidden="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 hidden="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 hidden="1">
      <c r="O5320" s="57"/>
      <c r="P5320" s="57"/>
      <c r="AO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 hidden="1">
      <c r="O5321" s="57"/>
      <c r="P5321" s="57"/>
      <c r="AO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 hidden="1">
      <c r="O5322" s="57"/>
      <c r="P5322" s="57"/>
      <c r="AO5322" s="57"/>
      <c r="AP5322" s="57"/>
      <c r="BA5322" s="57"/>
      <c r="BF5322" s="6" t="e">
        <f t="shared" si="249"/>
        <v>#NUM!</v>
      </c>
      <c r="BG5322" t="e">
        <f t="shared" si="250"/>
        <v>#NUM!</v>
      </c>
      <c r="BH5322" t="e">
        <f t="shared" si="251"/>
        <v>#NUM!</v>
      </c>
      <c r="BI5322" t="e">
        <f>VLOOKUP(H5322,Sheet2!$A$1:$B$270,2,FALSE)</f>
        <v>#N/A</v>
      </c>
    </row>
    <row r="5323" spans="15:61" hidden="1">
      <c r="O5323" s="57"/>
      <c r="P5323" s="57"/>
      <c r="AO5323" s="57"/>
      <c r="AP5323" s="57"/>
      <c r="BA5323" s="57"/>
      <c r="BF5323" s="6" t="e">
        <f t="shared" si="249"/>
        <v>#NUM!</v>
      </c>
      <c r="BG5323" t="e">
        <f t="shared" si="250"/>
        <v>#NUM!</v>
      </c>
      <c r="BH5323" t="e">
        <f t="shared" si="251"/>
        <v>#NUM!</v>
      </c>
      <c r="BI5323" t="e">
        <f>VLOOKUP(H5323,Sheet2!$A$1:$B$270,2,FALSE)</f>
        <v>#N/A</v>
      </c>
    </row>
    <row r="5324" spans="15:61" hidden="1">
      <c r="O5324" s="57"/>
      <c r="P5324" s="57"/>
      <c r="AO5324" s="57"/>
      <c r="AP5324" s="57"/>
      <c r="BA5324" s="57"/>
      <c r="BF5324" s="6" t="e">
        <f t="shared" si="249"/>
        <v>#NUM!</v>
      </c>
      <c r="BG5324" t="e">
        <f t="shared" si="250"/>
        <v>#NUM!</v>
      </c>
      <c r="BH5324" t="e">
        <f t="shared" si="251"/>
        <v>#NUM!</v>
      </c>
      <c r="BI5324" t="e">
        <f>VLOOKUP(H5324,Sheet2!$A$1:$B$270,2,FALSE)</f>
        <v>#N/A</v>
      </c>
    </row>
    <row r="5325" spans="15:61" hidden="1">
      <c r="O5325" s="57"/>
      <c r="P5325" s="57"/>
      <c r="AO5325" s="57"/>
      <c r="AP5325" s="57"/>
      <c r="BA5325" s="57"/>
      <c r="BF5325" s="6" t="e">
        <f t="shared" si="249"/>
        <v>#NUM!</v>
      </c>
      <c r="BG5325" t="e">
        <f t="shared" si="250"/>
        <v>#NUM!</v>
      </c>
      <c r="BH5325" t="e">
        <f t="shared" si="251"/>
        <v>#NUM!</v>
      </c>
      <c r="BI5325" t="e">
        <f>VLOOKUP(H5325,Sheet2!$A$1:$B$270,2,FALSE)</f>
        <v>#N/A</v>
      </c>
    </row>
    <row r="5326" spans="15:61" hidden="1">
      <c r="O5326" s="57"/>
      <c r="P5326" s="57"/>
      <c r="AO5326" s="57"/>
      <c r="AP5326" s="57"/>
      <c r="BA5326" s="57"/>
      <c r="BF5326" s="6" t="e">
        <f t="shared" si="249"/>
        <v>#NUM!</v>
      </c>
      <c r="BG5326" t="e">
        <f t="shared" si="250"/>
        <v>#NUM!</v>
      </c>
      <c r="BH5326" t="e">
        <f t="shared" si="251"/>
        <v>#NUM!</v>
      </c>
      <c r="BI5326" t="e">
        <f>VLOOKUP(H5326,Sheet2!$A$1:$B$270,2,FALSE)</f>
        <v>#N/A</v>
      </c>
    </row>
    <row r="5327" spans="15:61" hidden="1">
      <c r="O5327" s="57"/>
      <c r="P5327" s="57"/>
      <c r="AO5327" s="57"/>
      <c r="AP5327" s="57"/>
      <c r="BA5327" s="57"/>
      <c r="BF5327" s="6" t="e">
        <f t="shared" si="249"/>
        <v>#NUM!</v>
      </c>
      <c r="BG5327" t="e">
        <f t="shared" si="250"/>
        <v>#NUM!</v>
      </c>
      <c r="BH5327" t="e">
        <f t="shared" si="251"/>
        <v>#NUM!</v>
      </c>
      <c r="BI5327" t="e">
        <f>VLOOKUP(H5327,Sheet2!$A$1:$B$270,2,FALSE)</f>
        <v>#N/A</v>
      </c>
    </row>
    <row r="5328" spans="15:61" hidden="1">
      <c r="O5328" s="57"/>
      <c r="P5328" s="57"/>
      <c r="AO5328" s="57"/>
      <c r="AP5328" s="57"/>
      <c r="BA5328" s="57"/>
      <c r="BF5328" s="6" t="e">
        <f t="shared" si="249"/>
        <v>#NUM!</v>
      </c>
      <c r="BG5328" t="e">
        <f t="shared" si="250"/>
        <v>#NUM!</v>
      </c>
      <c r="BH5328" t="e">
        <f t="shared" si="251"/>
        <v>#NUM!</v>
      </c>
      <c r="BI5328" t="e">
        <f>VLOOKUP(H5328,Sheet2!$A$1:$B$270,2,FALSE)</f>
        <v>#N/A</v>
      </c>
    </row>
    <row r="5329" spans="15:61" hidden="1">
      <c r="O5329" s="57"/>
      <c r="P5329" s="57"/>
      <c r="AO5329" s="57"/>
      <c r="AP5329" s="57"/>
      <c r="BA5329" s="57"/>
      <c r="BF5329" s="6" t="e">
        <f t="shared" si="249"/>
        <v>#NUM!</v>
      </c>
      <c r="BG5329" t="e">
        <f t="shared" si="250"/>
        <v>#NUM!</v>
      </c>
      <c r="BH5329" t="e">
        <f t="shared" si="251"/>
        <v>#NUM!</v>
      </c>
      <c r="BI5329" t="e">
        <f>VLOOKUP(H5329,Sheet2!$A$1:$B$270,2,FALSE)</f>
        <v>#N/A</v>
      </c>
    </row>
    <row r="5330" spans="15:61" hidden="1">
      <c r="O5330" s="57"/>
      <c r="P5330" s="57"/>
      <c r="AO5330" s="57"/>
      <c r="AP5330" s="57"/>
      <c r="BA5330" s="57"/>
      <c r="BF5330" s="6" t="e">
        <f t="shared" si="249"/>
        <v>#NUM!</v>
      </c>
      <c r="BG5330" t="e">
        <f t="shared" si="250"/>
        <v>#NUM!</v>
      </c>
      <c r="BH5330" t="e">
        <f t="shared" si="251"/>
        <v>#NUM!</v>
      </c>
      <c r="BI5330" t="e">
        <f>VLOOKUP(H5330,Sheet2!$A$1:$B$270,2,FALSE)</f>
        <v>#N/A</v>
      </c>
    </row>
    <row r="5331" spans="15:61" hidden="1">
      <c r="O5331" s="57"/>
      <c r="P5331" s="57"/>
      <c r="AO5331" s="57"/>
      <c r="AP5331" s="57"/>
      <c r="BA5331" s="57"/>
      <c r="BF5331" s="6" t="e">
        <f t="shared" si="249"/>
        <v>#NUM!</v>
      </c>
      <c r="BG5331" t="e">
        <f t="shared" si="250"/>
        <v>#NUM!</v>
      </c>
      <c r="BH5331" t="e">
        <f t="shared" si="251"/>
        <v>#NUM!</v>
      </c>
      <c r="BI5331" t="e">
        <f>VLOOKUP(H5331,Sheet2!$A$1:$B$270,2,FALSE)</f>
        <v>#N/A</v>
      </c>
    </row>
    <row r="5332" spans="15:61" hidden="1">
      <c r="O5332" s="57"/>
      <c r="P5332" s="57"/>
      <c r="AO5332" s="57"/>
      <c r="AP5332" s="57"/>
      <c r="BA5332" s="57"/>
      <c r="BF5332" s="6" t="e">
        <f t="shared" si="249"/>
        <v>#NUM!</v>
      </c>
      <c r="BG5332" t="e">
        <f t="shared" si="250"/>
        <v>#NUM!</v>
      </c>
      <c r="BH5332" t="e">
        <f t="shared" si="251"/>
        <v>#NUM!</v>
      </c>
      <c r="BI5332" t="e">
        <f>VLOOKUP(H5332,Sheet2!$A$1:$B$270,2,FALSE)</f>
        <v>#N/A</v>
      </c>
    </row>
    <row r="5333" spans="15:61" hidden="1">
      <c r="O5333" s="57"/>
      <c r="P5333" s="57"/>
      <c r="AO5333" s="57"/>
      <c r="AP5333" s="57"/>
      <c r="BA5333" s="57"/>
      <c r="BF5333" s="6" t="e">
        <f t="shared" si="249"/>
        <v>#NUM!</v>
      </c>
      <c r="BG5333" t="e">
        <f t="shared" si="250"/>
        <v>#NUM!</v>
      </c>
      <c r="BH5333" t="e">
        <f t="shared" si="251"/>
        <v>#NUM!</v>
      </c>
      <c r="BI5333" t="e">
        <f>VLOOKUP(H5333,Sheet2!$A$1:$B$270,2,FALSE)</f>
        <v>#N/A</v>
      </c>
    </row>
    <row r="5334" spans="15:61" hidden="1">
      <c r="O5334" s="57"/>
      <c r="P5334" s="57"/>
      <c r="AO5334" s="57"/>
      <c r="AP5334" s="57"/>
      <c r="BA5334" s="57"/>
      <c r="BF5334" s="6" t="e">
        <f t="shared" si="249"/>
        <v>#NUM!</v>
      </c>
      <c r="BG5334" t="e">
        <f t="shared" si="250"/>
        <v>#NUM!</v>
      </c>
      <c r="BH5334" t="e">
        <f t="shared" si="251"/>
        <v>#NUM!</v>
      </c>
      <c r="BI5334" t="e">
        <f>VLOOKUP(H5334,Sheet2!$A$1:$B$270,2,FALSE)</f>
        <v>#N/A</v>
      </c>
    </row>
    <row r="5335" spans="15:61" hidden="1">
      <c r="O5335" s="57"/>
      <c r="P5335" s="57"/>
      <c r="AO5335" s="57"/>
      <c r="AP5335" s="57"/>
      <c r="BA5335" s="57"/>
      <c r="BF5335" s="6" t="e">
        <f t="shared" si="249"/>
        <v>#NUM!</v>
      </c>
      <c r="BG5335" t="e">
        <f t="shared" si="250"/>
        <v>#NUM!</v>
      </c>
      <c r="BH5335" t="e">
        <f t="shared" si="251"/>
        <v>#NUM!</v>
      </c>
      <c r="BI5335" t="e">
        <f>VLOOKUP(H5335,Sheet2!$A$1:$B$270,2,FALSE)</f>
        <v>#N/A</v>
      </c>
    </row>
    <row r="5336" spans="15:61" hidden="1">
      <c r="O5336" s="57"/>
      <c r="P5336" s="57"/>
      <c r="AO5336" s="57"/>
      <c r="AP5336" s="57"/>
      <c r="BA5336" s="57"/>
      <c r="BF5336" s="6" t="e">
        <f t="shared" si="249"/>
        <v>#NUM!</v>
      </c>
      <c r="BG5336" t="e">
        <f t="shared" si="250"/>
        <v>#NUM!</v>
      </c>
      <c r="BH5336" t="e">
        <f t="shared" si="251"/>
        <v>#NUM!</v>
      </c>
      <c r="BI5336" t="e">
        <f>VLOOKUP(H5336,Sheet2!$A$1:$B$270,2,FALSE)</f>
        <v>#N/A</v>
      </c>
    </row>
    <row r="5337" spans="15:61" hidden="1">
      <c r="O5337" s="57"/>
      <c r="P5337" s="57"/>
      <c r="AO5337" s="57"/>
      <c r="AP5337" s="57"/>
      <c r="BA5337" s="57"/>
      <c r="BF5337" s="6" t="e">
        <f t="shared" si="249"/>
        <v>#NUM!</v>
      </c>
      <c r="BG5337" t="e">
        <f t="shared" si="250"/>
        <v>#NUM!</v>
      </c>
      <c r="BH5337" t="e">
        <f t="shared" si="251"/>
        <v>#NUM!</v>
      </c>
      <c r="BI5337" t="e">
        <f>VLOOKUP(H5337,Sheet2!$A$1:$B$270,2,FALSE)</f>
        <v>#N/A</v>
      </c>
    </row>
    <row r="5338" spans="15:61" hidden="1">
      <c r="O5338" s="57"/>
      <c r="P5338" s="57"/>
      <c r="AO5338" s="57"/>
      <c r="AP5338" s="57"/>
      <c r="BA5338" s="57"/>
      <c r="BF5338" s="6" t="e">
        <f t="shared" si="249"/>
        <v>#NUM!</v>
      </c>
      <c r="BG5338" t="e">
        <f t="shared" si="250"/>
        <v>#NUM!</v>
      </c>
      <c r="BH5338" t="e">
        <f t="shared" si="251"/>
        <v>#NUM!</v>
      </c>
      <c r="BI5338" t="e">
        <f>VLOOKUP(H5338,Sheet2!$A$1:$B$270,2,FALSE)</f>
        <v>#N/A</v>
      </c>
    </row>
    <row r="5339" spans="15:61" hidden="1">
      <c r="O5339" s="57"/>
      <c r="P5339" s="57"/>
      <c r="AO5339" s="57"/>
      <c r="AP5339" s="57"/>
      <c r="BA5339" s="57"/>
      <c r="BF5339" s="6" t="e">
        <f t="shared" si="249"/>
        <v>#NUM!</v>
      </c>
      <c r="BG5339" t="e">
        <f t="shared" si="250"/>
        <v>#NUM!</v>
      </c>
      <c r="BH5339" t="e">
        <f t="shared" si="251"/>
        <v>#NUM!</v>
      </c>
      <c r="BI5339" t="e">
        <f>VLOOKUP(H5339,Sheet2!$A$1:$B$270,2,FALSE)</f>
        <v>#N/A</v>
      </c>
    </row>
    <row r="5340" spans="15:61" hidden="1">
      <c r="O5340" s="57"/>
      <c r="P5340" s="57"/>
      <c r="AO5340" s="57"/>
      <c r="AP5340" s="57"/>
      <c r="BA5340" s="57"/>
      <c r="BF5340" s="6" t="e">
        <f t="shared" si="249"/>
        <v>#NUM!</v>
      </c>
      <c r="BG5340" t="e">
        <f t="shared" si="250"/>
        <v>#NUM!</v>
      </c>
      <c r="BH5340" t="e">
        <f t="shared" si="251"/>
        <v>#NUM!</v>
      </c>
      <c r="BI5340" t="e">
        <f>VLOOKUP(H5340,Sheet2!$A$1:$B$270,2,FALSE)</f>
        <v>#N/A</v>
      </c>
    </row>
    <row r="5341" spans="15:61" hidden="1">
      <c r="O5341" s="57"/>
      <c r="P5341" s="57"/>
      <c r="AO5341" s="57"/>
      <c r="AP5341" s="57"/>
      <c r="BA5341" s="57"/>
      <c r="BF5341" s="6" t="e">
        <f t="shared" si="249"/>
        <v>#NUM!</v>
      </c>
      <c r="BG5341" t="e">
        <f t="shared" si="250"/>
        <v>#NUM!</v>
      </c>
      <c r="BH5341" t="e">
        <f t="shared" si="251"/>
        <v>#NUM!</v>
      </c>
      <c r="BI5341" t="e">
        <f>VLOOKUP(H5341,Sheet2!$A$1:$B$270,2,FALSE)</f>
        <v>#N/A</v>
      </c>
    </row>
    <row r="5342" spans="15:61" hidden="1">
      <c r="O5342" s="57"/>
      <c r="P5342" s="57"/>
      <c r="AO5342" s="57"/>
      <c r="AP5342" s="57"/>
      <c r="BA5342" s="57"/>
      <c r="BF5342" s="6" t="e">
        <f t="shared" si="249"/>
        <v>#NUM!</v>
      </c>
      <c r="BG5342" t="e">
        <f t="shared" si="250"/>
        <v>#NUM!</v>
      </c>
      <c r="BH5342" t="e">
        <f t="shared" si="251"/>
        <v>#NUM!</v>
      </c>
      <c r="BI5342" t="e">
        <f>VLOOKUP(H5342,Sheet2!$A$1:$B$270,2,FALSE)</f>
        <v>#N/A</v>
      </c>
    </row>
    <row r="5343" spans="15:61" hidden="1">
      <c r="O5343" s="57"/>
      <c r="P5343" s="57"/>
      <c r="AO5343" s="57"/>
      <c r="AP5343" s="57"/>
      <c r="BA5343" s="57"/>
      <c r="BF5343" s="6" t="e">
        <f t="shared" si="249"/>
        <v>#NUM!</v>
      </c>
      <c r="BG5343" t="e">
        <f t="shared" si="250"/>
        <v>#NUM!</v>
      </c>
      <c r="BH5343" t="e">
        <f t="shared" si="251"/>
        <v>#NUM!</v>
      </c>
      <c r="BI5343" t="e">
        <f>VLOOKUP(H5343,Sheet2!$A$1:$B$270,2,FALSE)</f>
        <v>#N/A</v>
      </c>
    </row>
    <row r="5344" spans="15:61" hidden="1">
      <c r="O5344" s="57"/>
      <c r="P5344" s="57"/>
      <c r="AO5344" s="57"/>
      <c r="AP5344" s="57"/>
      <c r="BA5344" s="57"/>
      <c r="BF5344" s="6" t="e">
        <f t="shared" si="249"/>
        <v>#NUM!</v>
      </c>
      <c r="BG5344" t="e">
        <f t="shared" si="250"/>
        <v>#NUM!</v>
      </c>
      <c r="BH5344" t="e">
        <f t="shared" si="251"/>
        <v>#NUM!</v>
      </c>
      <c r="BI5344" t="e">
        <f>VLOOKUP(H5344,Sheet2!$A$1:$B$270,2,FALSE)</f>
        <v>#N/A</v>
      </c>
    </row>
    <row r="5345" spans="15:61" hidden="1">
      <c r="O5345" s="57"/>
      <c r="P5345" s="57"/>
      <c r="AO5345" s="57"/>
      <c r="AP5345" s="57"/>
      <c r="BA5345" s="57"/>
      <c r="BF5345" s="6" t="e">
        <f t="shared" si="249"/>
        <v>#NUM!</v>
      </c>
      <c r="BG5345" t="e">
        <f t="shared" si="250"/>
        <v>#NUM!</v>
      </c>
      <c r="BH5345" t="e">
        <f t="shared" si="251"/>
        <v>#NUM!</v>
      </c>
      <c r="BI5345" t="e">
        <f>VLOOKUP(H5345,Sheet2!$A$1:$B$270,2,FALSE)</f>
        <v>#N/A</v>
      </c>
    </row>
    <row r="5346" spans="15:61" hidden="1">
      <c r="O5346" s="57"/>
      <c r="P5346" s="57"/>
      <c r="AO5346" s="57"/>
      <c r="AP5346" s="57"/>
      <c r="BA5346" s="57"/>
      <c r="BF5346" s="6" t="e">
        <f t="shared" si="249"/>
        <v>#NUM!</v>
      </c>
      <c r="BG5346" t="e">
        <f t="shared" si="250"/>
        <v>#NUM!</v>
      </c>
      <c r="BH5346" t="e">
        <f t="shared" si="251"/>
        <v>#NUM!</v>
      </c>
      <c r="BI5346" t="e">
        <f>VLOOKUP(H5346,Sheet2!$A$1:$B$270,2,FALSE)</f>
        <v>#N/A</v>
      </c>
    </row>
    <row r="5347" spans="15:61" hidden="1">
      <c r="O5347" s="57"/>
      <c r="P5347" s="57"/>
      <c r="AO5347" s="57"/>
      <c r="AP5347" s="57"/>
      <c r="BA5347" s="57"/>
      <c r="BF5347" s="6" t="e">
        <f t="shared" si="249"/>
        <v>#NUM!</v>
      </c>
      <c r="BG5347" t="e">
        <f t="shared" si="250"/>
        <v>#NUM!</v>
      </c>
      <c r="BH5347" t="e">
        <f t="shared" si="251"/>
        <v>#NUM!</v>
      </c>
      <c r="BI5347" t="e">
        <f>VLOOKUP(H5347,Sheet2!$A$1:$B$270,2,FALSE)</f>
        <v>#N/A</v>
      </c>
    </row>
    <row r="5348" spans="15:61" hidden="1">
      <c r="O5348" s="57"/>
      <c r="P5348" s="57"/>
      <c r="AO5348" s="57"/>
      <c r="AP5348" s="57"/>
      <c r="BA5348" s="57"/>
      <c r="BF5348" s="6" t="e">
        <f t="shared" si="249"/>
        <v>#NUM!</v>
      </c>
      <c r="BG5348" t="e">
        <f t="shared" si="250"/>
        <v>#NUM!</v>
      </c>
      <c r="BH5348" t="e">
        <f t="shared" si="251"/>
        <v>#NUM!</v>
      </c>
      <c r="BI5348" t="e">
        <f>VLOOKUP(H5348,Sheet2!$A$1:$B$270,2,FALSE)</f>
        <v>#N/A</v>
      </c>
    </row>
    <row r="5349" spans="15:61" hidden="1">
      <c r="O5349" s="57"/>
      <c r="P5349" s="57"/>
      <c r="AO5349" s="57"/>
      <c r="AP5349" s="57"/>
      <c r="BA5349" s="57"/>
      <c r="BF5349" s="6" t="e">
        <f t="shared" si="249"/>
        <v>#NUM!</v>
      </c>
      <c r="BG5349" t="e">
        <f t="shared" si="250"/>
        <v>#NUM!</v>
      </c>
      <c r="BH5349" t="e">
        <f t="shared" si="251"/>
        <v>#NUM!</v>
      </c>
      <c r="BI5349" t="e">
        <f>VLOOKUP(H5349,Sheet2!$A$1:$B$270,2,FALSE)</f>
        <v>#N/A</v>
      </c>
    </row>
    <row r="5350" spans="15:61" hidden="1">
      <c r="O5350" s="57"/>
      <c r="P5350" s="57"/>
      <c r="AO5350" s="57"/>
      <c r="AP5350" s="57"/>
      <c r="BA5350" s="57"/>
      <c r="BF5350" s="6" t="e">
        <f t="shared" si="249"/>
        <v>#NUM!</v>
      </c>
      <c r="BG5350" t="e">
        <f t="shared" si="250"/>
        <v>#NUM!</v>
      </c>
      <c r="BH5350" t="e">
        <f t="shared" si="251"/>
        <v>#NUM!</v>
      </c>
      <c r="BI5350" t="e">
        <f>VLOOKUP(H5350,Sheet2!$A$1:$B$270,2,FALSE)</f>
        <v>#N/A</v>
      </c>
    </row>
    <row r="5351" spans="15:61" hidden="1">
      <c r="O5351" s="57"/>
      <c r="P5351" s="57"/>
      <c r="AO5351" s="57"/>
      <c r="AP5351" s="57"/>
      <c r="BA5351" s="57"/>
      <c r="BF5351" s="6" t="e">
        <f t="shared" si="249"/>
        <v>#NUM!</v>
      </c>
      <c r="BG5351" t="e">
        <f t="shared" si="250"/>
        <v>#NUM!</v>
      </c>
      <c r="BH5351" t="e">
        <f t="shared" si="251"/>
        <v>#NUM!</v>
      </c>
      <c r="BI5351" t="e">
        <f>VLOOKUP(H5351,Sheet2!$A$1:$B$270,2,FALSE)</f>
        <v>#N/A</v>
      </c>
    </row>
    <row r="5352" spans="15:61" hidden="1">
      <c r="O5352" s="57"/>
      <c r="P5352" s="57"/>
      <c r="AO5352" s="57"/>
      <c r="AP5352" s="57"/>
      <c r="BA5352" s="57"/>
      <c r="BF5352" s="6" t="e">
        <f t="shared" si="249"/>
        <v>#NUM!</v>
      </c>
      <c r="BG5352" t="e">
        <f t="shared" si="250"/>
        <v>#NUM!</v>
      </c>
      <c r="BH5352" t="e">
        <f t="shared" si="251"/>
        <v>#NUM!</v>
      </c>
      <c r="BI5352" t="e">
        <f>VLOOKUP(H5352,Sheet2!$A$1:$B$270,2,FALSE)</f>
        <v>#N/A</v>
      </c>
    </row>
    <row r="5353" spans="15:61" hidden="1">
      <c r="O5353" s="57"/>
      <c r="P5353" s="57"/>
      <c r="AO5353" s="57"/>
      <c r="AP5353" s="57"/>
      <c r="BA5353" s="57"/>
      <c r="BF5353" s="6" t="e">
        <f t="shared" si="249"/>
        <v>#NUM!</v>
      </c>
      <c r="BG5353" t="e">
        <f t="shared" si="250"/>
        <v>#NUM!</v>
      </c>
      <c r="BH5353" t="e">
        <f t="shared" si="251"/>
        <v>#NUM!</v>
      </c>
      <c r="BI5353" t="e">
        <f>VLOOKUP(H5353,Sheet2!$A$1:$B$270,2,FALSE)</f>
        <v>#N/A</v>
      </c>
    </row>
    <row r="5354" spans="15:61" hidden="1">
      <c r="O5354" s="57"/>
      <c r="P5354" s="57"/>
      <c r="AO5354" s="57"/>
      <c r="AP5354" s="57"/>
      <c r="BA5354" s="57"/>
      <c r="BF5354" s="6" t="e">
        <f t="shared" si="249"/>
        <v>#NUM!</v>
      </c>
      <c r="BG5354" t="e">
        <f t="shared" si="250"/>
        <v>#NUM!</v>
      </c>
      <c r="BH5354" t="e">
        <f t="shared" si="251"/>
        <v>#NUM!</v>
      </c>
      <c r="BI5354" t="e">
        <f>VLOOKUP(H5354,Sheet2!$A$1:$B$270,2,FALSE)</f>
        <v>#N/A</v>
      </c>
    </row>
    <row r="5355" spans="15:61" hidden="1">
      <c r="O5355" s="57"/>
      <c r="P5355" s="57"/>
      <c r="AO5355" s="57"/>
      <c r="AP5355" s="57"/>
      <c r="BA5355" s="57"/>
      <c r="BF5355" s="6" t="e">
        <f t="shared" si="249"/>
        <v>#NUM!</v>
      </c>
      <c r="BG5355" t="e">
        <f t="shared" si="250"/>
        <v>#NUM!</v>
      </c>
      <c r="BH5355" t="e">
        <f t="shared" si="251"/>
        <v>#NUM!</v>
      </c>
      <c r="BI5355" t="e">
        <f>VLOOKUP(H5355,Sheet2!$A$1:$B$270,2,FALSE)</f>
        <v>#N/A</v>
      </c>
    </row>
    <row r="5356" spans="15:61" hidden="1">
      <c r="O5356" s="57"/>
      <c r="P5356" s="57"/>
      <c r="AO5356" s="57"/>
      <c r="AP5356" s="57"/>
      <c r="BA5356" s="57"/>
      <c r="BF5356" s="6" t="e">
        <f t="shared" si="249"/>
        <v>#NUM!</v>
      </c>
      <c r="BG5356" t="e">
        <f t="shared" si="250"/>
        <v>#NUM!</v>
      </c>
      <c r="BH5356" t="e">
        <f t="shared" si="251"/>
        <v>#NUM!</v>
      </c>
      <c r="BI5356" t="e">
        <f>VLOOKUP(H5356,Sheet2!$A$1:$B$270,2,FALSE)</f>
        <v>#N/A</v>
      </c>
    </row>
    <row r="5357" spans="15:61" hidden="1">
      <c r="O5357" s="57"/>
      <c r="P5357" s="57"/>
      <c r="AO5357" s="57"/>
      <c r="AP5357" s="57"/>
      <c r="BA5357" s="57"/>
      <c r="BF5357" s="6" t="e">
        <f t="shared" si="249"/>
        <v>#NUM!</v>
      </c>
      <c r="BG5357" t="e">
        <f t="shared" si="250"/>
        <v>#NUM!</v>
      </c>
      <c r="BH5357" t="e">
        <f t="shared" si="251"/>
        <v>#NUM!</v>
      </c>
      <c r="BI5357" t="e">
        <f>VLOOKUP(H5357,Sheet2!$A$1:$B$270,2,FALSE)</f>
        <v>#N/A</v>
      </c>
    </row>
    <row r="5358" spans="15:61" hidden="1">
      <c r="O5358" s="57"/>
      <c r="P5358" s="57"/>
      <c r="AO5358" s="57"/>
      <c r="AP5358" s="57"/>
      <c r="BA5358" s="57"/>
      <c r="BF5358" s="6" t="e">
        <f t="shared" si="249"/>
        <v>#NUM!</v>
      </c>
      <c r="BG5358" t="e">
        <f t="shared" si="250"/>
        <v>#NUM!</v>
      </c>
      <c r="BH5358" t="e">
        <f t="shared" si="251"/>
        <v>#NUM!</v>
      </c>
      <c r="BI5358" t="e">
        <f>VLOOKUP(H5358,Sheet2!$A$1:$B$270,2,FALSE)</f>
        <v>#N/A</v>
      </c>
    </row>
    <row r="5359" spans="15:61" hidden="1">
      <c r="O5359" s="57"/>
      <c r="P5359" s="57"/>
      <c r="AO5359" s="57"/>
      <c r="AP5359" s="57"/>
      <c r="BA5359" s="57"/>
      <c r="BF5359" s="6" t="e">
        <f t="shared" si="249"/>
        <v>#NUM!</v>
      </c>
      <c r="BG5359" t="e">
        <f t="shared" si="250"/>
        <v>#NUM!</v>
      </c>
      <c r="BH5359" t="e">
        <f t="shared" si="251"/>
        <v>#NUM!</v>
      </c>
      <c r="BI5359" t="e">
        <f>VLOOKUP(H5359,Sheet2!$A$1:$B$270,2,FALSE)</f>
        <v>#N/A</v>
      </c>
    </row>
    <row r="5360" spans="15:61" hidden="1">
      <c r="O5360" s="57"/>
      <c r="P5360" s="57"/>
      <c r="AO5360" s="57"/>
      <c r="AP5360" s="57"/>
      <c r="BA5360" s="57"/>
      <c r="BF5360" s="6" t="e">
        <f t="shared" si="249"/>
        <v>#NUM!</v>
      </c>
      <c r="BG5360" t="e">
        <f t="shared" si="250"/>
        <v>#NUM!</v>
      </c>
      <c r="BH5360" t="e">
        <f t="shared" si="251"/>
        <v>#NUM!</v>
      </c>
      <c r="BI5360" t="e">
        <f>VLOOKUP(H5360,Sheet2!$A$1:$B$270,2,FALSE)</f>
        <v>#N/A</v>
      </c>
    </row>
    <row r="5361" spans="15:61" hidden="1">
      <c r="O5361" s="57"/>
      <c r="P5361" s="57"/>
      <c r="AO5361" s="57"/>
      <c r="AP5361" s="57"/>
      <c r="BA5361" s="57"/>
      <c r="BF5361" s="6" t="e">
        <f t="shared" si="249"/>
        <v>#NUM!</v>
      </c>
      <c r="BG5361" t="e">
        <f t="shared" si="250"/>
        <v>#NUM!</v>
      </c>
      <c r="BH5361" t="e">
        <f t="shared" si="251"/>
        <v>#NUM!</v>
      </c>
      <c r="BI5361" t="e">
        <f>VLOOKUP(H5361,Sheet2!$A$1:$B$270,2,FALSE)</f>
        <v>#N/A</v>
      </c>
    </row>
    <row r="5362" spans="15:61" hidden="1">
      <c r="O5362" s="57"/>
      <c r="P5362" s="57"/>
      <c r="AO5362" s="57"/>
      <c r="AP5362" s="57"/>
      <c r="BA5362" s="57"/>
      <c r="BF5362" s="6" t="e">
        <f t="shared" si="249"/>
        <v>#NUM!</v>
      </c>
      <c r="BG5362" t="e">
        <f t="shared" si="250"/>
        <v>#NUM!</v>
      </c>
      <c r="BH5362" t="e">
        <f t="shared" si="251"/>
        <v>#NUM!</v>
      </c>
      <c r="BI5362" t="e">
        <f>VLOOKUP(H5362,Sheet2!$A$1:$B$270,2,FALSE)</f>
        <v>#N/A</v>
      </c>
    </row>
    <row r="5363" spans="15:61" hidden="1">
      <c r="O5363" s="57"/>
      <c r="P5363" s="57"/>
      <c r="AO5363" s="57"/>
      <c r="AP5363" s="57"/>
      <c r="BA5363" s="57"/>
      <c r="BF5363" s="6" t="e">
        <f t="shared" si="249"/>
        <v>#NUM!</v>
      </c>
      <c r="BG5363" t="e">
        <f t="shared" si="250"/>
        <v>#NUM!</v>
      </c>
      <c r="BH5363" t="e">
        <f t="shared" si="251"/>
        <v>#NUM!</v>
      </c>
      <c r="BI5363" t="e">
        <f>VLOOKUP(H5363,Sheet2!$A$1:$B$270,2,FALSE)</f>
        <v>#N/A</v>
      </c>
    </row>
    <row r="5364" spans="15:61" hidden="1">
      <c r="O5364" s="57"/>
      <c r="P5364" s="57"/>
      <c r="AO5364" s="57"/>
      <c r="AP5364" s="57"/>
      <c r="BA5364" s="57"/>
      <c r="BF5364" s="6" t="e">
        <f t="shared" si="249"/>
        <v>#NUM!</v>
      </c>
      <c r="BG5364" t="e">
        <f t="shared" si="250"/>
        <v>#NUM!</v>
      </c>
      <c r="BH5364" t="e">
        <f t="shared" si="251"/>
        <v>#NUM!</v>
      </c>
      <c r="BI5364" t="e">
        <f>VLOOKUP(H5364,Sheet2!$A$1:$B$270,2,FALSE)</f>
        <v>#N/A</v>
      </c>
    </row>
    <row r="5365" spans="15:61" hidden="1">
      <c r="O5365" s="57"/>
      <c r="P5365" s="57"/>
      <c r="AO5365" s="57"/>
      <c r="AP5365" s="57"/>
      <c r="BA5365" s="57"/>
      <c r="BF5365" s="6" t="e">
        <f t="shared" si="249"/>
        <v>#NUM!</v>
      </c>
      <c r="BG5365" t="e">
        <f t="shared" si="250"/>
        <v>#NUM!</v>
      </c>
      <c r="BH5365" t="e">
        <f t="shared" si="251"/>
        <v>#NUM!</v>
      </c>
      <c r="BI5365" t="e">
        <f>VLOOKUP(H5365,Sheet2!$A$1:$B$270,2,FALSE)</f>
        <v>#N/A</v>
      </c>
    </row>
    <row r="5366" spans="15:61" hidden="1">
      <c r="O5366" s="57"/>
      <c r="P5366" s="57"/>
      <c r="AO5366" s="57"/>
      <c r="AP5366" s="57"/>
      <c r="BA5366" s="57"/>
      <c r="BF5366" s="6" t="e">
        <f t="shared" si="249"/>
        <v>#NUM!</v>
      </c>
      <c r="BG5366" t="e">
        <f t="shared" si="250"/>
        <v>#NUM!</v>
      </c>
      <c r="BH5366" t="e">
        <f t="shared" si="251"/>
        <v>#NUM!</v>
      </c>
      <c r="BI5366" t="e">
        <f>VLOOKUP(H5366,Sheet2!$A$1:$B$270,2,FALSE)</f>
        <v>#N/A</v>
      </c>
    </row>
    <row r="5367" spans="15:61" hidden="1">
      <c r="O5367" s="57"/>
      <c r="P5367" s="57"/>
      <c r="AO5367" s="57"/>
      <c r="AP5367" s="57"/>
      <c r="BA5367" s="57"/>
      <c r="BF5367" s="6" t="e">
        <f t="shared" si="249"/>
        <v>#NUM!</v>
      </c>
      <c r="BG5367" t="e">
        <f t="shared" si="250"/>
        <v>#NUM!</v>
      </c>
      <c r="BH5367" t="e">
        <f t="shared" si="251"/>
        <v>#NUM!</v>
      </c>
      <c r="BI5367" t="e">
        <f>VLOOKUP(H5367,Sheet2!$A$1:$B$270,2,FALSE)</f>
        <v>#N/A</v>
      </c>
    </row>
    <row r="5368" spans="15:61" hidden="1">
      <c r="O5368" s="57"/>
      <c r="P5368" s="57"/>
      <c r="AO5368" s="57"/>
      <c r="AP5368" s="57"/>
      <c r="BA5368" s="57"/>
      <c r="BF5368" s="6" t="e">
        <f t="shared" si="249"/>
        <v>#NUM!</v>
      </c>
      <c r="BG5368" t="e">
        <f t="shared" si="250"/>
        <v>#NUM!</v>
      </c>
      <c r="BH5368" t="e">
        <f t="shared" si="251"/>
        <v>#NUM!</v>
      </c>
      <c r="BI5368" t="e">
        <f>VLOOKUP(H5368,Sheet2!$A$1:$B$270,2,FALSE)</f>
        <v>#N/A</v>
      </c>
    </row>
    <row r="5369" spans="15:61" hidden="1">
      <c r="O5369" s="57"/>
      <c r="P5369" s="57"/>
      <c r="AO5369" s="57"/>
      <c r="AP5369" s="57"/>
      <c r="BA5369" s="57"/>
      <c r="BF5369" s="6" t="e">
        <f t="shared" si="249"/>
        <v>#NUM!</v>
      </c>
      <c r="BG5369" t="e">
        <f t="shared" si="250"/>
        <v>#NUM!</v>
      </c>
      <c r="BH5369" t="e">
        <f t="shared" si="251"/>
        <v>#NUM!</v>
      </c>
      <c r="BI5369" t="e">
        <f>VLOOKUP(H5369,Sheet2!$A$1:$B$270,2,FALSE)</f>
        <v>#N/A</v>
      </c>
    </row>
    <row r="5370" spans="15:61" hidden="1">
      <c r="O5370" s="57"/>
      <c r="P5370" s="57"/>
      <c r="AO5370" s="57"/>
      <c r="AP5370" s="57"/>
      <c r="BA5370" s="57"/>
      <c r="BF5370" s="6" t="e">
        <f t="shared" si="249"/>
        <v>#NUM!</v>
      </c>
      <c r="BG5370" t="e">
        <f t="shared" si="250"/>
        <v>#NUM!</v>
      </c>
      <c r="BH5370" t="e">
        <f t="shared" si="251"/>
        <v>#NUM!</v>
      </c>
      <c r="BI5370" t="e">
        <f>VLOOKUP(H5370,Sheet2!$A$1:$B$270,2,FALSE)</f>
        <v>#N/A</v>
      </c>
    </row>
    <row r="5371" spans="15:61" hidden="1">
      <c r="O5371" s="57"/>
      <c r="P5371" s="57"/>
      <c r="AO5371" s="57"/>
      <c r="AP5371" s="57"/>
      <c r="BA5371" s="57"/>
      <c r="BF5371" s="6" t="e">
        <f t="shared" si="249"/>
        <v>#NUM!</v>
      </c>
      <c r="BG5371" t="e">
        <f t="shared" si="250"/>
        <v>#NUM!</v>
      </c>
      <c r="BH5371" t="e">
        <f t="shared" si="251"/>
        <v>#NUM!</v>
      </c>
      <c r="BI5371" t="e">
        <f>VLOOKUP(H5371,Sheet2!$A$1:$B$270,2,FALSE)</f>
        <v>#N/A</v>
      </c>
    </row>
    <row r="5372" spans="15:61" hidden="1">
      <c r="O5372" s="57"/>
      <c r="P5372" s="57"/>
      <c r="AO5372" s="57"/>
      <c r="AP5372" s="57"/>
      <c r="BA5372" s="57"/>
      <c r="BF5372" s="6" t="e">
        <f t="shared" si="249"/>
        <v>#NUM!</v>
      </c>
      <c r="BG5372" t="e">
        <f t="shared" si="250"/>
        <v>#NUM!</v>
      </c>
      <c r="BH5372" t="e">
        <f t="shared" si="251"/>
        <v>#NUM!</v>
      </c>
      <c r="BI5372" t="e">
        <f>VLOOKUP(H5372,Sheet2!$A$1:$B$270,2,FALSE)</f>
        <v>#N/A</v>
      </c>
    </row>
    <row r="5373" spans="15:61" hidden="1">
      <c r="O5373" s="57"/>
      <c r="P5373" s="57"/>
      <c r="AO5373" s="57"/>
      <c r="AP5373" s="57"/>
      <c r="BA5373" s="57"/>
      <c r="BF5373" s="6" t="e">
        <f t="shared" si="249"/>
        <v>#NUM!</v>
      </c>
      <c r="BG5373" t="e">
        <f t="shared" si="250"/>
        <v>#NUM!</v>
      </c>
      <c r="BH5373" t="e">
        <f t="shared" si="251"/>
        <v>#NUM!</v>
      </c>
      <c r="BI5373" t="e">
        <f>VLOOKUP(H5373,Sheet2!$A$1:$B$270,2,FALSE)</f>
        <v>#N/A</v>
      </c>
    </row>
    <row r="5374" spans="15:61" hidden="1">
      <c r="O5374" s="57"/>
      <c r="P5374" s="57"/>
      <c r="AO5374" s="57"/>
      <c r="AP5374" s="57"/>
      <c r="BA5374" s="57"/>
      <c r="BF5374" s="6" t="e">
        <f t="shared" si="249"/>
        <v>#NUM!</v>
      </c>
      <c r="BG5374" t="e">
        <f t="shared" si="250"/>
        <v>#NUM!</v>
      </c>
      <c r="BH5374" t="e">
        <f t="shared" si="251"/>
        <v>#NUM!</v>
      </c>
      <c r="BI5374" t="e">
        <f>VLOOKUP(H5374,Sheet2!$A$1:$B$270,2,FALSE)</f>
        <v>#N/A</v>
      </c>
    </row>
    <row r="5375" spans="15:61" hidden="1">
      <c r="O5375" s="57"/>
      <c r="P5375" s="57"/>
      <c r="AO5375" s="57"/>
      <c r="AP5375" s="57"/>
      <c r="BA5375" s="57"/>
      <c r="BF5375" s="6" t="e">
        <f t="shared" si="249"/>
        <v>#NUM!</v>
      </c>
      <c r="BG5375" t="e">
        <f t="shared" si="250"/>
        <v>#NUM!</v>
      </c>
      <c r="BH5375" t="e">
        <f t="shared" si="251"/>
        <v>#NUM!</v>
      </c>
      <c r="BI5375" t="e">
        <f>VLOOKUP(H5375,Sheet2!$A$1:$B$270,2,FALSE)</f>
        <v>#N/A</v>
      </c>
    </row>
    <row r="5376" spans="15:61" hidden="1">
      <c r="O5376" s="57"/>
      <c r="P5376" s="57"/>
      <c r="AO5376" s="57"/>
      <c r="AP5376" s="57"/>
      <c r="BA5376" s="57"/>
      <c r="BF5376" s="6" t="e">
        <f t="shared" si="249"/>
        <v>#NUM!</v>
      </c>
      <c r="BG5376" t="e">
        <f t="shared" si="250"/>
        <v>#NUM!</v>
      </c>
      <c r="BH5376" t="e">
        <f t="shared" si="251"/>
        <v>#NUM!</v>
      </c>
      <c r="BI5376" t="e">
        <f>VLOOKUP(H5376,Sheet2!$A$1:$B$270,2,FALSE)</f>
        <v>#N/A</v>
      </c>
    </row>
    <row r="5377" spans="15:61" hidden="1">
      <c r="O5377" s="57"/>
      <c r="P5377" s="57"/>
      <c r="AO5377" s="57"/>
      <c r="AP5377" s="57"/>
      <c r="BA5377" s="57"/>
      <c r="BF5377" s="6" t="e">
        <f t="shared" si="249"/>
        <v>#NUM!</v>
      </c>
      <c r="BG5377" t="e">
        <f t="shared" si="250"/>
        <v>#NUM!</v>
      </c>
      <c r="BH5377" t="e">
        <f t="shared" si="251"/>
        <v>#NUM!</v>
      </c>
      <c r="BI5377" t="e">
        <f>VLOOKUP(H5377,Sheet2!$A$1:$B$270,2,FALSE)</f>
        <v>#N/A</v>
      </c>
    </row>
    <row r="5378" spans="15:61" hidden="1">
      <c r="O5378" s="57"/>
      <c r="P5378" s="57"/>
      <c r="AO5378" s="57"/>
      <c r="AP5378" s="57"/>
      <c r="BA5378" s="57"/>
      <c r="BF5378" s="6" t="e">
        <f t="shared" ref="BF5378:BF5441" si="252">DATE(BC5378,BD5378,BE5378)</f>
        <v>#NUM!</v>
      </c>
      <c r="BG5378" t="e">
        <f t="shared" ref="BG5378:BG5441" si="253">BF5378-BA5378</f>
        <v>#NUM!</v>
      </c>
      <c r="BH5378" t="e">
        <f t="shared" ref="BH5378:BH5441" si="254">IF(BG5378=1,"COMPLY",IF(BG5378&lt;1,"COMPLY","NOT COMPLY"))</f>
        <v>#NUM!</v>
      </c>
      <c r="BI5378" t="e">
        <f>VLOOKUP(H5378,Sheet2!$A$1:$B$270,2,FALSE)</f>
        <v>#N/A</v>
      </c>
    </row>
    <row r="5379" spans="15:61" hidden="1">
      <c r="O5379" s="57"/>
      <c r="P5379" s="57"/>
      <c r="AO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 hidden="1">
      <c r="O5380" s="57"/>
      <c r="P5380" s="57"/>
      <c r="AO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 hidden="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 hidden="1">
      <c r="O5382" s="57"/>
      <c r="P5382" s="57"/>
      <c r="AO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 hidden="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 hidden="1">
      <c r="O5384" s="57"/>
      <c r="P5384" s="57"/>
      <c r="AO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 hidden="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 hidden="1">
      <c r="O5386" s="57"/>
      <c r="P5386" s="57"/>
      <c r="AO5386" s="57"/>
      <c r="AP5386" s="57"/>
      <c r="BA5386" s="57"/>
      <c r="BF5386" s="6" t="e">
        <f t="shared" si="252"/>
        <v>#NUM!</v>
      </c>
      <c r="BG5386" t="e">
        <f t="shared" si="253"/>
        <v>#NUM!</v>
      </c>
      <c r="BH5386" t="e">
        <f t="shared" si="254"/>
        <v>#NUM!</v>
      </c>
      <c r="BI5386" t="e">
        <f>VLOOKUP(H5386,Sheet2!$A$1:$B$270,2,FALSE)</f>
        <v>#N/A</v>
      </c>
    </row>
    <row r="5387" spans="15:61" hidden="1">
      <c r="O5387" s="57"/>
      <c r="P5387" s="57"/>
      <c r="AO5387" s="57"/>
      <c r="AP5387" s="57"/>
      <c r="BA5387" s="57"/>
      <c r="BF5387" s="6" t="e">
        <f t="shared" si="252"/>
        <v>#NUM!</v>
      </c>
      <c r="BG5387" t="e">
        <f t="shared" si="253"/>
        <v>#NUM!</v>
      </c>
      <c r="BH5387" t="e">
        <f t="shared" si="254"/>
        <v>#NUM!</v>
      </c>
      <c r="BI5387" t="e">
        <f>VLOOKUP(H5387,Sheet2!$A$1:$B$270,2,FALSE)</f>
        <v>#N/A</v>
      </c>
    </row>
    <row r="5388" spans="15:61" hidden="1">
      <c r="O5388" s="57"/>
      <c r="P5388" s="57"/>
      <c r="AO5388" s="57"/>
      <c r="AP5388" s="57"/>
      <c r="BA5388" s="57"/>
      <c r="BF5388" s="6" t="e">
        <f t="shared" si="252"/>
        <v>#NUM!</v>
      </c>
      <c r="BG5388" t="e">
        <f t="shared" si="253"/>
        <v>#NUM!</v>
      </c>
      <c r="BH5388" t="e">
        <f t="shared" si="254"/>
        <v>#NUM!</v>
      </c>
      <c r="BI5388" t="e">
        <f>VLOOKUP(H5388,Sheet2!$A$1:$B$270,2,FALSE)</f>
        <v>#N/A</v>
      </c>
    </row>
    <row r="5389" spans="15:61" hidden="1">
      <c r="O5389" s="57"/>
      <c r="P5389" s="57"/>
      <c r="AO5389" s="57"/>
      <c r="AP5389" s="57"/>
      <c r="BA5389" s="57"/>
      <c r="BF5389" s="6" t="e">
        <f t="shared" si="252"/>
        <v>#NUM!</v>
      </c>
      <c r="BG5389" t="e">
        <f t="shared" si="253"/>
        <v>#NUM!</v>
      </c>
      <c r="BH5389" t="e">
        <f t="shared" si="254"/>
        <v>#NUM!</v>
      </c>
      <c r="BI5389" t="e">
        <f>VLOOKUP(H5389,Sheet2!$A$1:$B$270,2,FALSE)</f>
        <v>#N/A</v>
      </c>
    </row>
    <row r="5390" spans="15:61" hidden="1">
      <c r="O5390" s="57"/>
      <c r="P5390" s="57"/>
      <c r="AO5390" s="57"/>
      <c r="AP5390" s="57"/>
      <c r="BA5390" s="57"/>
      <c r="BF5390" s="6" t="e">
        <f t="shared" si="252"/>
        <v>#NUM!</v>
      </c>
      <c r="BG5390" t="e">
        <f t="shared" si="253"/>
        <v>#NUM!</v>
      </c>
      <c r="BH5390" t="e">
        <f t="shared" si="254"/>
        <v>#NUM!</v>
      </c>
      <c r="BI5390" t="e">
        <f>VLOOKUP(H5390,Sheet2!$A$1:$B$270,2,FALSE)</f>
        <v>#N/A</v>
      </c>
    </row>
    <row r="5391" spans="15:61" hidden="1">
      <c r="O5391" s="57"/>
      <c r="P5391" s="57"/>
      <c r="AO5391" s="57"/>
      <c r="AP5391" s="57"/>
      <c r="BA5391" s="57"/>
      <c r="BF5391" s="6" t="e">
        <f t="shared" si="252"/>
        <v>#NUM!</v>
      </c>
      <c r="BG5391" t="e">
        <f t="shared" si="253"/>
        <v>#NUM!</v>
      </c>
      <c r="BH5391" t="e">
        <f t="shared" si="254"/>
        <v>#NUM!</v>
      </c>
      <c r="BI5391" t="e">
        <f>VLOOKUP(H5391,Sheet2!$A$1:$B$270,2,FALSE)</f>
        <v>#N/A</v>
      </c>
    </row>
    <row r="5392" spans="15:61" hidden="1">
      <c r="O5392" s="57"/>
      <c r="P5392" s="57"/>
      <c r="AO5392" s="57"/>
      <c r="AP5392" s="57"/>
      <c r="BA5392" s="57"/>
      <c r="BF5392" s="6" t="e">
        <f t="shared" si="252"/>
        <v>#NUM!</v>
      </c>
      <c r="BG5392" t="e">
        <f t="shared" si="253"/>
        <v>#NUM!</v>
      </c>
      <c r="BH5392" t="e">
        <f t="shared" si="254"/>
        <v>#NUM!</v>
      </c>
      <c r="BI5392" t="e">
        <f>VLOOKUP(H5392,Sheet2!$A$1:$B$270,2,FALSE)</f>
        <v>#N/A</v>
      </c>
    </row>
    <row r="5393" spans="15:61" hidden="1">
      <c r="O5393" s="57"/>
      <c r="P5393" s="57"/>
      <c r="AO5393" s="57"/>
      <c r="AP5393" s="57"/>
      <c r="BA5393" s="57"/>
      <c r="BF5393" s="6" t="e">
        <f t="shared" si="252"/>
        <v>#NUM!</v>
      </c>
      <c r="BG5393" t="e">
        <f t="shared" si="253"/>
        <v>#NUM!</v>
      </c>
      <c r="BH5393" t="e">
        <f t="shared" si="254"/>
        <v>#NUM!</v>
      </c>
      <c r="BI5393" t="e">
        <f>VLOOKUP(H5393,Sheet2!$A$1:$B$270,2,FALSE)</f>
        <v>#N/A</v>
      </c>
    </row>
    <row r="5394" spans="15:61" hidden="1">
      <c r="O5394" s="57"/>
      <c r="P5394" s="57"/>
      <c r="AO5394" s="57"/>
      <c r="AP5394" s="57"/>
      <c r="BA5394" s="57"/>
      <c r="BF5394" s="6" t="e">
        <f t="shared" si="252"/>
        <v>#NUM!</v>
      </c>
      <c r="BG5394" t="e">
        <f t="shared" si="253"/>
        <v>#NUM!</v>
      </c>
      <c r="BH5394" t="e">
        <f t="shared" si="254"/>
        <v>#NUM!</v>
      </c>
      <c r="BI5394" t="e">
        <f>VLOOKUP(H5394,Sheet2!$A$1:$B$270,2,FALSE)</f>
        <v>#N/A</v>
      </c>
    </row>
    <row r="5395" spans="15:61" hidden="1">
      <c r="O5395" s="57"/>
      <c r="P5395" s="57"/>
      <c r="AO5395" s="57"/>
      <c r="AP5395" s="57"/>
      <c r="BA5395" s="57"/>
      <c r="BF5395" s="6" t="e">
        <f t="shared" si="252"/>
        <v>#NUM!</v>
      </c>
      <c r="BG5395" t="e">
        <f t="shared" si="253"/>
        <v>#NUM!</v>
      </c>
      <c r="BH5395" t="e">
        <f t="shared" si="254"/>
        <v>#NUM!</v>
      </c>
      <c r="BI5395" t="e">
        <f>VLOOKUP(H5395,Sheet2!$A$1:$B$270,2,FALSE)</f>
        <v>#N/A</v>
      </c>
    </row>
    <row r="5396" spans="15:61" hidden="1">
      <c r="O5396" s="57"/>
      <c r="P5396" s="57"/>
      <c r="AO5396" s="57"/>
      <c r="AP5396" s="57"/>
      <c r="BA5396" s="57"/>
      <c r="BF5396" s="6" t="e">
        <f t="shared" si="252"/>
        <v>#NUM!</v>
      </c>
      <c r="BG5396" t="e">
        <f t="shared" si="253"/>
        <v>#NUM!</v>
      </c>
      <c r="BH5396" t="e">
        <f t="shared" si="254"/>
        <v>#NUM!</v>
      </c>
      <c r="BI5396" t="e">
        <f>VLOOKUP(H5396,Sheet2!$A$1:$B$270,2,FALSE)</f>
        <v>#N/A</v>
      </c>
    </row>
    <row r="5397" spans="15:61" hidden="1">
      <c r="O5397" s="57"/>
      <c r="P5397" s="57"/>
      <c r="AO5397" s="57"/>
      <c r="AP5397" s="57"/>
      <c r="BA5397" s="57"/>
      <c r="BF5397" s="6" t="e">
        <f t="shared" si="252"/>
        <v>#NUM!</v>
      </c>
      <c r="BG5397" t="e">
        <f t="shared" si="253"/>
        <v>#NUM!</v>
      </c>
      <c r="BH5397" t="e">
        <f t="shared" si="254"/>
        <v>#NUM!</v>
      </c>
      <c r="BI5397" t="e">
        <f>VLOOKUP(H5397,Sheet2!$A$1:$B$270,2,FALSE)</f>
        <v>#N/A</v>
      </c>
    </row>
    <row r="5398" spans="15:61" hidden="1">
      <c r="O5398" s="57"/>
      <c r="P5398" s="57"/>
      <c r="AO5398" s="57"/>
      <c r="AP5398" s="57"/>
      <c r="BA5398" s="57"/>
      <c r="BF5398" s="6" t="e">
        <f t="shared" si="252"/>
        <v>#NUM!</v>
      </c>
      <c r="BG5398" t="e">
        <f t="shared" si="253"/>
        <v>#NUM!</v>
      </c>
      <c r="BH5398" t="e">
        <f t="shared" si="254"/>
        <v>#NUM!</v>
      </c>
      <c r="BI5398" t="e">
        <f>VLOOKUP(H5398,Sheet2!$A$1:$B$270,2,FALSE)</f>
        <v>#N/A</v>
      </c>
    </row>
    <row r="5399" spans="15:61" hidden="1">
      <c r="O5399" s="57"/>
      <c r="P5399" s="57"/>
      <c r="AO5399" s="57"/>
      <c r="AP5399" s="57"/>
      <c r="BA5399" s="57"/>
      <c r="BF5399" s="6" t="e">
        <f t="shared" si="252"/>
        <v>#NUM!</v>
      </c>
      <c r="BG5399" t="e">
        <f t="shared" si="253"/>
        <v>#NUM!</v>
      </c>
      <c r="BH5399" t="e">
        <f t="shared" si="254"/>
        <v>#NUM!</v>
      </c>
      <c r="BI5399" t="e">
        <f>VLOOKUP(H5399,Sheet2!$A$1:$B$270,2,FALSE)</f>
        <v>#N/A</v>
      </c>
    </row>
    <row r="5400" spans="15:61" hidden="1">
      <c r="O5400" s="57"/>
      <c r="P5400" s="57"/>
      <c r="AO5400" s="57"/>
      <c r="AP5400" s="57"/>
      <c r="BA5400" s="57"/>
      <c r="BF5400" s="6" t="e">
        <f t="shared" si="252"/>
        <v>#NUM!</v>
      </c>
      <c r="BG5400" t="e">
        <f t="shared" si="253"/>
        <v>#NUM!</v>
      </c>
      <c r="BH5400" t="e">
        <f t="shared" si="254"/>
        <v>#NUM!</v>
      </c>
      <c r="BI5400" t="e">
        <f>VLOOKUP(H5400,Sheet2!$A$1:$B$270,2,FALSE)</f>
        <v>#N/A</v>
      </c>
    </row>
    <row r="5401" spans="15:61" hidden="1">
      <c r="O5401" s="57"/>
      <c r="P5401" s="57"/>
      <c r="AO5401" s="57"/>
      <c r="AP5401" s="57"/>
      <c r="BA5401" s="57"/>
      <c r="BF5401" s="6" t="e">
        <f t="shared" si="252"/>
        <v>#NUM!</v>
      </c>
      <c r="BG5401" t="e">
        <f t="shared" si="253"/>
        <v>#NUM!</v>
      </c>
      <c r="BH5401" t="e">
        <f t="shared" si="254"/>
        <v>#NUM!</v>
      </c>
      <c r="BI5401" t="e">
        <f>VLOOKUP(H5401,Sheet2!$A$1:$B$270,2,FALSE)</f>
        <v>#N/A</v>
      </c>
    </row>
    <row r="5402" spans="15:61" hidden="1">
      <c r="O5402" s="57"/>
      <c r="P5402" s="57"/>
      <c r="AO5402" s="57"/>
      <c r="AP5402" s="57"/>
      <c r="BA5402" s="57"/>
      <c r="BF5402" s="6" t="e">
        <f t="shared" si="252"/>
        <v>#NUM!</v>
      </c>
      <c r="BG5402" t="e">
        <f t="shared" si="253"/>
        <v>#NUM!</v>
      </c>
      <c r="BH5402" t="e">
        <f t="shared" si="254"/>
        <v>#NUM!</v>
      </c>
      <c r="BI5402" t="e">
        <f>VLOOKUP(H5402,Sheet2!$A$1:$B$270,2,FALSE)</f>
        <v>#N/A</v>
      </c>
    </row>
    <row r="5403" spans="15:61" hidden="1">
      <c r="O5403" s="57"/>
      <c r="P5403" s="57"/>
      <c r="AO5403" s="57"/>
      <c r="AP5403" s="57"/>
      <c r="BA5403" s="57"/>
      <c r="BF5403" s="6" t="e">
        <f t="shared" si="252"/>
        <v>#NUM!</v>
      </c>
      <c r="BG5403" t="e">
        <f t="shared" si="253"/>
        <v>#NUM!</v>
      </c>
      <c r="BH5403" t="e">
        <f t="shared" si="254"/>
        <v>#NUM!</v>
      </c>
      <c r="BI5403" t="e">
        <f>VLOOKUP(H5403,Sheet2!$A$1:$B$270,2,FALSE)</f>
        <v>#N/A</v>
      </c>
    </row>
    <row r="5404" spans="15:61" hidden="1">
      <c r="O5404" s="57"/>
      <c r="P5404" s="57"/>
      <c r="AO5404" s="57"/>
      <c r="AP5404" s="57"/>
      <c r="BA5404" s="57"/>
      <c r="BF5404" s="6" t="e">
        <f t="shared" si="252"/>
        <v>#NUM!</v>
      </c>
      <c r="BG5404" t="e">
        <f t="shared" si="253"/>
        <v>#NUM!</v>
      </c>
      <c r="BH5404" t="e">
        <f t="shared" si="254"/>
        <v>#NUM!</v>
      </c>
      <c r="BI5404" t="e">
        <f>VLOOKUP(H5404,Sheet2!$A$1:$B$270,2,FALSE)</f>
        <v>#N/A</v>
      </c>
    </row>
    <row r="5405" spans="15:61" hidden="1">
      <c r="O5405" s="57"/>
      <c r="P5405" s="57"/>
      <c r="AO5405" s="57"/>
      <c r="AP5405" s="57"/>
      <c r="BA5405" s="57"/>
      <c r="BF5405" s="6" t="e">
        <f t="shared" si="252"/>
        <v>#NUM!</v>
      </c>
      <c r="BG5405" t="e">
        <f t="shared" si="253"/>
        <v>#NUM!</v>
      </c>
      <c r="BH5405" t="e">
        <f t="shared" si="254"/>
        <v>#NUM!</v>
      </c>
      <c r="BI5405" t="e">
        <f>VLOOKUP(H5405,Sheet2!$A$1:$B$270,2,FALSE)</f>
        <v>#N/A</v>
      </c>
    </row>
    <row r="5406" spans="15:61" hidden="1">
      <c r="O5406" s="57"/>
      <c r="P5406" s="57"/>
      <c r="AO5406" s="57"/>
      <c r="AP5406" s="57"/>
      <c r="BA5406" s="57"/>
      <c r="BF5406" s="6" t="e">
        <f t="shared" si="252"/>
        <v>#NUM!</v>
      </c>
      <c r="BG5406" t="e">
        <f t="shared" si="253"/>
        <v>#NUM!</v>
      </c>
      <c r="BH5406" t="e">
        <f t="shared" si="254"/>
        <v>#NUM!</v>
      </c>
      <c r="BI5406" t="e">
        <f>VLOOKUP(H5406,Sheet2!$A$1:$B$270,2,FALSE)</f>
        <v>#N/A</v>
      </c>
    </row>
    <row r="5407" spans="15:61" hidden="1">
      <c r="O5407" s="57"/>
      <c r="P5407" s="57"/>
      <c r="AO5407" s="57"/>
      <c r="AP5407" s="57"/>
      <c r="BA5407" s="57"/>
      <c r="BF5407" s="6" t="e">
        <f t="shared" si="252"/>
        <v>#NUM!</v>
      </c>
      <c r="BG5407" t="e">
        <f t="shared" si="253"/>
        <v>#NUM!</v>
      </c>
      <c r="BH5407" t="e">
        <f t="shared" si="254"/>
        <v>#NUM!</v>
      </c>
      <c r="BI5407" t="e">
        <f>VLOOKUP(H5407,Sheet2!$A$1:$B$270,2,FALSE)</f>
        <v>#N/A</v>
      </c>
    </row>
    <row r="5408" spans="15:61" hidden="1">
      <c r="O5408" s="57"/>
      <c r="P5408" s="57"/>
      <c r="AO5408" s="57"/>
      <c r="AP5408" s="57"/>
      <c r="BA5408" s="57"/>
      <c r="BF5408" s="6" t="e">
        <f t="shared" si="252"/>
        <v>#NUM!</v>
      </c>
      <c r="BG5408" t="e">
        <f t="shared" si="253"/>
        <v>#NUM!</v>
      </c>
      <c r="BH5408" t="e">
        <f t="shared" si="254"/>
        <v>#NUM!</v>
      </c>
      <c r="BI5408" t="e">
        <f>VLOOKUP(H5408,Sheet2!$A$1:$B$270,2,FALSE)</f>
        <v>#N/A</v>
      </c>
    </row>
    <row r="5409" spans="15:61" hidden="1">
      <c r="O5409" s="57"/>
      <c r="P5409" s="57"/>
      <c r="AO5409" s="57"/>
      <c r="AP5409" s="57"/>
      <c r="BA5409" s="57"/>
      <c r="BF5409" s="6" t="e">
        <f t="shared" si="252"/>
        <v>#NUM!</v>
      </c>
      <c r="BG5409" t="e">
        <f t="shared" si="253"/>
        <v>#NUM!</v>
      </c>
      <c r="BH5409" t="e">
        <f t="shared" si="254"/>
        <v>#NUM!</v>
      </c>
      <c r="BI5409" t="e">
        <f>VLOOKUP(H5409,Sheet2!$A$1:$B$270,2,FALSE)</f>
        <v>#N/A</v>
      </c>
    </row>
    <row r="5410" spans="15:61" hidden="1">
      <c r="O5410" s="57"/>
      <c r="P5410" s="57"/>
      <c r="AO5410" s="57"/>
      <c r="AP5410" s="57"/>
      <c r="BA5410" s="57"/>
      <c r="BF5410" s="6" t="e">
        <f t="shared" si="252"/>
        <v>#NUM!</v>
      </c>
      <c r="BG5410" t="e">
        <f t="shared" si="253"/>
        <v>#NUM!</v>
      </c>
      <c r="BH5410" t="e">
        <f t="shared" si="254"/>
        <v>#NUM!</v>
      </c>
      <c r="BI5410" t="e">
        <f>VLOOKUP(H5410,Sheet2!$A$1:$B$270,2,FALSE)</f>
        <v>#N/A</v>
      </c>
    </row>
    <row r="5411" spans="15:61" hidden="1">
      <c r="O5411" s="57"/>
      <c r="P5411" s="57"/>
      <c r="AO5411" s="57"/>
      <c r="AP5411" s="57"/>
      <c r="BA5411" s="57"/>
      <c r="BF5411" s="6" t="e">
        <f t="shared" si="252"/>
        <v>#NUM!</v>
      </c>
      <c r="BG5411" t="e">
        <f t="shared" si="253"/>
        <v>#NUM!</v>
      </c>
      <c r="BH5411" t="e">
        <f t="shared" si="254"/>
        <v>#NUM!</v>
      </c>
      <c r="BI5411" t="e">
        <f>VLOOKUP(H5411,Sheet2!$A$1:$B$270,2,FALSE)</f>
        <v>#N/A</v>
      </c>
    </row>
    <row r="5412" spans="15:61" hidden="1">
      <c r="O5412" s="57"/>
      <c r="P5412" s="57"/>
      <c r="AO5412" s="57"/>
      <c r="AP5412" s="57"/>
      <c r="BA5412" s="57"/>
      <c r="BF5412" s="6" t="e">
        <f t="shared" si="252"/>
        <v>#NUM!</v>
      </c>
      <c r="BG5412" t="e">
        <f t="shared" si="253"/>
        <v>#NUM!</v>
      </c>
      <c r="BH5412" t="e">
        <f t="shared" si="254"/>
        <v>#NUM!</v>
      </c>
      <c r="BI5412" t="e">
        <f>VLOOKUP(H5412,Sheet2!$A$1:$B$270,2,FALSE)</f>
        <v>#N/A</v>
      </c>
    </row>
    <row r="5413" spans="15:61" hidden="1">
      <c r="O5413" s="57"/>
      <c r="P5413" s="57"/>
      <c r="AO5413" s="57"/>
      <c r="AP5413" s="57"/>
      <c r="BA5413" s="57"/>
      <c r="BF5413" s="6" t="e">
        <f t="shared" si="252"/>
        <v>#NUM!</v>
      </c>
      <c r="BG5413" t="e">
        <f t="shared" si="253"/>
        <v>#NUM!</v>
      </c>
      <c r="BH5413" t="e">
        <f t="shared" si="254"/>
        <v>#NUM!</v>
      </c>
      <c r="BI5413" t="e">
        <f>VLOOKUP(H5413,Sheet2!$A$1:$B$270,2,FALSE)</f>
        <v>#N/A</v>
      </c>
    </row>
    <row r="5414" spans="15:61" hidden="1">
      <c r="O5414" s="57"/>
      <c r="P5414" s="57"/>
      <c r="AO5414" s="57"/>
      <c r="AP5414" s="57"/>
      <c r="BA5414" s="57"/>
      <c r="BF5414" s="6" t="e">
        <f t="shared" si="252"/>
        <v>#NUM!</v>
      </c>
      <c r="BG5414" t="e">
        <f t="shared" si="253"/>
        <v>#NUM!</v>
      </c>
      <c r="BH5414" t="e">
        <f t="shared" si="254"/>
        <v>#NUM!</v>
      </c>
      <c r="BI5414" t="e">
        <f>VLOOKUP(H5414,Sheet2!$A$1:$B$270,2,FALSE)</f>
        <v>#N/A</v>
      </c>
    </row>
    <row r="5415" spans="15:61" hidden="1">
      <c r="O5415" s="57"/>
      <c r="P5415" s="57"/>
      <c r="AO5415" s="57"/>
      <c r="AP5415" s="57"/>
      <c r="BA5415" s="57"/>
      <c r="BF5415" s="6" t="e">
        <f t="shared" si="252"/>
        <v>#NUM!</v>
      </c>
      <c r="BG5415" t="e">
        <f t="shared" si="253"/>
        <v>#NUM!</v>
      </c>
      <c r="BH5415" t="e">
        <f t="shared" si="254"/>
        <v>#NUM!</v>
      </c>
      <c r="BI5415" t="e">
        <f>VLOOKUP(H5415,Sheet2!$A$1:$B$270,2,FALSE)</f>
        <v>#N/A</v>
      </c>
    </row>
    <row r="5416" spans="15:61" hidden="1">
      <c r="O5416" s="57"/>
      <c r="P5416" s="57"/>
      <c r="AO5416" s="57"/>
      <c r="AP5416" s="57"/>
      <c r="BA5416" s="57"/>
      <c r="BF5416" s="6" t="e">
        <f t="shared" si="252"/>
        <v>#NUM!</v>
      </c>
      <c r="BG5416" t="e">
        <f t="shared" si="253"/>
        <v>#NUM!</v>
      </c>
      <c r="BH5416" t="e">
        <f t="shared" si="254"/>
        <v>#NUM!</v>
      </c>
      <c r="BI5416" t="e">
        <f>VLOOKUP(H5416,Sheet2!$A$1:$B$270,2,FALSE)</f>
        <v>#N/A</v>
      </c>
    </row>
    <row r="5417" spans="15:61" hidden="1">
      <c r="O5417" s="57"/>
      <c r="P5417" s="57"/>
      <c r="AO5417" s="57"/>
      <c r="AP5417" s="57"/>
      <c r="BA5417" s="57"/>
      <c r="BF5417" s="6" t="e">
        <f t="shared" si="252"/>
        <v>#NUM!</v>
      </c>
      <c r="BG5417" t="e">
        <f t="shared" si="253"/>
        <v>#NUM!</v>
      </c>
      <c r="BH5417" t="e">
        <f t="shared" si="254"/>
        <v>#NUM!</v>
      </c>
      <c r="BI5417" t="e">
        <f>VLOOKUP(H5417,Sheet2!$A$1:$B$270,2,FALSE)</f>
        <v>#N/A</v>
      </c>
    </row>
    <row r="5418" spans="15:61" hidden="1">
      <c r="O5418" s="57"/>
      <c r="P5418" s="57"/>
      <c r="AO5418" s="57"/>
      <c r="AP5418" s="57"/>
      <c r="BA5418" s="57"/>
      <c r="BF5418" s="6" t="e">
        <f t="shared" si="252"/>
        <v>#NUM!</v>
      </c>
      <c r="BG5418" t="e">
        <f t="shared" si="253"/>
        <v>#NUM!</v>
      </c>
      <c r="BH5418" t="e">
        <f t="shared" si="254"/>
        <v>#NUM!</v>
      </c>
      <c r="BI5418" t="e">
        <f>VLOOKUP(H5418,Sheet2!$A$1:$B$270,2,FALSE)</f>
        <v>#N/A</v>
      </c>
    </row>
    <row r="5419" spans="15:61" hidden="1">
      <c r="O5419" s="57"/>
      <c r="P5419" s="57"/>
      <c r="AO5419" s="57"/>
      <c r="AP5419" s="57"/>
      <c r="BA5419" s="57"/>
      <c r="BF5419" s="6" t="e">
        <f t="shared" si="252"/>
        <v>#NUM!</v>
      </c>
      <c r="BG5419" t="e">
        <f t="shared" si="253"/>
        <v>#NUM!</v>
      </c>
      <c r="BH5419" t="e">
        <f t="shared" si="254"/>
        <v>#NUM!</v>
      </c>
      <c r="BI5419" t="e">
        <f>VLOOKUP(H5419,Sheet2!$A$1:$B$270,2,FALSE)</f>
        <v>#N/A</v>
      </c>
    </row>
    <row r="5420" spans="15:61" hidden="1">
      <c r="O5420" s="57"/>
      <c r="P5420" s="57"/>
      <c r="AO5420" s="57"/>
      <c r="AP5420" s="57"/>
      <c r="BA5420" s="57"/>
      <c r="BF5420" s="6" t="e">
        <f t="shared" si="252"/>
        <v>#NUM!</v>
      </c>
      <c r="BG5420" t="e">
        <f t="shared" si="253"/>
        <v>#NUM!</v>
      </c>
      <c r="BH5420" t="e">
        <f t="shared" si="254"/>
        <v>#NUM!</v>
      </c>
      <c r="BI5420" t="e">
        <f>VLOOKUP(H5420,Sheet2!$A$1:$B$270,2,FALSE)</f>
        <v>#N/A</v>
      </c>
    </row>
    <row r="5421" spans="15:61" hidden="1">
      <c r="O5421" s="57"/>
      <c r="P5421" s="57"/>
      <c r="AO5421" s="57"/>
      <c r="AP5421" s="57"/>
      <c r="BA5421" s="57"/>
      <c r="BF5421" s="6" t="e">
        <f t="shared" si="252"/>
        <v>#NUM!</v>
      </c>
      <c r="BG5421" t="e">
        <f t="shared" si="253"/>
        <v>#NUM!</v>
      </c>
      <c r="BH5421" t="e">
        <f t="shared" si="254"/>
        <v>#NUM!</v>
      </c>
      <c r="BI5421" t="e">
        <f>VLOOKUP(H5421,Sheet2!$A$1:$B$270,2,FALSE)</f>
        <v>#N/A</v>
      </c>
    </row>
    <row r="5422" spans="15:61" hidden="1">
      <c r="O5422" s="57"/>
      <c r="P5422" s="57"/>
      <c r="AO5422" s="57"/>
      <c r="AP5422" s="57"/>
      <c r="BA5422" s="57"/>
      <c r="BF5422" s="6" t="e">
        <f t="shared" si="252"/>
        <v>#NUM!</v>
      </c>
      <c r="BG5422" t="e">
        <f t="shared" si="253"/>
        <v>#NUM!</v>
      </c>
      <c r="BH5422" t="e">
        <f t="shared" si="254"/>
        <v>#NUM!</v>
      </c>
      <c r="BI5422" t="e">
        <f>VLOOKUP(H5422,Sheet2!$A$1:$B$270,2,FALSE)</f>
        <v>#N/A</v>
      </c>
    </row>
    <row r="5423" spans="15:61" hidden="1">
      <c r="O5423" s="57"/>
      <c r="P5423" s="57"/>
      <c r="AO5423" s="57"/>
      <c r="AP5423" s="57"/>
      <c r="BA5423" s="57"/>
      <c r="BF5423" s="6" t="e">
        <f t="shared" si="252"/>
        <v>#NUM!</v>
      </c>
      <c r="BG5423" t="e">
        <f t="shared" si="253"/>
        <v>#NUM!</v>
      </c>
      <c r="BH5423" t="e">
        <f t="shared" si="254"/>
        <v>#NUM!</v>
      </c>
      <c r="BI5423" t="e">
        <f>VLOOKUP(H5423,Sheet2!$A$1:$B$270,2,FALSE)</f>
        <v>#N/A</v>
      </c>
    </row>
    <row r="5424" spans="15:61" hidden="1">
      <c r="O5424" s="57"/>
      <c r="P5424" s="57"/>
      <c r="AO5424" s="57"/>
      <c r="AP5424" s="57"/>
      <c r="BA5424" s="57"/>
      <c r="BF5424" s="6" t="e">
        <f t="shared" si="252"/>
        <v>#NUM!</v>
      </c>
      <c r="BG5424" t="e">
        <f t="shared" si="253"/>
        <v>#NUM!</v>
      </c>
      <c r="BH5424" t="e">
        <f t="shared" si="254"/>
        <v>#NUM!</v>
      </c>
      <c r="BI5424" t="e">
        <f>VLOOKUP(H5424,Sheet2!$A$1:$B$270,2,FALSE)</f>
        <v>#N/A</v>
      </c>
    </row>
    <row r="5425" spans="15:61" hidden="1">
      <c r="O5425" s="57"/>
      <c r="P5425" s="57"/>
      <c r="AO5425" s="57"/>
      <c r="AP5425" s="57"/>
      <c r="BA5425" s="57"/>
      <c r="BF5425" s="6" t="e">
        <f t="shared" si="252"/>
        <v>#NUM!</v>
      </c>
      <c r="BG5425" t="e">
        <f t="shared" si="253"/>
        <v>#NUM!</v>
      </c>
      <c r="BH5425" t="e">
        <f t="shared" si="254"/>
        <v>#NUM!</v>
      </c>
      <c r="BI5425" t="e">
        <f>VLOOKUP(H5425,Sheet2!$A$1:$B$270,2,FALSE)</f>
        <v>#N/A</v>
      </c>
    </row>
    <row r="5426" spans="15:61" hidden="1">
      <c r="O5426" s="57"/>
      <c r="P5426" s="57"/>
      <c r="AO5426" s="57"/>
      <c r="AP5426" s="57"/>
      <c r="BA5426" s="57"/>
      <c r="BF5426" s="6" t="e">
        <f t="shared" si="252"/>
        <v>#NUM!</v>
      </c>
      <c r="BG5426" t="e">
        <f t="shared" si="253"/>
        <v>#NUM!</v>
      </c>
      <c r="BH5426" t="e">
        <f t="shared" si="254"/>
        <v>#NUM!</v>
      </c>
      <c r="BI5426" t="e">
        <f>VLOOKUP(H5426,Sheet2!$A$1:$B$270,2,FALSE)</f>
        <v>#N/A</v>
      </c>
    </row>
    <row r="5427" spans="15:61" hidden="1">
      <c r="O5427" s="57"/>
      <c r="P5427" s="57"/>
      <c r="AO5427" s="57"/>
      <c r="AP5427" s="57"/>
      <c r="BA5427" s="57"/>
      <c r="BF5427" s="6" t="e">
        <f t="shared" si="252"/>
        <v>#NUM!</v>
      </c>
      <c r="BG5427" t="e">
        <f t="shared" si="253"/>
        <v>#NUM!</v>
      </c>
      <c r="BH5427" t="e">
        <f t="shared" si="254"/>
        <v>#NUM!</v>
      </c>
      <c r="BI5427" t="e">
        <f>VLOOKUP(H5427,Sheet2!$A$1:$B$270,2,FALSE)</f>
        <v>#N/A</v>
      </c>
    </row>
    <row r="5428" spans="15:61" hidden="1">
      <c r="O5428" s="57"/>
      <c r="P5428" s="57"/>
      <c r="AP5428" s="57"/>
      <c r="BA5428" s="57"/>
      <c r="BF5428" s="6" t="e">
        <f t="shared" si="252"/>
        <v>#NUM!</v>
      </c>
      <c r="BG5428" t="e">
        <f t="shared" si="253"/>
        <v>#NUM!</v>
      </c>
      <c r="BH5428" t="e">
        <f t="shared" si="254"/>
        <v>#NUM!</v>
      </c>
      <c r="BI5428" t="e">
        <f>VLOOKUP(H5428,Sheet2!$A$1:$B$270,2,FALSE)</f>
        <v>#N/A</v>
      </c>
    </row>
    <row r="5429" spans="15:61" hidden="1">
      <c r="O5429" s="57"/>
      <c r="P5429" s="57"/>
      <c r="AO5429" s="57"/>
      <c r="BF5429" s="6" t="e">
        <f t="shared" si="252"/>
        <v>#NUM!</v>
      </c>
      <c r="BG5429" t="e">
        <f t="shared" si="253"/>
        <v>#NUM!</v>
      </c>
      <c r="BH5429" t="e">
        <f t="shared" si="254"/>
        <v>#NUM!</v>
      </c>
      <c r="BI5429" t="e">
        <f>VLOOKUP(H5429,Sheet2!$A$1:$B$270,2,FALSE)</f>
        <v>#N/A</v>
      </c>
    </row>
    <row r="5430" spans="15:61" hidden="1">
      <c r="O5430" s="57"/>
      <c r="P5430" s="57"/>
      <c r="AP5430" s="57"/>
      <c r="BA5430" s="57"/>
      <c r="BF5430" s="6" t="e">
        <f t="shared" si="252"/>
        <v>#NUM!</v>
      </c>
      <c r="BG5430" t="e">
        <f t="shared" si="253"/>
        <v>#NUM!</v>
      </c>
      <c r="BH5430" t="e">
        <f t="shared" si="254"/>
        <v>#NUM!</v>
      </c>
      <c r="BI5430" t="e">
        <f>VLOOKUP(H5430,Sheet2!$A$1:$B$270,2,FALSE)</f>
        <v>#N/A</v>
      </c>
    </row>
    <row r="5431" spans="15:61" hidden="1">
      <c r="O5431" s="57"/>
      <c r="P5431" s="57"/>
      <c r="AO5431" s="57"/>
      <c r="AP5431" s="57"/>
      <c r="BA5431" s="57"/>
      <c r="BF5431" s="6" t="e">
        <f t="shared" si="252"/>
        <v>#NUM!</v>
      </c>
      <c r="BG5431" t="e">
        <f t="shared" si="253"/>
        <v>#NUM!</v>
      </c>
      <c r="BH5431" t="e">
        <f t="shared" si="254"/>
        <v>#NUM!</v>
      </c>
      <c r="BI5431" t="e">
        <f>VLOOKUP(H5431,Sheet2!$A$1:$B$270,2,FALSE)</f>
        <v>#N/A</v>
      </c>
    </row>
    <row r="5432" spans="15:61" hidden="1">
      <c r="O5432" s="57"/>
      <c r="P5432" s="57"/>
      <c r="AP5432" s="57"/>
      <c r="BA5432" s="57"/>
      <c r="BF5432" s="6" t="e">
        <f t="shared" si="252"/>
        <v>#NUM!</v>
      </c>
      <c r="BG5432" t="e">
        <f t="shared" si="253"/>
        <v>#NUM!</v>
      </c>
      <c r="BH5432" t="e">
        <f t="shared" si="254"/>
        <v>#NUM!</v>
      </c>
      <c r="BI5432" t="e">
        <f>VLOOKUP(H5432,Sheet2!$A$1:$B$270,2,FALSE)</f>
        <v>#N/A</v>
      </c>
    </row>
    <row r="5433" spans="15:61" hidden="1">
      <c r="O5433" s="57"/>
      <c r="P5433" s="57"/>
      <c r="AP5433" s="57"/>
      <c r="BA5433" s="57"/>
      <c r="BF5433" s="6" t="e">
        <f t="shared" si="252"/>
        <v>#NUM!</v>
      </c>
      <c r="BG5433" t="e">
        <f t="shared" si="253"/>
        <v>#NUM!</v>
      </c>
      <c r="BH5433" t="e">
        <f t="shared" si="254"/>
        <v>#NUM!</v>
      </c>
      <c r="BI5433" t="e">
        <f>VLOOKUP(H5433,Sheet2!$A$1:$B$270,2,FALSE)</f>
        <v>#N/A</v>
      </c>
    </row>
    <row r="5434" spans="15:61" hidden="1">
      <c r="O5434" s="57"/>
      <c r="P5434" s="57"/>
      <c r="AP5434" s="57"/>
      <c r="BA5434" s="57"/>
      <c r="BF5434" s="6" t="e">
        <f t="shared" si="252"/>
        <v>#NUM!</v>
      </c>
      <c r="BG5434" t="e">
        <f t="shared" si="253"/>
        <v>#NUM!</v>
      </c>
      <c r="BH5434" t="e">
        <f t="shared" si="254"/>
        <v>#NUM!</v>
      </c>
      <c r="BI5434" t="e">
        <f>VLOOKUP(H5434,Sheet2!$A$1:$B$270,2,FALSE)</f>
        <v>#N/A</v>
      </c>
    </row>
    <row r="5435" spans="15:61" hidden="1">
      <c r="O5435" s="57"/>
      <c r="P5435" s="57"/>
      <c r="AP5435" s="57"/>
      <c r="BA5435" s="57"/>
      <c r="BF5435" s="6" t="e">
        <f t="shared" si="252"/>
        <v>#NUM!</v>
      </c>
      <c r="BG5435" t="e">
        <f t="shared" si="253"/>
        <v>#NUM!</v>
      </c>
      <c r="BH5435" t="e">
        <f t="shared" si="254"/>
        <v>#NUM!</v>
      </c>
      <c r="BI5435" t="e">
        <f>VLOOKUP(H5435,Sheet2!$A$1:$B$270,2,FALSE)</f>
        <v>#N/A</v>
      </c>
    </row>
    <row r="5436" spans="15:61" hidden="1">
      <c r="O5436" s="57"/>
      <c r="P5436" s="57"/>
      <c r="BF5436" s="6" t="e">
        <f t="shared" si="252"/>
        <v>#NUM!</v>
      </c>
      <c r="BG5436" t="e">
        <f t="shared" si="253"/>
        <v>#NUM!</v>
      </c>
      <c r="BH5436" t="e">
        <f t="shared" si="254"/>
        <v>#NUM!</v>
      </c>
      <c r="BI5436" t="e">
        <f>VLOOKUP(H5436,Sheet2!$A$1:$B$270,2,FALSE)</f>
        <v>#N/A</v>
      </c>
    </row>
    <row r="5437" spans="15:61" hidden="1">
      <c r="O5437" s="57"/>
      <c r="P5437" s="57"/>
      <c r="AO5437" s="57"/>
      <c r="AP5437" s="57"/>
      <c r="BA5437" s="57"/>
      <c r="BF5437" s="6" t="e">
        <f t="shared" si="252"/>
        <v>#NUM!</v>
      </c>
      <c r="BG5437" t="e">
        <f t="shared" si="253"/>
        <v>#NUM!</v>
      </c>
      <c r="BH5437" t="e">
        <f t="shared" si="254"/>
        <v>#NUM!</v>
      </c>
      <c r="BI5437" t="e">
        <f>VLOOKUP(H5437,Sheet2!$A$1:$B$270,2,FALSE)</f>
        <v>#N/A</v>
      </c>
    </row>
    <row r="5438" spans="15:61" hidden="1">
      <c r="O5438" s="57"/>
      <c r="P5438" s="57"/>
      <c r="AP5438" s="57"/>
      <c r="BA5438" s="57"/>
      <c r="BF5438" s="6" t="e">
        <f t="shared" si="252"/>
        <v>#NUM!</v>
      </c>
      <c r="BG5438" t="e">
        <f t="shared" si="253"/>
        <v>#NUM!</v>
      </c>
      <c r="BH5438" t="e">
        <f t="shared" si="254"/>
        <v>#NUM!</v>
      </c>
      <c r="BI5438" t="e">
        <f>VLOOKUP(H5438,Sheet2!$A$1:$B$270,2,FALSE)</f>
        <v>#N/A</v>
      </c>
    </row>
    <row r="5439" spans="15:61" hidden="1">
      <c r="O5439" s="57"/>
      <c r="P5439" s="57"/>
      <c r="AP5439" s="57"/>
      <c r="BA5439" s="57"/>
      <c r="BF5439" s="6" t="e">
        <f t="shared" si="252"/>
        <v>#NUM!</v>
      </c>
      <c r="BG5439" t="e">
        <f t="shared" si="253"/>
        <v>#NUM!</v>
      </c>
      <c r="BH5439" t="e">
        <f t="shared" si="254"/>
        <v>#NUM!</v>
      </c>
      <c r="BI5439" t="e">
        <f>VLOOKUP(H5439,Sheet2!$A$1:$B$270,2,FALSE)</f>
        <v>#N/A</v>
      </c>
    </row>
    <row r="5440" spans="15:61" hidden="1">
      <c r="O5440" s="57"/>
      <c r="P5440" s="57"/>
      <c r="AP5440" s="57"/>
      <c r="BA5440" s="57"/>
      <c r="BF5440" s="6" t="e">
        <f t="shared" si="252"/>
        <v>#NUM!</v>
      </c>
      <c r="BG5440" t="e">
        <f t="shared" si="253"/>
        <v>#NUM!</v>
      </c>
      <c r="BH5440" t="e">
        <f t="shared" si="254"/>
        <v>#NUM!</v>
      </c>
      <c r="BI5440" t="e">
        <f>VLOOKUP(H5440,Sheet2!$A$1:$B$270,2,FALSE)</f>
        <v>#N/A</v>
      </c>
    </row>
    <row r="5441" spans="15:61" hidden="1">
      <c r="O5441" s="57"/>
      <c r="P5441" s="57"/>
      <c r="BF5441" s="6" t="e">
        <f t="shared" si="252"/>
        <v>#NUM!</v>
      </c>
      <c r="BG5441" t="e">
        <f t="shared" si="253"/>
        <v>#NUM!</v>
      </c>
      <c r="BH5441" t="e">
        <f t="shared" si="254"/>
        <v>#NUM!</v>
      </c>
      <c r="BI5441" t="e">
        <f>VLOOKUP(H5441,Sheet2!$A$1:$B$270,2,FALSE)</f>
        <v>#N/A</v>
      </c>
    </row>
    <row r="5442" spans="15:61" hidden="1">
      <c r="O5442" s="57"/>
      <c r="P5442" s="57"/>
      <c r="AP5442" s="57"/>
      <c r="BA5442" s="57"/>
      <c r="BF5442" s="6" t="e">
        <f t="shared" ref="BF5442:BF5505" si="255">DATE(BC5442,BD5442,BE5442)</f>
        <v>#NUM!</v>
      </c>
      <c r="BG5442" t="e">
        <f t="shared" ref="BG5442:BG5505" si="256">BF5442-BA5442</f>
        <v>#NUM!</v>
      </c>
      <c r="BH5442" t="e">
        <f t="shared" ref="BH5442:BH5505" si="257">IF(BG5442=1,"COMPLY",IF(BG5442&lt;1,"COMPLY","NOT COMPLY"))</f>
        <v>#NUM!</v>
      </c>
      <c r="BI5442" t="e">
        <f>VLOOKUP(H5442,Sheet2!$A$1:$B$270,2,FALSE)</f>
        <v>#N/A</v>
      </c>
    </row>
    <row r="5443" spans="15:61" hidden="1">
      <c r="O5443" s="57"/>
      <c r="P5443" s="57"/>
      <c r="AM5443" s="58"/>
      <c r="BA5443" s="57"/>
      <c r="BB5443" s="58"/>
      <c r="BF5443" s="6" t="e">
        <f t="shared" si="255"/>
        <v>#NUM!</v>
      </c>
      <c r="BG5443" t="e">
        <f t="shared" si="256"/>
        <v>#NUM!</v>
      </c>
      <c r="BH5443" t="e">
        <f t="shared" si="257"/>
        <v>#NUM!</v>
      </c>
      <c r="BI5443" t="e">
        <f>VLOOKUP(H5443,Sheet2!$A$1:$B$270,2,FALSE)</f>
        <v>#N/A</v>
      </c>
    </row>
    <row r="5444" spans="15:61" hidden="1">
      <c r="O5444" s="57"/>
      <c r="P5444" s="57"/>
      <c r="AO5444" s="57"/>
      <c r="AP5444" s="57"/>
      <c r="BA5444" s="57"/>
      <c r="BF5444" s="6" t="e">
        <f t="shared" si="255"/>
        <v>#NUM!</v>
      </c>
      <c r="BG5444" t="e">
        <f t="shared" si="256"/>
        <v>#NUM!</v>
      </c>
      <c r="BH5444" t="e">
        <f t="shared" si="257"/>
        <v>#NUM!</v>
      </c>
      <c r="BI5444" t="e">
        <f>VLOOKUP(H5444,Sheet2!$A$1:$B$270,2,FALSE)</f>
        <v>#N/A</v>
      </c>
    </row>
    <row r="5445" spans="15:61" hidden="1">
      <c r="O5445" s="57"/>
      <c r="P5445" s="57"/>
      <c r="AO5445" s="57"/>
      <c r="BF5445" s="6" t="e">
        <f t="shared" si="255"/>
        <v>#NUM!</v>
      </c>
      <c r="BG5445" t="e">
        <f t="shared" si="256"/>
        <v>#NUM!</v>
      </c>
      <c r="BH5445" t="e">
        <f t="shared" si="257"/>
        <v>#NUM!</v>
      </c>
      <c r="BI5445" t="e">
        <f>VLOOKUP(H5445,Sheet2!$A$1:$B$270,2,FALSE)</f>
        <v>#N/A</v>
      </c>
    </row>
    <row r="5446" spans="15:61" hidden="1">
      <c r="O5446" s="57"/>
      <c r="P5446" s="57"/>
      <c r="AO5446" s="57"/>
      <c r="AP5446" s="57"/>
      <c r="BA5446" s="57"/>
      <c r="BF5446" s="6" t="e">
        <f t="shared" si="255"/>
        <v>#NUM!</v>
      </c>
      <c r="BG5446" t="e">
        <f t="shared" si="256"/>
        <v>#NUM!</v>
      </c>
      <c r="BH5446" t="e">
        <f t="shared" si="257"/>
        <v>#NUM!</v>
      </c>
      <c r="BI5446" t="e">
        <f>VLOOKUP(H5446,Sheet2!$A$1:$B$270,2,FALSE)</f>
        <v>#N/A</v>
      </c>
    </row>
    <row r="5447" spans="15:61" hidden="1">
      <c r="O5447" s="57"/>
      <c r="P5447" s="57"/>
      <c r="AP5447" s="57"/>
      <c r="BA5447" s="57"/>
      <c r="BF5447" s="6" t="e">
        <f t="shared" si="255"/>
        <v>#NUM!</v>
      </c>
      <c r="BG5447" t="e">
        <f t="shared" si="256"/>
        <v>#NUM!</v>
      </c>
      <c r="BH5447" t="e">
        <f t="shared" si="257"/>
        <v>#NUM!</v>
      </c>
      <c r="BI5447" t="e">
        <f>VLOOKUP(H5447,Sheet2!$A$1:$B$270,2,FALSE)</f>
        <v>#N/A</v>
      </c>
    </row>
    <row r="5448" spans="15:61" hidden="1">
      <c r="O5448" s="57"/>
      <c r="P5448" s="57"/>
      <c r="AP5448" s="57"/>
      <c r="BA5448" s="57"/>
      <c r="BF5448" s="6" t="e">
        <f t="shared" si="255"/>
        <v>#NUM!</v>
      </c>
      <c r="BG5448" t="e">
        <f t="shared" si="256"/>
        <v>#NUM!</v>
      </c>
      <c r="BH5448" t="e">
        <f t="shared" si="257"/>
        <v>#NUM!</v>
      </c>
      <c r="BI5448" t="e">
        <f>VLOOKUP(H5448,Sheet2!$A$1:$B$270,2,FALSE)</f>
        <v>#N/A</v>
      </c>
    </row>
    <row r="5449" spans="15:61" hidden="1">
      <c r="O5449" s="57"/>
      <c r="P5449" s="57"/>
      <c r="AP5449" s="57"/>
      <c r="BA5449" s="57"/>
      <c r="BF5449" s="6" t="e">
        <f t="shared" si="255"/>
        <v>#NUM!</v>
      </c>
      <c r="BG5449" t="e">
        <f t="shared" si="256"/>
        <v>#NUM!</v>
      </c>
      <c r="BH5449" t="e">
        <f t="shared" si="257"/>
        <v>#NUM!</v>
      </c>
      <c r="BI5449" t="e">
        <f>VLOOKUP(H5449,Sheet2!$A$1:$B$270,2,FALSE)</f>
        <v>#N/A</v>
      </c>
    </row>
    <row r="5450" spans="15:61" hidden="1">
      <c r="O5450" s="57"/>
      <c r="P5450" s="57"/>
      <c r="BA5450" s="57"/>
      <c r="BF5450" s="6" t="e">
        <f t="shared" si="255"/>
        <v>#NUM!</v>
      </c>
      <c r="BG5450" t="e">
        <f t="shared" si="256"/>
        <v>#NUM!</v>
      </c>
      <c r="BH5450" t="e">
        <f t="shared" si="257"/>
        <v>#NUM!</v>
      </c>
      <c r="BI5450" t="e">
        <f>VLOOKUP(H5450,Sheet2!$A$1:$B$270,2,FALSE)</f>
        <v>#N/A</v>
      </c>
    </row>
    <row r="5451" spans="15:61" hidden="1">
      <c r="O5451" s="57"/>
      <c r="P5451" s="57"/>
      <c r="AO5451" s="57"/>
      <c r="AP5451" s="57"/>
      <c r="BA5451" s="57"/>
      <c r="BF5451" s="6" t="e">
        <f t="shared" si="255"/>
        <v>#NUM!</v>
      </c>
      <c r="BG5451" t="e">
        <f t="shared" si="256"/>
        <v>#NUM!</v>
      </c>
      <c r="BH5451" t="e">
        <f t="shared" si="257"/>
        <v>#NUM!</v>
      </c>
      <c r="BI5451" t="e">
        <f>VLOOKUP(H5451,Sheet2!$A$1:$B$270,2,FALSE)</f>
        <v>#N/A</v>
      </c>
    </row>
    <row r="5452" spans="15:61" hidden="1">
      <c r="O5452" s="57"/>
      <c r="P5452" s="57"/>
      <c r="AP5452" s="57"/>
      <c r="BA5452" s="57"/>
      <c r="BF5452" s="6" t="e">
        <f t="shared" si="255"/>
        <v>#NUM!</v>
      </c>
      <c r="BG5452" t="e">
        <f t="shared" si="256"/>
        <v>#NUM!</v>
      </c>
      <c r="BH5452" t="e">
        <f t="shared" si="257"/>
        <v>#NUM!</v>
      </c>
      <c r="BI5452" t="e">
        <f>VLOOKUP(H5452,Sheet2!$A$1:$B$270,2,FALSE)</f>
        <v>#N/A</v>
      </c>
    </row>
    <row r="5453" spans="15:61" hidden="1">
      <c r="O5453" s="57"/>
      <c r="P5453" s="57"/>
      <c r="AM5453" s="58"/>
      <c r="BA5453" s="57"/>
      <c r="BB5453" s="58"/>
      <c r="BF5453" s="6" t="e">
        <f t="shared" si="255"/>
        <v>#NUM!</v>
      </c>
      <c r="BG5453" t="e">
        <f t="shared" si="256"/>
        <v>#NUM!</v>
      </c>
      <c r="BH5453" t="e">
        <f t="shared" si="257"/>
        <v>#NUM!</v>
      </c>
      <c r="BI5453" t="e">
        <f>VLOOKUP(H5453,Sheet2!$A$1:$B$270,2,FALSE)</f>
        <v>#N/A</v>
      </c>
    </row>
    <row r="5454" spans="15:61" hidden="1">
      <c r="O5454" s="57"/>
      <c r="P5454" s="57"/>
      <c r="AO5454" s="57"/>
      <c r="BF5454" s="6" t="e">
        <f t="shared" si="255"/>
        <v>#NUM!</v>
      </c>
      <c r="BG5454" t="e">
        <f t="shared" si="256"/>
        <v>#NUM!</v>
      </c>
      <c r="BH5454" t="e">
        <f t="shared" si="257"/>
        <v>#NUM!</v>
      </c>
      <c r="BI5454" t="e">
        <f>VLOOKUP(H5454,Sheet2!$A$1:$B$270,2,FALSE)</f>
        <v>#N/A</v>
      </c>
    </row>
    <row r="5455" spans="15:61" hidden="1">
      <c r="O5455" s="57"/>
      <c r="P5455" s="57"/>
      <c r="AP5455" s="57"/>
      <c r="BA5455" s="57"/>
      <c r="BF5455" s="6" t="e">
        <f t="shared" si="255"/>
        <v>#NUM!</v>
      </c>
      <c r="BG5455" t="e">
        <f t="shared" si="256"/>
        <v>#NUM!</v>
      </c>
      <c r="BH5455" t="e">
        <f t="shared" si="257"/>
        <v>#NUM!</v>
      </c>
      <c r="BI5455" t="e">
        <f>VLOOKUP(H5455,Sheet2!$A$1:$B$270,2,FALSE)</f>
        <v>#N/A</v>
      </c>
    </row>
    <row r="5456" spans="15:61" hidden="1">
      <c r="O5456" s="57"/>
      <c r="P5456" s="57"/>
      <c r="AP5456" s="57"/>
      <c r="BA5456" s="57"/>
      <c r="BF5456" s="6" t="e">
        <f t="shared" si="255"/>
        <v>#NUM!</v>
      </c>
      <c r="BG5456" t="e">
        <f t="shared" si="256"/>
        <v>#NUM!</v>
      </c>
      <c r="BH5456" t="e">
        <f t="shared" si="257"/>
        <v>#NUM!</v>
      </c>
      <c r="BI5456" t="e">
        <f>VLOOKUP(H5456,Sheet2!$A$1:$B$270,2,FALSE)</f>
        <v>#N/A</v>
      </c>
    </row>
    <row r="5457" spans="15:61" hidden="1">
      <c r="O5457" s="57"/>
      <c r="P5457" s="57"/>
      <c r="BA5457" s="57"/>
      <c r="BF5457" s="6" t="e">
        <f t="shared" si="255"/>
        <v>#NUM!</v>
      </c>
      <c r="BG5457" t="e">
        <f t="shared" si="256"/>
        <v>#NUM!</v>
      </c>
      <c r="BH5457" t="e">
        <f t="shared" si="257"/>
        <v>#NUM!</v>
      </c>
      <c r="BI5457" t="e">
        <f>VLOOKUP(H5457,Sheet2!$A$1:$B$270,2,FALSE)</f>
        <v>#N/A</v>
      </c>
    </row>
    <row r="5458" spans="15:61" hidden="1">
      <c r="O5458" s="57"/>
      <c r="P5458" s="57"/>
      <c r="AO5458" s="57"/>
      <c r="AP5458" s="57"/>
      <c r="BA5458" s="57"/>
      <c r="BF5458" s="6" t="e">
        <f t="shared" si="255"/>
        <v>#NUM!</v>
      </c>
      <c r="BG5458" t="e">
        <f t="shared" si="256"/>
        <v>#NUM!</v>
      </c>
      <c r="BH5458" t="e">
        <f t="shared" si="257"/>
        <v>#NUM!</v>
      </c>
      <c r="BI5458" t="e">
        <f>VLOOKUP(H5458,Sheet2!$A$1:$B$270,2,FALSE)</f>
        <v>#N/A</v>
      </c>
    </row>
    <row r="5459" spans="15:61" hidden="1">
      <c r="O5459" s="57"/>
      <c r="P5459" s="57"/>
      <c r="AP5459" s="57"/>
      <c r="BA5459" s="57"/>
      <c r="BF5459" s="6" t="e">
        <f t="shared" si="255"/>
        <v>#NUM!</v>
      </c>
      <c r="BG5459" t="e">
        <f t="shared" si="256"/>
        <v>#NUM!</v>
      </c>
      <c r="BH5459" t="e">
        <f t="shared" si="257"/>
        <v>#NUM!</v>
      </c>
      <c r="BI5459" t="e">
        <f>VLOOKUP(H5459,Sheet2!$A$1:$B$270,2,FALSE)</f>
        <v>#N/A</v>
      </c>
    </row>
    <row r="5460" spans="15:61" hidden="1">
      <c r="O5460" s="57"/>
      <c r="P5460" s="57"/>
      <c r="AO5460" s="57"/>
      <c r="AP5460" s="57"/>
      <c r="BA5460" s="57"/>
      <c r="BF5460" s="6" t="e">
        <f t="shared" si="255"/>
        <v>#NUM!</v>
      </c>
      <c r="BG5460" t="e">
        <f t="shared" si="256"/>
        <v>#NUM!</v>
      </c>
      <c r="BH5460" t="e">
        <f t="shared" si="257"/>
        <v>#NUM!</v>
      </c>
      <c r="BI5460" t="e">
        <f>VLOOKUP(H5460,Sheet2!$A$1:$B$270,2,FALSE)</f>
        <v>#N/A</v>
      </c>
    </row>
    <row r="5461" spans="15:61" hidden="1">
      <c r="O5461" s="57"/>
      <c r="P5461" s="57"/>
      <c r="AP5461" s="57"/>
      <c r="BA5461" s="57"/>
      <c r="BF5461" s="6" t="e">
        <f t="shared" si="255"/>
        <v>#NUM!</v>
      </c>
      <c r="BG5461" t="e">
        <f t="shared" si="256"/>
        <v>#NUM!</v>
      </c>
      <c r="BH5461" t="e">
        <f t="shared" si="257"/>
        <v>#NUM!</v>
      </c>
      <c r="BI5461" t="e">
        <f>VLOOKUP(H5461,Sheet2!$A$1:$B$270,2,FALSE)</f>
        <v>#N/A</v>
      </c>
    </row>
    <row r="5462" spans="15:61" hidden="1">
      <c r="O5462" s="57"/>
      <c r="P5462" s="57"/>
      <c r="AP5462" s="57"/>
      <c r="BA5462" s="57"/>
      <c r="BF5462" s="6" t="e">
        <f t="shared" si="255"/>
        <v>#NUM!</v>
      </c>
      <c r="BG5462" t="e">
        <f t="shared" si="256"/>
        <v>#NUM!</v>
      </c>
      <c r="BH5462" t="e">
        <f t="shared" si="257"/>
        <v>#NUM!</v>
      </c>
      <c r="BI5462" t="e">
        <f>VLOOKUP(H5462,Sheet2!$A$1:$B$270,2,FALSE)</f>
        <v>#N/A</v>
      </c>
    </row>
    <row r="5463" spans="15:61" hidden="1">
      <c r="O5463" s="57"/>
      <c r="P5463" s="57"/>
      <c r="AP5463" s="57"/>
      <c r="BA5463" s="57"/>
      <c r="BF5463" s="6" t="e">
        <f t="shared" si="255"/>
        <v>#NUM!</v>
      </c>
      <c r="BG5463" t="e">
        <f t="shared" si="256"/>
        <v>#NUM!</v>
      </c>
      <c r="BH5463" t="e">
        <f t="shared" si="257"/>
        <v>#NUM!</v>
      </c>
      <c r="BI5463" t="e">
        <f>VLOOKUP(H5463,Sheet2!$A$1:$B$270,2,FALSE)</f>
        <v>#N/A</v>
      </c>
    </row>
    <row r="5464" spans="15:61" hidden="1">
      <c r="O5464" s="57"/>
      <c r="P5464" s="57"/>
      <c r="AP5464" s="57"/>
      <c r="BA5464" s="57"/>
      <c r="BF5464" s="6" t="e">
        <f t="shared" si="255"/>
        <v>#NUM!</v>
      </c>
      <c r="BG5464" t="e">
        <f t="shared" si="256"/>
        <v>#NUM!</v>
      </c>
      <c r="BH5464" t="e">
        <f t="shared" si="257"/>
        <v>#NUM!</v>
      </c>
      <c r="BI5464" t="e">
        <f>VLOOKUP(H5464,Sheet2!$A$1:$B$270,2,FALSE)</f>
        <v>#N/A</v>
      </c>
    </row>
    <row r="5465" spans="15:61" hidden="1">
      <c r="O5465" s="57"/>
      <c r="P5465" s="57"/>
      <c r="AO5465" s="57"/>
      <c r="AP5465" s="57"/>
      <c r="BA5465" s="57"/>
      <c r="BF5465" s="6" t="e">
        <f t="shared" si="255"/>
        <v>#NUM!</v>
      </c>
      <c r="BG5465" t="e">
        <f t="shared" si="256"/>
        <v>#NUM!</v>
      </c>
      <c r="BH5465" t="e">
        <f t="shared" si="257"/>
        <v>#NUM!</v>
      </c>
      <c r="BI5465" t="e">
        <f>VLOOKUP(H5465,Sheet2!$A$1:$B$270,2,FALSE)</f>
        <v>#N/A</v>
      </c>
    </row>
    <row r="5466" spans="15:61" hidden="1">
      <c r="O5466" s="57"/>
      <c r="P5466" s="57"/>
      <c r="AO5466" s="57"/>
      <c r="AP5466" s="57"/>
      <c r="BA5466" s="57"/>
      <c r="BF5466" s="6" t="e">
        <f t="shared" si="255"/>
        <v>#NUM!</v>
      </c>
      <c r="BG5466" t="e">
        <f t="shared" si="256"/>
        <v>#NUM!</v>
      </c>
      <c r="BH5466" t="e">
        <f t="shared" si="257"/>
        <v>#NUM!</v>
      </c>
      <c r="BI5466" t="e">
        <f>VLOOKUP(H5466,Sheet2!$A$1:$B$270,2,FALSE)</f>
        <v>#N/A</v>
      </c>
    </row>
    <row r="5467" spans="15:61" hidden="1">
      <c r="O5467" s="57"/>
      <c r="P5467" s="57"/>
      <c r="AP5467" s="57"/>
      <c r="BA5467" s="57"/>
      <c r="BF5467" s="6" t="e">
        <f t="shared" si="255"/>
        <v>#NUM!</v>
      </c>
      <c r="BG5467" t="e">
        <f t="shared" si="256"/>
        <v>#NUM!</v>
      </c>
      <c r="BH5467" t="e">
        <f t="shared" si="257"/>
        <v>#NUM!</v>
      </c>
      <c r="BI5467" t="e">
        <f>VLOOKUP(H5467,Sheet2!$A$1:$B$270,2,FALSE)</f>
        <v>#N/A</v>
      </c>
    </row>
    <row r="5468" spans="15:61" hidden="1">
      <c r="O5468" s="57"/>
      <c r="P5468" s="57"/>
      <c r="AP5468" s="57"/>
      <c r="BA5468" s="57"/>
      <c r="BF5468" s="6" t="e">
        <f t="shared" si="255"/>
        <v>#NUM!</v>
      </c>
      <c r="BG5468" t="e">
        <f t="shared" si="256"/>
        <v>#NUM!</v>
      </c>
      <c r="BH5468" t="e">
        <f t="shared" si="257"/>
        <v>#NUM!</v>
      </c>
      <c r="BI5468" t="e">
        <f>VLOOKUP(H5468,Sheet2!$A$1:$B$270,2,FALSE)</f>
        <v>#N/A</v>
      </c>
    </row>
    <row r="5469" spans="15:61" hidden="1">
      <c r="O5469" s="57"/>
      <c r="P5469" s="57"/>
      <c r="AO5469" s="57"/>
      <c r="AP5469" s="57"/>
      <c r="BA5469" s="57"/>
      <c r="BF5469" s="6" t="e">
        <f t="shared" si="255"/>
        <v>#NUM!</v>
      </c>
      <c r="BG5469" t="e">
        <f t="shared" si="256"/>
        <v>#NUM!</v>
      </c>
      <c r="BH5469" t="e">
        <f t="shared" si="257"/>
        <v>#NUM!</v>
      </c>
      <c r="BI5469" t="e">
        <f>VLOOKUP(H5469,Sheet2!$A$1:$B$270,2,FALSE)</f>
        <v>#N/A</v>
      </c>
    </row>
    <row r="5470" spans="15:61" hidden="1">
      <c r="O5470" s="57"/>
      <c r="P5470" s="57"/>
      <c r="AO5470" s="57"/>
      <c r="AP5470" s="57"/>
      <c r="BA5470" s="57"/>
      <c r="BF5470" s="6" t="e">
        <f t="shared" si="255"/>
        <v>#NUM!</v>
      </c>
      <c r="BG5470" t="e">
        <f t="shared" si="256"/>
        <v>#NUM!</v>
      </c>
      <c r="BH5470" t="e">
        <f t="shared" si="257"/>
        <v>#NUM!</v>
      </c>
      <c r="BI5470" t="e">
        <f>VLOOKUP(H5470,Sheet2!$A$1:$B$270,2,FALSE)</f>
        <v>#N/A</v>
      </c>
    </row>
    <row r="5471" spans="15:61" hidden="1">
      <c r="O5471" s="57"/>
      <c r="P5471" s="57"/>
      <c r="AP5471" s="57"/>
      <c r="BA5471" s="57"/>
      <c r="BF5471" s="6" t="e">
        <f t="shared" si="255"/>
        <v>#NUM!</v>
      </c>
      <c r="BG5471" t="e">
        <f t="shared" si="256"/>
        <v>#NUM!</v>
      </c>
      <c r="BH5471" t="e">
        <f t="shared" si="257"/>
        <v>#NUM!</v>
      </c>
      <c r="BI5471" t="e">
        <f>VLOOKUP(H5471,Sheet2!$A$1:$B$270,2,FALSE)</f>
        <v>#N/A</v>
      </c>
    </row>
    <row r="5472" spans="15:61" hidden="1">
      <c r="O5472" s="57"/>
      <c r="P5472" s="57"/>
      <c r="AO5472" s="57"/>
      <c r="AP5472" s="57"/>
      <c r="BA5472" s="57"/>
      <c r="BF5472" s="6" t="e">
        <f t="shared" si="255"/>
        <v>#NUM!</v>
      </c>
      <c r="BG5472" t="e">
        <f t="shared" si="256"/>
        <v>#NUM!</v>
      </c>
      <c r="BH5472" t="e">
        <f t="shared" si="257"/>
        <v>#NUM!</v>
      </c>
      <c r="BI5472" t="e">
        <f>VLOOKUP(H5472,Sheet2!$A$1:$B$270,2,FALSE)</f>
        <v>#N/A</v>
      </c>
    </row>
    <row r="5473" spans="15:61" hidden="1">
      <c r="O5473" s="57"/>
      <c r="P5473" s="57"/>
      <c r="AP5473" s="57"/>
      <c r="BA5473" s="57"/>
      <c r="BF5473" s="6" t="e">
        <f t="shared" si="255"/>
        <v>#NUM!</v>
      </c>
      <c r="BG5473" t="e">
        <f t="shared" si="256"/>
        <v>#NUM!</v>
      </c>
      <c r="BH5473" t="e">
        <f t="shared" si="257"/>
        <v>#NUM!</v>
      </c>
      <c r="BI5473" t="e">
        <f>VLOOKUP(H5473,Sheet2!$A$1:$B$270,2,FALSE)</f>
        <v>#N/A</v>
      </c>
    </row>
    <row r="5474" spans="15:61" hidden="1">
      <c r="O5474" s="57"/>
      <c r="P5474" s="57"/>
      <c r="AP5474" s="57"/>
      <c r="BA5474" s="57"/>
      <c r="BF5474" s="6" t="e">
        <f t="shared" si="255"/>
        <v>#NUM!</v>
      </c>
      <c r="BG5474" t="e">
        <f t="shared" si="256"/>
        <v>#NUM!</v>
      </c>
      <c r="BH5474" t="e">
        <f t="shared" si="257"/>
        <v>#NUM!</v>
      </c>
      <c r="BI5474" t="e">
        <f>VLOOKUP(H5474,Sheet2!$A$1:$B$270,2,FALSE)</f>
        <v>#N/A</v>
      </c>
    </row>
    <row r="5475" spans="15:61" hidden="1">
      <c r="O5475" s="57"/>
      <c r="P5475" s="57"/>
      <c r="AO5475" s="57"/>
      <c r="AP5475" s="57"/>
      <c r="BA5475" s="57"/>
      <c r="BF5475" s="6" t="e">
        <f t="shared" si="255"/>
        <v>#NUM!</v>
      </c>
      <c r="BG5475" t="e">
        <f t="shared" si="256"/>
        <v>#NUM!</v>
      </c>
      <c r="BH5475" t="e">
        <f t="shared" si="257"/>
        <v>#NUM!</v>
      </c>
      <c r="BI5475" t="e">
        <f>VLOOKUP(H5475,Sheet2!$A$1:$B$270,2,FALSE)</f>
        <v>#N/A</v>
      </c>
    </row>
    <row r="5476" spans="15:61" hidden="1">
      <c r="O5476" s="57"/>
      <c r="P5476" s="57"/>
      <c r="AO5476" s="57"/>
      <c r="AP5476" s="57"/>
      <c r="BA5476" s="57"/>
      <c r="BF5476" s="6" t="e">
        <f t="shared" si="255"/>
        <v>#NUM!</v>
      </c>
      <c r="BG5476" t="e">
        <f t="shared" si="256"/>
        <v>#NUM!</v>
      </c>
      <c r="BH5476" t="e">
        <f t="shared" si="257"/>
        <v>#NUM!</v>
      </c>
      <c r="BI5476" t="e">
        <f>VLOOKUP(H5476,Sheet2!$A$1:$B$270,2,FALSE)</f>
        <v>#N/A</v>
      </c>
    </row>
    <row r="5477" spans="15:61" hidden="1">
      <c r="O5477" s="57"/>
      <c r="P5477" s="57"/>
      <c r="AP5477" s="57"/>
      <c r="BA5477" s="57"/>
      <c r="BF5477" s="6" t="e">
        <f t="shared" si="255"/>
        <v>#NUM!</v>
      </c>
      <c r="BG5477" t="e">
        <f t="shared" si="256"/>
        <v>#NUM!</v>
      </c>
      <c r="BH5477" t="e">
        <f t="shared" si="257"/>
        <v>#NUM!</v>
      </c>
      <c r="BI5477" t="e">
        <f>VLOOKUP(H5477,Sheet2!$A$1:$B$270,2,FALSE)</f>
        <v>#N/A</v>
      </c>
    </row>
    <row r="5478" spans="15:61" hidden="1">
      <c r="O5478" s="57"/>
      <c r="P5478" s="57"/>
      <c r="AM5478" s="58"/>
      <c r="BA5478" s="57"/>
      <c r="BB5478" s="58"/>
      <c r="BF5478" s="6" t="e">
        <f t="shared" si="255"/>
        <v>#NUM!</v>
      </c>
      <c r="BG5478" t="e">
        <f t="shared" si="256"/>
        <v>#NUM!</v>
      </c>
      <c r="BH5478" t="e">
        <f t="shared" si="257"/>
        <v>#NUM!</v>
      </c>
      <c r="BI5478" t="e">
        <f>VLOOKUP(H5478,Sheet2!$A$1:$B$270,2,FALSE)</f>
        <v>#N/A</v>
      </c>
    </row>
    <row r="5479" spans="15:61" hidden="1">
      <c r="O5479" s="57"/>
      <c r="P5479" s="57"/>
      <c r="AM5479" s="58"/>
      <c r="BA5479" s="57"/>
      <c r="BB5479" s="58"/>
      <c r="BF5479" s="6" t="e">
        <f t="shared" si="255"/>
        <v>#NUM!</v>
      </c>
      <c r="BG5479" t="e">
        <f t="shared" si="256"/>
        <v>#NUM!</v>
      </c>
      <c r="BH5479" t="e">
        <f t="shared" si="257"/>
        <v>#NUM!</v>
      </c>
      <c r="BI5479" t="e">
        <f>VLOOKUP(H5479,Sheet2!$A$1:$B$270,2,FALSE)</f>
        <v>#N/A</v>
      </c>
    </row>
    <row r="5480" spans="15:61" hidden="1">
      <c r="O5480" s="57"/>
      <c r="P5480" s="57"/>
      <c r="AO5480" s="57"/>
      <c r="BA5480" s="57"/>
      <c r="BF5480" s="6" t="e">
        <f t="shared" si="255"/>
        <v>#NUM!</v>
      </c>
      <c r="BG5480" t="e">
        <f t="shared" si="256"/>
        <v>#NUM!</v>
      </c>
      <c r="BH5480" t="e">
        <f t="shared" si="257"/>
        <v>#NUM!</v>
      </c>
      <c r="BI5480" t="e">
        <f>VLOOKUP(H5480,Sheet2!$A$1:$B$270,2,FALSE)</f>
        <v>#N/A</v>
      </c>
    </row>
    <row r="5481" spans="15:61" hidden="1">
      <c r="O5481" s="57"/>
      <c r="P5481" s="57"/>
      <c r="AO5481" s="57"/>
      <c r="AP5481" s="57"/>
      <c r="BA5481" s="57"/>
      <c r="BF5481" s="6" t="e">
        <f t="shared" si="255"/>
        <v>#NUM!</v>
      </c>
      <c r="BG5481" t="e">
        <f t="shared" si="256"/>
        <v>#NUM!</v>
      </c>
      <c r="BH5481" t="e">
        <f t="shared" si="257"/>
        <v>#NUM!</v>
      </c>
      <c r="BI5481" t="e">
        <f>VLOOKUP(H5481,Sheet2!$A$1:$B$270,2,FALSE)</f>
        <v>#N/A</v>
      </c>
    </row>
    <row r="5482" spans="15:61" hidden="1">
      <c r="O5482" s="57"/>
      <c r="P5482" s="57"/>
      <c r="AP5482" s="57"/>
      <c r="BA5482" s="57"/>
      <c r="BF5482" s="6" t="e">
        <f t="shared" si="255"/>
        <v>#NUM!</v>
      </c>
      <c r="BG5482" t="e">
        <f t="shared" si="256"/>
        <v>#NUM!</v>
      </c>
      <c r="BH5482" t="e">
        <f t="shared" si="257"/>
        <v>#NUM!</v>
      </c>
      <c r="BI5482" t="e">
        <f>VLOOKUP(H5482,Sheet2!$A$1:$B$270,2,FALSE)</f>
        <v>#N/A</v>
      </c>
    </row>
    <row r="5483" spans="15:61" hidden="1">
      <c r="O5483" s="57"/>
      <c r="P5483" s="57"/>
      <c r="AP5483" s="57"/>
      <c r="BA5483" s="57"/>
      <c r="BF5483" s="6" t="e">
        <f t="shared" si="255"/>
        <v>#NUM!</v>
      </c>
      <c r="BG5483" t="e">
        <f t="shared" si="256"/>
        <v>#NUM!</v>
      </c>
      <c r="BH5483" t="e">
        <f t="shared" si="257"/>
        <v>#NUM!</v>
      </c>
      <c r="BI5483" t="e">
        <f>VLOOKUP(H5483,Sheet2!$A$1:$B$270,2,FALSE)</f>
        <v>#N/A</v>
      </c>
    </row>
    <row r="5484" spans="15:61" hidden="1">
      <c r="O5484" s="57"/>
      <c r="P5484" s="57"/>
      <c r="AO5484" s="57"/>
      <c r="AP5484" s="57"/>
      <c r="BA5484" s="57"/>
      <c r="BF5484" s="6" t="e">
        <f t="shared" si="255"/>
        <v>#NUM!</v>
      </c>
      <c r="BG5484" t="e">
        <f t="shared" si="256"/>
        <v>#NUM!</v>
      </c>
      <c r="BH5484" t="e">
        <f t="shared" si="257"/>
        <v>#NUM!</v>
      </c>
      <c r="BI5484" t="e">
        <f>VLOOKUP(H5484,Sheet2!$A$1:$B$270,2,FALSE)</f>
        <v>#N/A</v>
      </c>
    </row>
    <row r="5485" spans="15:61" hidden="1">
      <c r="O5485" s="57"/>
      <c r="P5485" s="57"/>
      <c r="AO5485" s="57"/>
      <c r="AP5485" s="57"/>
      <c r="BA5485" s="57"/>
      <c r="BF5485" s="6" t="e">
        <f t="shared" si="255"/>
        <v>#NUM!</v>
      </c>
      <c r="BG5485" t="e">
        <f t="shared" si="256"/>
        <v>#NUM!</v>
      </c>
      <c r="BH5485" t="e">
        <f t="shared" si="257"/>
        <v>#NUM!</v>
      </c>
      <c r="BI5485" t="e">
        <f>VLOOKUP(H5485,Sheet2!$A$1:$B$270,2,FALSE)</f>
        <v>#N/A</v>
      </c>
    </row>
    <row r="5486" spans="15:61" hidden="1">
      <c r="O5486" s="57"/>
      <c r="P5486" s="57"/>
      <c r="AP5486" s="57"/>
      <c r="BA5486" s="57"/>
      <c r="BF5486" s="6" t="e">
        <f t="shared" si="255"/>
        <v>#NUM!</v>
      </c>
      <c r="BG5486" t="e">
        <f t="shared" si="256"/>
        <v>#NUM!</v>
      </c>
      <c r="BH5486" t="e">
        <f t="shared" si="257"/>
        <v>#NUM!</v>
      </c>
      <c r="BI5486" t="e">
        <f>VLOOKUP(H5486,Sheet2!$A$1:$B$270,2,FALSE)</f>
        <v>#N/A</v>
      </c>
    </row>
    <row r="5487" spans="15:61" hidden="1">
      <c r="O5487" s="57"/>
      <c r="P5487" s="57"/>
      <c r="AO5487" s="57"/>
      <c r="AP5487" s="57"/>
      <c r="BA5487" s="57"/>
      <c r="BF5487" s="6" t="e">
        <f t="shared" si="255"/>
        <v>#NUM!</v>
      </c>
      <c r="BG5487" t="e">
        <f t="shared" si="256"/>
        <v>#NUM!</v>
      </c>
      <c r="BH5487" t="e">
        <f t="shared" si="257"/>
        <v>#NUM!</v>
      </c>
      <c r="BI5487" t="e">
        <f>VLOOKUP(H5487,Sheet2!$A$1:$B$270,2,FALSE)</f>
        <v>#N/A</v>
      </c>
    </row>
    <row r="5488" spans="15:61" hidden="1">
      <c r="O5488" s="57"/>
      <c r="P5488" s="57"/>
      <c r="AO5488" s="57"/>
      <c r="BF5488" s="6" t="e">
        <f t="shared" si="255"/>
        <v>#NUM!</v>
      </c>
      <c r="BG5488" t="e">
        <f t="shared" si="256"/>
        <v>#NUM!</v>
      </c>
      <c r="BH5488" t="e">
        <f t="shared" si="257"/>
        <v>#NUM!</v>
      </c>
      <c r="BI5488" t="e">
        <f>VLOOKUP(H5488,Sheet2!$A$1:$B$270,2,FALSE)</f>
        <v>#N/A</v>
      </c>
    </row>
    <row r="5489" spans="15:61" hidden="1">
      <c r="O5489" s="57"/>
      <c r="P5489" s="57"/>
      <c r="AM5489" s="58"/>
      <c r="AO5489" s="57"/>
      <c r="BA5489" s="57"/>
      <c r="BB5489" s="58"/>
      <c r="BF5489" s="6" t="e">
        <f t="shared" si="255"/>
        <v>#NUM!</v>
      </c>
      <c r="BG5489" t="e">
        <f t="shared" si="256"/>
        <v>#NUM!</v>
      </c>
      <c r="BH5489" t="e">
        <f t="shared" si="257"/>
        <v>#NUM!</v>
      </c>
      <c r="BI5489" t="e">
        <f>VLOOKUP(H5489,Sheet2!$A$1:$B$270,2,FALSE)</f>
        <v>#N/A</v>
      </c>
    </row>
    <row r="5490" spans="15:61" hidden="1">
      <c r="O5490" s="57"/>
      <c r="P5490" s="57"/>
      <c r="AM5490" s="58"/>
      <c r="BA5490" s="57"/>
      <c r="BB5490" s="58"/>
      <c r="BF5490" s="6" t="e">
        <f t="shared" si="255"/>
        <v>#NUM!</v>
      </c>
      <c r="BG5490" t="e">
        <f t="shared" si="256"/>
        <v>#NUM!</v>
      </c>
      <c r="BH5490" t="e">
        <f t="shared" si="257"/>
        <v>#NUM!</v>
      </c>
      <c r="BI5490" t="e">
        <f>VLOOKUP(H5490,Sheet2!$A$1:$B$270,2,FALSE)</f>
        <v>#N/A</v>
      </c>
    </row>
    <row r="5491" spans="15:61" hidden="1">
      <c r="O5491" s="57"/>
      <c r="P5491" s="57"/>
      <c r="AP5491" s="57"/>
      <c r="BA5491" s="57"/>
      <c r="BF5491" s="6" t="e">
        <f t="shared" si="255"/>
        <v>#NUM!</v>
      </c>
      <c r="BG5491" t="e">
        <f t="shared" si="256"/>
        <v>#NUM!</v>
      </c>
      <c r="BH5491" t="e">
        <f t="shared" si="257"/>
        <v>#NUM!</v>
      </c>
      <c r="BI5491" t="e">
        <f>VLOOKUP(H5491,Sheet2!$A$1:$B$270,2,FALSE)</f>
        <v>#N/A</v>
      </c>
    </row>
    <row r="5492" spans="15:61" hidden="1">
      <c r="O5492" s="57"/>
      <c r="P5492" s="57"/>
      <c r="AO5492" s="57"/>
      <c r="AP5492" s="57"/>
      <c r="BA5492" s="57"/>
      <c r="BF5492" s="6" t="e">
        <f t="shared" si="255"/>
        <v>#NUM!</v>
      </c>
      <c r="BG5492" t="e">
        <f t="shared" si="256"/>
        <v>#NUM!</v>
      </c>
      <c r="BH5492" t="e">
        <f t="shared" si="257"/>
        <v>#NUM!</v>
      </c>
      <c r="BI5492" t="e">
        <f>VLOOKUP(H5492,Sheet2!$A$1:$B$270,2,FALSE)</f>
        <v>#N/A</v>
      </c>
    </row>
    <row r="5493" spans="15:61" hidden="1">
      <c r="O5493" s="57"/>
      <c r="P5493" s="57"/>
      <c r="AO5493" s="57"/>
      <c r="AP5493" s="57"/>
      <c r="BA5493" s="57"/>
      <c r="BF5493" s="6" t="e">
        <f t="shared" si="255"/>
        <v>#NUM!</v>
      </c>
      <c r="BG5493" t="e">
        <f t="shared" si="256"/>
        <v>#NUM!</v>
      </c>
      <c r="BH5493" t="e">
        <f t="shared" si="257"/>
        <v>#NUM!</v>
      </c>
      <c r="BI5493" t="e">
        <f>VLOOKUP(H5493,Sheet2!$A$1:$B$270,2,FALSE)</f>
        <v>#N/A</v>
      </c>
    </row>
    <row r="5494" spans="15:61" hidden="1">
      <c r="O5494" s="57"/>
      <c r="P5494" s="57"/>
      <c r="AP5494" s="57"/>
      <c r="BA5494" s="57"/>
      <c r="BF5494" s="6" t="e">
        <f t="shared" si="255"/>
        <v>#NUM!</v>
      </c>
      <c r="BG5494" t="e">
        <f t="shared" si="256"/>
        <v>#NUM!</v>
      </c>
      <c r="BH5494" t="e">
        <f t="shared" si="257"/>
        <v>#NUM!</v>
      </c>
      <c r="BI5494" t="e">
        <f>VLOOKUP(H5494,Sheet2!$A$1:$B$270,2,FALSE)</f>
        <v>#N/A</v>
      </c>
    </row>
    <row r="5495" spans="15:61" hidden="1">
      <c r="O5495" s="57"/>
      <c r="P5495" s="57"/>
      <c r="AO5495" s="57"/>
      <c r="AP5495" s="57"/>
      <c r="BA5495" s="57"/>
      <c r="BF5495" s="6" t="e">
        <f t="shared" si="255"/>
        <v>#NUM!</v>
      </c>
      <c r="BG5495" t="e">
        <f t="shared" si="256"/>
        <v>#NUM!</v>
      </c>
      <c r="BH5495" t="e">
        <f t="shared" si="257"/>
        <v>#NUM!</v>
      </c>
      <c r="BI5495" t="e">
        <f>VLOOKUP(H5495,Sheet2!$A$1:$B$270,2,FALSE)</f>
        <v>#N/A</v>
      </c>
    </row>
    <row r="5496" spans="15:61" hidden="1">
      <c r="O5496" s="57"/>
      <c r="P5496" s="57"/>
      <c r="AO5496" s="57"/>
      <c r="AP5496" s="57"/>
      <c r="BA5496" s="57"/>
      <c r="BF5496" s="6" t="e">
        <f t="shared" si="255"/>
        <v>#NUM!</v>
      </c>
      <c r="BG5496" t="e">
        <f t="shared" si="256"/>
        <v>#NUM!</v>
      </c>
      <c r="BH5496" t="e">
        <f t="shared" si="257"/>
        <v>#NUM!</v>
      </c>
      <c r="BI5496" t="e">
        <f>VLOOKUP(H5496,Sheet2!$A$1:$B$270,2,FALSE)</f>
        <v>#N/A</v>
      </c>
    </row>
    <row r="5497" spans="15:61" hidden="1">
      <c r="O5497" s="57"/>
      <c r="P5497" s="57"/>
      <c r="AM5497" s="58"/>
      <c r="AO5497" s="57"/>
      <c r="BA5497" s="57"/>
      <c r="BB5497" s="58"/>
      <c r="BF5497" s="6" t="e">
        <f t="shared" si="255"/>
        <v>#NUM!</v>
      </c>
      <c r="BG5497" t="e">
        <f t="shared" si="256"/>
        <v>#NUM!</v>
      </c>
      <c r="BH5497" t="e">
        <f t="shared" si="257"/>
        <v>#NUM!</v>
      </c>
      <c r="BI5497" t="e">
        <f>VLOOKUP(H5497,Sheet2!$A$1:$B$270,2,FALSE)</f>
        <v>#N/A</v>
      </c>
    </row>
    <row r="5498" spans="15:61" hidden="1">
      <c r="O5498" s="57"/>
      <c r="P5498" s="57"/>
      <c r="AP5498" s="57"/>
      <c r="BA5498" s="57"/>
      <c r="BF5498" s="6" t="e">
        <f t="shared" si="255"/>
        <v>#NUM!</v>
      </c>
      <c r="BG5498" t="e">
        <f t="shared" si="256"/>
        <v>#NUM!</v>
      </c>
      <c r="BH5498" t="e">
        <f t="shared" si="257"/>
        <v>#NUM!</v>
      </c>
      <c r="BI5498" t="e">
        <f>VLOOKUP(H5498,Sheet2!$A$1:$B$270,2,FALSE)</f>
        <v>#N/A</v>
      </c>
    </row>
    <row r="5499" spans="15:61" hidden="1">
      <c r="O5499" s="57"/>
      <c r="P5499" s="57"/>
      <c r="AP5499" s="57"/>
      <c r="BA5499" s="57"/>
      <c r="BF5499" s="6" t="e">
        <f t="shared" si="255"/>
        <v>#NUM!</v>
      </c>
      <c r="BG5499" t="e">
        <f t="shared" si="256"/>
        <v>#NUM!</v>
      </c>
      <c r="BH5499" t="e">
        <f t="shared" si="257"/>
        <v>#NUM!</v>
      </c>
      <c r="BI5499" t="e">
        <f>VLOOKUP(H5499,Sheet2!$A$1:$B$270,2,FALSE)</f>
        <v>#N/A</v>
      </c>
    </row>
    <row r="5500" spans="15:61" hidden="1">
      <c r="O5500" s="57"/>
      <c r="P5500" s="57"/>
      <c r="AP5500" s="57"/>
      <c r="BA5500" s="57"/>
      <c r="BF5500" s="6" t="e">
        <f t="shared" si="255"/>
        <v>#NUM!</v>
      </c>
      <c r="BG5500" t="e">
        <f t="shared" si="256"/>
        <v>#NUM!</v>
      </c>
      <c r="BH5500" t="e">
        <f t="shared" si="257"/>
        <v>#NUM!</v>
      </c>
      <c r="BI5500" t="e">
        <f>VLOOKUP(H5500,Sheet2!$A$1:$B$270,2,FALSE)</f>
        <v>#N/A</v>
      </c>
    </row>
    <row r="5501" spans="15:61" hidden="1">
      <c r="O5501" s="57"/>
      <c r="P5501" s="57"/>
      <c r="AP5501" s="57"/>
      <c r="BA5501" s="57"/>
      <c r="BF5501" s="6" t="e">
        <f t="shared" si="255"/>
        <v>#NUM!</v>
      </c>
      <c r="BG5501" t="e">
        <f t="shared" si="256"/>
        <v>#NUM!</v>
      </c>
      <c r="BH5501" t="e">
        <f t="shared" si="257"/>
        <v>#NUM!</v>
      </c>
      <c r="BI5501" t="e">
        <f>VLOOKUP(H5501,Sheet2!$A$1:$B$270,2,FALSE)</f>
        <v>#N/A</v>
      </c>
    </row>
    <row r="5502" spans="15:61" hidden="1">
      <c r="O5502" s="57"/>
      <c r="P5502" s="57"/>
      <c r="AP5502" s="57"/>
      <c r="BA5502" s="57"/>
      <c r="BF5502" s="6" t="e">
        <f t="shared" si="255"/>
        <v>#NUM!</v>
      </c>
      <c r="BG5502" t="e">
        <f t="shared" si="256"/>
        <v>#NUM!</v>
      </c>
      <c r="BH5502" t="e">
        <f t="shared" si="257"/>
        <v>#NUM!</v>
      </c>
      <c r="BI5502" t="e">
        <f>VLOOKUP(H5502,Sheet2!$A$1:$B$270,2,FALSE)</f>
        <v>#N/A</v>
      </c>
    </row>
    <row r="5503" spans="15:61" hidden="1">
      <c r="O5503" s="57"/>
      <c r="P5503" s="57"/>
      <c r="BA5503" s="57"/>
      <c r="BF5503" s="6" t="e">
        <f t="shared" si="255"/>
        <v>#NUM!</v>
      </c>
      <c r="BG5503" t="e">
        <f t="shared" si="256"/>
        <v>#NUM!</v>
      </c>
      <c r="BH5503" t="e">
        <f t="shared" si="257"/>
        <v>#NUM!</v>
      </c>
      <c r="BI5503" t="e">
        <f>VLOOKUP(H5503,Sheet2!$A$1:$B$270,2,FALSE)</f>
        <v>#N/A</v>
      </c>
    </row>
    <row r="5504" spans="15:61" hidden="1">
      <c r="O5504" s="57"/>
      <c r="P5504" s="57"/>
      <c r="AP5504" s="57"/>
      <c r="BA5504" s="57"/>
      <c r="BF5504" s="6" t="e">
        <f t="shared" si="255"/>
        <v>#NUM!</v>
      </c>
      <c r="BG5504" t="e">
        <f t="shared" si="256"/>
        <v>#NUM!</v>
      </c>
      <c r="BH5504" t="e">
        <f t="shared" si="257"/>
        <v>#NUM!</v>
      </c>
      <c r="BI5504" t="e">
        <f>VLOOKUP(H5504,Sheet2!$A$1:$B$270,2,FALSE)</f>
        <v>#N/A</v>
      </c>
    </row>
    <row r="5505" spans="15:61" hidden="1">
      <c r="O5505" s="57"/>
      <c r="P5505" s="57"/>
      <c r="AP5505" s="57"/>
      <c r="BA5505" s="57"/>
      <c r="BF5505" s="6" t="e">
        <f t="shared" si="255"/>
        <v>#NUM!</v>
      </c>
      <c r="BG5505" t="e">
        <f t="shared" si="256"/>
        <v>#NUM!</v>
      </c>
      <c r="BH5505" t="e">
        <f t="shared" si="257"/>
        <v>#NUM!</v>
      </c>
      <c r="BI5505" t="e">
        <f>VLOOKUP(H5505,Sheet2!$A$1:$B$270,2,FALSE)</f>
        <v>#N/A</v>
      </c>
    </row>
    <row r="5506" spans="15:61" hidden="1">
      <c r="O5506" s="57"/>
      <c r="P5506" s="57"/>
      <c r="AP5506" s="57"/>
      <c r="BA5506" s="57"/>
      <c r="BF5506" s="6" t="e">
        <f t="shared" ref="BF5506:BF5569" si="258">DATE(BC5506,BD5506,BE5506)</f>
        <v>#NUM!</v>
      </c>
      <c r="BG5506" t="e">
        <f t="shared" ref="BG5506:BG5569" si="259">BF5506-BA5506</f>
        <v>#NUM!</v>
      </c>
      <c r="BH5506" t="e">
        <f t="shared" ref="BH5506:BH5569" si="260">IF(BG5506=1,"COMPLY",IF(BG5506&lt;1,"COMPLY","NOT COMPLY"))</f>
        <v>#NUM!</v>
      </c>
      <c r="BI5506" t="e">
        <f>VLOOKUP(H5506,Sheet2!$A$1:$B$270,2,FALSE)</f>
        <v>#N/A</v>
      </c>
    </row>
    <row r="5507" spans="15:61" hidden="1">
      <c r="O5507" s="57"/>
      <c r="P5507" s="57"/>
      <c r="AO5507" s="57"/>
      <c r="AP5507" s="57"/>
      <c r="BA5507" s="57"/>
      <c r="BF5507" s="6" t="e">
        <f t="shared" si="258"/>
        <v>#NUM!</v>
      </c>
      <c r="BG5507" t="e">
        <f t="shared" si="259"/>
        <v>#NUM!</v>
      </c>
      <c r="BH5507" t="e">
        <f t="shared" si="260"/>
        <v>#NUM!</v>
      </c>
      <c r="BI5507" t="e">
        <f>VLOOKUP(H5507,Sheet2!$A$1:$B$270,2,FALSE)</f>
        <v>#N/A</v>
      </c>
    </row>
    <row r="5508" spans="15:61" hidden="1">
      <c r="O5508" s="57"/>
      <c r="P5508" s="57"/>
      <c r="AP5508" s="57"/>
      <c r="BA5508" s="57"/>
      <c r="BF5508" s="6" t="e">
        <f t="shared" si="258"/>
        <v>#NUM!</v>
      </c>
      <c r="BG5508" t="e">
        <f t="shared" si="259"/>
        <v>#NUM!</v>
      </c>
      <c r="BH5508" t="e">
        <f t="shared" si="260"/>
        <v>#NUM!</v>
      </c>
      <c r="BI5508" t="e">
        <f>VLOOKUP(H5508,Sheet2!$A$1:$B$270,2,FALSE)</f>
        <v>#N/A</v>
      </c>
    </row>
    <row r="5509" spans="15:61" hidden="1">
      <c r="O5509" s="57"/>
      <c r="P5509" s="57"/>
      <c r="AP5509" s="57"/>
      <c r="BA5509" s="57"/>
      <c r="BF5509" s="6" t="e">
        <f t="shared" si="258"/>
        <v>#NUM!</v>
      </c>
      <c r="BG5509" t="e">
        <f t="shared" si="259"/>
        <v>#NUM!</v>
      </c>
      <c r="BH5509" t="e">
        <f t="shared" si="260"/>
        <v>#NUM!</v>
      </c>
      <c r="BI5509" t="e">
        <f>VLOOKUP(H5509,Sheet2!$A$1:$B$270,2,FALSE)</f>
        <v>#N/A</v>
      </c>
    </row>
    <row r="5510" spans="15:61" hidden="1">
      <c r="O5510" s="57"/>
      <c r="P5510" s="57"/>
      <c r="AO5510" s="57"/>
      <c r="AP5510" s="57"/>
      <c r="BA5510" s="57"/>
      <c r="BF5510" s="6" t="e">
        <f t="shared" si="258"/>
        <v>#NUM!</v>
      </c>
      <c r="BG5510" t="e">
        <f t="shared" si="259"/>
        <v>#NUM!</v>
      </c>
      <c r="BH5510" t="e">
        <f t="shared" si="260"/>
        <v>#NUM!</v>
      </c>
      <c r="BI5510" t="e">
        <f>VLOOKUP(H5510,Sheet2!$A$1:$B$270,2,FALSE)</f>
        <v>#N/A</v>
      </c>
    </row>
    <row r="5511" spans="15:61" hidden="1">
      <c r="O5511" s="57"/>
      <c r="P5511" s="57"/>
      <c r="AO5511" s="57"/>
      <c r="AP5511" s="57"/>
      <c r="BA5511" s="57"/>
      <c r="BF5511" s="6" t="e">
        <f t="shared" si="258"/>
        <v>#NUM!</v>
      </c>
      <c r="BG5511" t="e">
        <f t="shared" si="259"/>
        <v>#NUM!</v>
      </c>
      <c r="BH5511" t="e">
        <f t="shared" si="260"/>
        <v>#NUM!</v>
      </c>
      <c r="BI5511" t="e">
        <f>VLOOKUP(H5511,Sheet2!$A$1:$B$270,2,FALSE)</f>
        <v>#N/A</v>
      </c>
    </row>
    <row r="5512" spans="15:61" hidden="1">
      <c r="O5512" s="57"/>
      <c r="P5512" s="57"/>
      <c r="AP5512" s="57"/>
      <c r="BA5512" s="57"/>
      <c r="BF5512" s="6" t="e">
        <f t="shared" si="258"/>
        <v>#NUM!</v>
      </c>
      <c r="BG5512" t="e">
        <f t="shared" si="259"/>
        <v>#NUM!</v>
      </c>
      <c r="BH5512" t="e">
        <f t="shared" si="260"/>
        <v>#NUM!</v>
      </c>
      <c r="BI5512" t="e">
        <f>VLOOKUP(H5512,Sheet2!$A$1:$B$270,2,FALSE)</f>
        <v>#N/A</v>
      </c>
    </row>
    <row r="5513" spans="15:61" hidden="1">
      <c r="O5513" s="57"/>
      <c r="P5513" s="57"/>
      <c r="AO5513" s="57"/>
      <c r="BA5513" s="57"/>
      <c r="BF5513" s="6" t="e">
        <f t="shared" si="258"/>
        <v>#NUM!</v>
      </c>
      <c r="BG5513" t="e">
        <f t="shared" si="259"/>
        <v>#NUM!</v>
      </c>
      <c r="BH5513" t="e">
        <f t="shared" si="260"/>
        <v>#NUM!</v>
      </c>
      <c r="BI5513" t="e">
        <f>VLOOKUP(H5513,Sheet2!$A$1:$B$270,2,FALSE)</f>
        <v>#N/A</v>
      </c>
    </row>
    <row r="5514" spans="15:61" hidden="1">
      <c r="O5514" s="57"/>
      <c r="P5514" s="57"/>
      <c r="AP5514" s="57"/>
      <c r="BA5514" s="57"/>
      <c r="BF5514" s="6" t="e">
        <f t="shared" si="258"/>
        <v>#NUM!</v>
      </c>
      <c r="BG5514" t="e">
        <f t="shared" si="259"/>
        <v>#NUM!</v>
      </c>
      <c r="BH5514" t="e">
        <f t="shared" si="260"/>
        <v>#NUM!</v>
      </c>
      <c r="BI5514" t="e">
        <f>VLOOKUP(H5514,Sheet2!$A$1:$B$270,2,FALSE)</f>
        <v>#N/A</v>
      </c>
    </row>
    <row r="5515" spans="15:61" hidden="1">
      <c r="O5515" s="57"/>
      <c r="P5515" s="57"/>
      <c r="AO5515" s="57"/>
      <c r="BF5515" s="6" t="e">
        <f t="shared" si="258"/>
        <v>#NUM!</v>
      </c>
      <c r="BG5515" t="e">
        <f t="shared" si="259"/>
        <v>#NUM!</v>
      </c>
      <c r="BH5515" t="e">
        <f t="shared" si="260"/>
        <v>#NUM!</v>
      </c>
      <c r="BI5515" t="e">
        <f>VLOOKUP(H5515,Sheet2!$A$1:$B$270,2,FALSE)</f>
        <v>#N/A</v>
      </c>
    </row>
    <row r="5516" spans="15:61" hidden="1">
      <c r="O5516" s="57"/>
      <c r="P5516" s="57"/>
      <c r="AO5516" s="57"/>
      <c r="AP5516" s="57"/>
      <c r="BA5516" s="57"/>
      <c r="BF5516" s="6" t="e">
        <f t="shared" si="258"/>
        <v>#NUM!</v>
      </c>
      <c r="BG5516" t="e">
        <f t="shared" si="259"/>
        <v>#NUM!</v>
      </c>
      <c r="BH5516" t="e">
        <f t="shared" si="260"/>
        <v>#NUM!</v>
      </c>
      <c r="BI5516" t="e">
        <f>VLOOKUP(H5516,Sheet2!$A$1:$B$270,2,FALSE)</f>
        <v>#N/A</v>
      </c>
    </row>
    <row r="5517" spans="15:61" hidden="1">
      <c r="O5517" s="57"/>
      <c r="P5517" s="57"/>
      <c r="AP5517" s="57"/>
      <c r="BA5517" s="57"/>
      <c r="BF5517" s="6" t="e">
        <f t="shared" si="258"/>
        <v>#NUM!</v>
      </c>
      <c r="BG5517" t="e">
        <f t="shared" si="259"/>
        <v>#NUM!</v>
      </c>
      <c r="BH5517" t="e">
        <f t="shared" si="260"/>
        <v>#NUM!</v>
      </c>
      <c r="BI5517" t="e">
        <f>VLOOKUP(H5517,Sheet2!$A$1:$B$270,2,FALSE)</f>
        <v>#N/A</v>
      </c>
    </row>
    <row r="5518" spans="15:61" hidden="1">
      <c r="O5518" s="57"/>
      <c r="P5518" s="57"/>
      <c r="BA5518" s="57"/>
      <c r="BF5518" s="6" t="e">
        <f t="shared" si="258"/>
        <v>#NUM!</v>
      </c>
      <c r="BG5518" t="e">
        <f t="shared" si="259"/>
        <v>#NUM!</v>
      </c>
      <c r="BH5518" t="e">
        <f t="shared" si="260"/>
        <v>#NUM!</v>
      </c>
      <c r="BI5518" t="e">
        <f>VLOOKUP(H5518,Sheet2!$A$1:$B$270,2,FALSE)</f>
        <v>#N/A</v>
      </c>
    </row>
    <row r="5519" spans="15:61" hidden="1">
      <c r="O5519" s="57"/>
      <c r="P5519" s="57"/>
      <c r="AP5519" s="57"/>
      <c r="BA5519" s="57"/>
      <c r="BF5519" s="6" t="e">
        <f t="shared" si="258"/>
        <v>#NUM!</v>
      </c>
      <c r="BG5519" t="e">
        <f t="shared" si="259"/>
        <v>#NUM!</v>
      </c>
      <c r="BH5519" t="e">
        <f t="shared" si="260"/>
        <v>#NUM!</v>
      </c>
      <c r="BI5519" t="e">
        <f>VLOOKUP(H5519,Sheet2!$A$1:$B$270,2,FALSE)</f>
        <v>#N/A</v>
      </c>
    </row>
    <row r="5520" spans="15:61" hidden="1">
      <c r="O5520" s="57"/>
      <c r="P5520" s="57"/>
      <c r="AP5520" s="57"/>
      <c r="BA5520" s="57"/>
      <c r="BF5520" s="6" t="e">
        <f t="shared" si="258"/>
        <v>#NUM!</v>
      </c>
      <c r="BG5520" t="e">
        <f t="shared" si="259"/>
        <v>#NUM!</v>
      </c>
      <c r="BH5520" t="e">
        <f t="shared" si="260"/>
        <v>#NUM!</v>
      </c>
      <c r="BI5520" t="e">
        <f>VLOOKUP(H5520,Sheet2!$A$1:$B$270,2,FALSE)</f>
        <v>#N/A</v>
      </c>
    </row>
    <row r="5521" spans="15:61" hidden="1">
      <c r="O5521" s="57"/>
      <c r="P5521" s="57"/>
      <c r="AO5521" s="57"/>
      <c r="AP5521" s="57"/>
      <c r="BA5521" s="57"/>
      <c r="BF5521" s="6" t="e">
        <f t="shared" si="258"/>
        <v>#NUM!</v>
      </c>
      <c r="BG5521" t="e">
        <f t="shared" si="259"/>
        <v>#NUM!</v>
      </c>
      <c r="BH5521" t="e">
        <f t="shared" si="260"/>
        <v>#NUM!</v>
      </c>
      <c r="BI5521" t="e">
        <f>VLOOKUP(H5521,Sheet2!$A$1:$B$270,2,FALSE)</f>
        <v>#N/A</v>
      </c>
    </row>
    <row r="5522" spans="15:61" hidden="1">
      <c r="O5522" s="57"/>
      <c r="P5522" s="57"/>
      <c r="AO5522" s="57"/>
      <c r="AP5522" s="57"/>
      <c r="BA5522" s="57"/>
      <c r="BF5522" s="6" t="e">
        <f t="shared" si="258"/>
        <v>#NUM!</v>
      </c>
      <c r="BG5522" t="e">
        <f t="shared" si="259"/>
        <v>#NUM!</v>
      </c>
      <c r="BH5522" t="e">
        <f t="shared" si="260"/>
        <v>#NUM!</v>
      </c>
      <c r="BI5522" t="e">
        <f>VLOOKUP(H5522,Sheet2!$A$1:$B$270,2,FALSE)</f>
        <v>#N/A</v>
      </c>
    </row>
    <row r="5523" spans="15:61" hidden="1">
      <c r="O5523" s="57"/>
      <c r="P5523" s="57"/>
      <c r="AO5523" s="57"/>
      <c r="AP5523" s="57"/>
      <c r="BA5523" s="57"/>
      <c r="BF5523" s="6" t="e">
        <f t="shared" si="258"/>
        <v>#NUM!</v>
      </c>
      <c r="BG5523" t="e">
        <f t="shared" si="259"/>
        <v>#NUM!</v>
      </c>
      <c r="BH5523" t="e">
        <f t="shared" si="260"/>
        <v>#NUM!</v>
      </c>
      <c r="BI5523" t="e">
        <f>VLOOKUP(H5523,Sheet2!$A$1:$B$270,2,FALSE)</f>
        <v>#N/A</v>
      </c>
    </row>
    <row r="5524" spans="15:61" hidden="1">
      <c r="O5524" s="57"/>
      <c r="P5524" s="57"/>
      <c r="AP5524" s="57"/>
      <c r="BA5524" s="57"/>
      <c r="BF5524" s="6" t="e">
        <f t="shared" si="258"/>
        <v>#NUM!</v>
      </c>
      <c r="BG5524" t="e">
        <f t="shared" si="259"/>
        <v>#NUM!</v>
      </c>
      <c r="BH5524" t="e">
        <f t="shared" si="260"/>
        <v>#NUM!</v>
      </c>
      <c r="BI5524" t="e">
        <f>VLOOKUP(H5524,Sheet2!$A$1:$B$270,2,FALSE)</f>
        <v>#N/A</v>
      </c>
    </row>
    <row r="5525" spans="15:61" hidden="1">
      <c r="O5525" s="57"/>
      <c r="P5525" s="57"/>
      <c r="AP5525" s="57"/>
      <c r="BA5525" s="57"/>
      <c r="BF5525" s="6" t="e">
        <f t="shared" si="258"/>
        <v>#NUM!</v>
      </c>
      <c r="BG5525" t="e">
        <f t="shared" si="259"/>
        <v>#NUM!</v>
      </c>
      <c r="BH5525" t="e">
        <f t="shared" si="260"/>
        <v>#NUM!</v>
      </c>
      <c r="BI5525" t="e">
        <f>VLOOKUP(H5525,Sheet2!$A$1:$B$270,2,FALSE)</f>
        <v>#N/A</v>
      </c>
    </row>
    <row r="5526" spans="15:61" hidden="1">
      <c r="O5526" s="57"/>
      <c r="P5526" s="57"/>
      <c r="BA5526" s="57"/>
      <c r="BF5526" s="6" t="e">
        <f t="shared" si="258"/>
        <v>#NUM!</v>
      </c>
      <c r="BG5526" t="e">
        <f t="shared" si="259"/>
        <v>#NUM!</v>
      </c>
      <c r="BH5526" t="e">
        <f t="shared" si="260"/>
        <v>#NUM!</v>
      </c>
      <c r="BI5526" t="e">
        <f>VLOOKUP(H5526,Sheet2!$A$1:$B$270,2,FALSE)</f>
        <v>#N/A</v>
      </c>
    </row>
    <row r="5527" spans="15:61" hidden="1">
      <c r="O5527" s="57"/>
      <c r="P5527" s="57"/>
      <c r="AP5527" s="57"/>
      <c r="BA5527" s="57"/>
      <c r="BF5527" s="6" t="e">
        <f t="shared" si="258"/>
        <v>#NUM!</v>
      </c>
      <c r="BG5527" t="e">
        <f t="shared" si="259"/>
        <v>#NUM!</v>
      </c>
      <c r="BH5527" t="e">
        <f t="shared" si="260"/>
        <v>#NUM!</v>
      </c>
      <c r="BI5527" t="e">
        <f>VLOOKUP(H5527,Sheet2!$A$1:$B$270,2,FALSE)</f>
        <v>#N/A</v>
      </c>
    </row>
    <row r="5528" spans="15:61" hidden="1">
      <c r="O5528" s="57"/>
      <c r="P5528" s="57"/>
      <c r="AP5528" s="57"/>
      <c r="BA5528" s="57"/>
      <c r="BF5528" s="6" t="e">
        <f t="shared" si="258"/>
        <v>#NUM!</v>
      </c>
      <c r="BG5528" t="e">
        <f t="shared" si="259"/>
        <v>#NUM!</v>
      </c>
      <c r="BH5528" t="e">
        <f t="shared" si="260"/>
        <v>#NUM!</v>
      </c>
      <c r="BI5528" t="e">
        <f>VLOOKUP(H5528,Sheet2!$A$1:$B$270,2,FALSE)</f>
        <v>#N/A</v>
      </c>
    </row>
    <row r="5529" spans="15:61" hidden="1">
      <c r="O5529" s="57"/>
      <c r="P5529" s="57"/>
      <c r="AP5529" s="57"/>
      <c r="BA5529" s="57"/>
      <c r="BF5529" s="6" t="e">
        <f t="shared" si="258"/>
        <v>#NUM!</v>
      </c>
      <c r="BG5529" t="e">
        <f t="shared" si="259"/>
        <v>#NUM!</v>
      </c>
      <c r="BH5529" t="e">
        <f t="shared" si="260"/>
        <v>#NUM!</v>
      </c>
      <c r="BI5529" t="e">
        <f>VLOOKUP(H5529,Sheet2!$A$1:$B$270,2,FALSE)</f>
        <v>#N/A</v>
      </c>
    </row>
    <row r="5530" spans="15:61" hidden="1">
      <c r="O5530" s="57"/>
      <c r="P5530" s="57"/>
      <c r="AM5530" s="58"/>
      <c r="AO5530" s="57"/>
      <c r="BA5530" s="57"/>
      <c r="BB5530" s="58"/>
      <c r="BF5530" s="6" t="e">
        <f t="shared" si="258"/>
        <v>#NUM!</v>
      </c>
      <c r="BG5530" t="e">
        <f t="shared" si="259"/>
        <v>#NUM!</v>
      </c>
      <c r="BH5530" t="e">
        <f t="shared" si="260"/>
        <v>#NUM!</v>
      </c>
      <c r="BI5530" t="e">
        <f>VLOOKUP(H5530,Sheet2!$A$1:$B$270,2,FALSE)</f>
        <v>#N/A</v>
      </c>
    </row>
    <row r="5531" spans="15:61" hidden="1">
      <c r="O5531" s="57"/>
      <c r="P5531" s="57"/>
      <c r="AO5531" s="57"/>
      <c r="AP5531" s="57"/>
      <c r="BA5531" s="57"/>
      <c r="BF5531" s="6" t="e">
        <f t="shared" si="258"/>
        <v>#NUM!</v>
      </c>
      <c r="BG5531" t="e">
        <f t="shared" si="259"/>
        <v>#NUM!</v>
      </c>
      <c r="BH5531" t="e">
        <f t="shared" si="260"/>
        <v>#NUM!</v>
      </c>
      <c r="BI5531" t="e">
        <f>VLOOKUP(H5531,Sheet2!$A$1:$B$270,2,FALSE)</f>
        <v>#N/A</v>
      </c>
    </row>
    <row r="5532" spans="15:61" hidden="1">
      <c r="O5532" s="57"/>
      <c r="P5532" s="57"/>
      <c r="AP5532" s="57"/>
      <c r="BA5532" s="57"/>
      <c r="BF5532" s="6" t="e">
        <f t="shared" si="258"/>
        <v>#NUM!</v>
      </c>
      <c r="BG5532" t="e">
        <f t="shared" si="259"/>
        <v>#NUM!</v>
      </c>
      <c r="BH5532" t="e">
        <f t="shared" si="260"/>
        <v>#NUM!</v>
      </c>
      <c r="BI5532" t="e">
        <f>VLOOKUP(H5532,Sheet2!$A$1:$B$270,2,FALSE)</f>
        <v>#N/A</v>
      </c>
    </row>
    <row r="5533" spans="15:61" hidden="1">
      <c r="O5533" s="57"/>
      <c r="P5533" s="57"/>
      <c r="AP5533" s="57"/>
      <c r="BA5533" s="57"/>
      <c r="BF5533" s="6" t="e">
        <f t="shared" si="258"/>
        <v>#NUM!</v>
      </c>
      <c r="BG5533" t="e">
        <f t="shared" si="259"/>
        <v>#NUM!</v>
      </c>
      <c r="BH5533" t="e">
        <f t="shared" si="260"/>
        <v>#NUM!</v>
      </c>
      <c r="BI5533" t="e">
        <f>VLOOKUP(H5533,Sheet2!$A$1:$B$270,2,FALSE)</f>
        <v>#N/A</v>
      </c>
    </row>
    <row r="5534" spans="15:61" hidden="1">
      <c r="O5534" s="57"/>
      <c r="P5534" s="57"/>
      <c r="AM5534" s="58"/>
      <c r="BA5534" s="57"/>
      <c r="BB5534" s="58"/>
      <c r="BF5534" s="6" t="e">
        <f t="shared" si="258"/>
        <v>#NUM!</v>
      </c>
      <c r="BG5534" t="e">
        <f t="shared" si="259"/>
        <v>#NUM!</v>
      </c>
      <c r="BH5534" t="e">
        <f t="shared" si="260"/>
        <v>#NUM!</v>
      </c>
      <c r="BI5534" t="e">
        <f>VLOOKUP(H5534,Sheet2!$A$1:$B$270,2,FALSE)</f>
        <v>#N/A</v>
      </c>
    </row>
    <row r="5535" spans="15:61" hidden="1">
      <c r="O5535" s="57"/>
      <c r="P5535" s="57"/>
      <c r="AP5535" s="57"/>
      <c r="BA5535" s="57"/>
      <c r="BF5535" s="6" t="e">
        <f t="shared" si="258"/>
        <v>#NUM!</v>
      </c>
      <c r="BG5535" t="e">
        <f t="shared" si="259"/>
        <v>#NUM!</v>
      </c>
      <c r="BH5535" t="e">
        <f t="shared" si="260"/>
        <v>#NUM!</v>
      </c>
      <c r="BI5535" t="e">
        <f>VLOOKUP(H5535,Sheet2!$A$1:$B$270,2,FALSE)</f>
        <v>#N/A</v>
      </c>
    </row>
    <row r="5536" spans="15:61" hidden="1">
      <c r="O5536" s="57"/>
      <c r="P5536" s="57"/>
      <c r="AO5536" s="57"/>
      <c r="BF5536" s="6" t="e">
        <f t="shared" si="258"/>
        <v>#NUM!</v>
      </c>
      <c r="BG5536" t="e">
        <f t="shared" si="259"/>
        <v>#NUM!</v>
      </c>
      <c r="BH5536" t="e">
        <f t="shared" si="260"/>
        <v>#NUM!</v>
      </c>
      <c r="BI5536" t="e">
        <f>VLOOKUP(H5536,Sheet2!$A$1:$B$270,2,FALSE)</f>
        <v>#N/A</v>
      </c>
    </row>
    <row r="5537" spans="15:61" hidden="1">
      <c r="O5537" s="57"/>
      <c r="P5537" s="57"/>
      <c r="AO5537" s="57"/>
      <c r="BF5537" s="6" t="e">
        <f t="shared" si="258"/>
        <v>#NUM!</v>
      </c>
      <c r="BG5537" t="e">
        <f t="shared" si="259"/>
        <v>#NUM!</v>
      </c>
      <c r="BH5537" t="e">
        <f t="shared" si="260"/>
        <v>#NUM!</v>
      </c>
      <c r="BI5537" t="e">
        <f>VLOOKUP(H5537,Sheet2!$A$1:$B$270,2,FALSE)</f>
        <v>#N/A</v>
      </c>
    </row>
    <row r="5538" spans="15:61" hidden="1">
      <c r="O5538" s="57"/>
      <c r="P5538" s="57"/>
      <c r="AP5538" s="57"/>
      <c r="BA5538" s="57"/>
      <c r="BF5538" s="6" t="e">
        <f t="shared" si="258"/>
        <v>#NUM!</v>
      </c>
      <c r="BG5538" t="e">
        <f t="shared" si="259"/>
        <v>#NUM!</v>
      </c>
      <c r="BH5538" t="e">
        <f t="shared" si="260"/>
        <v>#NUM!</v>
      </c>
      <c r="BI5538" t="e">
        <f>VLOOKUP(H5538,Sheet2!$A$1:$B$270,2,FALSE)</f>
        <v>#N/A</v>
      </c>
    </row>
    <row r="5539" spans="15:61" hidden="1">
      <c r="O5539" s="57"/>
      <c r="P5539" s="57"/>
      <c r="AP5539" s="57"/>
      <c r="BA5539" s="57"/>
      <c r="BF5539" s="6" t="e">
        <f t="shared" si="258"/>
        <v>#NUM!</v>
      </c>
      <c r="BG5539" t="e">
        <f t="shared" si="259"/>
        <v>#NUM!</v>
      </c>
      <c r="BH5539" t="e">
        <f t="shared" si="260"/>
        <v>#NUM!</v>
      </c>
      <c r="BI5539" t="e">
        <f>VLOOKUP(H5539,Sheet2!$A$1:$B$270,2,FALSE)</f>
        <v>#N/A</v>
      </c>
    </row>
    <row r="5540" spans="15:61" hidden="1">
      <c r="O5540" s="57"/>
      <c r="P5540" s="57"/>
      <c r="AP5540" s="57"/>
      <c r="BA5540" s="57"/>
      <c r="BF5540" s="6" t="e">
        <f t="shared" si="258"/>
        <v>#NUM!</v>
      </c>
      <c r="BG5540" t="e">
        <f t="shared" si="259"/>
        <v>#NUM!</v>
      </c>
      <c r="BH5540" t="e">
        <f t="shared" si="260"/>
        <v>#NUM!</v>
      </c>
      <c r="BI5540" t="e">
        <f>VLOOKUP(H5540,Sheet2!$A$1:$B$270,2,FALSE)</f>
        <v>#N/A</v>
      </c>
    </row>
    <row r="5541" spans="15:61" hidden="1">
      <c r="O5541" s="57"/>
      <c r="P5541" s="57"/>
      <c r="AP5541" s="57"/>
      <c r="BA5541" s="57"/>
      <c r="BF5541" s="6" t="e">
        <f t="shared" si="258"/>
        <v>#NUM!</v>
      </c>
      <c r="BG5541" t="e">
        <f t="shared" si="259"/>
        <v>#NUM!</v>
      </c>
      <c r="BH5541" t="e">
        <f t="shared" si="260"/>
        <v>#NUM!</v>
      </c>
      <c r="BI5541" t="e">
        <f>VLOOKUP(H5541,Sheet2!$A$1:$B$270,2,FALSE)</f>
        <v>#N/A</v>
      </c>
    </row>
    <row r="5542" spans="15:61" hidden="1">
      <c r="O5542" s="57"/>
      <c r="P5542" s="57"/>
      <c r="AP5542" s="57"/>
      <c r="BA5542" s="57"/>
      <c r="BF5542" s="6" t="e">
        <f t="shared" si="258"/>
        <v>#NUM!</v>
      </c>
      <c r="BG5542" t="e">
        <f t="shared" si="259"/>
        <v>#NUM!</v>
      </c>
      <c r="BH5542" t="e">
        <f t="shared" si="260"/>
        <v>#NUM!</v>
      </c>
      <c r="BI5542" t="e">
        <f>VLOOKUP(H5542,Sheet2!$A$1:$B$270,2,FALSE)</f>
        <v>#N/A</v>
      </c>
    </row>
    <row r="5543" spans="15:61" hidden="1">
      <c r="O5543" s="57"/>
      <c r="P5543" s="57"/>
      <c r="AP5543" s="57"/>
      <c r="BA5543" s="57"/>
      <c r="BF5543" s="6" t="e">
        <f t="shared" si="258"/>
        <v>#NUM!</v>
      </c>
      <c r="BG5543" t="e">
        <f t="shared" si="259"/>
        <v>#NUM!</v>
      </c>
      <c r="BH5543" t="e">
        <f t="shared" si="260"/>
        <v>#NUM!</v>
      </c>
      <c r="BI5543" t="e">
        <f>VLOOKUP(H5543,Sheet2!$A$1:$B$270,2,FALSE)</f>
        <v>#N/A</v>
      </c>
    </row>
    <row r="5544" spans="15:61" hidden="1">
      <c r="O5544" s="57"/>
      <c r="P5544" s="57"/>
      <c r="AP5544" s="57"/>
      <c r="BA5544" s="57"/>
      <c r="BF5544" s="6" t="e">
        <f t="shared" si="258"/>
        <v>#NUM!</v>
      </c>
      <c r="BG5544" t="e">
        <f t="shared" si="259"/>
        <v>#NUM!</v>
      </c>
      <c r="BH5544" t="e">
        <f t="shared" si="260"/>
        <v>#NUM!</v>
      </c>
      <c r="BI5544" t="e">
        <f>VLOOKUP(H5544,Sheet2!$A$1:$B$270,2,FALSE)</f>
        <v>#N/A</v>
      </c>
    </row>
    <row r="5545" spans="15:61" hidden="1">
      <c r="O5545" s="57"/>
      <c r="P5545" s="57"/>
      <c r="AO5545" s="57"/>
      <c r="AP5545" s="57"/>
      <c r="BA5545" s="57"/>
      <c r="BF5545" s="6" t="e">
        <f t="shared" si="258"/>
        <v>#NUM!</v>
      </c>
      <c r="BG5545" t="e">
        <f t="shared" si="259"/>
        <v>#NUM!</v>
      </c>
      <c r="BH5545" t="e">
        <f t="shared" si="260"/>
        <v>#NUM!</v>
      </c>
      <c r="BI5545" t="e">
        <f>VLOOKUP(H5545,Sheet2!$A$1:$B$270,2,FALSE)</f>
        <v>#N/A</v>
      </c>
    </row>
    <row r="5546" spans="15:61" hidden="1">
      <c r="O5546" s="57"/>
      <c r="P5546" s="57"/>
      <c r="AO5546" s="57"/>
      <c r="AP5546" s="57"/>
      <c r="BA5546" s="57"/>
      <c r="BF5546" s="6" t="e">
        <f t="shared" si="258"/>
        <v>#NUM!</v>
      </c>
      <c r="BG5546" t="e">
        <f t="shared" si="259"/>
        <v>#NUM!</v>
      </c>
      <c r="BH5546" t="e">
        <f t="shared" si="260"/>
        <v>#NUM!</v>
      </c>
      <c r="BI5546" t="e">
        <f>VLOOKUP(H5546,Sheet2!$A$1:$B$270,2,FALSE)</f>
        <v>#N/A</v>
      </c>
    </row>
    <row r="5547" spans="15:61" hidden="1">
      <c r="O5547" s="57"/>
      <c r="P5547" s="57"/>
      <c r="BF5547" s="6" t="e">
        <f t="shared" si="258"/>
        <v>#NUM!</v>
      </c>
      <c r="BG5547" t="e">
        <f t="shared" si="259"/>
        <v>#NUM!</v>
      </c>
      <c r="BH5547" t="e">
        <f t="shared" si="260"/>
        <v>#NUM!</v>
      </c>
      <c r="BI5547" t="e">
        <f>VLOOKUP(H5547,Sheet2!$A$1:$B$270,2,FALSE)</f>
        <v>#N/A</v>
      </c>
    </row>
    <row r="5548" spans="15:61" hidden="1">
      <c r="O5548" s="57"/>
      <c r="P5548" s="57"/>
      <c r="AO5548" s="57"/>
      <c r="BF5548" s="6" t="e">
        <f t="shared" si="258"/>
        <v>#NUM!</v>
      </c>
      <c r="BG5548" t="e">
        <f t="shared" si="259"/>
        <v>#NUM!</v>
      </c>
      <c r="BH5548" t="e">
        <f t="shared" si="260"/>
        <v>#NUM!</v>
      </c>
      <c r="BI5548" t="e">
        <f>VLOOKUP(H5548,Sheet2!$A$1:$B$270,2,FALSE)</f>
        <v>#N/A</v>
      </c>
    </row>
    <row r="5549" spans="15:61" hidden="1">
      <c r="O5549" s="57"/>
      <c r="P5549" s="57"/>
      <c r="AP5549" s="57"/>
      <c r="BA5549" s="57"/>
      <c r="BF5549" s="6" t="e">
        <f t="shared" si="258"/>
        <v>#NUM!</v>
      </c>
      <c r="BG5549" t="e">
        <f t="shared" si="259"/>
        <v>#NUM!</v>
      </c>
      <c r="BH5549" t="e">
        <f t="shared" si="260"/>
        <v>#NUM!</v>
      </c>
      <c r="BI5549" t="e">
        <f>VLOOKUP(H5549,Sheet2!$A$1:$B$270,2,FALSE)</f>
        <v>#N/A</v>
      </c>
    </row>
    <row r="5550" spans="15:61" hidden="1">
      <c r="O5550" s="57"/>
      <c r="P5550" s="57"/>
      <c r="AO5550" s="57"/>
      <c r="AP5550" s="57"/>
      <c r="BA5550" s="57"/>
      <c r="BF5550" s="6" t="e">
        <f t="shared" si="258"/>
        <v>#NUM!</v>
      </c>
      <c r="BG5550" t="e">
        <f t="shared" si="259"/>
        <v>#NUM!</v>
      </c>
      <c r="BH5550" t="e">
        <f t="shared" si="260"/>
        <v>#NUM!</v>
      </c>
      <c r="BI5550" t="e">
        <f>VLOOKUP(H5550,Sheet2!$A$1:$B$270,2,FALSE)</f>
        <v>#N/A</v>
      </c>
    </row>
    <row r="5551" spans="15:61" hidden="1">
      <c r="O5551" s="57"/>
      <c r="P5551" s="57"/>
      <c r="AP5551" s="57"/>
      <c r="BA5551" s="57"/>
      <c r="BF5551" s="6" t="e">
        <f t="shared" si="258"/>
        <v>#NUM!</v>
      </c>
      <c r="BG5551" t="e">
        <f t="shared" si="259"/>
        <v>#NUM!</v>
      </c>
      <c r="BH5551" t="e">
        <f t="shared" si="260"/>
        <v>#NUM!</v>
      </c>
      <c r="BI5551" t="e">
        <f>VLOOKUP(H5551,Sheet2!$A$1:$B$270,2,FALSE)</f>
        <v>#N/A</v>
      </c>
    </row>
    <row r="5552" spans="15:61" hidden="1">
      <c r="O5552" s="57"/>
      <c r="P5552" s="57"/>
      <c r="AO5552" s="57"/>
      <c r="AP5552" s="57"/>
      <c r="BA5552" s="57"/>
      <c r="BF5552" s="6" t="e">
        <f t="shared" si="258"/>
        <v>#NUM!</v>
      </c>
      <c r="BG5552" t="e">
        <f t="shared" si="259"/>
        <v>#NUM!</v>
      </c>
      <c r="BH5552" t="e">
        <f t="shared" si="260"/>
        <v>#NUM!</v>
      </c>
      <c r="BI5552" t="e">
        <f>VLOOKUP(H5552,Sheet2!$A$1:$B$270,2,FALSE)</f>
        <v>#N/A</v>
      </c>
    </row>
    <row r="5553" spans="15:61" hidden="1">
      <c r="O5553" s="57"/>
      <c r="P5553" s="57"/>
      <c r="AP5553" s="57"/>
      <c r="BA5553" s="57"/>
      <c r="BF5553" s="6" t="e">
        <f t="shared" si="258"/>
        <v>#NUM!</v>
      </c>
      <c r="BG5553" t="e">
        <f t="shared" si="259"/>
        <v>#NUM!</v>
      </c>
      <c r="BH5553" t="e">
        <f t="shared" si="260"/>
        <v>#NUM!</v>
      </c>
      <c r="BI5553" t="e">
        <f>VLOOKUP(H5553,Sheet2!$A$1:$B$270,2,FALSE)</f>
        <v>#N/A</v>
      </c>
    </row>
    <row r="5554" spans="15:61" hidden="1">
      <c r="O5554" s="57"/>
      <c r="P5554" s="57"/>
      <c r="AO5554" s="57"/>
      <c r="AP5554" s="57"/>
      <c r="BA5554" s="57"/>
      <c r="BF5554" s="6" t="e">
        <f t="shared" si="258"/>
        <v>#NUM!</v>
      </c>
      <c r="BG5554" t="e">
        <f t="shared" si="259"/>
        <v>#NUM!</v>
      </c>
      <c r="BH5554" t="e">
        <f t="shared" si="260"/>
        <v>#NUM!</v>
      </c>
      <c r="BI5554" t="e">
        <f>VLOOKUP(H5554,Sheet2!$A$1:$B$270,2,FALSE)</f>
        <v>#N/A</v>
      </c>
    </row>
    <row r="5555" spans="15:61" hidden="1">
      <c r="O5555" s="57"/>
      <c r="P5555" s="57"/>
      <c r="AP5555" s="57"/>
      <c r="BA5555" s="57"/>
      <c r="BF5555" s="6" t="e">
        <f t="shared" si="258"/>
        <v>#NUM!</v>
      </c>
      <c r="BG5555" t="e">
        <f t="shared" si="259"/>
        <v>#NUM!</v>
      </c>
      <c r="BH5555" t="e">
        <f t="shared" si="260"/>
        <v>#NUM!</v>
      </c>
      <c r="BI5555" t="e">
        <f>VLOOKUP(H5555,Sheet2!$A$1:$B$270,2,FALSE)</f>
        <v>#N/A</v>
      </c>
    </row>
    <row r="5556" spans="15:61" hidden="1">
      <c r="O5556" s="57"/>
      <c r="P5556" s="57"/>
      <c r="AP5556" s="57"/>
      <c r="BA5556" s="57"/>
      <c r="BF5556" s="6" t="e">
        <f t="shared" si="258"/>
        <v>#NUM!</v>
      </c>
      <c r="BG5556" t="e">
        <f t="shared" si="259"/>
        <v>#NUM!</v>
      </c>
      <c r="BH5556" t="e">
        <f t="shared" si="260"/>
        <v>#NUM!</v>
      </c>
      <c r="BI5556" t="e">
        <f>VLOOKUP(H5556,Sheet2!$A$1:$B$270,2,FALSE)</f>
        <v>#N/A</v>
      </c>
    </row>
    <row r="5557" spans="15:61" hidden="1">
      <c r="O5557" s="57"/>
      <c r="P5557" s="57"/>
      <c r="AP5557" s="57"/>
      <c r="BA5557" s="57"/>
      <c r="BF5557" s="6" t="e">
        <f t="shared" si="258"/>
        <v>#NUM!</v>
      </c>
      <c r="BG5557" t="e">
        <f t="shared" si="259"/>
        <v>#NUM!</v>
      </c>
      <c r="BH5557" t="e">
        <f t="shared" si="260"/>
        <v>#NUM!</v>
      </c>
      <c r="BI5557" t="e">
        <f>VLOOKUP(H5557,Sheet2!$A$1:$B$270,2,FALSE)</f>
        <v>#N/A</v>
      </c>
    </row>
    <row r="5558" spans="15:61" hidden="1">
      <c r="O5558" s="57"/>
      <c r="P5558" s="57"/>
      <c r="BF5558" s="6" t="e">
        <f t="shared" si="258"/>
        <v>#NUM!</v>
      </c>
      <c r="BG5558" t="e">
        <f t="shared" si="259"/>
        <v>#NUM!</v>
      </c>
      <c r="BH5558" t="e">
        <f t="shared" si="260"/>
        <v>#NUM!</v>
      </c>
      <c r="BI5558" t="e">
        <f>VLOOKUP(H5558,Sheet2!$A$1:$B$270,2,FALSE)</f>
        <v>#N/A</v>
      </c>
    </row>
    <row r="5559" spans="15:61" hidden="1">
      <c r="O5559" s="57"/>
      <c r="P5559" s="57"/>
      <c r="AO5559" s="57"/>
      <c r="AP5559" s="57"/>
      <c r="BA5559" s="57"/>
      <c r="BF5559" s="6" t="e">
        <f t="shared" si="258"/>
        <v>#NUM!</v>
      </c>
      <c r="BG5559" t="e">
        <f t="shared" si="259"/>
        <v>#NUM!</v>
      </c>
      <c r="BH5559" t="e">
        <f t="shared" si="260"/>
        <v>#NUM!</v>
      </c>
      <c r="BI5559" t="e">
        <f>VLOOKUP(H5559,Sheet2!$A$1:$B$270,2,FALSE)</f>
        <v>#N/A</v>
      </c>
    </row>
    <row r="5560" spans="15:61" hidden="1">
      <c r="O5560" s="57"/>
      <c r="P5560" s="57"/>
      <c r="AO5560" s="57"/>
      <c r="BA5560" s="57"/>
      <c r="BF5560" s="6" t="e">
        <f t="shared" si="258"/>
        <v>#NUM!</v>
      </c>
      <c r="BG5560" t="e">
        <f t="shared" si="259"/>
        <v>#NUM!</v>
      </c>
      <c r="BH5560" t="e">
        <f t="shared" si="260"/>
        <v>#NUM!</v>
      </c>
      <c r="BI5560" t="e">
        <f>VLOOKUP(H5560,Sheet2!$A$1:$B$270,2,FALSE)</f>
        <v>#N/A</v>
      </c>
    </row>
    <row r="5561" spans="15:61" hidden="1">
      <c r="O5561" s="57"/>
      <c r="P5561" s="57"/>
      <c r="AO5561" s="57"/>
      <c r="AP5561" s="57"/>
      <c r="BA5561" s="57"/>
      <c r="BF5561" s="6" t="e">
        <f t="shared" si="258"/>
        <v>#NUM!</v>
      </c>
      <c r="BG5561" t="e">
        <f t="shared" si="259"/>
        <v>#NUM!</v>
      </c>
      <c r="BH5561" t="e">
        <f t="shared" si="260"/>
        <v>#NUM!</v>
      </c>
      <c r="BI5561" t="e">
        <f>VLOOKUP(H5561,Sheet2!$A$1:$B$270,2,FALSE)</f>
        <v>#N/A</v>
      </c>
    </row>
    <row r="5562" spans="15:61" hidden="1">
      <c r="O5562" s="57"/>
      <c r="P5562" s="57"/>
      <c r="AP5562" s="57"/>
      <c r="BA5562" s="57"/>
      <c r="BF5562" s="6" t="e">
        <f t="shared" si="258"/>
        <v>#NUM!</v>
      </c>
      <c r="BG5562" t="e">
        <f t="shared" si="259"/>
        <v>#NUM!</v>
      </c>
      <c r="BH5562" t="e">
        <f t="shared" si="260"/>
        <v>#NUM!</v>
      </c>
      <c r="BI5562" t="e">
        <f>VLOOKUP(H5562,Sheet2!$A$1:$B$270,2,FALSE)</f>
        <v>#N/A</v>
      </c>
    </row>
    <row r="5563" spans="15:61" hidden="1">
      <c r="O5563" s="57"/>
      <c r="P5563" s="57"/>
      <c r="AP5563" s="57"/>
      <c r="BA5563" s="57"/>
      <c r="BF5563" s="6" t="e">
        <f t="shared" si="258"/>
        <v>#NUM!</v>
      </c>
      <c r="BG5563" t="e">
        <f t="shared" si="259"/>
        <v>#NUM!</v>
      </c>
      <c r="BH5563" t="e">
        <f t="shared" si="260"/>
        <v>#NUM!</v>
      </c>
      <c r="BI5563" t="e">
        <f>VLOOKUP(H5563,Sheet2!$A$1:$B$270,2,FALSE)</f>
        <v>#N/A</v>
      </c>
    </row>
    <row r="5564" spans="15:61" hidden="1">
      <c r="O5564" s="57"/>
      <c r="P5564" s="57"/>
      <c r="BA5564" s="57"/>
      <c r="BF5564" s="6" t="e">
        <f t="shared" si="258"/>
        <v>#NUM!</v>
      </c>
      <c r="BG5564" t="e">
        <f t="shared" si="259"/>
        <v>#NUM!</v>
      </c>
      <c r="BH5564" t="e">
        <f t="shared" si="260"/>
        <v>#NUM!</v>
      </c>
      <c r="BI5564" t="e">
        <f>VLOOKUP(H5564,Sheet2!$A$1:$B$270,2,FALSE)</f>
        <v>#N/A</v>
      </c>
    </row>
    <row r="5565" spans="15:61" hidden="1">
      <c r="O5565" s="57"/>
      <c r="P5565" s="57"/>
      <c r="AP5565" s="57"/>
      <c r="BA5565" s="57"/>
      <c r="BF5565" s="6" t="e">
        <f t="shared" si="258"/>
        <v>#NUM!</v>
      </c>
      <c r="BG5565" t="e">
        <f t="shared" si="259"/>
        <v>#NUM!</v>
      </c>
      <c r="BH5565" t="e">
        <f t="shared" si="260"/>
        <v>#NUM!</v>
      </c>
      <c r="BI5565" t="e">
        <f>VLOOKUP(H5565,Sheet2!$A$1:$B$270,2,FALSE)</f>
        <v>#N/A</v>
      </c>
    </row>
    <row r="5566" spans="15:61" hidden="1">
      <c r="O5566" s="57"/>
      <c r="P5566" s="57"/>
      <c r="AO5566" s="57"/>
      <c r="BA5566" s="57"/>
      <c r="BF5566" s="6" t="e">
        <f t="shared" si="258"/>
        <v>#NUM!</v>
      </c>
      <c r="BG5566" t="e">
        <f t="shared" si="259"/>
        <v>#NUM!</v>
      </c>
      <c r="BH5566" t="e">
        <f t="shared" si="260"/>
        <v>#NUM!</v>
      </c>
      <c r="BI5566" t="e">
        <f>VLOOKUP(H5566,Sheet2!$A$1:$B$270,2,FALSE)</f>
        <v>#N/A</v>
      </c>
    </row>
    <row r="5567" spans="15:61" hidden="1">
      <c r="O5567" s="57"/>
      <c r="P5567" s="57"/>
      <c r="AP5567" s="57"/>
      <c r="BA5567" s="57"/>
      <c r="BF5567" s="6" t="e">
        <f t="shared" si="258"/>
        <v>#NUM!</v>
      </c>
      <c r="BG5567" t="e">
        <f t="shared" si="259"/>
        <v>#NUM!</v>
      </c>
      <c r="BH5567" t="e">
        <f t="shared" si="260"/>
        <v>#NUM!</v>
      </c>
      <c r="BI5567" t="e">
        <f>VLOOKUP(H5567,Sheet2!$A$1:$B$270,2,FALSE)</f>
        <v>#N/A</v>
      </c>
    </row>
    <row r="5568" spans="15:61" hidden="1">
      <c r="O5568" s="57"/>
      <c r="P5568" s="57"/>
      <c r="AM5568" s="58"/>
      <c r="BA5568" s="57"/>
      <c r="BB5568" s="58"/>
      <c r="BF5568" s="6" t="e">
        <f t="shared" si="258"/>
        <v>#NUM!</v>
      </c>
      <c r="BG5568" t="e">
        <f t="shared" si="259"/>
        <v>#NUM!</v>
      </c>
      <c r="BH5568" t="e">
        <f t="shared" si="260"/>
        <v>#NUM!</v>
      </c>
      <c r="BI5568" t="e">
        <f>VLOOKUP(H5568,Sheet2!$A$1:$B$270,2,FALSE)</f>
        <v>#N/A</v>
      </c>
    </row>
    <row r="5569" spans="15:61" hidden="1">
      <c r="O5569" s="57"/>
      <c r="P5569" s="57"/>
      <c r="AO5569" s="57"/>
      <c r="AP5569" s="57"/>
      <c r="BA5569" s="57"/>
      <c r="BF5569" s="6" t="e">
        <f t="shared" si="258"/>
        <v>#NUM!</v>
      </c>
      <c r="BG5569" t="e">
        <f t="shared" si="259"/>
        <v>#NUM!</v>
      </c>
      <c r="BH5569" t="e">
        <f t="shared" si="260"/>
        <v>#NUM!</v>
      </c>
      <c r="BI5569" t="e">
        <f>VLOOKUP(H5569,Sheet2!$A$1:$B$270,2,FALSE)</f>
        <v>#N/A</v>
      </c>
    </row>
    <row r="5570" spans="15:61" hidden="1">
      <c r="O5570" s="57"/>
      <c r="P5570" s="57"/>
      <c r="AP5570" s="57"/>
      <c r="BA5570" s="57"/>
      <c r="BF5570" s="6" t="e">
        <f t="shared" ref="BF5570:BF5633" si="261">DATE(BC5570,BD5570,BE5570)</f>
        <v>#NUM!</v>
      </c>
      <c r="BG5570" t="e">
        <f t="shared" ref="BG5570:BG5633" si="262">BF5570-BA5570</f>
        <v>#NUM!</v>
      </c>
      <c r="BH5570" t="e">
        <f t="shared" ref="BH5570:BH5633" si="263">IF(BG5570=1,"COMPLY",IF(BG5570&lt;1,"COMPLY","NOT COMPLY"))</f>
        <v>#NUM!</v>
      </c>
      <c r="BI5570" t="e">
        <f>VLOOKUP(H5570,Sheet2!$A$1:$B$270,2,FALSE)</f>
        <v>#N/A</v>
      </c>
    </row>
    <row r="5571" spans="15:61" hidden="1">
      <c r="O5571" s="57"/>
      <c r="P5571" s="57"/>
      <c r="AP5571" s="57"/>
      <c r="BA5571" s="57"/>
      <c r="BF5571" s="6" t="e">
        <f t="shared" si="261"/>
        <v>#NUM!</v>
      </c>
      <c r="BG5571" t="e">
        <f t="shared" si="262"/>
        <v>#NUM!</v>
      </c>
      <c r="BH5571" t="e">
        <f t="shared" si="263"/>
        <v>#NUM!</v>
      </c>
      <c r="BI5571" t="e">
        <f>VLOOKUP(H5571,Sheet2!$A$1:$B$270,2,FALSE)</f>
        <v>#N/A</v>
      </c>
    </row>
    <row r="5572" spans="15:61" hidden="1">
      <c r="O5572" s="57"/>
      <c r="P5572" s="57"/>
      <c r="AP5572" s="57"/>
      <c r="BA5572" s="57"/>
      <c r="BF5572" s="6" t="e">
        <f t="shared" si="261"/>
        <v>#NUM!</v>
      </c>
      <c r="BG5572" t="e">
        <f t="shared" si="262"/>
        <v>#NUM!</v>
      </c>
      <c r="BH5572" t="e">
        <f t="shared" si="263"/>
        <v>#NUM!</v>
      </c>
      <c r="BI5572" t="e">
        <f>VLOOKUP(H5572,Sheet2!$A$1:$B$270,2,FALSE)</f>
        <v>#N/A</v>
      </c>
    </row>
    <row r="5573" spans="15:61" hidden="1">
      <c r="O5573" s="57"/>
      <c r="P5573" s="57"/>
      <c r="AP5573" s="57"/>
      <c r="BA5573" s="57"/>
      <c r="BF5573" s="6" t="e">
        <f t="shared" si="261"/>
        <v>#NUM!</v>
      </c>
      <c r="BG5573" t="e">
        <f t="shared" si="262"/>
        <v>#NUM!</v>
      </c>
      <c r="BH5573" t="e">
        <f t="shared" si="263"/>
        <v>#NUM!</v>
      </c>
      <c r="BI5573" t="e">
        <f>VLOOKUP(H5573,Sheet2!$A$1:$B$270,2,FALSE)</f>
        <v>#N/A</v>
      </c>
    </row>
    <row r="5574" spans="15:61" hidden="1">
      <c r="O5574" s="57"/>
      <c r="P5574" s="57"/>
      <c r="AP5574" s="57"/>
      <c r="BA5574" s="57"/>
      <c r="BF5574" s="6" t="e">
        <f t="shared" si="261"/>
        <v>#NUM!</v>
      </c>
      <c r="BG5574" t="e">
        <f t="shared" si="262"/>
        <v>#NUM!</v>
      </c>
      <c r="BH5574" t="e">
        <f t="shared" si="263"/>
        <v>#NUM!</v>
      </c>
      <c r="BI5574" t="e">
        <f>VLOOKUP(H5574,Sheet2!$A$1:$B$270,2,FALSE)</f>
        <v>#N/A</v>
      </c>
    </row>
    <row r="5575" spans="15:61" hidden="1">
      <c r="O5575" s="57"/>
      <c r="P5575" s="57"/>
      <c r="AO5575" s="57"/>
      <c r="AP5575" s="57"/>
      <c r="BA5575" s="57"/>
      <c r="BF5575" s="6" t="e">
        <f t="shared" si="261"/>
        <v>#NUM!</v>
      </c>
      <c r="BG5575" t="e">
        <f t="shared" si="262"/>
        <v>#NUM!</v>
      </c>
      <c r="BH5575" t="e">
        <f t="shared" si="263"/>
        <v>#NUM!</v>
      </c>
      <c r="BI5575" t="e">
        <f>VLOOKUP(H5575,Sheet2!$A$1:$B$270,2,FALSE)</f>
        <v>#N/A</v>
      </c>
    </row>
    <row r="5576" spans="15:61" hidden="1">
      <c r="O5576" s="57"/>
      <c r="P5576" s="57"/>
      <c r="AP5576" s="57"/>
      <c r="BA5576" s="57"/>
      <c r="BF5576" s="6" t="e">
        <f t="shared" si="261"/>
        <v>#NUM!</v>
      </c>
      <c r="BG5576" t="e">
        <f t="shared" si="262"/>
        <v>#NUM!</v>
      </c>
      <c r="BH5576" t="e">
        <f t="shared" si="263"/>
        <v>#NUM!</v>
      </c>
      <c r="BI5576" t="e">
        <f>VLOOKUP(H5576,Sheet2!$A$1:$B$270,2,FALSE)</f>
        <v>#N/A</v>
      </c>
    </row>
    <row r="5577" spans="15:61" hidden="1">
      <c r="O5577" s="57"/>
      <c r="P5577" s="57"/>
      <c r="AM5577" s="58"/>
      <c r="BA5577" s="57"/>
      <c r="BB5577" s="58"/>
      <c r="BF5577" s="6" t="e">
        <f t="shared" si="261"/>
        <v>#NUM!</v>
      </c>
      <c r="BG5577" t="e">
        <f t="shared" si="262"/>
        <v>#NUM!</v>
      </c>
      <c r="BH5577" t="e">
        <f t="shared" si="263"/>
        <v>#NUM!</v>
      </c>
      <c r="BI5577" t="e">
        <f>VLOOKUP(H5577,Sheet2!$A$1:$B$270,2,FALSE)</f>
        <v>#N/A</v>
      </c>
    </row>
    <row r="5578" spans="15:61" hidden="1">
      <c r="O5578" s="57"/>
      <c r="P5578" s="57"/>
      <c r="AO5578" s="57"/>
      <c r="BA5578" s="57"/>
      <c r="BF5578" s="6" t="e">
        <f t="shared" si="261"/>
        <v>#NUM!</v>
      </c>
      <c r="BG5578" t="e">
        <f t="shared" si="262"/>
        <v>#NUM!</v>
      </c>
      <c r="BH5578" t="e">
        <f t="shared" si="263"/>
        <v>#NUM!</v>
      </c>
      <c r="BI5578" t="e">
        <f>VLOOKUP(H5578,Sheet2!$A$1:$B$270,2,FALSE)</f>
        <v>#N/A</v>
      </c>
    </row>
    <row r="5579" spans="15:61" hidden="1">
      <c r="O5579" s="57"/>
      <c r="P5579" s="57"/>
      <c r="AP5579" s="57"/>
      <c r="BA5579" s="57"/>
      <c r="BF5579" s="6" t="e">
        <f t="shared" si="261"/>
        <v>#NUM!</v>
      </c>
      <c r="BG5579" t="e">
        <f t="shared" si="262"/>
        <v>#NUM!</v>
      </c>
      <c r="BH5579" t="e">
        <f t="shared" si="263"/>
        <v>#NUM!</v>
      </c>
      <c r="BI5579" t="e">
        <f>VLOOKUP(H5579,Sheet2!$A$1:$B$270,2,FALSE)</f>
        <v>#N/A</v>
      </c>
    </row>
    <row r="5580" spans="15:61" hidden="1">
      <c r="O5580" s="57"/>
      <c r="P5580" s="57"/>
      <c r="AP5580" s="57"/>
      <c r="BA5580" s="57"/>
      <c r="BF5580" s="6" t="e">
        <f t="shared" si="261"/>
        <v>#NUM!</v>
      </c>
      <c r="BG5580" t="e">
        <f t="shared" si="262"/>
        <v>#NUM!</v>
      </c>
      <c r="BH5580" t="e">
        <f t="shared" si="263"/>
        <v>#NUM!</v>
      </c>
      <c r="BI5580" t="e">
        <f>VLOOKUP(H5580,Sheet2!$A$1:$B$270,2,FALSE)</f>
        <v>#N/A</v>
      </c>
    </row>
    <row r="5581" spans="15:61" hidden="1">
      <c r="O5581" s="57"/>
      <c r="P5581" s="57"/>
      <c r="AO5581" s="57"/>
      <c r="AP5581" s="57"/>
      <c r="BA5581" s="57"/>
      <c r="BF5581" s="6" t="e">
        <f t="shared" si="261"/>
        <v>#NUM!</v>
      </c>
      <c r="BG5581" t="e">
        <f t="shared" si="262"/>
        <v>#NUM!</v>
      </c>
      <c r="BH5581" t="e">
        <f t="shared" si="263"/>
        <v>#NUM!</v>
      </c>
      <c r="BI5581" t="e">
        <f>VLOOKUP(H5581,Sheet2!$A$1:$B$270,2,FALSE)</f>
        <v>#N/A</v>
      </c>
    </row>
    <row r="5582" spans="15:61" hidden="1">
      <c r="O5582" s="57"/>
      <c r="P5582" s="57"/>
      <c r="AP5582" s="57"/>
      <c r="BA5582" s="57"/>
      <c r="BF5582" s="6" t="e">
        <f t="shared" si="261"/>
        <v>#NUM!</v>
      </c>
      <c r="BG5582" t="e">
        <f t="shared" si="262"/>
        <v>#NUM!</v>
      </c>
      <c r="BH5582" t="e">
        <f t="shared" si="263"/>
        <v>#NUM!</v>
      </c>
      <c r="BI5582" t="e">
        <f>VLOOKUP(H5582,Sheet2!$A$1:$B$270,2,FALSE)</f>
        <v>#N/A</v>
      </c>
    </row>
    <row r="5583" spans="15:61" hidden="1">
      <c r="O5583" s="57"/>
      <c r="P5583" s="57"/>
      <c r="AP5583" s="57"/>
      <c r="BA5583" s="57"/>
      <c r="BF5583" s="6" t="e">
        <f t="shared" si="261"/>
        <v>#NUM!</v>
      </c>
      <c r="BG5583" t="e">
        <f t="shared" si="262"/>
        <v>#NUM!</v>
      </c>
      <c r="BH5583" t="e">
        <f t="shared" si="263"/>
        <v>#NUM!</v>
      </c>
      <c r="BI5583" t="e">
        <f>VLOOKUP(H5583,Sheet2!$A$1:$B$270,2,FALSE)</f>
        <v>#N/A</v>
      </c>
    </row>
    <row r="5584" spans="15:61" hidden="1">
      <c r="O5584" s="57"/>
      <c r="P5584" s="57"/>
      <c r="AP5584" s="57"/>
      <c r="BA5584" s="57"/>
      <c r="BF5584" s="6" t="e">
        <f t="shared" si="261"/>
        <v>#NUM!</v>
      </c>
      <c r="BG5584" t="e">
        <f t="shared" si="262"/>
        <v>#NUM!</v>
      </c>
      <c r="BH5584" t="e">
        <f t="shared" si="263"/>
        <v>#NUM!</v>
      </c>
      <c r="BI5584" t="e">
        <f>VLOOKUP(H5584,Sheet2!$A$1:$B$270,2,FALSE)</f>
        <v>#N/A</v>
      </c>
    </row>
    <row r="5585" spans="15:61" hidden="1">
      <c r="O5585" s="57"/>
      <c r="P5585" s="57"/>
      <c r="AO5585" s="57"/>
      <c r="AP5585" s="57"/>
      <c r="BA5585" s="57"/>
      <c r="BF5585" s="6" t="e">
        <f t="shared" si="261"/>
        <v>#NUM!</v>
      </c>
      <c r="BG5585" t="e">
        <f t="shared" si="262"/>
        <v>#NUM!</v>
      </c>
      <c r="BH5585" t="e">
        <f t="shared" si="263"/>
        <v>#NUM!</v>
      </c>
      <c r="BI5585" t="e">
        <f>VLOOKUP(H5585,Sheet2!$A$1:$B$270,2,FALSE)</f>
        <v>#N/A</v>
      </c>
    </row>
    <row r="5586" spans="15:61" hidden="1">
      <c r="O5586" s="57"/>
      <c r="P5586" s="57"/>
      <c r="AP5586" s="57"/>
      <c r="BA5586" s="57"/>
      <c r="BF5586" s="6" t="e">
        <f t="shared" si="261"/>
        <v>#NUM!</v>
      </c>
      <c r="BG5586" t="e">
        <f t="shared" si="262"/>
        <v>#NUM!</v>
      </c>
      <c r="BH5586" t="e">
        <f t="shared" si="263"/>
        <v>#NUM!</v>
      </c>
      <c r="BI5586" t="e">
        <f>VLOOKUP(H5586,Sheet2!$A$1:$B$270,2,FALSE)</f>
        <v>#N/A</v>
      </c>
    </row>
    <row r="5587" spans="15:61" hidden="1">
      <c r="O5587" s="57"/>
      <c r="P5587" s="57"/>
      <c r="AM5587" s="58"/>
      <c r="BA5587" s="57"/>
      <c r="BB5587" s="58"/>
      <c r="BF5587" s="6" t="e">
        <f t="shared" si="261"/>
        <v>#NUM!</v>
      </c>
      <c r="BG5587" t="e">
        <f t="shared" si="262"/>
        <v>#NUM!</v>
      </c>
      <c r="BH5587" t="e">
        <f t="shared" si="263"/>
        <v>#NUM!</v>
      </c>
      <c r="BI5587" t="e">
        <f>VLOOKUP(H5587,Sheet2!$A$1:$B$270,2,FALSE)</f>
        <v>#N/A</v>
      </c>
    </row>
    <row r="5588" spans="15:61" hidden="1">
      <c r="O5588" s="57"/>
      <c r="P5588" s="57"/>
      <c r="AM5588" s="58"/>
      <c r="BA5588" s="57"/>
      <c r="BB5588" s="58"/>
      <c r="BF5588" s="6" t="e">
        <f t="shared" si="261"/>
        <v>#NUM!</v>
      </c>
      <c r="BG5588" t="e">
        <f t="shared" si="262"/>
        <v>#NUM!</v>
      </c>
      <c r="BH5588" t="e">
        <f t="shared" si="263"/>
        <v>#NUM!</v>
      </c>
      <c r="BI5588" t="e">
        <f>VLOOKUP(H5588,Sheet2!$A$1:$B$270,2,FALSE)</f>
        <v>#N/A</v>
      </c>
    </row>
    <row r="5589" spans="15:61" hidden="1">
      <c r="O5589" s="57"/>
      <c r="P5589" s="57"/>
      <c r="AM5589" s="58"/>
      <c r="AO5589" s="57"/>
      <c r="BA5589" s="57"/>
      <c r="BB5589" s="58"/>
      <c r="BF5589" s="6" t="e">
        <f t="shared" si="261"/>
        <v>#NUM!</v>
      </c>
      <c r="BG5589" t="e">
        <f t="shared" si="262"/>
        <v>#NUM!</v>
      </c>
      <c r="BH5589" t="e">
        <f t="shared" si="263"/>
        <v>#NUM!</v>
      </c>
      <c r="BI5589" t="e">
        <f>VLOOKUP(H5589,Sheet2!$A$1:$B$270,2,FALSE)</f>
        <v>#N/A</v>
      </c>
    </row>
    <row r="5590" spans="15:61" hidden="1">
      <c r="O5590" s="57"/>
      <c r="P5590" s="57"/>
      <c r="AO5590" s="57"/>
      <c r="AP5590" s="57"/>
      <c r="BA5590" s="57"/>
      <c r="BF5590" s="6" t="e">
        <f t="shared" si="261"/>
        <v>#NUM!</v>
      </c>
      <c r="BG5590" t="e">
        <f t="shared" si="262"/>
        <v>#NUM!</v>
      </c>
      <c r="BH5590" t="e">
        <f t="shared" si="263"/>
        <v>#NUM!</v>
      </c>
      <c r="BI5590" t="e">
        <f>VLOOKUP(H5590,Sheet2!$A$1:$B$270,2,FALSE)</f>
        <v>#N/A</v>
      </c>
    </row>
    <row r="5591" spans="15:61" hidden="1">
      <c r="O5591" s="57"/>
      <c r="P5591" s="57"/>
      <c r="AP5591" s="57"/>
      <c r="BA5591" s="57"/>
      <c r="BF5591" s="6" t="e">
        <f t="shared" si="261"/>
        <v>#NUM!</v>
      </c>
      <c r="BG5591" t="e">
        <f t="shared" si="262"/>
        <v>#NUM!</v>
      </c>
      <c r="BH5591" t="e">
        <f t="shared" si="263"/>
        <v>#NUM!</v>
      </c>
      <c r="BI5591" t="e">
        <f>VLOOKUP(H5591,Sheet2!$A$1:$B$270,2,FALSE)</f>
        <v>#N/A</v>
      </c>
    </row>
    <row r="5592" spans="15:61" hidden="1">
      <c r="O5592" s="57"/>
      <c r="P5592" s="57"/>
      <c r="AP5592" s="57"/>
      <c r="BA5592" s="57"/>
      <c r="BF5592" s="6" t="e">
        <f t="shared" si="261"/>
        <v>#NUM!</v>
      </c>
      <c r="BG5592" t="e">
        <f t="shared" si="262"/>
        <v>#NUM!</v>
      </c>
      <c r="BH5592" t="e">
        <f t="shared" si="263"/>
        <v>#NUM!</v>
      </c>
      <c r="BI5592" t="e">
        <f>VLOOKUP(H5592,Sheet2!$A$1:$B$270,2,FALSE)</f>
        <v>#N/A</v>
      </c>
    </row>
    <row r="5593" spans="15:61" hidden="1">
      <c r="O5593" s="57"/>
      <c r="P5593" s="57"/>
      <c r="AO5593" s="57"/>
      <c r="BF5593" s="6" t="e">
        <f t="shared" si="261"/>
        <v>#NUM!</v>
      </c>
      <c r="BG5593" t="e">
        <f t="shared" si="262"/>
        <v>#NUM!</v>
      </c>
      <c r="BH5593" t="e">
        <f t="shared" si="263"/>
        <v>#NUM!</v>
      </c>
      <c r="BI5593" t="e">
        <f>VLOOKUP(H5593,Sheet2!$A$1:$B$270,2,FALSE)</f>
        <v>#N/A</v>
      </c>
    </row>
    <row r="5594" spans="15:61" hidden="1">
      <c r="O5594" s="57"/>
      <c r="P5594" s="57"/>
      <c r="AO5594" s="57"/>
      <c r="AP5594" s="57"/>
      <c r="BA5594" s="57"/>
      <c r="BF5594" s="6" t="e">
        <f t="shared" si="261"/>
        <v>#NUM!</v>
      </c>
      <c r="BG5594" t="e">
        <f t="shared" si="262"/>
        <v>#NUM!</v>
      </c>
      <c r="BH5594" t="e">
        <f t="shared" si="263"/>
        <v>#NUM!</v>
      </c>
      <c r="BI5594" t="e">
        <f>VLOOKUP(H5594,Sheet2!$A$1:$B$270,2,FALSE)</f>
        <v>#N/A</v>
      </c>
    </row>
    <row r="5595" spans="15:61" hidden="1">
      <c r="O5595" s="57"/>
      <c r="P5595" s="57"/>
      <c r="AP5595" s="57"/>
      <c r="BA5595" s="57"/>
      <c r="BF5595" s="6" t="e">
        <f t="shared" si="261"/>
        <v>#NUM!</v>
      </c>
      <c r="BG5595" t="e">
        <f t="shared" si="262"/>
        <v>#NUM!</v>
      </c>
      <c r="BH5595" t="e">
        <f t="shared" si="263"/>
        <v>#NUM!</v>
      </c>
      <c r="BI5595" t="e">
        <f>VLOOKUP(H5595,Sheet2!$A$1:$B$270,2,FALSE)</f>
        <v>#N/A</v>
      </c>
    </row>
    <row r="5596" spans="15:61" hidden="1">
      <c r="O5596" s="57"/>
      <c r="P5596" s="57"/>
      <c r="AP5596" s="57"/>
      <c r="BA5596" s="57"/>
      <c r="BF5596" s="6" t="e">
        <f t="shared" si="261"/>
        <v>#NUM!</v>
      </c>
      <c r="BG5596" t="e">
        <f t="shared" si="262"/>
        <v>#NUM!</v>
      </c>
      <c r="BH5596" t="e">
        <f t="shared" si="263"/>
        <v>#NUM!</v>
      </c>
      <c r="BI5596" t="e">
        <f>VLOOKUP(H5596,Sheet2!$A$1:$B$270,2,FALSE)</f>
        <v>#N/A</v>
      </c>
    </row>
    <row r="5597" spans="15:61" hidden="1">
      <c r="O5597" s="57"/>
      <c r="P5597" s="57"/>
      <c r="AP5597" s="57"/>
      <c r="BA5597" s="57"/>
      <c r="BF5597" s="6" t="e">
        <f t="shared" si="261"/>
        <v>#NUM!</v>
      </c>
      <c r="BG5597" t="e">
        <f t="shared" si="262"/>
        <v>#NUM!</v>
      </c>
      <c r="BH5597" t="e">
        <f t="shared" si="263"/>
        <v>#NUM!</v>
      </c>
      <c r="BI5597" t="e">
        <f>VLOOKUP(H5597,Sheet2!$A$1:$B$270,2,FALSE)</f>
        <v>#N/A</v>
      </c>
    </row>
    <row r="5598" spans="15:61" hidden="1">
      <c r="O5598" s="57"/>
      <c r="P5598" s="57"/>
      <c r="AP5598" s="57"/>
      <c r="BA5598" s="57"/>
      <c r="BF5598" s="6" t="e">
        <f t="shared" si="261"/>
        <v>#NUM!</v>
      </c>
      <c r="BG5598" t="e">
        <f t="shared" si="262"/>
        <v>#NUM!</v>
      </c>
      <c r="BH5598" t="e">
        <f t="shared" si="263"/>
        <v>#NUM!</v>
      </c>
      <c r="BI5598" t="e">
        <f>VLOOKUP(H5598,Sheet2!$A$1:$B$270,2,FALSE)</f>
        <v>#N/A</v>
      </c>
    </row>
    <row r="5599" spans="15:61" hidden="1">
      <c r="O5599" s="57"/>
      <c r="P5599" s="57"/>
      <c r="AP5599" s="57"/>
      <c r="BA5599" s="57"/>
      <c r="BF5599" s="6" t="e">
        <f t="shared" si="261"/>
        <v>#NUM!</v>
      </c>
      <c r="BG5599" t="e">
        <f t="shared" si="262"/>
        <v>#NUM!</v>
      </c>
      <c r="BH5599" t="e">
        <f t="shared" si="263"/>
        <v>#NUM!</v>
      </c>
      <c r="BI5599" t="e">
        <f>VLOOKUP(H5599,Sheet2!$A$1:$B$270,2,FALSE)</f>
        <v>#N/A</v>
      </c>
    </row>
    <row r="5600" spans="15:61" hidden="1">
      <c r="O5600" s="57"/>
      <c r="P5600" s="57"/>
      <c r="AM5600" s="58"/>
      <c r="BA5600" s="57"/>
      <c r="BB5600" s="58"/>
      <c r="BF5600" s="6" t="e">
        <f t="shared" si="261"/>
        <v>#NUM!</v>
      </c>
      <c r="BG5600" t="e">
        <f t="shared" si="262"/>
        <v>#NUM!</v>
      </c>
      <c r="BH5600" t="e">
        <f t="shared" si="263"/>
        <v>#NUM!</v>
      </c>
      <c r="BI5600" t="e">
        <f>VLOOKUP(H5600,Sheet2!$A$1:$B$270,2,FALSE)</f>
        <v>#N/A</v>
      </c>
    </row>
    <row r="5601" spans="15:61" hidden="1">
      <c r="O5601" s="57"/>
      <c r="P5601" s="57"/>
      <c r="AO5601" s="57"/>
      <c r="AP5601" s="57"/>
      <c r="BA5601" s="57"/>
      <c r="BF5601" s="6" t="e">
        <f t="shared" si="261"/>
        <v>#NUM!</v>
      </c>
      <c r="BG5601" t="e">
        <f t="shared" si="262"/>
        <v>#NUM!</v>
      </c>
      <c r="BH5601" t="e">
        <f t="shared" si="263"/>
        <v>#NUM!</v>
      </c>
      <c r="BI5601" t="e">
        <f>VLOOKUP(H5601,Sheet2!$A$1:$B$270,2,FALSE)</f>
        <v>#N/A</v>
      </c>
    </row>
    <row r="5602" spans="15:61" hidden="1">
      <c r="O5602" s="57"/>
      <c r="P5602" s="57"/>
      <c r="AO5602" s="57"/>
      <c r="AP5602" s="57"/>
      <c r="BA5602" s="57"/>
      <c r="BF5602" s="6" t="e">
        <f t="shared" si="261"/>
        <v>#NUM!</v>
      </c>
      <c r="BG5602" t="e">
        <f t="shared" si="262"/>
        <v>#NUM!</v>
      </c>
      <c r="BH5602" t="e">
        <f t="shared" si="263"/>
        <v>#NUM!</v>
      </c>
      <c r="BI5602" t="e">
        <f>VLOOKUP(H5602,Sheet2!$A$1:$B$270,2,FALSE)</f>
        <v>#N/A</v>
      </c>
    </row>
    <row r="5603" spans="15:61" hidden="1">
      <c r="O5603" s="57"/>
      <c r="P5603" s="57"/>
      <c r="AO5603" s="57"/>
      <c r="BF5603" s="6" t="e">
        <f t="shared" si="261"/>
        <v>#NUM!</v>
      </c>
      <c r="BG5603" t="e">
        <f t="shared" si="262"/>
        <v>#NUM!</v>
      </c>
      <c r="BH5603" t="e">
        <f t="shared" si="263"/>
        <v>#NUM!</v>
      </c>
      <c r="BI5603" t="e">
        <f>VLOOKUP(H5603,Sheet2!$A$1:$B$270,2,FALSE)</f>
        <v>#N/A</v>
      </c>
    </row>
    <row r="5604" spans="15:61" hidden="1">
      <c r="O5604" s="57"/>
      <c r="P5604" s="57"/>
      <c r="AP5604" s="57"/>
      <c r="BA5604" s="57"/>
      <c r="BF5604" s="6" t="e">
        <f t="shared" si="261"/>
        <v>#NUM!</v>
      </c>
      <c r="BG5604" t="e">
        <f t="shared" si="262"/>
        <v>#NUM!</v>
      </c>
      <c r="BH5604" t="e">
        <f t="shared" si="263"/>
        <v>#NUM!</v>
      </c>
      <c r="BI5604" t="e">
        <f>VLOOKUP(H5604,Sheet2!$A$1:$B$270,2,FALSE)</f>
        <v>#N/A</v>
      </c>
    </row>
    <row r="5605" spans="15:61" hidden="1">
      <c r="O5605" s="57"/>
      <c r="P5605" s="57"/>
      <c r="AP5605" s="57"/>
      <c r="BA5605" s="57"/>
      <c r="BF5605" s="6" t="e">
        <f t="shared" si="261"/>
        <v>#NUM!</v>
      </c>
      <c r="BG5605" t="e">
        <f t="shared" si="262"/>
        <v>#NUM!</v>
      </c>
      <c r="BH5605" t="e">
        <f t="shared" si="263"/>
        <v>#NUM!</v>
      </c>
      <c r="BI5605" t="e">
        <f>VLOOKUP(H5605,Sheet2!$A$1:$B$270,2,FALSE)</f>
        <v>#N/A</v>
      </c>
    </row>
    <row r="5606" spans="15:61" hidden="1">
      <c r="O5606" s="57"/>
      <c r="P5606" s="57"/>
      <c r="AP5606" s="57"/>
      <c r="BA5606" s="57"/>
      <c r="BF5606" s="6" t="e">
        <f t="shared" si="261"/>
        <v>#NUM!</v>
      </c>
      <c r="BG5606" t="e">
        <f t="shared" si="262"/>
        <v>#NUM!</v>
      </c>
      <c r="BH5606" t="e">
        <f t="shared" si="263"/>
        <v>#NUM!</v>
      </c>
      <c r="BI5606" t="e">
        <f>VLOOKUP(H5606,Sheet2!$A$1:$B$270,2,FALSE)</f>
        <v>#N/A</v>
      </c>
    </row>
    <row r="5607" spans="15:61" hidden="1">
      <c r="O5607" s="57"/>
      <c r="P5607" s="57"/>
      <c r="AO5607" s="57"/>
      <c r="AP5607" s="57"/>
      <c r="BA5607" s="57"/>
      <c r="BF5607" s="6" t="e">
        <f t="shared" si="261"/>
        <v>#NUM!</v>
      </c>
      <c r="BG5607" t="e">
        <f t="shared" si="262"/>
        <v>#NUM!</v>
      </c>
      <c r="BH5607" t="e">
        <f t="shared" si="263"/>
        <v>#NUM!</v>
      </c>
      <c r="BI5607" t="e">
        <f>VLOOKUP(H5607,Sheet2!$A$1:$B$270,2,FALSE)</f>
        <v>#N/A</v>
      </c>
    </row>
    <row r="5608" spans="15:61" hidden="1">
      <c r="O5608" s="57"/>
      <c r="P5608" s="57"/>
      <c r="AO5608" s="57"/>
      <c r="AP5608" s="57"/>
      <c r="BA5608" s="57"/>
      <c r="BF5608" s="6" t="e">
        <f t="shared" si="261"/>
        <v>#NUM!</v>
      </c>
      <c r="BG5608" t="e">
        <f t="shared" si="262"/>
        <v>#NUM!</v>
      </c>
      <c r="BH5608" t="e">
        <f t="shared" si="263"/>
        <v>#NUM!</v>
      </c>
      <c r="BI5608" t="e">
        <f>VLOOKUP(H5608,Sheet2!$A$1:$B$270,2,FALSE)</f>
        <v>#N/A</v>
      </c>
    </row>
    <row r="5609" spans="15:61" hidden="1">
      <c r="O5609" s="57"/>
      <c r="P5609" s="57"/>
      <c r="AP5609" s="57"/>
      <c r="BA5609" s="57"/>
      <c r="BF5609" s="6" t="e">
        <f t="shared" si="261"/>
        <v>#NUM!</v>
      </c>
      <c r="BG5609" t="e">
        <f t="shared" si="262"/>
        <v>#NUM!</v>
      </c>
      <c r="BH5609" t="e">
        <f t="shared" si="263"/>
        <v>#NUM!</v>
      </c>
      <c r="BI5609" t="e">
        <f>VLOOKUP(H5609,Sheet2!$A$1:$B$270,2,FALSE)</f>
        <v>#N/A</v>
      </c>
    </row>
    <row r="5610" spans="15:61" hidden="1">
      <c r="O5610" s="57"/>
      <c r="P5610" s="57"/>
      <c r="AO5610" s="57"/>
      <c r="AP5610" s="57"/>
      <c r="BA5610" s="57"/>
      <c r="BF5610" s="6" t="e">
        <f t="shared" si="261"/>
        <v>#NUM!</v>
      </c>
      <c r="BG5610" t="e">
        <f t="shared" si="262"/>
        <v>#NUM!</v>
      </c>
      <c r="BH5610" t="e">
        <f t="shared" si="263"/>
        <v>#NUM!</v>
      </c>
      <c r="BI5610" t="e">
        <f>VLOOKUP(H5610,Sheet2!$A$1:$B$270,2,FALSE)</f>
        <v>#N/A</v>
      </c>
    </row>
    <row r="5611" spans="15:61" hidden="1">
      <c r="O5611" s="57"/>
      <c r="P5611" s="57"/>
      <c r="AP5611" s="57"/>
      <c r="BA5611" s="57"/>
      <c r="BF5611" s="6" t="e">
        <f t="shared" si="261"/>
        <v>#NUM!</v>
      </c>
      <c r="BG5611" t="e">
        <f t="shared" si="262"/>
        <v>#NUM!</v>
      </c>
      <c r="BH5611" t="e">
        <f t="shared" si="263"/>
        <v>#NUM!</v>
      </c>
      <c r="BI5611" t="e">
        <f>VLOOKUP(H5611,Sheet2!$A$1:$B$270,2,FALSE)</f>
        <v>#N/A</v>
      </c>
    </row>
    <row r="5612" spans="15:61" hidden="1">
      <c r="O5612" s="57"/>
      <c r="P5612" s="57"/>
      <c r="AP5612" s="57"/>
      <c r="BA5612" s="57"/>
      <c r="BF5612" s="6" t="e">
        <f t="shared" si="261"/>
        <v>#NUM!</v>
      </c>
      <c r="BG5612" t="e">
        <f t="shared" si="262"/>
        <v>#NUM!</v>
      </c>
      <c r="BH5612" t="e">
        <f t="shared" si="263"/>
        <v>#NUM!</v>
      </c>
      <c r="BI5612" t="e">
        <f>VLOOKUP(H5612,Sheet2!$A$1:$B$270,2,FALSE)</f>
        <v>#N/A</v>
      </c>
    </row>
    <row r="5613" spans="15:61" hidden="1">
      <c r="O5613" s="57"/>
      <c r="P5613" s="57"/>
      <c r="AM5613" s="58"/>
      <c r="BA5613" s="57"/>
      <c r="BB5613" s="58"/>
      <c r="BF5613" s="6" t="e">
        <f t="shared" si="261"/>
        <v>#NUM!</v>
      </c>
      <c r="BG5613" t="e">
        <f t="shared" si="262"/>
        <v>#NUM!</v>
      </c>
      <c r="BH5613" t="e">
        <f t="shared" si="263"/>
        <v>#NUM!</v>
      </c>
      <c r="BI5613" t="e">
        <f>VLOOKUP(H5613,Sheet2!$A$1:$B$270,2,FALSE)</f>
        <v>#N/A</v>
      </c>
    </row>
    <row r="5614" spans="15:61" hidden="1">
      <c r="O5614" s="57"/>
      <c r="P5614" s="57"/>
      <c r="AP5614" s="57"/>
      <c r="BA5614" s="57"/>
      <c r="BF5614" s="6" t="e">
        <f t="shared" si="261"/>
        <v>#NUM!</v>
      </c>
      <c r="BG5614" t="e">
        <f t="shared" si="262"/>
        <v>#NUM!</v>
      </c>
      <c r="BH5614" t="e">
        <f t="shared" si="263"/>
        <v>#NUM!</v>
      </c>
      <c r="BI5614" t="e">
        <f>VLOOKUP(H5614,Sheet2!$A$1:$B$270,2,FALSE)</f>
        <v>#N/A</v>
      </c>
    </row>
    <row r="5615" spans="15:61" hidden="1">
      <c r="O5615" s="57"/>
      <c r="P5615" s="57"/>
      <c r="AP5615" s="57"/>
      <c r="BA5615" s="57"/>
      <c r="BF5615" s="6" t="e">
        <f t="shared" si="261"/>
        <v>#NUM!</v>
      </c>
      <c r="BG5615" t="e">
        <f t="shared" si="262"/>
        <v>#NUM!</v>
      </c>
      <c r="BH5615" t="e">
        <f t="shared" si="263"/>
        <v>#NUM!</v>
      </c>
      <c r="BI5615" t="e">
        <f>VLOOKUP(H5615,Sheet2!$A$1:$B$270,2,FALSE)</f>
        <v>#N/A</v>
      </c>
    </row>
    <row r="5616" spans="15:61" hidden="1">
      <c r="O5616" s="57"/>
      <c r="P5616" s="57"/>
      <c r="AO5616" s="57"/>
      <c r="AP5616" s="57"/>
      <c r="BA5616" s="57"/>
      <c r="BF5616" s="6" t="e">
        <f t="shared" si="261"/>
        <v>#NUM!</v>
      </c>
      <c r="BG5616" t="e">
        <f t="shared" si="262"/>
        <v>#NUM!</v>
      </c>
      <c r="BH5616" t="e">
        <f t="shared" si="263"/>
        <v>#NUM!</v>
      </c>
      <c r="BI5616" t="e">
        <f>VLOOKUP(H5616,Sheet2!$A$1:$B$270,2,FALSE)</f>
        <v>#N/A</v>
      </c>
    </row>
    <row r="5617" spans="15:61" hidden="1">
      <c r="O5617" s="57"/>
      <c r="P5617" s="57"/>
      <c r="AO5617" s="57"/>
      <c r="BA5617" s="57"/>
      <c r="BF5617" s="6" t="e">
        <f t="shared" si="261"/>
        <v>#NUM!</v>
      </c>
      <c r="BG5617" t="e">
        <f t="shared" si="262"/>
        <v>#NUM!</v>
      </c>
      <c r="BH5617" t="e">
        <f t="shared" si="263"/>
        <v>#NUM!</v>
      </c>
      <c r="BI5617" t="e">
        <f>VLOOKUP(H5617,Sheet2!$A$1:$B$270,2,FALSE)</f>
        <v>#N/A</v>
      </c>
    </row>
    <row r="5618" spans="15:61" hidden="1">
      <c r="O5618" s="57"/>
      <c r="P5618" s="57"/>
      <c r="AO5618" s="57"/>
      <c r="AP5618" s="57"/>
      <c r="BA5618" s="57"/>
      <c r="BF5618" s="6" t="e">
        <f t="shared" si="261"/>
        <v>#NUM!</v>
      </c>
      <c r="BG5618" t="e">
        <f t="shared" si="262"/>
        <v>#NUM!</v>
      </c>
      <c r="BH5618" t="e">
        <f t="shared" si="263"/>
        <v>#NUM!</v>
      </c>
      <c r="BI5618" t="e">
        <f>VLOOKUP(H5618,Sheet2!$A$1:$B$270,2,FALSE)</f>
        <v>#N/A</v>
      </c>
    </row>
    <row r="5619" spans="15:61" hidden="1">
      <c r="O5619" s="57"/>
      <c r="P5619" s="57"/>
      <c r="AP5619" s="57"/>
      <c r="BA5619" s="57"/>
      <c r="BF5619" s="6" t="e">
        <f t="shared" si="261"/>
        <v>#NUM!</v>
      </c>
      <c r="BG5619" t="e">
        <f t="shared" si="262"/>
        <v>#NUM!</v>
      </c>
      <c r="BH5619" t="e">
        <f t="shared" si="263"/>
        <v>#NUM!</v>
      </c>
      <c r="BI5619" t="e">
        <f>VLOOKUP(H5619,Sheet2!$A$1:$B$270,2,FALSE)</f>
        <v>#N/A</v>
      </c>
    </row>
    <row r="5620" spans="15:61" hidden="1">
      <c r="O5620" s="57"/>
      <c r="P5620" s="57"/>
      <c r="AO5620" s="57"/>
      <c r="AP5620" s="57"/>
      <c r="BA5620" s="57"/>
      <c r="BF5620" s="6" t="e">
        <f t="shared" si="261"/>
        <v>#NUM!</v>
      </c>
      <c r="BG5620" t="e">
        <f t="shared" si="262"/>
        <v>#NUM!</v>
      </c>
      <c r="BH5620" t="e">
        <f t="shared" si="263"/>
        <v>#NUM!</v>
      </c>
      <c r="BI5620" t="e">
        <f>VLOOKUP(H5620,Sheet2!$A$1:$B$270,2,FALSE)</f>
        <v>#N/A</v>
      </c>
    </row>
    <row r="5621" spans="15:61" hidden="1">
      <c r="O5621" s="57"/>
      <c r="P5621" s="57"/>
      <c r="AP5621" s="57"/>
      <c r="BA5621" s="57"/>
      <c r="BF5621" s="6" t="e">
        <f t="shared" si="261"/>
        <v>#NUM!</v>
      </c>
      <c r="BG5621" t="e">
        <f t="shared" si="262"/>
        <v>#NUM!</v>
      </c>
      <c r="BH5621" t="e">
        <f t="shared" si="263"/>
        <v>#NUM!</v>
      </c>
      <c r="BI5621" t="e">
        <f>VLOOKUP(H5621,Sheet2!$A$1:$B$270,2,FALSE)</f>
        <v>#N/A</v>
      </c>
    </row>
    <row r="5622" spans="15:61" hidden="1">
      <c r="O5622" s="57"/>
      <c r="P5622" s="57"/>
      <c r="BA5622" s="57"/>
      <c r="BF5622" s="6" t="e">
        <f t="shared" si="261"/>
        <v>#NUM!</v>
      </c>
      <c r="BG5622" t="e">
        <f t="shared" si="262"/>
        <v>#NUM!</v>
      </c>
      <c r="BH5622" t="e">
        <f t="shared" si="263"/>
        <v>#NUM!</v>
      </c>
      <c r="BI5622" t="e">
        <f>VLOOKUP(H5622,Sheet2!$A$1:$B$270,2,FALSE)</f>
        <v>#N/A</v>
      </c>
    </row>
    <row r="5623" spans="15:61" hidden="1">
      <c r="O5623" s="57"/>
      <c r="P5623" s="57"/>
      <c r="AO5623" s="57"/>
      <c r="AP5623" s="57"/>
      <c r="BA5623" s="57"/>
      <c r="BF5623" s="6" t="e">
        <f t="shared" si="261"/>
        <v>#NUM!</v>
      </c>
      <c r="BG5623" t="e">
        <f t="shared" si="262"/>
        <v>#NUM!</v>
      </c>
      <c r="BH5623" t="e">
        <f t="shared" si="263"/>
        <v>#NUM!</v>
      </c>
      <c r="BI5623" t="e">
        <f>VLOOKUP(H5623,Sheet2!$A$1:$B$270,2,FALSE)</f>
        <v>#N/A</v>
      </c>
    </row>
    <row r="5624" spans="15:61" hidden="1">
      <c r="O5624" s="57"/>
      <c r="P5624" s="57"/>
      <c r="AM5624" s="58"/>
      <c r="AO5624" s="57"/>
      <c r="BA5624" s="57"/>
      <c r="BB5624" s="58"/>
      <c r="BF5624" s="6" t="e">
        <f t="shared" si="261"/>
        <v>#NUM!</v>
      </c>
      <c r="BG5624" t="e">
        <f t="shared" si="262"/>
        <v>#NUM!</v>
      </c>
      <c r="BH5624" t="e">
        <f t="shared" si="263"/>
        <v>#NUM!</v>
      </c>
      <c r="BI5624" t="e">
        <f>VLOOKUP(H5624,Sheet2!$A$1:$B$270,2,FALSE)</f>
        <v>#N/A</v>
      </c>
    </row>
    <row r="5625" spans="15:61" hidden="1">
      <c r="O5625" s="57"/>
      <c r="P5625" s="57"/>
      <c r="AO5625" s="57"/>
      <c r="AP5625" s="57"/>
      <c r="BA5625" s="57"/>
      <c r="BF5625" s="6" t="e">
        <f t="shared" si="261"/>
        <v>#NUM!</v>
      </c>
      <c r="BG5625" t="e">
        <f t="shared" si="262"/>
        <v>#NUM!</v>
      </c>
      <c r="BH5625" t="e">
        <f t="shared" si="263"/>
        <v>#NUM!</v>
      </c>
      <c r="BI5625" t="e">
        <f>VLOOKUP(H5625,Sheet2!$A$1:$B$270,2,FALSE)</f>
        <v>#N/A</v>
      </c>
    </row>
    <row r="5626" spans="15:61" hidden="1">
      <c r="O5626" s="57"/>
      <c r="P5626" s="57"/>
      <c r="AO5626" s="57"/>
      <c r="AP5626" s="57"/>
      <c r="BA5626" s="57"/>
      <c r="BF5626" s="6" t="e">
        <f t="shared" si="261"/>
        <v>#NUM!</v>
      </c>
      <c r="BG5626" t="e">
        <f t="shared" si="262"/>
        <v>#NUM!</v>
      </c>
      <c r="BH5626" t="e">
        <f t="shared" si="263"/>
        <v>#NUM!</v>
      </c>
      <c r="BI5626" t="e">
        <f>VLOOKUP(H5626,Sheet2!$A$1:$B$270,2,FALSE)</f>
        <v>#N/A</v>
      </c>
    </row>
    <row r="5627" spans="15:61" hidden="1">
      <c r="O5627" s="57"/>
      <c r="P5627" s="57"/>
      <c r="AP5627" s="57"/>
      <c r="BA5627" s="57"/>
      <c r="BF5627" s="6" t="e">
        <f t="shared" si="261"/>
        <v>#NUM!</v>
      </c>
      <c r="BG5627" t="e">
        <f t="shared" si="262"/>
        <v>#NUM!</v>
      </c>
      <c r="BH5627" t="e">
        <f t="shared" si="263"/>
        <v>#NUM!</v>
      </c>
      <c r="BI5627" t="e">
        <f>VLOOKUP(H5627,Sheet2!$A$1:$B$270,2,FALSE)</f>
        <v>#N/A</v>
      </c>
    </row>
    <row r="5628" spans="15:61" hidden="1">
      <c r="O5628" s="57"/>
      <c r="P5628" s="57"/>
      <c r="AM5628" s="58"/>
      <c r="AO5628" s="57"/>
      <c r="BA5628" s="57"/>
      <c r="BB5628" s="58"/>
      <c r="BF5628" s="6" t="e">
        <f t="shared" si="261"/>
        <v>#NUM!</v>
      </c>
      <c r="BG5628" t="e">
        <f t="shared" si="262"/>
        <v>#NUM!</v>
      </c>
      <c r="BH5628" t="e">
        <f t="shared" si="263"/>
        <v>#NUM!</v>
      </c>
      <c r="BI5628" t="e">
        <f>VLOOKUP(H5628,Sheet2!$A$1:$B$270,2,FALSE)</f>
        <v>#N/A</v>
      </c>
    </row>
    <row r="5629" spans="15:61" hidden="1">
      <c r="O5629" s="57"/>
      <c r="P5629" s="57"/>
      <c r="AO5629" s="57"/>
      <c r="AP5629" s="57"/>
      <c r="BA5629" s="57"/>
      <c r="BF5629" s="6" t="e">
        <f t="shared" si="261"/>
        <v>#NUM!</v>
      </c>
      <c r="BG5629" t="e">
        <f t="shared" si="262"/>
        <v>#NUM!</v>
      </c>
      <c r="BH5629" t="e">
        <f t="shared" si="263"/>
        <v>#NUM!</v>
      </c>
      <c r="BI5629" t="e">
        <f>VLOOKUP(H5629,Sheet2!$A$1:$B$270,2,FALSE)</f>
        <v>#N/A</v>
      </c>
    </row>
    <row r="5630" spans="15:61" hidden="1">
      <c r="O5630" s="57"/>
      <c r="P5630" s="57"/>
      <c r="AP5630" s="57"/>
      <c r="BA5630" s="57"/>
      <c r="BF5630" s="6" t="e">
        <f t="shared" si="261"/>
        <v>#NUM!</v>
      </c>
      <c r="BG5630" t="e">
        <f t="shared" si="262"/>
        <v>#NUM!</v>
      </c>
      <c r="BH5630" t="e">
        <f t="shared" si="263"/>
        <v>#NUM!</v>
      </c>
      <c r="BI5630" t="e">
        <f>VLOOKUP(H5630,Sheet2!$A$1:$B$270,2,FALSE)</f>
        <v>#N/A</v>
      </c>
    </row>
    <row r="5631" spans="15:61" hidden="1">
      <c r="O5631" s="57"/>
      <c r="P5631" s="57"/>
      <c r="AO5631" s="57"/>
      <c r="AP5631" s="57"/>
      <c r="BA5631" s="57"/>
      <c r="BF5631" s="6" t="e">
        <f t="shared" si="261"/>
        <v>#NUM!</v>
      </c>
      <c r="BG5631" t="e">
        <f t="shared" si="262"/>
        <v>#NUM!</v>
      </c>
      <c r="BH5631" t="e">
        <f t="shared" si="263"/>
        <v>#NUM!</v>
      </c>
      <c r="BI5631" t="e">
        <f>VLOOKUP(H5631,Sheet2!$A$1:$B$270,2,FALSE)</f>
        <v>#N/A</v>
      </c>
    </row>
    <row r="5632" spans="15:61" hidden="1">
      <c r="O5632" s="57"/>
      <c r="P5632" s="57"/>
      <c r="AP5632" s="57"/>
      <c r="BA5632" s="57"/>
      <c r="BF5632" s="6" t="e">
        <f t="shared" si="261"/>
        <v>#NUM!</v>
      </c>
      <c r="BG5632" t="e">
        <f t="shared" si="262"/>
        <v>#NUM!</v>
      </c>
      <c r="BH5632" t="e">
        <f t="shared" si="263"/>
        <v>#NUM!</v>
      </c>
      <c r="BI5632" t="e">
        <f>VLOOKUP(H5632,Sheet2!$A$1:$B$270,2,FALSE)</f>
        <v>#N/A</v>
      </c>
    </row>
    <row r="5633" spans="15:61" hidden="1">
      <c r="O5633" s="57"/>
      <c r="P5633" s="57"/>
      <c r="AP5633" s="57"/>
      <c r="BA5633" s="57"/>
      <c r="BF5633" s="6" t="e">
        <f t="shared" si="261"/>
        <v>#NUM!</v>
      </c>
      <c r="BG5633" t="e">
        <f t="shared" si="262"/>
        <v>#NUM!</v>
      </c>
      <c r="BH5633" t="e">
        <f t="shared" si="263"/>
        <v>#NUM!</v>
      </c>
      <c r="BI5633" t="e">
        <f>VLOOKUP(H5633,Sheet2!$A$1:$B$270,2,FALSE)</f>
        <v>#N/A</v>
      </c>
    </row>
    <row r="5634" spans="15:61" hidden="1">
      <c r="O5634" s="57"/>
      <c r="P5634" s="57"/>
      <c r="AM5634" s="58"/>
      <c r="BA5634" s="57"/>
      <c r="BB5634" s="58"/>
      <c r="BF5634" s="6" t="e">
        <f t="shared" ref="BF5634:BF5697" si="264">DATE(BC5634,BD5634,BE5634)</f>
        <v>#NUM!</v>
      </c>
      <c r="BG5634" t="e">
        <f t="shared" ref="BG5634:BG5697" si="265">BF5634-BA5634</f>
        <v>#NUM!</v>
      </c>
      <c r="BH5634" t="e">
        <f t="shared" ref="BH5634:BH5697" si="266">IF(BG5634=1,"COMPLY",IF(BG5634&lt;1,"COMPLY","NOT COMPLY"))</f>
        <v>#NUM!</v>
      </c>
      <c r="BI5634" t="e">
        <f>VLOOKUP(H5634,Sheet2!$A$1:$B$270,2,FALSE)</f>
        <v>#N/A</v>
      </c>
    </row>
    <row r="5635" spans="15:61" hidden="1">
      <c r="O5635" s="57"/>
      <c r="P5635" s="57"/>
      <c r="AM5635" s="58"/>
      <c r="BA5635" s="57"/>
      <c r="BB5635" s="58"/>
      <c r="BF5635" s="6" t="e">
        <f t="shared" si="264"/>
        <v>#NUM!</v>
      </c>
      <c r="BG5635" t="e">
        <f t="shared" si="265"/>
        <v>#NUM!</v>
      </c>
      <c r="BH5635" t="e">
        <f t="shared" si="266"/>
        <v>#NUM!</v>
      </c>
      <c r="BI5635" t="e">
        <f>VLOOKUP(H5635,Sheet2!$A$1:$B$270,2,FALSE)</f>
        <v>#N/A</v>
      </c>
    </row>
    <row r="5636" spans="15:61" hidden="1">
      <c r="O5636" s="57"/>
      <c r="P5636" s="57"/>
      <c r="AO5636" s="57"/>
      <c r="AP5636" s="57"/>
      <c r="BA5636" s="57"/>
      <c r="BF5636" s="6" t="e">
        <f t="shared" si="264"/>
        <v>#NUM!</v>
      </c>
      <c r="BG5636" t="e">
        <f t="shared" si="265"/>
        <v>#NUM!</v>
      </c>
      <c r="BH5636" t="e">
        <f t="shared" si="266"/>
        <v>#NUM!</v>
      </c>
      <c r="BI5636" t="e">
        <f>VLOOKUP(H5636,Sheet2!$A$1:$B$270,2,FALSE)</f>
        <v>#N/A</v>
      </c>
    </row>
    <row r="5637" spans="15:61" hidden="1">
      <c r="O5637" s="57"/>
      <c r="P5637" s="57"/>
      <c r="AO5637" s="57"/>
      <c r="BA5637" s="57"/>
      <c r="BF5637" s="6" t="e">
        <f t="shared" si="264"/>
        <v>#NUM!</v>
      </c>
      <c r="BG5637" t="e">
        <f t="shared" si="265"/>
        <v>#NUM!</v>
      </c>
      <c r="BH5637" t="e">
        <f t="shared" si="266"/>
        <v>#NUM!</v>
      </c>
      <c r="BI5637" t="e">
        <f>VLOOKUP(H5637,Sheet2!$A$1:$B$270,2,FALSE)</f>
        <v>#N/A</v>
      </c>
    </row>
    <row r="5638" spans="15:61" hidden="1">
      <c r="O5638" s="57"/>
      <c r="P5638" s="57"/>
      <c r="AO5638" s="57"/>
      <c r="AP5638" s="57"/>
      <c r="BA5638" s="57"/>
      <c r="BF5638" s="6" t="e">
        <f t="shared" si="264"/>
        <v>#NUM!</v>
      </c>
      <c r="BG5638" t="e">
        <f t="shared" si="265"/>
        <v>#NUM!</v>
      </c>
      <c r="BH5638" t="e">
        <f t="shared" si="266"/>
        <v>#NUM!</v>
      </c>
      <c r="BI5638" t="e">
        <f>VLOOKUP(H5638,Sheet2!$A$1:$B$270,2,FALSE)</f>
        <v>#N/A</v>
      </c>
    </row>
    <row r="5639" spans="15:61" hidden="1">
      <c r="O5639" s="57"/>
      <c r="P5639" s="57"/>
      <c r="AO5639" s="57"/>
      <c r="AP5639" s="57"/>
      <c r="BA5639" s="57"/>
      <c r="BF5639" s="6" t="e">
        <f t="shared" si="264"/>
        <v>#NUM!</v>
      </c>
      <c r="BG5639" t="e">
        <f t="shared" si="265"/>
        <v>#NUM!</v>
      </c>
      <c r="BH5639" t="e">
        <f t="shared" si="266"/>
        <v>#NUM!</v>
      </c>
      <c r="BI5639" t="e">
        <f>VLOOKUP(H5639,Sheet2!$A$1:$B$270,2,FALSE)</f>
        <v>#N/A</v>
      </c>
    </row>
    <row r="5640" spans="15:61" hidden="1">
      <c r="O5640" s="57"/>
      <c r="P5640" s="57"/>
      <c r="AP5640" s="57"/>
      <c r="BA5640" s="57"/>
      <c r="BF5640" s="6" t="e">
        <f t="shared" si="264"/>
        <v>#NUM!</v>
      </c>
      <c r="BG5640" t="e">
        <f t="shared" si="265"/>
        <v>#NUM!</v>
      </c>
      <c r="BH5640" t="e">
        <f t="shared" si="266"/>
        <v>#NUM!</v>
      </c>
      <c r="BI5640" t="e">
        <f>VLOOKUP(H5640,Sheet2!$A$1:$B$270,2,FALSE)</f>
        <v>#N/A</v>
      </c>
    </row>
    <row r="5641" spans="15:61" hidden="1">
      <c r="O5641" s="57"/>
      <c r="P5641" s="57"/>
      <c r="AM5641" s="58"/>
      <c r="BA5641" s="57"/>
      <c r="BB5641" s="58"/>
      <c r="BF5641" s="6" t="e">
        <f t="shared" si="264"/>
        <v>#NUM!</v>
      </c>
      <c r="BG5641" t="e">
        <f t="shared" si="265"/>
        <v>#NUM!</v>
      </c>
      <c r="BH5641" t="e">
        <f t="shared" si="266"/>
        <v>#NUM!</v>
      </c>
      <c r="BI5641" t="e">
        <f>VLOOKUP(H5641,Sheet2!$A$1:$B$270,2,FALSE)</f>
        <v>#N/A</v>
      </c>
    </row>
    <row r="5642" spans="15:61" hidden="1">
      <c r="O5642" s="57"/>
      <c r="P5642" s="57"/>
      <c r="AP5642" s="57"/>
      <c r="BA5642" s="57"/>
      <c r="BF5642" s="6" t="e">
        <f t="shared" si="264"/>
        <v>#NUM!</v>
      </c>
      <c r="BG5642" t="e">
        <f t="shared" si="265"/>
        <v>#NUM!</v>
      </c>
      <c r="BH5642" t="e">
        <f t="shared" si="266"/>
        <v>#NUM!</v>
      </c>
      <c r="BI5642" t="e">
        <f>VLOOKUP(H5642,Sheet2!$A$1:$B$270,2,FALSE)</f>
        <v>#N/A</v>
      </c>
    </row>
    <row r="5643" spans="15:61" hidden="1">
      <c r="O5643" s="57"/>
      <c r="P5643" s="57"/>
      <c r="AP5643" s="57"/>
      <c r="BA5643" s="57"/>
      <c r="BF5643" s="6" t="e">
        <f t="shared" si="264"/>
        <v>#NUM!</v>
      </c>
      <c r="BG5643" t="e">
        <f t="shared" si="265"/>
        <v>#NUM!</v>
      </c>
      <c r="BH5643" t="e">
        <f t="shared" si="266"/>
        <v>#NUM!</v>
      </c>
      <c r="BI5643" t="e">
        <f>VLOOKUP(H5643,Sheet2!$A$1:$B$270,2,FALSE)</f>
        <v>#N/A</v>
      </c>
    </row>
    <row r="5644" spans="15:61" hidden="1">
      <c r="O5644" s="57"/>
      <c r="P5644" s="57"/>
      <c r="AO5644" s="57"/>
      <c r="AP5644" s="57"/>
      <c r="BA5644" s="57"/>
      <c r="BF5644" s="6" t="e">
        <f t="shared" si="264"/>
        <v>#NUM!</v>
      </c>
      <c r="BG5644" t="e">
        <f t="shared" si="265"/>
        <v>#NUM!</v>
      </c>
      <c r="BH5644" t="e">
        <f t="shared" si="266"/>
        <v>#NUM!</v>
      </c>
      <c r="BI5644" t="e">
        <f>VLOOKUP(H5644,Sheet2!$A$1:$B$270,2,FALSE)</f>
        <v>#N/A</v>
      </c>
    </row>
    <row r="5645" spans="15:61" hidden="1">
      <c r="O5645" s="57"/>
      <c r="P5645" s="57"/>
      <c r="AP5645" s="57"/>
      <c r="BA5645" s="57"/>
      <c r="BF5645" s="6" t="e">
        <f t="shared" si="264"/>
        <v>#NUM!</v>
      </c>
      <c r="BG5645" t="e">
        <f t="shared" si="265"/>
        <v>#NUM!</v>
      </c>
      <c r="BH5645" t="e">
        <f t="shared" si="266"/>
        <v>#NUM!</v>
      </c>
      <c r="BI5645" t="e">
        <f>VLOOKUP(H5645,Sheet2!$A$1:$B$270,2,FALSE)</f>
        <v>#N/A</v>
      </c>
    </row>
    <row r="5646" spans="15:61" hidden="1">
      <c r="O5646" s="57"/>
      <c r="P5646" s="57"/>
      <c r="AO5646" s="57"/>
      <c r="AP5646" s="57"/>
      <c r="BA5646" s="57"/>
      <c r="BF5646" s="6" t="e">
        <f t="shared" si="264"/>
        <v>#NUM!</v>
      </c>
      <c r="BG5646" t="e">
        <f t="shared" si="265"/>
        <v>#NUM!</v>
      </c>
      <c r="BH5646" t="e">
        <f t="shared" si="266"/>
        <v>#NUM!</v>
      </c>
      <c r="BI5646" t="e">
        <f>VLOOKUP(H5646,Sheet2!$A$1:$B$270,2,FALSE)</f>
        <v>#N/A</v>
      </c>
    </row>
    <row r="5647" spans="15:61" hidden="1">
      <c r="O5647" s="57"/>
      <c r="P5647" s="57"/>
      <c r="AP5647" s="57"/>
      <c r="BA5647" s="57"/>
      <c r="BF5647" s="6" t="e">
        <f t="shared" si="264"/>
        <v>#NUM!</v>
      </c>
      <c r="BG5647" t="e">
        <f t="shared" si="265"/>
        <v>#NUM!</v>
      </c>
      <c r="BH5647" t="e">
        <f t="shared" si="266"/>
        <v>#NUM!</v>
      </c>
      <c r="BI5647" t="e">
        <f>VLOOKUP(H5647,Sheet2!$A$1:$B$270,2,FALSE)</f>
        <v>#N/A</v>
      </c>
    </row>
    <row r="5648" spans="15:61" hidden="1">
      <c r="O5648" s="57"/>
      <c r="P5648" s="57"/>
      <c r="AP5648" s="57"/>
      <c r="BA5648" s="57"/>
      <c r="BF5648" s="6" t="e">
        <f t="shared" si="264"/>
        <v>#NUM!</v>
      </c>
      <c r="BG5648" t="e">
        <f t="shared" si="265"/>
        <v>#NUM!</v>
      </c>
      <c r="BH5648" t="e">
        <f t="shared" si="266"/>
        <v>#NUM!</v>
      </c>
      <c r="BI5648" t="e">
        <f>VLOOKUP(H5648,Sheet2!$A$1:$B$270,2,FALSE)</f>
        <v>#N/A</v>
      </c>
    </row>
    <row r="5649" spans="15:61" hidden="1">
      <c r="O5649" s="57"/>
      <c r="P5649" s="57"/>
      <c r="AM5649" s="58"/>
      <c r="BA5649" s="57"/>
      <c r="BB5649" s="58"/>
      <c r="BF5649" s="6" t="e">
        <f t="shared" si="264"/>
        <v>#NUM!</v>
      </c>
      <c r="BG5649" t="e">
        <f t="shared" si="265"/>
        <v>#NUM!</v>
      </c>
      <c r="BH5649" t="e">
        <f t="shared" si="266"/>
        <v>#NUM!</v>
      </c>
      <c r="BI5649" t="e">
        <f>VLOOKUP(H5649,Sheet2!$A$1:$B$270,2,FALSE)</f>
        <v>#N/A</v>
      </c>
    </row>
    <row r="5650" spans="15:61" hidden="1">
      <c r="O5650" s="57"/>
      <c r="P5650" s="57"/>
      <c r="AP5650" s="57"/>
      <c r="BA5650" s="57"/>
      <c r="BF5650" s="6" t="e">
        <f t="shared" si="264"/>
        <v>#NUM!</v>
      </c>
      <c r="BG5650" t="e">
        <f t="shared" si="265"/>
        <v>#NUM!</v>
      </c>
      <c r="BH5650" t="e">
        <f t="shared" si="266"/>
        <v>#NUM!</v>
      </c>
      <c r="BI5650" t="e">
        <f>VLOOKUP(H5650,Sheet2!$A$1:$B$270,2,FALSE)</f>
        <v>#N/A</v>
      </c>
    </row>
    <row r="5651" spans="15:61" hidden="1">
      <c r="O5651" s="57"/>
      <c r="P5651" s="57"/>
      <c r="AP5651" s="57"/>
      <c r="BA5651" s="57"/>
      <c r="BF5651" s="6" t="e">
        <f t="shared" si="264"/>
        <v>#NUM!</v>
      </c>
      <c r="BG5651" t="e">
        <f t="shared" si="265"/>
        <v>#NUM!</v>
      </c>
      <c r="BH5651" t="e">
        <f t="shared" si="266"/>
        <v>#NUM!</v>
      </c>
      <c r="BI5651" t="e">
        <f>VLOOKUP(H5651,Sheet2!$A$1:$B$270,2,FALSE)</f>
        <v>#N/A</v>
      </c>
    </row>
    <row r="5652" spans="15:61" hidden="1">
      <c r="O5652" s="57"/>
      <c r="P5652" s="57"/>
      <c r="AP5652" s="57"/>
      <c r="BA5652" s="57"/>
      <c r="BF5652" s="6" t="e">
        <f t="shared" si="264"/>
        <v>#NUM!</v>
      </c>
      <c r="BG5652" t="e">
        <f t="shared" si="265"/>
        <v>#NUM!</v>
      </c>
      <c r="BH5652" t="e">
        <f t="shared" si="266"/>
        <v>#NUM!</v>
      </c>
      <c r="BI5652" t="e">
        <f>VLOOKUP(H5652,Sheet2!$A$1:$B$270,2,FALSE)</f>
        <v>#N/A</v>
      </c>
    </row>
    <row r="5653" spans="15:61" hidden="1">
      <c r="O5653" s="57"/>
      <c r="P5653" s="57"/>
      <c r="BF5653" s="6" t="e">
        <f t="shared" si="264"/>
        <v>#NUM!</v>
      </c>
      <c r="BG5653" t="e">
        <f t="shared" si="265"/>
        <v>#NUM!</v>
      </c>
      <c r="BH5653" t="e">
        <f t="shared" si="266"/>
        <v>#NUM!</v>
      </c>
      <c r="BI5653" t="e">
        <f>VLOOKUP(H5653,Sheet2!$A$1:$B$270,2,FALSE)</f>
        <v>#N/A</v>
      </c>
    </row>
    <row r="5654" spans="15:61" hidden="1">
      <c r="O5654" s="57"/>
      <c r="P5654" s="57"/>
      <c r="AP5654" s="57"/>
      <c r="BA5654" s="57"/>
      <c r="BF5654" s="6" t="e">
        <f t="shared" si="264"/>
        <v>#NUM!</v>
      </c>
      <c r="BG5654" t="e">
        <f t="shared" si="265"/>
        <v>#NUM!</v>
      </c>
      <c r="BH5654" t="e">
        <f t="shared" si="266"/>
        <v>#NUM!</v>
      </c>
      <c r="BI5654" t="e">
        <f>VLOOKUP(H5654,Sheet2!$A$1:$B$270,2,FALSE)</f>
        <v>#N/A</v>
      </c>
    </row>
    <row r="5655" spans="15:61" hidden="1">
      <c r="O5655" s="57"/>
      <c r="P5655" s="57"/>
      <c r="AP5655" s="57"/>
      <c r="BA5655" s="57"/>
      <c r="BF5655" s="6" t="e">
        <f t="shared" si="264"/>
        <v>#NUM!</v>
      </c>
      <c r="BG5655" t="e">
        <f t="shared" si="265"/>
        <v>#NUM!</v>
      </c>
      <c r="BH5655" t="e">
        <f t="shared" si="266"/>
        <v>#NUM!</v>
      </c>
      <c r="BI5655" t="e">
        <f>VLOOKUP(H5655,Sheet2!$A$1:$B$270,2,FALSE)</f>
        <v>#N/A</v>
      </c>
    </row>
    <row r="5656" spans="15:61" hidden="1">
      <c r="O5656" s="57"/>
      <c r="P5656" s="57"/>
      <c r="BF5656" s="6" t="e">
        <f t="shared" si="264"/>
        <v>#NUM!</v>
      </c>
      <c r="BG5656" t="e">
        <f t="shared" si="265"/>
        <v>#NUM!</v>
      </c>
      <c r="BH5656" t="e">
        <f t="shared" si="266"/>
        <v>#NUM!</v>
      </c>
      <c r="BI5656" t="e">
        <f>VLOOKUP(H5656,Sheet2!$A$1:$B$270,2,FALSE)</f>
        <v>#N/A</v>
      </c>
    </row>
    <row r="5657" spans="15:61" hidden="1">
      <c r="O5657" s="57"/>
      <c r="P5657" s="57"/>
      <c r="AO5657" s="57"/>
      <c r="AP5657" s="57"/>
      <c r="BA5657" s="57"/>
      <c r="BF5657" s="6" t="e">
        <f t="shared" si="264"/>
        <v>#NUM!</v>
      </c>
      <c r="BG5657" t="e">
        <f t="shared" si="265"/>
        <v>#NUM!</v>
      </c>
      <c r="BH5657" t="e">
        <f t="shared" si="266"/>
        <v>#NUM!</v>
      </c>
      <c r="BI5657" t="e">
        <f>VLOOKUP(H5657,Sheet2!$A$1:$B$270,2,FALSE)</f>
        <v>#N/A</v>
      </c>
    </row>
    <row r="5658" spans="15:61" hidden="1">
      <c r="O5658" s="57"/>
      <c r="P5658" s="57"/>
      <c r="AP5658" s="57"/>
      <c r="BA5658" s="57"/>
      <c r="BF5658" s="6" t="e">
        <f t="shared" si="264"/>
        <v>#NUM!</v>
      </c>
      <c r="BG5658" t="e">
        <f t="shared" si="265"/>
        <v>#NUM!</v>
      </c>
      <c r="BH5658" t="e">
        <f t="shared" si="266"/>
        <v>#NUM!</v>
      </c>
      <c r="BI5658" t="e">
        <f>VLOOKUP(H5658,Sheet2!$A$1:$B$270,2,FALSE)</f>
        <v>#N/A</v>
      </c>
    </row>
    <row r="5659" spans="15:61" hidden="1">
      <c r="O5659" s="57"/>
      <c r="P5659" s="57"/>
      <c r="AP5659" s="57"/>
      <c r="BA5659" s="57"/>
      <c r="BF5659" s="6" t="e">
        <f t="shared" si="264"/>
        <v>#NUM!</v>
      </c>
      <c r="BG5659" t="e">
        <f t="shared" si="265"/>
        <v>#NUM!</v>
      </c>
      <c r="BH5659" t="e">
        <f t="shared" si="266"/>
        <v>#NUM!</v>
      </c>
      <c r="BI5659" t="e">
        <f>VLOOKUP(H5659,Sheet2!$A$1:$B$270,2,FALSE)</f>
        <v>#N/A</v>
      </c>
    </row>
    <row r="5660" spans="15:61" hidden="1">
      <c r="O5660" s="57"/>
      <c r="P5660" s="57"/>
      <c r="AO5660" s="57"/>
      <c r="AP5660" s="57"/>
      <c r="BA5660" s="57"/>
      <c r="BF5660" s="6" t="e">
        <f t="shared" si="264"/>
        <v>#NUM!</v>
      </c>
      <c r="BG5660" t="e">
        <f t="shared" si="265"/>
        <v>#NUM!</v>
      </c>
      <c r="BH5660" t="e">
        <f t="shared" si="266"/>
        <v>#NUM!</v>
      </c>
      <c r="BI5660" t="e">
        <f>VLOOKUP(H5660,Sheet2!$A$1:$B$270,2,FALSE)</f>
        <v>#N/A</v>
      </c>
    </row>
    <row r="5661" spans="15:61" hidden="1">
      <c r="O5661" s="57"/>
      <c r="P5661" s="57"/>
      <c r="AP5661" s="57"/>
      <c r="BA5661" s="57"/>
      <c r="BF5661" s="6" t="e">
        <f t="shared" si="264"/>
        <v>#NUM!</v>
      </c>
      <c r="BG5661" t="e">
        <f t="shared" si="265"/>
        <v>#NUM!</v>
      </c>
      <c r="BH5661" t="e">
        <f t="shared" si="266"/>
        <v>#NUM!</v>
      </c>
      <c r="BI5661" t="e">
        <f>VLOOKUP(H5661,Sheet2!$A$1:$B$270,2,FALSE)</f>
        <v>#N/A</v>
      </c>
    </row>
    <row r="5662" spans="15:61" hidden="1">
      <c r="O5662" s="57"/>
      <c r="P5662" s="57"/>
      <c r="AP5662" s="57"/>
      <c r="BA5662" s="57"/>
      <c r="BF5662" s="6" t="e">
        <f t="shared" si="264"/>
        <v>#NUM!</v>
      </c>
      <c r="BG5662" t="e">
        <f t="shared" si="265"/>
        <v>#NUM!</v>
      </c>
      <c r="BH5662" t="e">
        <f t="shared" si="266"/>
        <v>#NUM!</v>
      </c>
      <c r="BI5662" t="e">
        <f>VLOOKUP(H5662,Sheet2!$A$1:$B$270,2,FALSE)</f>
        <v>#N/A</v>
      </c>
    </row>
    <row r="5663" spans="15:61" hidden="1">
      <c r="O5663" s="57"/>
      <c r="P5663" s="57"/>
      <c r="AP5663" s="57"/>
      <c r="BA5663" s="57"/>
      <c r="BF5663" s="6" t="e">
        <f t="shared" si="264"/>
        <v>#NUM!</v>
      </c>
      <c r="BG5663" t="e">
        <f t="shared" si="265"/>
        <v>#NUM!</v>
      </c>
      <c r="BH5663" t="e">
        <f t="shared" si="266"/>
        <v>#NUM!</v>
      </c>
      <c r="BI5663" t="e">
        <f>VLOOKUP(H5663,Sheet2!$A$1:$B$270,2,FALSE)</f>
        <v>#N/A</v>
      </c>
    </row>
    <row r="5664" spans="15:61" hidden="1">
      <c r="O5664" s="57"/>
      <c r="P5664" s="57"/>
      <c r="AO5664" s="57"/>
      <c r="AP5664" s="57"/>
      <c r="BA5664" s="57"/>
      <c r="BF5664" s="6" t="e">
        <f t="shared" si="264"/>
        <v>#NUM!</v>
      </c>
      <c r="BG5664" t="e">
        <f t="shared" si="265"/>
        <v>#NUM!</v>
      </c>
      <c r="BH5664" t="e">
        <f t="shared" si="266"/>
        <v>#NUM!</v>
      </c>
      <c r="BI5664" t="e">
        <f>VLOOKUP(H5664,Sheet2!$A$1:$B$270,2,FALSE)</f>
        <v>#N/A</v>
      </c>
    </row>
    <row r="5665" spans="15:61" hidden="1">
      <c r="O5665" s="57"/>
      <c r="P5665" s="57"/>
      <c r="AP5665" s="57"/>
      <c r="BA5665" s="57"/>
      <c r="BF5665" s="6" t="e">
        <f t="shared" si="264"/>
        <v>#NUM!</v>
      </c>
      <c r="BG5665" t="e">
        <f t="shared" si="265"/>
        <v>#NUM!</v>
      </c>
      <c r="BH5665" t="e">
        <f t="shared" si="266"/>
        <v>#NUM!</v>
      </c>
      <c r="BI5665" t="e">
        <f>VLOOKUP(H5665,Sheet2!$A$1:$B$270,2,FALSE)</f>
        <v>#N/A</v>
      </c>
    </row>
    <row r="5666" spans="15:61" hidden="1">
      <c r="O5666" s="57"/>
      <c r="P5666" s="57"/>
      <c r="AM5666" s="58"/>
      <c r="AO5666" s="57"/>
      <c r="BA5666" s="57"/>
      <c r="BB5666" s="58"/>
      <c r="BF5666" s="6" t="e">
        <f t="shared" si="264"/>
        <v>#NUM!</v>
      </c>
      <c r="BG5666" t="e">
        <f t="shared" si="265"/>
        <v>#NUM!</v>
      </c>
      <c r="BH5666" t="e">
        <f t="shared" si="266"/>
        <v>#NUM!</v>
      </c>
      <c r="BI5666" t="e">
        <f>VLOOKUP(H5666,Sheet2!$A$1:$B$270,2,FALSE)</f>
        <v>#N/A</v>
      </c>
    </row>
    <row r="5667" spans="15:61" hidden="1">
      <c r="O5667" s="57"/>
      <c r="P5667" s="57"/>
      <c r="AM5667" s="58"/>
      <c r="BA5667" s="57"/>
      <c r="BB5667" s="58"/>
      <c r="BF5667" s="6" t="e">
        <f t="shared" si="264"/>
        <v>#NUM!</v>
      </c>
      <c r="BG5667" t="e">
        <f t="shared" si="265"/>
        <v>#NUM!</v>
      </c>
      <c r="BH5667" t="e">
        <f t="shared" si="266"/>
        <v>#NUM!</v>
      </c>
      <c r="BI5667" t="e">
        <f>VLOOKUP(H5667,Sheet2!$A$1:$B$270,2,FALSE)</f>
        <v>#N/A</v>
      </c>
    </row>
    <row r="5668" spans="15:61" hidden="1">
      <c r="O5668" s="57"/>
      <c r="P5668" s="57"/>
      <c r="AP5668" s="57"/>
      <c r="BA5668" s="57"/>
      <c r="BF5668" s="6" t="e">
        <f t="shared" si="264"/>
        <v>#NUM!</v>
      </c>
      <c r="BG5668" t="e">
        <f t="shared" si="265"/>
        <v>#NUM!</v>
      </c>
      <c r="BH5668" t="e">
        <f t="shared" si="266"/>
        <v>#NUM!</v>
      </c>
      <c r="BI5668" t="e">
        <f>VLOOKUP(H5668,Sheet2!$A$1:$B$270,2,FALSE)</f>
        <v>#N/A</v>
      </c>
    </row>
    <row r="5669" spans="15:61" hidden="1">
      <c r="O5669" s="57"/>
      <c r="P5669" s="57"/>
      <c r="AO5669" s="57"/>
      <c r="AP5669" s="57"/>
      <c r="BA5669" s="57"/>
      <c r="BF5669" s="6" t="e">
        <f t="shared" si="264"/>
        <v>#NUM!</v>
      </c>
      <c r="BG5669" t="e">
        <f t="shared" si="265"/>
        <v>#NUM!</v>
      </c>
      <c r="BH5669" t="e">
        <f t="shared" si="266"/>
        <v>#NUM!</v>
      </c>
      <c r="BI5669" t="e">
        <f>VLOOKUP(H5669,Sheet2!$A$1:$B$270,2,FALSE)</f>
        <v>#N/A</v>
      </c>
    </row>
    <row r="5670" spans="15:61" hidden="1">
      <c r="O5670" s="57"/>
      <c r="P5670" s="57"/>
      <c r="AP5670" s="57"/>
      <c r="BA5670" s="57"/>
      <c r="BF5670" s="6" t="e">
        <f t="shared" si="264"/>
        <v>#NUM!</v>
      </c>
      <c r="BG5670" t="e">
        <f t="shared" si="265"/>
        <v>#NUM!</v>
      </c>
      <c r="BH5670" t="e">
        <f t="shared" si="266"/>
        <v>#NUM!</v>
      </c>
      <c r="BI5670" t="e">
        <f>VLOOKUP(H5670,Sheet2!$A$1:$B$270,2,FALSE)</f>
        <v>#N/A</v>
      </c>
    </row>
    <row r="5671" spans="15:61" hidden="1">
      <c r="O5671" s="57"/>
      <c r="P5671" s="57"/>
      <c r="AO5671" s="57"/>
      <c r="AP5671" s="57"/>
      <c r="BA5671" s="57"/>
      <c r="BF5671" s="6" t="e">
        <f t="shared" si="264"/>
        <v>#NUM!</v>
      </c>
      <c r="BG5671" t="e">
        <f t="shared" si="265"/>
        <v>#NUM!</v>
      </c>
      <c r="BH5671" t="e">
        <f t="shared" si="266"/>
        <v>#NUM!</v>
      </c>
      <c r="BI5671" t="e">
        <f>VLOOKUP(H5671,Sheet2!$A$1:$B$270,2,FALSE)</f>
        <v>#N/A</v>
      </c>
    </row>
    <row r="5672" spans="15:61" hidden="1">
      <c r="O5672" s="57"/>
      <c r="P5672" s="57"/>
      <c r="AO5672" s="57"/>
      <c r="AP5672" s="57"/>
      <c r="BA5672" s="57"/>
      <c r="BF5672" s="6" t="e">
        <f t="shared" si="264"/>
        <v>#NUM!</v>
      </c>
      <c r="BG5672" t="e">
        <f t="shared" si="265"/>
        <v>#NUM!</v>
      </c>
      <c r="BH5672" t="e">
        <f t="shared" si="266"/>
        <v>#NUM!</v>
      </c>
      <c r="BI5672" t="e">
        <f>VLOOKUP(H5672,Sheet2!$A$1:$B$270,2,FALSE)</f>
        <v>#N/A</v>
      </c>
    </row>
    <row r="5673" spans="15:61" hidden="1">
      <c r="O5673" s="57"/>
      <c r="P5673" s="57"/>
      <c r="AP5673" s="57"/>
      <c r="BA5673" s="57"/>
      <c r="BF5673" s="6" t="e">
        <f t="shared" si="264"/>
        <v>#NUM!</v>
      </c>
      <c r="BG5673" t="e">
        <f t="shared" si="265"/>
        <v>#NUM!</v>
      </c>
      <c r="BH5673" t="e">
        <f t="shared" si="266"/>
        <v>#NUM!</v>
      </c>
      <c r="BI5673" t="e">
        <f>VLOOKUP(H5673,Sheet2!$A$1:$B$270,2,FALSE)</f>
        <v>#N/A</v>
      </c>
    </row>
    <row r="5674" spans="15:61" hidden="1">
      <c r="O5674" s="57"/>
      <c r="P5674" s="57"/>
      <c r="BF5674" s="6" t="e">
        <f t="shared" si="264"/>
        <v>#NUM!</v>
      </c>
      <c r="BG5674" t="e">
        <f t="shared" si="265"/>
        <v>#NUM!</v>
      </c>
      <c r="BH5674" t="e">
        <f t="shared" si="266"/>
        <v>#NUM!</v>
      </c>
      <c r="BI5674" t="e">
        <f>VLOOKUP(H5674,Sheet2!$A$1:$B$270,2,FALSE)</f>
        <v>#N/A</v>
      </c>
    </row>
    <row r="5675" spans="15:61" hidden="1">
      <c r="O5675" s="57"/>
      <c r="P5675" s="57"/>
      <c r="AP5675" s="57"/>
      <c r="BA5675" s="57"/>
      <c r="BF5675" s="6" t="e">
        <f t="shared" si="264"/>
        <v>#NUM!</v>
      </c>
      <c r="BG5675" t="e">
        <f t="shared" si="265"/>
        <v>#NUM!</v>
      </c>
      <c r="BH5675" t="e">
        <f t="shared" si="266"/>
        <v>#NUM!</v>
      </c>
      <c r="BI5675" t="e">
        <f>VLOOKUP(H5675,Sheet2!$A$1:$B$270,2,FALSE)</f>
        <v>#N/A</v>
      </c>
    </row>
    <row r="5676" spans="15:61" hidden="1">
      <c r="O5676" s="57"/>
      <c r="P5676" s="57"/>
      <c r="AO5676" s="57"/>
      <c r="AP5676" s="57"/>
      <c r="BA5676" s="57"/>
      <c r="BF5676" s="6" t="e">
        <f t="shared" si="264"/>
        <v>#NUM!</v>
      </c>
      <c r="BG5676" t="e">
        <f t="shared" si="265"/>
        <v>#NUM!</v>
      </c>
      <c r="BH5676" t="e">
        <f t="shared" si="266"/>
        <v>#NUM!</v>
      </c>
      <c r="BI5676" t="e">
        <f>VLOOKUP(H5676,Sheet2!$A$1:$B$270,2,FALSE)</f>
        <v>#N/A</v>
      </c>
    </row>
    <row r="5677" spans="15:61" hidden="1">
      <c r="O5677" s="57"/>
      <c r="P5677" s="57"/>
      <c r="AO5677" s="57"/>
      <c r="BA5677" s="57"/>
      <c r="BF5677" s="6" t="e">
        <f t="shared" si="264"/>
        <v>#NUM!</v>
      </c>
      <c r="BG5677" t="e">
        <f t="shared" si="265"/>
        <v>#NUM!</v>
      </c>
      <c r="BH5677" t="e">
        <f t="shared" si="266"/>
        <v>#NUM!</v>
      </c>
      <c r="BI5677" t="e">
        <f>VLOOKUP(H5677,Sheet2!$A$1:$B$270,2,FALSE)</f>
        <v>#N/A</v>
      </c>
    </row>
    <row r="5678" spans="15:61" hidden="1">
      <c r="O5678" s="57"/>
      <c r="P5678" s="57"/>
      <c r="AP5678" s="57"/>
      <c r="BA5678" s="57"/>
      <c r="BF5678" s="6" t="e">
        <f t="shared" si="264"/>
        <v>#NUM!</v>
      </c>
      <c r="BG5678" t="e">
        <f t="shared" si="265"/>
        <v>#NUM!</v>
      </c>
      <c r="BH5678" t="e">
        <f t="shared" si="266"/>
        <v>#NUM!</v>
      </c>
      <c r="BI5678" t="e">
        <f>VLOOKUP(H5678,Sheet2!$A$1:$B$270,2,FALSE)</f>
        <v>#N/A</v>
      </c>
    </row>
    <row r="5679" spans="15:61" hidden="1">
      <c r="O5679" s="57"/>
      <c r="P5679" s="57"/>
      <c r="AP5679" s="57"/>
      <c r="BA5679" s="57"/>
      <c r="BF5679" s="6" t="e">
        <f t="shared" si="264"/>
        <v>#NUM!</v>
      </c>
      <c r="BG5679" t="e">
        <f t="shared" si="265"/>
        <v>#NUM!</v>
      </c>
      <c r="BH5679" t="e">
        <f t="shared" si="266"/>
        <v>#NUM!</v>
      </c>
      <c r="BI5679" t="e">
        <f>VLOOKUP(H5679,Sheet2!$A$1:$B$270,2,FALSE)</f>
        <v>#N/A</v>
      </c>
    </row>
    <row r="5680" spans="15:61" hidden="1">
      <c r="O5680" s="57"/>
      <c r="P5680" s="57"/>
      <c r="AO5680" s="57"/>
      <c r="BA5680" s="57"/>
      <c r="BF5680" s="6" t="e">
        <f t="shared" si="264"/>
        <v>#NUM!</v>
      </c>
      <c r="BG5680" t="e">
        <f t="shared" si="265"/>
        <v>#NUM!</v>
      </c>
      <c r="BH5680" t="e">
        <f t="shared" si="266"/>
        <v>#NUM!</v>
      </c>
      <c r="BI5680" t="e">
        <f>VLOOKUP(H5680,Sheet2!$A$1:$B$270,2,FALSE)</f>
        <v>#N/A</v>
      </c>
    </row>
    <row r="5681" spans="15:61" hidden="1">
      <c r="O5681" s="57"/>
      <c r="P5681" s="57"/>
      <c r="AM5681" s="58"/>
      <c r="AO5681" s="57"/>
      <c r="BA5681" s="57"/>
      <c r="BB5681" s="58"/>
      <c r="BF5681" s="6" t="e">
        <f t="shared" si="264"/>
        <v>#NUM!</v>
      </c>
      <c r="BG5681" t="e">
        <f t="shared" si="265"/>
        <v>#NUM!</v>
      </c>
      <c r="BH5681" t="e">
        <f t="shared" si="266"/>
        <v>#NUM!</v>
      </c>
      <c r="BI5681" t="e">
        <f>VLOOKUP(H5681,Sheet2!$A$1:$B$270,2,FALSE)</f>
        <v>#N/A</v>
      </c>
    </row>
    <row r="5682" spans="15:61" hidden="1">
      <c r="O5682" s="57"/>
      <c r="P5682" s="57"/>
      <c r="AP5682" s="57"/>
      <c r="BA5682" s="57"/>
      <c r="BF5682" s="6" t="e">
        <f t="shared" si="264"/>
        <v>#NUM!</v>
      </c>
      <c r="BG5682" t="e">
        <f t="shared" si="265"/>
        <v>#NUM!</v>
      </c>
      <c r="BH5682" t="e">
        <f t="shared" si="266"/>
        <v>#NUM!</v>
      </c>
      <c r="BI5682" t="e">
        <f>VLOOKUP(H5682,Sheet2!$A$1:$B$270,2,FALSE)</f>
        <v>#N/A</v>
      </c>
    </row>
    <row r="5683" spans="15:61" hidden="1">
      <c r="O5683" s="57"/>
      <c r="P5683" s="57"/>
      <c r="AP5683" s="57"/>
      <c r="BA5683" s="57"/>
      <c r="BF5683" s="6" t="e">
        <f t="shared" si="264"/>
        <v>#NUM!</v>
      </c>
      <c r="BG5683" t="e">
        <f t="shared" si="265"/>
        <v>#NUM!</v>
      </c>
      <c r="BH5683" t="e">
        <f t="shared" si="266"/>
        <v>#NUM!</v>
      </c>
      <c r="BI5683" t="e">
        <f>VLOOKUP(H5683,Sheet2!$A$1:$B$270,2,FALSE)</f>
        <v>#N/A</v>
      </c>
    </row>
    <row r="5684" spans="15:61" hidden="1">
      <c r="O5684" s="57"/>
      <c r="P5684" s="57"/>
      <c r="AP5684" s="57"/>
      <c r="BA5684" s="57"/>
      <c r="BF5684" s="6" t="e">
        <f t="shared" si="264"/>
        <v>#NUM!</v>
      </c>
      <c r="BG5684" t="e">
        <f t="shared" si="265"/>
        <v>#NUM!</v>
      </c>
      <c r="BH5684" t="e">
        <f t="shared" si="266"/>
        <v>#NUM!</v>
      </c>
      <c r="BI5684" t="e">
        <f>VLOOKUP(H5684,Sheet2!$A$1:$B$270,2,FALSE)</f>
        <v>#N/A</v>
      </c>
    </row>
    <row r="5685" spans="15:61" hidden="1">
      <c r="O5685" s="57"/>
      <c r="P5685" s="57"/>
      <c r="AP5685" s="57"/>
      <c r="BA5685" s="57"/>
      <c r="BF5685" s="6" t="e">
        <f t="shared" si="264"/>
        <v>#NUM!</v>
      </c>
      <c r="BG5685" t="e">
        <f t="shared" si="265"/>
        <v>#NUM!</v>
      </c>
      <c r="BH5685" t="e">
        <f t="shared" si="266"/>
        <v>#NUM!</v>
      </c>
      <c r="BI5685" t="e">
        <f>VLOOKUP(H5685,Sheet2!$A$1:$B$270,2,FALSE)</f>
        <v>#N/A</v>
      </c>
    </row>
    <row r="5686" spans="15:61" hidden="1">
      <c r="O5686" s="57"/>
      <c r="P5686" s="57"/>
      <c r="AO5686" s="57"/>
      <c r="AP5686" s="57"/>
      <c r="BA5686" s="57"/>
      <c r="BF5686" s="6" t="e">
        <f t="shared" si="264"/>
        <v>#NUM!</v>
      </c>
      <c r="BG5686" t="e">
        <f t="shared" si="265"/>
        <v>#NUM!</v>
      </c>
      <c r="BH5686" t="e">
        <f t="shared" si="266"/>
        <v>#NUM!</v>
      </c>
      <c r="BI5686" t="e">
        <f>VLOOKUP(H5686,Sheet2!$A$1:$B$270,2,FALSE)</f>
        <v>#N/A</v>
      </c>
    </row>
    <row r="5687" spans="15:61" hidden="1">
      <c r="O5687" s="57"/>
      <c r="P5687" s="57"/>
      <c r="AO5687" s="57"/>
      <c r="AP5687" s="57"/>
      <c r="BA5687" s="57"/>
      <c r="BF5687" s="6" t="e">
        <f t="shared" si="264"/>
        <v>#NUM!</v>
      </c>
      <c r="BG5687" t="e">
        <f t="shared" si="265"/>
        <v>#NUM!</v>
      </c>
      <c r="BH5687" t="e">
        <f t="shared" si="266"/>
        <v>#NUM!</v>
      </c>
      <c r="BI5687" t="e">
        <f>VLOOKUP(H5687,Sheet2!$A$1:$B$270,2,FALSE)</f>
        <v>#N/A</v>
      </c>
    </row>
    <row r="5688" spans="15:61" hidden="1">
      <c r="O5688" s="57"/>
      <c r="P5688" s="57"/>
      <c r="AP5688" s="57"/>
      <c r="BA5688" s="57"/>
      <c r="BF5688" s="6" t="e">
        <f t="shared" si="264"/>
        <v>#NUM!</v>
      </c>
      <c r="BG5688" t="e">
        <f t="shared" si="265"/>
        <v>#NUM!</v>
      </c>
      <c r="BH5688" t="e">
        <f t="shared" si="266"/>
        <v>#NUM!</v>
      </c>
      <c r="BI5688" t="e">
        <f>VLOOKUP(H5688,Sheet2!$A$1:$B$270,2,FALSE)</f>
        <v>#N/A</v>
      </c>
    </row>
    <row r="5689" spans="15:61" hidden="1">
      <c r="O5689" s="57"/>
      <c r="P5689" s="57"/>
      <c r="AO5689" s="57"/>
      <c r="AP5689" s="57"/>
      <c r="BA5689" s="57"/>
      <c r="BF5689" s="6" t="e">
        <f t="shared" si="264"/>
        <v>#NUM!</v>
      </c>
      <c r="BG5689" t="e">
        <f t="shared" si="265"/>
        <v>#NUM!</v>
      </c>
      <c r="BH5689" t="e">
        <f t="shared" si="266"/>
        <v>#NUM!</v>
      </c>
      <c r="BI5689" t="e">
        <f>VLOOKUP(H5689,Sheet2!$A$1:$B$270,2,FALSE)</f>
        <v>#N/A</v>
      </c>
    </row>
    <row r="5690" spans="15:61" hidden="1">
      <c r="O5690" s="57"/>
      <c r="P5690" s="57"/>
      <c r="AP5690" s="57"/>
      <c r="BA5690" s="57"/>
      <c r="BF5690" s="6" t="e">
        <f t="shared" si="264"/>
        <v>#NUM!</v>
      </c>
      <c r="BG5690" t="e">
        <f t="shared" si="265"/>
        <v>#NUM!</v>
      </c>
      <c r="BH5690" t="e">
        <f t="shared" si="266"/>
        <v>#NUM!</v>
      </c>
      <c r="BI5690" t="e">
        <f>VLOOKUP(H5690,Sheet2!$A$1:$B$270,2,FALSE)</f>
        <v>#N/A</v>
      </c>
    </row>
    <row r="5691" spans="15:61" hidden="1">
      <c r="O5691" s="57"/>
      <c r="P5691" s="57"/>
      <c r="AO5691" s="57"/>
      <c r="BF5691" s="6" t="e">
        <f t="shared" si="264"/>
        <v>#NUM!</v>
      </c>
      <c r="BG5691" t="e">
        <f t="shared" si="265"/>
        <v>#NUM!</v>
      </c>
      <c r="BH5691" t="e">
        <f t="shared" si="266"/>
        <v>#NUM!</v>
      </c>
      <c r="BI5691" t="e">
        <f>VLOOKUP(H5691,Sheet2!$A$1:$B$270,2,FALSE)</f>
        <v>#N/A</v>
      </c>
    </row>
    <row r="5692" spans="15:61" hidden="1">
      <c r="O5692" s="57"/>
      <c r="P5692" s="57"/>
      <c r="AO5692" s="57"/>
      <c r="AP5692" s="57"/>
      <c r="BA5692" s="57"/>
      <c r="BF5692" s="6" t="e">
        <f t="shared" si="264"/>
        <v>#NUM!</v>
      </c>
      <c r="BG5692" t="e">
        <f t="shared" si="265"/>
        <v>#NUM!</v>
      </c>
      <c r="BH5692" t="e">
        <f t="shared" si="266"/>
        <v>#NUM!</v>
      </c>
      <c r="BI5692" t="e">
        <f>VLOOKUP(H5692,Sheet2!$A$1:$B$270,2,FALSE)</f>
        <v>#N/A</v>
      </c>
    </row>
    <row r="5693" spans="15:61" hidden="1">
      <c r="O5693" s="57"/>
      <c r="P5693" s="57"/>
      <c r="BA5693" s="57"/>
      <c r="BF5693" s="6" t="e">
        <f t="shared" si="264"/>
        <v>#NUM!</v>
      </c>
      <c r="BG5693" t="e">
        <f t="shared" si="265"/>
        <v>#NUM!</v>
      </c>
      <c r="BH5693" t="e">
        <f t="shared" si="266"/>
        <v>#NUM!</v>
      </c>
      <c r="BI5693" t="e">
        <f>VLOOKUP(H5693,Sheet2!$A$1:$B$270,2,FALSE)</f>
        <v>#N/A</v>
      </c>
    </row>
    <row r="5694" spans="15:61" hidden="1">
      <c r="O5694" s="57"/>
      <c r="P5694" s="57"/>
      <c r="BA5694" s="57"/>
      <c r="BF5694" s="6" t="e">
        <f t="shared" si="264"/>
        <v>#NUM!</v>
      </c>
      <c r="BG5694" t="e">
        <f t="shared" si="265"/>
        <v>#NUM!</v>
      </c>
      <c r="BH5694" t="e">
        <f t="shared" si="266"/>
        <v>#NUM!</v>
      </c>
      <c r="BI5694" t="e">
        <f>VLOOKUP(H5694,Sheet2!$A$1:$B$270,2,FALSE)</f>
        <v>#N/A</v>
      </c>
    </row>
    <row r="5695" spans="15:61" hidden="1">
      <c r="O5695" s="57"/>
      <c r="P5695" s="57"/>
      <c r="AO5695" s="57"/>
      <c r="BF5695" s="6" t="e">
        <f t="shared" si="264"/>
        <v>#NUM!</v>
      </c>
      <c r="BG5695" t="e">
        <f t="shared" si="265"/>
        <v>#NUM!</v>
      </c>
      <c r="BH5695" t="e">
        <f t="shared" si="266"/>
        <v>#NUM!</v>
      </c>
      <c r="BI5695" t="e">
        <f>VLOOKUP(H5695,Sheet2!$A$1:$B$270,2,FALSE)</f>
        <v>#N/A</v>
      </c>
    </row>
    <row r="5696" spans="15:61" hidden="1">
      <c r="O5696" s="57"/>
      <c r="P5696" s="57"/>
      <c r="AP5696" s="57"/>
      <c r="BA5696" s="57"/>
      <c r="BF5696" s="6" t="e">
        <f t="shared" si="264"/>
        <v>#NUM!</v>
      </c>
      <c r="BG5696" t="e">
        <f t="shared" si="265"/>
        <v>#NUM!</v>
      </c>
      <c r="BH5696" t="e">
        <f t="shared" si="266"/>
        <v>#NUM!</v>
      </c>
      <c r="BI5696" t="e">
        <f>VLOOKUP(H5696,Sheet2!$A$1:$B$270,2,FALSE)</f>
        <v>#N/A</v>
      </c>
    </row>
    <row r="5697" spans="15:61" hidden="1">
      <c r="O5697" s="57"/>
      <c r="P5697" s="57"/>
      <c r="AO5697" s="57"/>
      <c r="BA5697" s="57"/>
      <c r="BF5697" s="6" t="e">
        <f t="shared" si="264"/>
        <v>#NUM!</v>
      </c>
      <c r="BG5697" t="e">
        <f t="shared" si="265"/>
        <v>#NUM!</v>
      </c>
      <c r="BH5697" t="e">
        <f t="shared" si="266"/>
        <v>#NUM!</v>
      </c>
      <c r="BI5697" t="e">
        <f>VLOOKUP(H5697,Sheet2!$A$1:$B$270,2,FALSE)</f>
        <v>#N/A</v>
      </c>
    </row>
    <row r="5698" spans="15:61" hidden="1">
      <c r="O5698" s="57"/>
      <c r="P5698" s="57"/>
      <c r="AO5698" s="57"/>
      <c r="AP5698" s="57"/>
      <c r="BA5698" s="57"/>
      <c r="BF5698" s="6" t="e">
        <f t="shared" ref="BF5698:BF5761" si="267">DATE(BC5698,BD5698,BE5698)</f>
        <v>#NUM!</v>
      </c>
      <c r="BG5698" t="e">
        <f t="shared" ref="BG5698:BG5761" si="268">BF5698-BA5698</f>
        <v>#NUM!</v>
      </c>
      <c r="BH5698" t="e">
        <f t="shared" ref="BH5698:BH5761" si="269">IF(BG5698=1,"COMPLY",IF(BG5698&lt;1,"COMPLY","NOT COMPLY"))</f>
        <v>#NUM!</v>
      </c>
      <c r="BI5698" t="e">
        <f>VLOOKUP(H5698,Sheet2!$A$1:$B$270,2,FALSE)</f>
        <v>#N/A</v>
      </c>
    </row>
    <row r="5699" spans="15:61" hidden="1">
      <c r="O5699" s="57"/>
      <c r="P5699" s="57"/>
      <c r="AO5699" s="57"/>
      <c r="AP5699" s="57"/>
      <c r="BA5699" s="57"/>
      <c r="BF5699" s="6" t="e">
        <f t="shared" si="267"/>
        <v>#NUM!</v>
      </c>
      <c r="BG5699" t="e">
        <f t="shared" si="268"/>
        <v>#NUM!</v>
      </c>
      <c r="BH5699" t="e">
        <f t="shared" si="269"/>
        <v>#NUM!</v>
      </c>
      <c r="BI5699" t="e">
        <f>VLOOKUP(H5699,Sheet2!$A$1:$B$270,2,FALSE)</f>
        <v>#N/A</v>
      </c>
    </row>
    <row r="5700" spans="15:61" hidden="1">
      <c r="O5700" s="57"/>
      <c r="P5700" s="57"/>
      <c r="AP5700" s="57"/>
      <c r="BA5700" s="57"/>
      <c r="BF5700" s="6" t="e">
        <f t="shared" si="267"/>
        <v>#NUM!</v>
      </c>
      <c r="BG5700" t="e">
        <f t="shared" si="268"/>
        <v>#NUM!</v>
      </c>
      <c r="BH5700" t="e">
        <f t="shared" si="269"/>
        <v>#NUM!</v>
      </c>
      <c r="BI5700" t="e">
        <f>VLOOKUP(H5700,Sheet2!$A$1:$B$270,2,FALSE)</f>
        <v>#N/A</v>
      </c>
    </row>
    <row r="5701" spans="15:61" hidden="1">
      <c r="O5701" s="57"/>
      <c r="P5701" s="57"/>
      <c r="AM5701" s="58"/>
      <c r="BA5701" s="57"/>
      <c r="BB5701" s="58"/>
      <c r="BF5701" s="6" t="e">
        <f t="shared" si="267"/>
        <v>#NUM!</v>
      </c>
      <c r="BG5701" t="e">
        <f t="shared" si="268"/>
        <v>#NUM!</v>
      </c>
      <c r="BH5701" t="e">
        <f t="shared" si="269"/>
        <v>#NUM!</v>
      </c>
      <c r="BI5701" t="e">
        <f>VLOOKUP(H5701,Sheet2!$A$1:$B$270,2,FALSE)</f>
        <v>#N/A</v>
      </c>
    </row>
    <row r="5702" spans="15:61" hidden="1">
      <c r="O5702" s="57"/>
      <c r="P5702" s="57"/>
      <c r="AP5702" s="57"/>
      <c r="BA5702" s="57"/>
      <c r="BF5702" s="6" t="e">
        <f t="shared" si="267"/>
        <v>#NUM!</v>
      </c>
      <c r="BG5702" t="e">
        <f t="shared" si="268"/>
        <v>#NUM!</v>
      </c>
      <c r="BH5702" t="e">
        <f t="shared" si="269"/>
        <v>#NUM!</v>
      </c>
      <c r="BI5702" t="e">
        <f>VLOOKUP(H5702,Sheet2!$A$1:$B$270,2,FALSE)</f>
        <v>#N/A</v>
      </c>
    </row>
    <row r="5703" spans="15:61" hidden="1">
      <c r="O5703" s="57"/>
      <c r="P5703" s="57"/>
      <c r="AP5703" s="57"/>
      <c r="BA5703" s="57"/>
      <c r="BF5703" s="6" t="e">
        <f t="shared" si="267"/>
        <v>#NUM!</v>
      </c>
      <c r="BG5703" t="e">
        <f t="shared" si="268"/>
        <v>#NUM!</v>
      </c>
      <c r="BH5703" t="e">
        <f t="shared" si="269"/>
        <v>#NUM!</v>
      </c>
      <c r="BI5703" t="e">
        <f>VLOOKUP(H5703,Sheet2!$A$1:$B$270,2,FALSE)</f>
        <v>#N/A</v>
      </c>
    </row>
    <row r="5704" spans="15:61" hidden="1">
      <c r="O5704" s="57"/>
      <c r="P5704" s="57"/>
      <c r="AO5704" s="57"/>
      <c r="BA5704" s="57"/>
      <c r="BF5704" s="6" t="e">
        <f t="shared" si="267"/>
        <v>#NUM!</v>
      </c>
      <c r="BG5704" t="e">
        <f t="shared" si="268"/>
        <v>#NUM!</v>
      </c>
      <c r="BH5704" t="e">
        <f t="shared" si="269"/>
        <v>#NUM!</v>
      </c>
      <c r="BI5704" t="e">
        <f>VLOOKUP(H5704,Sheet2!$A$1:$B$270,2,FALSE)</f>
        <v>#N/A</v>
      </c>
    </row>
    <row r="5705" spans="15:61" hidden="1">
      <c r="O5705" s="57"/>
      <c r="P5705" s="57"/>
      <c r="AO5705" s="57"/>
      <c r="AP5705" s="57"/>
      <c r="BA5705" s="57"/>
      <c r="BF5705" s="6" t="e">
        <f t="shared" si="267"/>
        <v>#NUM!</v>
      </c>
      <c r="BG5705" t="e">
        <f t="shared" si="268"/>
        <v>#NUM!</v>
      </c>
      <c r="BH5705" t="e">
        <f t="shared" si="269"/>
        <v>#NUM!</v>
      </c>
      <c r="BI5705" t="e">
        <f>VLOOKUP(H5705,Sheet2!$A$1:$B$270,2,FALSE)</f>
        <v>#N/A</v>
      </c>
    </row>
    <row r="5706" spans="15:61" hidden="1">
      <c r="O5706" s="57"/>
      <c r="P5706" s="57"/>
      <c r="AP5706" s="57"/>
      <c r="BA5706" s="57"/>
      <c r="BF5706" s="6" t="e">
        <f t="shared" si="267"/>
        <v>#NUM!</v>
      </c>
      <c r="BG5706" t="e">
        <f t="shared" si="268"/>
        <v>#NUM!</v>
      </c>
      <c r="BH5706" t="e">
        <f t="shared" si="269"/>
        <v>#NUM!</v>
      </c>
      <c r="BI5706" t="e">
        <f>VLOOKUP(H5706,Sheet2!$A$1:$B$270,2,FALSE)</f>
        <v>#N/A</v>
      </c>
    </row>
    <row r="5707" spans="15:61" hidden="1">
      <c r="O5707" s="57"/>
      <c r="P5707" s="57"/>
      <c r="AO5707" s="57"/>
      <c r="AP5707" s="57"/>
      <c r="BA5707" s="57"/>
      <c r="BF5707" s="6" t="e">
        <f t="shared" si="267"/>
        <v>#NUM!</v>
      </c>
      <c r="BG5707" t="e">
        <f t="shared" si="268"/>
        <v>#NUM!</v>
      </c>
      <c r="BH5707" t="e">
        <f t="shared" si="269"/>
        <v>#NUM!</v>
      </c>
      <c r="BI5707" t="e">
        <f>VLOOKUP(H5707,Sheet2!$A$1:$B$270,2,FALSE)</f>
        <v>#N/A</v>
      </c>
    </row>
    <row r="5708" spans="15:61" hidden="1">
      <c r="O5708" s="57"/>
      <c r="P5708" s="57"/>
      <c r="AP5708" s="57"/>
      <c r="BA5708" s="57"/>
      <c r="BF5708" s="6" t="e">
        <f t="shared" si="267"/>
        <v>#NUM!</v>
      </c>
      <c r="BG5708" t="e">
        <f t="shared" si="268"/>
        <v>#NUM!</v>
      </c>
      <c r="BH5708" t="e">
        <f t="shared" si="269"/>
        <v>#NUM!</v>
      </c>
      <c r="BI5708" t="e">
        <f>VLOOKUP(H5708,Sheet2!$A$1:$B$270,2,FALSE)</f>
        <v>#N/A</v>
      </c>
    </row>
    <row r="5709" spans="15:61" hidden="1">
      <c r="O5709" s="57"/>
      <c r="P5709" s="57"/>
      <c r="AP5709" s="57"/>
      <c r="BA5709" s="57"/>
      <c r="BF5709" s="6" t="e">
        <f t="shared" si="267"/>
        <v>#NUM!</v>
      </c>
      <c r="BG5709" t="e">
        <f t="shared" si="268"/>
        <v>#NUM!</v>
      </c>
      <c r="BH5709" t="e">
        <f t="shared" si="269"/>
        <v>#NUM!</v>
      </c>
      <c r="BI5709" t="e">
        <f>VLOOKUP(H5709,Sheet2!$A$1:$B$270,2,FALSE)</f>
        <v>#N/A</v>
      </c>
    </row>
    <row r="5710" spans="15:61" hidden="1">
      <c r="O5710" s="57"/>
      <c r="P5710" s="57"/>
      <c r="BF5710" s="6" t="e">
        <f t="shared" si="267"/>
        <v>#NUM!</v>
      </c>
      <c r="BG5710" t="e">
        <f t="shared" si="268"/>
        <v>#NUM!</v>
      </c>
      <c r="BH5710" t="e">
        <f t="shared" si="269"/>
        <v>#NUM!</v>
      </c>
      <c r="BI5710" t="e">
        <f>VLOOKUP(H5710,Sheet2!$A$1:$B$270,2,FALSE)</f>
        <v>#N/A</v>
      </c>
    </row>
    <row r="5711" spans="15:61" hidden="1">
      <c r="O5711" s="57"/>
      <c r="P5711" s="57"/>
      <c r="AP5711" s="57"/>
      <c r="BA5711" s="57"/>
      <c r="BF5711" s="6" t="e">
        <f t="shared" si="267"/>
        <v>#NUM!</v>
      </c>
      <c r="BG5711" t="e">
        <f t="shared" si="268"/>
        <v>#NUM!</v>
      </c>
      <c r="BH5711" t="e">
        <f t="shared" si="269"/>
        <v>#NUM!</v>
      </c>
      <c r="BI5711" t="e">
        <f>VLOOKUP(H5711,Sheet2!$A$1:$B$270,2,FALSE)</f>
        <v>#N/A</v>
      </c>
    </row>
    <row r="5712" spans="15:61" hidden="1">
      <c r="O5712" s="57"/>
      <c r="P5712" s="57"/>
      <c r="AP5712" s="57"/>
      <c r="BA5712" s="57"/>
      <c r="BF5712" s="6" t="e">
        <f t="shared" si="267"/>
        <v>#NUM!</v>
      </c>
      <c r="BG5712" t="e">
        <f t="shared" si="268"/>
        <v>#NUM!</v>
      </c>
      <c r="BH5712" t="e">
        <f t="shared" si="269"/>
        <v>#NUM!</v>
      </c>
      <c r="BI5712" t="e">
        <f>VLOOKUP(H5712,Sheet2!$A$1:$B$270,2,FALSE)</f>
        <v>#N/A</v>
      </c>
    </row>
    <row r="5713" spans="15:61" hidden="1">
      <c r="O5713" s="57"/>
      <c r="P5713" s="57"/>
      <c r="BA5713" s="57"/>
      <c r="BF5713" s="6" t="e">
        <f t="shared" si="267"/>
        <v>#NUM!</v>
      </c>
      <c r="BG5713" t="e">
        <f t="shared" si="268"/>
        <v>#NUM!</v>
      </c>
      <c r="BH5713" t="e">
        <f t="shared" si="269"/>
        <v>#NUM!</v>
      </c>
      <c r="BI5713" t="e">
        <f>VLOOKUP(H5713,Sheet2!$A$1:$B$270,2,FALSE)</f>
        <v>#N/A</v>
      </c>
    </row>
    <row r="5714" spans="15:61" hidden="1">
      <c r="O5714" s="57"/>
      <c r="P5714" s="57"/>
      <c r="BA5714" s="57"/>
      <c r="BF5714" s="6" t="e">
        <f t="shared" si="267"/>
        <v>#NUM!</v>
      </c>
      <c r="BG5714" t="e">
        <f t="shared" si="268"/>
        <v>#NUM!</v>
      </c>
      <c r="BH5714" t="e">
        <f t="shared" si="269"/>
        <v>#NUM!</v>
      </c>
      <c r="BI5714" t="e">
        <f>VLOOKUP(H5714,Sheet2!$A$1:$B$270,2,FALSE)</f>
        <v>#N/A</v>
      </c>
    </row>
    <row r="5715" spans="15:61" hidden="1">
      <c r="O5715" s="57"/>
      <c r="P5715" s="57"/>
      <c r="AO5715" s="57"/>
      <c r="AP5715" s="57"/>
      <c r="BA5715" s="57"/>
      <c r="BF5715" s="6" t="e">
        <f t="shared" si="267"/>
        <v>#NUM!</v>
      </c>
      <c r="BG5715" t="e">
        <f t="shared" si="268"/>
        <v>#NUM!</v>
      </c>
      <c r="BH5715" t="e">
        <f t="shared" si="269"/>
        <v>#NUM!</v>
      </c>
      <c r="BI5715" t="e">
        <f>VLOOKUP(H5715,Sheet2!$A$1:$B$270,2,FALSE)</f>
        <v>#N/A</v>
      </c>
    </row>
    <row r="5716" spans="15:61" hidden="1">
      <c r="O5716" s="57"/>
      <c r="P5716" s="57"/>
      <c r="AP5716" s="57"/>
      <c r="BA5716" s="57"/>
      <c r="BF5716" s="6" t="e">
        <f t="shared" si="267"/>
        <v>#NUM!</v>
      </c>
      <c r="BG5716" t="e">
        <f t="shared" si="268"/>
        <v>#NUM!</v>
      </c>
      <c r="BH5716" t="e">
        <f t="shared" si="269"/>
        <v>#NUM!</v>
      </c>
      <c r="BI5716" t="e">
        <f>VLOOKUP(H5716,Sheet2!$A$1:$B$270,2,FALSE)</f>
        <v>#N/A</v>
      </c>
    </row>
    <row r="5717" spans="15:61" hidden="1">
      <c r="O5717" s="57"/>
      <c r="P5717" s="57"/>
      <c r="AM5717" s="58"/>
      <c r="AO5717" s="57"/>
      <c r="BA5717" s="57"/>
      <c r="BB5717" s="58"/>
      <c r="BF5717" s="6" t="e">
        <f t="shared" si="267"/>
        <v>#NUM!</v>
      </c>
      <c r="BG5717" t="e">
        <f t="shared" si="268"/>
        <v>#NUM!</v>
      </c>
      <c r="BH5717" t="e">
        <f t="shared" si="269"/>
        <v>#NUM!</v>
      </c>
      <c r="BI5717" t="e">
        <f>VLOOKUP(H5717,Sheet2!$A$1:$B$270,2,FALSE)</f>
        <v>#N/A</v>
      </c>
    </row>
    <row r="5718" spans="15:61" hidden="1">
      <c r="O5718" s="57"/>
      <c r="P5718" s="57"/>
      <c r="AP5718" s="57"/>
      <c r="BA5718" s="57"/>
      <c r="BF5718" s="6" t="e">
        <f t="shared" si="267"/>
        <v>#NUM!</v>
      </c>
      <c r="BG5718" t="e">
        <f t="shared" si="268"/>
        <v>#NUM!</v>
      </c>
      <c r="BH5718" t="e">
        <f t="shared" si="269"/>
        <v>#NUM!</v>
      </c>
      <c r="BI5718" t="e">
        <f>VLOOKUP(H5718,Sheet2!$A$1:$B$270,2,FALSE)</f>
        <v>#N/A</v>
      </c>
    </row>
    <row r="5719" spans="15:61" hidden="1">
      <c r="O5719" s="57"/>
      <c r="P5719" s="57"/>
      <c r="AP5719" s="57"/>
      <c r="BA5719" s="57"/>
      <c r="BF5719" s="6" t="e">
        <f t="shared" si="267"/>
        <v>#NUM!</v>
      </c>
      <c r="BG5719" t="e">
        <f t="shared" si="268"/>
        <v>#NUM!</v>
      </c>
      <c r="BH5719" t="e">
        <f t="shared" si="269"/>
        <v>#NUM!</v>
      </c>
      <c r="BI5719" t="e">
        <f>VLOOKUP(H5719,Sheet2!$A$1:$B$270,2,FALSE)</f>
        <v>#N/A</v>
      </c>
    </row>
    <row r="5720" spans="15:61" hidden="1">
      <c r="O5720" s="57"/>
      <c r="P5720" s="57"/>
      <c r="AP5720" s="57"/>
      <c r="BA5720" s="57"/>
      <c r="BF5720" s="6" t="e">
        <f t="shared" si="267"/>
        <v>#NUM!</v>
      </c>
      <c r="BG5720" t="e">
        <f t="shared" si="268"/>
        <v>#NUM!</v>
      </c>
      <c r="BH5720" t="e">
        <f t="shared" si="269"/>
        <v>#NUM!</v>
      </c>
      <c r="BI5720" t="e">
        <f>VLOOKUP(H5720,Sheet2!$A$1:$B$270,2,FALSE)</f>
        <v>#N/A</v>
      </c>
    </row>
    <row r="5721" spans="15:61" hidden="1">
      <c r="O5721" s="57"/>
      <c r="P5721" s="57"/>
      <c r="AO5721" s="57"/>
      <c r="AP5721" s="57"/>
      <c r="BA5721" s="57"/>
      <c r="BF5721" s="6" t="e">
        <f t="shared" si="267"/>
        <v>#NUM!</v>
      </c>
      <c r="BG5721" t="e">
        <f t="shared" si="268"/>
        <v>#NUM!</v>
      </c>
      <c r="BH5721" t="e">
        <f t="shared" si="269"/>
        <v>#NUM!</v>
      </c>
      <c r="BI5721" t="e">
        <f>VLOOKUP(H5721,Sheet2!$A$1:$B$270,2,FALSE)</f>
        <v>#N/A</v>
      </c>
    </row>
    <row r="5722" spans="15:61" hidden="1">
      <c r="O5722" s="57"/>
      <c r="P5722" s="57"/>
      <c r="AO5722" s="57"/>
      <c r="AP5722" s="57"/>
      <c r="BA5722" s="57"/>
      <c r="BF5722" s="6" t="e">
        <f t="shared" si="267"/>
        <v>#NUM!</v>
      </c>
      <c r="BG5722" t="e">
        <f t="shared" si="268"/>
        <v>#NUM!</v>
      </c>
      <c r="BH5722" t="e">
        <f t="shared" si="269"/>
        <v>#NUM!</v>
      </c>
      <c r="BI5722" t="e">
        <f>VLOOKUP(H5722,Sheet2!$A$1:$B$270,2,FALSE)</f>
        <v>#N/A</v>
      </c>
    </row>
    <row r="5723" spans="15:61" hidden="1">
      <c r="O5723" s="57"/>
      <c r="P5723" s="57"/>
      <c r="AP5723" s="57"/>
      <c r="BA5723" s="57"/>
      <c r="BF5723" s="6" t="e">
        <f t="shared" si="267"/>
        <v>#NUM!</v>
      </c>
      <c r="BG5723" t="e">
        <f t="shared" si="268"/>
        <v>#NUM!</v>
      </c>
      <c r="BH5723" t="e">
        <f t="shared" si="269"/>
        <v>#NUM!</v>
      </c>
      <c r="BI5723" t="e">
        <f>VLOOKUP(H5723,Sheet2!$A$1:$B$270,2,FALSE)</f>
        <v>#N/A</v>
      </c>
    </row>
    <row r="5724" spans="15:61" hidden="1">
      <c r="O5724" s="57"/>
      <c r="P5724" s="57"/>
      <c r="BA5724" s="57"/>
      <c r="BF5724" s="6" t="e">
        <f t="shared" si="267"/>
        <v>#NUM!</v>
      </c>
      <c r="BG5724" t="e">
        <f t="shared" si="268"/>
        <v>#NUM!</v>
      </c>
      <c r="BH5724" t="e">
        <f t="shared" si="269"/>
        <v>#NUM!</v>
      </c>
      <c r="BI5724" t="e">
        <f>VLOOKUP(H5724,Sheet2!$A$1:$B$270,2,FALSE)</f>
        <v>#N/A</v>
      </c>
    </row>
    <row r="5725" spans="15:61" hidden="1">
      <c r="O5725" s="57"/>
      <c r="P5725" s="57"/>
      <c r="AM5725" s="58"/>
      <c r="AO5725" s="57"/>
      <c r="BA5725" s="57"/>
      <c r="BB5725" s="58"/>
      <c r="BF5725" s="6" t="e">
        <f t="shared" si="267"/>
        <v>#NUM!</v>
      </c>
      <c r="BG5725" t="e">
        <f t="shared" si="268"/>
        <v>#NUM!</v>
      </c>
      <c r="BH5725" t="e">
        <f t="shared" si="269"/>
        <v>#NUM!</v>
      </c>
      <c r="BI5725" t="e">
        <f>VLOOKUP(H5725,Sheet2!$A$1:$B$270,2,FALSE)</f>
        <v>#N/A</v>
      </c>
    </row>
    <row r="5726" spans="15:61" hidden="1">
      <c r="O5726" s="57"/>
      <c r="P5726" s="57"/>
      <c r="AP5726" s="57"/>
      <c r="BA5726" s="57"/>
      <c r="BF5726" s="6" t="e">
        <f t="shared" si="267"/>
        <v>#NUM!</v>
      </c>
      <c r="BG5726" t="e">
        <f t="shared" si="268"/>
        <v>#NUM!</v>
      </c>
      <c r="BH5726" t="e">
        <f t="shared" si="269"/>
        <v>#NUM!</v>
      </c>
      <c r="BI5726" t="e">
        <f>VLOOKUP(H5726,Sheet2!$A$1:$B$270,2,FALSE)</f>
        <v>#N/A</v>
      </c>
    </row>
    <row r="5727" spans="15:61" hidden="1">
      <c r="O5727" s="57"/>
      <c r="P5727" s="57"/>
      <c r="AO5727" s="57"/>
      <c r="AP5727" s="57"/>
      <c r="BA5727" s="57"/>
      <c r="BF5727" s="6" t="e">
        <f t="shared" si="267"/>
        <v>#NUM!</v>
      </c>
      <c r="BG5727" t="e">
        <f t="shared" si="268"/>
        <v>#NUM!</v>
      </c>
      <c r="BH5727" t="e">
        <f t="shared" si="269"/>
        <v>#NUM!</v>
      </c>
      <c r="BI5727" t="e">
        <f>VLOOKUP(H5727,Sheet2!$A$1:$B$270,2,FALSE)</f>
        <v>#N/A</v>
      </c>
    </row>
    <row r="5728" spans="15:61" hidden="1">
      <c r="O5728" s="57"/>
      <c r="P5728" s="57"/>
      <c r="AP5728" s="57"/>
      <c r="BA5728" s="57"/>
      <c r="BF5728" s="6" t="e">
        <f t="shared" si="267"/>
        <v>#NUM!</v>
      </c>
      <c r="BG5728" t="e">
        <f t="shared" si="268"/>
        <v>#NUM!</v>
      </c>
      <c r="BH5728" t="e">
        <f t="shared" si="269"/>
        <v>#NUM!</v>
      </c>
      <c r="BI5728" t="e">
        <f>VLOOKUP(H5728,Sheet2!$A$1:$B$270,2,FALSE)</f>
        <v>#N/A</v>
      </c>
    </row>
    <row r="5729" spans="15:61" hidden="1">
      <c r="O5729" s="57"/>
      <c r="P5729" s="57"/>
      <c r="AP5729" s="57"/>
      <c r="BA5729" s="57"/>
      <c r="BF5729" s="6" t="e">
        <f t="shared" si="267"/>
        <v>#NUM!</v>
      </c>
      <c r="BG5729" t="e">
        <f t="shared" si="268"/>
        <v>#NUM!</v>
      </c>
      <c r="BH5729" t="e">
        <f t="shared" si="269"/>
        <v>#NUM!</v>
      </c>
      <c r="BI5729" t="e">
        <f>VLOOKUP(H5729,Sheet2!$A$1:$B$270,2,FALSE)</f>
        <v>#N/A</v>
      </c>
    </row>
    <row r="5730" spans="15:61" hidden="1">
      <c r="O5730" s="57"/>
      <c r="P5730" s="57"/>
      <c r="AP5730" s="57"/>
      <c r="BA5730" s="57"/>
      <c r="BF5730" s="6" t="e">
        <f t="shared" si="267"/>
        <v>#NUM!</v>
      </c>
      <c r="BG5730" t="e">
        <f t="shared" si="268"/>
        <v>#NUM!</v>
      </c>
      <c r="BH5730" t="e">
        <f t="shared" si="269"/>
        <v>#NUM!</v>
      </c>
      <c r="BI5730" t="e">
        <f>VLOOKUP(H5730,Sheet2!$A$1:$B$270,2,FALSE)</f>
        <v>#N/A</v>
      </c>
    </row>
    <row r="5731" spans="15:61" hidden="1">
      <c r="O5731" s="57"/>
      <c r="P5731" s="57"/>
      <c r="AM5731" s="58"/>
      <c r="BA5731" s="57"/>
      <c r="BB5731" s="58"/>
      <c r="BF5731" s="6" t="e">
        <f t="shared" si="267"/>
        <v>#NUM!</v>
      </c>
      <c r="BG5731" t="e">
        <f t="shared" si="268"/>
        <v>#NUM!</v>
      </c>
      <c r="BH5731" t="e">
        <f t="shared" si="269"/>
        <v>#NUM!</v>
      </c>
      <c r="BI5731" t="e">
        <f>VLOOKUP(H5731,Sheet2!$A$1:$B$270,2,FALSE)</f>
        <v>#N/A</v>
      </c>
    </row>
    <row r="5732" spans="15:61" hidden="1">
      <c r="O5732" s="57"/>
      <c r="P5732" s="57"/>
      <c r="AP5732" s="57"/>
      <c r="BA5732" s="57"/>
      <c r="BF5732" s="6" t="e">
        <f t="shared" si="267"/>
        <v>#NUM!</v>
      </c>
      <c r="BG5732" t="e">
        <f t="shared" si="268"/>
        <v>#NUM!</v>
      </c>
      <c r="BH5732" t="e">
        <f t="shared" si="269"/>
        <v>#NUM!</v>
      </c>
      <c r="BI5732" t="e">
        <f>VLOOKUP(H5732,Sheet2!$A$1:$B$270,2,FALSE)</f>
        <v>#N/A</v>
      </c>
    </row>
    <row r="5733" spans="15:61" hidden="1">
      <c r="O5733" s="57"/>
      <c r="P5733" s="57"/>
      <c r="AO5733" s="57"/>
      <c r="AP5733" s="57"/>
      <c r="BA5733" s="57"/>
      <c r="BF5733" s="6" t="e">
        <f t="shared" si="267"/>
        <v>#NUM!</v>
      </c>
      <c r="BG5733" t="e">
        <f t="shared" si="268"/>
        <v>#NUM!</v>
      </c>
      <c r="BH5733" t="e">
        <f t="shared" si="269"/>
        <v>#NUM!</v>
      </c>
      <c r="BI5733" t="e">
        <f>VLOOKUP(H5733,Sheet2!$A$1:$B$270,2,FALSE)</f>
        <v>#N/A</v>
      </c>
    </row>
    <row r="5734" spans="15:61" hidden="1">
      <c r="O5734" s="57"/>
      <c r="P5734" s="57"/>
      <c r="AO5734" s="57"/>
      <c r="AP5734" s="57"/>
      <c r="BA5734" s="57"/>
      <c r="BF5734" s="6" t="e">
        <f t="shared" si="267"/>
        <v>#NUM!</v>
      </c>
      <c r="BG5734" t="e">
        <f t="shared" si="268"/>
        <v>#NUM!</v>
      </c>
      <c r="BH5734" t="e">
        <f t="shared" si="269"/>
        <v>#NUM!</v>
      </c>
      <c r="BI5734" t="e">
        <f>VLOOKUP(H5734,Sheet2!$A$1:$B$270,2,FALSE)</f>
        <v>#N/A</v>
      </c>
    </row>
    <row r="5735" spans="15:61" hidden="1">
      <c r="O5735" s="57"/>
      <c r="P5735" s="57"/>
      <c r="AP5735" s="57"/>
      <c r="BA5735" s="57"/>
      <c r="BF5735" s="6" t="e">
        <f t="shared" si="267"/>
        <v>#NUM!</v>
      </c>
      <c r="BG5735" t="e">
        <f t="shared" si="268"/>
        <v>#NUM!</v>
      </c>
      <c r="BH5735" t="e">
        <f t="shared" si="269"/>
        <v>#NUM!</v>
      </c>
      <c r="BI5735" t="e">
        <f>VLOOKUP(H5735,Sheet2!$A$1:$B$270,2,FALSE)</f>
        <v>#N/A</v>
      </c>
    </row>
    <row r="5736" spans="15:61" hidden="1">
      <c r="O5736" s="57"/>
      <c r="P5736" s="57"/>
      <c r="AP5736" s="57"/>
      <c r="BA5736" s="57"/>
      <c r="BF5736" s="6" t="e">
        <f t="shared" si="267"/>
        <v>#NUM!</v>
      </c>
      <c r="BG5736" t="e">
        <f t="shared" si="268"/>
        <v>#NUM!</v>
      </c>
      <c r="BH5736" t="e">
        <f t="shared" si="269"/>
        <v>#NUM!</v>
      </c>
      <c r="BI5736" t="e">
        <f>VLOOKUP(H5736,Sheet2!$A$1:$B$270,2,FALSE)</f>
        <v>#N/A</v>
      </c>
    </row>
    <row r="5737" spans="15:61" hidden="1">
      <c r="O5737" s="57"/>
      <c r="P5737" s="57"/>
      <c r="AP5737" s="57"/>
      <c r="BA5737" s="57"/>
      <c r="BF5737" s="6" t="e">
        <f t="shared" si="267"/>
        <v>#NUM!</v>
      </c>
      <c r="BG5737" t="e">
        <f t="shared" si="268"/>
        <v>#NUM!</v>
      </c>
      <c r="BH5737" t="e">
        <f t="shared" si="269"/>
        <v>#NUM!</v>
      </c>
      <c r="BI5737" t="e">
        <f>VLOOKUP(H5737,Sheet2!$A$1:$B$270,2,FALSE)</f>
        <v>#N/A</v>
      </c>
    </row>
    <row r="5738" spans="15:61" hidden="1">
      <c r="O5738" s="57"/>
      <c r="P5738" s="57"/>
      <c r="AO5738" s="57"/>
      <c r="AP5738" s="57"/>
      <c r="BA5738" s="57"/>
      <c r="BF5738" s="6" t="e">
        <f t="shared" si="267"/>
        <v>#NUM!</v>
      </c>
      <c r="BG5738" t="e">
        <f t="shared" si="268"/>
        <v>#NUM!</v>
      </c>
      <c r="BH5738" t="e">
        <f t="shared" si="269"/>
        <v>#NUM!</v>
      </c>
      <c r="BI5738" t="e">
        <f>VLOOKUP(H5738,Sheet2!$A$1:$B$270,2,FALSE)</f>
        <v>#N/A</v>
      </c>
    </row>
    <row r="5739" spans="15:61" hidden="1">
      <c r="O5739" s="57"/>
      <c r="P5739" s="57"/>
      <c r="AO5739" s="57"/>
      <c r="AP5739" s="57"/>
      <c r="BA5739" s="57"/>
      <c r="BF5739" s="6" t="e">
        <f t="shared" si="267"/>
        <v>#NUM!</v>
      </c>
      <c r="BG5739" t="e">
        <f t="shared" si="268"/>
        <v>#NUM!</v>
      </c>
      <c r="BH5739" t="e">
        <f t="shared" si="269"/>
        <v>#NUM!</v>
      </c>
      <c r="BI5739" t="e">
        <f>VLOOKUP(H5739,Sheet2!$A$1:$B$270,2,FALSE)</f>
        <v>#N/A</v>
      </c>
    </row>
    <row r="5740" spans="15:61" hidden="1">
      <c r="O5740" s="57"/>
      <c r="P5740" s="57"/>
      <c r="AO5740" s="57"/>
      <c r="AP5740" s="57"/>
      <c r="BA5740" s="57"/>
      <c r="BF5740" s="6" t="e">
        <f t="shared" si="267"/>
        <v>#NUM!</v>
      </c>
      <c r="BG5740" t="e">
        <f t="shared" si="268"/>
        <v>#NUM!</v>
      </c>
      <c r="BH5740" t="e">
        <f t="shared" si="269"/>
        <v>#NUM!</v>
      </c>
      <c r="BI5740" t="e">
        <f>VLOOKUP(H5740,Sheet2!$A$1:$B$270,2,FALSE)</f>
        <v>#N/A</v>
      </c>
    </row>
    <row r="5741" spans="15:61" hidden="1">
      <c r="O5741" s="57"/>
      <c r="P5741" s="57"/>
      <c r="BA5741" s="57"/>
      <c r="BF5741" s="6" t="e">
        <f t="shared" si="267"/>
        <v>#NUM!</v>
      </c>
      <c r="BG5741" t="e">
        <f t="shared" si="268"/>
        <v>#NUM!</v>
      </c>
      <c r="BH5741" t="e">
        <f t="shared" si="269"/>
        <v>#NUM!</v>
      </c>
      <c r="BI5741" t="e">
        <f>VLOOKUP(H5741,Sheet2!$A$1:$B$270,2,FALSE)</f>
        <v>#N/A</v>
      </c>
    </row>
    <row r="5742" spans="15:61" hidden="1">
      <c r="O5742" s="57"/>
      <c r="P5742" s="57"/>
      <c r="AM5742" s="58"/>
      <c r="BA5742" s="57"/>
      <c r="BB5742" s="58"/>
      <c r="BF5742" s="6" t="e">
        <f t="shared" si="267"/>
        <v>#NUM!</v>
      </c>
      <c r="BG5742" t="e">
        <f t="shared" si="268"/>
        <v>#NUM!</v>
      </c>
      <c r="BH5742" t="e">
        <f t="shared" si="269"/>
        <v>#NUM!</v>
      </c>
      <c r="BI5742" t="e">
        <f>VLOOKUP(H5742,Sheet2!$A$1:$B$270,2,FALSE)</f>
        <v>#N/A</v>
      </c>
    </row>
    <row r="5743" spans="15:61" hidden="1">
      <c r="O5743" s="57"/>
      <c r="P5743" s="57"/>
      <c r="AP5743" s="57"/>
      <c r="BA5743" s="57"/>
      <c r="BF5743" s="6" t="e">
        <f t="shared" si="267"/>
        <v>#NUM!</v>
      </c>
      <c r="BG5743" t="e">
        <f t="shared" si="268"/>
        <v>#NUM!</v>
      </c>
      <c r="BH5743" t="e">
        <f t="shared" si="269"/>
        <v>#NUM!</v>
      </c>
      <c r="BI5743" t="e">
        <f>VLOOKUP(H5743,Sheet2!$A$1:$B$270,2,FALSE)</f>
        <v>#N/A</v>
      </c>
    </row>
    <row r="5744" spans="15:61" hidden="1">
      <c r="O5744" s="57"/>
      <c r="P5744" s="57"/>
      <c r="AP5744" s="57"/>
      <c r="BA5744" s="57"/>
      <c r="BF5744" s="6" t="e">
        <f t="shared" si="267"/>
        <v>#NUM!</v>
      </c>
      <c r="BG5744" t="e">
        <f t="shared" si="268"/>
        <v>#NUM!</v>
      </c>
      <c r="BH5744" t="e">
        <f t="shared" si="269"/>
        <v>#NUM!</v>
      </c>
      <c r="BI5744" t="e">
        <f>VLOOKUP(H5744,Sheet2!$A$1:$B$270,2,FALSE)</f>
        <v>#N/A</v>
      </c>
    </row>
    <row r="5745" spans="15:61" hidden="1">
      <c r="O5745" s="57"/>
      <c r="P5745" s="57"/>
      <c r="AM5745" s="58"/>
      <c r="AO5745" s="57"/>
      <c r="BA5745" s="57"/>
      <c r="BB5745" s="58"/>
      <c r="BF5745" s="6" t="e">
        <f t="shared" si="267"/>
        <v>#NUM!</v>
      </c>
      <c r="BG5745" t="e">
        <f t="shared" si="268"/>
        <v>#NUM!</v>
      </c>
      <c r="BH5745" t="e">
        <f t="shared" si="269"/>
        <v>#NUM!</v>
      </c>
      <c r="BI5745" t="e">
        <f>VLOOKUP(H5745,Sheet2!$A$1:$B$270,2,FALSE)</f>
        <v>#N/A</v>
      </c>
    </row>
    <row r="5746" spans="15:61" hidden="1">
      <c r="O5746" s="57"/>
      <c r="P5746" s="57"/>
      <c r="AO5746" s="57"/>
      <c r="AP5746" s="57"/>
      <c r="BA5746" s="57"/>
      <c r="BF5746" s="6" t="e">
        <f t="shared" si="267"/>
        <v>#NUM!</v>
      </c>
      <c r="BG5746" t="e">
        <f t="shared" si="268"/>
        <v>#NUM!</v>
      </c>
      <c r="BH5746" t="e">
        <f t="shared" si="269"/>
        <v>#NUM!</v>
      </c>
      <c r="BI5746" t="e">
        <f>VLOOKUP(H5746,Sheet2!$A$1:$B$270,2,FALSE)</f>
        <v>#N/A</v>
      </c>
    </row>
    <row r="5747" spans="15:61" hidden="1">
      <c r="O5747" s="57"/>
      <c r="P5747" s="57"/>
      <c r="AM5747" s="58"/>
      <c r="BA5747" s="57"/>
      <c r="BB5747" s="58"/>
      <c r="BF5747" s="6" t="e">
        <f t="shared" si="267"/>
        <v>#NUM!</v>
      </c>
      <c r="BG5747" t="e">
        <f t="shared" si="268"/>
        <v>#NUM!</v>
      </c>
      <c r="BH5747" t="e">
        <f t="shared" si="269"/>
        <v>#NUM!</v>
      </c>
      <c r="BI5747" t="e">
        <f>VLOOKUP(H5747,Sheet2!$A$1:$B$270,2,FALSE)</f>
        <v>#N/A</v>
      </c>
    </row>
    <row r="5748" spans="15:61" hidden="1">
      <c r="O5748" s="57"/>
      <c r="P5748" s="57"/>
      <c r="AP5748" s="57"/>
      <c r="BA5748" s="57"/>
      <c r="BF5748" s="6" t="e">
        <f t="shared" si="267"/>
        <v>#NUM!</v>
      </c>
      <c r="BG5748" t="e">
        <f t="shared" si="268"/>
        <v>#NUM!</v>
      </c>
      <c r="BH5748" t="e">
        <f t="shared" si="269"/>
        <v>#NUM!</v>
      </c>
      <c r="BI5748" t="e">
        <f>VLOOKUP(H5748,Sheet2!$A$1:$B$270,2,FALSE)</f>
        <v>#N/A</v>
      </c>
    </row>
    <row r="5749" spans="15:61" hidden="1">
      <c r="O5749" s="57"/>
      <c r="P5749" s="57"/>
      <c r="AP5749" s="57"/>
      <c r="BA5749" s="57"/>
      <c r="BF5749" s="6" t="e">
        <f t="shared" si="267"/>
        <v>#NUM!</v>
      </c>
      <c r="BG5749" t="e">
        <f t="shared" si="268"/>
        <v>#NUM!</v>
      </c>
      <c r="BH5749" t="e">
        <f t="shared" si="269"/>
        <v>#NUM!</v>
      </c>
      <c r="BI5749" t="e">
        <f>VLOOKUP(H5749,Sheet2!$A$1:$B$270,2,FALSE)</f>
        <v>#N/A</v>
      </c>
    </row>
    <row r="5750" spans="15:61" hidden="1">
      <c r="O5750" s="57"/>
      <c r="P5750" s="57"/>
      <c r="AP5750" s="57"/>
      <c r="BA5750" s="57"/>
      <c r="BF5750" s="6" t="e">
        <f t="shared" si="267"/>
        <v>#NUM!</v>
      </c>
      <c r="BG5750" t="e">
        <f t="shared" si="268"/>
        <v>#NUM!</v>
      </c>
      <c r="BH5750" t="e">
        <f t="shared" si="269"/>
        <v>#NUM!</v>
      </c>
      <c r="BI5750" t="e">
        <f>VLOOKUP(H5750,Sheet2!$A$1:$B$270,2,FALSE)</f>
        <v>#N/A</v>
      </c>
    </row>
    <row r="5751" spans="15:61" hidden="1">
      <c r="O5751" s="57"/>
      <c r="P5751" s="57"/>
      <c r="BF5751" s="6" t="e">
        <f t="shared" si="267"/>
        <v>#NUM!</v>
      </c>
      <c r="BG5751" t="e">
        <f t="shared" si="268"/>
        <v>#NUM!</v>
      </c>
      <c r="BH5751" t="e">
        <f t="shared" si="269"/>
        <v>#NUM!</v>
      </c>
      <c r="BI5751" t="e">
        <f>VLOOKUP(H5751,Sheet2!$A$1:$B$270,2,FALSE)</f>
        <v>#N/A</v>
      </c>
    </row>
    <row r="5752" spans="15:61" hidden="1">
      <c r="O5752" s="57"/>
      <c r="P5752" s="57"/>
      <c r="AM5752" s="58"/>
      <c r="BA5752" s="57"/>
      <c r="BB5752" s="58"/>
      <c r="BF5752" s="6" t="e">
        <f t="shared" si="267"/>
        <v>#NUM!</v>
      </c>
      <c r="BG5752" t="e">
        <f t="shared" si="268"/>
        <v>#NUM!</v>
      </c>
      <c r="BH5752" t="e">
        <f t="shared" si="269"/>
        <v>#NUM!</v>
      </c>
      <c r="BI5752" t="e">
        <f>VLOOKUP(H5752,Sheet2!$A$1:$B$270,2,FALSE)</f>
        <v>#N/A</v>
      </c>
    </row>
    <row r="5753" spans="15:61" hidden="1">
      <c r="O5753" s="57"/>
      <c r="P5753" s="57"/>
      <c r="AO5753" s="57"/>
      <c r="AP5753" s="57"/>
      <c r="BA5753" s="57"/>
      <c r="BF5753" s="6" t="e">
        <f t="shared" si="267"/>
        <v>#NUM!</v>
      </c>
      <c r="BG5753" t="e">
        <f t="shared" si="268"/>
        <v>#NUM!</v>
      </c>
      <c r="BH5753" t="e">
        <f t="shared" si="269"/>
        <v>#NUM!</v>
      </c>
      <c r="BI5753" t="e">
        <f>VLOOKUP(H5753,Sheet2!$A$1:$B$270,2,FALSE)</f>
        <v>#N/A</v>
      </c>
    </row>
    <row r="5754" spans="15:61" hidden="1">
      <c r="O5754" s="57"/>
      <c r="P5754" s="57"/>
      <c r="AM5754" s="58"/>
      <c r="AO5754" s="57"/>
      <c r="BA5754" s="57"/>
      <c r="BB5754" s="58"/>
      <c r="BF5754" s="6" t="e">
        <f t="shared" si="267"/>
        <v>#NUM!</v>
      </c>
      <c r="BG5754" t="e">
        <f t="shared" si="268"/>
        <v>#NUM!</v>
      </c>
      <c r="BH5754" t="e">
        <f t="shared" si="269"/>
        <v>#NUM!</v>
      </c>
      <c r="BI5754" t="e">
        <f>VLOOKUP(H5754,Sheet2!$A$1:$B$270,2,FALSE)</f>
        <v>#N/A</v>
      </c>
    </row>
    <row r="5755" spans="15:61" hidden="1">
      <c r="O5755" s="57"/>
      <c r="P5755" s="57"/>
      <c r="AP5755" s="57"/>
      <c r="BA5755" s="57"/>
      <c r="BF5755" s="6" t="e">
        <f t="shared" si="267"/>
        <v>#NUM!</v>
      </c>
      <c r="BG5755" t="e">
        <f t="shared" si="268"/>
        <v>#NUM!</v>
      </c>
      <c r="BH5755" t="e">
        <f t="shared" si="269"/>
        <v>#NUM!</v>
      </c>
      <c r="BI5755" t="e">
        <f>VLOOKUP(H5755,Sheet2!$A$1:$B$270,2,FALSE)</f>
        <v>#N/A</v>
      </c>
    </row>
    <row r="5756" spans="15:61" hidden="1">
      <c r="O5756" s="57"/>
      <c r="P5756" s="57"/>
      <c r="AP5756" s="57"/>
      <c r="BA5756" s="57"/>
      <c r="BF5756" s="6" t="e">
        <f t="shared" si="267"/>
        <v>#NUM!</v>
      </c>
      <c r="BG5756" t="e">
        <f t="shared" si="268"/>
        <v>#NUM!</v>
      </c>
      <c r="BH5756" t="e">
        <f t="shared" si="269"/>
        <v>#NUM!</v>
      </c>
      <c r="BI5756" t="e">
        <f>VLOOKUP(H5756,Sheet2!$A$1:$B$270,2,FALSE)</f>
        <v>#N/A</v>
      </c>
    </row>
    <row r="5757" spans="15:61" hidden="1">
      <c r="O5757" s="57"/>
      <c r="P5757" s="57"/>
      <c r="AP5757" s="57"/>
      <c r="BA5757" s="57"/>
      <c r="BF5757" s="6" t="e">
        <f t="shared" si="267"/>
        <v>#NUM!</v>
      </c>
      <c r="BG5757" t="e">
        <f t="shared" si="268"/>
        <v>#NUM!</v>
      </c>
      <c r="BH5757" t="e">
        <f t="shared" si="269"/>
        <v>#NUM!</v>
      </c>
      <c r="BI5757" t="e">
        <f>VLOOKUP(H5757,Sheet2!$A$1:$B$270,2,FALSE)</f>
        <v>#N/A</v>
      </c>
    </row>
    <row r="5758" spans="15:61" hidden="1">
      <c r="O5758" s="57"/>
      <c r="P5758" s="57"/>
      <c r="AM5758" s="58"/>
      <c r="AO5758" s="57"/>
      <c r="BA5758" s="57"/>
      <c r="BB5758" s="58"/>
      <c r="BF5758" s="6" t="e">
        <f t="shared" si="267"/>
        <v>#NUM!</v>
      </c>
      <c r="BG5758" t="e">
        <f t="shared" si="268"/>
        <v>#NUM!</v>
      </c>
      <c r="BH5758" t="e">
        <f t="shared" si="269"/>
        <v>#NUM!</v>
      </c>
      <c r="BI5758" t="e">
        <f>VLOOKUP(H5758,Sheet2!$A$1:$B$270,2,FALSE)</f>
        <v>#N/A</v>
      </c>
    </row>
    <row r="5759" spans="15:61" hidden="1">
      <c r="O5759" s="57"/>
      <c r="P5759" s="57"/>
      <c r="AP5759" s="57"/>
      <c r="BA5759" s="57"/>
      <c r="BF5759" s="6" t="e">
        <f t="shared" si="267"/>
        <v>#NUM!</v>
      </c>
      <c r="BG5759" t="e">
        <f t="shared" si="268"/>
        <v>#NUM!</v>
      </c>
      <c r="BH5759" t="e">
        <f t="shared" si="269"/>
        <v>#NUM!</v>
      </c>
      <c r="BI5759" t="e">
        <f>VLOOKUP(H5759,Sheet2!$A$1:$B$270,2,FALSE)</f>
        <v>#N/A</v>
      </c>
    </row>
    <row r="5760" spans="15:61" hidden="1">
      <c r="O5760" s="57"/>
      <c r="P5760" s="57"/>
      <c r="AP5760" s="57"/>
      <c r="BA5760" s="57"/>
      <c r="BF5760" s="6" t="e">
        <f t="shared" si="267"/>
        <v>#NUM!</v>
      </c>
      <c r="BG5760" t="e">
        <f t="shared" si="268"/>
        <v>#NUM!</v>
      </c>
      <c r="BH5760" t="e">
        <f t="shared" si="269"/>
        <v>#NUM!</v>
      </c>
      <c r="BI5760" t="e">
        <f>VLOOKUP(H5760,Sheet2!$A$1:$B$270,2,FALSE)</f>
        <v>#N/A</v>
      </c>
    </row>
    <row r="5761" spans="15:61" hidden="1">
      <c r="O5761" s="57"/>
      <c r="P5761" s="57"/>
      <c r="AP5761" s="57"/>
      <c r="BA5761" s="57"/>
      <c r="BF5761" s="6" t="e">
        <f t="shared" si="267"/>
        <v>#NUM!</v>
      </c>
      <c r="BG5761" t="e">
        <f t="shared" si="268"/>
        <v>#NUM!</v>
      </c>
      <c r="BH5761" t="e">
        <f t="shared" si="269"/>
        <v>#NUM!</v>
      </c>
      <c r="BI5761" t="e">
        <f>VLOOKUP(H5761,Sheet2!$A$1:$B$270,2,FALSE)</f>
        <v>#N/A</v>
      </c>
    </row>
    <row r="5762" spans="15:61" hidden="1">
      <c r="O5762" s="57"/>
      <c r="P5762" s="57"/>
      <c r="AO5762" s="57"/>
      <c r="BA5762" s="57"/>
      <c r="BF5762" s="6" t="e">
        <f t="shared" ref="BF5762:BF5825" si="270">DATE(BC5762,BD5762,BE5762)</f>
        <v>#NUM!</v>
      </c>
      <c r="BG5762" t="e">
        <f t="shared" ref="BG5762:BG5825" si="271">BF5762-BA5762</f>
        <v>#NUM!</v>
      </c>
      <c r="BH5762" t="e">
        <f t="shared" ref="BH5762:BH5825" si="272">IF(BG5762=1,"COMPLY",IF(BG5762&lt;1,"COMPLY","NOT COMPLY"))</f>
        <v>#NUM!</v>
      </c>
      <c r="BI5762" t="e">
        <f>VLOOKUP(H5762,Sheet2!$A$1:$B$270,2,FALSE)</f>
        <v>#N/A</v>
      </c>
    </row>
    <row r="5763" spans="15:61" hidden="1">
      <c r="O5763" s="57"/>
      <c r="P5763" s="57"/>
      <c r="AO5763" s="57"/>
      <c r="AP5763" s="57"/>
      <c r="BA5763" s="57"/>
      <c r="BF5763" s="6" t="e">
        <f t="shared" si="270"/>
        <v>#NUM!</v>
      </c>
      <c r="BG5763" t="e">
        <f t="shared" si="271"/>
        <v>#NUM!</v>
      </c>
      <c r="BH5763" t="e">
        <f t="shared" si="272"/>
        <v>#NUM!</v>
      </c>
      <c r="BI5763" t="e">
        <f>VLOOKUP(H5763,Sheet2!$A$1:$B$270,2,FALSE)</f>
        <v>#N/A</v>
      </c>
    </row>
    <row r="5764" spans="15:61" hidden="1">
      <c r="O5764" s="57"/>
      <c r="P5764" s="57"/>
      <c r="AP5764" s="57"/>
      <c r="BA5764" s="57"/>
      <c r="BF5764" s="6" t="e">
        <f t="shared" si="270"/>
        <v>#NUM!</v>
      </c>
      <c r="BG5764" t="e">
        <f t="shared" si="271"/>
        <v>#NUM!</v>
      </c>
      <c r="BH5764" t="e">
        <f t="shared" si="272"/>
        <v>#NUM!</v>
      </c>
      <c r="BI5764" t="e">
        <f>VLOOKUP(H5764,Sheet2!$A$1:$B$270,2,FALSE)</f>
        <v>#N/A</v>
      </c>
    </row>
    <row r="5765" spans="15:61" hidden="1">
      <c r="O5765" s="57"/>
      <c r="P5765" s="57"/>
      <c r="AM5765" s="58"/>
      <c r="AO5765" s="57"/>
      <c r="BA5765" s="57"/>
      <c r="BB5765" s="58"/>
      <c r="BF5765" s="6" t="e">
        <f t="shared" si="270"/>
        <v>#NUM!</v>
      </c>
      <c r="BG5765" t="e">
        <f t="shared" si="271"/>
        <v>#NUM!</v>
      </c>
      <c r="BH5765" t="e">
        <f t="shared" si="272"/>
        <v>#NUM!</v>
      </c>
      <c r="BI5765" t="e">
        <f>VLOOKUP(H5765,Sheet2!$A$1:$B$270,2,FALSE)</f>
        <v>#N/A</v>
      </c>
    </row>
    <row r="5766" spans="15:61" hidden="1">
      <c r="O5766" s="57"/>
      <c r="P5766" s="57"/>
      <c r="AP5766" s="57"/>
      <c r="BA5766" s="57"/>
      <c r="BF5766" s="6" t="e">
        <f t="shared" si="270"/>
        <v>#NUM!</v>
      </c>
      <c r="BG5766" t="e">
        <f t="shared" si="271"/>
        <v>#NUM!</v>
      </c>
      <c r="BH5766" t="e">
        <f t="shared" si="272"/>
        <v>#NUM!</v>
      </c>
      <c r="BI5766" t="e">
        <f>VLOOKUP(H5766,Sheet2!$A$1:$B$270,2,FALSE)</f>
        <v>#N/A</v>
      </c>
    </row>
    <row r="5767" spans="15:61" hidden="1">
      <c r="O5767" s="57"/>
      <c r="P5767" s="57"/>
      <c r="AO5767" s="57"/>
      <c r="AP5767" s="57"/>
      <c r="BA5767" s="57"/>
      <c r="BF5767" s="6" t="e">
        <f t="shared" si="270"/>
        <v>#NUM!</v>
      </c>
      <c r="BG5767" t="e">
        <f t="shared" si="271"/>
        <v>#NUM!</v>
      </c>
      <c r="BH5767" t="e">
        <f t="shared" si="272"/>
        <v>#NUM!</v>
      </c>
      <c r="BI5767" t="e">
        <f>VLOOKUP(H5767,Sheet2!$A$1:$B$270,2,FALSE)</f>
        <v>#N/A</v>
      </c>
    </row>
    <row r="5768" spans="15:61" hidden="1">
      <c r="O5768" s="57"/>
      <c r="P5768" s="57"/>
      <c r="AP5768" s="57"/>
      <c r="BA5768" s="57"/>
      <c r="BF5768" s="6" t="e">
        <f t="shared" si="270"/>
        <v>#NUM!</v>
      </c>
      <c r="BG5768" t="e">
        <f t="shared" si="271"/>
        <v>#NUM!</v>
      </c>
      <c r="BH5768" t="e">
        <f t="shared" si="272"/>
        <v>#NUM!</v>
      </c>
      <c r="BI5768" t="e">
        <f>VLOOKUP(H5768,Sheet2!$A$1:$B$270,2,FALSE)</f>
        <v>#N/A</v>
      </c>
    </row>
    <row r="5769" spans="15:61" hidden="1">
      <c r="O5769" s="57"/>
      <c r="P5769" s="57"/>
      <c r="AO5769" s="57"/>
      <c r="AP5769" s="57"/>
      <c r="BA5769" s="57"/>
      <c r="BF5769" s="6" t="e">
        <f t="shared" si="270"/>
        <v>#NUM!</v>
      </c>
      <c r="BG5769" t="e">
        <f t="shared" si="271"/>
        <v>#NUM!</v>
      </c>
      <c r="BH5769" t="e">
        <f t="shared" si="272"/>
        <v>#NUM!</v>
      </c>
      <c r="BI5769" t="e">
        <f>VLOOKUP(H5769,Sheet2!$A$1:$B$270,2,FALSE)</f>
        <v>#N/A</v>
      </c>
    </row>
    <row r="5770" spans="15:61" hidden="1">
      <c r="O5770" s="57"/>
      <c r="P5770" s="57"/>
      <c r="AO5770" s="57"/>
      <c r="BA5770" s="57"/>
      <c r="BF5770" s="6" t="e">
        <f t="shared" si="270"/>
        <v>#NUM!</v>
      </c>
      <c r="BG5770" t="e">
        <f t="shared" si="271"/>
        <v>#NUM!</v>
      </c>
      <c r="BH5770" t="e">
        <f t="shared" si="272"/>
        <v>#NUM!</v>
      </c>
      <c r="BI5770" t="e">
        <f>VLOOKUP(H5770,Sheet2!$A$1:$B$270,2,FALSE)</f>
        <v>#N/A</v>
      </c>
    </row>
    <row r="5771" spans="15:61" hidden="1">
      <c r="O5771" s="57"/>
      <c r="P5771" s="57"/>
      <c r="AP5771" s="57"/>
      <c r="BA5771" s="57"/>
      <c r="BF5771" s="6" t="e">
        <f t="shared" si="270"/>
        <v>#NUM!</v>
      </c>
      <c r="BG5771" t="e">
        <f t="shared" si="271"/>
        <v>#NUM!</v>
      </c>
      <c r="BH5771" t="e">
        <f t="shared" si="272"/>
        <v>#NUM!</v>
      </c>
      <c r="BI5771" t="e">
        <f>VLOOKUP(H5771,Sheet2!$A$1:$B$270,2,FALSE)</f>
        <v>#N/A</v>
      </c>
    </row>
    <row r="5772" spans="15:61" hidden="1">
      <c r="O5772" s="57"/>
      <c r="P5772" s="57"/>
      <c r="AP5772" s="57"/>
      <c r="BA5772" s="57"/>
      <c r="BF5772" s="6" t="e">
        <f t="shared" si="270"/>
        <v>#NUM!</v>
      </c>
      <c r="BG5772" t="e">
        <f t="shared" si="271"/>
        <v>#NUM!</v>
      </c>
      <c r="BH5772" t="e">
        <f t="shared" si="272"/>
        <v>#NUM!</v>
      </c>
      <c r="BI5772" t="e">
        <f>VLOOKUP(H5772,Sheet2!$A$1:$B$270,2,FALSE)</f>
        <v>#N/A</v>
      </c>
    </row>
    <row r="5773" spans="15:61" hidden="1">
      <c r="O5773" s="57"/>
      <c r="P5773" s="57"/>
      <c r="AO5773" s="57"/>
      <c r="AP5773" s="57"/>
      <c r="BA5773" s="57"/>
      <c r="BF5773" s="6" t="e">
        <f t="shared" si="270"/>
        <v>#NUM!</v>
      </c>
      <c r="BG5773" t="e">
        <f t="shared" si="271"/>
        <v>#NUM!</v>
      </c>
      <c r="BH5773" t="e">
        <f t="shared" si="272"/>
        <v>#NUM!</v>
      </c>
      <c r="BI5773" t="e">
        <f>VLOOKUP(H5773,Sheet2!$A$1:$B$270,2,FALSE)</f>
        <v>#N/A</v>
      </c>
    </row>
    <row r="5774" spans="15:61" hidden="1">
      <c r="O5774" s="57"/>
      <c r="P5774" s="57"/>
      <c r="AO5774" s="57"/>
      <c r="AP5774" s="57"/>
      <c r="BA5774" s="57"/>
      <c r="BF5774" s="6" t="e">
        <f t="shared" si="270"/>
        <v>#NUM!</v>
      </c>
      <c r="BG5774" t="e">
        <f t="shared" si="271"/>
        <v>#NUM!</v>
      </c>
      <c r="BH5774" t="e">
        <f t="shared" si="272"/>
        <v>#NUM!</v>
      </c>
      <c r="BI5774" t="e">
        <f>VLOOKUP(H5774,Sheet2!$A$1:$B$270,2,FALSE)</f>
        <v>#N/A</v>
      </c>
    </row>
    <row r="5775" spans="15:61" hidden="1">
      <c r="O5775" s="57"/>
      <c r="P5775" s="57"/>
      <c r="AP5775" s="57"/>
      <c r="BA5775" s="57"/>
      <c r="BF5775" s="6" t="e">
        <f t="shared" si="270"/>
        <v>#NUM!</v>
      </c>
      <c r="BG5775" t="e">
        <f t="shared" si="271"/>
        <v>#NUM!</v>
      </c>
      <c r="BH5775" t="e">
        <f t="shared" si="272"/>
        <v>#NUM!</v>
      </c>
      <c r="BI5775" t="e">
        <f>VLOOKUP(H5775,Sheet2!$A$1:$B$270,2,FALSE)</f>
        <v>#N/A</v>
      </c>
    </row>
    <row r="5776" spans="15:61" hidden="1">
      <c r="O5776" s="57"/>
      <c r="P5776" s="57"/>
      <c r="AP5776" s="57"/>
      <c r="BA5776" s="57"/>
      <c r="BF5776" s="6" t="e">
        <f t="shared" si="270"/>
        <v>#NUM!</v>
      </c>
      <c r="BG5776" t="e">
        <f t="shared" si="271"/>
        <v>#NUM!</v>
      </c>
      <c r="BH5776" t="e">
        <f t="shared" si="272"/>
        <v>#NUM!</v>
      </c>
      <c r="BI5776" t="e">
        <f>VLOOKUP(H5776,Sheet2!$A$1:$B$270,2,FALSE)</f>
        <v>#N/A</v>
      </c>
    </row>
    <row r="5777" spans="15:61" hidden="1">
      <c r="O5777" s="57"/>
      <c r="P5777" s="57"/>
      <c r="AP5777" s="57"/>
      <c r="BA5777" s="57"/>
      <c r="BF5777" s="6" t="e">
        <f t="shared" si="270"/>
        <v>#NUM!</v>
      </c>
      <c r="BG5777" t="e">
        <f t="shared" si="271"/>
        <v>#NUM!</v>
      </c>
      <c r="BH5777" t="e">
        <f t="shared" si="272"/>
        <v>#NUM!</v>
      </c>
      <c r="BI5777" t="e">
        <f>VLOOKUP(H5777,Sheet2!$A$1:$B$270,2,FALSE)</f>
        <v>#N/A</v>
      </c>
    </row>
    <row r="5778" spans="15:61" hidden="1">
      <c r="O5778" s="57"/>
      <c r="P5778" s="57"/>
      <c r="AO5778" s="57"/>
      <c r="BF5778" s="6" t="e">
        <f t="shared" si="270"/>
        <v>#NUM!</v>
      </c>
      <c r="BG5778" t="e">
        <f t="shared" si="271"/>
        <v>#NUM!</v>
      </c>
      <c r="BH5778" t="e">
        <f t="shared" si="272"/>
        <v>#NUM!</v>
      </c>
      <c r="BI5778" t="e">
        <f>VLOOKUP(H5778,Sheet2!$A$1:$B$270,2,FALSE)</f>
        <v>#N/A</v>
      </c>
    </row>
    <row r="5779" spans="15:61" hidden="1">
      <c r="O5779" s="57"/>
      <c r="P5779" s="57"/>
      <c r="AM5779" s="58"/>
      <c r="AO5779" s="57"/>
      <c r="BA5779" s="57"/>
      <c r="BB5779" s="58"/>
      <c r="BF5779" s="6" t="e">
        <f t="shared" si="270"/>
        <v>#NUM!</v>
      </c>
      <c r="BG5779" t="e">
        <f t="shared" si="271"/>
        <v>#NUM!</v>
      </c>
      <c r="BH5779" t="e">
        <f t="shared" si="272"/>
        <v>#NUM!</v>
      </c>
      <c r="BI5779" t="e">
        <f>VLOOKUP(H5779,Sheet2!$A$1:$B$270,2,FALSE)</f>
        <v>#N/A</v>
      </c>
    </row>
    <row r="5780" spans="15:61" hidden="1">
      <c r="O5780" s="57"/>
      <c r="P5780" s="57"/>
      <c r="AP5780" s="57"/>
      <c r="BA5780" s="57"/>
      <c r="BF5780" s="6" t="e">
        <f t="shared" si="270"/>
        <v>#NUM!</v>
      </c>
      <c r="BG5780" t="e">
        <f t="shared" si="271"/>
        <v>#NUM!</v>
      </c>
      <c r="BH5780" t="e">
        <f t="shared" si="272"/>
        <v>#NUM!</v>
      </c>
      <c r="BI5780" t="e">
        <f>VLOOKUP(H5780,Sheet2!$A$1:$B$270,2,FALSE)</f>
        <v>#N/A</v>
      </c>
    </row>
    <row r="5781" spans="15:61" hidden="1">
      <c r="O5781" s="57"/>
      <c r="P5781" s="57"/>
      <c r="AP5781" s="57"/>
      <c r="BA5781" s="57"/>
      <c r="BF5781" s="6" t="e">
        <f t="shared" si="270"/>
        <v>#NUM!</v>
      </c>
      <c r="BG5781" t="e">
        <f t="shared" si="271"/>
        <v>#NUM!</v>
      </c>
      <c r="BH5781" t="e">
        <f t="shared" si="272"/>
        <v>#NUM!</v>
      </c>
      <c r="BI5781" t="e">
        <f>VLOOKUP(H5781,Sheet2!$A$1:$B$270,2,FALSE)</f>
        <v>#N/A</v>
      </c>
    </row>
    <row r="5782" spans="15:61" hidden="1">
      <c r="O5782" s="57"/>
      <c r="P5782" s="57"/>
      <c r="AP5782" s="57"/>
      <c r="BA5782" s="57"/>
      <c r="BF5782" s="6" t="e">
        <f t="shared" si="270"/>
        <v>#NUM!</v>
      </c>
      <c r="BG5782" t="e">
        <f t="shared" si="271"/>
        <v>#NUM!</v>
      </c>
      <c r="BH5782" t="e">
        <f t="shared" si="272"/>
        <v>#NUM!</v>
      </c>
      <c r="BI5782" t="e">
        <f>VLOOKUP(H5782,Sheet2!$A$1:$B$270,2,FALSE)</f>
        <v>#N/A</v>
      </c>
    </row>
    <row r="5783" spans="15:61" hidden="1">
      <c r="O5783" s="57"/>
      <c r="P5783" s="57"/>
      <c r="AO5783" s="57"/>
      <c r="AP5783" s="57"/>
      <c r="BA5783" s="57"/>
      <c r="BF5783" s="6" t="e">
        <f t="shared" si="270"/>
        <v>#NUM!</v>
      </c>
      <c r="BG5783" t="e">
        <f t="shared" si="271"/>
        <v>#NUM!</v>
      </c>
      <c r="BH5783" t="e">
        <f t="shared" si="272"/>
        <v>#NUM!</v>
      </c>
      <c r="BI5783" t="e">
        <f>VLOOKUP(H5783,Sheet2!$A$1:$B$270,2,FALSE)</f>
        <v>#N/A</v>
      </c>
    </row>
    <row r="5784" spans="15:61" hidden="1">
      <c r="O5784" s="57"/>
      <c r="P5784" s="57"/>
      <c r="AM5784" s="58"/>
      <c r="BA5784" s="57"/>
      <c r="BB5784" s="58"/>
      <c r="BF5784" s="6" t="e">
        <f t="shared" si="270"/>
        <v>#NUM!</v>
      </c>
      <c r="BG5784" t="e">
        <f t="shared" si="271"/>
        <v>#NUM!</v>
      </c>
      <c r="BH5784" t="e">
        <f t="shared" si="272"/>
        <v>#NUM!</v>
      </c>
      <c r="BI5784" t="e">
        <f>VLOOKUP(H5784,Sheet2!$A$1:$B$270,2,FALSE)</f>
        <v>#N/A</v>
      </c>
    </row>
    <row r="5785" spans="15:61" hidden="1">
      <c r="O5785" s="57"/>
      <c r="P5785" s="57"/>
      <c r="BF5785" s="6" t="e">
        <f t="shared" si="270"/>
        <v>#NUM!</v>
      </c>
      <c r="BG5785" t="e">
        <f t="shared" si="271"/>
        <v>#NUM!</v>
      </c>
      <c r="BH5785" t="e">
        <f t="shared" si="272"/>
        <v>#NUM!</v>
      </c>
      <c r="BI5785" t="e">
        <f>VLOOKUP(H5785,Sheet2!$A$1:$B$270,2,FALSE)</f>
        <v>#N/A</v>
      </c>
    </row>
    <row r="5786" spans="15:61" hidden="1">
      <c r="O5786" s="57"/>
      <c r="P5786" s="57"/>
      <c r="AP5786" s="57"/>
      <c r="BA5786" s="57"/>
      <c r="BF5786" s="6" t="e">
        <f t="shared" si="270"/>
        <v>#NUM!</v>
      </c>
      <c r="BG5786" t="e">
        <f t="shared" si="271"/>
        <v>#NUM!</v>
      </c>
      <c r="BH5786" t="e">
        <f t="shared" si="272"/>
        <v>#NUM!</v>
      </c>
      <c r="BI5786" t="e">
        <f>VLOOKUP(H5786,Sheet2!$A$1:$B$270,2,FALSE)</f>
        <v>#N/A</v>
      </c>
    </row>
    <row r="5787" spans="15:61" hidden="1">
      <c r="O5787" s="57"/>
      <c r="P5787" s="57"/>
      <c r="AP5787" s="57"/>
      <c r="BA5787" s="57"/>
      <c r="BF5787" s="6" t="e">
        <f t="shared" si="270"/>
        <v>#NUM!</v>
      </c>
      <c r="BG5787" t="e">
        <f t="shared" si="271"/>
        <v>#NUM!</v>
      </c>
      <c r="BH5787" t="e">
        <f t="shared" si="272"/>
        <v>#NUM!</v>
      </c>
      <c r="BI5787" t="e">
        <f>VLOOKUP(H5787,Sheet2!$A$1:$B$270,2,FALSE)</f>
        <v>#N/A</v>
      </c>
    </row>
    <row r="5788" spans="15:61" hidden="1">
      <c r="O5788" s="57"/>
      <c r="P5788" s="57"/>
      <c r="AO5788" s="57"/>
      <c r="AP5788" s="57"/>
      <c r="BA5788" s="57"/>
      <c r="BF5788" s="6" t="e">
        <f t="shared" si="270"/>
        <v>#NUM!</v>
      </c>
      <c r="BG5788" t="e">
        <f t="shared" si="271"/>
        <v>#NUM!</v>
      </c>
      <c r="BH5788" t="e">
        <f t="shared" si="272"/>
        <v>#NUM!</v>
      </c>
      <c r="BI5788" t="e">
        <f>VLOOKUP(H5788,Sheet2!$A$1:$B$270,2,FALSE)</f>
        <v>#N/A</v>
      </c>
    </row>
    <row r="5789" spans="15:61" hidden="1">
      <c r="O5789" s="57"/>
      <c r="P5789" s="57"/>
      <c r="AP5789" s="57"/>
      <c r="BA5789" s="57"/>
      <c r="BF5789" s="6" t="e">
        <f t="shared" si="270"/>
        <v>#NUM!</v>
      </c>
      <c r="BG5789" t="e">
        <f t="shared" si="271"/>
        <v>#NUM!</v>
      </c>
      <c r="BH5789" t="e">
        <f t="shared" si="272"/>
        <v>#NUM!</v>
      </c>
      <c r="BI5789" t="e">
        <f>VLOOKUP(H5789,Sheet2!$A$1:$B$270,2,FALSE)</f>
        <v>#N/A</v>
      </c>
    </row>
    <row r="5790" spans="15:61" hidden="1">
      <c r="O5790" s="57"/>
      <c r="P5790" s="57"/>
      <c r="AP5790" s="57"/>
      <c r="BA5790" s="57"/>
      <c r="BF5790" s="6" t="e">
        <f t="shared" si="270"/>
        <v>#NUM!</v>
      </c>
      <c r="BG5790" t="e">
        <f t="shared" si="271"/>
        <v>#NUM!</v>
      </c>
      <c r="BH5790" t="e">
        <f t="shared" si="272"/>
        <v>#NUM!</v>
      </c>
      <c r="BI5790" t="e">
        <f>VLOOKUP(H5790,Sheet2!$A$1:$B$270,2,FALSE)</f>
        <v>#N/A</v>
      </c>
    </row>
    <row r="5791" spans="15:61" hidden="1">
      <c r="O5791" s="57"/>
      <c r="P5791" s="57"/>
      <c r="AP5791" s="57"/>
      <c r="BA5791" s="57"/>
      <c r="BF5791" s="6" t="e">
        <f t="shared" si="270"/>
        <v>#NUM!</v>
      </c>
      <c r="BG5791" t="e">
        <f t="shared" si="271"/>
        <v>#NUM!</v>
      </c>
      <c r="BH5791" t="e">
        <f t="shared" si="272"/>
        <v>#NUM!</v>
      </c>
      <c r="BI5791" t="e">
        <f>VLOOKUP(H5791,Sheet2!$A$1:$B$270,2,FALSE)</f>
        <v>#N/A</v>
      </c>
    </row>
    <row r="5792" spans="15:61" hidden="1">
      <c r="O5792" s="57"/>
      <c r="P5792" s="57"/>
      <c r="AO5792" s="57"/>
      <c r="AP5792" s="57"/>
      <c r="BA5792" s="57"/>
      <c r="BF5792" s="6" t="e">
        <f t="shared" si="270"/>
        <v>#NUM!</v>
      </c>
      <c r="BG5792" t="e">
        <f t="shared" si="271"/>
        <v>#NUM!</v>
      </c>
      <c r="BH5792" t="e">
        <f t="shared" si="272"/>
        <v>#NUM!</v>
      </c>
      <c r="BI5792" t="e">
        <f>VLOOKUP(H5792,Sheet2!$A$1:$B$270,2,FALSE)</f>
        <v>#N/A</v>
      </c>
    </row>
    <row r="5793" spans="15:61" hidden="1">
      <c r="O5793" s="57"/>
      <c r="P5793" s="57"/>
      <c r="AO5793" s="57"/>
      <c r="AP5793" s="57"/>
      <c r="BA5793" s="57"/>
      <c r="BF5793" s="6" t="e">
        <f t="shared" si="270"/>
        <v>#NUM!</v>
      </c>
      <c r="BG5793" t="e">
        <f t="shared" si="271"/>
        <v>#NUM!</v>
      </c>
      <c r="BH5793" t="e">
        <f t="shared" si="272"/>
        <v>#NUM!</v>
      </c>
      <c r="BI5793" t="e">
        <f>VLOOKUP(H5793,Sheet2!$A$1:$B$270,2,FALSE)</f>
        <v>#N/A</v>
      </c>
    </row>
    <row r="5794" spans="15:61" hidden="1">
      <c r="O5794" s="57"/>
      <c r="P5794" s="57"/>
      <c r="AO5794" s="57"/>
      <c r="AP5794" s="57"/>
      <c r="BA5794" s="57"/>
      <c r="BF5794" s="6" t="e">
        <f t="shared" si="270"/>
        <v>#NUM!</v>
      </c>
      <c r="BG5794" t="e">
        <f t="shared" si="271"/>
        <v>#NUM!</v>
      </c>
      <c r="BH5794" t="e">
        <f t="shared" si="272"/>
        <v>#NUM!</v>
      </c>
      <c r="BI5794" t="e">
        <f>VLOOKUP(H5794,Sheet2!$A$1:$B$270,2,FALSE)</f>
        <v>#N/A</v>
      </c>
    </row>
    <row r="5795" spans="15:61" hidden="1">
      <c r="O5795" s="57"/>
      <c r="P5795" s="57"/>
      <c r="AP5795" s="57"/>
      <c r="BA5795" s="57"/>
      <c r="BF5795" s="6" t="e">
        <f t="shared" si="270"/>
        <v>#NUM!</v>
      </c>
      <c r="BG5795" t="e">
        <f t="shared" si="271"/>
        <v>#NUM!</v>
      </c>
      <c r="BH5795" t="e">
        <f t="shared" si="272"/>
        <v>#NUM!</v>
      </c>
      <c r="BI5795" t="e">
        <f>VLOOKUP(H5795,Sheet2!$A$1:$B$270,2,FALSE)</f>
        <v>#N/A</v>
      </c>
    </row>
    <row r="5796" spans="15:61" hidden="1">
      <c r="O5796" s="57"/>
      <c r="P5796" s="57"/>
      <c r="AM5796" s="58"/>
      <c r="BA5796" s="57"/>
      <c r="BB5796" s="58"/>
      <c r="BF5796" s="6" t="e">
        <f t="shared" si="270"/>
        <v>#NUM!</v>
      </c>
      <c r="BG5796" t="e">
        <f t="shared" si="271"/>
        <v>#NUM!</v>
      </c>
      <c r="BH5796" t="e">
        <f t="shared" si="272"/>
        <v>#NUM!</v>
      </c>
      <c r="BI5796" t="e">
        <f>VLOOKUP(H5796,Sheet2!$A$1:$B$270,2,FALSE)</f>
        <v>#N/A</v>
      </c>
    </row>
    <row r="5797" spans="15:61" hidden="1">
      <c r="O5797" s="57"/>
      <c r="P5797" s="57"/>
      <c r="AO5797" s="57"/>
      <c r="BA5797" s="57"/>
      <c r="BF5797" s="6" t="e">
        <f t="shared" si="270"/>
        <v>#NUM!</v>
      </c>
      <c r="BG5797" t="e">
        <f t="shared" si="271"/>
        <v>#NUM!</v>
      </c>
      <c r="BH5797" t="e">
        <f t="shared" si="272"/>
        <v>#NUM!</v>
      </c>
      <c r="BI5797" t="e">
        <f>VLOOKUP(H5797,Sheet2!$A$1:$B$270,2,FALSE)</f>
        <v>#N/A</v>
      </c>
    </row>
    <row r="5798" spans="15:61" hidden="1">
      <c r="O5798" s="57"/>
      <c r="P5798" s="57"/>
      <c r="AM5798" s="58"/>
      <c r="AO5798" s="57"/>
      <c r="BA5798" s="57"/>
      <c r="BB5798" s="58"/>
      <c r="BF5798" s="6" t="e">
        <f t="shared" si="270"/>
        <v>#NUM!</v>
      </c>
      <c r="BG5798" t="e">
        <f t="shared" si="271"/>
        <v>#NUM!</v>
      </c>
      <c r="BH5798" t="e">
        <f t="shared" si="272"/>
        <v>#NUM!</v>
      </c>
      <c r="BI5798" t="e">
        <f>VLOOKUP(H5798,Sheet2!$A$1:$B$270,2,FALSE)</f>
        <v>#N/A</v>
      </c>
    </row>
    <row r="5799" spans="15:61" hidden="1">
      <c r="O5799" s="57"/>
      <c r="P5799" s="57"/>
      <c r="AO5799" s="57"/>
      <c r="AP5799" s="57"/>
      <c r="BA5799" s="57"/>
      <c r="BF5799" s="6" t="e">
        <f t="shared" si="270"/>
        <v>#NUM!</v>
      </c>
      <c r="BG5799" t="e">
        <f t="shared" si="271"/>
        <v>#NUM!</v>
      </c>
      <c r="BH5799" t="e">
        <f t="shared" si="272"/>
        <v>#NUM!</v>
      </c>
      <c r="BI5799" t="e">
        <f>VLOOKUP(H5799,Sheet2!$A$1:$B$270,2,FALSE)</f>
        <v>#N/A</v>
      </c>
    </row>
    <row r="5800" spans="15:61" hidden="1">
      <c r="O5800" s="57"/>
      <c r="P5800" s="57"/>
      <c r="AP5800" s="57"/>
      <c r="BA5800" s="57"/>
      <c r="BF5800" s="6" t="e">
        <f t="shared" si="270"/>
        <v>#NUM!</v>
      </c>
      <c r="BG5800" t="e">
        <f t="shared" si="271"/>
        <v>#NUM!</v>
      </c>
      <c r="BH5800" t="e">
        <f t="shared" si="272"/>
        <v>#NUM!</v>
      </c>
      <c r="BI5800" t="e">
        <f>VLOOKUP(H5800,Sheet2!$A$1:$B$270,2,FALSE)</f>
        <v>#N/A</v>
      </c>
    </row>
    <row r="5801" spans="15:61" hidden="1">
      <c r="O5801" s="57"/>
      <c r="P5801" s="57"/>
      <c r="AP5801" s="57"/>
      <c r="BA5801" s="57"/>
      <c r="BF5801" s="6" t="e">
        <f t="shared" si="270"/>
        <v>#NUM!</v>
      </c>
      <c r="BG5801" t="e">
        <f t="shared" si="271"/>
        <v>#NUM!</v>
      </c>
      <c r="BH5801" t="e">
        <f t="shared" si="272"/>
        <v>#NUM!</v>
      </c>
      <c r="BI5801" t="e">
        <f>VLOOKUP(H5801,Sheet2!$A$1:$B$270,2,FALSE)</f>
        <v>#N/A</v>
      </c>
    </row>
    <row r="5802" spans="15:61" hidden="1">
      <c r="O5802" s="57"/>
      <c r="P5802" s="57"/>
      <c r="AP5802" s="57"/>
      <c r="BA5802" s="57"/>
      <c r="BF5802" s="6" t="e">
        <f t="shared" si="270"/>
        <v>#NUM!</v>
      </c>
      <c r="BG5802" t="e">
        <f t="shared" si="271"/>
        <v>#NUM!</v>
      </c>
      <c r="BH5802" t="e">
        <f t="shared" si="272"/>
        <v>#NUM!</v>
      </c>
      <c r="BI5802" t="e">
        <f>VLOOKUP(H5802,Sheet2!$A$1:$B$270,2,FALSE)</f>
        <v>#N/A</v>
      </c>
    </row>
    <row r="5803" spans="15:61" hidden="1">
      <c r="O5803" s="57"/>
      <c r="P5803" s="57"/>
      <c r="BA5803" s="57"/>
      <c r="BF5803" s="6" t="e">
        <f t="shared" si="270"/>
        <v>#NUM!</v>
      </c>
      <c r="BG5803" t="e">
        <f t="shared" si="271"/>
        <v>#NUM!</v>
      </c>
      <c r="BH5803" t="e">
        <f t="shared" si="272"/>
        <v>#NUM!</v>
      </c>
      <c r="BI5803" t="e">
        <f>VLOOKUP(H5803,Sheet2!$A$1:$B$270,2,FALSE)</f>
        <v>#N/A</v>
      </c>
    </row>
    <row r="5804" spans="15:61" hidden="1">
      <c r="O5804" s="57"/>
      <c r="P5804" s="57"/>
      <c r="AP5804" s="57"/>
      <c r="BA5804" s="57"/>
      <c r="BF5804" s="6" t="e">
        <f t="shared" si="270"/>
        <v>#NUM!</v>
      </c>
      <c r="BG5804" t="e">
        <f t="shared" si="271"/>
        <v>#NUM!</v>
      </c>
      <c r="BH5804" t="e">
        <f t="shared" si="272"/>
        <v>#NUM!</v>
      </c>
      <c r="BI5804" t="e">
        <f>VLOOKUP(H5804,Sheet2!$A$1:$B$270,2,FALSE)</f>
        <v>#N/A</v>
      </c>
    </row>
    <row r="5805" spans="15:61" hidden="1">
      <c r="O5805" s="57"/>
      <c r="P5805" s="57"/>
      <c r="AO5805" s="57"/>
      <c r="AP5805" s="57"/>
      <c r="BA5805" s="57"/>
      <c r="BF5805" s="6" t="e">
        <f t="shared" si="270"/>
        <v>#NUM!</v>
      </c>
      <c r="BG5805" t="e">
        <f t="shared" si="271"/>
        <v>#NUM!</v>
      </c>
      <c r="BH5805" t="e">
        <f t="shared" si="272"/>
        <v>#NUM!</v>
      </c>
      <c r="BI5805" t="e">
        <f>VLOOKUP(H5805,Sheet2!$A$1:$B$270,2,FALSE)</f>
        <v>#N/A</v>
      </c>
    </row>
    <row r="5806" spans="15:61" hidden="1">
      <c r="O5806" s="57"/>
      <c r="P5806" s="57"/>
      <c r="BA5806" s="57"/>
      <c r="BF5806" s="6" t="e">
        <f t="shared" si="270"/>
        <v>#NUM!</v>
      </c>
      <c r="BG5806" t="e">
        <f t="shared" si="271"/>
        <v>#NUM!</v>
      </c>
      <c r="BH5806" t="e">
        <f t="shared" si="272"/>
        <v>#NUM!</v>
      </c>
      <c r="BI5806" t="e">
        <f>VLOOKUP(H5806,Sheet2!$A$1:$B$270,2,FALSE)</f>
        <v>#N/A</v>
      </c>
    </row>
    <row r="5807" spans="15:61" hidden="1">
      <c r="O5807" s="57"/>
      <c r="P5807" s="57"/>
      <c r="AP5807" s="57"/>
      <c r="BA5807" s="57"/>
      <c r="BF5807" s="6" t="e">
        <f t="shared" si="270"/>
        <v>#NUM!</v>
      </c>
      <c r="BG5807" t="e">
        <f t="shared" si="271"/>
        <v>#NUM!</v>
      </c>
      <c r="BH5807" t="e">
        <f t="shared" si="272"/>
        <v>#NUM!</v>
      </c>
      <c r="BI5807" t="e">
        <f>VLOOKUP(H5807,Sheet2!$A$1:$B$270,2,FALSE)</f>
        <v>#N/A</v>
      </c>
    </row>
    <row r="5808" spans="15:61" hidden="1">
      <c r="O5808" s="57"/>
      <c r="P5808" s="57"/>
      <c r="AP5808" s="57"/>
      <c r="BA5808" s="57"/>
      <c r="BF5808" s="6" t="e">
        <f t="shared" si="270"/>
        <v>#NUM!</v>
      </c>
      <c r="BG5808" t="e">
        <f t="shared" si="271"/>
        <v>#NUM!</v>
      </c>
      <c r="BH5808" t="e">
        <f t="shared" si="272"/>
        <v>#NUM!</v>
      </c>
      <c r="BI5808" t="e">
        <f>VLOOKUP(H5808,Sheet2!$A$1:$B$270,2,FALSE)</f>
        <v>#N/A</v>
      </c>
    </row>
    <row r="5809" spans="15:61" hidden="1">
      <c r="O5809" s="57"/>
      <c r="P5809" s="57"/>
      <c r="BF5809" s="6" t="e">
        <f t="shared" si="270"/>
        <v>#NUM!</v>
      </c>
      <c r="BG5809" t="e">
        <f t="shared" si="271"/>
        <v>#NUM!</v>
      </c>
      <c r="BH5809" t="e">
        <f t="shared" si="272"/>
        <v>#NUM!</v>
      </c>
      <c r="BI5809" t="e">
        <f>VLOOKUP(H5809,Sheet2!$A$1:$B$270,2,FALSE)</f>
        <v>#N/A</v>
      </c>
    </row>
    <row r="5810" spans="15:61" hidden="1">
      <c r="O5810" s="57"/>
      <c r="P5810" s="57"/>
      <c r="AP5810" s="57"/>
      <c r="BA5810" s="57"/>
      <c r="BF5810" s="6" t="e">
        <f t="shared" si="270"/>
        <v>#NUM!</v>
      </c>
      <c r="BG5810" t="e">
        <f t="shared" si="271"/>
        <v>#NUM!</v>
      </c>
      <c r="BH5810" t="e">
        <f t="shared" si="272"/>
        <v>#NUM!</v>
      </c>
      <c r="BI5810" t="e">
        <f>VLOOKUP(H5810,Sheet2!$A$1:$B$270,2,FALSE)</f>
        <v>#N/A</v>
      </c>
    </row>
    <row r="5811" spans="15:61" hidden="1">
      <c r="O5811" s="57"/>
      <c r="P5811" s="57"/>
      <c r="AO5811" s="57"/>
      <c r="AP5811" s="57"/>
      <c r="BA5811" s="57"/>
      <c r="BF5811" s="6" t="e">
        <f t="shared" si="270"/>
        <v>#NUM!</v>
      </c>
      <c r="BG5811" t="e">
        <f t="shared" si="271"/>
        <v>#NUM!</v>
      </c>
      <c r="BH5811" t="e">
        <f t="shared" si="272"/>
        <v>#NUM!</v>
      </c>
      <c r="BI5811" t="e">
        <f>VLOOKUP(H5811,Sheet2!$A$1:$B$270,2,FALSE)</f>
        <v>#N/A</v>
      </c>
    </row>
    <row r="5812" spans="15:61" hidden="1">
      <c r="O5812" s="57"/>
      <c r="P5812" s="57"/>
      <c r="AM5812" s="58"/>
      <c r="AO5812" s="57"/>
      <c r="BA5812" s="57"/>
      <c r="BB5812" s="58"/>
      <c r="BF5812" s="6" t="e">
        <f t="shared" si="270"/>
        <v>#NUM!</v>
      </c>
      <c r="BG5812" t="e">
        <f t="shared" si="271"/>
        <v>#NUM!</v>
      </c>
      <c r="BH5812" t="e">
        <f t="shared" si="272"/>
        <v>#NUM!</v>
      </c>
      <c r="BI5812" t="e">
        <f>VLOOKUP(H5812,Sheet2!$A$1:$B$270,2,FALSE)</f>
        <v>#N/A</v>
      </c>
    </row>
    <row r="5813" spans="15:61" hidden="1">
      <c r="O5813" s="57"/>
      <c r="P5813" s="57"/>
      <c r="AP5813" s="57"/>
      <c r="BA5813" s="57"/>
      <c r="BF5813" s="6" t="e">
        <f t="shared" si="270"/>
        <v>#NUM!</v>
      </c>
      <c r="BG5813" t="e">
        <f t="shared" si="271"/>
        <v>#NUM!</v>
      </c>
      <c r="BH5813" t="e">
        <f t="shared" si="272"/>
        <v>#NUM!</v>
      </c>
      <c r="BI5813" t="e">
        <f>VLOOKUP(H5813,Sheet2!$A$1:$B$270,2,FALSE)</f>
        <v>#N/A</v>
      </c>
    </row>
    <row r="5814" spans="15:61" hidden="1">
      <c r="O5814" s="57"/>
      <c r="P5814" s="57"/>
      <c r="AP5814" s="57"/>
      <c r="BA5814" s="57"/>
      <c r="BF5814" s="6" t="e">
        <f t="shared" si="270"/>
        <v>#NUM!</v>
      </c>
      <c r="BG5814" t="e">
        <f t="shared" si="271"/>
        <v>#NUM!</v>
      </c>
      <c r="BH5814" t="e">
        <f t="shared" si="272"/>
        <v>#NUM!</v>
      </c>
      <c r="BI5814" t="e">
        <f>VLOOKUP(H5814,Sheet2!$A$1:$B$270,2,FALSE)</f>
        <v>#N/A</v>
      </c>
    </row>
    <row r="5815" spans="15:61" hidden="1">
      <c r="O5815" s="57"/>
      <c r="P5815" s="57"/>
      <c r="AP5815" s="57"/>
      <c r="BA5815" s="57"/>
      <c r="BF5815" s="6" t="e">
        <f t="shared" si="270"/>
        <v>#NUM!</v>
      </c>
      <c r="BG5815" t="e">
        <f t="shared" si="271"/>
        <v>#NUM!</v>
      </c>
      <c r="BH5815" t="e">
        <f t="shared" si="272"/>
        <v>#NUM!</v>
      </c>
      <c r="BI5815" t="e">
        <f>VLOOKUP(H5815,Sheet2!$A$1:$B$270,2,FALSE)</f>
        <v>#N/A</v>
      </c>
    </row>
    <row r="5816" spans="15:61" hidden="1">
      <c r="O5816" s="57"/>
      <c r="P5816" s="57"/>
      <c r="AM5816" s="58"/>
      <c r="BA5816" s="57"/>
      <c r="BB5816" s="58"/>
      <c r="BF5816" s="6" t="e">
        <f t="shared" si="270"/>
        <v>#NUM!</v>
      </c>
      <c r="BG5816" t="e">
        <f t="shared" si="271"/>
        <v>#NUM!</v>
      </c>
      <c r="BH5816" t="e">
        <f t="shared" si="272"/>
        <v>#NUM!</v>
      </c>
      <c r="BI5816" t="e">
        <f>VLOOKUP(H5816,Sheet2!$A$1:$B$270,2,FALSE)</f>
        <v>#N/A</v>
      </c>
    </row>
    <row r="5817" spans="15:61" hidden="1">
      <c r="O5817" s="57"/>
      <c r="P5817" s="57"/>
      <c r="AO5817" s="57"/>
      <c r="AP5817" s="57"/>
      <c r="BA5817" s="57"/>
      <c r="BF5817" s="6" t="e">
        <f t="shared" si="270"/>
        <v>#NUM!</v>
      </c>
      <c r="BG5817" t="e">
        <f t="shared" si="271"/>
        <v>#NUM!</v>
      </c>
      <c r="BH5817" t="e">
        <f t="shared" si="272"/>
        <v>#NUM!</v>
      </c>
      <c r="BI5817" t="e">
        <f>VLOOKUP(H5817,Sheet2!$A$1:$B$270,2,FALSE)</f>
        <v>#N/A</v>
      </c>
    </row>
    <row r="5818" spans="15:61" hidden="1">
      <c r="O5818" s="57"/>
      <c r="P5818" s="57"/>
      <c r="AM5818" s="58"/>
      <c r="BA5818" s="57"/>
      <c r="BB5818" s="58"/>
      <c r="BF5818" s="6" t="e">
        <f t="shared" si="270"/>
        <v>#NUM!</v>
      </c>
      <c r="BG5818" t="e">
        <f t="shared" si="271"/>
        <v>#NUM!</v>
      </c>
      <c r="BH5818" t="e">
        <f t="shared" si="272"/>
        <v>#NUM!</v>
      </c>
      <c r="BI5818" t="e">
        <f>VLOOKUP(H5818,Sheet2!$A$1:$B$270,2,FALSE)</f>
        <v>#N/A</v>
      </c>
    </row>
    <row r="5819" spans="15:61" hidden="1">
      <c r="O5819" s="57"/>
      <c r="P5819" s="57"/>
      <c r="AO5819" s="57"/>
      <c r="AP5819" s="57"/>
      <c r="BA5819" s="57"/>
      <c r="BF5819" s="6" t="e">
        <f t="shared" si="270"/>
        <v>#NUM!</v>
      </c>
      <c r="BG5819" t="e">
        <f t="shared" si="271"/>
        <v>#NUM!</v>
      </c>
      <c r="BH5819" t="e">
        <f t="shared" si="272"/>
        <v>#NUM!</v>
      </c>
      <c r="BI5819" t="e">
        <f>VLOOKUP(H5819,Sheet2!$A$1:$B$270,2,FALSE)</f>
        <v>#N/A</v>
      </c>
    </row>
    <row r="5820" spans="15:61" hidden="1">
      <c r="O5820" s="57"/>
      <c r="P5820" s="57"/>
      <c r="AM5820" s="58"/>
      <c r="AO5820" s="57"/>
      <c r="BA5820" s="57"/>
      <c r="BB5820" s="58"/>
      <c r="BF5820" s="6" t="e">
        <f t="shared" si="270"/>
        <v>#NUM!</v>
      </c>
      <c r="BG5820" t="e">
        <f t="shared" si="271"/>
        <v>#NUM!</v>
      </c>
      <c r="BH5820" t="e">
        <f t="shared" si="272"/>
        <v>#NUM!</v>
      </c>
      <c r="BI5820" t="e">
        <f>VLOOKUP(H5820,Sheet2!$A$1:$B$270,2,FALSE)</f>
        <v>#N/A</v>
      </c>
    </row>
    <row r="5821" spans="15:61" hidden="1">
      <c r="O5821" s="57"/>
      <c r="P5821" s="57"/>
      <c r="AM5821" s="58"/>
      <c r="AO5821" s="57"/>
      <c r="BA5821" s="57"/>
      <c r="BB5821" s="58"/>
      <c r="BF5821" s="6" t="e">
        <f t="shared" si="270"/>
        <v>#NUM!</v>
      </c>
      <c r="BG5821" t="e">
        <f t="shared" si="271"/>
        <v>#NUM!</v>
      </c>
      <c r="BH5821" t="e">
        <f t="shared" si="272"/>
        <v>#NUM!</v>
      </c>
      <c r="BI5821" t="e">
        <f>VLOOKUP(H5821,Sheet2!$A$1:$B$270,2,FALSE)</f>
        <v>#N/A</v>
      </c>
    </row>
    <row r="5822" spans="15:61" hidden="1">
      <c r="O5822" s="57"/>
      <c r="P5822" s="57"/>
      <c r="AO5822" s="57"/>
      <c r="AP5822" s="57"/>
      <c r="BA5822" s="57"/>
      <c r="BF5822" s="6" t="e">
        <f t="shared" si="270"/>
        <v>#NUM!</v>
      </c>
      <c r="BG5822" t="e">
        <f t="shared" si="271"/>
        <v>#NUM!</v>
      </c>
      <c r="BH5822" t="e">
        <f t="shared" si="272"/>
        <v>#NUM!</v>
      </c>
      <c r="BI5822" t="e">
        <f>VLOOKUP(H5822,Sheet2!$A$1:$B$270,2,FALSE)</f>
        <v>#N/A</v>
      </c>
    </row>
    <row r="5823" spans="15:61" hidden="1">
      <c r="O5823" s="57"/>
      <c r="P5823" s="57"/>
      <c r="AP5823" s="57"/>
      <c r="BA5823" s="57"/>
      <c r="BF5823" s="6" t="e">
        <f t="shared" si="270"/>
        <v>#NUM!</v>
      </c>
      <c r="BG5823" t="e">
        <f t="shared" si="271"/>
        <v>#NUM!</v>
      </c>
      <c r="BH5823" t="e">
        <f t="shared" si="272"/>
        <v>#NUM!</v>
      </c>
      <c r="BI5823" t="e">
        <f>VLOOKUP(H5823,Sheet2!$A$1:$B$270,2,FALSE)</f>
        <v>#N/A</v>
      </c>
    </row>
    <row r="5824" spans="15:61" hidden="1">
      <c r="O5824" s="57"/>
      <c r="P5824" s="57"/>
      <c r="AP5824" s="57"/>
      <c r="BA5824" s="57"/>
      <c r="BF5824" s="6" t="e">
        <f t="shared" si="270"/>
        <v>#NUM!</v>
      </c>
      <c r="BG5824" t="e">
        <f t="shared" si="271"/>
        <v>#NUM!</v>
      </c>
      <c r="BH5824" t="e">
        <f t="shared" si="272"/>
        <v>#NUM!</v>
      </c>
      <c r="BI5824" t="e">
        <f>VLOOKUP(H5824,Sheet2!$A$1:$B$270,2,FALSE)</f>
        <v>#N/A</v>
      </c>
    </row>
    <row r="5825" spans="15:61" hidden="1">
      <c r="O5825" s="57"/>
      <c r="P5825" s="57"/>
      <c r="BA5825" s="57"/>
      <c r="BF5825" s="6" t="e">
        <f t="shared" si="270"/>
        <v>#NUM!</v>
      </c>
      <c r="BG5825" t="e">
        <f t="shared" si="271"/>
        <v>#NUM!</v>
      </c>
      <c r="BH5825" t="e">
        <f t="shared" si="272"/>
        <v>#NUM!</v>
      </c>
      <c r="BI5825" t="e">
        <f>VLOOKUP(H5825,Sheet2!$A$1:$B$270,2,FALSE)</f>
        <v>#N/A</v>
      </c>
    </row>
    <row r="5826" spans="15:61" hidden="1">
      <c r="O5826" s="57"/>
      <c r="P5826" s="57"/>
      <c r="BA5826" s="57"/>
      <c r="BF5826" s="6" t="e">
        <f t="shared" ref="BF5826:BF5889" si="273">DATE(BC5826,BD5826,BE5826)</f>
        <v>#NUM!</v>
      </c>
      <c r="BG5826" t="e">
        <f t="shared" ref="BG5826:BG5889" si="274">BF5826-BA5826</f>
        <v>#NUM!</v>
      </c>
      <c r="BH5826" t="e">
        <f t="shared" ref="BH5826:BH5889" si="275">IF(BG5826=1,"COMPLY",IF(BG5826&lt;1,"COMPLY","NOT COMPLY"))</f>
        <v>#NUM!</v>
      </c>
      <c r="BI5826" t="e">
        <f>VLOOKUP(H5826,Sheet2!$A$1:$B$270,2,FALSE)</f>
        <v>#N/A</v>
      </c>
    </row>
    <row r="5827" spans="15:61" hidden="1">
      <c r="O5827" s="57"/>
      <c r="P5827" s="57"/>
      <c r="AP5827" s="57"/>
      <c r="BA5827" s="57"/>
      <c r="BF5827" s="6" t="e">
        <f t="shared" si="273"/>
        <v>#NUM!</v>
      </c>
      <c r="BG5827" t="e">
        <f t="shared" si="274"/>
        <v>#NUM!</v>
      </c>
      <c r="BH5827" t="e">
        <f t="shared" si="275"/>
        <v>#NUM!</v>
      </c>
      <c r="BI5827" t="e">
        <f>VLOOKUP(H5827,Sheet2!$A$1:$B$270,2,FALSE)</f>
        <v>#N/A</v>
      </c>
    </row>
    <row r="5828" spans="15:61" hidden="1">
      <c r="O5828" s="57"/>
      <c r="P5828" s="57"/>
      <c r="AO5828" s="57"/>
      <c r="AP5828" s="57"/>
      <c r="BA5828" s="57"/>
      <c r="BF5828" s="6" t="e">
        <f t="shared" si="273"/>
        <v>#NUM!</v>
      </c>
      <c r="BG5828" t="e">
        <f t="shared" si="274"/>
        <v>#NUM!</v>
      </c>
      <c r="BH5828" t="e">
        <f t="shared" si="275"/>
        <v>#NUM!</v>
      </c>
      <c r="BI5828" t="e">
        <f>VLOOKUP(H5828,Sheet2!$A$1:$B$270,2,FALSE)</f>
        <v>#N/A</v>
      </c>
    </row>
    <row r="5829" spans="15:61" hidden="1">
      <c r="O5829" s="57"/>
      <c r="P5829" s="57"/>
      <c r="AP5829" s="57"/>
      <c r="BA5829" s="57"/>
      <c r="BF5829" s="6" t="e">
        <f t="shared" si="273"/>
        <v>#NUM!</v>
      </c>
      <c r="BG5829" t="e">
        <f t="shared" si="274"/>
        <v>#NUM!</v>
      </c>
      <c r="BH5829" t="e">
        <f t="shared" si="275"/>
        <v>#NUM!</v>
      </c>
      <c r="BI5829" t="e">
        <f>VLOOKUP(H5829,Sheet2!$A$1:$B$270,2,FALSE)</f>
        <v>#N/A</v>
      </c>
    </row>
    <row r="5830" spans="15:61" hidden="1">
      <c r="O5830" s="57"/>
      <c r="P5830" s="57"/>
      <c r="BA5830" s="57"/>
      <c r="BF5830" s="6" t="e">
        <f t="shared" si="273"/>
        <v>#NUM!</v>
      </c>
      <c r="BG5830" t="e">
        <f t="shared" si="274"/>
        <v>#NUM!</v>
      </c>
      <c r="BH5830" t="e">
        <f t="shared" si="275"/>
        <v>#NUM!</v>
      </c>
      <c r="BI5830" t="e">
        <f>VLOOKUP(H5830,Sheet2!$A$1:$B$270,2,FALSE)</f>
        <v>#N/A</v>
      </c>
    </row>
    <row r="5831" spans="15:61" hidden="1">
      <c r="O5831" s="57"/>
      <c r="P5831" s="57"/>
      <c r="AP5831" s="57"/>
      <c r="BA5831" s="57"/>
      <c r="BF5831" s="6" t="e">
        <f t="shared" si="273"/>
        <v>#NUM!</v>
      </c>
      <c r="BG5831" t="e">
        <f t="shared" si="274"/>
        <v>#NUM!</v>
      </c>
      <c r="BH5831" t="e">
        <f t="shared" si="275"/>
        <v>#NUM!</v>
      </c>
      <c r="BI5831" t="e">
        <f>VLOOKUP(H5831,Sheet2!$A$1:$B$270,2,FALSE)</f>
        <v>#N/A</v>
      </c>
    </row>
    <row r="5832" spans="15:61" hidden="1">
      <c r="O5832" s="57"/>
      <c r="P5832" s="57"/>
      <c r="BA5832" s="57"/>
      <c r="BF5832" s="6" t="e">
        <f t="shared" si="273"/>
        <v>#NUM!</v>
      </c>
      <c r="BG5832" t="e">
        <f t="shared" si="274"/>
        <v>#NUM!</v>
      </c>
      <c r="BH5832" t="e">
        <f t="shared" si="275"/>
        <v>#NUM!</v>
      </c>
      <c r="BI5832" t="e">
        <f>VLOOKUP(H5832,Sheet2!$A$1:$B$270,2,FALSE)</f>
        <v>#N/A</v>
      </c>
    </row>
    <row r="5833" spans="15:61" hidden="1">
      <c r="O5833" s="57"/>
      <c r="P5833" s="57"/>
      <c r="AP5833" s="57"/>
      <c r="BA5833" s="57"/>
      <c r="BF5833" s="6" t="e">
        <f t="shared" si="273"/>
        <v>#NUM!</v>
      </c>
      <c r="BG5833" t="e">
        <f t="shared" si="274"/>
        <v>#NUM!</v>
      </c>
      <c r="BH5833" t="e">
        <f t="shared" si="275"/>
        <v>#NUM!</v>
      </c>
      <c r="BI5833" t="e">
        <f>VLOOKUP(H5833,Sheet2!$A$1:$B$270,2,FALSE)</f>
        <v>#N/A</v>
      </c>
    </row>
    <row r="5834" spans="15:61" hidden="1">
      <c r="O5834" s="57"/>
      <c r="P5834" s="57"/>
      <c r="AO5834" s="57"/>
      <c r="AP5834" s="57"/>
      <c r="BA5834" s="57"/>
      <c r="BF5834" s="6" t="e">
        <f t="shared" si="273"/>
        <v>#NUM!</v>
      </c>
      <c r="BG5834" t="e">
        <f t="shared" si="274"/>
        <v>#NUM!</v>
      </c>
      <c r="BH5834" t="e">
        <f t="shared" si="275"/>
        <v>#NUM!</v>
      </c>
      <c r="BI5834" t="e">
        <f>VLOOKUP(H5834,Sheet2!$A$1:$B$270,2,FALSE)</f>
        <v>#N/A</v>
      </c>
    </row>
    <row r="5835" spans="15:61" hidden="1">
      <c r="O5835" s="57"/>
      <c r="P5835" s="57"/>
      <c r="AP5835" s="57"/>
      <c r="BA5835" s="57"/>
      <c r="BF5835" s="6" t="e">
        <f t="shared" si="273"/>
        <v>#NUM!</v>
      </c>
      <c r="BG5835" t="e">
        <f t="shared" si="274"/>
        <v>#NUM!</v>
      </c>
      <c r="BH5835" t="e">
        <f t="shared" si="275"/>
        <v>#NUM!</v>
      </c>
      <c r="BI5835" t="e">
        <f>VLOOKUP(H5835,Sheet2!$A$1:$B$270,2,FALSE)</f>
        <v>#N/A</v>
      </c>
    </row>
    <row r="5836" spans="15:61" hidden="1">
      <c r="O5836" s="57"/>
      <c r="P5836" s="57"/>
      <c r="AP5836" s="57"/>
      <c r="BA5836" s="57"/>
      <c r="BF5836" s="6" t="e">
        <f t="shared" si="273"/>
        <v>#NUM!</v>
      </c>
      <c r="BG5836" t="e">
        <f t="shared" si="274"/>
        <v>#NUM!</v>
      </c>
      <c r="BH5836" t="e">
        <f t="shared" si="275"/>
        <v>#NUM!</v>
      </c>
      <c r="BI5836" t="e">
        <f>VLOOKUP(H5836,Sheet2!$A$1:$B$270,2,FALSE)</f>
        <v>#N/A</v>
      </c>
    </row>
    <row r="5837" spans="15:61" hidden="1">
      <c r="O5837" s="57"/>
      <c r="P5837" s="57"/>
      <c r="AO5837" s="57"/>
      <c r="AP5837" s="57"/>
      <c r="BA5837" s="57"/>
      <c r="BF5837" s="6" t="e">
        <f t="shared" si="273"/>
        <v>#NUM!</v>
      </c>
      <c r="BG5837" t="e">
        <f t="shared" si="274"/>
        <v>#NUM!</v>
      </c>
      <c r="BH5837" t="e">
        <f t="shared" si="275"/>
        <v>#NUM!</v>
      </c>
      <c r="BI5837" t="e">
        <f>VLOOKUP(H5837,Sheet2!$A$1:$B$270,2,FALSE)</f>
        <v>#N/A</v>
      </c>
    </row>
    <row r="5838" spans="15:61" hidden="1">
      <c r="O5838" s="57"/>
      <c r="P5838" s="57"/>
      <c r="AO5838" s="57"/>
      <c r="AP5838" s="57"/>
      <c r="BA5838" s="57"/>
      <c r="BF5838" s="6" t="e">
        <f t="shared" si="273"/>
        <v>#NUM!</v>
      </c>
      <c r="BG5838" t="e">
        <f t="shared" si="274"/>
        <v>#NUM!</v>
      </c>
      <c r="BH5838" t="e">
        <f t="shared" si="275"/>
        <v>#NUM!</v>
      </c>
      <c r="BI5838" t="e">
        <f>VLOOKUP(H5838,Sheet2!$A$1:$B$270,2,FALSE)</f>
        <v>#N/A</v>
      </c>
    </row>
    <row r="5839" spans="15:61" hidden="1">
      <c r="O5839" s="57"/>
      <c r="P5839" s="57"/>
      <c r="AO5839" s="57"/>
      <c r="BA5839" s="57"/>
      <c r="BF5839" s="6" t="e">
        <f t="shared" si="273"/>
        <v>#NUM!</v>
      </c>
      <c r="BG5839" t="e">
        <f t="shared" si="274"/>
        <v>#NUM!</v>
      </c>
      <c r="BH5839" t="e">
        <f t="shared" si="275"/>
        <v>#NUM!</v>
      </c>
      <c r="BI5839" t="e">
        <f>VLOOKUP(H5839,Sheet2!$A$1:$B$270,2,FALSE)</f>
        <v>#N/A</v>
      </c>
    </row>
    <row r="5840" spans="15:61" hidden="1">
      <c r="O5840" s="57"/>
      <c r="P5840" s="57"/>
      <c r="AP5840" s="57"/>
      <c r="BA5840" s="57"/>
      <c r="BF5840" s="6" t="e">
        <f t="shared" si="273"/>
        <v>#NUM!</v>
      </c>
      <c r="BG5840" t="e">
        <f t="shared" si="274"/>
        <v>#NUM!</v>
      </c>
      <c r="BH5840" t="e">
        <f t="shared" si="275"/>
        <v>#NUM!</v>
      </c>
      <c r="BI5840" t="e">
        <f>VLOOKUP(H5840,Sheet2!$A$1:$B$270,2,FALSE)</f>
        <v>#N/A</v>
      </c>
    </row>
    <row r="5841" spans="15:61" hidden="1">
      <c r="O5841" s="57"/>
      <c r="P5841" s="57"/>
      <c r="AO5841" s="57"/>
      <c r="AP5841" s="57"/>
      <c r="BA5841" s="57"/>
      <c r="BF5841" s="6" t="e">
        <f t="shared" si="273"/>
        <v>#NUM!</v>
      </c>
      <c r="BG5841" t="e">
        <f t="shared" si="274"/>
        <v>#NUM!</v>
      </c>
      <c r="BH5841" t="e">
        <f t="shared" si="275"/>
        <v>#NUM!</v>
      </c>
      <c r="BI5841" t="e">
        <f>VLOOKUP(H5841,Sheet2!$A$1:$B$270,2,FALSE)</f>
        <v>#N/A</v>
      </c>
    </row>
    <row r="5842" spans="15:61" hidden="1">
      <c r="O5842" s="57"/>
      <c r="P5842" s="57"/>
      <c r="AP5842" s="57"/>
      <c r="BA5842" s="57"/>
      <c r="BF5842" s="6" t="e">
        <f t="shared" si="273"/>
        <v>#NUM!</v>
      </c>
      <c r="BG5842" t="e">
        <f t="shared" si="274"/>
        <v>#NUM!</v>
      </c>
      <c r="BH5842" t="e">
        <f t="shared" si="275"/>
        <v>#NUM!</v>
      </c>
      <c r="BI5842" t="e">
        <f>VLOOKUP(H5842,Sheet2!$A$1:$B$270,2,FALSE)</f>
        <v>#N/A</v>
      </c>
    </row>
    <row r="5843" spans="15:61" hidden="1">
      <c r="O5843" s="57"/>
      <c r="P5843" s="57"/>
      <c r="AP5843" s="57"/>
      <c r="BA5843" s="57"/>
      <c r="BF5843" s="6" t="e">
        <f t="shared" si="273"/>
        <v>#NUM!</v>
      </c>
      <c r="BG5843" t="e">
        <f t="shared" si="274"/>
        <v>#NUM!</v>
      </c>
      <c r="BH5843" t="e">
        <f t="shared" si="275"/>
        <v>#NUM!</v>
      </c>
      <c r="BI5843" t="e">
        <f>VLOOKUP(H5843,Sheet2!$A$1:$B$270,2,FALSE)</f>
        <v>#N/A</v>
      </c>
    </row>
    <row r="5844" spans="15:61" hidden="1">
      <c r="O5844" s="57"/>
      <c r="P5844" s="57"/>
      <c r="AO5844" s="57"/>
      <c r="BA5844" s="57"/>
      <c r="BF5844" s="6" t="e">
        <f t="shared" si="273"/>
        <v>#NUM!</v>
      </c>
      <c r="BG5844" t="e">
        <f t="shared" si="274"/>
        <v>#NUM!</v>
      </c>
      <c r="BH5844" t="e">
        <f t="shared" si="275"/>
        <v>#NUM!</v>
      </c>
      <c r="BI5844" t="e">
        <f>VLOOKUP(H5844,Sheet2!$A$1:$B$270,2,FALSE)</f>
        <v>#N/A</v>
      </c>
    </row>
    <row r="5845" spans="15:61" hidden="1">
      <c r="O5845" s="57"/>
      <c r="P5845" s="57"/>
      <c r="AM5845" s="58"/>
      <c r="AO5845" s="57"/>
      <c r="BA5845" s="57"/>
      <c r="BB5845" s="58"/>
      <c r="BF5845" s="6" t="e">
        <f t="shared" si="273"/>
        <v>#NUM!</v>
      </c>
      <c r="BG5845" t="e">
        <f t="shared" si="274"/>
        <v>#NUM!</v>
      </c>
      <c r="BH5845" t="e">
        <f t="shared" si="275"/>
        <v>#NUM!</v>
      </c>
      <c r="BI5845" t="e">
        <f>VLOOKUP(H5845,Sheet2!$A$1:$B$270,2,FALSE)</f>
        <v>#N/A</v>
      </c>
    </row>
    <row r="5846" spans="15:61" hidden="1">
      <c r="O5846" s="57"/>
      <c r="P5846" s="57"/>
      <c r="AM5846" s="58"/>
      <c r="BA5846" s="57"/>
      <c r="BB5846" s="58"/>
      <c r="BF5846" s="6" t="e">
        <f t="shared" si="273"/>
        <v>#NUM!</v>
      </c>
      <c r="BG5846" t="e">
        <f t="shared" si="274"/>
        <v>#NUM!</v>
      </c>
      <c r="BH5846" t="e">
        <f t="shared" si="275"/>
        <v>#NUM!</v>
      </c>
      <c r="BI5846" t="e">
        <f>VLOOKUP(H5846,Sheet2!$A$1:$B$270,2,FALSE)</f>
        <v>#N/A</v>
      </c>
    </row>
    <row r="5847" spans="15:61" hidden="1">
      <c r="O5847" s="57"/>
      <c r="P5847" s="57"/>
      <c r="AP5847" s="57"/>
      <c r="BA5847" s="57"/>
      <c r="BF5847" s="6" t="e">
        <f t="shared" si="273"/>
        <v>#NUM!</v>
      </c>
      <c r="BG5847" t="e">
        <f t="shared" si="274"/>
        <v>#NUM!</v>
      </c>
      <c r="BH5847" t="e">
        <f t="shared" si="275"/>
        <v>#NUM!</v>
      </c>
      <c r="BI5847" t="e">
        <f>VLOOKUP(H5847,Sheet2!$A$1:$B$270,2,FALSE)</f>
        <v>#N/A</v>
      </c>
    </row>
    <row r="5848" spans="15:61" hidden="1">
      <c r="O5848" s="57"/>
      <c r="P5848" s="57"/>
      <c r="AM5848" s="58"/>
      <c r="BA5848" s="57"/>
      <c r="BB5848" s="58"/>
      <c r="BF5848" s="6" t="e">
        <f t="shared" si="273"/>
        <v>#NUM!</v>
      </c>
      <c r="BG5848" t="e">
        <f t="shared" si="274"/>
        <v>#NUM!</v>
      </c>
      <c r="BH5848" t="e">
        <f t="shared" si="275"/>
        <v>#NUM!</v>
      </c>
      <c r="BI5848" t="e">
        <f>VLOOKUP(H5848,Sheet2!$A$1:$B$270,2,FALSE)</f>
        <v>#N/A</v>
      </c>
    </row>
    <row r="5849" spans="15:61" hidden="1">
      <c r="O5849" s="57"/>
      <c r="P5849" s="57"/>
      <c r="AM5849" s="58"/>
      <c r="BA5849" s="57"/>
      <c r="BB5849" s="58"/>
      <c r="BF5849" s="6" t="e">
        <f t="shared" si="273"/>
        <v>#NUM!</v>
      </c>
      <c r="BG5849" t="e">
        <f t="shared" si="274"/>
        <v>#NUM!</v>
      </c>
      <c r="BH5849" t="e">
        <f t="shared" si="275"/>
        <v>#NUM!</v>
      </c>
      <c r="BI5849" t="e">
        <f>VLOOKUP(H5849,Sheet2!$A$1:$B$270,2,FALSE)</f>
        <v>#N/A</v>
      </c>
    </row>
    <row r="5850" spans="15:61" hidden="1">
      <c r="O5850" s="57"/>
      <c r="P5850" s="57"/>
      <c r="AP5850" s="57"/>
      <c r="BA5850" s="57"/>
      <c r="BF5850" s="6" t="e">
        <f t="shared" si="273"/>
        <v>#NUM!</v>
      </c>
      <c r="BG5850" t="e">
        <f t="shared" si="274"/>
        <v>#NUM!</v>
      </c>
      <c r="BH5850" t="e">
        <f t="shared" si="275"/>
        <v>#NUM!</v>
      </c>
      <c r="BI5850" t="e">
        <f>VLOOKUP(H5850,Sheet2!$A$1:$B$270,2,FALSE)</f>
        <v>#N/A</v>
      </c>
    </row>
    <row r="5851" spans="15:61" hidden="1">
      <c r="O5851" s="57"/>
      <c r="P5851" s="57"/>
      <c r="AO5851" s="57"/>
      <c r="AP5851" s="57"/>
      <c r="BA5851" s="57"/>
      <c r="BF5851" s="6" t="e">
        <f t="shared" si="273"/>
        <v>#NUM!</v>
      </c>
      <c r="BG5851" t="e">
        <f t="shared" si="274"/>
        <v>#NUM!</v>
      </c>
      <c r="BH5851" t="e">
        <f t="shared" si="275"/>
        <v>#NUM!</v>
      </c>
      <c r="BI5851" t="e">
        <f>VLOOKUP(H5851,Sheet2!$A$1:$B$270,2,FALSE)</f>
        <v>#N/A</v>
      </c>
    </row>
    <row r="5852" spans="15:61" hidden="1">
      <c r="O5852" s="57"/>
      <c r="P5852" s="57"/>
      <c r="AP5852" s="57"/>
      <c r="BA5852" s="57"/>
      <c r="BF5852" s="6" t="e">
        <f t="shared" si="273"/>
        <v>#NUM!</v>
      </c>
      <c r="BG5852" t="e">
        <f t="shared" si="274"/>
        <v>#NUM!</v>
      </c>
      <c r="BH5852" t="e">
        <f t="shared" si="275"/>
        <v>#NUM!</v>
      </c>
      <c r="BI5852" t="e">
        <f>VLOOKUP(H5852,Sheet2!$A$1:$B$270,2,FALSE)</f>
        <v>#N/A</v>
      </c>
    </row>
    <row r="5853" spans="15:61" hidden="1">
      <c r="O5853" s="57"/>
      <c r="P5853" s="57"/>
      <c r="AM5853" s="58"/>
      <c r="BA5853" s="57"/>
      <c r="BB5853" s="58"/>
      <c r="BF5853" s="6" t="e">
        <f t="shared" si="273"/>
        <v>#NUM!</v>
      </c>
      <c r="BG5853" t="e">
        <f t="shared" si="274"/>
        <v>#NUM!</v>
      </c>
      <c r="BH5853" t="e">
        <f t="shared" si="275"/>
        <v>#NUM!</v>
      </c>
      <c r="BI5853" t="e">
        <f>VLOOKUP(H5853,Sheet2!$A$1:$B$270,2,FALSE)</f>
        <v>#N/A</v>
      </c>
    </row>
    <row r="5854" spans="15:61" hidden="1">
      <c r="O5854" s="57"/>
      <c r="P5854" s="57"/>
      <c r="AO5854" s="57"/>
      <c r="AP5854" s="57"/>
      <c r="BA5854" s="57"/>
      <c r="BF5854" s="6" t="e">
        <f t="shared" si="273"/>
        <v>#NUM!</v>
      </c>
      <c r="BG5854" t="e">
        <f t="shared" si="274"/>
        <v>#NUM!</v>
      </c>
      <c r="BH5854" t="e">
        <f t="shared" si="275"/>
        <v>#NUM!</v>
      </c>
      <c r="BI5854" t="e">
        <f>VLOOKUP(H5854,Sheet2!$A$1:$B$270,2,FALSE)</f>
        <v>#N/A</v>
      </c>
    </row>
    <row r="5855" spans="15:61" hidden="1">
      <c r="O5855" s="57"/>
      <c r="P5855" s="57"/>
      <c r="BA5855" s="57"/>
      <c r="BF5855" s="6" t="e">
        <f t="shared" si="273"/>
        <v>#NUM!</v>
      </c>
      <c r="BG5855" t="e">
        <f t="shared" si="274"/>
        <v>#NUM!</v>
      </c>
      <c r="BH5855" t="e">
        <f t="shared" si="275"/>
        <v>#NUM!</v>
      </c>
      <c r="BI5855" t="e">
        <f>VLOOKUP(H5855,Sheet2!$A$1:$B$270,2,FALSE)</f>
        <v>#N/A</v>
      </c>
    </row>
    <row r="5856" spans="15:61" hidden="1">
      <c r="O5856" s="57"/>
      <c r="P5856" s="57"/>
      <c r="AO5856" s="57"/>
      <c r="BA5856" s="57"/>
      <c r="BF5856" s="6" t="e">
        <f t="shared" si="273"/>
        <v>#NUM!</v>
      </c>
      <c r="BG5856" t="e">
        <f t="shared" si="274"/>
        <v>#NUM!</v>
      </c>
      <c r="BH5856" t="e">
        <f t="shared" si="275"/>
        <v>#NUM!</v>
      </c>
      <c r="BI5856" t="e">
        <f>VLOOKUP(H5856,Sheet2!$A$1:$B$270,2,FALSE)</f>
        <v>#N/A</v>
      </c>
    </row>
    <row r="5857" spans="15:61" hidden="1">
      <c r="O5857" s="57"/>
      <c r="P5857" s="57"/>
      <c r="AO5857" s="57"/>
      <c r="AP5857" s="57"/>
      <c r="BA5857" s="57"/>
      <c r="BF5857" s="6" t="e">
        <f t="shared" si="273"/>
        <v>#NUM!</v>
      </c>
      <c r="BG5857" t="e">
        <f t="shared" si="274"/>
        <v>#NUM!</v>
      </c>
      <c r="BH5857" t="e">
        <f t="shared" si="275"/>
        <v>#NUM!</v>
      </c>
      <c r="BI5857" t="e">
        <f>VLOOKUP(H5857,Sheet2!$A$1:$B$270,2,FALSE)</f>
        <v>#N/A</v>
      </c>
    </row>
    <row r="5858" spans="15:61" hidden="1">
      <c r="O5858" s="57"/>
      <c r="P5858" s="57"/>
      <c r="AP5858" s="57"/>
      <c r="BA5858" s="57"/>
      <c r="BF5858" s="6" t="e">
        <f t="shared" si="273"/>
        <v>#NUM!</v>
      </c>
      <c r="BG5858" t="e">
        <f t="shared" si="274"/>
        <v>#NUM!</v>
      </c>
      <c r="BH5858" t="e">
        <f t="shared" si="275"/>
        <v>#NUM!</v>
      </c>
      <c r="BI5858" t="e">
        <f>VLOOKUP(H5858,Sheet2!$A$1:$B$270,2,FALSE)</f>
        <v>#N/A</v>
      </c>
    </row>
    <row r="5859" spans="15:61" hidden="1">
      <c r="O5859" s="57"/>
      <c r="P5859" s="57"/>
      <c r="BA5859" s="57"/>
      <c r="BF5859" s="6" t="e">
        <f t="shared" si="273"/>
        <v>#NUM!</v>
      </c>
      <c r="BG5859" t="e">
        <f t="shared" si="274"/>
        <v>#NUM!</v>
      </c>
      <c r="BH5859" t="e">
        <f t="shared" si="275"/>
        <v>#NUM!</v>
      </c>
      <c r="BI5859" t="e">
        <f>VLOOKUP(H5859,Sheet2!$A$1:$B$270,2,FALSE)</f>
        <v>#N/A</v>
      </c>
    </row>
    <row r="5860" spans="15:61" hidden="1">
      <c r="O5860" s="57"/>
      <c r="P5860" s="57"/>
      <c r="AP5860" s="57"/>
      <c r="BA5860" s="57"/>
      <c r="BF5860" s="6" t="e">
        <f t="shared" si="273"/>
        <v>#NUM!</v>
      </c>
      <c r="BG5860" t="e">
        <f t="shared" si="274"/>
        <v>#NUM!</v>
      </c>
      <c r="BH5860" t="e">
        <f t="shared" si="275"/>
        <v>#NUM!</v>
      </c>
      <c r="BI5860" t="e">
        <f>VLOOKUP(H5860,Sheet2!$A$1:$B$270,2,FALSE)</f>
        <v>#N/A</v>
      </c>
    </row>
    <row r="5861" spans="15:61" hidden="1">
      <c r="O5861" s="57"/>
      <c r="P5861" s="57"/>
      <c r="AO5861" s="57"/>
      <c r="AP5861" s="57"/>
      <c r="BA5861" s="57"/>
      <c r="BF5861" s="6" t="e">
        <f t="shared" si="273"/>
        <v>#NUM!</v>
      </c>
      <c r="BG5861" t="e">
        <f t="shared" si="274"/>
        <v>#NUM!</v>
      </c>
      <c r="BH5861" t="e">
        <f t="shared" si="275"/>
        <v>#NUM!</v>
      </c>
      <c r="BI5861" t="e">
        <f>VLOOKUP(H5861,Sheet2!$A$1:$B$270,2,FALSE)</f>
        <v>#N/A</v>
      </c>
    </row>
    <row r="5862" spans="15:61" hidden="1">
      <c r="O5862" s="57"/>
      <c r="P5862" s="57"/>
      <c r="AP5862" s="57"/>
      <c r="BA5862" s="57"/>
      <c r="BF5862" s="6" t="e">
        <f t="shared" si="273"/>
        <v>#NUM!</v>
      </c>
      <c r="BG5862" t="e">
        <f t="shared" si="274"/>
        <v>#NUM!</v>
      </c>
      <c r="BH5862" t="e">
        <f t="shared" si="275"/>
        <v>#NUM!</v>
      </c>
      <c r="BI5862" t="e">
        <f>VLOOKUP(H5862,Sheet2!$A$1:$B$270,2,FALSE)</f>
        <v>#N/A</v>
      </c>
    </row>
    <row r="5863" spans="15:61" hidden="1">
      <c r="O5863" s="57"/>
      <c r="P5863" s="57"/>
      <c r="BA5863" s="57"/>
      <c r="BF5863" s="6" t="e">
        <f t="shared" si="273"/>
        <v>#NUM!</v>
      </c>
      <c r="BG5863" t="e">
        <f t="shared" si="274"/>
        <v>#NUM!</v>
      </c>
      <c r="BH5863" t="e">
        <f t="shared" si="275"/>
        <v>#NUM!</v>
      </c>
      <c r="BI5863" t="e">
        <f>VLOOKUP(H5863,Sheet2!$A$1:$B$270,2,FALSE)</f>
        <v>#N/A</v>
      </c>
    </row>
    <row r="5864" spans="15:61" hidden="1">
      <c r="O5864" s="57"/>
      <c r="P5864" s="57"/>
      <c r="AM5864" s="58"/>
      <c r="BA5864" s="57"/>
      <c r="BB5864" s="58"/>
      <c r="BF5864" s="6" t="e">
        <f t="shared" si="273"/>
        <v>#NUM!</v>
      </c>
      <c r="BG5864" t="e">
        <f t="shared" si="274"/>
        <v>#NUM!</v>
      </c>
      <c r="BH5864" t="e">
        <f t="shared" si="275"/>
        <v>#NUM!</v>
      </c>
      <c r="BI5864" t="e">
        <f>VLOOKUP(H5864,Sheet2!$A$1:$B$270,2,FALSE)</f>
        <v>#N/A</v>
      </c>
    </row>
    <row r="5865" spans="15:61" hidden="1">
      <c r="O5865" s="57"/>
      <c r="P5865" s="57"/>
      <c r="AO5865" s="57"/>
      <c r="AP5865" s="57"/>
      <c r="BA5865" s="57"/>
      <c r="BF5865" s="6" t="e">
        <f t="shared" si="273"/>
        <v>#NUM!</v>
      </c>
      <c r="BG5865" t="e">
        <f t="shared" si="274"/>
        <v>#NUM!</v>
      </c>
      <c r="BH5865" t="e">
        <f t="shared" si="275"/>
        <v>#NUM!</v>
      </c>
      <c r="BI5865" t="e">
        <f>VLOOKUP(H5865,Sheet2!$A$1:$B$270,2,FALSE)</f>
        <v>#N/A</v>
      </c>
    </row>
    <row r="5866" spans="15:61" hidden="1">
      <c r="O5866" s="57"/>
      <c r="P5866" s="57"/>
      <c r="AP5866" s="57"/>
      <c r="BA5866" s="57"/>
      <c r="BF5866" s="6" t="e">
        <f t="shared" si="273"/>
        <v>#NUM!</v>
      </c>
      <c r="BG5866" t="e">
        <f t="shared" si="274"/>
        <v>#NUM!</v>
      </c>
      <c r="BH5866" t="e">
        <f t="shared" si="275"/>
        <v>#NUM!</v>
      </c>
      <c r="BI5866" t="e">
        <f>VLOOKUP(H5866,Sheet2!$A$1:$B$270,2,FALSE)</f>
        <v>#N/A</v>
      </c>
    </row>
    <row r="5867" spans="15:61" hidden="1">
      <c r="O5867" s="57"/>
      <c r="P5867" s="57"/>
      <c r="BF5867" s="6" t="e">
        <f t="shared" si="273"/>
        <v>#NUM!</v>
      </c>
      <c r="BG5867" t="e">
        <f t="shared" si="274"/>
        <v>#NUM!</v>
      </c>
      <c r="BH5867" t="e">
        <f t="shared" si="275"/>
        <v>#NUM!</v>
      </c>
      <c r="BI5867" t="e">
        <f>VLOOKUP(H5867,Sheet2!$A$1:$B$270,2,FALSE)</f>
        <v>#N/A</v>
      </c>
    </row>
    <row r="5868" spans="15:61" hidden="1">
      <c r="O5868" s="57"/>
      <c r="P5868" s="57"/>
      <c r="AP5868" s="57"/>
      <c r="BA5868" s="57"/>
      <c r="BF5868" s="6" t="e">
        <f t="shared" si="273"/>
        <v>#NUM!</v>
      </c>
      <c r="BG5868" t="e">
        <f t="shared" si="274"/>
        <v>#NUM!</v>
      </c>
      <c r="BH5868" t="e">
        <f t="shared" si="275"/>
        <v>#NUM!</v>
      </c>
      <c r="BI5868" t="e">
        <f>VLOOKUP(H5868,Sheet2!$A$1:$B$270,2,FALSE)</f>
        <v>#N/A</v>
      </c>
    </row>
    <row r="5869" spans="15:61" hidden="1">
      <c r="O5869" s="57"/>
      <c r="P5869" s="57"/>
      <c r="AP5869" s="57"/>
      <c r="BA5869" s="57"/>
      <c r="BF5869" s="6" t="e">
        <f t="shared" si="273"/>
        <v>#NUM!</v>
      </c>
      <c r="BG5869" t="e">
        <f t="shared" si="274"/>
        <v>#NUM!</v>
      </c>
      <c r="BH5869" t="e">
        <f t="shared" si="275"/>
        <v>#NUM!</v>
      </c>
      <c r="BI5869" t="e">
        <f>VLOOKUP(H5869,Sheet2!$A$1:$B$270,2,FALSE)</f>
        <v>#N/A</v>
      </c>
    </row>
    <row r="5870" spans="15:61" hidden="1">
      <c r="O5870" s="57"/>
      <c r="P5870" s="57"/>
      <c r="AO5870" s="57"/>
      <c r="AP5870" s="57"/>
      <c r="BA5870" s="57"/>
      <c r="BF5870" s="6" t="e">
        <f t="shared" si="273"/>
        <v>#NUM!</v>
      </c>
      <c r="BG5870" t="e">
        <f t="shared" si="274"/>
        <v>#NUM!</v>
      </c>
      <c r="BH5870" t="e">
        <f t="shared" si="275"/>
        <v>#NUM!</v>
      </c>
      <c r="BI5870" t="e">
        <f>VLOOKUP(H5870,Sheet2!$A$1:$B$270,2,FALSE)</f>
        <v>#N/A</v>
      </c>
    </row>
    <row r="5871" spans="15:61" hidden="1">
      <c r="O5871" s="57"/>
      <c r="P5871" s="57"/>
      <c r="AP5871" s="57"/>
      <c r="BA5871" s="57"/>
      <c r="BF5871" s="6" t="e">
        <f t="shared" si="273"/>
        <v>#NUM!</v>
      </c>
      <c r="BG5871" t="e">
        <f t="shared" si="274"/>
        <v>#NUM!</v>
      </c>
      <c r="BH5871" t="e">
        <f t="shared" si="275"/>
        <v>#NUM!</v>
      </c>
      <c r="BI5871" t="e">
        <f>VLOOKUP(H5871,Sheet2!$A$1:$B$270,2,FALSE)</f>
        <v>#N/A</v>
      </c>
    </row>
    <row r="5872" spans="15:61" hidden="1">
      <c r="O5872" s="57"/>
      <c r="P5872" s="57"/>
      <c r="AO5872" s="57"/>
      <c r="AP5872" s="57"/>
      <c r="BA5872" s="57"/>
      <c r="BF5872" s="6" t="e">
        <f t="shared" si="273"/>
        <v>#NUM!</v>
      </c>
      <c r="BG5872" t="e">
        <f t="shared" si="274"/>
        <v>#NUM!</v>
      </c>
      <c r="BH5872" t="e">
        <f t="shared" si="275"/>
        <v>#NUM!</v>
      </c>
      <c r="BI5872" t="e">
        <f>VLOOKUP(H5872,Sheet2!$A$1:$B$270,2,FALSE)</f>
        <v>#N/A</v>
      </c>
    </row>
    <row r="5873" spans="15:61" hidden="1">
      <c r="O5873" s="57"/>
      <c r="P5873" s="57"/>
      <c r="AO5873" s="57"/>
      <c r="AP5873" s="57"/>
      <c r="BA5873" s="57"/>
      <c r="BF5873" s="6" t="e">
        <f t="shared" si="273"/>
        <v>#NUM!</v>
      </c>
      <c r="BG5873" t="e">
        <f t="shared" si="274"/>
        <v>#NUM!</v>
      </c>
      <c r="BH5873" t="e">
        <f t="shared" si="275"/>
        <v>#NUM!</v>
      </c>
      <c r="BI5873" t="e">
        <f>VLOOKUP(H5873,Sheet2!$A$1:$B$270,2,FALSE)</f>
        <v>#N/A</v>
      </c>
    </row>
    <row r="5874" spans="15:61" hidden="1">
      <c r="O5874" s="57"/>
      <c r="P5874" s="57"/>
      <c r="AP5874" s="57"/>
      <c r="BA5874" s="57"/>
      <c r="BF5874" s="6" t="e">
        <f t="shared" si="273"/>
        <v>#NUM!</v>
      </c>
      <c r="BG5874" t="e">
        <f t="shared" si="274"/>
        <v>#NUM!</v>
      </c>
      <c r="BH5874" t="e">
        <f t="shared" si="275"/>
        <v>#NUM!</v>
      </c>
      <c r="BI5874" t="e">
        <f>VLOOKUP(H5874,Sheet2!$A$1:$B$270,2,FALSE)</f>
        <v>#N/A</v>
      </c>
    </row>
    <row r="5875" spans="15:61" hidden="1">
      <c r="O5875" s="57"/>
      <c r="P5875" s="57"/>
      <c r="AP5875" s="57"/>
      <c r="BA5875" s="57"/>
      <c r="BF5875" s="6" t="e">
        <f t="shared" si="273"/>
        <v>#NUM!</v>
      </c>
      <c r="BG5875" t="e">
        <f t="shared" si="274"/>
        <v>#NUM!</v>
      </c>
      <c r="BH5875" t="e">
        <f t="shared" si="275"/>
        <v>#NUM!</v>
      </c>
      <c r="BI5875" t="e">
        <f>VLOOKUP(H5875,Sheet2!$A$1:$B$270,2,FALSE)</f>
        <v>#N/A</v>
      </c>
    </row>
    <row r="5876" spans="15:61" hidden="1">
      <c r="O5876" s="57"/>
      <c r="P5876" s="57"/>
      <c r="AP5876" s="57"/>
      <c r="BA5876" s="57"/>
      <c r="BF5876" s="6" t="e">
        <f t="shared" si="273"/>
        <v>#NUM!</v>
      </c>
      <c r="BG5876" t="e">
        <f t="shared" si="274"/>
        <v>#NUM!</v>
      </c>
      <c r="BH5876" t="e">
        <f t="shared" si="275"/>
        <v>#NUM!</v>
      </c>
      <c r="BI5876" t="e">
        <f>VLOOKUP(H5876,Sheet2!$A$1:$B$270,2,FALSE)</f>
        <v>#N/A</v>
      </c>
    </row>
    <row r="5877" spans="15:61" hidden="1">
      <c r="O5877" s="57"/>
      <c r="P5877" s="57"/>
      <c r="AM5877" s="58"/>
      <c r="AO5877" s="57"/>
      <c r="BA5877" s="57"/>
      <c r="BB5877" s="58"/>
      <c r="BF5877" s="6" t="e">
        <f t="shared" si="273"/>
        <v>#NUM!</v>
      </c>
      <c r="BG5877" t="e">
        <f t="shared" si="274"/>
        <v>#NUM!</v>
      </c>
      <c r="BH5877" t="e">
        <f t="shared" si="275"/>
        <v>#NUM!</v>
      </c>
      <c r="BI5877" t="e">
        <f>VLOOKUP(H5877,Sheet2!$A$1:$B$270,2,FALSE)</f>
        <v>#N/A</v>
      </c>
    </row>
    <row r="5878" spans="15:61" hidden="1">
      <c r="O5878" s="57"/>
      <c r="P5878" s="57"/>
      <c r="AP5878" s="57"/>
      <c r="BA5878" s="57"/>
      <c r="BF5878" s="6" t="e">
        <f t="shared" si="273"/>
        <v>#NUM!</v>
      </c>
      <c r="BG5878" t="e">
        <f t="shared" si="274"/>
        <v>#NUM!</v>
      </c>
      <c r="BH5878" t="e">
        <f t="shared" si="275"/>
        <v>#NUM!</v>
      </c>
      <c r="BI5878" t="e">
        <f>VLOOKUP(H5878,Sheet2!$A$1:$B$270,2,FALSE)</f>
        <v>#N/A</v>
      </c>
    </row>
    <row r="5879" spans="15:61" hidden="1">
      <c r="O5879" s="57"/>
      <c r="P5879" s="57"/>
      <c r="AO5879" s="57"/>
      <c r="AP5879" s="57"/>
      <c r="BA5879" s="57"/>
      <c r="BF5879" s="6" t="e">
        <f t="shared" si="273"/>
        <v>#NUM!</v>
      </c>
      <c r="BG5879" t="e">
        <f t="shared" si="274"/>
        <v>#NUM!</v>
      </c>
      <c r="BH5879" t="e">
        <f t="shared" si="275"/>
        <v>#NUM!</v>
      </c>
      <c r="BI5879" t="e">
        <f>VLOOKUP(H5879,Sheet2!$A$1:$B$270,2,FALSE)</f>
        <v>#N/A</v>
      </c>
    </row>
    <row r="5880" spans="15:61" hidden="1">
      <c r="O5880" s="57"/>
      <c r="P5880" s="57"/>
      <c r="AO5880" s="57"/>
      <c r="AP5880" s="57"/>
      <c r="BA5880" s="57"/>
      <c r="BF5880" s="6" t="e">
        <f t="shared" si="273"/>
        <v>#NUM!</v>
      </c>
      <c r="BG5880" t="e">
        <f t="shared" si="274"/>
        <v>#NUM!</v>
      </c>
      <c r="BH5880" t="e">
        <f t="shared" si="275"/>
        <v>#NUM!</v>
      </c>
      <c r="BI5880" t="e">
        <f>VLOOKUP(H5880,Sheet2!$A$1:$B$270,2,FALSE)</f>
        <v>#N/A</v>
      </c>
    </row>
    <row r="5881" spans="15:61" hidden="1">
      <c r="O5881" s="57"/>
      <c r="P5881" s="57"/>
      <c r="BA5881" s="57"/>
      <c r="BF5881" s="6" t="e">
        <f t="shared" si="273"/>
        <v>#NUM!</v>
      </c>
      <c r="BG5881" t="e">
        <f t="shared" si="274"/>
        <v>#NUM!</v>
      </c>
      <c r="BH5881" t="e">
        <f t="shared" si="275"/>
        <v>#NUM!</v>
      </c>
      <c r="BI5881" t="e">
        <f>VLOOKUP(H5881,Sheet2!$A$1:$B$270,2,FALSE)</f>
        <v>#N/A</v>
      </c>
    </row>
    <row r="5882" spans="15:61" hidden="1">
      <c r="O5882" s="57"/>
      <c r="P5882" s="57"/>
      <c r="AO5882" s="57"/>
      <c r="AP5882" s="57"/>
      <c r="BA5882" s="57"/>
      <c r="BF5882" s="6" t="e">
        <f t="shared" si="273"/>
        <v>#NUM!</v>
      </c>
      <c r="BG5882" t="e">
        <f t="shared" si="274"/>
        <v>#NUM!</v>
      </c>
      <c r="BH5882" t="e">
        <f t="shared" si="275"/>
        <v>#NUM!</v>
      </c>
      <c r="BI5882" t="e">
        <f>VLOOKUP(H5882,Sheet2!$A$1:$B$270,2,FALSE)</f>
        <v>#N/A</v>
      </c>
    </row>
    <row r="5883" spans="15:61" hidden="1">
      <c r="O5883" s="57"/>
      <c r="P5883" s="57"/>
      <c r="AP5883" s="57"/>
      <c r="BA5883" s="57"/>
      <c r="BF5883" s="6" t="e">
        <f t="shared" si="273"/>
        <v>#NUM!</v>
      </c>
      <c r="BG5883" t="e">
        <f t="shared" si="274"/>
        <v>#NUM!</v>
      </c>
      <c r="BH5883" t="e">
        <f t="shared" si="275"/>
        <v>#NUM!</v>
      </c>
      <c r="BI5883" t="e">
        <f>VLOOKUP(H5883,Sheet2!$A$1:$B$270,2,FALSE)</f>
        <v>#N/A</v>
      </c>
    </row>
    <row r="5884" spans="15:61" hidden="1">
      <c r="O5884" s="57"/>
      <c r="P5884" s="57"/>
      <c r="AP5884" s="57"/>
      <c r="BA5884" s="57"/>
      <c r="BF5884" s="6" t="e">
        <f t="shared" si="273"/>
        <v>#NUM!</v>
      </c>
      <c r="BG5884" t="e">
        <f t="shared" si="274"/>
        <v>#NUM!</v>
      </c>
      <c r="BH5884" t="e">
        <f t="shared" si="275"/>
        <v>#NUM!</v>
      </c>
      <c r="BI5884" t="e">
        <f>VLOOKUP(H5884,Sheet2!$A$1:$B$270,2,FALSE)</f>
        <v>#N/A</v>
      </c>
    </row>
    <row r="5885" spans="15:61" hidden="1">
      <c r="O5885" s="57"/>
      <c r="P5885" s="57"/>
      <c r="AM5885" s="58"/>
      <c r="BA5885" s="57"/>
      <c r="BB5885" s="58"/>
      <c r="BF5885" s="6" t="e">
        <f t="shared" si="273"/>
        <v>#NUM!</v>
      </c>
      <c r="BG5885" t="e">
        <f t="shared" si="274"/>
        <v>#NUM!</v>
      </c>
      <c r="BH5885" t="e">
        <f t="shared" si="275"/>
        <v>#NUM!</v>
      </c>
      <c r="BI5885" t="e">
        <f>VLOOKUP(H5885,Sheet2!$A$1:$B$270,2,FALSE)</f>
        <v>#N/A</v>
      </c>
    </row>
    <row r="5886" spans="15:61" hidden="1">
      <c r="O5886" s="57"/>
      <c r="P5886" s="57"/>
      <c r="AP5886" s="57"/>
      <c r="BA5886" s="57"/>
      <c r="BF5886" s="6" t="e">
        <f t="shared" si="273"/>
        <v>#NUM!</v>
      </c>
      <c r="BG5886" t="e">
        <f t="shared" si="274"/>
        <v>#NUM!</v>
      </c>
      <c r="BH5886" t="e">
        <f t="shared" si="275"/>
        <v>#NUM!</v>
      </c>
      <c r="BI5886" t="e">
        <f>VLOOKUP(H5886,Sheet2!$A$1:$B$270,2,FALSE)</f>
        <v>#N/A</v>
      </c>
    </row>
    <row r="5887" spans="15:61" hidden="1">
      <c r="O5887" s="57"/>
      <c r="P5887" s="57"/>
      <c r="AP5887" s="57"/>
      <c r="BA5887" s="57"/>
      <c r="BF5887" s="6" t="e">
        <f t="shared" si="273"/>
        <v>#NUM!</v>
      </c>
      <c r="BG5887" t="e">
        <f t="shared" si="274"/>
        <v>#NUM!</v>
      </c>
      <c r="BH5887" t="e">
        <f t="shared" si="275"/>
        <v>#NUM!</v>
      </c>
      <c r="BI5887" t="e">
        <f>VLOOKUP(H5887,Sheet2!$A$1:$B$270,2,FALSE)</f>
        <v>#N/A</v>
      </c>
    </row>
    <row r="5888" spans="15:61" hidden="1">
      <c r="O5888" s="57"/>
      <c r="P5888" s="57"/>
      <c r="AM5888" s="58"/>
      <c r="BA5888" s="57"/>
      <c r="BB5888" s="58"/>
      <c r="BF5888" s="6" t="e">
        <f t="shared" si="273"/>
        <v>#NUM!</v>
      </c>
      <c r="BG5888" t="e">
        <f t="shared" si="274"/>
        <v>#NUM!</v>
      </c>
      <c r="BH5888" t="e">
        <f t="shared" si="275"/>
        <v>#NUM!</v>
      </c>
      <c r="BI5888" t="e">
        <f>VLOOKUP(H5888,Sheet2!$A$1:$B$270,2,FALSE)</f>
        <v>#N/A</v>
      </c>
    </row>
    <row r="5889" spans="15:61" hidden="1">
      <c r="O5889" s="57"/>
      <c r="P5889" s="57"/>
      <c r="AO5889" s="57"/>
      <c r="AP5889" s="57"/>
      <c r="BA5889" s="57"/>
      <c r="BF5889" s="6" t="e">
        <f t="shared" si="273"/>
        <v>#NUM!</v>
      </c>
      <c r="BG5889" t="e">
        <f t="shared" si="274"/>
        <v>#NUM!</v>
      </c>
      <c r="BH5889" t="e">
        <f t="shared" si="275"/>
        <v>#NUM!</v>
      </c>
      <c r="BI5889" t="e">
        <f>VLOOKUP(H5889,Sheet2!$A$1:$B$270,2,FALSE)</f>
        <v>#N/A</v>
      </c>
    </row>
    <row r="5890" spans="15:61" hidden="1">
      <c r="O5890" s="57"/>
      <c r="P5890" s="57"/>
      <c r="AP5890" s="57"/>
      <c r="BA5890" s="57"/>
      <c r="BF5890" s="6" t="e">
        <f t="shared" ref="BF5890:BF5953" si="276">DATE(BC5890,BD5890,BE5890)</f>
        <v>#NUM!</v>
      </c>
      <c r="BG5890" t="e">
        <f t="shared" ref="BG5890:BG5953" si="277">BF5890-BA5890</f>
        <v>#NUM!</v>
      </c>
      <c r="BH5890" t="e">
        <f t="shared" ref="BH5890:BH5953" si="278">IF(BG5890=1,"COMPLY",IF(BG5890&lt;1,"COMPLY","NOT COMPLY"))</f>
        <v>#NUM!</v>
      </c>
      <c r="BI5890" t="e">
        <f>VLOOKUP(H5890,Sheet2!$A$1:$B$270,2,FALSE)</f>
        <v>#N/A</v>
      </c>
    </row>
    <row r="5891" spans="15:61" hidden="1">
      <c r="O5891" s="57"/>
      <c r="P5891" s="57"/>
      <c r="AP5891" s="57"/>
      <c r="BA5891" s="57"/>
      <c r="BF5891" s="6" t="e">
        <f t="shared" si="276"/>
        <v>#NUM!</v>
      </c>
      <c r="BG5891" t="e">
        <f t="shared" si="277"/>
        <v>#NUM!</v>
      </c>
      <c r="BH5891" t="e">
        <f t="shared" si="278"/>
        <v>#NUM!</v>
      </c>
      <c r="BI5891" t="e">
        <f>VLOOKUP(H5891,Sheet2!$A$1:$B$270,2,FALSE)</f>
        <v>#N/A</v>
      </c>
    </row>
    <row r="5892" spans="15:61" hidden="1">
      <c r="O5892" s="57"/>
      <c r="P5892" s="57"/>
      <c r="AP5892" s="57"/>
      <c r="BA5892" s="57"/>
      <c r="BF5892" s="6" t="e">
        <f t="shared" si="276"/>
        <v>#NUM!</v>
      </c>
      <c r="BG5892" t="e">
        <f t="shared" si="277"/>
        <v>#NUM!</v>
      </c>
      <c r="BH5892" t="e">
        <f t="shared" si="278"/>
        <v>#NUM!</v>
      </c>
      <c r="BI5892" t="e">
        <f>VLOOKUP(H5892,Sheet2!$A$1:$B$270,2,FALSE)</f>
        <v>#N/A</v>
      </c>
    </row>
    <row r="5893" spans="15:61" hidden="1">
      <c r="O5893" s="57"/>
      <c r="P5893" s="57"/>
      <c r="AP5893" s="57"/>
      <c r="BA5893" s="57"/>
      <c r="BF5893" s="6" t="e">
        <f t="shared" si="276"/>
        <v>#NUM!</v>
      </c>
      <c r="BG5893" t="e">
        <f t="shared" si="277"/>
        <v>#NUM!</v>
      </c>
      <c r="BH5893" t="e">
        <f t="shared" si="278"/>
        <v>#NUM!</v>
      </c>
      <c r="BI5893" t="e">
        <f>VLOOKUP(H5893,Sheet2!$A$1:$B$270,2,FALSE)</f>
        <v>#N/A</v>
      </c>
    </row>
    <row r="5894" spans="15:61" hidden="1">
      <c r="O5894" s="57"/>
      <c r="P5894" s="57"/>
      <c r="AO5894" s="57"/>
      <c r="AP5894" s="57"/>
      <c r="BA5894" s="57"/>
      <c r="BF5894" s="6" t="e">
        <f t="shared" si="276"/>
        <v>#NUM!</v>
      </c>
      <c r="BG5894" t="e">
        <f t="shared" si="277"/>
        <v>#NUM!</v>
      </c>
      <c r="BH5894" t="e">
        <f t="shared" si="278"/>
        <v>#NUM!</v>
      </c>
      <c r="BI5894" t="e">
        <f>VLOOKUP(H5894,Sheet2!$A$1:$B$270,2,FALSE)</f>
        <v>#N/A</v>
      </c>
    </row>
    <row r="5895" spans="15:61" hidden="1">
      <c r="O5895" s="57"/>
      <c r="P5895" s="57"/>
      <c r="AP5895" s="57"/>
      <c r="BA5895" s="57"/>
      <c r="BF5895" s="6" t="e">
        <f t="shared" si="276"/>
        <v>#NUM!</v>
      </c>
      <c r="BG5895" t="e">
        <f t="shared" si="277"/>
        <v>#NUM!</v>
      </c>
      <c r="BH5895" t="e">
        <f t="shared" si="278"/>
        <v>#NUM!</v>
      </c>
      <c r="BI5895" t="e">
        <f>VLOOKUP(H5895,Sheet2!$A$1:$B$270,2,FALSE)</f>
        <v>#N/A</v>
      </c>
    </row>
    <row r="5896" spans="15:61" hidden="1">
      <c r="O5896" s="57"/>
      <c r="P5896" s="57"/>
      <c r="AP5896" s="57"/>
      <c r="BA5896" s="57"/>
      <c r="BF5896" s="6" t="e">
        <f t="shared" si="276"/>
        <v>#NUM!</v>
      </c>
      <c r="BG5896" t="e">
        <f t="shared" si="277"/>
        <v>#NUM!</v>
      </c>
      <c r="BH5896" t="e">
        <f t="shared" si="278"/>
        <v>#NUM!</v>
      </c>
      <c r="BI5896" t="e">
        <f>VLOOKUP(H5896,Sheet2!$A$1:$B$270,2,FALSE)</f>
        <v>#N/A</v>
      </c>
    </row>
    <row r="5897" spans="15:61" hidden="1">
      <c r="O5897" s="57"/>
      <c r="P5897" s="57"/>
      <c r="AM5897" s="58"/>
      <c r="AO5897" s="57"/>
      <c r="BA5897" s="57"/>
      <c r="BB5897" s="58"/>
      <c r="BF5897" s="6" t="e">
        <f t="shared" si="276"/>
        <v>#NUM!</v>
      </c>
      <c r="BG5897" t="e">
        <f t="shared" si="277"/>
        <v>#NUM!</v>
      </c>
      <c r="BH5897" t="e">
        <f t="shared" si="278"/>
        <v>#NUM!</v>
      </c>
      <c r="BI5897" t="e">
        <f>VLOOKUP(H5897,Sheet2!$A$1:$B$270,2,FALSE)</f>
        <v>#N/A</v>
      </c>
    </row>
    <row r="5898" spans="15:61" hidden="1">
      <c r="O5898" s="57"/>
      <c r="P5898" s="57"/>
      <c r="AO5898" s="57"/>
      <c r="AP5898" s="57"/>
      <c r="BA5898" s="57"/>
      <c r="BF5898" s="6" t="e">
        <f t="shared" si="276"/>
        <v>#NUM!</v>
      </c>
      <c r="BG5898" t="e">
        <f t="shared" si="277"/>
        <v>#NUM!</v>
      </c>
      <c r="BH5898" t="e">
        <f t="shared" si="278"/>
        <v>#NUM!</v>
      </c>
      <c r="BI5898" t="e">
        <f>VLOOKUP(H5898,Sheet2!$A$1:$B$270,2,FALSE)</f>
        <v>#N/A</v>
      </c>
    </row>
    <row r="5899" spans="15:61" hidden="1">
      <c r="O5899" s="57"/>
      <c r="P5899" s="57"/>
      <c r="AP5899" s="57"/>
      <c r="BA5899" s="57"/>
      <c r="BF5899" s="6" t="e">
        <f t="shared" si="276"/>
        <v>#NUM!</v>
      </c>
      <c r="BG5899" t="e">
        <f t="shared" si="277"/>
        <v>#NUM!</v>
      </c>
      <c r="BH5899" t="e">
        <f t="shared" si="278"/>
        <v>#NUM!</v>
      </c>
      <c r="BI5899" t="e">
        <f>VLOOKUP(H5899,Sheet2!$A$1:$B$270,2,FALSE)</f>
        <v>#N/A</v>
      </c>
    </row>
    <row r="5900" spans="15:61" hidden="1">
      <c r="O5900" s="57"/>
      <c r="P5900" s="57"/>
      <c r="BA5900" s="57"/>
      <c r="BF5900" s="6" t="e">
        <f t="shared" si="276"/>
        <v>#NUM!</v>
      </c>
      <c r="BG5900" t="e">
        <f t="shared" si="277"/>
        <v>#NUM!</v>
      </c>
      <c r="BH5900" t="e">
        <f t="shared" si="278"/>
        <v>#NUM!</v>
      </c>
      <c r="BI5900" t="e">
        <f>VLOOKUP(H5900,Sheet2!$A$1:$B$270,2,FALSE)</f>
        <v>#N/A</v>
      </c>
    </row>
    <row r="5901" spans="15:61" hidden="1">
      <c r="O5901" s="57"/>
      <c r="P5901" s="57"/>
      <c r="AO5901" s="57"/>
      <c r="AP5901" s="57"/>
      <c r="BA5901" s="57"/>
      <c r="BF5901" s="6" t="e">
        <f t="shared" si="276"/>
        <v>#NUM!</v>
      </c>
      <c r="BG5901" t="e">
        <f t="shared" si="277"/>
        <v>#NUM!</v>
      </c>
      <c r="BH5901" t="e">
        <f t="shared" si="278"/>
        <v>#NUM!</v>
      </c>
      <c r="BI5901" t="e">
        <f>VLOOKUP(H5901,Sheet2!$A$1:$B$270,2,FALSE)</f>
        <v>#N/A</v>
      </c>
    </row>
    <row r="5902" spans="15:61" hidden="1">
      <c r="O5902" s="57"/>
      <c r="P5902" s="57"/>
      <c r="AP5902" s="57"/>
      <c r="BA5902" s="57"/>
      <c r="BF5902" s="6" t="e">
        <f t="shared" si="276"/>
        <v>#NUM!</v>
      </c>
      <c r="BG5902" t="e">
        <f t="shared" si="277"/>
        <v>#NUM!</v>
      </c>
      <c r="BH5902" t="e">
        <f t="shared" si="278"/>
        <v>#NUM!</v>
      </c>
      <c r="BI5902" t="e">
        <f>VLOOKUP(H5902,Sheet2!$A$1:$B$270,2,FALSE)</f>
        <v>#N/A</v>
      </c>
    </row>
    <row r="5903" spans="15:61" hidden="1">
      <c r="O5903" s="57"/>
      <c r="P5903" s="57"/>
      <c r="AO5903" s="57"/>
      <c r="AP5903" s="57"/>
      <c r="BA5903" s="57"/>
      <c r="BF5903" s="6" t="e">
        <f t="shared" si="276"/>
        <v>#NUM!</v>
      </c>
      <c r="BG5903" t="e">
        <f t="shared" si="277"/>
        <v>#NUM!</v>
      </c>
      <c r="BH5903" t="e">
        <f t="shared" si="278"/>
        <v>#NUM!</v>
      </c>
      <c r="BI5903" t="e">
        <f>VLOOKUP(H5903,Sheet2!$A$1:$B$270,2,FALSE)</f>
        <v>#N/A</v>
      </c>
    </row>
    <row r="5904" spans="15:61" hidden="1">
      <c r="O5904" s="57"/>
      <c r="P5904" s="57"/>
      <c r="AP5904" s="57"/>
      <c r="BA5904" s="57"/>
      <c r="BF5904" s="6" t="e">
        <f t="shared" si="276"/>
        <v>#NUM!</v>
      </c>
      <c r="BG5904" t="e">
        <f t="shared" si="277"/>
        <v>#NUM!</v>
      </c>
      <c r="BH5904" t="e">
        <f t="shared" si="278"/>
        <v>#NUM!</v>
      </c>
      <c r="BI5904" t="e">
        <f>VLOOKUP(H5904,Sheet2!$A$1:$B$270,2,FALSE)</f>
        <v>#N/A</v>
      </c>
    </row>
    <row r="5905" spans="15:61" hidden="1">
      <c r="O5905" s="57"/>
      <c r="P5905" s="57"/>
      <c r="AP5905" s="57"/>
      <c r="BA5905" s="57"/>
      <c r="BF5905" s="6" t="e">
        <f t="shared" si="276"/>
        <v>#NUM!</v>
      </c>
      <c r="BG5905" t="e">
        <f t="shared" si="277"/>
        <v>#NUM!</v>
      </c>
      <c r="BH5905" t="e">
        <f t="shared" si="278"/>
        <v>#NUM!</v>
      </c>
      <c r="BI5905" t="e">
        <f>VLOOKUP(H5905,Sheet2!$A$1:$B$270,2,FALSE)</f>
        <v>#N/A</v>
      </c>
    </row>
    <row r="5906" spans="15:61" hidden="1">
      <c r="O5906" s="57"/>
      <c r="P5906" s="57"/>
      <c r="AO5906" s="57"/>
      <c r="AP5906" s="57"/>
      <c r="BA5906" s="57"/>
      <c r="BF5906" s="6" t="e">
        <f t="shared" si="276"/>
        <v>#NUM!</v>
      </c>
      <c r="BG5906" t="e">
        <f t="shared" si="277"/>
        <v>#NUM!</v>
      </c>
      <c r="BH5906" t="e">
        <f t="shared" si="278"/>
        <v>#NUM!</v>
      </c>
      <c r="BI5906" t="e">
        <f>VLOOKUP(H5906,Sheet2!$A$1:$B$270,2,FALSE)</f>
        <v>#N/A</v>
      </c>
    </row>
    <row r="5907" spans="15:61" hidden="1">
      <c r="O5907" s="57"/>
      <c r="P5907" s="57"/>
      <c r="AP5907" s="57"/>
      <c r="BA5907" s="57"/>
      <c r="BF5907" s="6" t="e">
        <f t="shared" si="276"/>
        <v>#NUM!</v>
      </c>
      <c r="BG5907" t="e">
        <f t="shared" si="277"/>
        <v>#NUM!</v>
      </c>
      <c r="BH5907" t="e">
        <f t="shared" si="278"/>
        <v>#NUM!</v>
      </c>
      <c r="BI5907" t="e">
        <f>VLOOKUP(H5907,Sheet2!$A$1:$B$270,2,FALSE)</f>
        <v>#N/A</v>
      </c>
    </row>
    <row r="5908" spans="15:61" hidden="1">
      <c r="O5908" s="57"/>
      <c r="P5908" s="57"/>
      <c r="AO5908" s="57"/>
      <c r="AP5908" s="57"/>
      <c r="BA5908" s="57"/>
      <c r="BF5908" s="6" t="e">
        <f t="shared" si="276"/>
        <v>#NUM!</v>
      </c>
      <c r="BG5908" t="e">
        <f t="shared" si="277"/>
        <v>#NUM!</v>
      </c>
      <c r="BH5908" t="e">
        <f t="shared" si="278"/>
        <v>#NUM!</v>
      </c>
      <c r="BI5908" t="e">
        <f>VLOOKUP(H5908,Sheet2!$A$1:$B$270,2,FALSE)</f>
        <v>#N/A</v>
      </c>
    </row>
    <row r="5909" spans="15:61" hidden="1">
      <c r="O5909" s="57"/>
      <c r="P5909" s="57"/>
      <c r="AP5909" s="57"/>
      <c r="BA5909" s="57"/>
      <c r="BF5909" s="6" t="e">
        <f t="shared" si="276"/>
        <v>#NUM!</v>
      </c>
      <c r="BG5909" t="e">
        <f t="shared" si="277"/>
        <v>#NUM!</v>
      </c>
      <c r="BH5909" t="e">
        <f t="shared" si="278"/>
        <v>#NUM!</v>
      </c>
      <c r="BI5909" t="e">
        <f>VLOOKUP(H5909,Sheet2!$A$1:$B$270,2,FALSE)</f>
        <v>#N/A</v>
      </c>
    </row>
    <row r="5910" spans="15:61" hidden="1">
      <c r="O5910" s="57"/>
      <c r="P5910" s="57"/>
      <c r="AO5910" s="57"/>
      <c r="AP5910" s="57"/>
      <c r="BA5910" s="57"/>
      <c r="BF5910" s="6" t="e">
        <f t="shared" si="276"/>
        <v>#NUM!</v>
      </c>
      <c r="BG5910" t="e">
        <f t="shared" si="277"/>
        <v>#NUM!</v>
      </c>
      <c r="BH5910" t="e">
        <f t="shared" si="278"/>
        <v>#NUM!</v>
      </c>
      <c r="BI5910" t="e">
        <f>VLOOKUP(H5910,Sheet2!$A$1:$B$270,2,FALSE)</f>
        <v>#N/A</v>
      </c>
    </row>
    <row r="5911" spans="15:61" hidden="1">
      <c r="O5911" s="57"/>
      <c r="P5911" s="57"/>
      <c r="AP5911" s="57"/>
      <c r="BA5911" s="57"/>
      <c r="BF5911" s="6" t="e">
        <f t="shared" si="276"/>
        <v>#NUM!</v>
      </c>
      <c r="BG5911" t="e">
        <f t="shared" si="277"/>
        <v>#NUM!</v>
      </c>
      <c r="BH5911" t="e">
        <f t="shared" si="278"/>
        <v>#NUM!</v>
      </c>
      <c r="BI5911" t="e">
        <f>VLOOKUP(H5911,Sheet2!$A$1:$B$270,2,FALSE)</f>
        <v>#N/A</v>
      </c>
    </row>
    <row r="5912" spans="15:61" hidden="1">
      <c r="O5912" s="57"/>
      <c r="P5912" s="57"/>
      <c r="BF5912" s="6" t="e">
        <f t="shared" si="276"/>
        <v>#NUM!</v>
      </c>
      <c r="BG5912" t="e">
        <f t="shared" si="277"/>
        <v>#NUM!</v>
      </c>
      <c r="BH5912" t="e">
        <f t="shared" si="278"/>
        <v>#NUM!</v>
      </c>
      <c r="BI5912" t="e">
        <f>VLOOKUP(H5912,Sheet2!$A$1:$B$270,2,FALSE)</f>
        <v>#N/A</v>
      </c>
    </row>
    <row r="5913" spans="15:61" hidden="1">
      <c r="O5913" s="57"/>
      <c r="P5913" s="57"/>
      <c r="AM5913" s="58"/>
      <c r="AO5913" s="57"/>
      <c r="BA5913" s="57"/>
      <c r="BB5913" s="58"/>
      <c r="BF5913" s="6" t="e">
        <f t="shared" si="276"/>
        <v>#NUM!</v>
      </c>
      <c r="BG5913" t="e">
        <f t="shared" si="277"/>
        <v>#NUM!</v>
      </c>
      <c r="BH5913" t="e">
        <f t="shared" si="278"/>
        <v>#NUM!</v>
      </c>
      <c r="BI5913" t="e">
        <f>VLOOKUP(H5913,Sheet2!$A$1:$B$270,2,FALSE)</f>
        <v>#N/A</v>
      </c>
    </row>
    <row r="5914" spans="15:61" hidden="1">
      <c r="O5914" s="57"/>
      <c r="P5914" s="57"/>
      <c r="BA5914" s="57"/>
      <c r="BF5914" s="6" t="e">
        <f t="shared" si="276"/>
        <v>#NUM!</v>
      </c>
      <c r="BG5914" t="e">
        <f t="shared" si="277"/>
        <v>#NUM!</v>
      </c>
      <c r="BH5914" t="e">
        <f t="shared" si="278"/>
        <v>#NUM!</v>
      </c>
      <c r="BI5914" t="e">
        <f>VLOOKUP(H5914,Sheet2!$A$1:$B$270,2,FALSE)</f>
        <v>#N/A</v>
      </c>
    </row>
    <row r="5915" spans="15:61" hidden="1">
      <c r="O5915" s="57"/>
      <c r="P5915" s="57"/>
      <c r="AP5915" s="57"/>
      <c r="BA5915" s="57"/>
      <c r="BF5915" s="6" t="e">
        <f t="shared" si="276"/>
        <v>#NUM!</v>
      </c>
      <c r="BG5915" t="e">
        <f t="shared" si="277"/>
        <v>#NUM!</v>
      </c>
      <c r="BH5915" t="e">
        <f t="shared" si="278"/>
        <v>#NUM!</v>
      </c>
      <c r="BI5915" t="e">
        <f>VLOOKUP(H5915,Sheet2!$A$1:$B$270,2,FALSE)</f>
        <v>#N/A</v>
      </c>
    </row>
    <row r="5916" spans="15:61" hidden="1">
      <c r="O5916" s="57"/>
      <c r="P5916" s="57"/>
      <c r="AP5916" s="57"/>
      <c r="BA5916" s="57"/>
      <c r="BF5916" s="6" t="e">
        <f t="shared" si="276"/>
        <v>#NUM!</v>
      </c>
      <c r="BG5916" t="e">
        <f t="shared" si="277"/>
        <v>#NUM!</v>
      </c>
      <c r="BH5916" t="e">
        <f t="shared" si="278"/>
        <v>#NUM!</v>
      </c>
      <c r="BI5916" t="e">
        <f>VLOOKUP(H5916,Sheet2!$A$1:$B$270,2,FALSE)</f>
        <v>#N/A</v>
      </c>
    </row>
    <row r="5917" spans="15:61" hidden="1">
      <c r="O5917" s="57"/>
      <c r="P5917" s="57"/>
      <c r="AM5917" s="58"/>
      <c r="BA5917" s="57"/>
      <c r="BB5917" s="58"/>
      <c r="BF5917" s="6" t="e">
        <f t="shared" si="276"/>
        <v>#NUM!</v>
      </c>
      <c r="BG5917" t="e">
        <f t="shared" si="277"/>
        <v>#NUM!</v>
      </c>
      <c r="BH5917" t="e">
        <f t="shared" si="278"/>
        <v>#NUM!</v>
      </c>
      <c r="BI5917" t="e">
        <f>VLOOKUP(H5917,Sheet2!$A$1:$B$270,2,FALSE)</f>
        <v>#N/A</v>
      </c>
    </row>
    <row r="5918" spans="15:61" hidden="1">
      <c r="O5918" s="57"/>
      <c r="P5918" s="57"/>
      <c r="AO5918" s="57"/>
      <c r="AP5918" s="57"/>
      <c r="BA5918" s="57"/>
      <c r="BF5918" s="6" t="e">
        <f t="shared" si="276"/>
        <v>#NUM!</v>
      </c>
      <c r="BG5918" t="e">
        <f t="shared" si="277"/>
        <v>#NUM!</v>
      </c>
      <c r="BH5918" t="e">
        <f t="shared" si="278"/>
        <v>#NUM!</v>
      </c>
      <c r="BI5918" t="e">
        <f>VLOOKUP(H5918,Sheet2!$A$1:$B$270,2,FALSE)</f>
        <v>#N/A</v>
      </c>
    </row>
    <row r="5919" spans="15:61" hidden="1">
      <c r="O5919" s="57"/>
      <c r="P5919" s="57"/>
      <c r="AM5919" s="58"/>
      <c r="AO5919" s="57"/>
      <c r="BA5919" s="57"/>
      <c r="BB5919" s="58"/>
      <c r="BF5919" s="6" t="e">
        <f t="shared" si="276"/>
        <v>#NUM!</v>
      </c>
      <c r="BG5919" t="e">
        <f t="shared" si="277"/>
        <v>#NUM!</v>
      </c>
      <c r="BH5919" t="e">
        <f t="shared" si="278"/>
        <v>#NUM!</v>
      </c>
      <c r="BI5919" t="e">
        <f>VLOOKUP(H5919,Sheet2!$A$1:$B$270,2,FALSE)</f>
        <v>#N/A</v>
      </c>
    </row>
    <row r="5920" spans="15:61" hidden="1">
      <c r="O5920" s="57"/>
      <c r="P5920" s="57"/>
      <c r="AP5920" s="57"/>
      <c r="BA5920" s="57"/>
      <c r="BF5920" s="6" t="e">
        <f t="shared" si="276"/>
        <v>#NUM!</v>
      </c>
      <c r="BG5920" t="e">
        <f t="shared" si="277"/>
        <v>#NUM!</v>
      </c>
      <c r="BH5920" t="e">
        <f t="shared" si="278"/>
        <v>#NUM!</v>
      </c>
      <c r="BI5920" t="e">
        <f>VLOOKUP(H5920,Sheet2!$A$1:$B$270,2,FALSE)</f>
        <v>#N/A</v>
      </c>
    </row>
    <row r="5921" spans="15:61" hidden="1">
      <c r="O5921" s="57"/>
      <c r="P5921" s="57"/>
      <c r="AP5921" s="57"/>
      <c r="BA5921" s="57"/>
      <c r="BF5921" s="6" t="e">
        <f t="shared" si="276"/>
        <v>#NUM!</v>
      </c>
      <c r="BG5921" t="e">
        <f t="shared" si="277"/>
        <v>#NUM!</v>
      </c>
      <c r="BH5921" t="e">
        <f t="shared" si="278"/>
        <v>#NUM!</v>
      </c>
      <c r="BI5921" t="e">
        <f>VLOOKUP(H5921,Sheet2!$A$1:$B$270,2,FALSE)</f>
        <v>#N/A</v>
      </c>
    </row>
    <row r="5922" spans="15:61" hidden="1">
      <c r="O5922" s="57"/>
      <c r="P5922" s="57"/>
      <c r="AO5922" s="57"/>
      <c r="AP5922" s="57"/>
      <c r="BA5922" s="57"/>
      <c r="BF5922" s="6" t="e">
        <f t="shared" si="276"/>
        <v>#NUM!</v>
      </c>
      <c r="BG5922" t="e">
        <f t="shared" si="277"/>
        <v>#NUM!</v>
      </c>
      <c r="BH5922" t="e">
        <f t="shared" si="278"/>
        <v>#NUM!</v>
      </c>
      <c r="BI5922" t="e">
        <f>VLOOKUP(H5922,Sheet2!$A$1:$B$270,2,FALSE)</f>
        <v>#N/A</v>
      </c>
    </row>
    <row r="5923" spans="15:61" hidden="1">
      <c r="O5923" s="57"/>
      <c r="P5923" s="57"/>
      <c r="AP5923" s="57"/>
      <c r="BA5923" s="57"/>
      <c r="BF5923" s="6" t="e">
        <f t="shared" si="276"/>
        <v>#NUM!</v>
      </c>
      <c r="BG5923" t="e">
        <f t="shared" si="277"/>
        <v>#NUM!</v>
      </c>
      <c r="BH5923" t="e">
        <f t="shared" si="278"/>
        <v>#NUM!</v>
      </c>
      <c r="BI5923" t="e">
        <f>VLOOKUP(H5923,Sheet2!$A$1:$B$270,2,FALSE)</f>
        <v>#N/A</v>
      </c>
    </row>
    <row r="5924" spans="15:61" hidden="1">
      <c r="O5924" s="57"/>
      <c r="P5924" s="57"/>
      <c r="AO5924" s="57"/>
      <c r="AP5924" s="57"/>
      <c r="BA5924" s="57"/>
      <c r="BF5924" s="6" t="e">
        <f t="shared" si="276"/>
        <v>#NUM!</v>
      </c>
      <c r="BG5924" t="e">
        <f t="shared" si="277"/>
        <v>#NUM!</v>
      </c>
      <c r="BH5924" t="e">
        <f t="shared" si="278"/>
        <v>#NUM!</v>
      </c>
      <c r="BI5924" t="e">
        <f>VLOOKUP(H5924,Sheet2!$A$1:$B$270,2,FALSE)</f>
        <v>#N/A</v>
      </c>
    </row>
    <row r="5925" spans="15:61" hidden="1">
      <c r="O5925" s="57"/>
      <c r="P5925" s="57"/>
      <c r="BA5925" s="57"/>
      <c r="BF5925" s="6" t="e">
        <f t="shared" si="276"/>
        <v>#NUM!</v>
      </c>
      <c r="BG5925" t="e">
        <f t="shared" si="277"/>
        <v>#NUM!</v>
      </c>
      <c r="BH5925" t="e">
        <f t="shared" si="278"/>
        <v>#NUM!</v>
      </c>
      <c r="BI5925" t="e">
        <f>VLOOKUP(H5925,Sheet2!$A$1:$B$270,2,FALSE)</f>
        <v>#N/A</v>
      </c>
    </row>
    <row r="5926" spans="15:61" hidden="1">
      <c r="O5926" s="57"/>
      <c r="P5926" s="57"/>
      <c r="AP5926" s="57"/>
      <c r="BA5926" s="57"/>
      <c r="BF5926" s="6" t="e">
        <f t="shared" si="276"/>
        <v>#NUM!</v>
      </c>
      <c r="BG5926" t="e">
        <f t="shared" si="277"/>
        <v>#NUM!</v>
      </c>
      <c r="BH5926" t="e">
        <f t="shared" si="278"/>
        <v>#NUM!</v>
      </c>
      <c r="BI5926" t="e">
        <f>VLOOKUP(H5926,Sheet2!$A$1:$B$270,2,FALSE)</f>
        <v>#N/A</v>
      </c>
    </row>
    <row r="5927" spans="15:61" hidden="1">
      <c r="O5927" s="57"/>
      <c r="P5927" s="57"/>
      <c r="AP5927" s="57"/>
      <c r="BA5927" s="57"/>
      <c r="BF5927" s="6" t="e">
        <f t="shared" si="276"/>
        <v>#NUM!</v>
      </c>
      <c r="BG5927" t="e">
        <f t="shared" si="277"/>
        <v>#NUM!</v>
      </c>
      <c r="BH5927" t="e">
        <f t="shared" si="278"/>
        <v>#NUM!</v>
      </c>
      <c r="BI5927" t="e">
        <f>VLOOKUP(H5927,Sheet2!$A$1:$B$270,2,FALSE)</f>
        <v>#N/A</v>
      </c>
    </row>
    <row r="5928" spans="15:61" hidden="1">
      <c r="O5928" s="57"/>
      <c r="P5928" s="57"/>
      <c r="AO5928" s="57"/>
      <c r="AP5928" s="57"/>
      <c r="BA5928" s="57"/>
      <c r="BF5928" s="6" t="e">
        <f t="shared" si="276"/>
        <v>#NUM!</v>
      </c>
      <c r="BG5928" t="e">
        <f t="shared" si="277"/>
        <v>#NUM!</v>
      </c>
      <c r="BH5928" t="e">
        <f t="shared" si="278"/>
        <v>#NUM!</v>
      </c>
      <c r="BI5928" t="e">
        <f>VLOOKUP(H5928,Sheet2!$A$1:$B$270,2,FALSE)</f>
        <v>#N/A</v>
      </c>
    </row>
    <row r="5929" spans="15:61" hidden="1">
      <c r="O5929" s="57"/>
      <c r="P5929" s="57"/>
      <c r="AP5929" s="57"/>
      <c r="BA5929" s="57"/>
      <c r="BF5929" s="6" t="e">
        <f t="shared" si="276"/>
        <v>#NUM!</v>
      </c>
      <c r="BG5929" t="e">
        <f t="shared" si="277"/>
        <v>#NUM!</v>
      </c>
      <c r="BH5929" t="e">
        <f t="shared" si="278"/>
        <v>#NUM!</v>
      </c>
      <c r="BI5929" t="e">
        <f>VLOOKUP(H5929,Sheet2!$A$1:$B$270,2,FALSE)</f>
        <v>#N/A</v>
      </c>
    </row>
    <row r="5930" spans="15:61" hidden="1">
      <c r="O5930" s="57"/>
      <c r="P5930" s="57"/>
      <c r="AP5930" s="57"/>
      <c r="BA5930" s="57"/>
      <c r="BF5930" s="6" t="e">
        <f t="shared" si="276"/>
        <v>#NUM!</v>
      </c>
      <c r="BG5930" t="e">
        <f t="shared" si="277"/>
        <v>#NUM!</v>
      </c>
      <c r="BH5930" t="e">
        <f t="shared" si="278"/>
        <v>#NUM!</v>
      </c>
      <c r="BI5930" t="e">
        <f>VLOOKUP(H5930,Sheet2!$A$1:$B$270,2,FALSE)</f>
        <v>#N/A</v>
      </c>
    </row>
    <row r="5931" spans="15:61" hidden="1">
      <c r="O5931" s="57"/>
      <c r="P5931" s="57"/>
      <c r="AM5931" s="58"/>
      <c r="BA5931" s="57"/>
      <c r="BB5931" s="58"/>
      <c r="BF5931" s="6" t="e">
        <f t="shared" si="276"/>
        <v>#NUM!</v>
      </c>
      <c r="BG5931" t="e">
        <f t="shared" si="277"/>
        <v>#NUM!</v>
      </c>
      <c r="BH5931" t="e">
        <f t="shared" si="278"/>
        <v>#NUM!</v>
      </c>
      <c r="BI5931" t="e">
        <f>VLOOKUP(H5931,Sheet2!$A$1:$B$270,2,FALSE)</f>
        <v>#N/A</v>
      </c>
    </row>
    <row r="5932" spans="15:61" hidden="1">
      <c r="O5932" s="57"/>
      <c r="P5932" s="57"/>
      <c r="AO5932" s="57"/>
      <c r="BF5932" s="6" t="e">
        <f t="shared" si="276"/>
        <v>#NUM!</v>
      </c>
      <c r="BG5932" t="e">
        <f t="shared" si="277"/>
        <v>#NUM!</v>
      </c>
      <c r="BH5932" t="e">
        <f t="shared" si="278"/>
        <v>#NUM!</v>
      </c>
      <c r="BI5932" t="e">
        <f>VLOOKUP(H5932,Sheet2!$A$1:$B$270,2,FALSE)</f>
        <v>#N/A</v>
      </c>
    </row>
    <row r="5933" spans="15:61" hidden="1">
      <c r="O5933" s="57"/>
      <c r="P5933" s="57"/>
      <c r="AO5933" s="57"/>
      <c r="AP5933" s="57"/>
      <c r="BA5933" s="57"/>
      <c r="BF5933" s="6" t="e">
        <f t="shared" si="276"/>
        <v>#NUM!</v>
      </c>
      <c r="BG5933" t="e">
        <f t="shared" si="277"/>
        <v>#NUM!</v>
      </c>
      <c r="BH5933" t="e">
        <f t="shared" si="278"/>
        <v>#NUM!</v>
      </c>
      <c r="BI5933" t="e">
        <f>VLOOKUP(H5933,Sheet2!$A$1:$B$270,2,FALSE)</f>
        <v>#N/A</v>
      </c>
    </row>
    <row r="5934" spans="15:61" hidden="1">
      <c r="O5934" s="57"/>
      <c r="P5934" s="57"/>
      <c r="BA5934" s="57"/>
      <c r="BF5934" s="6" t="e">
        <f t="shared" si="276"/>
        <v>#NUM!</v>
      </c>
      <c r="BG5934" t="e">
        <f t="shared" si="277"/>
        <v>#NUM!</v>
      </c>
      <c r="BH5934" t="e">
        <f t="shared" si="278"/>
        <v>#NUM!</v>
      </c>
      <c r="BI5934" t="e">
        <f>VLOOKUP(H5934,Sheet2!$A$1:$B$270,2,FALSE)</f>
        <v>#N/A</v>
      </c>
    </row>
    <row r="5935" spans="15:61" hidden="1">
      <c r="O5935" s="57"/>
      <c r="P5935" s="57"/>
      <c r="AP5935" s="57"/>
      <c r="BA5935" s="57"/>
      <c r="BF5935" s="6" t="e">
        <f t="shared" si="276"/>
        <v>#NUM!</v>
      </c>
      <c r="BG5935" t="e">
        <f t="shared" si="277"/>
        <v>#NUM!</v>
      </c>
      <c r="BH5935" t="e">
        <f t="shared" si="278"/>
        <v>#NUM!</v>
      </c>
      <c r="BI5935" t="e">
        <f>VLOOKUP(H5935,Sheet2!$A$1:$B$270,2,FALSE)</f>
        <v>#N/A</v>
      </c>
    </row>
    <row r="5936" spans="15:61" hidden="1">
      <c r="O5936" s="57"/>
      <c r="P5936" s="57"/>
      <c r="AP5936" s="57"/>
      <c r="BA5936" s="57"/>
      <c r="BF5936" s="6" t="e">
        <f t="shared" si="276"/>
        <v>#NUM!</v>
      </c>
      <c r="BG5936" t="e">
        <f t="shared" si="277"/>
        <v>#NUM!</v>
      </c>
      <c r="BH5936" t="e">
        <f t="shared" si="278"/>
        <v>#NUM!</v>
      </c>
      <c r="BI5936" t="e">
        <f>VLOOKUP(H5936,Sheet2!$A$1:$B$270,2,FALSE)</f>
        <v>#N/A</v>
      </c>
    </row>
    <row r="5937" spans="15:61" hidden="1">
      <c r="O5937" s="57"/>
      <c r="P5937" s="57"/>
      <c r="AP5937" s="57"/>
      <c r="BA5937" s="57"/>
      <c r="BF5937" s="6" t="e">
        <f t="shared" si="276"/>
        <v>#NUM!</v>
      </c>
      <c r="BG5937" t="e">
        <f t="shared" si="277"/>
        <v>#NUM!</v>
      </c>
      <c r="BH5937" t="e">
        <f t="shared" si="278"/>
        <v>#NUM!</v>
      </c>
      <c r="BI5937" t="e">
        <f>VLOOKUP(H5937,Sheet2!$A$1:$B$270,2,FALSE)</f>
        <v>#N/A</v>
      </c>
    </row>
    <row r="5938" spans="15:61" hidden="1">
      <c r="O5938" s="57"/>
      <c r="P5938" s="57"/>
      <c r="AP5938" s="57"/>
      <c r="BA5938" s="57"/>
      <c r="BF5938" s="6" t="e">
        <f t="shared" si="276"/>
        <v>#NUM!</v>
      </c>
      <c r="BG5938" t="e">
        <f t="shared" si="277"/>
        <v>#NUM!</v>
      </c>
      <c r="BH5938" t="e">
        <f t="shared" si="278"/>
        <v>#NUM!</v>
      </c>
      <c r="BI5938" t="e">
        <f>VLOOKUP(H5938,Sheet2!$A$1:$B$270,2,FALSE)</f>
        <v>#N/A</v>
      </c>
    </row>
    <row r="5939" spans="15:61" hidden="1">
      <c r="O5939" s="57"/>
      <c r="P5939" s="57"/>
      <c r="AO5939" s="57"/>
      <c r="AP5939" s="57"/>
      <c r="BA5939" s="57"/>
      <c r="BF5939" s="6" t="e">
        <f t="shared" si="276"/>
        <v>#NUM!</v>
      </c>
      <c r="BG5939" t="e">
        <f t="shared" si="277"/>
        <v>#NUM!</v>
      </c>
      <c r="BH5939" t="e">
        <f t="shared" si="278"/>
        <v>#NUM!</v>
      </c>
      <c r="BI5939" t="e">
        <f>VLOOKUP(H5939,Sheet2!$A$1:$B$270,2,FALSE)</f>
        <v>#N/A</v>
      </c>
    </row>
    <row r="5940" spans="15:61" hidden="1">
      <c r="O5940" s="57"/>
      <c r="P5940" s="57"/>
      <c r="AO5940" s="57"/>
      <c r="AP5940" s="57"/>
      <c r="BA5940" s="57"/>
      <c r="BF5940" s="6" t="e">
        <f t="shared" si="276"/>
        <v>#NUM!</v>
      </c>
      <c r="BG5940" t="e">
        <f t="shared" si="277"/>
        <v>#NUM!</v>
      </c>
      <c r="BH5940" t="e">
        <f t="shared" si="278"/>
        <v>#NUM!</v>
      </c>
      <c r="BI5940" t="e">
        <f>VLOOKUP(H5940,Sheet2!$A$1:$B$270,2,FALSE)</f>
        <v>#N/A</v>
      </c>
    </row>
    <row r="5941" spans="15:61" hidden="1">
      <c r="O5941" s="57"/>
      <c r="P5941" s="57"/>
      <c r="AP5941" s="57"/>
      <c r="BA5941" s="57"/>
      <c r="BF5941" s="6" t="e">
        <f t="shared" si="276"/>
        <v>#NUM!</v>
      </c>
      <c r="BG5941" t="e">
        <f t="shared" si="277"/>
        <v>#NUM!</v>
      </c>
      <c r="BH5941" t="e">
        <f t="shared" si="278"/>
        <v>#NUM!</v>
      </c>
      <c r="BI5941" t="e">
        <f>VLOOKUP(H5941,Sheet2!$A$1:$B$270,2,FALSE)</f>
        <v>#N/A</v>
      </c>
    </row>
    <row r="5942" spans="15:61" hidden="1">
      <c r="O5942" s="57"/>
      <c r="P5942" s="57"/>
      <c r="AO5942" s="57"/>
      <c r="BF5942" s="6" t="e">
        <f t="shared" si="276"/>
        <v>#NUM!</v>
      </c>
      <c r="BG5942" t="e">
        <f t="shared" si="277"/>
        <v>#NUM!</v>
      </c>
      <c r="BH5942" t="e">
        <f t="shared" si="278"/>
        <v>#NUM!</v>
      </c>
      <c r="BI5942" t="e">
        <f>VLOOKUP(H5942,Sheet2!$A$1:$B$270,2,FALSE)</f>
        <v>#N/A</v>
      </c>
    </row>
    <row r="5943" spans="15:61" hidden="1">
      <c r="O5943" s="57"/>
      <c r="P5943" s="57"/>
      <c r="AO5943" s="57"/>
      <c r="AP5943" s="57"/>
      <c r="BA5943" s="57"/>
      <c r="BF5943" s="6" t="e">
        <f t="shared" si="276"/>
        <v>#NUM!</v>
      </c>
      <c r="BG5943" t="e">
        <f t="shared" si="277"/>
        <v>#NUM!</v>
      </c>
      <c r="BH5943" t="e">
        <f t="shared" si="278"/>
        <v>#NUM!</v>
      </c>
      <c r="BI5943" t="e">
        <f>VLOOKUP(H5943,Sheet2!$A$1:$B$270,2,FALSE)</f>
        <v>#N/A</v>
      </c>
    </row>
    <row r="5944" spans="15:61" hidden="1">
      <c r="O5944" s="57"/>
      <c r="P5944" s="57"/>
      <c r="AP5944" s="57"/>
      <c r="BA5944" s="57"/>
      <c r="BF5944" s="6" t="e">
        <f t="shared" si="276"/>
        <v>#NUM!</v>
      </c>
      <c r="BG5944" t="e">
        <f t="shared" si="277"/>
        <v>#NUM!</v>
      </c>
      <c r="BH5944" t="e">
        <f t="shared" si="278"/>
        <v>#NUM!</v>
      </c>
      <c r="BI5944" t="e">
        <f>VLOOKUP(H5944,Sheet2!$A$1:$B$270,2,FALSE)</f>
        <v>#N/A</v>
      </c>
    </row>
    <row r="5945" spans="15:61" hidden="1">
      <c r="O5945" s="57"/>
      <c r="P5945" s="57"/>
      <c r="BF5945" s="6" t="e">
        <f t="shared" si="276"/>
        <v>#NUM!</v>
      </c>
      <c r="BG5945" t="e">
        <f t="shared" si="277"/>
        <v>#NUM!</v>
      </c>
      <c r="BH5945" t="e">
        <f t="shared" si="278"/>
        <v>#NUM!</v>
      </c>
      <c r="BI5945" t="e">
        <f>VLOOKUP(H5945,Sheet2!$A$1:$B$270,2,FALSE)</f>
        <v>#N/A</v>
      </c>
    </row>
    <row r="5946" spans="15:61" hidden="1">
      <c r="O5946" s="57"/>
      <c r="P5946" s="57"/>
      <c r="AP5946" s="57"/>
      <c r="BA5946" s="57"/>
      <c r="BF5946" s="6" t="e">
        <f t="shared" si="276"/>
        <v>#NUM!</v>
      </c>
      <c r="BG5946" t="e">
        <f t="shared" si="277"/>
        <v>#NUM!</v>
      </c>
      <c r="BH5946" t="e">
        <f t="shared" si="278"/>
        <v>#NUM!</v>
      </c>
      <c r="BI5946" t="e">
        <f>VLOOKUP(H5946,Sheet2!$A$1:$B$270,2,FALSE)</f>
        <v>#N/A</v>
      </c>
    </row>
    <row r="5947" spans="15:61" hidden="1">
      <c r="O5947" s="57"/>
      <c r="P5947" s="57"/>
      <c r="BA5947" s="57"/>
      <c r="BF5947" s="6" t="e">
        <f t="shared" si="276"/>
        <v>#NUM!</v>
      </c>
      <c r="BG5947" t="e">
        <f t="shared" si="277"/>
        <v>#NUM!</v>
      </c>
      <c r="BH5947" t="e">
        <f t="shared" si="278"/>
        <v>#NUM!</v>
      </c>
      <c r="BI5947" t="e">
        <f>VLOOKUP(H5947,Sheet2!$A$1:$B$270,2,FALSE)</f>
        <v>#N/A</v>
      </c>
    </row>
    <row r="5948" spans="15:61" hidden="1">
      <c r="O5948" s="57"/>
      <c r="P5948" s="57"/>
      <c r="AP5948" s="57"/>
      <c r="BA5948" s="57"/>
      <c r="BF5948" s="6" t="e">
        <f t="shared" si="276"/>
        <v>#NUM!</v>
      </c>
      <c r="BG5948" t="e">
        <f t="shared" si="277"/>
        <v>#NUM!</v>
      </c>
      <c r="BH5948" t="e">
        <f t="shared" si="278"/>
        <v>#NUM!</v>
      </c>
      <c r="BI5948" t="e">
        <f>VLOOKUP(H5948,Sheet2!$A$1:$B$270,2,FALSE)</f>
        <v>#N/A</v>
      </c>
    </row>
    <row r="5949" spans="15:61" hidden="1">
      <c r="O5949" s="57"/>
      <c r="P5949" s="57"/>
      <c r="AP5949" s="57"/>
      <c r="BA5949" s="57"/>
      <c r="BF5949" s="6" t="e">
        <f t="shared" si="276"/>
        <v>#NUM!</v>
      </c>
      <c r="BG5949" t="e">
        <f t="shared" si="277"/>
        <v>#NUM!</v>
      </c>
      <c r="BH5949" t="e">
        <f t="shared" si="278"/>
        <v>#NUM!</v>
      </c>
      <c r="BI5949" t="e">
        <f>VLOOKUP(H5949,Sheet2!$A$1:$B$270,2,FALSE)</f>
        <v>#N/A</v>
      </c>
    </row>
    <row r="5950" spans="15:61" hidden="1">
      <c r="O5950" s="57"/>
      <c r="P5950" s="57"/>
      <c r="BA5950" s="57"/>
      <c r="BF5950" s="6" t="e">
        <f t="shared" si="276"/>
        <v>#NUM!</v>
      </c>
      <c r="BG5950" t="e">
        <f t="shared" si="277"/>
        <v>#NUM!</v>
      </c>
      <c r="BH5950" t="e">
        <f t="shared" si="278"/>
        <v>#NUM!</v>
      </c>
      <c r="BI5950" t="e">
        <f>VLOOKUP(H5950,Sheet2!$A$1:$B$270,2,FALSE)</f>
        <v>#N/A</v>
      </c>
    </row>
    <row r="5951" spans="15:61" hidden="1">
      <c r="O5951" s="57"/>
      <c r="P5951" s="57"/>
      <c r="AP5951" s="57"/>
      <c r="BA5951" s="57"/>
      <c r="BF5951" s="6" t="e">
        <f t="shared" si="276"/>
        <v>#NUM!</v>
      </c>
      <c r="BG5951" t="e">
        <f t="shared" si="277"/>
        <v>#NUM!</v>
      </c>
      <c r="BH5951" t="e">
        <f t="shared" si="278"/>
        <v>#NUM!</v>
      </c>
      <c r="BI5951" t="e">
        <f>VLOOKUP(H5951,Sheet2!$A$1:$B$270,2,FALSE)</f>
        <v>#N/A</v>
      </c>
    </row>
    <row r="5952" spans="15:61" hidden="1">
      <c r="O5952" s="57"/>
      <c r="P5952" s="57"/>
      <c r="AP5952" s="57"/>
      <c r="BA5952" s="57"/>
      <c r="BF5952" s="6" t="e">
        <f t="shared" si="276"/>
        <v>#NUM!</v>
      </c>
      <c r="BG5952" t="e">
        <f t="shared" si="277"/>
        <v>#NUM!</v>
      </c>
      <c r="BH5952" t="e">
        <f t="shared" si="278"/>
        <v>#NUM!</v>
      </c>
      <c r="BI5952" t="e">
        <f>VLOOKUP(H5952,Sheet2!$A$1:$B$270,2,FALSE)</f>
        <v>#N/A</v>
      </c>
    </row>
    <row r="5953" spans="15:61" hidden="1">
      <c r="O5953" s="57"/>
      <c r="P5953" s="57"/>
      <c r="AM5953" s="58"/>
      <c r="AO5953" s="57"/>
      <c r="BA5953" s="57"/>
      <c r="BB5953" s="58"/>
      <c r="BF5953" s="6" t="e">
        <f t="shared" si="276"/>
        <v>#NUM!</v>
      </c>
      <c r="BG5953" t="e">
        <f t="shared" si="277"/>
        <v>#NUM!</v>
      </c>
      <c r="BH5953" t="e">
        <f t="shared" si="278"/>
        <v>#NUM!</v>
      </c>
      <c r="BI5953" t="e">
        <f>VLOOKUP(H5953,Sheet2!$A$1:$B$270,2,FALSE)</f>
        <v>#N/A</v>
      </c>
    </row>
    <row r="5954" spans="15:61" hidden="1">
      <c r="O5954" s="57"/>
      <c r="P5954" s="57"/>
      <c r="AO5954" s="57"/>
      <c r="AP5954" s="57"/>
      <c r="BA5954" s="57"/>
      <c r="BF5954" s="6" t="e">
        <f t="shared" ref="BF5954:BF5978" si="279">DATE(BC5954,BD5954,BE5954)</f>
        <v>#NUM!</v>
      </c>
      <c r="BG5954" t="e">
        <f t="shared" ref="BG5954:BG5978" si="280">BF5954-BA5954</f>
        <v>#NUM!</v>
      </c>
      <c r="BH5954" t="e">
        <f t="shared" ref="BH5954:BH5978" si="281">IF(BG5954=1,"COMPLY",IF(BG5954&lt;1,"COMPLY","NOT COMPLY"))</f>
        <v>#NUM!</v>
      </c>
      <c r="BI5954" t="e">
        <f>VLOOKUP(H5954,Sheet2!$A$1:$B$270,2,FALSE)</f>
        <v>#N/A</v>
      </c>
    </row>
    <row r="5955" spans="15:61" hidden="1">
      <c r="O5955" s="57"/>
      <c r="P5955" s="57"/>
      <c r="BA5955" s="57"/>
      <c r="BF5955" s="6" t="e">
        <f t="shared" si="279"/>
        <v>#NUM!</v>
      </c>
      <c r="BG5955" t="e">
        <f t="shared" si="280"/>
        <v>#NUM!</v>
      </c>
      <c r="BH5955" t="e">
        <f t="shared" si="281"/>
        <v>#NUM!</v>
      </c>
      <c r="BI5955" t="e">
        <f>VLOOKUP(H5955,Sheet2!$A$1:$B$270,2,FALSE)</f>
        <v>#N/A</v>
      </c>
    </row>
    <row r="5956" spans="15:61" hidden="1">
      <c r="O5956" s="57"/>
      <c r="P5956" s="57"/>
      <c r="AM5956" s="58"/>
      <c r="BA5956" s="57"/>
      <c r="BB5956" s="58"/>
      <c r="BF5956" s="6" t="e">
        <f t="shared" si="279"/>
        <v>#NUM!</v>
      </c>
      <c r="BG5956" t="e">
        <f t="shared" si="280"/>
        <v>#NUM!</v>
      </c>
      <c r="BH5956" t="e">
        <f t="shared" si="281"/>
        <v>#NUM!</v>
      </c>
      <c r="BI5956" t="e">
        <f>VLOOKUP(H5956,Sheet2!$A$1:$B$270,2,FALSE)</f>
        <v>#N/A</v>
      </c>
    </row>
    <row r="5957" spans="15:61" hidden="1">
      <c r="O5957" s="57"/>
      <c r="P5957" s="57"/>
      <c r="AO5957" s="57"/>
      <c r="BA5957" s="57"/>
      <c r="BF5957" s="6" t="e">
        <f t="shared" si="279"/>
        <v>#NUM!</v>
      </c>
      <c r="BG5957" t="e">
        <f t="shared" si="280"/>
        <v>#NUM!</v>
      </c>
      <c r="BH5957" t="e">
        <f t="shared" si="281"/>
        <v>#NUM!</v>
      </c>
      <c r="BI5957" t="e">
        <f>VLOOKUP(H5957,Sheet2!$A$1:$B$270,2,FALSE)</f>
        <v>#N/A</v>
      </c>
    </row>
    <row r="5958" spans="15:61" hidden="1">
      <c r="O5958" s="57"/>
      <c r="P5958" s="57"/>
      <c r="AO5958" s="57"/>
      <c r="AP5958" s="57"/>
      <c r="BA5958" s="57"/>
      <c r="BF5958" s="6" t="e">
        <f t="shared" si="279"/>
        <v>#NUM!</v>
      </c>
      <c r="BG5958" t="e">
        <f t="shared" si="280"/>
        <v>#NUM!</v>
      </c>
      <c r="BH5958" t="e">
        <f t="shared" si="281"/>
        <v>#NUM!</v>
      </c>
      <c r="BI5958" t="e">
        <f>VLOOKUP(H5958,Sheet2!$A$1:$B$270,2,FALSE)</f>
        <v>#N/A</v>
      </c>
    </row>
    <row r="5959" spans="15:61" hidden="1">
      <c r="O5959" s="57"/>
      <c r="P5959" s="57"/>
      <c r="AP5959" s="57"/>
      <c r="BA5959" s="57"/>
      <c r="BF5959" s="6" t="e">
        <f t="shared" si="279"/>
        <v>#NUM!</v>
      </c>
      <c r="BG5959" t="e">
        <f t="shared" si="280"/>
        <v>#NUM!</v>
      </c>
      <c r="BH5959" t="e">
        <f t="shared" si="281"/>
        <v>#NUM!</v>
      </c>
      <c r="BI5959" t="e">
        <f>VLOOKUP(H5959,Sheet2!$A$1:$B$270,2,FALSE)</f>
        <v>#N/A</v>
      </c>
    </row>
    <row r="5960" spans="15:61" hidden="1">
      <c r="O5960" s="57"/>
      <c r="P5960" s="57"/>
      <c r="BA5960" s="57"/>
      <c r="BF5960" s="6" t="e">
        <f t="shared" si="279"/>
        <v>#NUM!</v>
      </c>
      <c r="BG5960" t="e">
        <f t="shared" si="280"/>
        <v>#NUM!</v>
      </c>
      <c r="BH5960" t="e">
        <f t="shared" si="281"/>
        <v>#NUM!</v>
      </c>
      <c r="BI5960" t="e">
        <f>VLOOKUP(H5960,Sheet2!$A$1:$B$270,2,FALSE)</f>
        <v>#N/A</v>
      </c>
    </row>
    <row r="5961" spans="15:61" hidden="1">
      <c r="O5961" s="57"/>
      <c r="P5961" s="57"/>
      <c r="AP5961" s="57"/>
      <c r="BA5961" s="57"/>
      <c r="BF5961" s="6" t="e">
        <f t="shared" si="279"/>
        <v>#NUM!</v>
      </c>
      <c r="BG5961" t="e">
        <f t="shared" si="280"/>
        <v>#NUM!</v>
      </c>
      <c r="BH5961" t="e">
        <f t="shared" si="281"/>
        <v>#NUM!</v>
      </c>
      <c r="BI5961" t="e">
        <f>VLOOKUP(H5961,Sheet2!$A$1:$B$270,2,FALSE)</f>
        <v>#N/A</v>
      </c>
    </row>
    <row r="5962" spans="15:61" hidden="1">
      <c r="O5962" s="57"/>
      <c r="P5962" s="57"/>
      <c r="AO5962" s="57"/>
      <c r="AP5962" s="57"/>
      <c r="BA5962" s="57"/>
      <c r="BF5962" s="6" t="e">
        <f t="shared" si="279"/>
        <v>#NUM!</v>
      </c>
      <c r="BG5962" t="e">
        <f t="shared" si="280"/>
        <v>#NUM!</v>
      </c>
      <c r="BH5962" t="e">
        <f t="shared" si="281"/>
        <v>#NUM!</v>
      </c>
      <c r="BI5962" t="e">
        <f>VLOOKUP(H5962,Sheet2!$A$1:$B$270,2,FALSE)</f>
        <v>#N/A</v>
      </c>
    </row>
    <row r="5963" spans="15:61" hidden="1">
      <c r="O5963" s="57"/>
      <c r="P5963" s="57"/>
      <c r="AO5963" s="57"/>
      <c r="AP5963" s="57"/>
      <c r="BA5963" s="57"/>
      <c r="BF5963" s="6" t="e">
        <f t="shared" si="279"/>
        <v>#NUM!</v>
      </c>
      <c r="BG5963" t="e">
        <f t="shared" si="280"/>
        <v>#NUM!</v>
      </c>
      <c r="BH5963" t="e">
        <f t="shared" si="281"/>
        <v>#NUM!</v>
      </c>
      <c r="BI5963" t="e">
        <f>VLOOKUP(H5963,Sheet2!$A$1:$B$270,2,FALSE)</f>
        <v>#N/A</v>
      </c>
    </row>
    <row r="5964" spans="15:61" hidden="1">
      <c r="O5964" s="57"/>
      <c r="P5964" s="57"/>
      <c r="AO5964" s="57"/>
      <c r="AP5964" s="57"/>
      <c r="BA5964" s="57"/>
      <c r="BF5964" s="6" t="e">
        <f t="shared" si="279"/>
        <v>#NUM!</v>
      </c>
      <c r="BG5964" t="e">
        <f t="shared" si="280"/>
        <v>#NUM!</v>
      </c>
      <c r="BH5964" t="e">
        <f t="shared" si="281"/>
        <v>#NUM!</v>
      </c>
      <c r="BI5964" t="e">
        <f>VLOOKUP(H5964,Sheet2!$A$1:$B$270,2,FALSE)</f>
        <v>#N/A</v>
      </c>
    </row>
    <row r="5965" spans="15:61" hidden="1">
      <c r="O5965" s="57"/>
      <c r="P5965" s="57"/>
      <c r="BA5965" s="57"/>
      <c r="BF5965" s="6" t="e">
        <f t="shared" si="279"/>
        <v>#NUM!</v>
      </c>
      <c r="BG5965" t="e">
        <f t="shared" si="280"/>
        <v>#NUM!</v>
      </c>
      <c r="BH5965" t="e">
        <f t="shared" si="281"/>
        <v>#NUM!</v>
      </c>
      <c r="BI5965" t="e">
        <f>VLOOKUP(H5965,Sheet2!$A$1:$B$270,2,FALSE)</f>
        <v>#N/A</v>
      </c>
    </row>
    <row r="5966" spans="15:61" hidden="1">
      <c r="O5966" s="57"/>
      <c r="P5966" s="57"/>
      <c r="AO5966" s="57"/>
      <c r="AP5966" s="57"/>
      <c r="BA5966" s="57"/>
      <c r="BF5966" s="6" t="e">
        <f t="shared" si="279"/>
        <v>#NUM!</v>
      </c>
      <c r="BG5966" t="e">
        <f t="shared" si="280"/>
        <v>#NUM!</v>
      </c>
      <c r="BH5966" t="e">
        <f t="shared" si="281"/>
        <v>#NUM!</v>
      </c>
      <c r="BI5966" t="e">
        <f>VLOOKUP(H5966,Sheet2!$A$1:$B$270,2,FALSE)</f>
        <v>#N/A</v>
      </c>
    </row>
    <row r="5967" spans="15:61" hidden="1">
      <c r="O5967" s="57"/>
      <c r="P5967" s="57"/>
      <c r="AM5967" s="58"/>
      <c r="AO5967" s="57"/>
      <c r="BA5967" s="57"/>
      <c r="BB5967" s="58"/>
      <c r="BF5967" s="6" t="e">
        <f t="shared" si="279"/>
        <v>#NUM!</v>
      </c>
      <c r="BG5967" t="e">
        <f t="shared" si="280"/>
        <v>#NUM!</v>
      </c>
      <c r="BH5967" t="e">
        <f t="shared" si="281"/>
        <v>#NUM!</v>
      </c>
      <c r="BI5967" t="e">
        <f>VLOOKUP(H5967,Sheet2!$A$1:$B$270,2,FALSE)</f>
        <v>#N/A</v>
      </c>
    </row>
    <row r="5968" spans="15:61" hidden="1">
      <c r="O5968" s="57"/>
      <c r="P5968" s="57"/>
      <c r="AO5968" s="57"/>
      <c r="AP5968" s="57"/>
      <c r="BA5968" s="57"/>
      <c r="BF5968" s="6" t="e">
        <f t="shared" si="279"/>
        <v>#NUM!</v>
      </c>
      <c r="BG5968" t="e">
        <f t="shared" si="280"/>
        <v>#NUM!</v>
      </c>
      <c r="BH5968" t="e">
        <f t="shared" si="281"/>
        <v>#NUM!</v>
      </c>
      <c r="BI5968" t="e">
        <f>VLOOKUP(H5968,Sheet2!$A$1:$B$270,2,FALSE)</f>
        <v>#N/A</v>
      </c>
    </row>
    <row r="5969" spans="15:61" hidden="1">
      <c r="O5969" s="57"/>
      <c r="P5969" s="57"/>
      <c r="AP5969" s="57"/>
      <c r="BA5969" s="57"/>
      <c r="BF5969" s="6" t="e">
        <f t="shared" si="279"/>
        <v>#NUM!</v>
      </c>
      <c r="BG5969" t="e">
        <f t="shared" si="280"/>
        <v>#NUM!</v>
      </c>
      <c r="BH5969" t="e">
        <f t="shared" si="281"/>
        <v>#NUM!</v>
      </c>
      <c r="BI5969" t="e">
        <f>VLOOKUP(H5969,Sheet2!$A$1:$B$270,2,FALSE)</f>
        <v>#N/A</v>
      </c>
    </row>
    <row r="5970" spans="15:61" hidden="1">
      <c r="O5970" s="57"/>
      <c r="P5970" s="57"/>
      <c r="AO5970" s="57"/>
      <c r="AP5970" s="57"/>
      <c r="BA5970" s="57"/>
      <c r="BF5970" s="6" t="e">
        <f t="shared" si="279"/>
        <v>#NUM!</v>
      </c>
      <c r="BG5970" t="e">
        <f t="shared" si="280"/>
        <v>#NUM!</v>
      </c>
      <c r="BH5970" t="e">
        <f t="shared" si="281"/>
        <v>#NUM!</v>
      </c>
      <c r="BI5970" t="e">
        <f>VLOOKUP(H5970,Sheet2!$A$1:$B$270,2,FALSE)</f>
        <v>#N/A</v>
      </c>
    </row>
    <row r="5971" spans="15:61" hidden="1">
      <c r="O5971" s="57"/>
      <c r="P5971" s="57"/>
      <c r="AP5971" s="57"/>
      <c r="BA5971" s="57"/>
      <c r="BF5971" s="6" t="e">
        <f t="shared" si="279"/>
        <v>#NUM!</v>
      </c>
      <c r="BG5971" t="e">
        <f t="shared" si="280"/>
        <v>#NUM!</v>
      </c>
      <c r="BH5971" t="e">
        <f t="shared" si="281"/>
        <v>#NUM!</v>
      </c>
      <c r="BI5971" t="e">
        <f>VLOOKUP(H5971,Sheet2!$A$1:$B$270,2,FALSE)</f>
        <v>#N/A</v>
      </c>
    </row>
    <row r="5972" spans="15:61" hidden="1">
      <c r="O5972" s="57"/>
      <c r="P5972" s="57"/>
      <c r="AO5972" s="57"/>
      <c r="AP5972" s="57"/>
      <c r="BA5972" s="57"/>
      <c r="BF5972" s="6" t="e">
        <f t="shared" si="279"/>
        <v>#NUM!</v>
      </c>
      <c r="BG5972" t="e">
        <f t="shared" si="280"/>
        <v>#NUM!</v>
      </c>
      <c r="BH5972" t="e">
        <f t="shared" si="281"/>
        <v>#NUM!</v>
      </c>
      <c r="BI5972" t="e">
        <f>VLOOKUP(H5972,Sheet2!$A$1:$B$270,2,FALSE)</f>
        <v>#N/A</v>
      </c>
    </row>
    <row r="5973" spans="15:61" hidden="1">
      <c r="O5973" s="57"/>
      <c r="P5973" s="57"/>
      <c r="AM5973" s="58"/>
      <c r="BA5973" s="57"/>
      <c r="BB5973" s="58"/>
      <c r="BF5973" s="6" t="e">
        <f t="shared" si="279"/>
        <v>#NUM!</v>
      </c>
      <c r="BG5973" t="e">
        <f t="shared" si="280"/>
        <v>#NUM!</v>
      </c>
      <c r="BH5973" t="e">
        <f t="shared" si="281"/>
        <v>#NUM!</v>
      </c>
      <c r="BI5973" t="e">
        <f>VLOOKUP(H5973,Sheet2!$A$1:$B$270,2,FALSE)</f>
        <v>#N/A</v>
      </c>
    </row>
    <row r="5974" spans="15:61" hidden="1">
      <c r="O5974" s="57"/>
      <c r="P5974" s="57"/>
      <c r="AO5974" s="57"/>
      <c r="BA5974" s="57"/>
      <c r="BF5974" s="6" t="e">
        <f t="shared" si="279"/>
        <v>#NUM!</v>
      </c>
      <c r="BG5974" t="e">
        <f t="shared" si="280"/>
        <v>#NUM!</v>
      </c>
      <c r="BH5974" t="e">
        <f t="shared" si="281"/>
        <v>#NUM!</v>
      </c>
      <c r="BI5974" t="e">
        <f>VLOOKUP(H5974,Sheet2!$A$1:$B$270,2,FALSE)</f>
        <v>#N/A</v>
      </c>
    </row>
    <row r="5975" spans="15:61" hidden="1">
      <c r="O5975" s="57"/>
      <c r="P5975" s="57"/>
      <c r="AP5975" s="57"/>
      <c r="BA5975" s="57"/>
      <c r="BF5975" s="6" t="e">
        <f t="shared" si="279"/>
        <v>#NUM!</v>
      </c>
      <c r="BG5975" t="e">
        <f t="shared" si="280"/>
        <v>#NUM!</v>
      </c>
      <c r="BH5975" t="e">
        <f t="shared" si="281"/>
        <v>#NUM!</v>
      </c>
      <c r="BI5975" t="e">
        <f>VLOOKUP(H5975,Sheet2!$A$1:$B$270,2,FALSE)</f>
        <v>#N/A</v>
      </c>
    </row>
    <row r="5976" spans="15:61" hidden="1">
      <c r="O5976" s="57"/>
      <c r="P5976" s="57"/>
      <c r="AP5976" s="57"/>
      <c r="BA5976" s="57"/>
      <c r="BF5976" s="6" t="e">
        <f t="shared" si="279"/>
        <v>#NUM!</v>
      </c>
      <c r="BG5976" t="e">
        <f t="shared" si="280"/>
        <v>#NUM!</v>
      </c>
      <c r="BH5976" t="e">
        <f t="shared" si="281"/>
        <v>#NUM!</v>
      </c>
      <c r="BI5976" t="e">
        <f>VLOOKUP(H5976,Sheet2!$A$1:$B$270,2,FALSE)</f>
        <v>#N/A</v>
      </c>
    </row>
    <row r="5977" spans="15:61" hidden="1">
      <c r="O5977" s="57"/>
      <c r="P5977" s="57"/>
      <c r="AP5977" s="57"/>
      <c r="BA5977" s="57"/>
      <c r="BF5977" s="6" t="e">
        <f t="shared" si="279"/>
        <v>#NUM!</v>
      </c>
      <c r="BG5977" t="e">
        <f t="shared" si="280"/>
        <v>#NUM!</v>
      </c>
      <c r="BH5977" t="e">
        <f t="shared" si="281"/>
        <v>#NUM!</v>
      </c>
      <c r="BI5977" t="e">
        <f>VLOOKUP(H5977,Sheet2!$A$1:$B$270,2,FALSE)</f>
        <v>#N/A</v>
      </c>
    </row>
    <row r="5978" spans="15:61" hidden="1">
      <c r="O5978" s="57"/>
      <c r="P5978" s="57"/>
      <c r="AO5978" s="57"/>
      <c r="BA5978" s="57"/>
      <c r="BF5978" s="6" t="e">
        <f t="shared" si="279"/>
        <v>#NUM!</v>
      </c>
      <c r="BG5978" t="e">
        <f t="shared" si="280"/>
        <v>#NUM!</v>
      </c>
      <c r="BH5978" t="e">
        <f t="shared" si="281"/>
        <v>#NUM!</v>
      </c>
      <c r="BI5978" t="e">
        <f>VLOOKUP(H5978,Sheet2!$A$1:$B$270,2,FALSE)</f>
        <v>#N/A</v>
      </c>
    </row>
  </sheetData>
  <autoFilter ref="A1:BI5978" xr:uid="{00000000-0001-0000-0500-000000000000}">
    <filterColumn colId="3">
      <filters>
        <filter val="BALI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184" workbookViewId="0">
      <selection activeCell="N193" sqref="N193"/>
    </sheetView>
  </sheetViews>
  <sheetFormatPr defaultColWidth="9" defaultRowHeight="14.5"/>
  <cols>
    <col min="1" max="1" width="22.54296875" style="1" customWidth="1"/>
    <col min="2" max="2" width="22.54296875" customWidth="1"/>
  </cols>
  <sheetData>
    <row r="1" spans="1:2">
      <c r="A1" s="2" t="s">
        <v>161</v>
      </c>
      <c r="B1" s="3" t="s">
        <v>78</v>
      </c>
    </row>
    <row r="2" spans="1:2">
      <c r="A2" s="86" t="s">
        <v>464</v>
      </c>
      <c r="B2" s="1" t="s">
        <v>92</v>
      </c>
    </row>
    <row r="3" spans="1:2">
      <c r="A3" s="86" t="s">
        <v>455</v>
      </c>
      <c r="B3" s="1" t="s">
        <v>92</v>
      </c>
    </row>
    <row r="4" spans="1:2">
      <c r="A4" s="86" t="s">
        <v>426</v>
      </c>
      <c r="B4" s="1" t="s">
        <v>92</v>
      </c>
    </row>
    <row r="5" spans="1:2">
      <c r="A5" s="86" t="s">
        <v>521</v>
      </c>
      <c r="B5" s="1" t="s">
        <v>92</v>
      </c>
    </row>
    <row r="6" spans="1:2">
      <c r="A6" s="86" t="s">
        <v>328</v>
      </c>
      <c r="B6" s="1" t="s">
        <v>92</v>
      </c>
    </row>
    <row r="7" spans="1:2">
      <c r="A7" s="86" t="s">
        <v>450</v>
      </c>
      <c r="B7" s="1" t="s">
        <v>92</v>
      </c>
    </row>
    <row r="8" spans="1:2">
      <c r="A8" s="86" t="s">
        <v>440</v>
      </c>
      <c r="B8" s="1" t="s">
        <v>92</v>
      </c>
    </row>
    <row r="9" spans="1:2">
      <c r="A9" s="86" t="s">
        <v>466</v>
      </c>
      <c r="B9" s="1" t="s">
        <v>95</v>
      </c>
    </row>
    <row r="10" spans="1:2">
      <c r="A10" s="86" t="s">
        <v>384</v>
      </c>
      <c r="B10" s="1" t="s">
        <v>95</v>
      </c>
    </row>
    <row r="11" spans="1:2">
      <c r="A11" s="86" t="s">
        <v>457</v>
      </c>
      <c r="B11" s="1" t="s">
        <v>95</v>
      </c>
    </row>
    <row r="12" spans="1:2">
      <c r="A12" s="86" t="s">
        <v>517</v>
      </c>
      <c r="B12" s="1" t="s">
        <v>95</v>
      </c>
    </row>
    <row r="13" spans="1:2">
      <c r="A13" s="86" t="s">
        <v>518</v>
      </c>
      <c r="B13" s="1" t="s">
        <v>95</v>
      </c>
    </row>
    <row r="14" spans="1:2">
      <c r="A14" s="86" t="s">
        <v>351</v>
      </c>
      <c r="B14" s="1" t="s">
        <v>95</v>
      </c>
    </row>
    <row r="15" spans="1:2">
      <c r="A15" s="86" t="s">
        <v>519</v>
      </c>
      <c r="B15" s="1" t="s">
        <v>95</v>
      </c>
    </row>
    <row r="16" spans="1:2">
      <c r="A16" s="86" t="s">
        <v>520</v>
      </c>
      <c r="B16" s="1" t="s">
        <v>95</v>
      </c>
    </row>
    <row r="17" spans="1:2">
      <c r="A17" s="86" t="s">
        <v>243</v>
      </c>
      <c r="B17" s="1" t="s">
        <v>95</v>
      </c>
    </row>
    <row r="18" spans="1:2">
      <c r="A18" s="86" t="s">
        <v>253</v>
      </c>
      <c r="B18" s="1" t="s">
        <v>92</v>
      </c>
    </row>
    <row r="19" spans="1:2">
      <c r="A19" s="86" t="s">
        <v>301</v>
      </c>
      <c r="B19" s="1" t="s">
        <v>92</v>
      </c>
    </row>
    <row r="20" spans="1:2">
      <c r="A20" s="86" t="s">
        <v>507</v>
      </c>
      <c r="B20" s="1" t="s">
        <v>92</v>
      </c>
    </row>
    <row r="21" spans="1:2">
      <c r="A21" s="86" t="s">
        <v>470</v>
      </c>
      <c r="B21" s="1" t="s">
        <v>92</v>
      </c>
    </row>
    <row r="22" spans="1:2">
      <c r="A22" s="86" t="s">
        <v>362</v>
      </c>
      <c r="B22" s="1" t="s">
        <v>227</v>
      </c>
    </row>
    <row r="23" spans="1:2">
      <c r="A23" s="86" t="s">
        <v>481</v>
      </c>
      <c r="B23" s="1" t="s">
        <v>227</v>
      </c>
    </row>
    <row r="24" spans="1:2">
      <c r="A24" s="86" t="s">
        <v>354</v>
      </c>
      <c r="B24" s="1" t="s">
        <v>227</v>
      </c>
    </row>
    <row r="25" spans="1:2">
      <c r="A25" s="86" t="s">
        <v>321</v>
      </c>
      <c r="B25" s="1" t="s">
        <v>227</v>
      </c>
    </row>
    <row r="26" spans="1:2">
      <c r="A26" s="86" t="s">
        <v>482</v>
      </c>
      <c r="B26" s="1" t="s">
        <v>227</v>
      </c>
    </row>
    <row r="27" spans="1:2">
      <c r="A27" s="86" t="s">
        <v>483</v>
      </c>
      <c r="B27" s="1" t="s">
        <v>227</v>
      </c>
    </row>
    <row r="28" spans="1:2">
      <c r="A28" s="86" t="s">
        <v>484</v>
      </c>
      <c r="B28" s="1" t="s">
        <v>227</v>
      </c>
    </row>
    <row r="29" spans="1:2">
      <c r="A29" s="86" t="s">
        <v>475</v>
      </c>
      <c r="B29" s="1" t="s">
        <v>109</v>
      </c>
    </row>
    <row r="30" spans="1:2">
      <c r="A30" s="86" t="s">
        <v>495</v>
      </c>
      <c r="B30" s="1" t="s">
        <v>107</v>
      </c>
    </row>
    <row r="31" spans="1:2">
      <c r="A31" s="86" t="s">
        <v>430</v>
      </c>
      <c r="B31" s="1" t="s">
        <v>107</v>
      </c>
    </row>
    <row r="32" spans="1:2">
      <c r="A32" s="86" t="s">
        <v>343</v>
      </c>
      <c r="B32" s="1" t="s">
        <v>107</v>
      </c>
    </row>
    <row r="33" spans="1:2">
      <c r="A33" s="86" t="s">
        <v>391</v>
      </c>
      <c r="B33" s="1" t="s">
        <v>88</v>
      </c>
    </row>
    <row r="34" spans="1:2">
      <c r="A34" s="86" t="s">
        <v>486</v>
      </c>
      <c r="B34" s="1" t="s">
        <v>122</v>
      </c>
    </row>
    <row r="35" spans="1:2">
      <c r="A35" s="86" t="s">
        <v>335</v>
      </c>
      <c r="B35" s="1" t="s">
        <v>106</v>
      </c>
    </row>
    <row r="36" spans="1:2">
      <c r="A36" s="86" t="s">
        <v>332</v>
      </c>
      <c r="B36" s="1" t="s">
        <v>227</v>
      </c>
    </row>
    <row r="37" spans="1:2">
      <c r="A37" s="86" t="s">
        <v>420</v>
      </c>
      <c r="B37" s="1" t="s">
        <v>227</v>
      </c>
    </row>
    <row r="38" spans="1:2">
      <c r="A38" s="86" t="s">
        <v>228</v>
      </c>
      <c r="B38" s="1" t="s">
        <v>227</v>
      </c>
    </row>
    <row r="39" spans="1:2">
      <c r="A39" s="86" t="s">
        <v>277</v>
      </c>
      <c r="B39" s="1" t="s">
        <v>227</v>
      </c>
    </row>
    <row r="40" spans="1:2">
      <c r="A40" s="86" t="s">
        <v>435</v>
      </c>
      <c r="B40" s="1" t="s">
        <v>227</v>
      </c>
    </row>
    <row r="41" spans="1:2">
      <c r="A41" s="86" t="s">
        <v>485</v>
      </c>
      <c r="B41" s="1" t="s">
        <v>227</v>
      </c>
    </row>
    <row r="42" spans="1:2">
      <c r="A42" s="86" t="s">
        <v>324</v>
      </c>
      <c r="B42" s="1" t="s">
        <v>227</v>
      </c>
    </row>
    <row r="43" spans="1:2">
      <c r="A43" s="86" t="s">
        <v>442</v>
      </c>
      <c r="B43" s="1" t="s">
        <v>227</v>
      </c>
    </row>
    <row r="44" spans="1:2">
      <c r="A44" s="86" t="s">
        <v>480</v>
      </c>
      <c r="B44" s="1" t="s">
        <v>227</v>
      </c>
    </row>
    <row r="45" spans="1:2">
      <c r="A45" s="86" t="s">
        <v>375</v>
      </c>
      <c r="B45" s="1" t="s">
        <v>227</v>
      </c>
    </row>
    <row r="46" spans="1:2">
      <c r="A46" s="86" t="s">
        <v>479</v>
      </c>
      <c r="B46" s="1" t="s">
        <v>227</v>
      </c>
    </row>
    <row r="47" spans="1:2">
      <c r="A47" s="86" t="s">
        <v>416</v>
      </c>
      <c r="B47" s="1" t="s">
        <v>637</v>
      </c>
    </row>
    <row r="48" spans="1:2">
      <c r="A48" s="86" t="s">
        <v>383</v>
      </c>
      <c r="B48" s="1" t="s">
        <v>637</v>
      </c>
    </row>
    <row r="49" spans="1:2">
      <c r="A49" s="86" t="s">
        <v>374</v>
      </c>
      <c r="B49" s="1" t="s">
        <v>637</v>
      </c>
    </row>
    <row r="50" spans="1:2">
      <c r="A50" s="86" t="s">
        <v>449</v>
      </c>
      <c r="B50" s="1" t="s">
        <v>637</v>
      </c>
    </row>
    <row r="51" spans="1:2">
      <c r="A51" s="86" t="s">
        <v>306</v>
      </c>
      <c r="B51" s="1" t="s">
        <v>640</v>
      </c>
    </row>
    <row r="52" spans="1:2">
      <c r="A52" s="86" t="s">
        <v>350</v>
      </c>
      <c r="B52" s="1" t="s">
        <v>637</v>
      </c>
    </row>
    <row r="53" spans="1:2">
      <c r="A53" s="86" t="s">
        <v>304</v>
      </c>
      <c r="B53" s="1" t="s">
        <v>637</v>
      </c>
    </row>
    <row r="54" spans="1:2">
      <c r="A54" s="86" t="s">
        <v>269</v>
      </c>
      <c r="B54" s="1" t="s">
        <v>637</v>
      </c>
    </row>
    <row r="55" spans="1:2">
      <c r="A55" s="86" t="s">
        <v>385</v>
      </c>
      <c r="B55" s="1" t="s">
        <v>640</v>
      </c>
    </row>
    <row r="56" spans="1:2">
      <c r="A56" s="86" t="s">
        <v>370</v>
      </c>
      <c r="B56" s="1" t="s">
        <v>640</v>
      </c>
    </row>
    <row r="57" spans="1:2">
      <c r="A57" s="86" t="s">
        <v>327</v>
      </c>
      <c r="B57" s="1" t="s">
        <v>640</v>
      </c>
    </row>
    <row r="58" spans="1:2">
      <c r="A58" s="86" t="s">
        <v>286</v>
      </c>
      <c r="B58" s="1" t="s">
        <v>637</v>
      </c>
    </row>
    <row r="59" spans="1:2">
      <c r="A59" s="86" t="s">
        <v>307</v>
      </c>
      <c r="B59" s="1" t="s">
        <v>640</v>
      </c>
    </row>
    <row r="60" spans="1:2">
      <c r="A60" s="86" t="s">
        <v>353</v>
      </c>
      <c r="B60" s="1" t="s">
        <v>640</v>
      </c>
    </row>
    <row r="61" spans="1:2">
      <c r="A61" s="86" t="s">
        <v>266</v>
      </c>
      <c r="B61" s="1" t="s">
        <v>637</v>
      </c>
    </row>
    <row r="62" spans="1:2">
      <c r="A62" s="86" t="s">
        <v>261</v>
      </c>
      <c r="B62" s="1" t="s">
        <v>640</v>
      </c>
    </row>
    <row r="63" spans="1:2">
      <c r="A63" s="86" t="s">
        <v>400</v>
      </c>
      <c r="B63" s="1" t="s">
        <v>637</v>
      </c>
    </row>
    <row r="64" spans="1:2">
      <c r="A64" s="86" t="s">
        <v>487</v>
      </c>
      <c r="B64" s="1" t="s">
        <v>637</v>
      </c>
    </row>
    <row r="65" spans="1:2">
      <c r="A65" s="86" t="s">
        <v>326</v>
      </c>
      <c r="B65" s="1" t="s">
        <v>640</v>
      </c>
    </row>
    <row r="66" spans="1:2">
      <c r="A66" s="86" t="s">
        <v>336</v>
      </c>
      <c r="B66" s="1" t="s">
        <v>99</v>
      </c>
    </row>
    <row r="67" spans="1:2">
      <c r="A67" s="86" t="s">
        <v>381</v>
      </c>
      <c r="B67" s="1" t="s">
        <v>99</v>
      </c>
    </row>
    <row r="68" spans="1:2">
      <c r="A68" s="86" t="s">
        <v>494</v>
      </c>
      <c r="B68" s="1" t="s">
        <v>99</v>
      </c>
    </row>
    <row r="69" spans="1:2">
      <c r="A69" s="86" t="s">
        <v>331</v>
      </c>
      <c r="B69" s="1" t="s">
        <v>99</v>
      </c>
    </row>
    <row r="70" spans="1:2">
      <c r="A70" s="86" t="s">
        <v>339</v>
      </c>
      <c r="B70" s="1" t="s">
        <v>99</v>
      </c>
    </row>
    <row r="71" spans="1:2">
      <c r="A71" s="86" t="s">
        <v>488</v>
      </c>
      <c r="B71" s="1" t="s">
        <v>99</v>
      </c>
    </row>
    <row r="72" spans="1:2">
      <c r="A72" s="86" t="s">
        <v>404</v>
      </c>
      <c r="B72" s="1" t="s">
        <v>99</v>
      </c>
    </row>
    <row r="73" spans="1:2">
      <c r="A73" s="86" t="s">
        <v>280</v>
      </c>
      <c r="B73" s="1" t="s">
        <v>99</v>
      </c>
    </row>
    <row r="74" spans="1:2">
      <c r="A74" s="86" t="s">
        <v>373</v>
      </c>
      <c r="B74" s="1" t="s">
        <v>99</v>
      </c>
    </row>
    <row r="75" spans="1:2">
      <c r="A75" s="86" t="s">
        <v>463</v>
      </c>
      <c r="B75" s="1" t="s">
        <v>99</v>
      </c>
    </row>
    <row r="76" spans="1:2">
      <c r="A76" s="86" t="s">
        <v>274</v>
      </c>
      <c r="B76" s="1" t="s">
        <v>99</v>
      </c>
    </row>
    <row r="77" spans="1:2">
      <c r="A77" s="86" t="s">
        <v>489</v>
      </c>
      <c r="B77" s="1" t="s">
        <v>99</v>
      </c>
    </row>
    <row r="78" spans="1:2">
      <c r="A78" s="86" t="s">
        <v>308</v>
      </c>
      <c r="B78" s="1" t="s">
        <v>99</v>
      </c>
    </row>
    <row r="79" spans="1:2">
      <c r="A79" s="86" t="s">
        <v>448</v>
      </c>
      <c r="B79" s="1" t="s">
        <v>99</v>
      </c>
    </row>
    <row r="80" spans="1:2">
      <c r="A80" s="86" t="s">
        <v>417</v>
      </c>
      <c r="B80" s="1" t="s">
        <v>102</v>
      </c>
    </row>
    <row r="81" spans="1:2">
      <c r="A81" s="86" t="s">
        <v>490</v>
      </c>
      <c r="B81" s="1" t="s">
        <v>102</v>
      </c>
    </row>
    <row r="82" spans="1:2">
      <c r="A82" s="86" t="s">
        <v>491</v>
      </c>
      <c r="B82" s="1" t="s">
        <v>102</v>
      </c>
    </row>
    <row r="83" spans="1:2">
      <c r="A83" s="86" t="s">
        <v>360</v>
      </c>
      <c r="B83" s="1" t="s">
        <v>102</v>
      </c>
    </row>
    <row r="84" spans="1:2">
      <c r="A84" s="86" t="s">
        <v>433</v>
      </c>
      <c r="B84" s="1" t="s">
        <v>102</v>
      </c>
    </row>
    <row r="85" spans="1:2">
      <c r="A85" s="86" t="s">
        <v>382</v>
      </c>
      <c r="B85" s="1" t="s">
        <v>102</v>
      </c>
    </row>
    <row r="86" spans="1:2">
      <c r="A86" s="86" t="s">
        <v>446</v>
      </c>
      <c r="B86" s="1" t="s">
        <v>102</v>
      </c>
    </row>
    <row r="87" spans="1:2">
      <c r="A87" s="86" t="s">
        <v>436</v>
      </c>
      <c r="B87" s="1" t="s">
        <v>102</v>
      </c>
    </row>
    <row r="88" spans="1:2">
      <c r="A88" s="86" t="s">
        <v>366</v>
      </c>
      <c r="B88" s="1" t="s">
        <v>102</v>
      </c>
    </row>
    <row r="89" spans="1:2">
      <c r="A89" s="86" t="s">
        <v>431</v>
      </c>
      <c r="B89" s="1" t="s">
        <v>102</v>
      </c>
    </row>
    <row r="90" spans="1:2">
      <c r="A90" s="86" t="s">
        <v>275</v>
      </c>
      <c r="B90" s="1" t="s">
        <v>102</v>
      </c>
    </row>
    <row r="91" spans="1:2">
      <c r="A91" s="86" t="s">
        <v>500</v>
      </c>
      <c r="B91" s="1" t="s">
        <v>88</v>
      </c>
    </row>
    <row r="92" spans="1:2">
      <c r="A92" s="86" t="s">
        <v>501</v>
      </c>
      <c r="B92" s="1" t="s">
        <v>88</v>
      </c>
    </row>
    <row r="93" spans="1:2">
      <c r="A93" s="86" t="s">
        <v>502</v>
      </c>
      <c r="B93" s="1" t="s">
        <v>88</v>
      </c>
    </row>
    <row r="94" spans="1:2">
      <c r="A94" s="86" t="s">
        <v>424</v>
      </c>
      <c r="B94" s="1" t="s">
        <v>88</v>
      </c>
    </row>
    <row r="95" spans="1:2">
      <c r="A95" s="86" t="s">
        <v>341</v>
      </c>
      <c r="B95" s="1" t="s">
        <v>88</v>
      </c>
    </row>
    <row r="96" spans="1:2">
      <c r="A96" s="86" t="s">
        <v>453</v>
      </c>
      <c r="B96" s="1" t="s">
        <v>88</v>
      </c>
    </row>
    <row r="97" spans="1:2">
      <c r="A97" s="86" t="s">
        <v>503</v>
      </c>
      <c r="B97" s="1" t="s">
        <v>88</v>
      </c>
    </row>
    <row r="98" spans="1:2">
      <c r="A98" s="86" t="s">
        <v>506</v>
      </c>
      <c r="B98" s="1" t="s">
        <v>88</v>
      </c>
    </row>
    <row r="99" spans="1:2">
      <c r="A99" s="86" t="s">
        <v>392</v>
      </c>
      <c r="B99" s="1" t="s">
        <v>88</v>
      </c>
    </row>
    <row r="100" spans="1:2">
      <c r="A100" s="86" t="s">
        <v>477</v>
      </c>
      <c r="B100" s="1" t="s">
        <v>95</v>
      </c>
    </row>
    <row r="101" spans="1:2">
      <c r="A101" s="86" t="s">
        <v>282</v>
      </c>
      <c r="B101" s="1" t="s">
        <v>95</v>
      </c>
    </row>
    <row r="102" spans="1:2">
      <c r="A102" s="86" t="s">
        <v>505</v>
      </c>
      <c r="B102" s="1" t="s">
        <v>95</v>
      </c>
    </row>
    <row r="103" spans="1:2">
      <c r="A103" s="86" t="s">
        <v>294</v>
      </c>
      <c r="B103" s="1" t="s">
        <v>88</v>
      </c>
    </row>
    <row r="104" spans="1:2">
      <c r="A104" s="86" t="s">
        <v>428</v>
      </c>
      <c r="B104" s="1" t="s">
        <v>90</v>
      </c>
    </row>
    <row r="105" spans="1:2">
      <c r="A105" s="86" t="s">
        <v>468</v>
      </c>
      <c r="B105" s="1" t="s">
        <v>90</v>
      </c>
    </row>
    <row r="106" spans="1:2">
      <c r="A106" s="86" t="s">
        <v>344</v>
      </c>
      <c r="B106" s="1" t="s">
        <v>90</v>
      </c>
    </row>
    <row r="107" spans="1:2">
      <c r="A107" s="86" t="s">
        <v>504</v>
      </c>
      <c r="B107" s="1" t="s">
        <v>90</v>
      </c>
    </row>
    <row r="108" spans="1:2">
      <c r="A108" s="86" t="s">
        <v>380</v>
      </c>
      <c r="B108" s="1" t="s">
        <v>90</v>
      </c>
    </row>
    <row r="109" spans="1:2">
      <c r="A109" s="86" t="s">
        <v>456</v>
      </c>
      <c r="B109" s="1" t="s">
        <v>90</v>
      </c>
    </row>
    <row r="110" spans="1:2">
      <c r="A110" s="86" t="s">
        <v>447</v>
      </c>
      <c r="B110" s="1" t="s">
        <v>90</v>
      </c>
    </row>
    <row r="111" spans="1:2">
      <c r="A111" s="86" t="s">
        <v>302</v>
      </c>
      <c r="B111" s="1" t="s">
        <v>90</v>
      </c>
    </row>
    <row r="112" spans="1:2">
      <c r="A112" s="86" t="s">
        <v>407</v>
      </c>
      <c r="B112" s="1" t="s">
        <v>90</v>
      </c>
    </row>
    <row r="113" spans="1:2">
      <c r="A113" s="86" t="s">
        <v>419</v>
      </c>
      <c r="B113" s="1" t="s">
        <v>93</v>
      </c>
    </row>
    <row r="114" spans="1:2">
      <c r="A114" s="86" t="s">
        <v>460</v>
      </c>
      <c r="B114" s="1" t="s">
        <v>93</v>
      </c>
    </row>
    <row r="115" spans="1:2">
      <c r="A115" s="86" t="s">
        <v>309</v>
      </c>
      <c r="B115" s="1" t="s">
        <v>93</v>
      </c>
    </row>
    <row r="116" spans="1:2">
      <c r="A116" s="86" t="s">
        <v>295</v>
      </c>
      <c r="B116" s="1" t="s">
        <v>93</v>
      </c>
    </row>
    <row r="117" spans="1:2">
      <c r="A117" s="86" t="s">
        <v>379</v>
      </c>
      <c r="B117" s="1" t="s">
        <v>93</v>
      </c>
    </row>
    <row r="118" spans="1:2">
      <c r="A118" s="86" t="s">
        <v>422</v>
      </c>
      <c r="B118" s="1" t="s">
        <v>107</v>
      </c>
    </row>
    <row r="119" spans="1:2">
      <c r="A119" s="86" t="s">
        <v>469</v>
      </c>
      <c r="B119" s="1" t="s">
        <v>107</v>
      </c>
    </row>
    <row r="120" spans="1:2">
      <c r="A120" s="86" t="s">
        <v>291</v>
      </c>
      <c r="B120" s="1" t="s">
        <v>107</v>
      </c>
    </row>
    <row r="121" spans="1:2">
      <c r="A121" s="86" t="s">
        <v>498</v>
      </c>
      <c r="B121" s="1" t="s">
        <v>107</v>
      </c>
    </row>
    <row r="122" spans="1:2">
      <c r="A122" s="86" t="s">
        <v>259</v>
      </c>
      <c r="B122" s="1" t="s">
        <v>107</v>
      </c>
    </row>
    <row r="123" spans="1:2">
      <c r="A123" s="86" t="s">
        <v>462</v>
      </c>
      <c r="B123" s="1" t="s">
        <v>106</v>
      </c>
    </row>
    <row r="124" spans="1:2">
      <c r="A124" s="86" t="s">
        <v>363</v>
      </c>
      <c r="B124" s="1" t="s">
        <v>106</v>
      </c>
    </row>
    <row r="125" spans="1:2">
      <c r="A125" s="86" t="s">
        <v>478</v>
      </c>
      <c r="B125" s="1" t="s">
        <v>106</v>
      </c>
    </row>
    <row r="126" spans="1:2">
      <c r="A126" s="86" t="s">
        <v>329</v>
      </c>
      <c r="B126" s="1" t="s">
        <v>106</v>
      </c>
    </row>
    <row r="127" spans="1:2">
      <c r="A127" s="86" t="s">
        <v>497</v>
      </c>
      <c r="B127" s="1" t="s">
        <v>106</v>
      </c>
    </row>
    <row r="128" spans="1:2">
      <c r="A128" s="86" t="s">
        <v>427</v>
      </c>
      <c r="B128" s="1" t="s">
        <v>107</v>
      </c>
    </row>
    <row r="129" spans="1:2">
      <c r="A129" s="86" t="s">
        <v>364</v>
      </c>
      <c r="B129" s="1" t="s">
        <v>102</v>
      </c>
    </row>
    <row r="130" spans="1:2">
      <c r="A130" s="86" t="s">
        <v>496</v>
      </c>
      <c r="B130" s="1" t="s">
        <v>107</v>
      </c>
    </row>
    <row r="131" spans="1:2">
      <c r="A131" s="86" t="s">
        <v>471</v>
      </c>
      <c r="B131" s="1" t="s">
        <v>102</v>
      </c>
    </row>
    <row r="132" spans="1:2">
      <c r="A132" s="86" t="s">
        <v>473</v>
      </c>
      <c r="B132" s="1" t="s">
        <v>107</v>
      </c>
    </row>
    <row r="133" spans="1:2">
      <c r="A133" s="86" t="s">
        <v>441</v>
      </c>
      <c r="B133" s="1" t="s">
        <v>107</v>
      </c>
    </row>
    <row r="134" spans="1:2">
      <c r="A134" s="86" t="s">
        <v>372</v>
      </c>
      <c r="B134" s="1" t="s">
        <v>102</v>
      </c>
    </row>
    <row r="135" spans="1:2">
      <c r="A135" s="86" t="s">
        <v>445</v>
      </c>
      <c r="B135" s="1" t="s">
        <v>107</v>
      </c>
    </row>
    <row r="136" spans="1:2">
      <c r="A136" s="86" t="s">
        <v>413</v>
      </c>
      <c r="B136" s="1" t="s">
        <v>107</v>
      </c>
    </row>
    <row r="137" spans="1:2">
      <c r="A137" s="86" t="s">
        <v>492</v>
      </c>
      <c r="B137" s="1" t="s">
        <v>102</v>
      </c>
    </row>
    <row r="138" spans="1:2">
      <c r="A138" s="86" t="s">
        <v>493</v>
      </c>
      <c r="B138" s="1" t="s">
        <v>102</v>
      </c>
    </row>
    <row r="139" spans="1:2">
      <c r="A139" s="86" t="s">
        <v>386</v>
      </c>
      <c r="B139" s="1" t="s">
        <v>247</v>
      </c>
    </row>
    <row r="140" spans="1:2">
      <c r="A140" s="86" t="s">
        <v>248</v>
      </c>
      <c r="B140" s="1" t="s">
        <v>87</v>
      </c>
    </row>
    <row r="141" spans="1:2">
      <c r="A141" s="86" t="s">
        <v>423</v>
      </c>
      <c r="B141" s="1" t="s">
        <v>87</v>
      </c>
    </row>
    <row r="142" spans="1:2">
      <c r="A142" s="86" t="s">
        <v>515</v>
      </c>
      <c r="B142" s="1" t="s">
        <v>247</v>
      </c>
    </row>
    <row r="143" spans="1:2">
      <c r="A143" s="86" t="s">
        <v>438</v>
      </c>
      <c r="B143" s="1" t="s">
        <v>87</v>
      </c>
    </row>
    <row r="144" spans="1:2">
      <c r="A144" s="86" t="s">
        <v>401</v>
      </c>
      <c r="B144" s="1" t="s">
        <v>247</v>
      </c>
    </row>
    <row r="145" spans="1:2">
      <c r="A145" s="86" t="s">
        <v>322</v>
      </c>
      <c r="B145" s="1" t="s">
        <v>247</v>
      </c>
    </row>
    <row r="146" spans="1:2">
      <c r="A146" s="86" t="s">
        <v>437</v>
      </c>
      <c r="B146" s="1" t="s">
        <v>87</v>
      </c>
    </row>
    <row r="147" spans="1:2">
      <c r="A147" s="86" t="s">
        <v>434</v>
      </c>
      <c r="B147" s="1" t="s">
        <v>247</v>
      </c>
    </row>
    <row r="148" spans="1:2">
      <c r="A148" s="86" t="s">
        <v>418</v>
      </c>
      <c r="B148" s="1" t="s">
        <v>87</v>
      </c>
    </row>
    <row r="149" spans="1:2">
      <c r="A149" s="86" t="s">
        <v>285</v>
      </c>
      <c r="B149" s="1" t="s">
        <v>87</v>
      </c>
    </row>
    <row r="150" spans="1:2">
      <c r="A150" s="86" t="s">
        <v>352</v>
      </c>
      <c r="B150" s="1" t="s">
        <v>87</v>
      </c>
    </row>
    <row r="151" spans="1:2">
      <c r="A151" s="86" t="s">
        <v>516</v>
      </c>
      <c r="B151" s="1" t="s">
        <v>87</v>
      </c>
    </row>
    <row r="152" spans="1:2">
      <c r="A152" s="86" t="s">
        <v>421</v>
      </c>
      <c r="B152" s="1" t="s">
        <v>247</v>
      </c>
    </row>
    <row r="153" spans="1:2">
      <c r="A153" s="86" t="s">
        <v>429</v>
      </c>
      <c r="B153" s="1" t="s">
        <v>247</v>
      </c>
    </row>
    <row r="154" spans="1:2">
      <c r="A154" s="86" t="s">
        <v>509</v>
      </c>
      <c r="B154" s="1" t="s">
        <v>247</v>
      </c>
    </row>
    <row r="155" spans="1:2">
      <c r="A155" s="86" t="s">
        <v>510</v>
      </c>
      <c r="B155" s="1" t="s">
        <v>247</v>
      </c>
    </row>
    <row r="156" spans="1:2">
      <c r="A156" s="86" t="s">
        <v>511</v>
      </c>
      <c r="B156" s="1" t="s">
        <v>247</v>
      </c>
    </row>
    <row r="157" spans="1:2">
      <c r="A157" s="86" t="s">
        <v>512</v>
      </c>
      <c r="B157" s="1" t="s">
        <v>247</v>
      </c>
    </row>
    <row r="158" spans="1:2">
      <c r="A158" s="86" t="s">
        <v>513</v>
      </c>
      <c r="B158" s="1" t="s">
        <v>247</v>
      </c>
    </row>
    <row r="159" spans="1:2">
      <c r="A159" s="86" t="s">
        <v>514</v>
      </c>
      <c r="B159" s="1" t="s">
        <v>247</v>
      </c>
    </row>
    <row r="160" spans="1:2">
      <c r="A160" s="86" t="s">
        <v>410</v>
      </c>
      <c r="B160" s="1" t="s">
        <v>247</v>
      </c>
    </row>
    <row r="161" spans="1:2">
      <c r="A161" s="86" t="s">
        <v>396</v>
      </c>
      <c r="B161" s="1" t="s">
        <v>247</v>
      </c>
    </row>
    <row r="162" spans="1:2">
      <c r="A162" s="86" t="s">
        <v>334</v>
      </c>
      <c r="B162" s="1" t="s">
        <v>247</v>
      </c>
    </row>
    <row r="163" spans="1:2">
      <c r="A163" s="86" t="s">
        <v>395</v>
      </c>
      <c r="B163" s="1" t="s">
        <v>89</v>
      </c>
    </row>
    <row r="164" spans="1:2">
      <c r="A164" s="86" t="s">
        <v>358</v>
      </c>
      <c r="B164" s="1" t="s">
        <v>89</v>
      </c>
    </row>
    <row r="165" spans="1:2">
      <c r="A165" s="86" t="s">
        <v>265</v>
      </c>
      <c r="B165" s="1" t="s">
        <v>89</v>
      </c>
    </row>
    <row r="166" spans="1:2">
      <c r="A166" s="86" t="s">
        <v>397</v>
      </c>
      <c r="B166" s="1" t="s">
        <v>89</v>
      </c>
    </row>
    <row r="167" spans="1:2">
      <c r="A167" s="86" t="s">
        <v>347</v>
      </c>
      <c r="B167" s="1" t="s">
        <v>122</v>
      </c>
    </row>
    <row r="168" spans="1:2">
      <c r="A168" s="86" t="s">
        <v>403</v>
      </c>
      <c r="B168" s="1" t="s">
        <v>122</v>
      </c>
    </row>
    <row r="169" spans="1:2">
      <c r="A169" s="86" t="s">
        <v>323</v>
      </c>
      <c r="B169" s="1" t="s">
        <v>122</v>
      </c>
    </row>
    <row r="170" spans="1:2">
      <c r="A170" s="86" t="s">
        <v>405</v>
      </c>
      <c r="B170" s="1" t="s">
        <v>122</v>
      </c>
    </row>
    <row r="171" spans="1:2">
      <c r="A171" s="86" t="s">
        <v>508</v>
      </c>
      <c r="B171" s="1" t="s">
        <v>89</v>
      </c>
    </row>
    <row r="172" spans="1:2">
      <c r="A172" s="86" t="s">
        <v>388</v>
      </c>
      <c r="B172" s="1" t="s">
        <v>89</v>
      </c>
    </row>
    <row r="173" spans="1:2">
      <c r="A173" s="86" t="s">
        <v>340</v>
      </c>
      <c r="B173" s="1" t="s">
        <v>89</v>
      </c>
    </row>
    <row r="174" spans="1:2">
      <c r="A174" s="86" t="s">
        <v>461</v>
      </c>
      <c r="B174" s="1" t="s">
        <v>89</v>
      </c>
    </row>
    <row r="175" spans="1:2">
      <c r="A175" s="86" t="s">
        <v>297</v>
      </c>
      <c r="B175" s="1" t="s">
        <v>89</v>
      </c>
    </row>
    <row r="176" spans="1:2">
      <c r="A176" s="86" t="s">
        <v>251</v>
      </c>
      <c r="B176" s="1" t="s">
        <v>89</v>
      </c>
    </row>
    <row r="177" spans="1:2">
      <c r="A177" s="86" t="s">
        <v>472</v>
      </c>
      <c r="B177" s="1" t="s">
        <v>122</v>
      </c>
    </row>
    <row r="178" spans="1:2">
      <c r="A178" s="86" t="s">
        <v>290</v>
      </c>
      <c r="B178" s="1" t="s">
        <v>122</v>
      </c>
    </row>
    <row r="179" spans="1:2">
      <c r="A179" s="86" t="s">
        <v>319</v>
      </c>
      <c r="B179" s="1" t="s">
        <v>122</v>
      </c>
    </row>
    <row r="180" spans="1:2">
      <c r="A180" s="86" t="s">
        <v>451</v>
      </c>
      <c r="B180" s="1" t="s">
        <v>122</v>
      </c>
    </row>
    <row r="181" spans="1:2">
      <c r="A181" s="86" t="s">
        <v>345</v>
      </c>
      <c r="B181" s="1" t="s">
        <v>122</v>
      </c>
    </row>
    <row r="182" spans="1:2">
      <c r="A182" s="86" t="s">
        <v>338</v>
      </c>
      <c r="B182" s="1" t="s">
        <v>122</v>
      </c>
    </row>
    <row r="183" spans="1:2">
      <c r="A183" s="86" t="s">
        <v>346</v>
      </c>
      <c r="B183" s="1" t="s">
        <v>122</v>
      </c>
    </row>
    <row r="184" spans="1:2">
      <c r="A184" s="86" t="s">
        <v>399</v>
      </c>
      <c r="B184" s="1" t="s">
        <v>105</v>
      </c>
    </row>
    <row r="185" spans="1:2">
      <c r="A185" s="86" t="s">
        <v>293</v>
      </c>
      <c r="B185" s="1" t="s">
        <v>105</v>
      </c>
    </row>
    <row r="186" spans="1:2">
      <c r="A186" s="86" t="s">
        <v>361</v>
      </c>
      <c r="B186" s="1" t="s">
        <v>105</v>
      </c>
    </row>
    <row r="187" spans="1:2">
      <c r="A187" s="86" t="s">
        <v>389</v>
      </c>
      <c r="B187" s="1" t="s">
        <v>105</v>
      </c>
    </row>
    <row r="188" spans="1:2">
      <c r="A188" s="86" t="s">
        <v>439</v>
      </c>
      <c r="B188" s="1" t="s">
        <v>106</v>
      </c>
    </row>
    <row r="189" spans="1:2">
      <c r="A189" s="86" t="s">
        <v>289</v>
      </c>
      <c r="B189" s="1" t="s">
        <v>106</v>
      </c>
    </row>
    <row r="190" spans="1:2">
      <c r="A190" s="86" t="s">
        <v>444</v>
      </c>
      <c r="B190" s="1" t="s">
        <v>106</v>
      </c>
    </row>
    <row r="191" spans="1:2">
      <c r="A191" s="86" t="s">
        <v>412</v>
      </c>
      <c r="B191" s="1" t="s">
        <v>106</v>
      </c>
    </row>
    <row r="192" spans="1:2">
      <c r="A192" s="86" t="s">
        <v>317</v>
      </c>
      <c r="B192" s="1" t="s">
        <v>106</v>
      </c>
    </row>
    <row r="193" spans="1:2">
      <c r="A193" s="86" t="s">
        <v>233</v>
      </c>
      <c r="B193" s="1" t="s">
        <v>232</v>
      </c>
    </row>
    <row r="194" spans="1:2">
      <c r="A194" s="86" t="s">
        <v>299</v>
      </c>
      <c r="B194" s="1" t="s">
        <v>232</v>
      </c>
    </row>
    <row r="195" spans="1:2">
      <c r="A195" s="86" t="s">
        <v>258</v>
      </c>
      <c r="B195" s="1" t="s">
        <v>232</v>
      </c>
    </row>
    <row r="196" spans="1:2">
      <c r="A196" s="86" t="s">
        <v>499</v>
      </c>
      <c r="B196" s="1" t="s">
        <v>232</v>
      </c>
    </row>
    <row r="197" spans="1:2">
      <c r="A197" s="86" t="s">
        <v>425</v>
      </c>
      <c r="B197" s="1" t="s">
        <v>232</v>
      </c>
    </row>
    <row r="198" spans="1:2">
      <c r="A198" s="86" t="s">
        <v>378</v>
      </c>
      <c r="B198" s="1" t="s">
        <v>232</v>
      </c>
    </row>
    <row r="199" spans="1:2">
      <c r="A199" s="86" t="s">
        <v>296</v>
      </c>
      <c r="B199" s="1" t="s">
        <v>105</v>
      </c>
    </row>
    <row r="200" spans="1:2">
      <c r="A200" s="86" t="s">
        <v>369</v>
      </c>
      <c r="B200" s="1" t="s">
        <v>105</v>
      </c>
    </row>
    <row r="201" spans="1:2">
      <c r="A201" s="86" t="s">
        <v>432</v>
      </c>
      <c r="B201" s="1" t="s">
        <v>105</v>
      </c>
    </row>
    <row r="202" spans="1:2">
      <c r="A202" s="86" t="s">
        <v>368</v>
      </c>
      <c r="B202" s="1" t="s">
        <v>105</v>
      </c>
    </row>
    <row r="203" spans="1:2">
      <c r="A203" s="86" t="s">
        <v>292</v>
      </c>
      <c r="B203" s="1" t="s">
        <v>105</v>
      </c>
    </row>
    <row r="204" spans="1:2">
      <c r="A204" s="86" t="s">
        <v>264</v>
      </c>
      <c r="B204" s="1" t="s">
        <v>105</v>
      </c>
    </row>
    <row r="205" spans="1:2">
      <c r="A205" s="86" t="s">
        <v>211</v>
      </c>
      <c r="B205" s="1" t="s">
        <v>118</v>
      </c>
    </row>
    <row r="206" spans="1:2">
      <c r="A206" s="86" t="s">
        <v>276</v>
      </c>
      <c r="B206" s="1" t="s">
        <v>118</v>
      </c>
    </row>
    <row r="207" spans="1:2">
      <c r="A207" s="86" t="s">
        <v>476</v>
      </c>
      <c r="B207" s="1" t="s">
        <v>118</v>
      </c>
    </row>
    <row r="208" spans="1:2">
      <c r="A208" s="86" t="s">
        <v>267</v>
      </c>
      <c r="B208" s="1" t="s">
        <v>755</v>
      </c>
    </row>
    <row r="209" spans="1:2">
      <c r="A209" s="86" t="s">
        <v>242</v>
      </c>
      <c r="B209" s="1" t="s">
        <v>210</v>
      </c>
    </row>
    <row r="210" spans="1:2">
      <c r="A210" s="86" t="s">
        <v>262</v>
      </c>
      <c r="B210" s="1" t="s">
        <v>210</v>
      </c>
    </row>
    <row r="211" spans="1:2">
      <c r="A211" s="86" t="s">
        <v>393</v>
      </c>
      <c r="B211" s="1" t="s">
        <v>755</v>
      </c>
    </row>
    <row r="212" spans="1:2">
      <c r="A212" s="86" t="s">
        <v>272</v>
      </c>
      <c r="B212" s="1" t="s">
        <v>755</v>
      </c>
    </row>
    <row r="213" spans="1:2">
      <c r="A213" s="86" t="s">
        <v>452</v>
      </c>
      <c r="B213" s="1" t="s">
        <v>118</v>
      </c>
    </row>
    <row r="214" spans="1:2">
      <c r="A214" s="86" t="s">
        <v>349</v>
      </c>
      <c r="B214" s="1" t="s">
        <v>755</v>
      </c>
    </row>
    <row r="215" spans="1:2">
      <c r="A215" s="86" t="s">
        <v>356</v>
      </c>
      <c r="B215" s="1" t="s">
        <v>755</v>
      </c>
    </row>
    <row r="216" spans="1:2">
      <c r="A216" s="86" t="s">
        <v>311</v>
      </c>
      <c r="B216" s="1" t="s">
        <v>110</v>
      </c>
    </row>
    <row r="217" spans="1:2">
      <c r="A217" s="86" t="s">
        <v>443</v>
      </c>
      <c r="B217" s="1" t="s">
        <v>110</v>
      </c>
    </row>
    <row r="218" spans="1:2">
      <c r="A218" s="86" t="s">
        <v>527</v>
      </c>
      <c r="B218" s="1" t="s">
        <v>110</v>
      </c>
    </row>
    <row r="219" spans="1:2">
      <c r="A219" s="86" t="s">
        <v>365</v>
      </c>
      <c r="B219" s="1" t="s">
        <v>118</v>
      </c>
    </row>
    <row r="220" spans="1:2">
      <c r="A220" s="86" t="s">
        <v>246</v>
      </c>
      <c r="B220" s="1" t="s">
        <v>110</v>
      </c>
    </row>
    <row r="221" spans="1:2">
      <c r="A221" s="86" t="s">
        <v>237</v>
      </c>
      <c r="B221" s="1" t="s">
        <v>110</v>
      </c>
    </row>
    <row r="222" spans="1:2">
      <c r="A222" s="86" t="s">
        <v>467</v>
      </c>
      <c r="B222" s="1" t="s">
        <v>110</v>
      </c>
    </row>
    <row r="223" spans="1:2">
      <c r="A223" s="86" t="s">
        <v>409</v>
      </c>
      <c r="B223" s="1" t="s">
        <v>117</v>
      </c>
    </row>
    <row r="224" spans="1:2">
      <c r="A224" s="86" t="s">
        <v>526</v>
      </c>
      <c r="B224" s="1" t="s">
        <v>111</v>
      </c>
    </row>
    <row r="225" spans="1:2">
      <c r="A225" s="86" t="s">
        <v>273</v>
      </c>
      <c r="B225" s="1" t="s">
        <v>117</v>
      </c>
    </row>
    <row r="226" spans="1:2">
      <c r="A226" s="86" t="s">
        <v>454</v>
      </c>
      <c r="B226" s="1" t="s">
        <v>117</v>
      </c>
    </row>
    <row r="227" spans="1:2">
      <c r="A227" s="86" t="s">
        <v>254</v>
      </c>
      <c r="B227" s="1" t="s">
        <v>111</v>
      </c>
    </row>
    <row r="228" spans="1:2">
      <c r="A228" s="86" t="s">
        <v>376</v>
      </c>
      <c r="B228" s="1" t="s">
        <v>109</v>
      </c>
    </row>
    <row r="229" spans="1:2">
      <c r="A229" s="86" t="s">
        <v>367</v>
      </c>
      <c r="B229" s="1" t="s">
        <v>120</v>
      </c>
    </row>
    <row r="230" spans="1:2">
      <c r="A230" s="86" t="s">
        <v>474</v>
      </c>
      <c r="B230" s="1" t="s">
        <v>113</v>
      </c>
    </row>
    <row r="231" spans="1:2">
      <c r="A231" s="86" t="s">
        <v>315</v>
      </c>
      <c r="B231" s="1" t="s">
        <v>113</v>
      </c>
    </row>
    <row r="232" spans="1:2">
      <c r="A232" s="86" t="s">
        <v>465</v>
      </c>
      <c r="B232" s="1" t="s">
        <v>120</v>
      </c>
    </row>
    <row r="233" spans="1:2">
      <c r="A233" s="86" t="s">
        <v>359</v>
      </c>
      <c r="B233" s="1" t="s">
        <v>109</v>
      </c>
    </row>
    <row r="234" spans="1:2">
      <c r="A234" s="86" t="s">
        <v>310</v>
      </c>
      <c r="B234" s="1" t="s">
        <v>120</v>
      </c>
    </row>
    <row r="235" spans="1:2">
      <c r="A235" s="86" t="s">
        <v>318</v>
      </c>
      <c r="B235" s="1" t="s">
        <v>109</v>
      </c>
    </row>
    <row r="236" spans="1:2">
      <c r="A236" s="86" t="s">
        <v>300</v>
      </c>
      <c r="B236" s="1" t="s">
        <v>109</v>
      </c>
    </row>
    <row r="237" spans="1:2">
      <c r="A237" s="86" t="s">
        <v>406</v>
      </c>
      <c r="B237" s="1" t="s">
        <v>113</v>
      </c>
    </row>
    <row r="238" spans="1:2">
      <c r="A238" s="86" t="s">
        <v>411</v>
      </c>
      <c r="B238" s="1" t="s">
        <v>109</v>
      </c>
    </row>
    <row r="239" spans="1:2">
      <c r="A239" s="86" t="s">
        <v>524</v>
      </c>
      <c r="B239" s="1" t="s">
        <v>84</v>
      </c>
    </row>
    <row r="240" spans="1:2">
      <c r="A240" s="86" t="s">
        <v>240</v>
      </c>
      <c r="B240" s="1" t="s">
        <v>84</v>
      </c>
    </row>
    <row r="241" spans="1:2">
      <c r="A241" s="86" t="s">
        <v>278</v>
      </c>
      <c r="B241" s="1" t="s">
        <v>85</v>
      </c>
    </row>
    <row r="242" spans="1:2">
      <c r="A242" s="86" t="s">
        <v>355</v>
      </c>
      <c r="B242" s="1" t="s">
        <v>85</v>
      </c>
    </row>
    <row r="243" spans="1:2">
      <c r="A243" s="86" t="s">
        <v>458</v>
      </c>
      <c r="B243" s="1" t="s">
        <v>85</v>
      </c>
    </row>
    <row r="244" spans="1:2">
      <c r="A244" s="86" t="s">
        <v>459</v>
      </c>
      <c r="B244" s="1" t="s">
        <v>79</v>
      </c>
    </row>
    <row r="245" spans="1:2">
      <c r="A245" s="86" t="s">
        <v>250</v>
      </c>
      <c r="B245" s="1" t="s">
        <v>84</v>
      </c>
    </row>
    <row r="246" spans="1:2">
      <c r="A246" s="86" t="s">
        <v>371</v>
      </c>
      <c r="B246" s="1" t="s">
        <v>85</v>
      </c>
    </row>
    <row r="247" spans="1:2">
      <c r="A247" s="86" t="s">
        <v>522</v>
      </c>
      <c r="B247" s="1" t="s">
        <v>82</v>
      </c>
    </row>
    <row r="248" spans="1:2">
      <c r="A248" s="86" t="s">
        <v>281</v>
      </c>
      <c r="B248" s="1" t="s">
        <v>79</v>
      </c>
    </row>
    <row r="249" spans="1:2">
      <c r="A249" s="86" t="s">
        <v>330</v>
      </c>
      <c r="B249" s="1" t="s">
        <v>80</v>
      </c>
    </row>
    <row r="250" spans="1:2">
      <c r="A250" s="86" t="s">
        <v>320</v>
      </c>
      <c r="B250" s="1" t="s">
        <v>84</v>
      </c>
    </row>
    <row r="251" spans="1:2">
      <c r="A251" s="86" t="s">
        <v>408</v>
      </c>
      <c r="B251" s="1" t="s">
        <v>84</v>
      </c>
    </row>
    <row r="252" spans="1:2">
      <c r="A252" s="86" t="s">
        <v>398</v>
      </c>
      <c r="B252" s="1" t="s">
        <v>82</v>
      </c>
    </row>
    <row r="253" spans="1:2">
      <c r="A253" s="86" t="s">
        <v>523</v>
      </c>
      <c r="B253" s="1" t="s">
        <v>79</v>
      </c>
    </row>
    <row r="254" spans="1:2">
      <c r="A254" s="86" t="s">
        <v>263</v>
      </c>
      <c r="B254" s="1" t="s">
        <v>82</v>
      </c>
    </row>
    <row r="255" spans="1:2">
      <c r="A255" s="86" t="s">
        <v>394</v>
      </c>
      <c r="B255" s="1" t="s">
        <v>81</v>
      </c>
    </row>
    <row r="256" spans="1:2">
      <c r="A256" s="86" t="s">
        <v>231</v>
      </c>
      <c r="B256" s="1" t="s">
        <v>83</v>
      </c>
    </row>
    <row r="257" spans="1:2">
      <c r="A257" s="86" t="s">
        <v>377</v>
      </c>
      <c r="B257" s="1" t="s">
        <v>83</v>
      </c>
    </row>
    <row r="258" spans="1:2">
      <c r="A258" s="86" t="s">
        <v>298</v>
      </c>
      <c r="B258" s="1" t="s">
        <v>86</v>
      </c>
    </row>
    <row r="259" spans="1:2">
      <c r="A259" s="86" t="s">
        <v>390</v>
      </c>
      <c r="B259" s="1" t="s">
        <v>83</v>
      </c>
    </row>
    <row r="260" spans="1:2">
      <c r="A260" s="86" t="s">
        <v>414</v>
      </c>
      <c r="B260" s="1" t="s">
        <v>86</v>
      </c>
    </row>
    <row r="261" spans="1:2">
      <c r="A261" s="86" t="s">
        <v>348</v>
      </c>
      <c r="B261" s="1" t="s">
        <v>81</v>
      </c>
    </row>
    <row r="262" spans="1:2">
      <c r="A262" s="86" t="s">
        <v>316</v>
      </c>
      <c r="B262" s="1" t="s">
        <v>83</v>
      </c>
    </row>
    <row r="263" spans="1:2">
      <c r="A263" s="86" t="s">
        <v>415</v>
      </c>
      <c r="B263" s="1" t="s">
        <v>81</v>
      </c>
    </row>
    <row r="264" spans="1:2">
      <c r="A264" s="86" t="s">
        <v>271</v>
      </c>
      <c r="B264" s="1" t="s">
        <v>86</v>
      </c>
    </row>
    <row r="265" spans="1:2">
      <c r="A265" s="86" t="s">
        <v>314</v>
      </c>
      <c r="B265" s="1" t="s">
        <v>81</v>
      </c>
    </row>
    <row r="266" spans="1:2">
      <c r="A266" s="86" t="s">
        <v>525</v>
      </c>
      <c r="B266" s="1" t="s">
        <v>114</v>
      </c>
    </row>
    <row r="267" spans="1:2">
      <c r="A267" s="86" t="s">
        <v>337</v>
      </c>
      <c r="B267" s="1" t="s">
        <v>111</v>
      </c>
    </row>
    <row r="268" spans="1:2">
      <c r="A268" s="86" t="s">
        <v>357</v>
      </c>
      <c r="B268" s="1" t="s">
        <v>114</v>
      </c>
    </row>
    <row r="269" spans="1:2">
      <c r="A269" s="86" t="s">
        <v>402</v>
      </c>
      <c r="B269" s="1" t="s">
        <v>113</v>
      </c>
    </row>
    <row r="270" spans="1:2">
      <c r="A270" s="86" t="s">
        <v>387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I74" sqref="I74"/>
    </sheetView>
  </sheetViews>
  <sheetFormatPr defaultRowHeight="14.5"/>
  <cols>
    <col min="1" max="1" width="23.7265625" bestFit="1" customWidth="1"/>
    <col min="2" max="2" width="25.1796875" customWidth="1"/>
    <col min="3" max="3" width="16.26953125" bestFit="1" customWidth="1"/>
    <col min="4" max="4" width="10.1796875" bestFit="1" customWidth="1"/>
    <col min="5" max="5" width="5.81640625" bestFit="1" customWidth="1"/>
    <col min="8" max="8" width="19.1796875" bestFit="1" customWidth="1"/>
    <col min="9" max="9" width="18.453125" customWidth="1"/>
    <col min="10" max="10" width="13.453125" bestFit="1" customWidth="1"/>
  </cols>
  <sheetData>
    <row r="1" spans="1:10">
      <c r="A1" s="84" t="s">
        <v>587</v>
      </c>
      <c r="B1" s="84" t="s">
        <v>588</v>
      </c>
      <c r="C1" s="84" t="s">
        <v>589</v>
      </c>
      <c r="D1" s="84" t="s">
        <v>590</v>
      </c>
      <c r="E1" s="85" t="s">
        <v>591</v>
      </c>
      <c r="F1" s="85" t="s">
        <v>592</v>
      </c>
      <c r="G1" s="85" t="s">
        <v>593</v>
      </c>
      <c r="H1" s="85" t="s">
        <v>594</v>
      </c>
      <c r="I1" s="85" t="s">
        <v>595</v>
      </c>
      <c r="J1" s="85" t="s">
        <v>596</v>
      </c>
    </row>
    <row r="2" spans="1:10" hidden="1">
      <c r="A2" s="1" t="s">
        <v>94</v>
      </c>
      <c r="B2" s="1" t="s">
        <v>597</v>
      </c>
      <c r="C2" s="1" t="s">
        <v>38</v>
      </c>
      <c r="D2" s="1" t="s">
        <v>598</v>
      </c>
      <c r="E2" s="86" t="s">
        <v>464</v>
      </c>
      <c r="F2" s="1" t="s">
        <v>599</v>
      </c>
      <c r="G2" s="1">
        <v>1501564</v>
      </c>
      <c r="H2" s="1" t="s">
        <v>92</v>
      </c>
      <c r="I2" s="1" t="s">
        <v>38</v>
      </c>
      <c r="J2" s="1" t="s">
        <v>598</v>
      </c>
    </row>
    <row r="3" spans="1:10" hidden="1">
      <c r="A3" s="1" t="s">
        <v>94</v>
      </c>
      <c r="B3" s="1" t="s">
        <v>597</v>
      </c>
      <c r="C3" s="1" t="s">
        <v>38</v>
      </c>
      <c r="D3" s="1" t="s">
        <v>598</v>
      </c>
      <c r="E3" s="86" t="s">
        <v>455</v>
      </c>
      <c r="F3" s="1" t="s">
        <v>600</v>
      </c>
      <c r="G3" s="1">
        <v>1501562</v>
      </c>
      <c r="H3" s="1" t="s">
        <v>92</v>
      </c>
      <c r="I3" s="1" t="s">
        <v>38</v>
      </c>
      <c r="J3" s="1" t="s">
        <v>598</v>
      </c>
    </row>
    <row r="4" spans="1:10" hidden="1">
      <c r="A4" s="1" t="s">
        <v>94</v>
      </c>
      <c r="B4" s="1" t="s">
        <v>597</v>
      </c>
      <c r="C4" s="1" t="s">
        <v>38</v>
      </c>
      <c r="D4" s="1" t="s">
        <v>598</v>
      </c>
      <c r="E4" s="86" t="s">
        <v>426</v>
      </c>
      <c r="F4" s="1" t="s">
        <v>601</v>
      </c>
      <c r="G4" s="1">
        <v>1501560</v>
      </c>
      <c r="H4" s="1" t="s">
        <v>92</v>
      </c>
      <c r="I4" s="1" t="s">
        <v>38</v>
      </c>
      <c r="J4" s="1" t="s">
        <v>598</v>
      </c>
    </row>
    <row r="5" spans="1:10" hidden="1">
      <c r="A5" s="1" t="s">
        <v>94</v>
      </c>
      <c r="B5" s="1" t="s">
        <v>597</v>
      </c>
      <c r="C5" s="1" t="s">
        <v>38</v>
      </c>
      <c r="D5" s="1" t="s">
        <v>598</v>
      </c>
      <c r="E5" s="86" t="s">
        <v>521</v>
      </c>
      <c r="F5" s="1" t="s">
        <v>602</v>
      </c>
      <c r="G5" s="1">
        <v>1501558</v>
      </c>
      <c r="H5" s="1" t="s">
        <v>92</v>
      </c>
      <c r="I5" s="1" t="s">
        <v>38</v>
      </c>
      <c r="J5" s="1" t="s">
        <v>598</v>
      </c>
    </row>
    <row r="6" spans="1:10" hidden="1">
      <c r="A6" s="1" t="s">
        <v>94</v>
      </c>
      <c r="B6" s="1" t="s">
        <v>597</v>
      </c>
      <c r="C6" s="1" t="s">
        <v>38</v>
      </c>
      <c r="D6" s="1" t="s">
        <v>598</v>
      </c>
      <c r="E6" s="86" t="s">
        <v>328</v>
      </c>
      <c r="F6" s="1" t="s">
        <v>551</v>
      </c>
      <c r="G6" s="1">
        <v>1501556</v>
      </c>
      <c r="H6" s="1" t="s">
        <v>92</v>
      </c>
      <c r="I6" s="1" t="s">
        <v>38</v>
      </c>
      <c r="J6" s="1" t="s">
        <v>598</v>
      </c>
    </row>
    <row r="7" spans="1:10" hidden="1">
      <c r="A7" s="1" t="s">
        <v>94</v>
      </c>
      <c r="B7" s="1" t="s">
        <v>597</v>
      </c>
      <c r="C7" s="1" t="s">
        <v>38</v>
      </c>
      <c r="D7" s="1" t="s">
        <v>598</v>
      </c>
      <c r="E7" s="86" t="s">
        <v>450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598</v>
      </c>
    </row>
    <row r="8" spans="1:10" hidden="1">
      <c r="A8" s="1" t="s">
        <v>94</v>
      </c>
      <c r="B8" s="1" t="s">
        <v>597</v>
      </c>
      <c r="C8" s="1" t="s">
        <v>38</v>
      </c>
      <c r="D8" s="1" t="s">
        <v>598</v>
      </c>
      <c r="E8" s="86" t="s">
        <v>440</v>
      </c>
      <c r="F8" s="1" t="s">
        <v>603</v>
      </c>
      <c r="G8" s="1">
        <v>1501552</v>
      </c>
      <c r="H8" s="1" t="s">
        <v>92</v>
      </c>
      <c r="I8" s="1" t="s">
        <v>38</v>
      </c>
      <c r="J8" s="1" t="s">
        <v>598</v>
      </c>
    </row>
    <row r="9" spans="1:10" hidden="1">
      <c r="A9" s="1" t="s">
        <v>95</v>
      </c>
      <c r="B9" s="1" t="s">
        <v>597</v>
      </c>
      <c r="C9" s="1" t="s">
        <v>38</v>
      </c>
      <c r="D9" s="1" t="s">
        <v>598</v>
      </c>
      <c r="E9" s="86" t="s">
        <v>466</v>
      </c>
      <c r="F9" s="1" t="s">
        <v>604</v>
      </c>
      <c r="G9" s="1">
        <v>1501548</v>
      </c>
      <c r="H9" s="1" t="s">
        <v>95</v>
      </c>
      <c r="I9" s="1" t="s">
        <v>38</v>
      </c>
      <c r="J9" s="1" t="s">
        <v>598</v>
      </c>
    </row>
    <row r="10" spans="1:10" hidden="1">
      <c r="A10" s="1" t="s">
        <v>95</v>
      </c>
      <c r="B10" s="1" t="s">
        <v>597</v>
      </c>
      <c r="C10" s="1" t="s">
        <v>38</v>
      </c>
      <c r="D10" s="1" t="s">
        <v>598</v>
      </c>
      <c r="E10" s="86" t="s">
        <v>384</v>
      </c>
      <c r="F10" s="1" t="s">
        <v>605</v>
      </c>
      <c r="G10" s="1">
        <v>1501546</v>
      </c>
      <c r="H10" s="1" t="s">
        <v>95</v>
      </c>
      <c r="I10" s="1" t="s">
        <v>38</v>
      </c>
      <c r="J10" s="1" t="s">
        <v>598</v>
      </c>
    </row>
    <row r="11" spans="1:10" hidden="1">
      <c r="A11" s="1" t="s">
        <v>95</v>
      </c>
      <c r="B11" s="1" t="s">
        <v>597</v>
      </c>
      <c r="C11" s="1" t="s">
        <v>38</v>
      </c>
      <c r="D11" s="1" t="s">
        <v>598</v>
      </c>
      <c r="E11" s="86" t="s">
        <v>457</v>
      </c>
      <c r="F11" s="1" t="s">
        <v>606</v>
      </c>
      <c r="G11" s="1">
        <v>1501544</v>
      </c>
      <c r="H11" s="1" t="s">
        <v>95</v>
      </c>
      <c r="I11" s="1" t="s">
        <v>38</v>
      </c>
      <c r="J11" s="1" t="s">
        <v>598</v>
      </c>
    </row>
    <row r="12" spans="1:10" hidden="1">
      <c r="A12" s="1" t="s">
        <v>95</v>
      </c>
      <c r="B12" s="1" t="s">
        <v>597</v>
      </c>
      <c r="C12" s="1" t="s">
        <v>38</v>
      </c>
      <c r="D12" s="1" t="s">
        <v>598</v>
      </c>
      <c r="E12" s="86" t="s">
        <v>517</v>
      </c>
      <c r="F12" s="1" t="s">
        <v>607</v>
      </c>
      <c r="G12" s="1">
        <v>1501542</v>
      </c>
      <c r="H12" s="1" t="s">
        <v>95</v>
      </c>
      <c r="I12" s="1" t="s">
        <v>38</v>
      </c>
      <c r="J12" s="1" t="s">
        <v>598</v>
      </c>
    </row>
    <row r="13" spans="1:10" hidden="1">
      <c r="A13" s="1" t="s">
        <v>95</v>
      </c>
      <c r="B13" s="1" t="s">
        <v>597</v>
      </c>
      <c r="C13" s="1" t="s">
        <v>38</v>
      </c>
      <c r="D13" s="1" t="s">
        <v>598</v>
      </c>
      <c r="E13" s="86" t="s">
        <v>518</v>
      </c>
      <c r="F13" s="1" t="s">
        <v>608</v>
      </c>
      <c r="G13" s="1">
        <v>1501540</v>
      </c>
      <c r="H13" s="1" t="s">
        <v>95</v>
      </c>
      <c r="I13" s="1" t="s">
        <v>38</v>
      </c>
      <c r="J13" s="1" t="s">
        <v>598</v>
      </c>
    </row>
    <row r="14" spans="1:10" hidden="1">
      <c r="A14" s="1" t="s">
        <v>95</v>
      </c>
      <c r="B14" s="1" t="s">
        <v>597</v>
      </c>
      <c r="C14" s="1" t="s">
        <v>38</v>
      </c>
      <c r="D14" s="1" t="s">
        <v>598</v>
      </c>
      <c r="E14" s="86" t="s">
        <v>351</v>
      </c>
      <c r="F14" s="1" t="s">
        <v>584</v>
      </c>
      <c r="G14" s="1">
        <v>1501538</v>
      </c>
      <c r="H14" s="1" t="s">
        <v>95</v>
      </c>
      <c r="I14" s="1" t="s">
        <v>38</v>
      </c>
      <c r="J14" s="1" t="s">
        <v>598</v>
      </c>
    </row>
    <row r="15" spans="1:10" hidden="1">
      <c r="A15" s="1" t="s">
        <v>95</v>
      </c>
      <c r="B15" s="1" t="s">
        <v>597</v>
      </c>
      <c r="C15" s="1" t="s">
        <v>38</v>
      </c>
      <c r="D15" s="1" t="s">
        <v>598</v>
      </c>
      <c r="E15" s="86" t="s">
        <v>519</v>
      </c>
      <c r="F15" s="1" t="s">
        <v>609</v>
      </c>
      <c r="G15" s="1">
        <v>1501536</v>
      </c>
      <c r="H15" s="1" t="s">
        <v>95</v>
      </c>
      <c r="I15" s="1" t="s">
        <v>38</v>
      </c>
      <c r="J15" s="1" t="s">
        <v>598</v>
      </c>
    </row>
    <row r="16" spans="1:10" hidden="1">
      <c r="A16" s="1" t="s">
        <v>95</v>
      </c>
      <c r="B16" s="1" t="s">
        <v>597</v>
      </c>
      <c r="C16" s="1" t="s">
        <v>38</v>
      </c>
      <c r="D16" s="1" t="s">
        <v>598</v>
      </c>
      <c r="E16" s="86" t="s">
        <v>520</v>
      </c>
      <c r="F16" s="1" t="s">
        <v>610</v>
      </c>
      <c r="G16" s="1">
        <v>1501534</v>
      </c>
      <c r="H16" s="1" t="s">
        <v>95</v>
      </c>
      <c r="I16" s="1" t="s">
        <v>38</v>
      </c>
      <c r="J16" s="1" t="s">
        <v>598</v>
      </c>
    </row>
    <row r="17" spans="1:10" hidden="1">
      <c r="A17" s="1" t="s">
        <v>95</v>
      </c>
      <c r="B17" s="1" t="s">
        <v>597</v>
      </c>
      <c r="C17" s="1" t="s">
        <v>38</v>
      </c>
      <c r="D17" s="1" t="s">
        <v>598</v>
      </c>
      <c r="E17" s="86" t="s">
        <v>243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598</v>
      </c>
    </row>
    <row r="18" spans="1:10" hidden="1">
      <c r="A18" s="1" t="s">
        <v>92</v>
      </c>
      <c r="B18" s="1" t="s">
        <v>611</v>
      </c>
      <c r="C18" s="1" t="s">
        <v>38</v>
      </c>
      <c r="D18" s="1" t="s">
        <v>598</v>
      </c>
      <c r="E18" s="86" t="s">
        <v>253</v>
      </c>
      <c r="F18" s="1" t="s">
        <v>612</v>
      </c>
      <c r="G18" s="1">
        <v>1501528</v>
      </c>
      <c r="H18" s="1" t="s">
        <v>92</v>
      </c>
      <c r="I18" s="1" t="s">
        <v>38</v>
      </c>
      <c r="J18" s="1" t="s">
        <v>598</v>
      </c>
    </row>
    <row r="19" spans="1:10" hidden="1">
      <c r="A19" s="1" t="s">
        <v>92</v>
      </c>
      <c r="B19" s="1" t="s">
        <v>611</v>
      </c>
      <c r="C19" s="1" t="s">
        <v>38</v>
      </c>
      <c r="D19" s="1" t="s">
        <v>598</v>
      </c>
      <c r="E19" s="86" t="s">
        <v>301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598</v>
      </c>
    </row>
    <row r="20" spans="1:10" hidden="1">
      <c r="A20" s="1" t="s">
        <v>92</v>
      </c>
      <c r="B20" s="1" t="s">
        <v>611</v>
      </c>
      <c r="C20" s="1" t="s">
        <v>38</v>
      </c>
      <c r="D20" s="1" t="s">
        <v>598</v>
      </c>
      <c r="E20" s="86" t="s">
        <v>507</v>
      </c>
      <c r="F20" s="1" t="s">
        <v>613</v>
      </c>
      <c r="G20" s="1">
        <v>1501524</v>
      </c>
      <c r="H20" s="1" t="s">
        <v>92</v>
      </c>
      <c r="I20" s="1" t="s">
        <v>38</v>
      </c>
      <c r="J20" s="1" t="s">
        <v>598</v>
      </c>
    </row>
    <row r="21" spans="1:10" hidden="1">
      <c r="A21" s="1" t="s">
        <v>92</v>
      </c>
      <c r="B21" s="1" t="s">
        <v>611</v>
      </c>
      <c r="C21" s="1" t="s">
        <v>38</v>
      </c>
      <c r="D21" s="1" t="s">
        <v>598</v>
      </c>
      <c r="E21" s="86" t="s">
        <v>470</v>
      </c>
      <c r="F21" s="1" t="s">
        <v>558</v>
      </c>
      <c r="G21" s="1">
        <v>1501522</v>
      </c>
      <c r="H21" s="1" t="s">
        <v>92</v>
      </c>
      <c r="I21" s="1" t="s">
        <v>38</v>
      </c>
      <c r="J21" s="1" t="s">
        <v>598</v>
      </c>
    </row>
    <row r="22" spans="1:10" hidden="1">
      <c r="A22" s="1" t="s">
        <v>127</v>
      </c>
      <c r="B22" s="1" t="s">
        <v>611</v>
      </c>
      <c r="C22" s="1" t="s">
        <v>55</v>
      </c>
      <c r="D22" s="1" t="s">
        <v>598</v>
      </c>
      <c r="E22" s="86" t="s">
        <v>362</v>
      </c>
      <c r="F22" s="1" t="s">
        <v>614</v>
      </c>
      <c r="G22" s="1">
        <v>1501516</v>
      </c>
      <c r="H22" s="1" t="s">
        <v>227</v>
      </c>
      <c r="I22" s="1" t="s">
        <v>55</v>
      </c>
      <c r="J22" s="1" t="s">
        <v>598</v>
      </c>
    </row>
    <row r="23" spans="1:10" hidden="1">
      <c r="A23" s="1" t="s">
        <v>127</v>
      </c>
      <c r="B23" s="1" t="s">
        <v>611</v>
      </c>
      <c r="C23" s="1" t="s">
        <v>55</v>
      </c>
      <c r="D23" s="1" t="s">
        <v>598</v>
      </c>
      <c r="E23" s="86" t="s">
        <v>481</v>
      </c>
      <c r="F23" s="1" t="s">
        <v>615</v>
      </c>
      <c r="G23" s="1">
        <v>1501514</v>
      </c>
      <c r="H23" s="1" t="s">
        <v>227</v>
      </c>
      <c r="I23" s="1" t="s">
        <v>55</v>
      </c>
      <c r="J23" s="1" t="s">
        <v>598</v>
      </c>
    </row>
    <row r="24" spans="1:10" hidden="1">
      <c r="A24" s="1" t="s">
        <v>127</v>
      </c>
      <c r="B24" s="1" t="s">
        <v>611</v>
      </c>
      <c r="C24" s="1" t="s">
        <v>55</v>
      </c>
      <c r="D24" s="1" t="s">
        <v>598</v>
      </c>
      <c r="E24" s="86" t="s">
        <v>354</v>
      </c>
      <c r="F24" s="1" t="s">
        <v>616</v>
      </c>
      <c r="G24" s="1">
        <v>1501512</v>
      </c>
      <c r="H24" s="1" t="s">
        <v>227</v>
      </c>
      <c r="I24" s="1" t="s">
        <v>55</v>
      </c>
      <c r="J24" s="1" t="s">
        <v>598</v>
      </c>
    </row>
    <row r="25" spans="1:10" hidden="1">
      <c r="A25" s="1" t="s">
        <v>127</v>
      </c>
      <c r="B25" s="1" t="s">
        <v>611</v>
      </c>
      <c r="C25" s="1" t="s">
        <v>55</v>
      </c>
      <c r="D25" s="1" t="s">
        <v>598</v>
      </c>
      <c r="E25" s="86" t="s">
        <v>321</v>
      </c>
      <c r="F25" s="1" t="s">
        <v>617</v>
      </c>
      <c r="G25" s="1">
        <v>1501510</v>
      </c>
      <c r="H25" s="1" t="s">
        <v>227</v>
      </c>
      <c r="I25" s="1" t="s">
        <v>55</v>
      </c>
      <c r="J25" s="1" t="s">
        <v>598</v>
      </c>
    </row>
    <row r="26" spans="1:10" hidden="1">
      <c r="A26" s="1" t="s">
        <v>127</v>
      </c>
      <c r="B26" s="1" t="s">
        <v>611</v>
      </c>
      <c r="C26" s="1" t="s">
        <v>55</v>
      </c>
      <c r="D26" s="1" t="s">
        <v>598</v>
      </c>
      <c r="E26" s="86" t="s">
        <v>482</v>
      </c>
      <c r="F26" s="1" t="s">
        <v>618</v>
      </c>
      <c r="G26" s="1">
        <v>1501508</v>
      </c>
      <c r="H26" s="1" t="s">
        <v>227</v>
      </c>
      <c r="I26" s="1" t="s">
        <v>55</v>
      </c>
      <c r="J26" s="1" t="s">
        <v>598</v>
      </c>
    </row>
    <row r="27" spans="1:10" hidden="1">
      <c r="A27" s="1" t="s">
        <v>127</v>
      </c>
      <c r="B27" s="1" t="s">
        <v>611</v>
      </c>
      <c r="C27" s="1" t="s">
        <v>55</v>
      </c>
      <c r="D27" s="1" t="s">
        <v>598</v>
      </c>
      <c r="E27" s="86" t="s">
        <v>483</v>
      </c>
      <c r="F27" s="1" t="s">
        <v>619</v>
      </c>
      <c r="G27" s="1">
        <v>1501506</v>
      </c>
      <c r="H27" s="1" t="s">
        <v>227</v>
      </c>
      <c r="I27" s="1" t="s">
        <v>55</v>
      </c>
      <c r="J27" s="1" t="s">
        <v>598</v>
      </c>
    </row>
    <row r="28" spans="1:10" hidden="1">
      <c r="A28" s="1" t="s">
        <v>127</v>
      </c>
      <c r="B28" s="1" t="s">
        <v>611</v>
      </c>
      <c r="C28" s="1" t="s">
        <v>55</v>
      </c>
      <c r="D28" s="1" t="s">
        <v>598</v>
      </c>
      <c r="E28" s="86" t="s">
        <v>484</v>
      </c>
      <c r="F28" s="1" t="s">
        <v>620</v>
      </c>
      <c r="G28" s="1">
        <v>1501502</v>
      </c>
      <c r="H28" s="1" t="s">
        <v>227</v>
      </c>
      <c r="I28" s="1" t="s">
        <v>55</v>
      </c>
      <c r="J28" s="1" t="s">
        <v>598</v>
      </c>
    </row>
    <row r="29" spans="1:10" hidden="1">
      <c r="A29" s="1" t="s">
        <v>109</v>
      </c>
      <c r="B29" s="1" t="s">
        <v>611</v>
      </c>
      <c r="C29" s="1" t="s">
        <v>45</v>
      </c>
      <c r="D29" s="1" t="s">
        <v>598</v>
      </c>
      <c r="E29" s="86" t="s">
        <v>475</v>
      </c>
      <c r="F29" s="1" t="s">
        <v>621</v>
      </c>
      <c r="G29" s="1">
        <v>243825001</v>
      </c>
      <c r="H29" s="1" t="s">
        <v>109</v>
      </c>
      <c r="I29" s="1" t="s">
        <v>45</v>
      </c>
      <c r="J29" s="1" t="s">
        <v>598</v>
      </c>
    </row>
    <row r="30" spans="1:10">
      <c r="A30" s="1" t="s">
        <v>104</v>
      </c>
      <c r="B30" s="1" t="s">
        <v>597</v>
      </c>
      <c r="C30" s="1" t="s">
        <v>42</v>
      </c>
      <c r="D30" s="1" t="s">
        <v>598</v>
      </c>
      <c r="E30" s="86" t="s">
        <v>495</v>
      </c>
      <c r="F30" s="1" t="s">
        <v>622</v>
      </c>
      <c r="G30" s="1">
        <v>188400019</v>
      </c>
      <c r="H30" s="1" t="s">
        <v>107</v>
      </c>
      <c r="I30" s="1" t="s">
        <v>42</v>
      </c>
      <c r="J30" s="1" t="s">
        <v>598</v>
      </c>
    </row>
    <row r="31" spans="1:10">
      <c r="A31" s="1" t="s">
        <v>107</v>
      </c>
      <c r="B31" s="1" t="s">
        <v>611</v>
      </c>
      <c r="C31" s="1" t="s">
        <v>42</v>
      </c>
      <c r="D31" s="1" t="s">
        <v>598</v>
      </c>
      <c r="E31" s="86" t="s">
        <v>430</v>
      </c>
      <c r="F31" s="1" t="s">
        <v>623</v>
      </c>
      <c r="G31" s="1">
        <v>188400017</v>
      </c>
      <c r="H31" s="1" t="s">
        <v>107</v>
      </c>
      <c r="I31" s="1" t="s">
        <v>42</v>
      </c>
      <c r="J31" s="1" t="s">
        <v>598</v>
      </c>
    </row>
    <row r="32" spans="1:10">
      <c r="A32" s="1" t="s">
        <v>107</v>
      </c>
      <c r="B32" s="1" t="s">
        <v>611</v>
      </c>
      <c r="C32" s="1" t="s">
        <v>42</v>
      </c>
      <c r="D32" s="1" t="s">
        <v>598</v>
      </c>
      <c r="E32" s="86" t="s">
        <v>343</v>
      </c>
      <c r="F32" s="1" t="s">
        <v>624</v>
      </c>
      <c r="G32" s="1">
        <v>188400015</v>
      </c>
      <c r="H32" s="1" t="s">
        <v>107</v>
      </c>
      <c r="I32" s="1" t="s">
        <v>42</v>
      </c>
      <c r="J32" s="1" t="s">
        <v>598</v>
      </c>
    </row>
    <row r="33" spans="1:10" hidden="1">
      <c r="A33" s="1" t="s">
        <v>98</v>
      </c>
      <c r="B33" s="1" t="s">
        <v>611</v>
      </c>
      <c r="C33" s="1" t="s">
        <v>38</v>
      </c>
      <c r="D33" s="1" t="s">
        <v>598</v>
      </c>
      <c r="E33" s="86" t="s">
        <v>391</v>
      </c>
      <c r="F33" s="1" t="s">
        <v>625</v>
      </c>
      <c r="G33" s="1">
        <v>56250001</v>
      </c>
      <c r="H33" s="1" t="s">
        <v>88</v>
      </c>
      <c r="I33" s="1" t="s">
        <v>38</v>
      </c>
      <c r="J33" s="1" t="s">
        <v>598</v>
      </c>
    </row>
    <row r="34" spans="1:10" hidden="1">
      <c r="A34" s="1" t="s">
        <v>122</v>
      </c>
      <c r="B34" s="1" t="s">
        <v>611</v>
      </c>
      <c r="C34" s="1" t="s">
        <v>55</v>
      </c>
      <c r="D34" s="1" t="s">
        <v>598</v>
      </c>
      <c r="E34" s="86" t="s">
        <v>486</v>
      </c>
      <c r="F34" s="1" t="s">
        <v>626</v>
      </c>
      <c r="G34" s="1">
        <v>3450029</v>
      </c>
      <c r="H34" s="1" t="s">
        <v>122</v>
      </c>
      <c r="I34" s="1" t="s">
        <v>55</v>
      </c>
      <c r="J34" s="1" t="s">
        <v>598</v>
      </c>
    </row>
    <row r="35" spans="1:10">
      <c r="A35" s="1" t="s">
        <v>106</v>
      </c>
      <c r="B35" s="1" t="s">
        <v>611</v>
      </c>
      <c r="C35" s="1" t="s">
        <v>42</v>
      </c>
      <c r="D35" s="1" t="s">
        <v>598</v>
      </c>
      <c r="E35" s="86" t="s">
        <v>335</v>
      </c>
      <c r="F35" s="1" t="s">
        <v>627</v>
      </c>
      <c r="G35" s="1">
        <v>3450001</v>
      </c>
      <c r="H35" s="1" t="s">
        <v>106</v>
      </c>
      <c r="I35" s="1" t="s">
        <v>42</v>
      </c>
      <c r="J35" s="1" t="s">
        <v>598</v>
      </c>
    </row>
    <row r="36" spans="1:10" hidden="1">
      <c r="A36" s="1" t="s">
        <v>121</v>
      </c>
      <c r="B36" s="1" t="s">
        <v>611</v>
      </c>
      <c r="C36" s="1" t="s">
        <v>55</v>
      </c>
      <c r="D36" s="1" t="s">
        <v>598</v>
      </c>
      <c r="E36" s="86" t="s">
        <v>332</v>
      </c>
      <c r="F36" s="1" t="s">
        <v>333</v>
      </c>
      <c r="G36" s="1">
        <v>1501500</v>
      </c>
      <c r="H36" s="1" t="s">
        <v>227</v>
      </c>
      <c r="I36" s="1" t="s">
        <v>55</v>
      </c>
      <c r="J36" s="1" t="s">
        <v>598</v>
      </c>
    </row>
    <row r="37" spans="1:10" hidden="1">
      <c r="A37" s="1" t="s">
        <v>127</v>
      </c>
      <c r="B37" s="1" t="s">
        <v>611</v>
      </c>
      <c r="C37" s="1" t="s">
        <v>55</v>
      </c>
      <c r="D37" s="1" t="s">
        <v>598</v>
      </c>
      <c r="E37" s="86" t="s">
        <v>420</v>
      </c>
      <c r="F37" s="1" t="s">
        <v>628</v>
      </c>
      <c r="G37" s="1">
        <v>1501498</v>
      </c>
      <c r="H37" s="1" t="s">
        <v>227</v>
      </c>
      <c r="I37" s="1" t="s">
        <v>55</v>
      </c>
      <c r="J37" s="1" t="s">
        <v>598</v>
      </c>
    </row>
    <row r="38" spans="1:10" hidden="1">
      <c r="A38" s="1" t="s">
        <v>127</v>
      </c>
      <c r="B38" s="1" t="s">
        <v>611</v>
      </c>
      <c r="C38" s="1" t="s">
        <v>55</v>
      </c>
      <c r="D38" s="1" t="s">
        <v>598</v>
      </c>
      <c r="E38" s="86" t="s">
        <v>228</v>
      </c>
      <c r="F38" s="1" t="s">
        <v>127</v>
      </c>
      <c r="G38" s="1">
        <v>1501496</v>
      </c>
      <c r="H38" s="1" t="s">
        <v>227</v>
      </c>
      <c r="I38" s="1" t="s">
        <v>55</v>
      </c>
      <c r="J38" s="1" t="s">
        <v>598</v>
      </c>
    </row>
    <row r="39" spans="1:10" hidden="1">
      <c r="A39" s="1" t="s">
        <v>121</v>
      </c>
      <c r="B39" s="1" t="s">
        <v>611</v>
      </c>
      <c r="C39" s="1" t="s">
        <v>55</v>
      </c>
      <c r="D39" s="1" t="s">
        <v>598</v>
      </c>
      <c r="E39" s="86" t="s">
        <v>277</v>
      </c>
      <c r="F39" s="1" t="s">
        <v>629</v>
      </c>
      <c r="G39" s="1">
        <v>1501494</v>
      </c>
      <c r="H39" s="1" t="s">
        <v>227</v>
      </c>
      <c r="I39" s="1" t="s">
        <v>55</v>
      </c>
      <c r="J39" s="1" t="s">
        <v>598</v>
      </c>
    </row>
    <row r="40" spans="1:10" hidden="1">
      <c r="A40" s="1" t="s">
        <v>121</v>
      </c>
      <c r="B40" s="1" t="s">
        <v>611</v>
      </c>
      <c r="C40" s="1" t="s">
        <v>55</v>
      </c>
      <c r="D40" s="1" t="s">
        <v>598</v>
      </c>
      <c r="E40" s="86" t="s">
        <v>435</v>
      </c>
      <c r="F40" s="1" t="s">
        <v>630</v>
      </c>
      <c r="G40" s="1">
        <v>1501492</v>
      </c>
      <c r="H40" s="1" t="s">
        <v>227</v>
      </c>
      <c r="I40" s="1" t="s">
        <v>55</v>
      </c>
      <c r="J40" s="1" t="s">
        <v>598</v>
      </c>
    </row>
    <row r="41" spans="1:10" hidden="1">
      <c r="A41" s="1" t="s">
        <v>127</v>
      </c>
      <c r="B41" s="1" t="s">
        <v>611</v>
      </c>
      <c r="C41" s="1" t="s">
        <v>55</v>
      </c>
      <c r="D41" s="1" t="s">
        <v>598</v>
      </c>
      <c r="E41" s="86" t="s">
        <v>485</v>
      </c>
      <c r="F41" s="1" t="s">
        <v>631</v>
      </c>
      <c r="G41" s="1">
        <v>1501490</v>
      </c>
      <c r="H41" s="1" t="s">
        <v>227</v>
      </c>
      <c r="I41" s="1" t="s">
        <v>55</v>
      </c>
      <c r="J41" s="1" t="s">
        <v>598</v>
      </c>
    </row>
    <row r="42" spans="1:10" hidden="1">
      <c r="A42" s="1" t="s">
        <v>121</v>
      </c>
      <c r="B42" s="1" t="s">
        <v>611</v>
      </c>
      <c r="C42" s="1" t="s">
        <v>55</v>
      </c>
      <c r="D42" s="1" t="s">
        <v>598</v>
      </c>
      <c r="E42" s="86" t="s">
        <v>324</v>
      </c>
      <c r="F42" s="1" t="s">
        <v>632</v>
      </c>
      <c r="G42" s="1">
        <v>1501486</v>
      </c>
      <c r="H42" s="1" t="s">
        <v>227</v>
      </c>
      <c r="I42" s="1" t="s">
        <v>55</v>
      </c>
      <c r="J42" s="1" t="s">
        <v>598</v>
      </c>
    </row>
    <row r="43" spans="1:10" hidden="1">
      <c r="A43" s="1" t="s">
        <v>121</v>
      </c>
      <c r="B43" s="1" t="s">
        <v>611</v>
      </c>
      <c r="C43" s="1" t="s">
        <v>55</v>
      </c>
      <c r="D43" s="1" t="s">
        <v>598</v>
      </c>
      <c r="E43" s="86" t="s">
        <v>442</v>
      </c>
      <c r="F43" s="1" t="s">
        <v>633</v>
      </c>
      <c r="G43" s="1">
        <v>1501484</v>
      </c>
      <c r="H43" s="1" t="s">
        <v>227</v>
      </c>
      <c r="I43" s="1" t="s">
        <v>55</v>
      </c>
      <c r="J43" s="1" t="s">
        <v>598</v>
      </c>
    </row>
    <row r="44" spans="1:10" hidden="1">
      <c r="A44" s="1" t="s">
        <v>121</v>
      </c>
      <c r="B44" s="1" t="s">
        <v>611</v>
      </c>
      <c r="C44" s="1" t="s">
        <v>55</v>
      </c>
      <c r="D44" s="1" t="s">
        <v>598</v>
      </c>
      <c r="E44" s="86" t="s">
        <v>480</v>
      </c>
      <c r="F44" s="1" t="s">
        <v>634</v>
      </c>
      <c r="G44" s="1">
        <v>1501482</v>
      </c>
      <c r="H44" s="1" t="s">
        <v>227</v>
      </c>
      <c r="I44" s="1" t="s">
        <v>55</v>
      </c>
      <c r="J44" s="1" t="s">
        <v>598</v>
      </c>
    </row>
    <row r="45" spans="1:10" hidden="1">
      <c r="A45" s="1" t="s">
        <v>121</v>
      </c>
      <c r="B45" s="1" t="s">
        <v>611</v>
      </c>
      <c r="C45" s="1" t="s">
        <v>55</v>
      </c>
      <c r="D45" s="1" t="s">
        <v>598</v>
      </c>
      <c r="E45" s="86" t="s">
        <v>375</v>
      </c>
      <c r="F45" s="1" t="s">
        <v>121</v>
      </c>
      <c r="G45" s="1">
        <v>1501480</v>
      </c>
      <c r="H45" s="1" t="s">
        <v>227</v>
      </c>
      <c r="I45" s="1" t="s">
        <v>55</v>
      </c>
      <c r="J45" s="1" t="s">
        <v>598</v>
      </c>
    </row>
    <row r="46" spans="1:10" hidden="1">
      <c r="A46" s="1" t="s">
        <v>121</v>
      </c>
      <c r="B46" s="1" t="s">
        <v>611</v>
      </c>
      <c r="C46" s="1" t="s">
        <v>55</v>
      </c>
      <c r="D46" s="1" t="s">
        <v>598</v>
      </c>
      <c r="E46" s="86" t="s">
        <v>479</v>
      </c>
      <c r="F46" s="1" t="s">
        <v>635</v>
      </c>
      <c r="G46" s="1">
        <v>1501478</v>
      </c>
      <c r="H46" s="1" t="s">
        <v>227</v>
      </c>
      <c r="I46" s="1" t="s">
        <v>55</v>
      </c>
      <c r="J46" s="1" t="s">
        <v>598</v>
      </c>
    </row>
    <row r="47" spans="1:10" hidden="1">
      <c r="A47" s="1" t="s">
        <v>128</v>
      </c>
      <c r="B47" s="1" t="s">
        <v>611</v>
      </c>
      <c r="C47" s="1" t="s">
        <v>55</v>
      </c>
      <c r="D47" s="1" t="s">
        <v>598</v>
      </c>
      <c r="E47" s="86" t="s">
        <v>416</v>
      </c>
      <c r="F47" s="1" t="s">
        <v>636</v>
      </c>
      <c r="G47" s="1">
        <v>1501474</v>
      </c>
      <c r="H47" s="1" t="s">
        <v>637</v>
      </c>
      <c r="I47" s="1" t="s">
        <v>55</v>
      </c>
      <c r="J47" s="1" t="s">
        <v>598</v>
      </c>
    </row>
    <row r="48" spans="1:10" hidden="1">
      <c r="A48" s="1" t="s">
        <v>123</v>
      </c>
      <c r="B48" s="1" t="s">
        <v>597</v>
      </c>
      <c r="C48" s="1" t="s">
        <v>55</v>
      </c>
      <c r="D48" s="1" t="s">
        <v>598</v>
      </c>
      <c r="E48" s="86" t="s">
        <v>383</v>
      </c>
      <c r="F48" s="1" t="s">
        <v>535</v>
      </c>
      <c r="G48" s="1">
        <v>1501472</v>
      </c>
      <c r="H48" s="1" t="s">
        <v>637</v>
      </c>
      <c r="I48" s="1" t="s">
        <v>55</v>
      </c>
      <c r="J48" s="1" t="s">
        <v>598</v>
      </c>
    </row>
    <row r="49" spans="1:10" hidden="1">
      <c r="A49" s="1" t="s">
        <v>128</v>
      </c>
      <c r="B49" s="1" t="s">
        <v>611</v>
      </c>
      <c r="C49" s="1" t="s">
        <v>55</v>
      </c>
      <c r="D49" s="1" t="s">
        <v>598</v>
      </c>
      <c r="E49" s="86" t="s">
        <v>374</v>
      </c>
      <c r="F49" s="1" t="s">
        <v>128</v>
      </c>
      <c r="G49" s="1">
        <v>1501470</v>
      </c>
      <c r="H49" s="1" t="s">
        <v>637</v>
      </c>
      <c r="I49" s="1" t="s">
        <v>55</v>
      </c>
      <c r="J49" s="1" t="s">
        <v>598</v>
      </c>
    </row>
    <row r="50" spans="1:10" hidden="1">
      <c r="A50" s="1" t="s">
        <v>128</v>
      </c>
      <c r="B50" s="1" t="s">
        <v>611</v>
      </c>
      <c r="C50" s="1" t="s">
        <v>55</v>
      </c>
      <c r="D50" s="1" t="s">
        <v>598</v>
      </c>
      <c r="E50" s="86" t="s">
        <v>449</v>
      </c>
      <c r="F50" s="1" t="s">
        <v>638</v>
      </c>
      <c r="G50" s="1">
        <v>1501468</v>
      </c>
      <c r="H50" s="1" t="s">
        <v>637</v>
      </c>
      <c r="I50" s="1" t="s">
        <v>55</v>
      </c>
      <c r="J50" s="1" t="s">
        <v>598</v>
      </c>
    </row>
    <row r="51" spans="1:10" hidden="1">
      <c r="A51" s="1" t="s">
        <v>126</v>
      </c>
      <c r="B51" s="1" t="s">
        <v>611</v>
      </c>
      <c r="C51" s="1" t="s">
        <v>55</v>
      </c>
      <c r="D51" s="1" t="s">
        <v>598</v>
      </c>
      <c r="E51" s="86" t="s">
        <v>306</v>
      </c>
      <c r="F51" s="1" t="s">
        <v>639</v>
      </c>
      <c r="G51" s="1">
        <v>1501466</v>
      </c>
      <c r="H51" s="1" t="s">
        <v>640</v>
      </c>
      <c r="I51" s="1" t="s">
        <v>55</v>
      </c>
      <c r="J51" s="1" t="s">
        <v>598</v>
      </c>
    </row>
    <row r="52" spans="1:10" hidden="1">
      <c r="A52" s="1" t="s">
        <v>128</v>
      </c>
      <c r="B52" s="1" t="s">
        <v>611</v>
      </c>
      <c r="C52" s="1" t="s">
        <v>55</v>
      </c>
      <c r="D52" s="1" t="s">
        <v>598</v>
      </c>
      <c r="E52" s="86" t="s">
        <v>350</v>
      </c>
      <c r="F52" s="1" t="s">
        <v>573</v>
      </c>
      <c r="G52" s="1">
        <v>1501464</v>
      </c>
      <c r="H52" s="1" t="s">
        <v>637</v>
      </c>
      <c r="I52" s="1" t="s">
        <v>55</v>
      </c>
      <c r="J52" s="1" t="s">
        <v>598</v>
      </c>
    </row>
    <row r="53" spans="1:10" hidden="1">
      <c r="A53" s="1" t="s">
        <v>128</v>
      </c>
      <c r="B53" s="1" t="s">
        <v>611</v>
      </c>
      <c r="C53" s="1" t="s">
        <v>55</v>
      </c>
      <c r="D53" s="1" t="s">
        <v>598</v>
      </c>
      <c r="E53" s="86" t="s">
        <v>304</v>
      </c>
      <c r="F53" s="1" t="s">
        <v>578</v>
      </c>
      <c r="G53" s="1">
        <v>1501462</v>
      </c>
      <c r="H53" s="1" t="s">
        <v>637</v>
      </c>
      <c r="I53" s="1" t="s">
        <v>55</v>
      </c>
      <c r="J53" s="1" t="s">
        <v>598</v>
      </c>
    </row>
    <row r="54" spans="1:10" hidden="1">
      <c r="A54" s="1" t="s">
        <v>128</v>
      </c>
      <c r="B54" s="1" t="s">
        <v>611</v>
      </c>
      <c r="C54" s="1" t="s">
        <v>55</v>
      </c>
      <c r="D54" s="1" t="s">
        <v>598</v>
      </c>
      <c r="E54" s="86" t="s">
        <v>269</v>
      </c>
      <c r="F54" s="1" t="s">
        <v>641</v>
      </c>
      <c r="G54" s="1">
        <v>1501460</v>
      </c>
      <c r="H54" s="1" t="s">
        <v>637</v>
      </c>
      <c r="I54" s="1" t="s">
        <v>55</v>
      </c>
      <c r="J54" s="1" t="s">
        <v>598</v>
      </c>
    </row>
    <row r="55" spans="1:10" hidden="1">
      <c r="A55" s="1" t="s">
        <v>124</v>
      </c>
      <c r="B55" s="1" t="s">
        <v>597</v>
      </c>
      <c r="C55" s="1" t="s">
        <v>55</v>
      </c>
      <c r="D55" s="1" t="s">
        <v>598</v>
      </c>
      <c r="E55" s="86" t="s">
        <v>385</v>
      </c>
      <c r="F55" s="1" t="s">
        <v>642</v>
      </c>
      <c r="G55" s="1">
        <v>1501458</v>
      </c>
      <c r="H55" s="1" t="s">
        <v>640</v>
      </c>
      <c r="I55" s="1" t="s">
        <v>55</v>
      </c>
      <c r="J55" s="1" t="s">
        <v>598</v>
      </c>
    </row>
    <row r="56" spans="1:10" hidden="1">
      <c r="A56" s="1" t="s">
        <v>126</v>
      </c>
      <c r="B56" s="1" t="s">
        <v>611</v>
      </c>
      <c r="C56" s="1" t="s">
        <v>55</v>
      </c>
      <c r="D56" s="1" t="s">
        <v>598</v>
      </c>
      <c r="E56" s="86" t="s">
        <v>370</v>
      </c>
      <c r="F56" s="1" t="s">
        <v>126</v>
      </c>
      <c r="G56" s="1">
        <v>1501456</v>
      </c>
      <c r="H56" s="1" t="s">
        <v>640</v>
      </c>
      <c r="I56" s="1" t="s">
        <v>55</v>
      </c>
      <c r="J56" s="1" t="s">
        <v>598</v>
      </c>
    </row>
    <row r="57" spans="1:10" hidden="1">
      <c r="A57" s="1" t="s">
        <v>124</v>
      </c>
      <c r="B57" s="1" t="s">
        <v>597</v>
      </c>
      <c r="C57" s="1" t="s">
        <v>55</v>
      </c>
      <c r="D57" s="1" t="s">
        <v>598</v>
      </c>
      <c r="E57" s="86" t="s">
        <v>327</v>
      </c>
      <c r="F57" s="1" t="s">
        <v>643</v>
      </c>
      <c r="G57" s="1">
        <v>1501454</v>
      </c>
      <c r="H57" s="1" t="s">
        <v>640</v>
      </c>
      <c r="I57" s="1" t="s">
        <v>55</v>
      </c>
      <c r="J57" s="1" t="s">
        <v>598</v>
      </c>
    </row>
    <row r="58" spans="1:10" hidden="1">
      <c r="A58" s="1" t="s">
        <v>123</v>
      </c>
      <c r="B58" s="1" t="s">
        <v>597</v>
      </c>
      <c r="C58" s="1" t="s">
        <v>55</v>
      </c>
      <c r="D58" s="1" t="s">
        <v>598</v>
      </c>
      <c r="E58" s="86" t="s">
        <v>286</v>
      </c>
      <c r="F58" s="1" t="s">
        <v>270</v>
      </c>
      <c r="G58" s="1">
        <v>1501452</v>
      </c>
      <c r="H58" s="1" t="s">
        <v>637</v>
      </c>
      <c r="I58" s="1" t="s">
        <v>55</v>
      </c>
      <c r="J58" s="1" t="s">
        <v>598</v>
      </c>
    </row>
    <row r="59" spans="1:10" hidden="1">
      <c r="A59" s="1" t="s">
        <v>124</v>
      </c>
      <c r="B59" s="1" t="s">
        <v>597</v>
      </c>
      <c r="C59" s="1" t="s">
        <v>55</v>
      </c>
      <c r="D59" s="1" t="s">
        <v>598</v>
      </c>
      <c r="E59" s="86" t="s">
        <v>307</v>
      </c>
      <c r="F59" s="1" t="s">
        <v>581</v>
      </c>
      <c r="G59" s="1">
        <v>1501450</v>
      </c>
      <c r="H59" s="1" t="s">
        <v>640</v>
      </c>
      <c r="I59" s="1" t="s">
        <v>55</v>
      </c>
      <c r="J59" s="1" t="s">
        <v>598</v>
      </c>
    </row>
    <row r="60" spans="1:10" hidden="1">
      <c r="A60" s="1" t="s">
        <v>126</v>
      </c>
      <c r="B60" s="1" t="s">
        <v>611</v>
      </c>
      <c r="C60" s="1" t="s">
        <v>55</v>
      </c>
      <c r="D60" s="1" t="s">
        <v>598</v>
      </c>
      <c r="E60" s="86" t="s">
        <v>353</v>
      </c>
      <c r="F60" s="1" t="s">
        <v>583</v>
      </c>
      <c r="G60" s="1">
        <v>1501448</v>
      </c>
      <c r="H60" s="1" t="s">
        <v>640</v>
      </c>
      <c r="I60" s="1" t="s">
        <v>55</v>
      </c>
      <c r="J60" s="1" t="s">
        <v>598</v>
      </c>
    </row>
    <row r="61" spans="1:10" hidden="1">
      <c r="A61" s="1" t="s">
        <v>123</v>
      </c>
      <c r="B61" s="1" t="s">
        <v>597</v>
      </c>
      <c r="C61" s="1" t="s">
        <v>55</v>
      </c>
      <c r="D61" s="1" t="s">
        <v>598</v>
      </c>
      <c r="E61" s="86" t="s">
        <v>266</v>
      </c>
      <c r="F61" s="1" t="s">
        <v>123</v>
      </c>
      <c r="G61" s="1">
        <v>1501446</v>
      </c>
      <c r="H61" s="1" t="s">
        <v>637</v>
      </c>
      <c r="I61" s="1" t="s">
        <v>55</v>
      </c>
      <c r="J61" s="1" t="s">
        <v>598</v>
      </c>
    </row>
    <row r="62" spans="1:10" hidden="1">
      <c r="A62" s="1" t="s">
        <v>126</v>
      </c>
      <c r="B62" s="1" t="s">
        <v>611</v>
      </c>
      <c r="C62" s="1" t="s">
        <v>55</v>
      </c>
      <c r="D62" s="1" t="s">
        <v>598</v>
      </c>
      <c r="E62" s="86" t="s">
        <v>261</v>
      </c>
      <c r="F62" s="1" t="s">
        <v>561</v>
      </c>
      <c r="G62" s="1">
        <v>1501444</v>
      </c>
      <c r="H62" s="1" t="s">
        <v>640</v>
      </c>
      <c r="I62" s="1" t="s">
        <v>55</v>
      </c>
      <c r="J62" s="1" t="s">
        <v>598</v>
      </c>
    </row>
    <row r="63" spans="1:10" hidden="1">
      <c r="A63" s="1" t="s">
        <v>128</v>
      </c>
      <c r="B63" s="1" t="s">
        <v>611</v>
      </c>
      <c r="C63" s="1" t="s">
        <v>55</v>
      </c>
      <c r="D63" s="1" t="s">
        <v>598</v>
      </c>
      <c r="E63" s="86" t="s">
        <v>400</v>
      </c>
      <c r="F63" s="1" t="s">
        <v>644</v>
      </c>
      <c r="G63" s="1">
        <v>1501442</v>
      </c>
      <c r="H63" s="1" t="s">
        <v>637</v>
      </c>
      <c r="I63" s="1" t="s">
        <v>55</v>
      </c>
      <c r="J63" s="1" t="s">
        <v>598</v>
      </c>
    </row>
    <row r="64" spans="1:10" hidden="1">
      <c r="A64" s="1" t="s">
        <v>123</v>
      </c>
      <c r="B64" s="1" t="s">
        <v>597</v>
      </c>
      <c r="C64" s="1" t="s">
        <v>55</v>
      </c>
      <c r="D64" s="1" t="s">
        <v>598</v>
      </c>
      <c r="E64" s="86" t="s">
        <v>487</v>
      </c>
      <c r="F64" s="1" t="s">
        <v>645</v>
      </c>
      <c r="G64" s="1">
        <v>1501440</v>
      </c>
      <c r="H64" s="1" t="s">
        <v>637</v>
      </c>
      <c r="I64" s="1" t="s">
        <v>55</v>
      </c>
      <c r="J64" s="1" t="s">
        <v>598</v>
      </c>
    </row>
    <row r="65" spans="1:10" hidden="1">
      <c r="A65" s="1" t="s">
        <v>124</v>
      </c>
      <c r="B65" s="1" t="s">
        <v>597</v>
      </c>
      <c r="C65" s="1" t="s">
        <v>55</v>
      </c>
      <c r="D65" s="1" t="s">
        <v>598</v>
      </c>
      <c r="E65" s="86" t="s">
        <v>326</v>
      </c>
      <c r="F65" s="1" t="s">
        <v>646</v>
      </c>
      <c r="G65" s="1">
        <v>1501438</v>
      </c>
      <c r="H65" s="1" t="s">
        <v>640</v>
      </c>
      <c r="I65" s="1" t="s">
        <v>55</v>
      </c>
      <c r="J65" s="1" t="s">
        <v>598</v>
      </c>
    </row>
    <row r="66" spans="1:10">
      <c r="A66" s="1" t="s">
        <v>108</v>
      </c>
      <c r="B66" s="1" t="s">
        <v>597</v>
      </c>
      <c r="C66" s="1" t="s">
        <v>42</v>
      </c>
      <c r="D66" s="1" t="s">
        <v>598</v>
      </c>
      <c r="E66" s="86" t="s">
        <v>336</v>
      </c>
      <c r="F66" s="1" t="s">
        <v>647</v>
      </c>
      <c r="G66" s="1">
        <v>1501432</v>
      </c>
      <c r="H66" s="1" t="s">
        <v>99</v>
      </c>
      <c r="I66" s="1" t="s">
        <v>42</v>
      </c>
      <c r="J66" s="1" t="s">
        <v>598</v>
      </c>
    </row>
    <row r="67" spans="1:10">
      <c r="A67" s="1" t="s">
        <v>108</v>
      </c>
      <c r="B67" s="1" t="s">
        <v>597</v>
      </c>
      <c r="C67" s="1" t="s">
        <v>42</v>
      </c>
      <c r="D67" s="1" t="s">
        <v>598</v>
      </c>
      <c r="E67" s="86" t="s">
        <v>381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598</v>
      </c>
    </row>
    <row r="68" spans="1:10">
      <c r="A68" s="1" t="s">
        <v>108</v>
      </c>
      <c r="B68" s="1" t="s">
        <v>597</v>
      </c>
      <c r="C68" s="1" t="s">
        <v>42</v>
      </c>
      <c r="D68" s="1" t="s">
        <v>598</v>
      </c>
      <c r="E68" s="86" t="s">
        <v>494</v>
      </c>
      <c r="F68" s="1" t="s">
        <v>648</v>
      </c>
      <c r="G68" s="1">
        <v>1501428</v>
      </c>
      <c r="H68" s="1" t="s">
        <v>99</v>
      </c>
      <c r="I68" s="1" t="s">
        <v>42</v>
      </c>
      <c r="J68" s="1" t="s">
        <v>598</v>
      </c>
    </row>
    <row r="69" spans="1:10">
      <c r="A69" s="1" t="s">
        <v>108</v>
      </c>
      <c r="B69" s="1" t="s">
        <v>597</v>
      </c>
      <c r="C69" s="1" t="s">
        <v>42</v>
      </c>
      <c r="D69" s="1" t="s">
        <v>598</v>
      </c>
      <c r="E69" s="86" t="s">
        <v>331</v>
      </c>
      <c r="F69" s="1" t="s">
        <v>649</v>
      </c>
      <c r="G69" s="1">
        <v>1501426</v>
      </c>
      <c r="H69" s="1" t="s">
        <v>99</v>
      </c>
      <c r="I69" s="1" t="s">
        <v>42</v>
      </c>
      <c r="J69" s="1" t="s">
        <v>598</v>
      </c>
    </row>
    <row r="70" spans="1:10">
      <c r="A70" s="1" t="s">
        <v>99</v>
      </c>
      <c r="B70" s="1" t="s">
        <v>611</v>
      </c>
      <c r="C70" s="1" t="s">
        <v>42</v>
      </c>
      <c r="D70" s="1" t="s">
        <v>598</v>
      </c>
      <c r="E70" s="86" t="s">
        <v>339</v>
      </c>
      <c r="F70" s="1" t="s">
        <v>650</v>
      </c>
      <c r="G70" s="1">
        <v>1501422</v>
      </c>
      <c r="H70" s="1" t="s">
        <v>99</v>
      </c>
      <c r="I70" s="1" t="s">
        <v>42</v>
      </c>
      <c r="J70" s="1" t="s">
        <v>598</v>
      </c>
    </row>
    <row r="71" spans="1:10">
      <c r="A71" s="1" t="s">
        <v>99</v>
      </c>
      <c r="B71" s="1" t="s">
        <v>611</v>
      </c>
      <c r="C71" s="1" t="s">
        <v>42</v>
      </c>
      <c r="D71" s="1" t="s">
        <v>598</v>
      </c>
      <c r="E71" s="86" t="s">
        <v>488</v>
      </c>
      <c r="F71" s="1" t="s">
        <v>651</v>
      </c>
      <c r="G71" s="1">
        <v>1501420</v>
      </c>
      <c r="H71" s="1" t="s">
        <v>99</v>
      </c>
      <c r="I71" s="1" t="s">
        <v>42</v>
      </c>
      <c r="J71" s="1" t="s">
        <v>598</v>
      </c>
    </row>
    <row r="72" spans="1:10">
      <c r="A72" s="1" t="s">
        <v>99</v>
      </c>
      <c r="B72" s="1" t="s">
        <v>611</v>
      </c>
      <c r="C72" s="1" t="s">
        <v>42</v>
      </c>
      <c r="D72" s="1" t="s">
        <v>598</v>
      </c>
      <c r="E72" s="86" t="s">
        <v>404</v>
      </c>
      <c r="F72" s="1" t="s">
        <v>652</v>
      </c>
      <c r="G72" s="1">
        <v>1501418</v>
      </c>
      <c r="H72" s="1" t="s">
        <v>99</v>
      </c>
      <c r="I72" s="1" t="s">
        <v>42</v>
      </c>
      <c r="J72" s="1" t="s">
        <v>598</v>
      </c>
    </row>
    <row r="73" spans="1:10">
      <c r="A73" s="1" t="s">
        <v>99</v>
      </c>
      <c r="B73" s="1" t="s">
        <v>611</v>
      </c>
      <c r="C73" s="1" t="s">
        <v>42</v>
      </c>
      <c r="D73" s="1" t="s">
        <v>598</v>
      </c>
      <c r="E73" s="86" t="s">
        <v>280</v>
      </c>
      <c r="F73" s="1" t="s">
        <v>556</v>
      </c>
      <c r="G73" s="1">
        <v>1501416</v>
      </c>
      <c r="H73" s="1" t="s">
        <v>99</v>
      </c>
      <c r="I73" s="1" t="s">
        <v>42</v>
      </c>
      <c r="J73" s="1" t="s">
        <v>598</v>
      </c>
    </row>
    <row r="74" spans="1:10">
      <c r="A74" s="1" t="s">
        <v>99</v>
      </c>
      <c r="B74" s="1" t="s">
        <v>611</v>
      </c>
      <c r="C74" s="1" t="s">
        <v>42</v>
      </c>
      <c r="D74" s="1" t="s">
        <v>598</v>
      </c>
      <c r="E74" s="86" t="s">
        <v>373</v>
      </c>
      <c r="F74" s="1" t="s">
        <v>653</v>
      </c>
      <c r="G74" s="1">
        <v>1501414</v>
      </c>
      <c r="H74" s="1" t="s">
        <v>99</v>
      </c>
      <c r="I74" s="1" t="s">
        <v>42</v>
      </c>
      <c r="J74" s="1" t="s">
        <v>598</v>
      </c>
    </row>
    <row r="75" spans="1:10">
      <c r="A75" s="1" t="s">
        <v>99</v>
      </c>
      <c r="B75" s="1" t="s">
        <v>611</v>
      </c>
      <c r="C75" s="1" t="s">
        <v>42</v>
      </c>
      <c r="D75" s="1" t="s">
        <v>598</v>
      </c>
      <c r="E75" s="86" t="s">
        <v>463</v>
      </c>
      <c r="F75" s="1" t="s">
        <v>654</v>
      </c>
      <c r="G75" s="1">
        <v>1501412</v>
      </c>
      <c r="H75" s="1" t="s">
        <v>99</v>
      </c>
      <c r="I75" s="1" t="s">
        <v>42</v>
      </c>
      <c r="J75" s="1" t="s">
        <v>598</v>
      </c>
    </row>
    <row r="76" spans="1:10">
      <c r="A76" s="1" t="s">
        <v>99</v>
      </c>
      <c r="B76" s="1" t="s">
        <v>611</v>
      </c>
      <c r="C76" s="1" t="s">
        <v>42</v>
      </c>
      <c r="D76" s="1" t="s">
        <v>598</v>
      </c>
      <c r="E76" s="86" t="s">
        <v>274</v>
      </c>
      <c r="F76" s="1" t="s">
        <v>629</v>
      </c>
      <c r="G76" s="1">
        <v>1501410</v>
      </c>
      <c r="H76" s="1" t="s">
        <v>99</v>
      </c>
      <c r="I76" s="1" t="s">
        <v>42</v>
      </c>
      <c r="J76" s="1" t="s">
        <v>598</v>
      </c>
    </row>
    <row r="77" spans="1:10">
      <c r="A77" s="1" t="s">
        <v>99</v>
      </c>
      <c r="B77" s="1" t="s">
        <v>611</v>
      </c>
      <c r="C77" s="1" t="s">
        <v>42</v>
      </c>
      <c r="D77" s="1" t="s">
        <v>598</v>
      </c>
      <c r="E77" s="86" t="s">
        <v>489</v>
      </c>
      <c r="F77" s="1" t="s">
        <v>655</v>
      </c>
      <c r="G77" s="1">
        <v>1501408</v>
      </c>
      <c r="H77" s="1" t="s">
        <v>99</v>
      </c>
      <c r="I77" s="1" t="s">
        <v>42</v>
      </c>
      <c r="J77" s="1" t="s">
        <v>598</v>
      </c>
    </row>
    <row r="78" spans="1:10">
      <c r="A78" s="1" t="s">
        <v>99</v>
      </c>
      <c r="B78" s="1" t="s">
        <v>611</v>
      </c>
      <c r="C78" s="1" t="s">
        <v>42</v>
      </c>
      <c r="D78" s="1" t="s">
        <v>598</v>
      </c>
      <c r="E78" s="86" t="s">
        <v>308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598</v>
      </c>
    </row>
    <row r="79" spans="1:10">
      <c r="A79" s="1" t="s">
        <v>99</v>
      </c>
      <c r="B79" s="1" t="s">
        <v>611</v>
      </c>
      <c r="C79" s="1" t="s">
        <v>42</v>
      </c>
      <c r="D79" s="1" t="s">
        <v>598</v>
      </c>
      <c r="E79" s="86" t="s">
        <v>448</v>
      </c>
      <c r="F79" s="1" t="s">
        <v>656</v>
      </c>
      <c r="G79" s="1">
        <v>1501404</v>
      </c>
      <c r="H79" s="1" t="s">
        <v>99</v>
      </c>
      <c r="I79" s="1" t="s">
        <v>42</v>
      </c>
      <c r="J79" s="1" t="s">
        <v>598</v>
      </c>
    </row>
    <row r="80" spans="1:10">
      <c r="A80" s="1" t="s">
        <v>102</v>
      </c>
      <c r="B80" s="1" t="s">
        <v>611</v>
      </c>
      <c r="C80" s="1" t="s">
        <v>42</v>
      </c>
      <c r="D80" s="1" t="s">
        <v>598</v>
      </c>
      <c r="E80" s="86" t="s">
        <v>417</v>
      </c>
      <c r="F80" s="1" t="s">
        <v>657</v>
      </c>
      <c r="G80" s="1">
        <v>1501400</v>
      </c>
      <c r="H80" s="1" t="s">
        <v>102</v>
      </c>
      <c r="I80" s="1" t="s">
        <v>42</v>
      </c>
      <c r="J80" s="1" t="s">
        <v>598</v>
      </c>
    </row>
    <row r="81" spans="1:10">
      <c r="A81" s="1" t="s">
        <v>102</v>
      </c>
      <c r="B81" s="1" t="s">
        <v>611</v>
      </c>
      <c r="C81" s="1" t="s">
        <v>42</v>
      </c>
      <c r="D81" s="1" t="s">
        <v>598</v>
      </c>
      <c r="E81" s="86" t="s">
        <v>490</v>
      </c>
      <c r="F81" s="1" t="s">
        <v>658</v>
      </c>
      <c r="G81" s="1">
        <v>1501398</v>
      </c>
      <c r="H81" s="1" t="s">
        <v>102</v>
      </c>
      <c r="I81" s="1" t="s">
        <v>42</v>
      </c>
      <c r="J81" s="1" t="s">
        <v>598</v>
      </c>
    </row>
    <row r="82" spans="1:10">
      <c r="A82" s="1" t="s">
        <v>102</v>
      </c>
      <c r="B82" s="1" t="s">
        <v>611</v>
      </c>
      <c r="C82" s="1" t="s">
        <v>42</v>
      </c>
      <c r="D82" s="1" t="s">
        <v>598</v>
      </c>
      <c r="E82" s="86" t="s">
        <v>491</v>
      </c>
      <c r="F82" s="1" t="s">
        <v>659</v>
      </c>
      <c r="G82" s="1">
        <v>1501396</v>
      </c>
      <c r="H82" s="1" t="s">
        <v>102</v>
      </c>
      <c r="I82" s="1" t="s">
        <v>42</v>
      </c>
      <c r="J82" s="1" t="s">
        <v>598</v>
      </c>
    </row>
    <row r="83" spans="1:10">
      <c r="A83" s="1" t="s">
        <v>102</v>
      </c>
      <c r="B83" s="1" t="s">
        <v>611</v>
      </c>
      <c r="C83" s="1" t="s">
        <v>42</v>
      </c>
      <c r="D83" s="1" t="s">
        <v>598</v>
      </c>
      <c r="E83" s="86" t="s">
        <v>360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598</v>
      </c>
    </row>
    <row r="84" spans="1:10">
      <c r="A84" s="1" t="s">
        <v>102</v>
      </c>
      <c r="B84" s="1" t="s">
        <v>611</v>
      </c>
      <c r="C84" s="1" t="s">
        <v>42</v>
      </c>
      <c r="D84" s="1" t="s">
        <v>598</v>
      </c>
      <c r="E84" s="86" t="s">
        <v>433</v>
      </c>
      <c r="F84" s="1" t="s">
        <v>660</v>
      </c>
      <c r="G84" s="1">
        <v>1501392</v>
      </c>
      <c r="H84" s="1" t="s">
        <v>102</v>
      </c>
      <c r="I84" s="1" t="s">
        <v>42</v>
      </c>
      <c r="J84" s="1" t="s">
        <v>598</v>
      </c>
    </row>
    <row r="85" spans="1:10">
      <c r="A85" s="1" t="s">
        <v>102</v>
      </c>
      <c r="B85" s="1" t="s">
        <v>611</v>
      </c>
      <c r="C85" s="1" t="s">
        <v>42</v>
      </c>
      <c r="D85" s="1" t="s">
        <v>598</v>
      </c>
      <c r="E85" s="86" t="s">
        <v>382</v>
      </c>
      <c r="F85" s="1" t="s">
        <v>661</v>
      </c>
      <c r="G85" s="1">
        <v>1501390</v>
      </c>
      <c r="H85" s="1" t="s">
        <v>102</v>
      </c>
      <c r="I85" s="1" t="s">
        <v>42</v>
      </c>
      <c r="J85" s="1" t="s">
        <v>598</v>
      </c>
    </row>
    <row r="86" spans="1:10">
      <c r="A86" s="1" t="s">
        <v>102</v>
      </c>
      <c r="B86" s="1" t="s">
        <v>611</v>
      </c>
      <c r="C86" s="1" t="s">
        <v>42</v>
      </c>
      <c r="D86" s="1" t="s">
        <v>598</v>
      </c>
      <c r="E86" s="86" t="s">
        <v>446</v>
      </c>
      <c r="F86" s="1" t="s">
        <v>662</v>
      </c>
      <c r="G86" s="1">
        <v>1501388</v>
      </c>
      <c r="H86" s="1" t="s">
        <v>102</v>
      </c>
      <c r="I86" s="1" t="s">
        <v>42</v>
      </c>
      <c r="J86" s="1" t="s">
        <v>598</v>
      </c>
    </row>
    <row r="87" spans="1:10">
      <c r="A87" s="1" t="s">
        <v>102</v>
      </c>
      <c r="B87" s="1" t="s">
        <v>611</v>
      </c>
      <c r="C87" s="1" t="s">
        <v>42</v>
      </c>
      <c r="D87" s="1" t="s">
        <v>598</v>
      </c>
      <c r="E87" s="86" t="s">
        <v>436</v>
      </c>
      <c r="F87" s="1" t="s">
        <v>663</v>
      </c>
      <c r="G87" s="1">
        <v>1501386</v>
      </c>
      <c r="H87" s="1" t="s">
        <v>102</v>
      </c>
      <c r="I87" s="1" t="s">
        <v>42</v>
      </c>
      <c r="J87" s="1" t="s">
        <v>598</v>
      </c>
    </row>
    <row r="88" spans="1:10">
      <c r="A88" s="1" t="s">
        <v>100</v>
      </c>
      <c r="B88" s="1" t="s">
        <v>597</v>
      </c>
      <c r="C88" s="1" t="s">
        <v>42</v>
      </c>
      <c r="D88" s="1" t="s">
        <v>598</v>
      </c>
      <c r="E88" s="86" t="s">
        <v>366</v>
      </c>
      <c r="F88" s="1" t="s">
        <v>664</v>
      </c>
      <c r="G88" s="1">
        <v>1501382</v>
      </c>
      <c r="H88" s="1" t="s">
        <v>102</v>
      </c>
      <c r="I88" s="1" t="s">
        <v>42</v>
      </c>
      <c r="J88" s="1" t="s">
        <v>598</v>
      </c>
    </row>
    <row r="89" spans="1:10">
      <c r="A89" s="1" t="s">
        <v>100</v>
      </c>
      <c r="B89" s="1" t="s">
        <v>597</v>
      </c>
      <c r="C89" s="1" t="s">
        <v>42</v>
      </c>
      <c r="D89" s="1" t="s">
        <v>598</v>
      </c>
      <c r="E89" s="86" t="s">
        <v>431</v>
      </c>
      <c r="F89" s="1" t="s">
        <v>665</v>
      </c>
      <c r="G89" s="1">
        <v>1501380</v>
      </c>
      <c r="H89" s="1" t="s">
        <v>102</v>
      </c>
      <c r="I89" s="1" t="s">
        <v>42</v>
      </c>
      <c r="J89" s="1" t="s">
        <v>598</v>
      </c>
    </row>
    <row r="90" spans="1:10">
      <c r="A90" s="1" t="s">
        <v>100</v>
      </c>
      <c r="B90" s="1" t="s">
        <v>597</v>
      </c>
      <c r="C90" s="1" t="s">
        <v>42</v>
      </c>
      <c r="D90" s="1" t="s">
        <v>598</v>
      </c>
      <c r="E90" s="86" t="s">
        <v>275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598</v>
      </c>
    </row>
    <row r="91" spans="1:10" hidden="1">
      <c r="A91" s="1" t="s">
        <v>88</v>
      </c>
      <c r="B91" s="1" t="s">
        <v>611</v>
      </c>
      <c r="C91" s="1" t="s">
        <v>38</v>
      </c>
      <c r="D91" s="1" t="s">
        <v>598</v>
      </c>
      <c r="E91" s="86" t="s">
        <v>500</v>
      </c>
      <c r="F91" s="1" t="s">
        <v>666</v>
      </c>
      <c r="G91" s="1">
        <v>1501372</v>
      </c>
      <c r="H91" s="1" t="s">
        <v>88</v>
      </c>
      <c r="I91" s="1" t="s">
        <v>38</v>
      </c>
      <c r="J91" s="1" t="s">
        <v>598</v>
      </c>
    </row>
    <row r="92" spans="1:10" hidden="1">
      <c r="A92" s="1" t="s">
        <v>88</v>
      </c>
      <c r="B92" s="1" t="s">
        <v>611</v>
      </c>
      <c r="C92" s="1" t="s">
        <v>38</v>
      </c>
      <c r="D92" s="1" t="s">
        <v>598</v>
      </c>
      <c r="E92" s="86" t="s">
        <v>501</v>
      </c>
      <c r="F92" s="1" t="s">
        <v>667</v>
      </c>
      <c r="G92" s="1">
        <v>1501370</v>
      </c>
      <c r="H92" s="1" t="s">
        <v>88</v>
      </c>
      <c r="I92" s="1" t="s">
        <v>38</v>
      </c>
      <c r="J92" s="1" t="s">
        <v>598</v>
      </c>
    </row>
    <row r="93" spans="1:10" hidden="1">
      <c r="A93" s="1" t="s">
        <v>88</v>
      </c>
      <c r="B93" s="1" t="s">
        <v>611</v>
      </c>
      <c r="C93" s="1" t="s">
        <v>38</v>
      </c>
      <c r="D93" s="1" t="s">
        <v>598</v>
      </c>
      <c r="E93" s="86" t="s">
        <v>502</v>
      </c>
      <c r="F93" s="1" t="s">
        <v>668</v>
      </c>
      <c r="G93" s="1">
        <v>1501368</v>
      </c>
      <c r="H93" s="1" t="s">
        <v>88</v>
      </c>
      <c r="I93" s="1" t="s">
        <v>38</v>
      </c>
      <c r="J93" s="1" t="s">
        <v>598</v>
      </c>
    </row>
    <row r="94" spans="1:10" hidden="1">
      <c r="A94" s="1" t="s">
        <v>88</v>
      </c>
      <c r="B94" s="1" t="s">
        <v>611</v>
      </c>
      <c r="C94" s="1" t="s">
        <v>38</v>
      </c>
      <c r="D94" s="1" t="s">
        <v>598</v>
      </c>
      <c r="E94" s="86" t="s">
        <v>424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598</v>
      </c>
    </row>
    <row r="95" spans="1:10" hidden="1">
      <c r="A95" s="1" t="s">
        <v>88</v>
      </c>
      <c r="B95" s="1" t="s">
        <v>611</v>
      </c>
      <c r="C95" s="1" t="s">
        <v>38</v>
      </c>
      <c r="D95" s="1" t="s">
        <v>598</v>
      </c>
      <c r="E95" s="86" t="s">
        <v>341</v>
      </c>
      <c r="F95" s="1" t="s">
        <v>669</v>
      </c>
      <c r="G95" s="1">
        <v>1501364</v>
      </c>
      <c r="H95" s="1" t="s">
        <v>88</v>
      </c>
      <c r="I95" s="1" t="s">
        <v>38</v>
      </c>
      <c r="J95" s="1" t="s">
        <v>598</v>
      </c>
    </row>
    <row r="96" spans="1:10" hidden="1">
      <c r="A96" s="1" t="s">
        <v>88</v>
      </c>
      <c r="B96" s="1" t="s">
        <v>611</v>
      </c>
      <c r="C96" s="1" t="s">
        <v>38</v>
      </c>
      <c r="D96" s="1" t="s">
        <v>598</v>
      </c>
      <c r="E96" s="86" t="s">
        <v>453</v>
      </c>
      <c r="F96" s="1" t="s">
        <v>550</v>
      </c>
      <c r="G96" s="1">
        <v>1501362</v>
      </c>
      <c r="H96" s="1" t="s">
        <v>88</v>
      </c>
      <c r="I96" s="1" t="s">
        <v>38</v>
      </c>
      <c r="J96" s="1" t="s">
        <v>598</v>
      </c>
    </row>
    <row r="97" spans="1:10" hidden="1">
      <c r="A97" s="1" t="s">
        <v>88</v>
      </c>
      <c r="B97" s="1" t="s">
        <v>611</v>
      </c>
      <c r="C97" s="1" t="s">
        <v>38</v>
      </c>
      <c r="D97" s="1" t="s">
        <v>598</v>
      </c>
      <c r="E97" s="86" t="s">
        <v>503</v>
      </c>
      <c r="F97" s="1" t="s">
        <v>670</v>
      </c>
      <c r="G97" s="1">
        <v>1501360</v>
      </c>
      <c r="H97" s="1" t="s">
        <v>88</v>
      </c>
      <c r="I97" s="1" t="s">
        <v>38</v>
      </c>
      <c r="J97" s="1" t="s">
        <v>598</v>
      </c>
    </row>
    <row r="98" spans="1:10" hidden="1">
      <c r="A98" s="1" t="s">
        <v>98</v>
      </c>
      <c r="B98" s="1" t="s">
        <v>611</v>
      </c>
      <c r="C98" s="1" t="s">
        <v>38</v>
      </c>
      <c r="D98" s="1" t="s">
        <v>598</v>
      </c>
      <c r="E98" s="86" t="s">
        <v>506</v>
      </c>
      <c r="F98" s="1" t="s">
        <v>671</v>
      </c>
      <c r="G98" s="1">
        <v>1501356</v>
      </c>
      <c r="H98" s="1" t="s">
        <v>88</v>
      </c>
      <c r="I98" s="1" t="s">
        <v>38</v>
      </c>
      <c r="J98" s="1" t="s">
        <v>598</v>
      </c>
    </row>
    <row r="99" spans="1:10" hidden="1">
      <c r="A99" s="1" t="s">
        <v>98</v>
      </c>
      <c r="B99" s="1" t="s">
        <v>611</v>
      </c>
      <c r="C99" s="1" t="s">
        <v>38</v>
      </c>
      <c r="D99" s="1" t="s">
        <v>598</v>
      </c>
      <c r="E99" s="86" t="s">
        <v>392</v>
      </c>
      <c r="F99" s="1" t="s">
        <v>672</v>
      </c>
      <c r="G99" s="1">
        <v>1501354</v>
      </c>
      <c r="H99" s="1" t="s">
        <v>88</v>
      </c>
      <c r="I99" s="1" t="s">
        <v>38</v>
      </c>
      <c r="J99" s="1" t="s">
        <v>598</v>
      </c>
    </row>
    <row r="100" spans="1:10" hidden="1">
      <c r="A100" s="1" t="s">
        <v>96</v>
      </c>
      <c r="B100" s="1" t="s">
        <v>597</v>
      </c>
      <c r="C100" s="1" t="s">
        <v>38</v>
      </c>
      <c r="D100" s="1" t="s">
        <v>598</v>
      </c>
      <c r="E100" s="86" t="s">
        <v>477</v>
      </c>
      <c r="F100" s="1" t="s">
        <v>673</v>
      </c>
      <c r="G100" s="1">
        <v>1501352</v>
      </c>
      <c r="H100" s="1" t="s">
        <v>95</v>
      </c>
      <c r="I100" s="1" t="s">
        <v>38</v>
      </c>
      <c r="J100" s="1" t="s">
        <v>598</v>
      </c>
    </row>
    <row r="101" spans="1:10" hidden="1">
      <c r="A101" s="1" t="s">
        <v>96</v>
      </c>
      <c r="B101" s="1" t="s">
        <v>597</v>
      </c>
      <c r="C101" s="1" t="s">
        <v>38</v>
      </c>
      <c r="D101" s="1" t="s">
        <v>598</v>
      </c>
      <c r="E101" s="86" t="s">
        <v>282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598</v>
      </c>
    </row>
    <row r="102" spans="1:10" hidden="1">
      <c r="A102" s="1" t="s">
        <v>96</v>
      </c>
      <c r="B102" s="1" t="s">
        <v>597</v>
      </c>
      <c r="C102" s="1" t="s">
        <v>38</v>
      </c>
      <c r="D102" s="1" t="s">
        <v>598</v>
      </c>
      <c r="E102" s="86" t="s">
        <v>505</v>
      </c>
      <c r="F102" s="1" t="s">
        <v>674</v>
      </c>
      <c r="G102" s="1">
        <v>1501348</v>
      </c>
      <c r="H102" s="1" t="s">
        <v>95</v>
      </c>
      <c r="I102" s="1" t="s">
        <v>38</v>
      </c>
      <c r="J102" s="1" t="s">
        <v>598</v>
      </c>
    </row>
    <row r="103" spans="1:10" hidden="1">
      <c r="A103" s="1" t="s">
        <v>98</v>
      </c>
      <c r="B103" s="1" t="s">
        <v>611</v>
      </c>
      <c r="C103" s="1" t="s">
        <v>38</v>
      </c>
      <c r="D103" s="1" t="s">
        <v>598</v>
      </c>
      <c r="E103" s="86" t="s">
        <v>294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598</v>
      </c>
    </row>
    <row r="104" spans="1:10" hidden="1">
      <c r="A104" s="1" t="s">
        <v>90</v>
      </c>
      <c r="B104" s="1" t="s">
        <v>611</v>
      </c>
      <c r="C104" s="1" t="s">
        <v>38</v>
      </c>
      <c r="D104" s="1" t="s">
        <v>598</v>
      </c>
      <c r="E104" s="86" t="s">
        <v>428</v>
      </c>
      <c r="F104" s="1" t="s">
        <v>548</v>
      </c>
      <c r="G104" s="1">
        <v>1501342</v>
      </c>
      <c r="H104" s="1" t="s">
        <v>90</v>
      </c>
      <c r="I104" s="1" t="s">
        <v>38</v>
      </c>
      <c r="J104" s="1" t="s">
        <v>598</v>
      </c>
    </row>
    <row r="105" spans="1:10" hidden="1">
      <c r="A105" s="1" t="s">
        <v>90</v>
      </c>
      <c r="B105" s="1" t="s">
        <v>611</v>
      </c>
      <c r="C105" s="1" t="s">
        <v>38</v>
      </c>
      <c r="D105" s="1" t="s">
        <v>598</v>
      </c>
      <c r="E105" s="86" t="s">
        <v>468</v>
      </c>
      <c r="F105" s="1" t="s">
        <v>675</v>
      </c>
      <c r="G105" s="1">
        <v>1501340</v>
      </c>
      <c r="H105" s="1" t="s">
        <v>90</v>
      </c>
      <c r="I105" s="1" t="s">
        <v>38</v>
      </c>
      <c r="J105" s="1" t="s">
        <v>598</v>
      </c>
    </row>
    <row r="106" spans="1:10" hidden="1">
      <c r="A106" s="1" t="s">
        <v>90</v>
      </c>
      <c r="B106" s="1" t="s">
        <v>611</v>
      </c>
      <c r="C106" s="1" t="s">
        <v>38</v>
      </c>
      <c r="D106" s="1" t="s">
        <v>598</v>
      </c>
      <c r="E106" s="86" t="s">
        <v>344</v>
      </c>
      <c r="F106" s="1" t="s">
        <v>303</v>
      </c>
      <c r="G106" s="1">
        <v>1501338</v>
      </c>
      <c r="H106" s="1" t="s">
        <v>90</v>
      </c>
      <c r="I106" s="1" t="s">
        <v>38</v>
      </c>
      <c r="J106" s="1" t="s">
        <v>598</v>
      </c>
    </row>
    <row r="107" spans="1:10" hidden="1">
      <c r="A107" s="1" t="s">
        <v>90</v>
      </c>
      <c r="B107" s="1" t="s">
        <v>611</v>
      </c>
      <c r="C107" s="1" t="s">
        <v>38</v>
      </c>
      <c r="D107" s="1" t="s">
        <v>598</v>
      </c>
      <c r="E107" s="86" t="s">
        <v>504</v>
      </c>
      <c r="F107" s="1" t="s">
        <v>676</v>
      </c>
      <c r="G107" s="1">
        <v>1501336</v>
      </c>
      <c r="H107" s="1" t="s">
        <v>90</v>
      </c>
      <c r="I107" s="1" t="s">
        <v>38</v>
      </c>
      <c r="J107" s="1" t="s">
        <v>598</v>
      </c>
    </row>
    <row r="108" spans="1:10" hidden="1">
      <c r="A108" s="1" t="s">
        <v>90</v>
      </c>
      <c r="B108" s="1" t="s">
        <v>611</v>
      </c>
      <c r="C108" s="1" t="s">
        <v>38</v>
      </c>
      <c r="D108" s="1" t="s">
        <v>598</v>
      </c>
      <c r="E108" s="86" t="s">
        <v>380</v>
      </c>
      <c r="F108" s="1" t="s">
        <v>677</v>
      </c>
      <c r="G108" s="1">
        <v>1501334</v>
      </c>
      <c r="H108" s="1" t="s">
        <v>90</v>
      </c>
      <c r="I108" s="1" t="s">
        <v>38</v>
      </c>
      <c r="J108" s="1" t="s">
        <v>598</v>
      </c>
    </row>
    <row r="109" spans="1:10" hidden="1">
      <c r="A109" s="1" t="s">
        <v>90</v>
      </c>
      <c r="B109" s="1" t="s">
        <v>611</v>
      </c>
      <c r="C109" s="1" t="s">
        <v>38</v>
      </c>
      <c r="D109" s="1" t="s">
        <v>598</v>
      </c>
      <c r="E109" s="86" t="s">
        <v>456</v>
      </c>
      <c r="F109" s="1" t="s">
        <v>678</v>
      </c>
      <c r="G109" s="1">
        <v>1501332</v>
      </c>
      <c r="H109" s="1" t="s">
        <v>90</v>
      </c>
      <c r="I109" s="1" t="s">
        <v>38</v>
      </c>
      <c r="J109" s="1" t="s">
        <v>598</v>
      </c>
    </row>
    <row r="110" spans="1:10" hidden="1">
      <c r="A110" s="1" t="s">
        <v>90</v>
      </c>
      <c r="B110" s="1" t="s">
        <v>611</v>
      </c>
      <c r="C110" s="1" t="s">
        <v>38</v>
      </c>
      <c r="D110" s="1" t="s">
        <v>598</v>
      </c>
      <c r="E110" s="86" t="s">
        <v>447</v>
      </c>
      <c r="F110" s="1" t="s">
        <v>679</v>
      </c>
      <c r="G110" s="1">
        <v>1501330</v>
      </c>
      <c r="H110" s="1" t="s">
        <v>90</v>
      </c>
      <c r="I110" s="1" t="s">
        <v>38</v>
      </c>
      <c r="J110" s="1" t="s">
        <v>598</v>
      </c>
    </row>
    <row r="111" spans="1:10" hidden="1">
      <c r="A111" s="1" t="s">
        <v>90</v>
      </c>
      <c r="B111" s="1" t="s">
        <v>611</v>
      </c>
      <c r="C111" s="1" t="s">
        <v>38</v>
      </c>
      <c r="D111" s="1" t="s">
        <v>598</v>
      </c>
      <c r="E111" s="86" t="s">
        <v>302</v>
      </c>
      <c r="F111" s="1" t="s">
        <v>680</v>
      </c>
      <c r="G111" s="1">
        <v>1501328</v>
      </c>
      <c r="H111" s="1" t="s">
        <v>90</v>
      </c>
      <c r="I111" s="1" t="s">
        <v>38</v>
      </c>
      <c r="J111" s="1" t="s">
        <v>598</v>
      </c>
    </row>
    <row r="112" spans="1:10" hidden="1">
      <c r="A112" s="1" t="s">
        <v>90</v>
      </c>
      <c r="B112" s="1" t="s">
        <v>611</v>
      </c>
      <c r="C112" s="1" t="s">
        <v>38</v>
      </c>
      <c r="D112" s="1" t="s">
        <v>598</v>
      </c>
      <c r="E112" s="86" t="s">
        <v>407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598</v>
      </c>
    </row>
    <row r="113" spans="1:10" hidden="1">
      <c r="A113" s="1" t="s">
        <v>93</v>
      </c>
      <c r="B113" s="1" t="s">
        <v>611</v>
      </c>
      <c r="C113" s="1" t="s">
        <v>38</v>
      </c>
      <c r="D113" s="1" t="s">
        <v>598</v>
      </c>
      <c r="E113" s="86" t="s">
        <v>419</v>
      </c>
      <c r="F113" s="1" t="s">
        <v>681</v>
      </c>
      <c r="G113" s="1">
        <v>1501322</v>
      </c>
      <c r="H113" s="1" t="s">
        <v>93</v>
      </c>
      <c r="I113" s="1" t="s">
        <v>38</v>
      </c>
      <c r="J113" s="1" t="s">
        <v>598</v>
      </c>
    </row>
    <row r="114" spans="1:10" hidden="1">
      <c r="A114" s="1" t="s">
        <v>93</v>
      </c>
      <c r="B114" s="1" t="s">
        <v>611</v>
      </c>
      <c r="C114" s="1" t="s">
        <v>38</v>
      </c>
      <c r="D114" s="1" t="s">
        <v>598</v>
      </c>
      <c r="E114" s="86" t="s">
        <v>460</v>
      </c>
      <c r="F114" s="1" t="s">
        <v>682</v>
      </c>
      <c r="G114" s="1">
        <v>1501320</v>
      </c>
      <c r="H114" s="1" t="s">
        <v>93</v>
      </c>
      <c r="I114" s="1" t="s">
        <v>38</v>
      </c>
      <c r="J114" s="1" t="s">
        <v>598</v>
      </c>
    </row>
    <row r="115" spans="1:10" hidden="1">
      <c r="A115" s="1" t="s">
        <v>93</v>
      </c>
      <c r="B115" s="1" t="s">
        <v>611</v>
      </c>
      <c r="C115" s="1" t="s">
        <v>38</v>
      </c>
      <c r="D115" s="1" t="s">
        <v>598</v>
      </c>
      <c r="E115" s="86" t="s">
        <v>309</v>
      </c>
      <c r="F115" s="1" t="s">
        <v>683</v>
      </c>
      <c r="G115" s="1">
        <v>1501318</v>
      </c>
      <c r="H115" s="1" t="s">
        <v>93</v>
      </c>
      <c r="I115" s="1" t="s">
        <v>38</v>
      </c>
      <c r="J115" s="1" t="s">
        <v>598</v>
      </c>
    </row>
    <row r="116" spans="1:10" hidden="1">
      <c r="A116" s="1" t="s">
        <v>93</v>
      </c>
      <c r="B116" s="1" t="s">
        <v>611</v>
      </c>
      <c r="C116" s="1" t="s">
        <v>38</v>
      </c>
      <c r="D116" s="1" t="s">
        <v>598</v>
      </c>
      <c r="E116" s="86" t="s">
        <v>295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598</v>
      </c>
    </row>
    <row r="117" spans="1:10" hidden="1">
      <c r="A117" s="1" t="s">
        <v>93</v>
      </c>
      <c r="B117" s="1" t="s">
        <v>611</v>
      </c>
      <c r="C117" s="1" t="s">
        <v>38</v>
      </c>
      <c r="D117" s="1" t="s">
        <v>598</v>
      </c>
      <c r="E117" s="86" t="s">
        <v>379</v>
      </c>
      <c r="F117" s="1" t="s">
        <v>569</v>
      </c>
      <c r="G117" s="1">
        <v>1501314</v>
      </c>
      <c r="H117" s="1" t="s">
        <v>93</v>
      </c>
      <c r="I117" s="1" t="s">
        <v>38</v>
      </c>
      <c r="J117" s="1" t="s">
        <v>598</v>
      </c>
    </row>
    <row r="118" spans="1:10">
      <c r="A118" s="1" t="s">
        <v>107</v>
      </c>
      <c r="B118" s="1" t="s">
        <v>611</v>
      </c>
      <c r="C118" s="1" t="s">
        <v>42</v>
      </c>
      <c r="D118" s="1" t="s">
        <v>598</v>
      </c>
      <c r="E118" s="86" t="s">
        <v>422</v>
      </c>
      <c r="F118" s="1" t="s">
        <v>684</v>
      </c>
      <c r="G118" s="1">
        <v>1501308</v>
      </c>
      <c r="H118" s="1" t="s">
        <v>107</v>
      </c>
      <c r="I118" s="1" t="s">
        <v>42</v>
      </c>
      <c r="J118" s="1" t="s">
        <v>598</v>
      </c>
    </row>
    <row r="119" spans="1:10">
      <c r="A119" s="1" t="s">
        <v>107</v>
      </c>
      <c r="B119" s="1" t="s">
        <v>611</v>
      </c>
      <c r="C119" s="1" t="s">
        <v>42</v>
      </c>
      <c r="D119" s="1" t="s">
        <v>598</v>
      </c>
      <c r="E119" s="86" t="s">
        <v>469</v>
      </c>
      <c r="F119" s="1" t="s">
        <v>685</v>
      </c>
      <c r="G119" s="1">
        <v>1501306</v>
      </c>
      <c r="H119" s="1" t="s">
        <v>107</v>
      </c>
      <c r="I119" s="1" t="s">
        <v>42</v>
      </c>
      <c r="J119" s="1" t="s">
        <v>598</v>
      </c>
    </row>
    <row r="120" spans="1:10">
      <c r="A120" s="1" t="s">
        <v>107</v>
      </c>
      <c r="B120" s="1" t="s">
        <v>611</v>
      </c>
      <c r="C120" s="1" t="s">
        <v>42</v>
      </c>
      <c r="D120" s="1" t="s">
        <v>598</v>
      </c>
      <c r="E120" s="86" t="s">
        <v>291</v>
      </c>
      <c r="F120" s="1" t="s">
        <v>686</v>
      </c>
      <c r="G120" s="1">
        <v>1501304</v>
      </c>
      <c r="H120" s="1" t="s">
        <v>107</v>
      </c>
      <c r="I120" s="1" t="s">
        <v>42</v>
      </c>
      <c r="J120" s="1" t="s">
        <v>598</v>
      </c>
    </row>
    <row r="121" spans="1:10">
      <c r="A121" s="1" t="s">
        <v>107</v>
      </c>
      <c r="B121" s="1" t="s">
        <v>611</v>
      </c>
      <c r="C121" s="1" t="s">
        <v>42</v>
      </c>
      <c r="D121" s="1" t="s">
        <v>598</v>
      </c>
      <c r="E121" s="86" t="s">
        <v>498</v>
      </c>
      <c r="F121" s="1" t="s">
        <v>687</v>
      </c>
      <c r="G121" s="1">
        <v>1501302</v>
      </c>
      <c r="H121" s="1" t="s">
        <v>107</v>
      </c>
      <c r="I121" s="1" t="s">
        <v>42</v>
      </c>
      <c r="J121" s="1" t="s">
        <v>598</v>
      </c>
    </row>
    <row r="122" spans="1:10">
      <c r="A122" s="1" t="s">
        <v>107</v>
      </c>
      <c r="B122" s="1" t="s">
        <v>611</v>
      </c>
      <c r="C122" s="1" t="s">
        <v>42</v>
      </c>
      <c r="D122" s="1" t="s">
        <v>598</v>
      </c>
      <c r="E122" s="86" t="s">
        <v>259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598</v>
      </c>
    </row>
    <row r="123" spans="1:10">
      <c r="A123" s="1" t="s">
        <v>106</v>
      </c>
      <c r="B123" s="1" t="s">
        <v>611</v>
      </c>
      <c r="C123" s="1" t="s">
        <v>42</v>
      </c>
      <c r="D123" s="1" t="s">
        <v>598</v>
      </c>
      <c r="E123" s="86" t="s">
        <v>462</v>
      </c>
      <c r="F123" s="1" t="s">
        <v>688</v>
      </c>
      <c r="G123" s="1">
        <v>1501296</v>
      </c>
      <c r="H123" s="1" t="s">
        <v>106</v>
      </c>
      <c r="I123" s="1" t="s">
        <v>42</v>
      </c>
      <c r="J123" s="1" t="s">
        <v>598</v>
      </c>
    </row>
    <row r="124" spans="1:10">
      <c r="A124" s="1" t="s">
        <v>106</v>
      </c>
      <c r="B124" s="1" t="s">
        <v>611</v>
      </c>
      <c r="C124" s="1" t="s">
        <v>42</v>
      </c>
      <c r="D124" s="1" t="s">
        <v>598</v>
      </c>
      <c r="E124" s="86" t="s">
        <v>363</v>
      </c>
      <c r="F124" s="1" t="s">
        <v>689</v>
      </c>
      <c r="G124" s="1">
        <v>1501294</v>
      </c>
      <c r="H124" s="1" t="s">
        <v>106</v>
      </c>
      <c r="I124" s="1" t="s">
        <v>42</v>
      </c>
      <c r="J124" s="1" t="s">
        <v>598</v>
      </c>
    </row>
    <row r="125" spans="1:10">
      <c r="A125" s="1" t="s">
        <v>106</v>
      </c>
      <c r="B125" s="1" t="s">
        <v>611</v>
      </c>
      <c r="C125" s="1" t="s">
        <v>42</v>
      </c>
      <c r="D125" s="1" t="s">
        <v>598</v>
      </c>
      <c r="E125" s="86" t="s">
        <v>478</v>
      </c>
      <c r="F125" s="1" t="s">
        <v>690</v>
      </c>
      <c r="G125" s="1">
        <v>1501292</v>
      </c>
      <c r="H125" s="1" t="s">
        <v>106</v>
      </c>
      <c r="I125" s="1" t="s">
        <v>42</v>
      </c>
      <c r="J125" s="1" t="s">
        <v>598</v>
      </c>
    </row>
    <row r="126" spans="1:10">
      <c r="A126" s="1" t="s">
        <v>106</v>
      </c>
      <c r="B126" s="1" t="s">
        <v>611</v>
      </c>
      <c r="C126" s="1" t="s">
        <v>42</v>
      </c>
      <c r="D126" s="1" t="s">
        <v>598</v>
      </c>
      <c r="E126" s="86" t="s">
        <v>329</v>
      </c>
      <c r="F126" s="1" t="s">
        <v>580</v>
      </c>
      <c r="G126" s="1">
        <v>1501290</v>
      </c>
      <c r="H126" s="1" t="s">
        <v>106</v>
      </c>
      <c r="I126" s="1" t="s">
        <v>42</v>
      </c>
      <c r="J126" s="1" t="s">
        <v>598</v>
      </c>
    </row>
    <row r="127" spans="1:10">
      <c r="A127" s="1" t="s">
        <v>106</v>
      </c>
      <c r="B127" s="1" t="s">
        <v>611</v>
      </c>
      <c r="C127" s="1" t="s">
        <v>42</v>
      </c>
      <c r="D127" s="1" t="s">
        <v>598</v>
      </c>
      <c r="E127" s="86" t="s">
        <v>497</v>
      </c>
      <c r="F127" s="1" t="s">
        <v>691</v>
      </c>
      <c r="G127" s="1">
        <v>1501288</v>
      </c>
      <c r="H127" s="1" t="s">
        <v>106</v>
      </c>
      <c r="I127" s="1" t="s">
        <v>42</v>
      </c>
      <c r="J127" s="1" t="s">
        <v>598</v>
      </c>
    </row>
    <row r="128" spans="1:10">
      <c r="A128" s="1" t="s">
        <v>104</v>
      </c>
      <c r="B128" s="1" t="s">
        <v>597</v>
      </c>
      <c r="C128" s="1" t="s">
        <v>42</v>
      </c>
      <c r="D128" s="1" t="s">
        <v>598</v>
      </c>
      <c r="E128" s="86" t="s">
        <v>427</v>
      </c>
      <c r="F128" s="1" t="s">
        <v>692</v>
      </c>
      <c r="G128" s="1">
        <v>1501284</v>
      </c>
      <c r="H128" s="1" t="s">
        <v>107</v>
      </c>
      <c r="I128" s="1" t="s">
        <v>42</v>
      </c>
      <c r="J128" s="1" t="s">
        <v>598</v>
      </c>
    </row>
    <row r="129" spans="1:10">
      <c r="A129" s="1" t="s">
        <v>102</v>
      </c>
      <c r="B129" s="1" t="s">
        <v>611</v>
      </c>
      <c r="C129" s="1" t="s">
        <v>42</v>
      </c>
      <c r="D129" s="1" t="s">
        <v>598</v>
      </c>
      <c r="E129" s="86" t="s">
        <v>364</v>
      </c>
      <c r="F129" s="1" t="s">
        <v>693</v>
      </c>
      <c r="G129" s="1">
        <v>1501282</v>
      </c>
      <c r="H129" s="1" t="s">
        <v>102</v>
      </c>
      <c r="I129" s="1" t="s">
        <v>42</v>
      </c>
      <c r="J129" s="1" t="s">
        <v>598</v>
      </c>
    </row>
    <row r="130" spans="1:10">
      <c r="A130" s="1" t="s">
        <v>104</v>
      </c>
      <c r="B130" s="1" t="s">
        <v>597</v>
      </c>
      <c r="C130" s="1" t="s">
        <v>42</v>
      </c>
      <c r="D130" s="1" t="s">
        <v>598</v>
      </c>
      <c r="E130" s="86" t="s">
        <v>496</v>
      </c>
      <c r="F130" s="1" t="s">
        <v>694</v>
      </c>
      <c r="G130" s="1">
        <v>1501280</v>
      </c>
      <c r="H130" s="1" t="s">
        <v>107</v>
      </c>
      <c r="I130" s="1" t="s">
        <v>42</v>
      </c>
      <c r="J130" s="1" t="s">
        <v>598</v>
      </c>
    </row>
    <row r="131" spans="1:10">
      <c r="A131" s="1" t="s">
        <v>102</v>
      </c>
      <c r="B131" s="1" t="s">
        <v>611</v>
      </c>
      <c r="C131" s="1" t="s">
        <v>42</v>
      </c>
      <c r="D131" s="1" t="s">
        <v>598</v>
      </c>
      <c r="E131" s="86" t="s">
        <v>471</v>
      </c>
      <c r="F131" s="1" t="s">
        <v>695</v>
      </c>
      <c r="G131" s="1">
        <v>1501276</v>
      </c>
      <c r="H131" s="1" t="s">
        <v>102</v>
      </c>
      <c r="I131" s="1" t="s">
        <v>42</v>
      </c>
      <c r="J131" s="1" t="s">
        <v>598</v>
      </c>
    </row>
    <row r="132" spans="1:10">
      <c r="A132" s="1" t="s">
        <v>104</v>
      </c>
      <c r="B132" s="1" t="s">
        <v>597</v>
      </c>
      <c r="C132" s="1" t="s">
        <v>42</v>
      </c>
      <c r="D132" s="1" t="s">
        <v>598</v>
      </c>
      <c r="E132" s="86" t="s">
        <v>473</v>
      </c>
      <c r="F132" s="1" t="s">
        <v>696</v>
      </c>
      <c r="G132" s="1">
        <v>1501274</v>
      </c>
      <c r="H132" s="1" t="s">
        <v>107</v>
      </c>
      <c r="I132" s="1" t="s">
        <v>42</v>
      </c>
      <c r="J132" s="1" t="s">
        <v>598</v>
      </c>
    </row>
    <row r="133" spans="1:10">
      <c r="A133" s="1" t="s">
        <v>104</v>
      </c>
      <c r="B133" s="1" t="s">
        <v>597</v>
      </c>
      <c r="C133" s="1" t="s">
        <v>42</v>
      </c>
      <c r="D133" s="1" t="s">
        <v>598</v>
      </c>
      <c r="E133" s="86" t="s">
        <v>441</v>
      </c>
      <c r="F133" s="1" t="s">
        <v>697</v>
      </c>
      <c r="G133" s="1">
        <v>1501272</v>
      </c>
      <c r="H133" s="1" t="s">
        <v>107</v>
      </c>
      <c r="I133" s="1" t="s">
        <v>42</v>
      </c>
      <c r="J133" s="1" t="s">
        <v>598</v>
      </c>
    </row>
    <row r="134" spans="1:10">
      <c r="A134" s="1" t="s">
        <v>102</v>
      </c>
      <c r="B134" s="1" t="s">
        <v>611</v>
      </c>
      <c r="C134" s="1" t="s">
        <v>42</v>
      </c>
      <c r="D134" s="1" t="s">
        <v>598</v>
      </c>
      <c r="E134" s="86" t="s">
        <v>372</v>
      </c>
      <c r="F134" s="1" t="s">
        <v>574</v>
      </c>
      <c r="G134" s="1">
        <v>1501270</v>
      </c>
      <c r="H134" s="1" t="s">
        <v>102</v>
      </c>
      <c r="I134" s="1" t="s">
        <v>42</v>
      </c>
      <c r="J134" s="1" t="s">
        <v>598</v>
      </c>
    </row>
    <row r="135" spans="1:10">
      <c r="A135" s="1" t="s">
        <v>104</v>
      </c>
      <c r="B135" s="1" t="s">
        <v>597</v>
      </c>
      <c r="C135" s="1" t="s">
        <v>42</v>
      </c>
      <c r="D135" s="1" t="s">
        <v>598</v>
      </c>
      <c r="E135" s="86" t="s">
        <v>445</v>
      </c>
      <c r="F135" s="1" t="s">
        <v>698</v>
      </c>
      <c r="G135" s="1">
        <v>1501268</v>
      </c>
      <c r="H135" s="1" t="s">
        <v>107</v>
      </c>
      <c r="I135" s="1" t="s">
        <v>42</v>
      </c>
      <c r="J135" s="1" t="s">
        <v>598</v>
      </c>
    </row>
    <row r="136" spans="1:10">
      <c r="A136" s="1" t="s">
        <v>104</v>
      </c>
      <c r="B136" s="1" t="s">
        <v>597</v>
      </c>
      <c r="C136" s="1" t="s">
        <v>42</v>
      </c>
      <c r="D136" s="1" t="s">
        <v>598</v>
      </c>
      <c r="E136" s="86" t="s">
        <v>413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598</v>
      </c>
    </row>
    <row r="137" spans="1:10">
      <c r="A137" s="1" t="s">
        <v>102</v>
      </c>
      <c r="B137" s="1" t="s">
        <v>611</v>
      </c>
      <c r="C137" s="1" t="s">
        <v>42</v>
      </c>
      <c r="D137" s="1" t="s">
        <v>598</v>
      </c>
      <c r="E137" s="86" t="s">
        <v>492</v>
      </c>
      <c r="F137" s="1" t="s">
        <v>699</v>
      </c>
      <c r="G137" s="1">
        <v>1501264</v>
      </c>
      <c r="H137" s="1" t="s">
        <v>102</v>
      </c>
      <c r="I137" s="1" t="s">
        <v>42</v>
      </c>
      <c r="J137" s="1" t="s">
        <v>598</v>
      </c>
    </row>
    <row r="138" spans="1:10">
      <c r="A138" s="1" t="s">
        <v>102</v>
      </c>
      <c r="B138" s="1" t="s">
        <v>611</v>
      </c>
      <c r="C138" s="1" t="s">
        <v>42</v>
      </c>
      <c r="D138" s="1" t="s">
        <v>598</v>
      </c>
      <c r="E138" s="86" t="s">
        <v>493</v>
      </c>
      <c r="F138" s="1" t="s">
        <v>700</v>
      </c>
      <c r="G138" s="1">
        <v>1501262</v>
      </c>
      <c r="H138" s="1" t="s">
        <v>102</v>
      </c>
      <c r="I138" s="1" t="s">
        <v>42</v>
      </c>
      <c r="J138" s="1" t="s">
        <v>598</v>
      </c>
    </row>
    <row r="139" spans="1:10" hidden="1">
      <c r="A139" s="1" t="s">
        <v>91</v>
      </c>
      <c r="B139" s="1" t="s">
        <v>611</v>
      </c>
      <c r="C139" s="1" t="s">
        <v>38</v>
      </c>
      <c r="D139" s="1" t="s">
        <v>598</v>
      </c>
      <c r="E139" s="86" t="s">
        <v>386</v>
      </c>
      <c r="F139" s="1" t="s">
        <v>549</v>
      </c>
      <c r="G139" s="1">
        <v>1501256</v>
      </c>
      <c r="H139" s="1" t="s">
        <v>247</v>
      </c>
      <c r="I139" s="1" t="s">
        <v>38</v>
      </c>
      <c r="J139" s="1" t="s">
        <v>598</v>
      </c>
    </row>
    <row r="140" spans="1:10" hidden="1">
      <c r="A140" s="1" t="s">
        <v>87</v>
      </c>
      <c r="B140" s="1" t="s">
        <v>597</v>
      </c>
      <c r="C140" s="1" t="s">
        <v>38</v>
      </c>
      <c r="D140" s="1" t="s">
        <v>598</v>
      </c>
      <c r="E140" s="86" t="s">
        <v>248</v>
      </c>
      <c r="F140" s="1" t="s">
        <v>701</v>
      </c>
      <c r="G140" s="1">
        <v>1501254</v>
      </c>
      <c r="H140" s="1" t="s">
        <v>87</v>
      </c>
      <c r="I140" s="1" t="s">
        <v>38</v>
      </c>
      <c r="J140" s="1" t="s">
        <v>598</v>
      </c>
    </row>
    <row r="141" spans="1:10" hidden="1">
      <c r="A141" s="1" t="s">
        <v>87</v>
      </c>
      <c r="B141" s="1" t="s">
        <v>597</v>
      </c>
      <c r="C141" s="1" t="s">
        <v>38</v>
      </c>
      <c r="D141" s="1" t="s">
        <v>598</v>
      </c>
      <c r="E141" s="86" t="s">
        <v>423</v>
      </c>
      <c r="F141" s="1" t="s">
        <v>702</v>
      </c>
      <c r="G141" s="1">
        <v>1501252</v>
      </c>
      <c r="H141" s="1" t="s">
        <v>87</v>
      </c>
      <c r="I141" s="1" t="s">
        <v>38</v>
      </c>
      <c r="J141" s="1" t="s">
        <v>598</v>
      </c>
    </row>
    <row r="142" spans="1:10" hidden="1">
      <c r="A142" s="1" t="s">
        <v>91</v>
      </c>
      <c r="B142" s="1" t="s">
        <v>611</v>
      </c>
      <c r="C142" s="1" t="s">
        <v>38</v>
      </c>
      <c r="D142" s="1" t="s">
        <v>598</v>
      </c>
      <c r="E142" s="86" t="s">
        <v>515</v>
      </c>
      <c r="F142" s="1" t="s">
        <v>570</v>
      </c>
      <c r="G142" s="1">
        <v>1501250</v>
      </c>
      <c r="H142" s="1" t="s">
        <v>247</v>
      </c>
      <c r="I142" s="1" t="s">
        <v>38</v>
      </c>
      <c r="J142" s="1" t="s">
        <v>598</v>
      </c>
    </row>
    <row r="143" spans="1:10" hidden="1">
      <c r="A143" s="1" t="s">
        <v>87</v>
      </c>
      <c r="B143" s="1" t="s">
        <v>597</v>
      </c>
      <c r="C143" s="1" t="s">
        <v>38</v>
      </c>
      <c r="D143" s="1" t="s">
        <v>598</v>
      </c>
      <c r="E143" s="86" t="s">
        <v>438</v>
      </c>
      <c r="F143" s="1" t="s">
        <v>703</v>
      </c>
      <c r="G143" s="1">
        <v>1501248</v>
      </c>
      <c r="H143" s="1" t="s">
        <v>87</v>
      </c>
      <c r="I143" s="1" t="s">
        <v>38</v>
      </c>
      <c r="J143" s="1" t="s">
        <v>598</v>
      </c>
    </row>
    <row r="144" spans="1:10" hidden="1">
      <c r="A144" s="1" t="s">
        <v>91</v>
      </c>
      <c r="B144" s="1" t="s">
        <v>611</v>
      </c>
      <c r="C144" s="1" t="s">
        <v>38</v>
      </c>
      <c r="D144" s="1" t="s">
        <v>598</v>
      </c>
      <c r="E144" s="86" t="s">
        <v>401</v>
      </c>
      <c r="F144" s="1" t="s">
        <v>247</v>
      </c>
      <c r="G144" s="1">
        <v>1501246</v>
      </c>
      <c r="H144" s="1" t="s">
        <v>247</v>
      </c>
      <c r="I144" s="1" t="s">
        <v>38</v>
      </c>
      <c r="J144" s="1" t="s">
        <v>598</v>
      </c>
    </row>
    <row r="145" spans="1:10" hidden="1">
      <c r="A145" s="1" t="s">
        <v>91</v>
      </c>
      <c r="B145" s="1" t="s">
        <v>611</v>
      </c>
      <c r="C145" s="1" t="s">
        <v>38</v>
      </c>
      <c r="D145" s="1" t="s">
        <v>598</v>
      </c>
      <c r="E145" s="86" t="s">
        <v>322</v>
      </c>
      <c r="F145" s="1" t="s">
        <v>704</v>
      </c>
      <c r="G145" s="1">
        <v>1501244</v>
      </c>
      <c r="H145" s="1" t="s">
        <v>247</v>
      </c>
      <c r="I145" s="1" t="s">
        <v>38</v>
      </c>
      <c r="J145" s="1" t="s">
        <v>598</v>
      </c>
    </row>
    <row r="146" spans="1:10" hidden="1">
      <c r="A146" s="1" t="s">
        <v>87</v>
      </c>
      <c r="B146" s="1" t="s">
        <v>597</v>
      </c>
      <c r="C146" s="1" t="s">
        <v>38</v>
      </c>
      <c r="D146" s="1" t="s">
        <v>598</v>
      </c>
      <c r="E146" s="86" t="s">
        <v>437</v>
      </c>
      <c r="F146" s="1" t="s">
        <v>705</v>
      </c>
      <c r="G146" s="1">
        <v>1501242</v>
      </c>
      <c r="H146" s="1" t="s">
        <v>87</v>
      </c>
      <c r="I146" s="1" t="s">
        <v>38</v>
      </c>
      <c r="J146" s="1" t="s">
        <v>598</v>
      </c>
    </row>
    <row r="147" spans="1:10" hidden="1">
      <c r="A147" s="1" t="s">
        <v>91</v>
      </c>
      <c r="B147" s="1" t="s">
        <v>611</v>
      </c>
      <c r="C147" s="1" t="s">
        <v>38</v>
      </c>
      <c r="D147" s="1" t="s">
        <v>598</v>
      </c>
      <c r="E147" s="86" t="s">
        <v>434</v>
      </c>
      <c r="F147" s="1" t="s">
        <v>706</v>
      </c>
      <c r="G147" s="1">
        <v>1501238</v>
      </c>
      <c r="H147" s="1" t="s">
        <v>247</v>
      </c>
      <c r="I147" s="1" t="s">
        <v>38</v>
      </c>
      <c r="J147" s="1" t="s">
        <v>598</v>
      </c>
    </row>
    <row r="148" spans="1:10" hidden="1">
      <c r="A148" s="1" t="s">
        <v>87</v>
      </c>
      <c r="B148" s="1" t="s">
        <v>597</v>
      </c>
      <c r="C148" s="1" t="s">
        <v>38</v>
      </c>
      <c r="D148" s="1" t="s">
        <v>598</v>
      </c>
      <c r="E148" s="86" t="s">
        <v>418</v>
      </c>
      <c r="F148" s="1" t="s">
        <v>566</v>
      </c>
      <c r="G148" s="1">
        <v>1501236</v>
      </c>
      <c r="H148" s="1" t="s">
        <v>87</v>
      </c>
      <c r="I148" s="1" t="s">
        <v>38</v>
      </c>
      <c r="J148" s="1" t="s">
        <v>598</v>
      </c>
    </row>
    <row r="149" spans="1:10" hidden="1">
      <c r="A149" s="1" t="s">
        <v>87</v>
      </c>
      <c r="B149" s="1" t="s">
        <v>597</v>
      </c>
      <c r="C149" s="1" t="s">
        <v>38</v>
      </c>
      <c r="D149" s="1" t="s">
        <v>598</v>
      </c>
      <c r="E149" s="86" t="s">
        <v>285</v>
      </c>
      <c r="F149" s="1" t="s">
        <v>707</v>
      </c>
      <c r="G149" s="1">
        <v>1501232</v>
      </c>
      <c r="H149" s="1" t="s">
        <v>87</v>
      </c>
      <c r="I149" s="1" t="s">
        <v>38</v>
      </c>
      <c r="J149" s="1" t="s">
        <v>598</v>
      </c>
    </row>
    <row r="150" spans="1:10" hidden="1">
      <c r="A150" s="1" t="s">
        <v>87</v>
      </c>
      <c r="B150" s="1" t="s">
        <v>597</v>
      </c>
      <c r="C150" s="1" t="s">
        <v>38</v>
      </c>
      <c r="D150" s="1" t="s">
        <v>598</v>
      </c>
      <c r="E150" s="86" t="s">
        <v>352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598</v>
      </c>
    </row>
    <row r="151" spans="1:10" hidden="1">
      <c r="A151" s="1" t="s">
        <v>87</v>
      </c>
      <c r="B151" s="1" t="s">
        <v>597</v>
      </c>
      <c r="C151" s="1" t="s">
        <v>38</v>
      </c>
      <c r="D151" s="1" t="s">
        <v>598</v>
      </c>
      <c r="E151" s="86" t="s">
        <v>516</v>
      </c>
      <c r="F151" s="1" t="s">
        <v>708</v>
      </c>
      <c r="G151" s="1">
        <v>1501228</v>
      </c>
      <c r="H151" s="1" t="s">
        <v>87</v>
      </c>
      <c r="I151" s="1" t="s">
        <v>38</v>
      </c>
      <c r="J151" s="1" t="s">
        <v>598</v>
      </c>
    </row>
    <row r="152" spans="1:10" hidden="1">
      <c r="A152" s="1" t="s">
        <v>91</v>
      </c>
      <c r="B152" s="1" t="s">
        <v>611</v>
      </c>
      <c r="C152" s="1" t="s">
        <v>38</v>
      </c>
      <c r="D152" s="1" t="s">
        <v>598</v>
      </c>
      <c r="E152" s="86" t="s">
        <v>421</v>
      </c>
      <c r="F152" s="1" t="s">
        <v>565</v>
      </c>
      <c r="G152" s="1">
        <v>1501224</v>
      </c>
      <c r="H152" s="1" t="s">
        <v>247</v>
      </c>
      <c r="I152" s="1" t="s">
        <v>38</v>
      </c>
      <c r="J152" s="1" t="s">
        <v>598</v>
      </c>
    </row>
    <row r="153" spans="1:10" hidden="1">
      <c r="A153" s="1" t="s">
        <v>91</v>
      </c>
      <c r="B153" s="1" t="s">
        <v>611</v>
      </c>
      <c r="C153" s="1" t="s">
        <v>38</v>
      </c>
      <c r="D153" s="1" t="s">
        <v>598</v>
      </c>
      <c r="E153" s="86" t="s">
        <v>429</v>
      </c>
      <c r="F153" s="1" t="s">
        <v>709</v>
      </c>
      <c r="G153" s="1">
        <v>1501222</v>
      </c>
      <c r="H153" s="1" t="s">
        <v>247</v>
      </c>
      <c r="I153" s="1" t="s">
        <v>38</v>
      </c>
      <c r="J153" s="1" t="s">
        <v>598</v>
      </c>
    </row>
    <row r="154" spans="1:10" hidden="1">
      <c r="A154" s="1" t="s">
        <v>91</v>
      </c>
      <c r="B154" s="1" t="s">
        <v>611</v>
      </c>
      <c r="C154" s="1" t="s">
        <v>38</v>
      </c>
      <c r="D154" s="1" t="s">
        <v>598</v>
      </c>
      <c r="E154" s="86" t="s">
        <v>509</v>
      </c>
      <c r="F154" s="1" t="s">
        <v>710</v>
      </c>
      <c r="G154" s="1">
        <v>1501220</v>
      </c>
      <c r="H154" s="1" t="s">
        <v>247</v>
      </c>
      <c r="I154" s="1" t="s">
        <v>38</v>
      </c>
      <c r="J154" s="1" t="s">
        <v>598</v>
      </c>
    </row>
    <row r="155" spans="1:10" hidden="1">
      <c r="A155" s="1" t="s">
        <v>91</v>
      </c>
      <c r="B155" s="1" t="s">
        <v>611</v>
      </c>
      <c r="C155" s="1" t="s">
        <v>38</v>
      </c>
      <c r="D155" s="1" t="s">
        <v>598</v>
      </c>
      <c r="E155" s="86" t="s">
        <v>510</v>
      </c>
      <c r="F155" s="1" t="s">
        <v>711</v>
      </c>
      <c r="G155" s="1">
        <v>1501218</v>
      </c>
      <c r="H155" s="1" t="s">
        <v>247</v>
      </c>
      <c r="I155" s="1" t="s">
        <v>38</v>
      </c>
      <c r="J155" s="1" t="s">
        <v>598</v>
      </c>
    </row>
    <row r="156" spans="1:10" hidden="1">
      <c r="A156" s="1" t="s">
        <v>91</v>
      </c>
      <c r="B156" s="1" t="s">
        <v>611</v>
      </c>
      <c r="C156" s="1" t="s">
        <v>38</v>
      </c>
      <c r="D156" s="1" t="s">
        <v>598</v>
      </c>
      <c r="E156" s="86" t="s">
        <v>511</v>
      </c>
      <c r="F156" s="1" t="s">
        <v>712</v>
      </c>
      <c r="G156" s="1">
        <v>1501216</v>
      </c>
      <c r="H156" s="1" t="s">
        <v>247</v>
      </c>
      <c r="I156" s="1" t="s">
        <v>38</v>
      </c>
      <c r="J156" s="1" t="s">
        <v>598</v>
      </c>
    </row>
    <row r="157" spans="1:10" hidden="1">
      <c r="A157" s="1" t="s">
        <v>91</v>
      </c>
      <c r="B157" s="1" t="s">
        <v>611</v>
      </c>
      <c r="C157" s="1" t="s">
        <v>38</v>
      </c>
      <c r="D157" s="1" t="s">
        <v>598</v>
      </c>
      <c r="E157" s="86" t="s">
        <v>512</v>
      </c>
      <c r="F157" s="1" t="s">
        <v>713</v>
      </c>
      <c r="G157" s="1">
        <v>1501214</v>
      </c>
      <c r="H157" s="1" t="s">
        <v>247</v>
      </c>
      <c r="I157" s="1" t="s">
        <v>38</v>
      </c>
      <c r="J157" s="1" t="s">
        <v>598</v>
      </c>
    </row>
    <row r="158" spans="1:10" hidden="1">
      <c r="A158" s="1" t="s">
        <v>91</v>
      </c>
      <c r="B158" s="1" t="s">
        <v>611</v>
      </c>
      <c r="C158" s="1" t="s">
        <v>38</v>
      </c>
      <c r="D158" s="1" t="s">
        <v>598</v>
      </c>
      <c r="E158" s="86" t="s">
        <v>513</v>
      </c>
      <c r="F158" s="1" t="s">
        <v>714</v>
      </c>
      <c r="G158" s="1">
        <v>1501212</v>
      </c>
      <c r="H158" s="1" t="s">
        <v>247</v>
      </c>
      <c r="I158" s="1" t="s">
        <v>38</v>
      </c>
      <c r="J158" s="1" t="s">
        <v>598</v>
      </c>
    </row>
    <row r="159" spans="1:10" hidden="1">
      <c r="A159" s="1" t="s">
        <v>91</v>
      </c>
      <c r="B159" s="1" t="s">
        <v>611</v>
      </c>
      <c r="C159" s="1" t="s">
        <v>38</v>
      </c>
      <c r="D159" s="1" t="s">
        <v>598</v>
      </c>
      <c r="E159" s="86" t="s">
        <v>514</v>
      </c>
      <c r="F159" s="1" t="s">
        <v>715</v>
      </c>
      <c r="G159" s="1">
        <v>1501210</v>
      </c>
      <c r="H159" s="1" t="s">
        <v>247</v>
      </c>
      <c r="I159" s="1" t="s">
        <v>38</v>
      </c>
      <c r="J159" s="1" t="s">
        <v>598</v>
      </c>
    </row>
    <row r="160" spans="1:10" hidden="1">
      <c r="A160" s="1" t="s">
        <v>91</v>
      </c>
      <c r="B160" s="1" t="s">
        <v>611</v>
      </c>
      <c r="C160" s="1" t="s">
        <v>38</v>
      </c>
      <c r="D160" s="1" t="s">
        <v>598</v>
      </c>
      <c r="E160" s="86" t="s">
        <v>410</v>
      </c>
      <c r="F160" s="1" t="s">
        <v>716</v>
      </c>
      <c r="G160" s="1">
        <v>1501208</v>
      </c>
      <c r="H160" s="1" t="s">
        <v>247</v>
      </c>
      <c r="I160" s="1" t="s">
        <v>38</v>
      </c>
      <c r="J160" s="1" t="s">
        <v>598</v>
      </c>
    </row>
    <row r="161" spans="1:10" hidden="1">
      <c r="A161" s="1" t="s">
        <v>91</v>
      </c>
      <c r="B161" s="1" t="s">
        <v>611</v>
      </c>
      <c r="C161" s="1" t="s">
        <v>38</v>
      </c>
      <c r="D161" s="1" t="s">
        <v>598</v>
      </c>
      <c r="E161" s="86" t="s">
        <v>396</v>
      </c>
      <c r="F161" s="1" t="s">
        <v>91</v>
      </c>
      <c r="G161" s="1">
        <v>1501206</v>
      </c>
      <c r="H161" s="1" t="s">
        <v>247</v>
      </c>
      <c r="I161" s="1" t="s">
        <v>38</v>
      </c>
      <c r="J161" s="1" t="s">
        <v>598</v>
      </c>
    </row>
    <row r="162" spans="1:10" hidden="1">
      <c r="A162" s="1" t="s">
        <v>91</v>
      </c>
      <c r="B162" s="1" t="s">
        <v>611</v>
      </c>
      <c r="C162" s="1" t="s">
        <v>38</v>
      </c>
      <c r="D162" s="1" t="s">
        <v>598</v>
      </c>
      <c r="E162" s="86" t="s">
        <v>334</v>
      </c>
      <c r="F162" s="1" t="s">
        <v>717</v>
      </c>
      <c r="G162" s="1">
        <v>1501204</v>
      </c>
      <c r="H162" s="1" t="s">
        <v>247</v>
      </c>
      <c r="I162" s="1" t="s">
        <v>38</v>
      </c>
      <c r="J162" s="1" t="s">
        <v>598</v>
      </c>
    </row>
    <row r="163" spans="1:10" hidden="1">
      <c r="A163" s="1" t="s">
        <v>89</v>
      </c>
      <c r="B163" s="1" t="s">
        <v>597</v>
      </c>
      <c r="C163" s="1" t="s">
        <v>38</v>
      </c>
      <c r="D163" s="1" t="s">
        <v>598</v>
      </c>
      <c r="E163" s="86" t="s">
        <v>395</v>
      </c>
      <c r="F163" s="1" t="s">
        <v>718</v>
      </c>
      <c r="G163" s="1">
        <v>1501198</v>
      </c>
      <c r="H163" s="1" t="s">
        <v>89</v>
      </c>
      <c r="I163" s="1" t="s">
        <v>38</v>
      </c>
      <c r="J163" s="1" t="s">
        <v>598</v>
      </c>
    </row>
    <row r="164" spans="1:10" hidden="1">
      <c r="A164" s="1" t="s">
        <v>89</v>
      </c>
      <c r="B164" s="1" t="s">
        <v>597</v>
      </c>
      <c r="C164" s="1" t="s">
        <v>38</v>
      </c>
      <c r="D164" s="1" t="s">
        <v>598</v>
      </c>
      <c r="E164" s="86" t="s">
        <v>358</v>
      </c>
      <c r="F164" s="1" t="s">
        <v>719</v>
      </c>
      <c r="G164" s="1">
        <v>1501196</v>
      </c>
      <c r="H164" s="1" t="s">
        <v>89</v>
      </c>
      <c r="I164" s="1" t="s">
        <v>38</v>
      </c>
      <c r="J164" s="1" t="s">
        <v>598</v>
      </c>
    </row>
    <row r="165" spans="1:10" hidden="1">
      <c r="A165" s="1" t="s">
        <v>89</v>
      </c>
      <c r="B165" s="1" t="s">
        <v>597</v>
      </c>
      <c r="C165" s="1" t="s">
        <v>38</v>
      </c>
      <c r="D165" s="1" t="s">
        <v>598</v>
      </c>
      <c r="E165" s="86" t="s">
        <v>265</v>
      </c>
      <c r="F165" s="1" t="s">
        <v>720</v>
      </c>
      <c r="G165" s="1">
        <v>1501194</v>
      </c>
      <c r="H165" s="1" t="s">
        <v>89</v>
      </c>
      <c r="I165" s="1" t="s">
        <v>38</v>
      </c>
      <c r="J165" s="1" t="s">
        <v>598</v>
      </c>
    </row>
    <row r="166" spans="1:10" hidden="1">
      <c r="A166" s="1" t="s">
        <v>89</v>
      </c>
      <c r="B166" s="1" t="s">
        <v>597</v>
      </c>
      <c r="C166" s="1" t="s">
        <v>38</v>
      </c>
      <c r="D166" s="1" t="s">
        <v>598</v>
      </c>
      <c r="E166" s="86" t="s">
        <v>397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598</v>
      </c>
    </row>
    <row r="167" spans="1:10" hidden="1">
      <c r="A167" s="1" t="s">
        <v>125</v>
      </c>
      <c r="B167" s="1" t="s">
        <v>597</v>
      </c>
      <c r="C167" s="1" t="s">
        <v>55</v>
      </c>
      <c r="D167" s="1" t="s">
        <v>598</v>
      </c>
      <c r="E167" s="86" t="s">
        <v>347</v>
      </c>
      <c r="F167" s="1" t="s">
        <v>721</v>
      </c>
      <c r="G167" s="1">
        <v>1501188</v>
      </c>
      <c r="H167" s="1" t="s">
        <v>122</v>
      </c>
      <c r="I167" s="1" t="s">
        <v>55</v>
      </c>
      <c r="J167" s="1" t="s">
        <v>598</v>
      </c>
    </row>
    <row r="168" spans="1:10" hidden="1">
      <c r="A168" s="1" t="s">
        <v>125</v>
      </c>
      <c r="B168" s="1" t="s">
        <v>597</v>
      </c>
      <c r="C168" s="1" t="s">
        <v>55</v>
      </c>
      <c r="D168" s="1" t="s">
        <v>598</v>
      </c>
      <c r="E168" s="86" t="s">
        <v>403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598</v>
      </c>
    </row>
    <row r="169" spans="1:10" hidden="1">
      <c r="A169" s="1" t="s">
        <v>125</v>
      </c>
      <c r="B169" s="1" t="s">
        <v>597</v>
      </c>
      <c r="C169" s="1" t="s">
        <v>55</v>
      </c>
      <c r="D169" s="1" t="s">
        <v>598</v>
      </c>
      <c r="E169" s="86" t="s">
        <v>323</v>
      </c>
      <c r="F169" s="1" t="s">
        <v>722</v>
      </c>
      <c r="G169" s="1">
        <v>1501184</v>
      </c>
      <c r="H169" s="1" t="s">
        <v>122</v>
      </c>
      <c r="I169" s="1" t="s">
        <v>55</v>
      </c>
      <c r="J169" s="1" t="s">
        <v>598</v>
      </c>
    </row>
    <row r="170" spans="1:10" hidden="1">
      <c r="A170" s="1" t="s">
        <v>125</v>
      </c>
      <c r="B170" s="1" t="s">
        <v>597</v>
      </c>
      <c r="C170" s="1" t="s">
        <v>55</v>
      </c>
      <c r="D170" s="1" t="s">
        <v>598</v>
      </c>
      <c r="E170" s="86" t="s">
        <v>405</v>
      </c>
      <c r="F170" s="1" t="s">
        <v>723</v>
      </c>
      <c r="G170" s="1">
        <v>1501182</v>
      </c>
      <c r="H170" s="1" t="s">
        <v>122</v>
      </c>
      <c r="I170" s="1" t="s">
        <v>55</v>
      </c>
      <c r="J170" s="1" t="s">
        <v>598</v>
      </c>
    </row>
    <row r="171" spans="1:10" hidden="1">
      <c r="A171" s="1" t="s">
        <v>97</v>
      </c>
      <c r="B171" s="1" t="s">
        <v>597</v>
      </c>
      <c r="C171" s="1" t="s">
        <v>38</v>
      </c>
      <c r="D171" s="1" t="s">
        <v>598</v>
      </c>
      <c r="E171" s="86" t="s">
        <v>508</v>
      </c>
      <c r="F171" s="1" t="s">
        <v>724</v>
      </c>
      <c r="G171" s="1">
        <v>1501178</v>
      </c>
      <c r="H171" s="1" t="s">
        <v>89</v>
      </c>
      <c r="I171" s="1" t="s">
        <v>38</v>
      </c>
      <c r="J171" s="1" t="s">
        <v>598</v>
      </c>
    </row>
    <row r="172" spans="1:10" hidden="1">
      <c r="A172" s="1" t="s">
        <v>97</v>
      </c>
      <c r="B172" s="1" t="s">
        <v>597</v>
      </c>
      <c r="C172" s="1" t="s">
        <v>38</v>
      </c>
      <c r="D172" s="1" t="s">
        <v>598</v>
      </c>
      <c r="E172" s="86" t="s">
        <v>388</v>
      </c>
      <c r="F172" s="1" t="s">
        <v>725</v>
      </c>
      <c r="G172" s="1">
        <v>1501176</v>
      </c>
      <c r="H172" s="1" t="s">
        <v>89</v>
      </c>
      <c r="I172" s="1" t="s">
        <v>38</v>
      </c>
      <c r="J172" s="1" t="s">
        <v>598</v>
      </c>
    </row>
    <row r="173" spans="1:10" hidden="1">
      <c r="A173" s="1" t="s">
        <v>97</v>
      </c>
      <c r="B173" s="1" t="s">
        <v>597</v>
      </c>
      <c r="C173" s="1" t="s">
        <v>38</v>
      </c>
      <c r="D173" s="1" t="s">
        <v>598</v>
      </c>
      <c r="E173" s="86" t="s">
        <v>340</v>
      </c>
      <c r="F173" s="1" t="s">
        <v>726</v>
      </c>
      <c r="G173" s="1">
        <v>1501174</v>
      </c>
      <c r="H173" s="1" t="s">
        <v>89</v>
      </c>
      <c r="I173" s="1" t="s">
        <v>38</v>
      </c>
      <c r="J173" s="1" t="s">
        <v>598</v>
      </c>
    </row>
    <row r="174" spans="1:10" hidden="1">
      <c r="A174" s="1" t="s">
        <v>97</v>
      </c>
      <c r="B174" s="1" t="s">
        <v>597</v>
      </c>
      <c r="C174" s="1" t="s">
        <v>38</v>
      </c>
      <c r="D174" s="1" t="s">
        <v>598</v>
      </c>
      <c r="E174" s="86" t="s">
        <v>461</v>
      </c>
      <c r="F174" s="1" t="s">
        <v>727</v>
      </c>
      <c r="G174" s="1">
        <v>1501172</v>
      </c>
      <c r="H174" s="1" t="s">
        <v>89</v>
      </c>
      <c r="I174" s="1" t="s">
        <v>38</v>
      </c>
      <c r="J174" s="1" t="s">
        <v>598</v>
      </c>
    </row>
    <row r="175" spans="1:10" hidden="1">
      <c r="A175" s="1" t="s">
        <v>97</v>
      </c>
      <c r="B175" s="1" t="s">
        <v>597</v>
      </c>
      <c r="C175" s="1" t="s">
        <v>38</v>
      </c>
      <c r="D175" s="1" t="s">
        <v>598</v>
      </c>
      <c r="E175" s="86" t="s">
        <v>297</v>
      </c>
      <c r="F175" s="1" t="s">
        <v>728</v>
      </c>
      <c r="G175" s="1">
        <v>1501170</v>
      </c>
      <c r="H175" s="1" t="s">
        <v>89</v>
      </c>
      <c r="I175" s="1" t="s">
        <v>38</v>
      </c>
      <c r="J175" s="1" t="s">
        <v>598</v>
      </c>
    </row>
    <row r="176" spans="1:10" hidden="1">
      <c r="A176" s="1" t="s">
        <v>97</v>
      </c>
      <c r="B176" s="1" t="s">
        <v>597</v>
      </c>
      <c r="C176" s="1" t="s">
        <v>38</v>
      </c>
      <c r="D176" s="1" t="s">
        <v>598</v>
      </c>
      <c r="E176" s="86" t="s">
        <v>251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598</v>
      </c>
    </row>
    <row r="177" spans="1:10" hidden="1">
      <c r="A177" s="1" t="s">
        <v>122</v>
      </c>
      <c r="B177" s="1" t="s">
        <v>611</v>
      </c>
      <c r="C177" s="1" t="s">
        <v>55</v>
      </c>
      <c r="D177" s="1" t="s">
        <v>598</v>
      </c>
      <c r="E177" s="86" t="s">
        <v>472</v>
      </c>
      <c r="F177" s="1" t="s">
        <v>729</v>
      </c>
      <c r="G177" s="1">
        <v>1501164</v>
      </c>
      <c r="H177" s="1" t="s">
        <v>122</v>
      </c>
      <c r="I177" s="1" t="s">
        <v>55</v>
      </c>
      <c r="J177" s="1" t="s">
        <v>598</v>
      </c>
    </row>
    <row r="178" spans="1:10" hidden="1">
      <c r="A178" s="1" t="s">
        <v>122</v>
      </c>
      <c r="B178" s="1" t="s">
        <v>611</v>
      </c>
      <c r="C178" s="1" t="s">
        <v>55</v>
      </c>
      <c r="D178" s="1" t="s">
        <v>598</v>
      </c>
      <c r="E178" s="86" t="s">
        <v>290</v>
      </c>
      <c r="F178" s="1" t="s">
        <v>730</v>
      </c>
      <c r="G178" s="1">
        <v>1501162</v>
      </c>
      <c r="H178" s="1" t="s">
        <v>122</v>
      </c>
      <c r="I178" s="1" t="s">
        <v>55</v>
      </c>
      <c r="J178" s="1" t="s">
        <v>598</v>
      </c>
    </row>
    <row r="179" spans="1:10" hidden="1">
      <c r="A179" s="1" t="s">
        <v>122</v>
      </c>
      <c r="B179" s="1" t="s">
        <v>611</v>
      </c>
      <c r="C179" s="1" t="s">
        <v>55</v>
      </c>
      <c r="D179" s="1" t="s">
        <v>598</v>
      </c>
      <c r="E179" s="86" t="s">
        <v>319</v>
      </c>
      <c r="F179" s="1" t="s">
        <v>731</v>
      </c>
      <c r="G179" s="1">
        <v>1501160</v>
      </c>
      <c r="H179" s="1" t="s">
        <v>122</v>
      </c>
      <c r="I179" s="1" t="s">
        <v>55</v>
      </c>
      <c r="J179" s="1" t="s">
        <v>598</v>
      </c>
    </row>
    <row r="180" spans="1:10" hidden="1">
      <c r="A180" s="1" t="s">
        <v>122</v>
      </c>
      <c r="B180" s="1" t="s">
        <v>611</v>
      </c>
      <c r="C180" s="1" t="s">
        <v>55</v>
      </c>
      <c r="D180" s="1" t="s">
        <v>598</v>
      </c>
      <c r="E180" s="86" t="s">
        <v>451</v>
      </c>
      <c r="F180" s="1" t="s">
        <v>732</v>
      </c>
      <c r="G180" s="1">
        <v>1501158</v>
      </c>
      <c r="H180" s="1" t="s">
        <v>122</v>
      </c>
      <c r="I180" s="1" t="s">
        <v>55</v>
      </c>
      <c r="J180" s="1" t="s">
        <v>598</v>
      </c>
    </row>
    <row r="181" spans="1:10" hidden="1">
      <c r="A181" s="1" t="s">
        <v>122</v>
      </c>
      <c r="B181" s="1" t="s">
        <v>611</v>
      </c>
      <c r="C181" s="1" t="s">
        <v>55</v>
      </c>
      <c r="D181" s="1" t="s">
        <v>598</v>
      </c>
      <c r="E181" s="86" t="s">
        <v>345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598</v>
      </c>
    </row>
    <row r="182" spans="1:10" hidden="1">
      <c r="A182" s="1" t="s">
        <v>122</v>
      </c>
      <c r="B182" s="1" t="s">
        <v>611</v>
      </c>
      <c r="C182" s="1" t="s">
        <v>55</v>
      </c>
      <c r="D182" s="1" t="s">
        <v>598</v>
      </c>
      <c r="E182" s="86" t="s">
        <v>338</v>
      </c>
      <c r="F182" s="1" t="s">
        <v>733</v>
      </c>
      <c r="G182" s="1">
        <v>1501154</v>
      </c>
      <c r="H182" s="1" t="s">
        <v>122</v>
      </c>
      <c r="I182" s="1" t="s">
        <v>55</v>
      </c>
      <c r="J182" s="1" t="s">
        <v>598</v>
      </c>
    </row>
    <row r="183" spans="1:10" hidden="1">
      <c r="A183" s="1" t="s">
        <v>122</v>
      </c>
      <c r="B183" s="1" t="s">
        <v>611</v>
      </c>
      <c r="C183" s="1" t="s">
        <v>55</v>
      </c>
      <c r="D183" s="1" t="s">
        <v>598</v>
      </c>
      <c r="E183" s="86" t="s">
        <v>346</v>
      </c>
      <c r="F183" s="1" t="s">
        <v>734</v>
      </c>
      <c r="G183" s="1">
        <v>1501152</v>
      </c>
      <c r="H183" s="1" t="s">
        <v>122</v>
      </c>
      <c r="I183" s="1" t="s">
        <v>55</v>
      </c>
      <c r="J183" s="1" t="s">
        <v>598</v>
      </c>
    </row>
    <row r="184" spans="1:10">
      <c r="A184" s="1" t="s">
        <v>103</v>
      </c>
      <c r="B184" s="1" t="s">
        <v>611</v>
      </c>
      <c r="C184" s="1" t="s">
        <v>42</v>
      </c>
      <c r="D184" s="1" t="s">
        <v>598</v>
      </c>
      <c r="E184" s="86" t="s">
        <v>399</v>
      </c>
      <c r="F184" s="1" t="s">
        <v>735</v>
      </c>
      <c r="G184" s="1">
        <v>1501146</v>
      </c>
      <c r="H184" s="1" t="s">
        <v>105</v>
      </c>
      <c r="I184" s="1" t="s">
        <v>42</v>
      </c>
      <c r="J184" s="1" t="s">
        <v>598</v>
      </c>
    </row>
    <row r="185" spans="1:10">
      <c r="A185" s="1" t="s">
        <v>103</v>
      </c>
      <c r="B185" s="1" t="s">
        <v>611</v>
      </c>
      <c r="C185" s="1" t="s">
        <v>42</v>
      </c>
      <c r="D185" s="1" t="s">
        <v>598</v>
      </c>
      <c r="E185" s="86" t="s">
        <v>293</v>
      </c>
      <c r="F185" s="1" t="s">
        <v>736</v>
      </c>
      <c r="G185" s="1">
        <v>1501144</v>
      </c>
      <c r="H185" s="1" t="s">
        <v>105</v>
      </c>
      <c r="I185" s="1" t="s">
        <v>42</v>
      </c>
      <c r="J185" s="1" t="s">
        <v>598</v>
      </c>
    </row>
    <row r="186" spans="1:10">
      <c r="A186" s="1" t="s">
        <v>103</v>
      </c>
      <c r="B186" s="1" t="s">
        <v>611</v>
      </c>
      <c r="C186" s="1" t="s">
        <v>42</v>
      </c>
      <c r="D186" s="1" t="s">
        <v>598</v>
      </c>
      <c r="E186" s="86" t="s">
        <v>361</v>
      </c>
      <c r="F186" s="1" t="s">
        <v>737</v>
      </c>
      <c r="G186" s="1">
        <v>1501142</v>
      </c>
      <c r="H186" s="1" t="s">
        <v>105</v>
      </c>
      <c r="I186" s="1" t="s">
        <v>42</v>
      </c>
      <c r="J186" s="1" t="s">
        <v>598</v>
      </c>
    </row>
    <row r="187" spans="1:10">
      <c r="A187" s="1" t="s">
        <v>103</v>
      </c>
      <c r="B187" s="1" t="s">
        <v>611</v>
      </c>
      <c r="C187" s="1" t="s">
        <v>42</v>
      </c>
      <c r="D187" s="1" t="s">
        <v>598</v>
      </c>
      <c r="E187" s="86" t="s">
        <v>389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598</v>
      </c>
    </row>
    <row r="188" spans="1:10">
      <c r="A188" s="1" t="s">
        <v>106</v>
      </c>
      <c r="B188" s="1" t="s">
        <v>611</v>
      </c>
      <c r="C188" s="1" t="s">
        <v>42</v>
      </c>
      <c r="D188" s="1" t="s">
        <v>598</v>
      </c>
      <c r="E188" s="86" t="s">
        <v>439</v>
      </c>
      <c r="F188" s="1" t="s">
        <v>738</v>
      </c>
      <c r="G188" s="1">
        <v>1501136</v>
      </c>
      <c r="H188" s="1" t="s">
        <v>106</v>
      </c>
      <c r="I188" s="1" t="s">
        <v>42</v>
      </c>
      <c r="J188" s="1" t="s">
        <v>598</v>
      </c>
    </row>
    <row r="189" spans="1:10">
      <c r="A189" s="1" t="s">
        <v>106</v>
      </c>
      <c r="B189" s="1" t="s">
        <v>611</v>
      </c>
      <c r="C189" s="1" t="s">
        <v>42</v>
      </c>
      <c r="D189" s="1" t="s">
        <v>598</v>
      </c>
      <c r="E189" s="86" t="s">
        <v>289</v>
      </c>
      <c r="F189" s="1" t="s">
        <v>739</v>
      </c>
      <c r="G189" s="1">
        <v>1501134</v>
      </c>
      <c r="H189" s="1" t="s">
        <v>106</v>
      </c>
      <c r="I189" s="1" t="s">
        <v>42</v>
      </c>
      <c r="J189" s="1" t="s">
        <v>598</v>
      </c>
    </row>
    <row r="190" spans="1:10">
      <c r="A190" s="1" t="s">
        <v>106</v>
      </c>
      <c r="B190" s="1" t="s">
        <v>611</v>
      </c>
      <c r="C190" s="1" t="s">
        <v>42</v>
      </c>
      <c r="D190" s="1" t="s">
        <v>598</v>
      </c>
      <c r="E190" s="86" t="s">
        <v>444</v>
      </c>
      <c r="F190" s="1" t="s">
        <v>740</v>
      </c>
      <c r="G190" s="1">
        <v>1501132</v>
      </c>
      <c r="H190" s="1" t="s">
        <v>106</v>
      </c>
      <c r="I190" s="1" t="s">
        <v>42</v>
      </c>
      <c r="J190" s="1" t="s">
        <v>598</v>
      </c>
    </row>
    <row r="191" spans="1:10">
      <c r="A191" s="1" t="s">
        <v>106</v>
      </c>
      <c r="B191" s="1" t="s">
        <v>611</v>
      </c>
      <c r="C191" s="1" t="s">
        <v>42</v>
      </c>
      <c r="D191" s="1" t="s">
        <v>598</v>
      </c>
      <c r="E191" s="86" t="s">
        <v>412</v>
      </c>
      <c r="F191" s="1" t="s">
        <v>741</v>
      </c>
      <c r="G191" s="1">
        <v>1501130</v>
      </c>
      <c r="H191" s="1" t="s">
        <v>106</v>
      </c>
      <c r="I191" s="1" t="s">
        <v>42</v>
      </c>
      <c r="J191" s="1" t="s">
        <v>598</v>
      </c>
    </row>
    <row r="192" spans="1:10">
      <c r="A192" s="1" t="s">
        <v>106</v>
      </c>
      <c r="B192" s="1" t="s">
        <v>611</v>
      </c>
      <c r="C192" s="1" t="s">
        <v>42</v>
      </c>
      <c r="D192" s="1" t="s">
        <v>598</v>
      </c>
      <c r="E192" s="86" t="s">
        <v>317</v>
      </c>
      <c r="F192" s="1" t="s">
        <v>742</v>
      </c>
      <c r="G192" s="1">
        <v>1501128</v>
      </c>
      <c r="H192" s="1" t="s">
        <v>106</v>
      </c>
      <c r="I192" s="1" t="s">
        <v>42</v>
      </c>
      <c r="J192" s="1" t="s">
        <v>598</v>
      </c>
    </row>
    <row r="193" spans="1:10">
      <c r="A193" s="1" t="s">
        <v>101</v>
      </c>
      <c r="B193" s="1" t="s">
        <v>743</v>
      </c>
      <c r="C193" s="1" t="s">
        <v>42</v>
      </c>
      <c r="D193" s="1" t="s">
        <v>598</v>
      </c>
      <c r="E193" s="86" t="s">
        <v>233</v>
      </c>
      <c r="F193" s="1" t="s">
        <v>744</v>
      </c>
      <c r="G193" s="1">
        <v>1501124</v>
      </c>
      <c r="H193" s="1" t="s">
        <v>232</v>
      </c>
      <c r="I193" s="1" t="s">
        <v>42</v>
      </c>
      <c r="J193" s="1" t="s">
        <v>598</v>
      </c>
    </row>
    <row r="194" spans="1:10">
      <c r="A194" s="1" t="s">
        <v>101</v>
      </c>
      <c r="B194" s="1" t="s">
        <v>743</v>
      </c>
      <c r="C194" s="1" t="s">
        <v>42</v>
      </c>
      <c r="D194" s="1" t="s">
        <v>598</v>
      </c>
      <c r="E194" s="86" t="s">
        <v>299</v>
      </c>
      <c r="F194" s="1" t="s">
        <v>562</v>
      </c>
      <c r="G194" s="1">
        <v>1501122</v>
      </c>
      <c r="H194" s="1" t="s">
        <v>232</v>
      </c>
      <c r="I194" s="1" t="s">
        <v>42</v>
      </c>
      <c r="J194" s="1" t="s">
        <v>598</v>
      </c>
    </row>
    <row r="195" spans="1:10">
      <c r="A195" s="1" t="s">
        <v>101</v>
      </c>
      <c r="B195" s="1" t="s">
        <v>743</v>
      </c>
      <c r="C195" s="1" t="s">
        <v>42</v>
      </c>
      <c r="D195" s="1" t="s">
        <v>598</v>
      </c>
      <c r="E195" s="86" t="s">
        <v>258</v>
      </c>
      <c r="F195" s="1" t="s">
        <v>232</v>
      </c>
      <c r="G195" s="1">
        <v>1501120</v>
      </c>
      <c r="H195" s="1" t="s">
        <v>232</v>
      </c>
      <c r="I195" s="1" t="s">
        <v>42</v>
      </c>
      <c r="J195" s="1" t="s">
        <v>598</v>
      </c>
    </row>
    <row r="196" spans="1:10">
      <c r="A196" s="1" t="s">
        <v>101</v>
      </c>
      <c r="B196" s="1" t="s">
        <v>743</v>
      </c>
      <c r="C196" s="1" t="s">
        <v>42</v>
      </c>
      <c r="D196" s="1" t="s">
        <v>598</v>
      </c>
      <c r="E196" s="86" t="s">
        <v>499</v>
      </c>
      <c r="F196" s="1" t="s">
        <v>745</v>
      </c>
      <c r="G196" s="1">
        <v>1501118</v>
      </c>
      <c r="H196" s="1" t="s">
        <v>232</v>
      </c>
      <c r="I196" s="1" t="s">
        <v>42</v>
      </c>
      <c r="J196" s="1" t="s">
        <v>598</v>
      </c>
    </row>
    <row r="197" spans="1:10">
      <c r="A197" s="1" t="s">
        <v>101</v>
      </c>
      <c r="B197" s="1" t="s">
        <v>743</v>
      </c>
      <c r="C197" s="1" t="s">
        <v>42</v>
      </c>
      <c r="D197" s="1" t="s">
        <v>598</v>
      </c>
      <c r="E197" s="86" t="s">
        <v>425</v>
      </c>
      <c r="F197" s="1" t="s">
        <v>560</v>
      </c>
      <c r="G197" s="1">
        <v>1501116</v>
      </c>
      <c r="H197" s="1" t="s">
        <v>232</v>
      </c>
      <c r="I197" s="1" t="s">
        <v>42</v>
      </c>
      <c r="J197" s="1" t="s">
        <v>598</v>
      </c>
    </row>
    <row r="198" spans="1:10">
      <c r="A198" s="1" t="s">
        <v>101</v>
      </c>
      <c r="B198" s="1" t="s">
        <v>743</v>
      </c>
      <c r="C198" s="1" t="s">
        <v>42</v>
      </c>
      <c r="D198" s="1" t="s">
        <v>598</v>
      </c>
      <c r="E198" s="86" t="s">
        <v>378</v>
      </c>
      <c r="F198" s="1" t="s">
        <v>582</v>
      </c>
      <c r="G198" s="1">
        <v>1501114</v>
      </c>
      <c r="H198" s="1" t="s">
        <v>232</v>
      </c>
      <c r="I198" s="1" t="s">
        <v>42</v>
      </c>
      <c r="J198" s="1" t="s">
        <v>598</v>
      </c>
    </row>
    <row r="199" spans="1:10">
      <c r="A199" s="1" t="s">
        <v>105</v>
      </c>
      <c r="B199" s="1" t="s">
        <v>611</v>
      </c>
      <c r="C199" s="1" t="s">
        <v>42</v>
      </c>
      <c r="D199" s="1" t="s">
        <v>598</v>
      </c>
      <c r="E199" s="86" t="s">
        <v>296</v>
      </c>
      <c r="F199" s="1" t="s">
        <v>746</v>
      </c>
      <c r="G199" s="1">
        <v>1501110</v>
      </c>
      <c r="H199" s="1" t="s">
        <v>105</v>
      </c>
      <c r="I199" s="1" t="s">
        <v>42</v>
      </c>
      <c r="J199" s="1" t="s">
        <v>598</v>
      </c>
    </row>
    <row r="200" spans="1:10">
      <c r="A200" s="1" t="s">
        <v>105</v>
      </c>
      <c r="B200" s="1" t="s">
        <v>611</v>
      </c>
      <c r="C200" s="1" t="s">
        <v>42</v>
      </c>
      <c r="D200" s="1" t="s">
        <v>598</v>
      </c>
      <c r="E200" s="86" t="s">
        <v>369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598</v>
      </c>
    </row>
    <row r="201" spans="1:10">
      <c r="A201" s="1" t="s">
        <v>105</v>
      </c>
      <c r="B201" s="1" t="s">
        <v>611</v>
      </c>
      <c r="C201" s="1" t="s">
        <v>42</v>
      </c>
      <c r="D201" s="1" t="s">
        <v>598</v>
      </c>
      <c r="E201" s="86" t="s">
        <v>432</v>
      </c>
      <c r="F201" s="1" t="s">
        <v>747</v>
      </c>
      <c r="G201" s="1">
        <v>1501106</v>
      </c>
      <c r="H201" s="1" t="s">
        <v>105</v>
      </c>
      <c r="I201" s="1" t="s">
        <v>42</v>
      </c>
      <c r="J201" s="1" t="s">
        <v>598</v>
      </c>
    </row>
    <row r="202" spans="1:10">
      <c r="A202" s="1" t="s">
        <v>105</v>
      </c>
      <c r="B202" s="1" t="s">
        <v>611</v>
      </c>
      <c r="C202" s="1" t="s">
        <v>42</v>
      </c>
      <c r="D202" s="1" t="s">
        <v>598</v>
      </c>
      <c r="E202" s="86" t="s">
        <v>368</v>
      </c>
      <c r="F202" s="1" t="s">
        <v>748</v>
      </c>
      <c r="G202" s="1">
        <v>1501104</v>
      </c>
      <c r="H202" s="1" t="s">
        <v>105</v>
      </c>
      <c r="I202" s="1" t="s">
        <v>42</v>
      </c>
      <c r="J202" s="1" t="s">
        <v>598</v>
      </c>
    </row>
    <row r="203" spans="1:10">
      <c r="A203" s="1" t="s">
        <v>105</v>
      </c>
      <c r="B203" s="1" t="s">
        <v>611</v>
      </c>
      <c r="C203" s="1" t="s">
        <v>42</v>
      </c>
      <c r="D203" s="1" t="s">
        <v>598</v>
      </c>
      <c r="E203" s="86" t="s">
        <v>292</v>
      </c>
      <c r="F203" s="1" t="s">
        <v>749</v>
      </c>
      <c r="G203" s="1">
        <v>1501102</v>
      </c>
      <c r="H203" s="1" t="s">
        <v>105</v>
      </c>
      <c r="I203" s="1" t="s">
        <v>42</v>
      </c>
      <c r="J203" s="1" t="s">
        <v>598</v>
      </c>
    </row>
    <row r="204" spans="1:10">
      <c r="A204" s="1" t="s">
        <v>105</v>
      </c>
      <c r="B204" s="1" t="s">
        <v>611</v>
      </c>
      <c r="C204" s="1" t="s">
        <v>42</v>
      </c>
      <c r="D204" s="1" t="s">
        <v>598</v>
      </c>
      <c r="E204" s="86" t="s">
        <v>264</v>
      </c>
      <c r="F204" s="1" t="s">
        <v>750</v>
      </c>
      <c r="G204" s="1">
        <v>1501100</v>
      </c>
      <c r="H204" s="1" t="s">
        <v>105</v>
      </c>
      <c r="I204" s="1" t="s">
        <v>42</v>
      </c>
      <c r="J204" s="1" t="s">
        <v>598</v>
      </c>
    </row>
    <row r="205" spans="1:10" hidden="1">
      <c r="A205" s="1" t="s">
        <v>118</v>
      </c>
      <c r="B205" s="1" t="s">
        <v>611</v>
      </c>
      <c r="C205" s="1" t="s">
        <v>45</v>
      </c>
      <c r="D205" s="1" t="s">
        <v>598</v>
      </c>
      <c r="E205" s="86" t="s">
        <v>211</v>
      </c>
      <c r="F205" s="1" t="s">
        <v>751</v>
      </c>
      <c r="G205" s="1">
        <v>1500654</v>
      </c>
      <c r="H205" s="1" t="s">
        <v>118</v>
      </c>
      <c r="I205" s="1" t="s">
        <v>45</v>
      </c>
      <c r="J205" s="1" t="s">
        <v>598</v>
      </c>
    </row>
    <row r="206" spans="1:10" hidden="1">
      <c r="A206" s="1" t="s">
        <v>118</v>
      </c>
      <c r="B206" s="1" t="s">
        <v>611</v>
      </c>
      <c r="C206" s="1" t="s">
        <v>45</v>
      </c>
      <c r="D206" s="1" t="s">
        <v>598</v>
      </c>
      <c r="E206" s="86" t="s">
        <v>276</v>
      </c>
      <c r="F206" s="1" t="s">
        <v>752</v>
      </c>
      <c r="G206" s="1">
        <v>1500652</v>
      </c>
      <c r="H206" s="1" t="s">
        <v>118</v>
      </c>
      <c r="I206" s="1" t="s">
        <v>45</v>
      </c>
      <c r="J206" s="1" t="s">
        <v>598</v>
      </c>
    </row>
    <row r="207" spans="1:10" hidden="1">
      <c r="A207" s="1" t="s">
        <v>118</v>
      </c>
      <c r="B207" s="1" t="s">
        <v>611</v>
      </c>
      <c r="C207" s="1" t="s">
        <v>45</v>
      </c>
      <c r="D207" s="1" t="s">
        <v>598</v>
      </c>
      <c r="E207" s="86" t="s">
        <v>476</v>
      </c>
      <c r="F207" s="1" t="s">
        <v>753</v>
      </c>
      <c r="G207" s="1">
        <v>1500650</v>
      </c>
      <c r="H207" s="1" t="s">
        <v>118</v>
      </c>
      <c r="I207" s="1" t="s">
        <v>45</v>
      </c>
      <c r="J207" s="1" t="s">
        <v>598</v>
      </c>
    </row>
    <row r="208" spans="1:10" hidden="1">
      <c r="A208" s="1" t="s">
        <v>116</v>
      </c>
      <c r="B208" s="1" t="s">
        <v>597</v>
      </c>
      <c r="C208" s="1" t="s">
        <v>45</v>
      </c>
      <c r="D208" s="1" t="s">
        <v>598</v>
      </c>
      <c r="E208" s="86" t="s">
        <v>267</v>
      </c>
      <c r="F208" s="1" t="s">
        <v>754</v>
      </c>
      <c r="G208" s="1">
        <v>1500646</v>
      </c>
      <c r="H208" s="1" t="s">
        <v>755</v>
      </c>
      <c r="I208" s="1" t="s">
        <v>45</v>
      </c>
      <c r="J208" s="1" t="s">
        <v>598</v>
      </c>
    </row>
    <row r="209" spans="1:10" hidden="1">
      <c r="A209" s="1" t="s">
        <v>112</v>
      </c>
      <c r="B209" s="1" t="s">
        <v>743</v>
      </c>
      <c r="C209" s="1" t="s">
        <v>45</v>
      </c>
      <c r="D209" s="1" t="s">
        <v>598</v>
      </c>
      <c r="E209" s="86" t="s">
        <v>242</v>
      </c>
      <c r="F209" s="1" t="s">
        <v>756</v>
      </c>
      <c r="G209" s="1">
        <v>1500644</v>
      </c>
      <c r="H209" s="1" t="s">
        <v>210</v>
      </c>
      <c r="I209" s="1" t="s">
        <v>45</v>
      </c>
      <c r="J209" s="1" t="s">
        <v>598</v>
      </c>
    </row>
    <row r="210" spans="1:10" hidden="1">
      <c r="A210" s="1" t="s">
        <v>112</v>
      </c>
      <c r="B210" s="1" t="s">
        <v>743</v>
      </c>
      <c r="C210" s="1" t="s">
        <v>45</v>
      </c>
      <c r="D210" s="1" t="s">
        <v>598</v>
      </c>
      <c r="E210" s="86" t="s">
        <v>262</v>
      </c>
      <c r="F210" s="1" t="s">
        <v>757</v>
      </c>
      <c r="G210" s="1">
        <v>1500642</v>
      </c>
      <c r="H210" s="1" t="s">
        <v>210</v>
      </c>
      <c r="I210" s="1" t="s">
        <v>45</v>
      </c>
      <c r="J210" s="1" t="s">
        <v>598</v>
      </c>
    </row>
    <row r="211" spans="1:10" hidden="1">
      <c r="A211" s="1" t="s">
        <v>115</v>
      </c>
      <c r="B211" s="1" t="s">
        <v>611</v>
      </c>
      <c r="C211" s="1" t="s">
        <v>45</v>
      </c>
      <c r="D211" s="1" t="s">
        <v>598</v>
      </c>
      <c r="E211" s="86" t="s">
        <v>393</v>
      </c>
      <c r="F211" s="1" t="s">
        <v>758</v>
      </c>
      <c r="G211" s="1">
        <v>1500640</v>
      </c>
      <c r="H211" s="1" t="s">
        <v>755</v>
      </c>
      <c r="I211" s="1" t="s">
        <v>45</v>
      </c>
      <c r="J211" s="1" t="s">
        <v>598</v>
      </c>
    </row>
    <row r="212" spans="1:10" hidden="1">
      <c r="A212" s="1" t="s">
        <v>115</v>
      </c>
      <c r="B212" s="1" t="s">
        <v>611</v>
      </c>
      <c r="C212" s="1" t="s">
        <v>45</v>
      </c>
      <c r="D212" s="1" t="s">
        <v>598</v>
      </c>
      <c r="E212" s="86" t="s">
        <v>272</v>
      </c>
      <c r="F212" s="1" t="s">
        <v>759</v>
      </c>
      <c r="G212" s="1">
        <v>1500638</v>
      </c>
      <c r="H212" s="1" t="s">
        <v>755</v>
      </c>
      <c r="I212" s="1" t="s">
        <v>45</v>
      </c>
      <c r="J212" s="1" t="s">
        <v>598</v>
      </c>
    </row>
    <row r="213" spans="1:10" hidden="1">
      <c r="A213" s="1" t="s">
        <v>118</v>
      </c>
      <c r="B213" s="1" t="s">
        <v>611</v>
      </c>
      <c r="C213" s="1" t="s">
        <v>45</v>
      </c>
      <c r="D213" s="1" t="s">
        <v>598</v>
      </c>
      <c r="E213" s="86" t="s">
        <v>452</v>
      </c>
      <c r="F213" s="1" t="s">
        <v>760</v>
      </c>
      <c r="G213" s="1">
        <v>1500636</v>
      </c>
      <c r="H213" s="1" t="s">
        <v>118</v>
      </c>
      <c r="I213" s="1" t="s">
        <v>45</v>
      </c>
      <c r="J213" s="1" t="s">
        <v>598</v>
      </c>
    </row>
    <row r="214" spans="1:10" hidden="1">
      <c r="A214" s="1" t="s">
        <v>116</v>
      </c>
      <c r="B214" s="1" t="s">
        <v>597</v>
      </c>
      <c r="C214" s="1" t="s">
        <v>45</v>
      </c>
      <c r="D214" s="1" t="s">
        <v>598</v>
      </c>
      <c r="E214" s="86" t="s">
        <v>349</v>
      </c>
      <c r="F214" s="1" t="s">
        <v>761</v>
      </c>
      <c r="G214" s="1">
        <v>1500634</v>
      </c>
      <c r="H214" s="1" t="s">
        <v>755</v>
      </c>
      <c r="I214" s="1" t="s">
        <v>45</v>
      </c>
      <c r="J214" s="1" t="s">
        <v>598</v>
      </c>
    </row>
    <row r="215" spans="1:10" hidden="1">
      <c r="A215" s="1" t="s">
        <v>116</v>
      </c>
      <c r="B215" s="1" t="s">
        <v>597</v>
      </c>
      <c r="C215" s="1" t="s">
        <v>45</v>
      </c>
      <c r="D215" s="1" t="s">
        <v>598</v>
      </c>
      <c r="E215" s="86" t="s">
        <v>356</v>
      </c>
      <c r="F215" s="1" t="s">
        <v>755</v>
      </c>
      <c r="G215" s="1">
        <v>1500632</v>
      </c>
      <c r="H215" s="1" t="s">
        <v>755</v>
      </c>
      <c r="I215" s="1" t="s">
        <v>45</v>
      </c>
      <c r="J215" s="1" t="s">
        <v>598</v>
      </c>
    </row>
    <row r="216" spans="1:10" hidden="1">
      <c r="A216" s="1" t="s">
        <v>110</v>
      </c>
      <c r="B216" s="1" t="s">
        <v>597</v>
      </c>
      <c r="C216" s="1" t="s">
        <v>45</v>
      </c>
      <c r="D216" s="1" t="s">
        <v>598</v>
      </c>
      <c r="E216" s="86" t="s">
        <v>311</v>
      </c>
      <c r="F216" s="1" t="s">
        <v>557</v>
      </c>
      <c r="G216" s="1">
        <v>1500628</v>
      </c>
      <c r="H216" s="1" t="s">
        <v>110</v>
      </c>
      <c r="I216" s="1" t="s">
        <v>45</v>
      </c>
      <c r="J216" s="1" t="s">
        <v>598</v>
      </c>
    </row>
    <row r="217" spans="1:10" hidden="1">
      <c r="A217" s="1" t="s">
        <v>110</v>
      </c>
      <c r="B217" s="1" t="s">
        <v>597</v>
      </c>
      <c r="C217" s="1" t="s">
        <v>45</v>
      </c>
      <c r="D217" s="1" t="s">
        <v>598</v>
      </c>
      <c r="E217" s="86" t="s">
        <v>443</v>
      </c>
      <c r="F217" s="1" t="s">
        <v>762</v>
      </c>
      <c r="G217" s="1">
        <v>1500626</v>
      </c>
      <c r="H217" s="1" t="s">
        <v>110</v>
      </c>
      <c r="I217" s="1" t="s">
        <v>45</v>
      </c>
      <c r="J217" s="1" t="s">
        <v>598</v>
      </c>
    </row>
    <row r="218" spans="1:10" hidden="1">
      <c r="A218" s="1" t="s">
        <v>110</v>
      </c>
      <c r="B218" s="1" t="s">
        <v>597</v>
      </c>
      <c r="C218" s="1" t="s">
        <v>45</v>
      </c>
      <c r="D218" s="1" t="s">
        <v>598</v>
      </c>
      <c r="E218" s="86" t="s">
        <v>527</v>
      </c>
      <c r="F218" s="1" t="s">
        <v>763</v>
      </c>
      <c r="G218" s="1">
        <v>1500624</v>
      </c>
      <c r="H218" s="1" t="s">
        <v>110</v>
      </c>
      <c r="I218" s="1" t="s">
        <v>45</v>
      </c>
      <c r="J218" s="1" t="s">
        <v>598</v>
      </c>
    </row>
    <row r="219" spans="1:10" hidden="1">
      <c r="A219" s="1" t="s">
        <v>118</v>
      </c>
      <c r="B219" s="1" t="s">
        <v>611</v>
      </c>
      <c r="C219" s="1" t="s">
        <v>45</v>
      </c>
      <c r="D219" s="1" t="s">
        <v>598</v>
      </c>
      <c r="E219" s="86" t="s">
        <v>365</v>
      </c>
      <c r="F219" s="1" t="s">
        <v>764</v>
      </c>
      <c r="G219" s="1">
        <v>1500622</v>
      </c>
      <c r="H219" s="1" t="s">
        <v>118</v>
      </c>
      <c r="I219" s="1" t="s">
        <v>45</v>
      </c>
      <c r="J219" s="1" t="s">
        <v>598</v>
      </c>
    </row>
    <row r="220" spans="1:10" hidden="1">
      <c r="A220" s="1" t="s">
        <v>110</v>
      </c>
      <c r="B220" s="1" t="s">
        <v>597</v>
      </c>
      <c r="C220" s="1" t="s">
        <v>45</v>
      </c>
      <c r="D220" s="1" t="s">
        <v>598</v>
      </c>
      <c r="E220" s="86" t="s">
        <v>246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598</v>
      </c>
    </row>
    <row r="221" spans="1:10" hidden="1">
      <c r="A221" s="1" t="s">
        <v>110</v>
      </c>
      <c r="B221" s="1" t="s">
        <v>597</v>
      </c>
      <c r="C221" s="1" t="s">
        <v>45</v>
      </c>
      <c r="D221" s="1" t="s">
        <v>598</v>
      </c>
      <c r="E221" s="86" t="s">
        <v>237</v>
      </c>
      <c r="F221" s="1" t="s">
        <v>765</v>
      </c>
      <c r="G221" s="1">
        <v>1500618</v>
      </c>
      <c r="H221" s="1" t="s">
        <v>110</v>
      </c>
      <c r="I221" s="1" t="s">
        <v>45</v>
      </c>
      <c r="J221" s="1" t="s">
        <v>598</v>
      </c>
    </row>
    <row r="222" spans="1:10" hidden="1">
      <c r="A222" s="1" t="s">
        <v>110</v>
      </c>
      <c r="B222" s="1" t="s">
        <v>597</v>
      </c>
      <c r="C222" s="1" t="s">
        <v>45</v>
      </c>
      <c r="D222" s="1" t="s">
        <v>598</v>
      </c>
      <c r="E222" s="86" t="s">
        <v>467</v>
      </c>
      <c r="F222" s="1" t="s">
        <v>766</v>
      </c>
      <c r="G222" s="1">
        <v>1500616</v>
      </c>
      <c r="H222" s="1" t="s">
        <v>110</v>
      </c>
      <c r="I222" s="1" t="s">
        <v>45</v>
      </c>
      <c r="J222" s="1" t="s">
        <v>598</v>
      </c>
    </row>
    <row r="223" spans="1:10" hidden="1">
      <c r="A223" s="1" t="s">
        <v>117</v>
      </c>
      <c r="B223" s="1" t="s">
        <v>597</v>
      </c>
      <c r="C223" s="1" t="s">
        <v>45</v>
      </c>
      <c r="D223" s="1" t="s">
        <v>598</v>
      </c>
      <c r="E223" s="86" t="s">
        <v>409</v>
      </c>
      <c r="F223" s="1" t="s">
        <v>767</v>
      </c>
      <c r="G223" s="1">
        <v>1500522</v>
      </c>
      <c r="H223" s="1" t="s">
        <v>117</v>
      </c>
      <c r="I223" s="1" t="s">
        <v>45</v>
      </c>
      <c r="J223" s="1" t="s">
        <v>598</v>
      </c>
    </row>
    <row r="224" spans="1:10" hidden="1">
      <c r="A224" s="1" t="s">
        <v>111</v>
      </c>
      <c r="B224" s="1" t="s">
        <v>597</v>
      </c>
      <c r="C224" s="1" t="s">
        <v>45</v>
      </c>
      <c r="D224" s="1" t="s">
        <v>598</v>
      </c>
      <c r="E224" s="86" t="s">
        <v>526</v>
      </c>
      <c r="F224" s="1" t="s">
        <v>768</v>
      </c>
      <c r="G224" s="1">
        <v>1500520</v>
      </c>
      <c r="H224" s="1" t="s">
        <v>111</v>
      </c>
      <c r="I224" s="1" t="s">
        <v>45</v>
      </c>
      <c r="J224" s="1" t="s">
        <v>598</v>
      </c>
    </row>
    <row r="225" spans="1:10" hidden="1">
      <c r="A225" s="1" t="s">
        <v>117</v>
      </c>
      <c r="B225" s="1" t="s">
        <v>597</v>
      </c>
      <c r="C225" s="1" t="s">
        <v>45</v>
      </c>
      <c r="D225" s="1" t="s">
        <v>598</v>
      </c>
      <c r="E225" s="86" t="s">
        <v>273</v>
      </c>
      <c r="F225" s="1" t="s">
        <v>769</v>
      </c>
      <c r="G225" s="1">
        <v>1500518</v>
      </c>
      <c r="H225" s="1" t="s">
        <v>117</v>
      </c>
      <c r="I225" s="1" t="s">
        <v>45</v>
      </c>
      <c r="J225" s="1" t="s">
        <v>598</v>
      </c>
    </row>
    <row r="226" spans="1:10" hidden="1">
      <c r="A226" s="1" t="s">
        <v>117</v>
      </c>
      <c r="B226" s="1" t="s">
        <v>597</v>
      </c>
      <c r="C226" s="1" t="s">
        <v>45</v>
      </c>
      <c r="D226" s="1" t="s">
        <v>598</v>
      </c>
      <c r="E226" s="86" t="s">
        <v>454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598</v>
      </c>
    </row>
    <row r="227" spans="1:10" hidden="1">
      <c r="A227" s="1" t="s">
        <v>111</v>
      </c>
      <c r="B227" s="1" t="s">
        <v>597</v>
      </c>
      <c r="C227" s="1" t="s">
        <v>45</v>
      </c>
      <c r="D227" s="1" t="s">
        <v>598</v>
      </c>
      <c r="E227" s="86" t="s">
        <v>254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598</v>
      </c>
    </row>
    <row r="228" spans="1:10" hidden="1">
      <c r="A228" s="1" t="s">
        <v>109</v>
      </c>
      <c r="B228" s="1" t="s">
        <v>611</v>
      </c>
      <c r="C228" s="1" t="s">
        <v>45</v>
      </c>
      <c r="D228" s="1" t="s">
        <v>598</v>
      </c>
      <c r="E228" s="86" t="s">
        <v>376</v>
      </c>
      <c r="F228" s="1" t="s">
        <v>770</v>
      </c>
      <c r="G228" s="1">
        <v>1500504</v>
      </c>
      <c r="H228" s="1" t="s">
        <v>109</v>
      </c>
      <c r="I228" s="1" t="s">
        <v>45</v>
      </c>
      <c r="J228" s="1" t="s">
        <v>598</v>
      </c>
    </row>
    <row r="229" spans="1:10" hidden="1">
      <c r="A229" s="1" t="s">
        <v>119</v>
      </c>
      <c r="B229" s="1" t="s">
        <v>597</v>
      </c>
      <c r="C229" s="1" t="s">
        <v>45</v>
      </c>
      <c r="D229" s="1" t="s">
        <v>598</v>
      </c>
      <c r="E229" s="86" t="s">
        <v>367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598</v>
      </c>
    </row>
    <row r="230" spans="1:10" hidden="1">
      <c r="A230" s="1" t="s">
        <v>113</v>
      </c>
      <c r="B230" s="1" t="s">
        <v>611</v>
      </c>
      <c r="C230" s="1" t="s">
        <v>45</v>
      </c>
      <c r="D230" s="1" t="s">
        <v>598</v>
      </c>
      <c r="E230" s="86" t="s">
        <v>474</v>
      </c>
      <c r="F230" s="1" t="s">
        <v>771</v>
      </c>
      <c r="G230" s="1">
        <v>1500498</v>
      </c>
      <c r="H230" s="1" t="s">
        <v>113</v>
      </c>
      <c r="I230" s="1" t="s">
        <v>45</v>
      </c>
      <c r="J230" s="1" t="s">
        <v>598</v>
      </c>
    </row>
    <row r="231" spans="1:10" hidden="1">
      <c r="A231" s="1" t="s">
        <v>113</v>
      </c>
      <c r="B231" s="1" t="s">
        <v>611</v>
      </c>
      <c r="C231" s="1" t="s">
        <v>45</v>
      </c>
      <c r="D231" s="1" t="s">
        <v>598</v>
      </c>
      <c r="E231" s="86" t="s">
        <v>315</v>
      </c>
      <c r="F231" s="1" t="s">
        <v>772</v>
      </c>
      <c r="G231" s="1">
        <v>1500494</v>
      </c>
      <c r="H231" s="1" t="s">
        <v>113</v>
      </c>
      <c r="I231" s="1" t="s">
        <v>45</v>
      </c>
      <c r="J231" s="1" t="s">
        <v>598</v>
      </c>
    </row>
    <row r="232" spans="1:10" hidden="1">
      <c r="A232" s="1" t="s">
        <v>120</v>
      </c>
      <c r="B232" s="1" t="s">
        <v>597</v>
      </c>
      <c r="C232" s="1" t="s">
        <v>45</v>
      </c>
      <c r="D232" s="1" t="s">
        <v>598</v>
      </c>
      <c r="E232" s="86" t="s">
        <v>465</v>
      </c>
      <c r="F232" s="1" t="s">
        <v>773</v>
      </c>
      <c r="G232" s="1">
        <v>1500492</v>
      </c>
      <c r="H232" s="1" t="s">
        <v>120</v>
      </c>
      <c r="I232" s="1" t="s">
        <v>45</v>
      </c>
      <c r="J232" s="1" t="s">
        <v>598</v>
      </c>
    </row>
    <row r="233" spans="1:10" hidden="1">
      <c r="A233" s="1" t="s">
        <v>109</v>
      </c>
      <c r="B233" s="1" t="s">
        <v>611</v>
      </c>
      <c r="C233" s="1" t="s">
        <v>45</v>
      </c>
      <c r="D233" s="1" t="s">
        <v>598</v>
      </c>
      <c r="E233" s="86" t="s">
        <v>359</v>
      </c>
      <c r="F233" s="1" t="s">
        <v>774</v>
      </c>
      <c r="G233" s="1">
        <v>1500490</v>
      </c>
      <c r="H233" s="1" t="s">
        <v>109</v>
      </c>
      <c r="I233" s="1" t="s">
        <v>45</v>
      </c>
      <c r="J233" s="1" t="s">
        <v>598</v>
      </c>
    </row>
    <row r="234" spans="1:10" hidden="1">
      <c r="A234" s="1" t="s">
        <v>120</v>
      </c>
      <c r="B234" s="1" t="s">
        <v>597</v>
      </c>
      <c r="C234" s="1" t="s">
        <v>45</v>
      </c>
      <c r="D234" s="1" t="s">
        <v>598</v>
      </c>
      <c r="E234" s="86" t="s">
        <v>310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598</v>
      </c>
    </row>
    <row r="235" spans="1:10" hidden="1">
      <c r="A235" s="1" t="s">
        <v>109</v>
      </c>
      <c r="B235" s="1" t="s">
        <v>611</v>
      </c>
      <c r="C235" s="1" t="s">
        <v>45</v>
      </c>
      <c r="D235" s="1" t="s">
        <v>598</v>
      </c>
      <c r="E235" s="86" t="s">
        <v>318</v>
      </c>
      <c r="F235" s="1" t="s">
        <v>318</v>
      </c>
      <c r="G235" s="1">
        <v>1500486</v>
      </c>
      <c r="H235" s="1" t="s">
        <v>109</v>
      </c>
      <c r="I235" s="1" t="s">
        <v>45</v>
      </c>
      <c r="J235" s="1" t="s">
        <v>598</v>
      </c>
    </row>
    <row r="236" spans="1:10" hidden="1">
      <c r="A236" s="1" t="s">
        <v>109</v>
      </c>
      <c r="B236" s="1" t="s">
        <v>611</v>
      </c>
      <c r="C236" s="1" t="s">
        <v>45</v>
      </c>
      <c r="D236" s="1" t="s">
        <v>598</v>
      </c>
      <c r="E236" s="86" t="s">
        <v>300</v>
      </c>
      <c r="F236" s="1" t="s">
        <v>775</v>
      </c>
      <c r="G236" s="1">
        <v>1500484</v>
      </c>
      <c r="H236" s="1" t="s">
        <v>109</v>
      </c>
      <c r="I236" s="1" t="s">
        <v>45</v>
      </c>
      <c r="J236" s="1" t="s">
        <v>598</v>
      </c>
    </row>
    <row r="237" spans="1:10" hidden="1">
      <c r="A237" s="1" t="s">
        <v>113</v>
      </c>
      <c r="B237" s="1" t="s">
        <v>611</v>
      </c>
      <c r="C237" s="1" t="s">
        <v>45</v>
      </c>
      <c r="D237" s="1" t="s">
        <v>598</v>
      </c>
      <c r="E237" s="86" t="s">
        <v>406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598</v>
      </c>
    </row>
    <row r="238" spans="1:10" hidden="1">
      <c r="A238" s="1" t="s">
        <v>109</v>
      </c>
      <c r="B238" s="1" t="s">
        <v>611</v>
      </c>
      <c r="C238" s="1" t="s">
        <v>45</v>
      </c>
      <c r="D238" s="1" t="s">
        <v>598</v>
      </c>
      <c r="E238" s="86" t="s">
        <v>411</v>
      </c>
      <c r="F238" s="1" t="s">
        <v>776</v>
      </c>
      <c r="G238" s="1">
        <v>1500480</v>
      </c>
      <c r="H238" s="1" t="s">
        <v>109</v>
      </c>
      <c r="I238" s="1" t="s">
        <v>45</v>
      </c>
      <c r="J238" s="1" t="s">
        <v>598</v>
      </c>
    </row>
    <row r="239" spans="1:10" hidden="1">
      <c r="A239" s="1" t="s">
        <v>84</v>
      </c>
      <c r="B239" s="1" t="s">
        <v>611</v>
      </c>
      <c r="C239" s="1" t="s">
        <v>34</v>
      </c>
      <c r="D239" s="1" t="s">
        <v>598</v>
      </c>
      <c r="E239" s="86" t="s">
        <v>524</v>
      </c>
      <c r="F239" s="1" t="s">
        <v>777</v>
      </c>
      <c r="G239" s="1">
        <v>1500450</v>
      </c>
      <c r="H239" s="1" t="s">
        <v>84</v>
      </c>
      <c r="I239" s="1" t="s">
        <v>34</v>
      </c>
      <c r="J239" s="1" t="s">
        <v>598</v>
      </c>
    </row>
    <row r="240" spans="1:10" hidden="1">
      <c r="A240" s="1" t="s">
        <v>84</v>
      </c>
      <c r="B240" s="1" t="s">
        <v>611</v>
      </c>
      <c r="C240" s="1" t="s">
        <v>34</v>
      </c>
      <c r="D240" s="1" t="s">
        <v>598</v>
      </c>
      <c r="E240" s="86" t="s">
        <v>240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598</v>
      </c>
    </row>
    <row r="241" spans="1:10" hidden="1">
      <c r="A241" s="1" t="s">
        <v>85</v>
      </c>
      <c r="B241" s="1" t="s">
        <v>597</v>
      </c>
      <c r="C241" s="1" t="s">
        <v>34</v>
      </c>
      <c r="D241" s="1" t="s">
        <v>598</v>
      </c>
      <c r="E241" s="86" t="s">
        <v>278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598</v>
      </c>
    </row>
    <row r="242" spans="1:10" hidden="1">
      <c r="A242" s="1" t="s">
        <v>85</v>
      </c>
      <c r="B242" s="1" t="s">
        <v>597</v>
      </c>
      <c r="C242" s="1" t="s">
        <v>34</v>
      </c>
      <c r="D242" s="1" t="s">
        <v>598</v>
      </c>
      <c r="E242" s="86" t="s">
        <v>355</v>
      </c>
      <c r="F242" s="1" t="s">
        <v>778</v>
      </c>
      <c r="G242" s="1">
        <v>1500442</v>
      </c>
      <c r="H242" s="1" t="s">
        <v>85</v>
      </c>
      <c r="I242" s="1" t="s">
        <v>34</v>
      </c>
      <c r="J242" s="1" t="s">
        <v>598</v>
      </c>
    </row>
    <row r="243" spans="1:10" hidden="1">
      <c r="A243" s="1" t="s">
        <v>85</v>
      </c>
      <c r="B243" s="1" t="s">
        <v>597</v>
      </c>
      <c r="C243" s="1" t="s">
        <v>34</v>
      </c>
      <c r="D243" s="1" t="s">
        <v>598</v>
      </c>
      <c r="E243" s="86" t="s">
        <v>458</v>
      </c>
      <c r="F243" s="1" t="s">
        <v>779</v>
      </c>
      <c r="G243" s="1">
        <v>1500440</v>
      </c>
      <c r="H243" s="1" t="s">
        <v>85</v>
      </c>
      <c r="I243" s="1" t="s">
        <v>34</v>
      </c>
      <c r="J243" s="1" t="s">
        <v>598</v>
      </c>
    </row>
    <row r="244" spans="1:10" hidden="1">
      <c r="A244" s="1" t="s">
        <v>79</v>
      </c>
      <c r="B244" s="1" t="s">
        <v>611</v>
      </c>
      <c r="C244" s="1" t="s">
        <v>34</v>
      </c>
      <c r="D244" s="1" t="s">
        <v>598</v>
      </c>
      <c r="E244" s="86" t="s">
        <v>459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598</v>
      </c>
    </row>
    <row r="245" spans="1:10" hidden="1">
      <c r="A245" s="1" t="s">
        <v>84</v>
      </c>
      <c r="B245" s="1" t="s">
        <v>611</v>
      </c>
      <c r="C245" s="1" t="s">
        <v>34</v>
      </c>
      <c r="D245" s="1" t="s">
        <v>598</v>
      </c>
      <c r="E245" s="86" t="s">
        <v>250</v>
      </c>
      <c r="F245" s="1" t="s">
        <v>780</v>
      </c>
      <c r="G245" s="1">
        <v>1500434</v>
      </c>
      <c r="H245" s="1" t="s">
        <v>84</v>
      </c>
      <c r="I245" s="1" t="s">
        <v>34</v>
      </c>
      <c r="J245" s="1" t="s">
        <v>598</v>
      </c>
    </row>
    <row r="246" spans="1:10" hidden="1">
      <c r="A246" s="1" t="s">
        <v>80</v>
      </c>
      <c r="B246" s="1" t="s">
        <v>597</v>
      </c>
      <c r="C246" s="1" t="s">
        <v>34</v>
      </c>
      <c r="D246" s="1" t="s">
        <v>598</v>
      </c>
      <c r="E246" s="86" t="s">
        <v>371</v>
      </c>
      <c r="F246" s="1" t="s">
        <v>781</v>
      </c>
      <c r="G246" s="1">
        <v>1500432</v>
      </c>
      <c r="H246" s="1" t="s">
        <v>85</v>
      </c>
      <c r="I246" s="1" t="s">
        <v>34</v>
      </c>
      <c r="J246" s="1" t="s">
        <v>598</v>
      </c>
    </row>
    <row r="247" spans="1:10" hidden="1">
      <c r="A247" s="1" t="s">
        <v>82</v>
      </c>
      <c r="B247" s="1" t="s">
        <v>597</v>
      </c>
      <c r="C247" s="1" t="s">
        <v>34</v>
      </c>
      <c r="D247" s="1" t="s">
        <v>598</v>
      </c>
      <c r="E247" s="86" t="s">
        <v>522</v>
      </c>
      <c r="F247" s="1" t="s">
        <v>782</v>
      </c>
      <c r="G247" s="1">
        <v>1500430</v>
      </c>
      <c r="H247" s="1" t="s">
        <v>82</v>
      </c>
      <c r="I247" s="1" t="s">
        <v>34</v>
      </c>
      <c r="J247" s="1" t="s">
        <v>598</v>
      </c>
    </row>
    <row r="248" spans="1:10" hidden="1">
      <c r="A248" s="1" t="s">
        <v>79</v>
      </c>
      <c r="B248" s="1" t="s">
        <v>611</v>
      </c>
      <c r="C248" s="1" t="s">
        <v>34</v>
      </c>
      <c r="D248" s="1" t="s">
        <v>598</v>
      </c>
      <c r="E248" s="86" t="s">
        <v>281</v>
      </c>
      <c r="F248" s="1" t="s">
        <v>585</v>
      </c>
      <c r="G248" s="1">
        <v>1500428</v>
      </c>
      <c r="H248" s="1" t="s">
        <v>79</v>
      </c>
      <c r="I248" s="1" t="s">
        <v>34</v>
      </c>
      <c r="J248" s="1" t="s">
        <v>598</v>
      </c>
    </row>
    <row r="249" spans="1:10" hidden="1">
      <c r="A249" s="1" t="s">
        <v>80</v>
      </c>
      <c r="B249" s="1" t="s">
        <v>597</v>
      </c>
      <c r="C249" s="1" t="s">
        <v>34</v>
      </c>
      <c r="D249" s="1" t="s">
        <v>598</v>
      </c>
      <c r="E249" s="86" t="s">
        <v>330</v>
      </c>
      <c r="F249" s="1" t="s">
        <v>783</v>
      </c>
      <c r="G249" s="1">
        <v>1500426</v>
      </c>
      <c r="H249" s="1" t="s">
        <v>85</v>
      </c>
      <c r="I249" s="1" t="s">
        <v>34</v>
      </c>
      <c r="J249" s="1" t="s">
        <v>598</v>
      </c>
    </row>
    <row r="250" spans="1:10" hidden="1">
      <c r="A250" s="1" t="s">
        <v>84</v>
      </c>
      <c r="B250" s="1" t="s">
        <v>611</v>
      </c>
      <c r="C250" s="1" t="s">
        <v>34</v>
      </c>
      <c r="D250" s="1" t="s">
        <v>598</v>
      </c>
      <c r="E250" s="86" t="s">
        <v>320</v>
      </c>
      <c r="F250" s="1" t="s">
        <v>784</v>
      </c>
      <c r="G250" s="1">
        <v>1500424</v>
      </c>
      <c r="H250" s="1" t="s">
        <v>84</v>
      </c>
      <c r="I250" s="1" t="s">
        <v>34</v>
      </c>
      <c r="J250" s="1" t="s">
        <v>598</v>
      </c>
    </row>
    <row r="251" spans="1:10" hidden="1">
      <c r="A251" s="1" t="s">
        <v>84</v>
      </c>
      <c r="B251" s="1" t="s">
        <v>611</v>
      </c>
      <c r="C251" s="1" t="s">
        <v>34</v>
      </c>
      <c r="D251" s="1" t="s">
        <v>598</v>
      </c>
      <c r="E251" s="86" t="s">
        <v>408</v>
      </c>
      <c r="F251" s="1" t="s">
        <v>785</v>
      </c>
      <c r="G251" s="1">
        <v>1500422</v>
      </c>
      <c r="H251" s="1" t="s">
        <v>84</v>
      </c>
      <c r="I251" s="1" t="s">
        <v>34</v>
      </c>
      <c r="J251" s="1" t="s">
        <v>598</v>
      </c>
    </row>
    <row r="252" spans="1:10" hidden="1">
      <c r="A252" s="1" t="s">
        <v>82</v>
      </c>
      <c r="B252" s="1" t="s">
        <v>597</v>
      </c>
      <c r="C252" s="1" t="s">
        <v>34</v>
      </c>
      <c r="D252" s="1" t="s">
        <v>598</v>
      </c>
      <c r="E252" s="86" t="s">
        <v>398</v>
      </c>
      <c r="F252" s="1" t="s">
        <v>786</v>
      </c>
      <c r="G252" s="1">
        <v>1500420</v>
      </c>
      <c r="H252" s="1" t="s">
        <v>82</v>
      </c>
      <c r="I252" s="1" t="s">
        <v>34</v>
      </c>
      <c r="J252" s="1" t="s">
        <v>598</v>
      </c>
    </row>
    <row r="253" spans="1:10" hidden="1">
      <c r="A253" s="1" t="s">
        <v>79</v>
      </c>
      <c r="B253" s="1" t="s">
        <v>611</v>
      </c>
      <c r="C253" s="1" t="s">
        <v>34</v>
      </c>
      <c r="D253" s="1" t="s">
        <v>598</v>
      </c>
      <c r="E253" s="86" t="s">
        <v>523</v>
      </c>
      <c r="F253" s="1" t="s">
        <v>787</v>
      </c>
      <c r="G253" s="1">
        <v>1500418</v>
      </c>
      <c r="H253" s="1" t="s">
        <v>79</v>
      </c>
      <c r="I253" s="1" t="s">
        <v>34</v>
      </c>
      <c r="J253" s="1" t="s">
        <v>598</v>
      </c>
    </row>
    <row r="254" spans="1:10" hidden="1">
      <c r="A254" s="1" t="s">
        <v>82</v>
      </c>
      <c r="B254" s="1" t="s">
        <v>597</v>
      </c>
      <c r="C254" s="1" t="s">
        <v>34</v>
      </c>
      <c r="D254" s="1" t="s">
        <v>598</v>
      </c>
      <c r="E254" s="86" t="s">
        <v>263</v>
      </c>
      <c r="F254" s="1" t="s">
        <v>547</v>
      </c>
      <c r="G254" s="1">
        <v>1500416</v>
      </c>
      <c r="H254" s="1" t="s">
        <v>82</v>
      </c>
      <c r="I254" s="1" t="s">
        <v>34</v>
      </c>
      <c r="J254" s="1" t="s">
        <v>598</v>
      </c>
    </row>
    <row r="255" spans="1:10" hidden="1">
      <c r="A255" s="1" t="s">
        <v>81</v>
      </c>
      <c r="B255" s="1" t="s">
        <v>611</v>
      </c>
      <c r="C255" s="1" t="s">
        <v>34</v>
      </c>
      <c r="D255" s="1" t="s">
        <v>598</v>
      </c>
      <c r="E255" s="86" t="s">
        <v>394</v>
      </c>
      <c r="F255" s="1" t="s">
        <v>788</v>
      </c>
      <c r="G255" s="1">
        <v>3450003</v>
      </c>
      <c r="H255" s="1" t="s">
        <v>81</v>
      </c>
      <c r="I255" s="1" t="s">
        <v>34</v>
      </c>
      <c r="J255" s="1" t="s">
        <v>598</v>
      </c>
    </row>
    <row r="256" spans="1:10" hidden="1">
      <c r="A256" s="1" t="s">
        <v>83</v>
      </c>
      <c r="B256" s="1" t="s">
        <v>611</v>
      </c>
      <c r="C256" s="1" t="s">
        <v>34</v>
      </c>
      <c r="D256" s="1" t="s">
        <v>598</v>
      </c>
      <c r="E256" s="86" t="s">
        <v>231</v>
      </c>
      <c r="F256" s="1" t="s">
        <v>789</v>
      </c>
      <c r="G256" s="1">
        <v>1500474</v>
      </c>
      <c r="H256" s="1" t="s">
        <v>83</v>
      </c>
      <c r="I256" s="1" t="s">
        <v>34</v>
      </c>
      <c r="J256" s="1" t="s">
        <v>598</v>
      </c>
    </row>
    <row r="257" spans="1:10" hidden="1">
      <c r="A257" s="1" t="s">
        <v>83</v>
      </c>
      <c r="B257" s="1" t="s">
        <v>611</v>
      </c>
      <c r="C257" s="1" t="s">
        <v>34</v>
      </c>
      <c r="D257" s="1" t="s">
        <v>598</v>
      </c>
      <c r="E257" s="86" t="s">
        <v>377</v>
      </c>
      <c r="F257" s="1" t="s">
        <v>790</v>
      </c>
      <c r="G257" s="1">
        <v>1500472</v>
      </c>
      <c r="H257" s="1" t="s">
        <v>83</v>
      </c>
      <c r="I257" s="1" t="s">
        <v>34</v>
      </c>
      <c r="J257" s="1" t="s">
        <v>598</v>
      </c>
    </row>
    <row r="258" spans="1:10" hidden="1">
      <c r="A258" s="1" t="s">
        <v>86</v>
      </c>
      <c r="B258" s="1" t="s">
        <v>611</v>
      </c>
      <c r="C258" s="1" t="s">
        <v>34</v>
      </c>
      <c r="D258" s="1" t="s">
        <v>598</v>
      </c>
      <c r="E258" s="86" t="s">
        <v>298</v>
      </c>
      <c r="F258" s="1" t="s">
        <v>575</v>
      </c>
      <c r="G258" s="1">
        <v>1500470</v>
      </c>
      <c r="H258" s="1" t="s">
        <v>86</v>
      </c>
      <c r="I258" s="1" t="s">
        <v>34</v>
      </c>
      <c r="J258" s="1" t="s">
        <v>598</v>
      </c>
    </row>
    <row r="259" spans="1:10" hidden="1">
      <c r="A259" s="1" t="s">
        <v>83</v>
      </c>
      <c r="B259" s="1" t="s">
        <v>611</v>
      </c>
      <c r="C259" s="1" t="s">
        <v>34</v>
      </c>
      <c r="D259" s="1" t="s">
        <v>598</v>
      </c>
      <c r="E259" s="86" t="s">
        <v>390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598</v>
      </c>
    </row>
    <row r="260" spans="1:10" hidden="1">
      <c r="A260" s="1" t="s">
        <v>86</v>
      </c>
      <c r="B260" s="1" t="s">
        <v>611</v>
      </c>
      <c r="C260" s="1" t="s">
        <v>34</v>
      </c>
      <c r="D260" s="1" t="s">
        <v>598</v>
      </c>
      <c r="E260" s="86" t="s">
        <v>414</v>
      </c>
      <c r="F260" s="1" t="s">
        <v>791</v>
      </c>
      <c r="G260" s="1">
        <v>1500456</v>
      </c>
      <c r="H260" s="1" t="s">
        <v>86</v>
      </c>
      <c r="I260" s="1" t="s">
        <v>34</v>
      </c>
      <c r="J260" s="1" t="s">
        <v>598</v>
      </c>
    </row>
    <row r="261" spans="1:10" hidden="1">
      <c r="A261" s="1" t="s">
        <v>81</v>
      </c>
      <c r="B261" s="1" t="s">
        <v>611</v>
      </c>
      <c r="C261" s="1" t="s">
        <v>34</v>
      </c>
      <c r="D261" s="1" t="s">
        <v>598</v>
      </c>
      <c r="E261" s="86" t="s">
        <v>348</v>
      </c>
      <c r="F261" s="1" t="s">
        <v>792</v>
      </c>
      <c r="G261" s="1">
        <v>1500464</v>
      </c>
      <c r="H261" s="1" t="s">
        <v>81</v>
      </c>
      <c r="I261" s="1" t="s">
        <v>34</v>
      </c>
      <c r="J261" s="1" t="s">
        <v>598</v>
      </c>
    </row>
    <row r="262" spans="1:10" hidden="1">
      <c r="A262" s="1" t="s">
        <v>83</v>
      </c>
      <c r="B262" s="1" t="s">
        <v>611</v>
      </c>
      <c r="C262" s="1" t="s">
        <v>34</v>
      </c>
      <c r="D262" s="1" t="s">
        <v>598</v>
      </c>
      <c r="E262" s="86" t="s">
        <v>316</v>
      </c>
      <c r="F262" s="1" t="s">
        <v>793</v>
      </c>
      <c r="G262" s="1">
        <v>1500462</v>
      </c>
      <c r="H262" s="1" t="s">
        <v>83</v>
      </c>
      <c r="I262" s="1" t="s">
        <v>34</v>
      </c>
      <c r="J262" s="1" t="s">
        <v>598</v>
      </c>
    </row>
    <row r="263" spans="1:10" hidden="1">
      <c r="A263" s="1" t="s">
        <v>81</v>
      </c>
      <c r="B263" s="1" t="s">
        <v>611</v>
      </c>
      <c r="C263" s="1" t="s">
        <v>34</v>
      </c>
      <c r="D263" s="1" t="s">
        <v>598</v>
      </c>
      <c r="E263" s="86" t="s">
        <v>415</v>
      </c>
      <c r="F263" s="1" t="s">
        <v>579</v>
      </c>
      <c r="G263" s="1">
        <v>1500460</v>
      </c>
      <c r="H263" s="1" t="s">
        <v>81</v>
      </c>
      <c r="I263" s="1" t="s">
        <v>34</v>
      </c>
      <c r="J263" s="1" t="s">
        <v>598</v>
      </c>
    </row>
    <row r="264" spans="1:10" hidden="1">
      <c r="A264" s="1" t="s">
        <v>86</v>
      </c>
      <c r="B264" s="1" t="s">
        <v>611</v>
      </c>
      <c r="C264" s="1" t="s">
        <v>34</v>
      </c>
      <c r="D264" s="1" t="s">
        <v>598</v>
      </c>
      <c r="E264" s="86" t="s">
        <v>271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598</v>
      </c>
    </row>
    <row r="265" spans="1:10" hidden="1">
      <c r="A265" s="1" t="s">
        <v>81</v>
      </c>
      <c r="B265" s="1" t="s">
        <v>611</v>
      </c>
      <c r="C265" s="1" t="s">
        <v>34</v>
      </c>
      <c r="D265" s="1" t="s">
        <v>598</v>
      </c>
      <c r="E265" s="86" t="s">
        <v>314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598</v>
      </c>
    </row>
    <row r="266" spans="1:10" hidden="1">
      <c r="A266" s="1" t="s">
        <v>114</v>
      </c>
      <c r="B266" s="1" t="s">
        <v>611</v>
      </c>
      <c r="C266" s="1" t="s">
        <v>45</v>
      </c>
      <c r="D266" s="1" t="s">
        <v>598</v>
      </c>
      <c r="E266" s="86" t="s">
        <v>525</v>
      </c>
      <c r="F266" s="1" t="s">
        <v>525</v>
      </c>
      <c r="G266" s="1">
        <v>1500496</v>
      </c>
      <c r="H266" s="1" t="s">
        <v>114</v>
      </c>
      <c r="I266" s="1" t="s">
        <v>45</v>
      </c>
      <c r="J266" s="1" t="s">
        <v>598</v>
      </c>
    </row>
    <row r="267" spans="1:10" hidden="1">
      <c r="A267" s="1" t="s">
        <v>111</v>
      </c>
      <c r="B267" s="1" t="s">
        <v>597</v>
      </c>
      <c r="C267" s="1" t="s">
        <v>45</v>
      </c>
      <c r="D267" s="1" t="s">
        <v>598</v>
      </c>
      <c r="E267" s="86" t="s">
        <v>337</v>
      </c>
      <c r="F267" s="1" t="s">
        <v>572</v>
      </c>
      <c r="G267" s="1">
        <v>1500510</v>
      </c>
      <c r="H267" s="1" t="s">
        <v>111</v>
      </c>
      <c r="I267" s="1" t="s">
        <v>45</v>
      </c>
      <c r="J267" s="1" t="s">
        <v>598</v>
      </c>
    </row>
    <row r="268" spans="1:10" hidden="1">
      <c r="A268" s="1" t="s">
        <v>114</v>
      </c>
      <c r="B268" s="1" t="s">
        <v>611</v>
      </c>
      <c r="C268" s="1" t="s">
        <v>45</v>
      </c>
      <c r="D268" s="1" t="s">
        <v>598</v>
      </c>
      <c r="E268" s="86" t="s">
        <v>357</v>
      </c>
      <c r="F268" s="1" t="s">
        <v>794</v>
      </c>
      <c r="G268" s="1">
        <v>1500512</v>
      </c>
      <c r="H268" s="1" t="s">
        <v>114</v>
      </c>
      <c r="I268" s="1" t="s">
        <v>45</v>
      </c>
      <c r="J268" s="1" t="s">
        <v>598</v>
      </c>
    </row>
    <row r="269" spans="1:10" hidden="1">
      <c r="A269" s="1" t="s">
        <v>113</v>
      </c>
      <c r="B269" s="1" t="s">
        <v>611</v>
      </c>
      <c r="C269" s="1" t="s">
        <v>45</v>
      </c>
      <c r="D269" s="1" t="s">
        <v>598</v>
      </c>
      <c r="E269" s="86" t="s">
        <v>402</v>
      </c>
      <c r="F269" s="1" t="s">
        <v>402</v>
      </c>
      <c r="G269" s="1">
        <v>1500502</v>
      </c>
      <c r="H269" s="1" t="s">
        <v>113</v>
      </c>
      <c r="I269" s="1" t="s">
        <v>45</v>
      </c>
      <c r="J269" s="1" t="s">
        <v>598</v>
      </c>
    </row>
    <row r="270" spans="1:10" hidden="1">
      <c r="A270" s="1" t="s">
        <v>114</v>
      </c>
      <c r="B270" s="1" t="s">
        <v>611</v>
      </c>
      <c r="C270" s="1" t="s">
        <v>45</v>
      </c>
      <c r="D270" s="1" t="s">
        <v>598</v>
      </c>
      <c r="E270" s="86" t="s">
        <v>387</v>
      </c>
      <c r="F270" s="1" t="s">
        <v>571</v>
      </c>
      <c r="G270" s="1">
        <v>1500516</v>
      </c>
      <c r="H270" s="1" t="s">
        <v>114</v>
      </c>
      <c r="I270" s="1" t="s">
        <v>45</v>
      </c>
      <c r="J270" s="1" t="s">
        <v>598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2026-10-02T07:18:13Z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
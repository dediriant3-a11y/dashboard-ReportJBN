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B50B6C41-162C-4AA1-8D74-802C21EF6928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0" r:id="rId13"/>
    <pivotCache cacheId="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E36" i="4" l="1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<sst xmlns="http://schemas.openxmlformats.org/spreadsheetml/2006/main" count="22825" uniqueCount="4491">
  <si>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</si>
  <si>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</si>
  <si>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</si>
  <si>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</si>
  <si>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</si>
  <si>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</si>
  <si>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</si>
  <si>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</si>
  <si>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</si>
  <si>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</si>
  <si>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</si>
  <si>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</si>
  <si>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</si>
  <si>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</si>
  <si>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</si>
  <si>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</si>
  <si>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</si>
  <si>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</si>
  <si>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</si>
  <si>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</si>
  <si>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</si>
  <si>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</si>
  <si>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</si>
  <si>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</si>
  <si>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</si>
  <si>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</si>
  <si>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</si>
  <si>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</si>
  <si>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</si>
  <si>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</si>
  <si>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</si>
  <si>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</si>
  <si>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</si>
  <si>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</si>
  <si>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</si>
  <si>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</si>
  <si>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</si>
  <si>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</si>
  <si>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</si>
  <si>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</si>
  <si>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</si>
  <si>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</si>
  <si>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</si>
  <si>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</si>
  <si>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</si>
  <si>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</si>
  <si>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</si>
  <si>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</si>
  <si>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</si>
  <si>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</si>
  <si>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</si>
  <si>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</si>
  <si>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</si>
  <si>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</si>
  <si>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</si>
  <si>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</si>
  <si>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</si>
  <si>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</si>
  <si>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</si>
  <si>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</si>
  <si>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</si>
  <si>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</si>
  <si>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</si>
  <si>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</si>
  <si>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</si>
  <si>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</si>
  <si>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</si>
  <si>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</si>
  <si>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</si>
  <si>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</si>
  <si>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</si>
  <si>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</si>
  <si>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</si>
  <si>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</si>
  <si>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</si>
  <si>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</si>
  <si>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</si>
  <si>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</si>
  <si>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</si>
  <si>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</si>
  <si>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</si>
  <si>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</si>
  <si>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</si>
  <si>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</si>
  <si>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</si>
  <si>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</si>
  <si>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</si>
  <si>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</si>
  <si>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</si>
  <si>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</si>
  <si>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</si>
  <si>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</si>
  <si>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</si>
  <si>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</si>
  <si>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</si>
  <si>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</si>
  <si>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</si>
  <si>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</si>
  <si>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</si>
  <si>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</si>
  <si>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</si>
  <si>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</si>
  <si>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</si>
  <si>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</si>
  <si>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</si>
  <si>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</si>
  <si>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</si>
  <si>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</si>
  <si>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</si>
  <si>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</si>
  <si>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</si>
  <si>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</si>
  <si>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</si>
  <si>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</si>
  <si>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</si>
  <si>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</si>
  <si>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</si>
  <si>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</si>
  <si>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</si>
  <si>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</si>
  <si>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</si>
  <si>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</si>
  <si>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</si>
  <si>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</si>
  <si>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</si>
  <si>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</si>
  <si>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</si>
  <si>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</si>
  <si>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</si>
  <si>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</si>
  <si>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</si>
  <si>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</si>
  <si>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</si>
  <si>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</si>
  <si>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</si>
  <si>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</si>
  <si>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</si>
  <si>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</si>
  <si>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</si>
  <si>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</si>
  <si>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</si>
  <si>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</si>
  <si>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</si>
  <si>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</si>
  <si>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</si>
  <si>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</si>
  <si>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</si>
  <si>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</si>
  <si>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</si>
  <si>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</si>
  <si>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</si>
  <si>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</si>
  <si>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</si>
  <si>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</si>
  <si>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</si>
  <si>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</si>
  <si>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</si>
  <si>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</si>
  <si>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</si>
  <si>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</si>
  <si>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</si>
  <si>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</si>
  <si>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</si>
  <si>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</si>
  <si>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</si>
  <si>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</si>
  <si>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</si>
  <si>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</si>
  <si>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</si>
  <si>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</si>
  <si>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</si>
  <si>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</si>
  <si>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</si>
  <si>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</si>
  <si>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</si>
  <si>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</si>
  <si>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</si>
  <si>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</si>
  <si>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</si>
  <si>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</si>
  <si>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</si>
  <si>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</si>
  <si>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</si>
  <si>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</si>
  <si>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</si>
  <si>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</si>
  <si>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</si>
  <si>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</si>
  <si>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</si>
  <si>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</si>
  <si>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</si>
  <si>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</si>
  <si>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</si>
  <si>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</si>
  <si>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</si>
  <si>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</si>
  <si>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</si>
  <si>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</si>
  <si>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</si>
  <si>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</si>
  <si>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</si>
  <si>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</si>
  <si>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</si>
  <si>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</si>
  <si>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</si>
  <si>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</si>
  <si>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</si>
  <si>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</si>
  <si>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</si>
  <si>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</si>
  <si>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</si>
  <si>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</si>
  <si>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</si>
  <si>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</si>
  <si>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</si>
  <si>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</si>
  <si>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</si>
  <si>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</si>
  <si>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</si>
  <si>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</si>
  <si>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</si>
  <si>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</si>
  <si>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</si>
  <si>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</si>
  <si>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</si>
  <si>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</si>
  <si>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</si>
  <si>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</si>
  <si>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</si>
  <si>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</si>
  <si>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</si>
  <si>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</si>
  <si>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</si>
  <si>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</si>
  <si>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</si>
  <si>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</si>
  <si>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</si>
  <si>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</si>
  <si>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</si>
  <si>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</si>
  <si>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</si>
  <si>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</si>
  <si>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</si>
  <si>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</si>
  <si>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</si>
  <si>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</si>
  <si>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</si>
  <si>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</si>
  <si>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</si>
  <si>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</si>
  <si>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</si>
  <si>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</si>
  <si>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</si>
  <si>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</si>
  <si>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</si>
  <si>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</si>
  <si>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</si>
  <si>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</si>
  <si>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</si>
  <si>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</si>
  <si>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</si>
  <si>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</si>
  <si>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</si>
  <si>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</si>
  <si>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</si>
  <si>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</si>
  <si>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</si>
  <si>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</si>
  <si>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</si>
  <si>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</si>
  <si>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</si>
  <si>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</si>
  <si>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</si>
  <si>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</si>
  <si>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</si>
  <si>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</si>
  <si>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</si>
  <si>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</si>
  <si>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</si>
  <si>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</si>
  <si>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</si>
  <si>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</si>
  <si>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</si>
  <si>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</si>
  <si>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</si>
  <si>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</si>
  <si>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</si>
  <si>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</si>
  <si>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</si>
  <si>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</si>
  <si>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</si>
  <si>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</si>
  <si>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</si>
  <si>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</si>
  <si>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</si>
  <si>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</si>
  <si>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</si>
  <si>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</si>
  <si>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</si>
  <si>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</si>
  <si>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</si>
  <si>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</si>
  <si>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</si>
  <si>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</si>
  <si>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</si>
  <si>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</si>
  <si>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</si>
  <si>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</si>
  <si>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</si>
  <si>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</si>
  <si>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</si>
  <si>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</si>
  <si>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</si>
  <si>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</si>
  <si>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</si>
  <si>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</si>
  <si>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</si>
  <si>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</si>
  <si>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</si>
  <si>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</si>
  <si>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</si>
  <si>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</si>
  <si>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</si>
  <si>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</si>
  <si>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</si>
  <si>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</si>
  <si>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</si>
  <si>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</si>
  <si>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</si>
  <si>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</si>
  <si>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</si>
  <si>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</si>
  <si>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</si>
  <si>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</si>
  <si>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</si>
  <si>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</si>
  <si>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</si>
  <si>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</si>
  <si>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</si>
  <si>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</si>
  <si>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</si>
  <si>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</si>
  <si>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</si>
  <si>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</si>
  <si>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</si>
  <si>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</si>
  <si>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</si>
  <si>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</si>
  <si>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</si>
  <si>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</si>
  <si>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</si>
  <si>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</si>
  <si>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</si>
  <si>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</si>
  <si>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</si>
  <si>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</si>
  <si>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</si>
  <si>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</si>
  <si>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</si>
  <si>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</si>
  <si>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</si>
  <si>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</si>
  <si>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</si>
  <si>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</si>
  <si>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</si>
  <si>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</si>
  <si>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</si>
  <si>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</si>
  <si>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</si>
  <si>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</si>
  <si>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</si>
  <si>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</si>
  <si>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</si>
  <si>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</si>
  <si>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</si>
  <si>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</si>
  <si>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</si>
  <si>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</si>
  <si>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</si>
  <si>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</si>
  <si>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</si>
  <si>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</si>
  <si>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</si>
  <si>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</si>
  <si>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</si>
  <si>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</si>
  <si>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</si>
  <si>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</si>
  <si>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</si>
  <si>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</si>
  <si>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</si>
  <si>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</si>
  <si>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</si>
  <si>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</si>
  <si>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</si>
  <si>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</si>
  <si>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</si>
  <si>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</si>
  <si>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</si>
  <si>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</si>
  <si>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</si>
  <si>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</si>
  <si>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</si>
  <si>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</si>
  <si>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</si>
  <si>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</si>
  <si>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</si>
  <si>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</si>
  <si>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</si>
  <si>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</si>
  <si>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</si>
  <si>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</si>
  <si>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</si>
  <si>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</si>
  <si>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</si>
  <si>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</si>
  <si>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</si>
  <si>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</si>
  <si>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</si>
  <si>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</si>
  <si>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</si>
  <si>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</si>
  <si>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</si>
  <si>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</si>
  <si>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</si>
  <si>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</si>
  <si>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</si>
  <si>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</si>
  <si>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</si>
  <si>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</si>
  <si>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</si>
  <si>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</si>
  <si>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</si>
  <si>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</si>
  <si>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</si>
  <si>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</si>
  <si>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</si>
  <si>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</si>
  <si>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</si>
  <si>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</si>
  <si>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</si>
  <si>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</si>
  <si>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</si>
  <si>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</si>
  <si>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</si>
  <si>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</si>
  <si>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</si>
  <si>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</si>
  <si>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</si>
  <si>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</si>
  <si>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</si>
  <si>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</si>
  <si>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</si>
  <si>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</si>
  <si>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</si>
  <si>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</si>
  <si>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</si>
  <si>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</si>
  <si>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</si>
  <si>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</si>
  <si>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</si>
  <si>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</si>
  <si>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</si>
  <si>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</si>
  <si>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</si>
  <si>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</si>
  <si>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</si>
  <si>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</si>
  <si>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</si>
  <si>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</si>
  <si>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</si>
  <si>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</si>
  <si>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</si>
  <si>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</si>
  <si>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</si>
  <si>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</si>
  <si>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</si>
  <si>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</si>
  <si>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</si>
  <si>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</si>
  <si>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</si>
  <si>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</si>
  <si>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</si>
  <si>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</si>
  <si>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</si>
  <si>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</si>
  <si>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</si>
  <si>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</si>
  <si>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</si>
  <si>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</si>
  <si>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</si>
  <si>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</si>
  <si>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</si>
  <si>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</si>
  <si>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</si>
  <si>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</si>
  <si>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</si>
  <si>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</si>
  <si>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</si>
  <si>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</si>
  <si>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</si>
  <si>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</si>
  <si>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</si>
  <si>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</si>
  <si>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</si>
  <si>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</si>
  <si>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</si>
  <si>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</si>
  <si>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</si>
  <si>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</si>
  <si>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</si>
  <si>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</si>
  <si>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</si>
  <si>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</si>
  <si>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</si>
  <si>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</si>
  <si>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</si>
  <si>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</si>
  <si>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</si>
  <si>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</si>
  <si>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</si>
  <si>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</si>
  <si>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</si>
  <si>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</si>
  <si>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</si>
  <si>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</si>
  <si>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</si>
  <si>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</si>
  <si>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</si>
  <si>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</si>
  <si>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</si>
  <si>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</si>
  <si>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</si>
  <si>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</si>
  <si>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</si>
  <si>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</si>
  <si>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</si>
  <si>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</si>
  <si>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</si>
  <si>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</si>
  <si>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</si>
  <si>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</si>
  <si>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</si>
  <si>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</si>
  <si>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</si>
  <si>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</si>
  <si>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</si>
  <si>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</si>
  <si>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</si>
  <si>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</si>
  <si>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</si>
  <si>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</si>
  <si>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</si>
  <si>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</si>
  <si>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</si>
  <si>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</si>
  <si>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</si>
  <si>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</si>
  <si>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</si>
  <si>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</si>
  <si>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</si>
  <si>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</si>
  <si>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</si>
  <si>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</si>
  <si>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</si>
  <si>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</si>
  <si>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</si>
  <si>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</si>
  <si>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</si>
  <si>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</si>
  <si>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</si>
  <si>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</si>
  <si>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</si>
  <si>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</si>
  <si>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</si>
  <si>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</si>
  <si>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</si>
  <si>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</si>
  <si>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</si>
  <si>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</si>
  <si>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</si>
  <si>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</si>
  <si>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</si>
  <si>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</si>
  <si>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</si>
  <si>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</si>
  <si>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</si>
  <si>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</si>
  <si>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</si>
  <si>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</si>
  <si>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</si>
  <si>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</si>
  <si>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</si>
  <si>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</si>
  <si>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</si>
  <si>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</si>
  <si>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</si>
  <si>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</si>
  <si>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</si>
  <si>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</si>
  <si>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</si>
  <si>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</si>
  <si>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</si>
  <si>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</si>
  <si>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</si>
  <si>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</si>
  <si>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</si>
  <si>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</si>
  <si>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</si>
  <si>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</si>
  <si>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</si>
  <si>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</si>
  <si>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</si>
  <si>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</si>
  <si>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</si>
  <si>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</si>
  <si>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</si>
  <si>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</si>
  <si>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</si>
  <si>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</si>
  <si>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</si>
  <si>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</si>
  <si>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</si>
  <si>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</si>
  <si>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</si>
  <si>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</si>
  <si>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</si>
  <si>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</si>
  <si>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</si>
  <si>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</si>
  <si>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</si>
  <si>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</si>
  <si>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</si>
  <si>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</si>
  <si>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</si>
  <si>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</si>
  <si>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</si>
  <si>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</si>
  <si>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</si>
  <si>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</si>
  <si>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</si>
  <si>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</si>
  <si>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</si>
  <si>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</si>
  <si>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</si>
  <si>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</si>
  <si>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</si>
  <si>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</si>
  <si>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</si>
  <si>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</si>
  <si>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</si>
  <si>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</si>
  <si>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</si>
  <si>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</si>
  <si>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</si>
  <si>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</si>
  <si>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</si>
  <si>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</si>
  <si>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</si>
  <si>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</si>
  <si>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</si>
  <si>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</si>
  <si>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</si>
  <si>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</si>
  <si>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</si>
  <si>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</si>
  <si>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</si>
  <si>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</si>
  <si>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</si>
  <si>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</si>
  <si>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</si>
  <si>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</si>
  <si>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</si>
  <si>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</si>
  <si>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</si>
  <si>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</si>
  <si>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</si>
  <si>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</si>
  <si>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</si>
  <si>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</si>
  <si>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</si>
  <si>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</si>
  <si>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</si>
  <si>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</si>
  <si>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</si>
  <si>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</si>
  <si>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</si>
  <si>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</si>
  <si>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</si>
  <si>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</si>
  <si>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</si>
  <si>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</si>
  <si>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</si>
  <si>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</si>
  <si>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</si>
  <si>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</si>
  <si>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</si>
  <si>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</si>
  <si>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</si>
  <si>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</si>
  <si>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</si>
  <si>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</si>
  <si>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</si>
  <si>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</si>
  <si>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</si>
  <si>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</si>
  <si>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</si>
  <si>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</si>
  <si>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</si>
  <si>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</si>
  <si>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</si>
  <si>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</si>
  <si>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</si>
  <si>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</si>
  <si>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</si>
  <si>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</si>
  <si>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</si>
  <si>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</si>
  <si>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</si>
  <si>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</si>
  <si>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</si>
  <si>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</si>
  <si>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</si>
  <si>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</si>
  <si>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</si>
  <si>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</si>
  <si>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</si>
  <si>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</si>
  <si>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</si>
  <si>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</si>
  <si>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</si>
  <si>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</si>
  <si>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</si>
  <si>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</si>
  <si>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</si>
  <si>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</si>
  <si>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</si>
  <si>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</si>
  <si>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</si>
  <si>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</si>
  <si>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</si>
  <si>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</si>
  <si>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</si>
  <si>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</si>
  <si>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</si>
  <si>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</si>
  <si>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</si>
  <si>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</si>
  <si>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</si>
  <si>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</si>
  <si>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</si>
  <si>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</si>
  <si>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</si>
  <si>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</si>
  <si>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</si>
  <si>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</si>
  <si>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</si>
  <si>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</si>
  <si>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</si>
  <si>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</si>
  <si>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</si>
  <si>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</si>
  <si>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</si>
  <si>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</si>
  <si>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</si>
  <si>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</si>
  <si>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</si>
  <si>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</si>
  <si>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</si>
  <si>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</si>
  <si>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</si>
  <si>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</si>
  <si>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</si>
  <si>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</si>
  <si>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</si>
  <si>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</si>
  <si>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</si>
  <si>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</si>
  <si>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</si>
  <si>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</si>
  <si>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</si>
  <si>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</si>
  <si>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</si>
  <si>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</si>
  <si>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</si>
  <si>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</si>
  <si>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</si>
  <si>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</si>
  <si>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</si>
  <si>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</si>
  <si>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</si>
  <si>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</si>
  <si>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</si>
  <si>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</si>
  <si>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</si>
  <si>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</si>
  <si>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</si>
  <si>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</si>
  <si>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</si>
  <si>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</si>
  <si>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</si>
  <si>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</si>
  <si>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</si>
  <si>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</si>
  <si>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</si>
  <si>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</si>
  <si>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</si>
  <si>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</si>
  <si>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</si>
  <si>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</si>
  <si>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</si>
  <si>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</si>
  <si>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</si>
  <si>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</si>
  <si>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</si>
  <si>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</si>
  <si>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</si>
  <si>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</si>
  <si>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</si>
  <si>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</si>
  <si>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</si>
  <si>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</si>
  <si>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</si>
  <si>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</si>
  <si>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</si>
  <si>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</si>
  <si>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</si>
  <si>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</si>
  <si>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</si>
  <si>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</si>
  <si>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</si>
  <si>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</si>
  <si>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</si>
  <si>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</si>
  <si>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</si>
  <si>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</si>
  <si>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</si>
  <si>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</si>
  <si>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</si>
  <si>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</si>
  <si>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</si>
  <si>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</si>
  <si>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</si>
  <si>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</si>
  <si>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</si>
  <si>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</si>
  <si>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</si>
  <si>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</si>
  <si>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</si>
  <si>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</si>
  <si>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</si>
  <si>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</si>
  <si>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</si>
  <si>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</si>
  <si>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</si>
  <si>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</si>
  <si>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</si>
  <si>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</si>
  <si>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</si>
  <si>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</si>
  <si>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</si>
  <si>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</si>
  <si>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</si>
  <si>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</si>
  <si>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</si>
  <si>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</si>
  <si>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</si>
  <si>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</si>
  <si>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</si>
  <si>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</si>
  <si>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</si>
  <si>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</si>
  <si>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</si>
  <si>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</si>
  <si>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</si>
  <si>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</si>
  <si>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</si>
  <si>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</si>
  <si>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</si>
  <si>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</si>
  <si>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</si>
  <si>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</si>
  <si>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</si>
  <si>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</si>
  <si>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</si>
  <si>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</si>
  <si>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</si>
  <si>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</si>
  <si>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</si>
  <si>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</si>
  <si>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</si>
  <si>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</si>
  <si>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</si>
  <si>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</si>
  <si>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</si>
  <si>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</si>
  <si>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</si>
  <si>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</si>
  <si>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</si>
  <si>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</si>
  <si>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</si>
  <si>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</si>
  <si>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</si>
  <si>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</si>
  <si>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</si>
  <si>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</si>
  <si>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</si>
  <si>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</si>
  <si>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</si>
  <si>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</si>
  <si>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</si>
  <si>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</si>
  <si>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</si>
  <si>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</si>
  <si>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</si>
  <si>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</si>
  <si>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</si>
  <si>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</si>
  <si>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</si>
  <si>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</si>
  <si>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</si>
  <si>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</si>
  <si>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</si>
  <si>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</si>
  <si>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</si>
  <si>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</si>
  <si>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</si>
  <si>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</si>
  <si>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</si>
  <si>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</si>
  <si>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</si>
  <si>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</si>
  <si>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</si>
  <si>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</si>
  <si>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</si>
  <si>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</si>
  <si>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</si>
  <si>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</si>
  <si>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</si>
  <si>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</si>
  <si>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</si>
  <si>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</si>
  <si>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</si>
  <si>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</si>
  <si>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</si>
  <si>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</si>
  <si>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</si>
  <si>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</si>
  <si>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</si>
  <si>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</si>
  <si>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</si>
  <si>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</si>
  <si>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</si>
  <si>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</si>
  <si>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</si>
  <si>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</si>
  <si>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</si>
  <si>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</si>
  <si>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</si>
  <si>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</si>
  <si>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</si>
  <si>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</si>
  <si>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</si>
  <si>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</si>
  <si>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</si>
  <si>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</si>
  <si>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</si>
  <si>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</si>
  <si>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</si>
  <si>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</si>
  <si>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</si>
  <si>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</si>
  <si>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</si>
  <si>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</si>
  <si>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</si>
  <si>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</si>
  <si>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</si>
  <si>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</si>
  <si>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</si>
  <si>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</si>
  <si>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</si>
  <si>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</si>
  <si>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</si>
  <si>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</si>
  <si>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</si>
  <si>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</si>
  <si>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</si>
  <si>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</si>
  <si>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</si>
  <si>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</si>
  <si>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</si>
  <si>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</si>
  <si>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</si>
  <si>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</si>
  <si>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</si>
  <si>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</si>
  <si>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</si>
  <si>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</si>
  <si>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</si>
  <si>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</si>
  <si>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</si>
  <si>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</si>
  <si>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</si>
  <si>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</si>
  <si>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</si>
  <si>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</si>
  <si>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</si>
  <si>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</si>
  <si>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</si>
  <si>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</si>
  <si>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</si>
  <si>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</si>
  <si>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</si>
  <si>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</si>
  <si>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</si>
  <si>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</si>
  <si>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</si>
  <si>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</si>
  <si>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</si>
  <si>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</si>
  <si>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</si>
  <si>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</si>
  <si>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</si>
  <si>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</si>
  <si>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</si>
  <si>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</si>
  <si>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</si>
  <si>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</si>
  <si>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</si>
  <si>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</si>
  <si>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</si>
  <si>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</si>
  <si>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</si>
  <si>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</si>
  <si>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</si>
  <si>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</si>
  <si>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</si>
  <si>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</si>
  <si>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</si>
  <si>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</si>
  <si>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</si>
  <si>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</si>
  <si>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</si>
  <si>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</si>
  <si>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</si>
  <si>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</si>
  <si>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</si>
  <si>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</si>
  <si>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</si>
  <si>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</si>
  <si>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</si>
  <si>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</si>
  <si>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</si>
  <si>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</si>
  <si>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</si>
  <si>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</si>
  <si>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</si>
  <si>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</si>
  <si>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</si>
  <si>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</si>
  <si>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</si>
  <si>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</si>
  <si>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</si>
  <si>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</si>
  <si>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</si>
  <si>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</si>
  <si>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</si>
  <si>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</si>
  <si>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</si>
  <si>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</si>
  <si>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</si>
  <si>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</si>
  <si>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</si>
  <si>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</si>
  <si>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</si>
  <si>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</si>
  <si>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</si>
  <si>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</si>
  <si>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</si>
  <si>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</si>
  <si>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</si>
  <si>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</si>
  <si>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</si>
  <si>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</si>
  <si>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</si>
  <si>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</si>
  <si>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</si>
  <si>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</si>
  <si>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</si>
  <si>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</si>
  <si>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</si>
  <si>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</si>
  <si>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</si>
  <si>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</si>
  <si>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</si>
  <si>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</si>
  <si>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</si>
  <si>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</si>
  <si>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</si>
  <si>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</si>
  <si>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</si>
  <si>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</si>
  <si>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</si>
  <si>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</si>
  <si>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</si>
  <si>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</si>
  <si>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</si>
  <si>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</si>
  <si>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</si>
  <si>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</si>
  <si>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</si>
  <si>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</si>
  <si>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</si>
  <si>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</si>
  <si>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</si>
  <si>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</si>
  <si>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</si>
  <si>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</si>
  <si>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</si>
  <si>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</si>
  <si>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</si>
  <si>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</si>
  <si>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</si>
  <si>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</si>
  <si>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</si>
  <si>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</si>
  <si>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</si>
  <si>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</si>
  <si>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</si>
  <si>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</si>
  <si>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</si>
  <si>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</si>
  <si>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</si>
  <si>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</si>
  <si>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</si>
  <si>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</si>
  <si>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</si>
  <si>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</si>
  <si>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</si>
  <si>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</si>
  <si>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</si>
  <si>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</si>
  <si>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</si>
  <si>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</si>
  <si>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</si>
  <si>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</si>
  <si>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</si>
  <si>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</si>
  <si>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</si>
  <si>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</si>
  <si>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</si>
  <si>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</si>
  <si>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</si>
  <si>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</si>
  <si>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</si>
  <si>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</si>
  <si>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</si>
  <si>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</si>
  <si>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</si>
  <si>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</si>
  <si>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</si>
  <si>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</si>
  <si>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</si>
  <si>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</si>
  <si>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</si>
  <si>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</si>
  <si>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</si>
  <si>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</si>
  <si>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</si>
  <si>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</si>
  <si>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</si>
  <si>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</si>
  <si>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</si>
  <si>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</si>
  <si>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</si>
  <si>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</si>
  <si>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</si>
  <si>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</si>
  <si>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</si>
  <si>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</si>
  <si>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</si>
  <si>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</si>
  <si>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</si>
  <si>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</si>
  <si>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</si>
  <si>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</si>
  <si>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</si>
  <si>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</si>
  <si>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</si>
  <si>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</si>
  <si>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</si>
  <si>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</si>
  <si>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</si>
  <si>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</si>
  <si>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</si>
  <si>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</si>
  <si>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</si>
  <si>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</si>
  <si>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</si>
  <si>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</si>
  <si>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</si>
  <si>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</si>
  <si>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</si>
  <si>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</si>
  <si>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</si>
  <si>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</si>
  <si>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</si>
  <si>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</si>
  <si>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</si>
  <si>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</si>
  <si>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</si>
  <si>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</si>
  <si>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</si>
  <si>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</si>
  <si>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</si>
  <si>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</si>
  <si>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</si>
  <si>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</si>
  <si>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</si>
  <si>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</si>
  <si>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</si>
  <si>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</si>
  <si>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</si>
  <si>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</si>
  <si>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</si>
  <si>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</si>
  <si>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</si>
  <si>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</si>
  <si>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</si>
  <si>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</si>
  <si>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</si>
  <si>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</si>
  <si>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</si>
  <si>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</si>
  <si>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</si>
  <si>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</si>
  <si>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</si>
  <si>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</si>
  <si>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</si>
  <si>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</si>
  <si>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</si>
  <si>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</si>
  <si>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</si>
  <si>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</si>
  <si>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</si>
  <si>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</si>
  <si>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</si>
  <si>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</si>
  <si>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</si>
  <si>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</si>
  <si>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</si>
  <si>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</si>
  <si>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</si>
  <si>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</si>
  <si>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</si>
  <si>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</si>
  <si>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</si>
  <si>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</si>
  <si>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</si>
  <si>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</si>
  <si>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</si>
  <si>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</si>
  <si>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</si>
  <si>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</si>
  <si>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</si>
  <si>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</si>
  <si>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</si>
  <si>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</si>
  <si>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</si>
  <si>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</si>
  <si>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</si>
  <si>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</si>
  <si>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</si>
  <si>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</si>
  <si>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</si>
  <si>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</si>
  <si>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</si>
  <si>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</si>
  <si>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</si>
  <si>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</si>
  <si>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</si>
  <si>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</si>
  <si>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</si>
  <si>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</si>
  <si>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</si>
  <si>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</si>
  <si>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</si>
  <si>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</si>
  <si>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</si>
  <si>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</si>
  <si>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</si>
  <si>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</si>
  <si>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</si>
  <si>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</si>
  <si>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</si>
  <si>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</si>
  <si>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</si>
  <si>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</si>
  <si>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</si>
  <si>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</si>
  <si>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</si>
  <si>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</si>
  <si>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</si>
  <si>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</si>
  <si>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</si>
  <si>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</si>
  <si>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</si>
  <si>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</si>
  <si>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</si>
  <si>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</si>
  <si>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</si>
  <si>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</si>
  <si>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</si>
  <si>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</si>
  <si>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</si>
  <si>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</si>
  <si>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</si>
  <si>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</si>
  <si>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</si>
  <si>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</si>
  <si>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</si>
  <si>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</si>
  <si>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</si>
  <si>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</si>
  <si>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</si>
  <si>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</si>
  <si>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</si>
  <si>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</si>
  <si>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</si>
  <si>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</si>
  <si>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</si>
  <si>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</si>
  <si>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</si>
  <si>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</si>
  <si>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</si>
  <si>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</si>
  <si>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</si>
  <si>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</si>
  <si>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</si>
  <si>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</si>
  <si>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</si>
  <si>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</si>
  <si>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</si>
  <si>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</si>
  <si>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</si>
  <si>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</si>
  <si>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</si>
  <si>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</si>
  <si>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</si>
  <si>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</si>
  <si>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</si>
  <si>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</si>
  <si>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</si>
  <si>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</si>
  <si>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</si>
  <si>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</si>
  <si>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</si>
  <si>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</si>
  <si>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</si>
  <si>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</si>
  <si>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</si>
  <si>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</si>
  <si>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</si>
  <si>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</si>
  <si>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</si>
  <si>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</si>
  <si>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</si>
  <si>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</si>
  <si>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</si>
  <si>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</si>
  <si>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</si>
  <si>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</si>
  <si>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</si>
  <si>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</si>
  <si>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</si>
  <si>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</si>
  <si>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</si>
  <si>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</si>
  <si>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</si>
  <si>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</si>
  <si>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</si>
  <si>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</si>
  <si>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</si>
  <si>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</si>
  <si>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</si>
  <si>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</si>
  <si>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</si>
  <si>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</si>
  <si>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</si>
  <si>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</si>
  <si>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</si>
  <si>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</si>
  <si>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</si>
  <si>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</si>
  <si>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</si>
  <si>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</si>
  <si>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</si>
  <si>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</si>
  <si>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</si>
  <si>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</si>
  <si>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</si>
  <si>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</si>
  <si>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</si>
  <si>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</si>
  <si>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</si>
  <si>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</si>
  <si>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</si>
  <si>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</si>
  <si>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</si>
  <si>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</si>
  <si>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</si>
  <si>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</si>
  <si>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</si>
  <si>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</si>
  <si>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</si>
  <si>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</si>
  <si>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</si>
  <si>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</si>
  <si>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</si>
  <si>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</si>
  <si>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</si>
  <si>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</si>
  <si>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</si>
  <si>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</si>
  <si>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</si>
  <si>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</si>
  <si>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</si>
  <si>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</si>
  <si>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</si>
  <si>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</si>
  <si>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</si>
  <si>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</si>
  <si>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</si>
  <si>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</si>
  <si>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Provisioning Failed|UIM|INF009629314|1029:Reservation not found for Broadband CFS with Reservation ID : 39611817457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</si>
  <si>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</si>
  <si>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</si>
  <si>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</si>
  <si>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</si>
  <si>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</si>
  <si>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</si>
  <si>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</si>
  <si>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</si>
  <si>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</si>
  <si>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</si>
  <si>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</si>
  <si>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</si>
  <si>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</si>
  <si>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</si>
  <si>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</si>
  <si>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</si>
  <si>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</si>
  <si>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</si>
  <si>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</si>
  <si>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</si>
  <si>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</si>
  <si>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</si>
  <si>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</si>
  <si>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</si>
  <si>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</si>
  <si>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</si>
  <si>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</si>
  <si>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</si>
  <si>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</si>
  <si>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</si>
  <si>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</si>
  <si>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</si>
  <si>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</si>
  <si>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</si>
  <si>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</si>
  <si>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</si>
  <si>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</si>
  <si>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</si>
  <si>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</si>
  <si>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</si>
  <si>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</si>
  <si>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</si>
  <si>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</si>
  <si>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</si>
  <si>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</si>
  <si>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</si>
  <si>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</si>
  <si>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</si>
  <si>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</si>
  <si>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</si>
  <si>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</si>
  <si>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</si>
  <si>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</si>
  <si>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</si>
  <si>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</si>
  <si>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</si>
  <si>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</si>
  <si>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</si>
  <si>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</si>
  <si>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</si>
  <si>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</si>
  <si>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</si>
  <si>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</si>
  <si>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</si>
  <si>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</si>
  <si>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</si>
  <si>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</si>
  <si>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</si>
  <si>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</si>
  <si>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</si>
  <si>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</si>
  <si>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</si>
  <si>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</si>
  <si>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</si>
  <si>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</si>
  <si>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</si>
  <si>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</si>
  <si>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</si>
  <si>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</si>
  <si>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</si>
  <si>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</si>
  <si>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</si>
  <si>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</si>
  <si>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</si>
  <si>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</si>
  <si>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</si>
  <si>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</si>
  <si>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</si>
  <si>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</si>
  <si>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</si>
  <si>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</si>
  <si>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</si>
  <si>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</si>
  <si>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</si>
  <si>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</si>
  <si>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</si>
  <si>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</si>
  <si>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</si>
  <si>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</si>
  <si>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</si>
  <si>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</si>
  <si>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</si>
  <si>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</si>
  <si>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</si>
  <si>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</si>
  <si>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</si>
  <si>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</si>
  <si>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</si>
  <si>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</si>
  <si>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</si>
  <si>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</si>
  <si>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</si>
  <si>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</si>
  <si>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</si>
  <si>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</si>
  <si>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</si>
  <si>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</si>
  <si>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</si>
  <si>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</si>
  <si>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</si>
  <si>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</si>
  <si>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</si>
  <si>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</si>
  <si>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</si>
  <si>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</si>
  <si>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</si>
  <si>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</si>
  <si>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</si>
  <si>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</si>
  <si>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</si>
  <si>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</si>
  <si>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</si>
  <si>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</si>
  <si>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</si>
  <si>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</si>
  <si>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</si>
  <si>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</si>
  <si>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</si>
  <si>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</si>
  <si>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</si>
  <si>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</si>
  <si>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</si>
  <si>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</si>
  <si>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</si>
  <si>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</si>
  <si>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</si>
  <si>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</si>
  <si>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</si>
  <si>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</si>
  <si>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</si>
  <si>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</si>
  <si>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</si>
  <si>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</si>
  <si>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</si>
  <si>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</si>
  <si>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</si>
  <si>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</si>
  <si>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</si>
  <si>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</si>
  <si>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</si>
  <si>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</si>
  <si>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</si>
  <si>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</si>
  <si>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</si>
  <si>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</si>
  <si>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</si>
  <si>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</si>
  <si>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</si>
  <si>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</si>
  <si>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</si>
  <si>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</si>
  <si>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</si>
  <si>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</si>
  <si>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</si>
  <si>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</si>
  <si>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</si>
  <si>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</si>
  <si>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</si>
  <si>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</si>
  <si>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</si>
  <si>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</si>
  <si>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</si>
  <si>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</si>
  <si>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</si>
  <si>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</si>
  <si>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</si>
  <si>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</si>
  <si>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</si>
  <si>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</si>
  <si>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</si>
  <si>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</si>
  <si>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</si>
  <si>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</si>
  <si>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</si>
  <si>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</si>
  <si>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</si>
  <si>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</si>
  <si>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</si>
  <si>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</si>
  <si>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</si>
  <si>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</si>
  <si>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</si>
  <si>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</si>
  <si>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</si>
  <si>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</si>
  <si>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</si>
  <si>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</si>
  <si>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</si>
  <si>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</si>
  <si>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</si>
  <si>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</si>
  <si>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</si>
  <si>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</si>
  <si>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</si>
  <si>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</si>
  <si>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</si>
  <si>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</si>
  <si>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</si>
  <si>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</si>
  <si>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</si>
  <si>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</si>
  <si>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</si>
  <si>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</si>
  <si>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</si>
  <si>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</si>
  <si>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</si>
  <si>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</si>
  <si>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</si>
  <si>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</si>
  <si>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</si>
  <si>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</si>
  <si>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</si>
  <si>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</si>
  <si>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</si>
  <si>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</si>
  <si>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</si>
  <si>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</si>
  <si>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</si>
  <si>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</si>
  <si>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</si>
  <si>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</si>
  <si>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</si>
  <si>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</si>
  <si>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</si>
  <si>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</si>
  <si>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</si>
  <si>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</si>
  <si>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</si>
  <si>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</si>
  <si>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</si>
  <si>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</si>
  <si>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</si>
  <si>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</si>
  <si>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</si>
  <si>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</si>
  <si>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</si>
  <si>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</si>
  <si>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</si>
  <si>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</si>
  <si>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</si>
  <si>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</si>
  <si>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</si>
  <si>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</si>
  <si>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</si>
  <si>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</si>
  <si>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</si>
  <si>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</si>
  <si>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</si>
  <si>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</si>
  <si>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</si>
  <si>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</si>
  <si>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</si>
  <si>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</si>
  <si>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</si>
  <si>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</si>
  <si>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</si>
  <si>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</si>
  <si>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ODP-CRB-FK/01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</si>
  <si>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</si>
  <si>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</si>
  <si>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</si>
  <si>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</si>
  <si>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</si>
  <si>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</si>
  <si>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</si>
  <si>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</si>
  <si>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</si>
  <si>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</si>
  <si>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</si>
  <si>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</si>
  <si>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</si>
  <si>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</si>
  <si>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</si>
  <si>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</si>
  <si>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</si>
  <si>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</si>
  <si>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</si>
  <si>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</si>
  <si>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</si>
  <si>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</si>
  <si>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</si>
  <si>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</si>
  <si>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</si>
  <si>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</si>
  <si>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</si>
  <si>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</si>
  <si>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</si>
  <si>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</si>
  <si>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</si>
  <si>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</si>
  <si>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</si>
  <si>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</si>
  <si>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</si>
  <si>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</si>
  <si>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</si>
  <si>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</si>
  <si>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</si>
  <si>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</si>
  <si>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</si>
  <si>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</si>
  <si>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</si>
  <si>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</si>
  <si>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</si>
  <si>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</si>
  <si>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</si>
  <si>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</si>
  <si>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</si>
  <si>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</si>
  <si>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</si>
  <si>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</si>
  <si>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</si>
  <si>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</si>
  <si>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</si>
  <si>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</si>
  <si>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</si>
  <si>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</si>
  <si>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</si>
  <si>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</si>
  <si>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</si>
  <si>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</si>
  <si>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</si>
  <si>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</si>
  <si>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</si>
  <si>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</si>
  <si>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</si>
  <si>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</si>
  <si>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</si>
  <si>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</si>
  <si>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</si>
  <si>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</si>
  <si>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</si>
  <si>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</si>
  <si>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</si>
  <si>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</si>
  <si>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</si>
  <si>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</si>
  <si>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</si>
  <si>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</si>
  <si>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</si>
  <si>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</si>
  <si>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</si>
  <si>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</si>
  <si>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</si>
  <si>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</si>
  <si>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</si>
  <si>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</si>
  <si>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</si>
  <si>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</si>
  <si>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</si>
  <si>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</si>
  <si>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</si>
  <si>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</si>
  <si>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</si>
  <si>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</si>
  <si>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</si>
  <si>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</si>
  <si>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</si>
  <si>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</si>
  <si>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</si>
  <si>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</si>
  <si>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</si>
  <si>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</si>
  <si>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</si>
  <si>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</si>
  <si>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</si>
  <si>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</si>
  <si>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</si>
  <si>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</si>
  <si>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</si>
  <si>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</si>
  <si>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</si>
  <si>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</si>
  <si>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</si>
  <si>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</si>
  <si>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</si>
  <si>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</si>
  <si>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</si>
  <si>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</si>
  <si>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</si>
  <si>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</si>
  <si>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</si>
  <si>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</si>
  <si>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</si>
  <si>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</si>
  <si>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</si>
  <si>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</si>
  <si>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</si>
  <si>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</si>
  <si>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</si>
  <si>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</si>
  <si>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</si>
  <si>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</si>
  <si>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</si>
  <si>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</si>
  <si>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</si>
  <si>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</si>
  <si>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</si>
  <si>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</si>
  <si>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</si>
  <si>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</si>
  <si>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</si>
  <si>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</si>
  <si>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</si>
  <si>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</si>
  <si>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</si>
  <si>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</si>
  <si>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</si>
  <si>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</si>
  <si>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</si>
  <si>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</si>
  <si>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</si>
  <si>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</si>
  <si>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</si>
  <si>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</si>
  <si>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</si>
  <si>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</si>
  <si>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</si>
  <si>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</si>
  <si>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</si>
  <si>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</si>
  <si>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</si>
  <si>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</si>
  <si>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</si>
  <si>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</si>
  <si>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</si>
  <si>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</si>
  <si>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</si>
  <si>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</si>
  <si>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</si>
  <si>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</si>
  <si>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</si>
  <si>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</si>
  <si>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</si>
  <si>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</si>
  <si>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</si>
  <si>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</si>
  <si>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</si>
  <si>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</si>
  <si>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</si>
  <si>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</si>
  <si>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</si>
  <si>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</si>
  <si>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</si>
  <si>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</si>
  <si>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</si>
  <si>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</si>
  <si>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</si>
  <si>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</si>
  <si>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</si>
  <si>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</si>
  <si>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</si>
  <si>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</si>
  <si>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</si>
  <si>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</si>
  <si>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</si>
  <si>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</si>
  <si>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</si>
  <si>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</si>
  <si>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</si>
  <si>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</si>
  <si>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</si>
  <si>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</si>
  <si>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</si>
  <si>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</si>
  <si>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</si>
  <si>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</si>
  <si>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</si>
  <si>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</si>
  <si>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</si>
  <si>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</si>
  <si>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</si>
  <si>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</si>
  <si>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</si>
  <si>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</si>
  <si>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</si>
  <si>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</si>
  <si>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</si>
  <si>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</si>
  <si>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</si>
  <si>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</si>
  <si>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</si>
  <si>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</si>
  <si>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</si>
  <si>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</si>
  <si>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</si>
  <si>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</si>
  <si>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</si>
  <si>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</si>
  <si>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</si>
  <si>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</si>
  <si>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</si>
  <si>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</si>
  <si>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</si>
  <si>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</si>
  <si>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</si>
  <si>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</si>
  <si>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</si>
  <si>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</si>
  <si>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</si>
  <si>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</si>
  <si>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</si>
  <si>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</si>
  <si>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</si>
  <si>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</si>
  <si>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</si>
  <si>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</si>
  <si>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</si>
  <si>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</si>
  <si>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</si>
  <si>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</si>
  <si>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</si>
  <si>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</si>
  <si>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</si>
  <si>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</si>
  <si>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</si>
  <si>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</si>
  <si>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</si>
  <si>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</si>
  <si>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</si>
  <si>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</si>
  <si>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</si>
  <si>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</si>
  <si>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</si>
  <si>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</si>
  <si>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</si>
  <si>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</si>
  <si>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</si>
  <si>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</si>
  <si>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</si>
  <si>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</si>
  <si>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</si>
  <si>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</si>
  <si>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</si>
  <si>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</si>
  <si>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</si>
  <si>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</si>
  <si>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</si>
  <si>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</si>
  <si>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</si>
  <si>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</si>
  <si>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</si>
  <si>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</si>
  <si>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</si>
  <si>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</si>
  <si>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</si>
  <si>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</si>
  <si>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</si>
  <si>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</si>
  <si>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</si>
  <si>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</si>
  <si>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</si>
  <si>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</si>
  <si>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</si>
  <si>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</si>
  <si>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</si>
  <si>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</si>
  <si>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</si>
  <si>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</si>
  <si>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</si>
  <si>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</si>
  <si>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</si>
  <si>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</si>
  <si>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</si>
  <si>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</si>
  <si>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</si>
  <si>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</si>
  <si>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</si>
  <si>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</si>
  <si>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</si>
  <si>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</si>
  <si>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</si>
  <si>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</si>
  <si>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</si>
  <si>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</si>
  <si>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</si>
  <si>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</si>
  <si>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</si>
  <si>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</si>
  <si>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</si>
  <si>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</si>
  <si>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</si>
  <si>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</si>
  <si>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</si>
  <si>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</si>
  <si>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</si>
  <si>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</si>
  <si>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</si>
  <si>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</si>
  <si>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</si>
  <si>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</si>
  <si>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</si>
  <si>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</si>
  <si>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</si>
  <si>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</si>
  <si>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</si>
  <si>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</si>
  <si>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</si>
  <si>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</si>
  <si>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</si>
  <si>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</si>
  <si>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</si>
  <si>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</si>
  <si>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</si>
  <si>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</si>
  <si>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</si>
  <si>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</si>
  <si>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</si>
  <si>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</si>
  <si>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</si>
  <si>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</si>
  <si>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</si>
  <si>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</si>
  <si>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</si>
  <si>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</si>
  <si>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</si>
  <si>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</si>
  <si>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</si>
  <si>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</si>
  <si>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</si>
  <si>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</si>
  <si>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</si>
  <si>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</si>
  <si>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</si>
  <si>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</si>
  <si>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</si>
  <si>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</si>
  <si>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</si>
  <si>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</si>
  <si>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</si>
  <si>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</si>
  <si>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</si>
  <si>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</si>
  <si>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</si>
  <si>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</si>
  <si>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</si>
  <si>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</si>
  <si>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</si>
  <si>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</si>
  <si>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</si>
  <si>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</si>
  <si>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</si>
  <si>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</si>
  <si>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</si>
  <si>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</si>
  <si>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</si>
  <si>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</si>
  <si>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</si>
  <si>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</si>
  <si>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</si>
  <si>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</si>
  <si>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</si>
  <si>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</si>
  <si>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</si>
  <si>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</si>
  <si>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</si>
  <si>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</si>
  <si>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</si>
  <si>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</si>
  <si>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</si>
  <si>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</si>
  <si>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</si>
  <si>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</si>
  <si>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</si>
  <si>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</si>
  <si>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</si>
  <si>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</si>
  <si>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</si>
  <si>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</si>
  <si>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</si>
  <si>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</si>
  <si>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</si>
  <si>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</si>
  <si>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</si>
  <si>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</si>
  <si>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</si>
  <si>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</si>
  <si>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</si>
  <si>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</si>
  <si>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</si>
  <si>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</si>
  <si>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</si>
  <si>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</si>
  <si>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</si>
  <si>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</si>
  <si>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</si>
  <si>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</si>
  <si>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</si>
  <si>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</si>
  <si>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</si>
  <si>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</si>
  <si>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</si>
  <si>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</si>
  <si>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</si>
  <si>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</si>
  <si>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</si>
  <si>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</si>
  <si>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</si>
  <si>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</si>
  <si>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</si>
  <si>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</si>
  <si>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</si>
  <si>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</si>
  <si>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</si>
  <si>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</si>
  <si>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</si>
  <si>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</si>
  <si>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</si>
  <si>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</si>
  <si>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</si>
  <si>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</si>
  <si>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</si>
  <si>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</si>
  <si>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</si>
  <si>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</si>
  <si>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</si>
  <si>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</si>
  <si>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</si>
  <si>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</si>
  <si>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</si>
  <si>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</si>
  <si>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</si>
  <si>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</si>
  <si>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</si>
  <si>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</si>
  <si>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</si>
  <si>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</si>
  <si>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</si>
  <si>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</si>
  <si>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</si>
  <si>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</si>
  <si>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</si>
  <si>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</si>
  <si>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</si>
  <si>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</si>
  <si>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</si>
  <si>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</si>
  <si>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</si>
  <si>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</si>
  <si>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</si>
  <si>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</si>
  <si>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</si>
  <si>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</si>
  <si>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</si>
  <si>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</si>
  <si>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</si>
  <si>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</si>
  <si>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</si>
  <si>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</si>
  <si>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</si>
  <si>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</si>
  <si>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</si>
  <si>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</si>
  <si>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</si>
  <si>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</si>
  <si>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</si>
  <si>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</si>
  <si>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</si>
  <si>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</si>
  <si>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</si>
  <si>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</si>
  <si>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</si>
  <si>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</si>
  <si>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</si>
  <si>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</si>
  <si>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</si>
  <si>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</si>
  <si>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</si>
  <si>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</si>
  <si>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</si>
  <si>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</si>
  <si>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</si>
  <si>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</si>
  <si>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</si>
  <si>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</si>
  <si>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</si>
  <si>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</si>
  <si>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</si>
  <si>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</si>
  <si>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</si>
  <si>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</si>
  <si>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</si>
  <si>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</si>
  <si>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</si>
  <si>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</si>
  <si>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</si>
  <si>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</si>
  <si>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</si>
  <si>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</si>
  <si>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</si>
  <si>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</si>
  <si>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</si>
  <si>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</si>
  <si>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</si>
  <si>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</si>
  <si>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</si>
  <si>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</si>
  <si>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</si>
  <si>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</si>
  <si>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</si>
  <si>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</si>
  <si>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</si>
  <si>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</si>
  <si>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</si>
  <si>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</si>
  <si>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</si>
  <si>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</si>
  <si>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</si>
  <si>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</si>
  <si>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</si>
  <si>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</si>
  <si>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</si>
  <si>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</si>
  <si>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</si>
  <si>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</si>
  <si>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</si>
  <si>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</si>
  <si>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</si>
  <si>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</si>
  <si>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</si>
  <si>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</si>
  <si>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</si>
  <si>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</si>
  <si>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</si>
  <si>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</si>
  <si>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</si>
  <si>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</si>
  <si>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</si>
  <si>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</si>
  <si>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</si>
  <si>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</si>
  <si>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</si>
  <si>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</si>
  <si>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</si>
  <si>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</si>
  <si>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</si>
  <si>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</si>
  <si>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</si>
  <si>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</si>
  <si>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</si>
  <si>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</si>
  <si>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</si>
  <si>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</si>
  <si>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</si>
  <si>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</si>
  <si>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</si>
  <si>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</si>
  <si>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</si>
  <si>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</si>
  <si>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</si>
  <si>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</si>
  <si>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</si>
  <si>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</si>
  <si>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</si>
  <si>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</si>
  <si>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</si>
  <si>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</si>
  <si>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</si>
  <si>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</si>
  <si>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</si>
  <si>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</si>
  <si>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</si>
  <si>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</si>
  <si>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</si>
  <si>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</si>
  <si>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</si>
  <si>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</si>
  <si>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</si>
  <si>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</si>
  <si>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</si>
  <si>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</si>
  <si>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</si>
  <si>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</si>
  <si>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</si>
  <si>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</si>
  <si>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</si>
  <si>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</si>
  <si>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</si>
  <si>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</si>
  <si>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</si>
  <si>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</si>
  <si>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</si>
  <si>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</si>
  <si>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</si>
  <si>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</si>
  <si>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</si>
  <si>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</si>
  <si>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</si>
  <si>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</si>
  <si>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</si>
  <si>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</si>
  <si>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</si>
  <si>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</si>
  <si>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</si>
  <si>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</si>
  <si>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</si>
  <si>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</si>
  <si>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</si>
  <si>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</si>
  <si>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</si>
  <si>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</si>
  <si>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</si>
  <si>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</si>
  <si>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</si>
  <si>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</si>
  <si>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</si>
  <si>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</si>
  <si>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</si>
  <si>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</si>
  <si>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</si>
  <si>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</si>
  <si>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</si>
  <si>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</si>
  <si>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</si>
  <si>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</si>
  <si>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</si>
  <si>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</si>
  <si>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</si>
  <si>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</si>
  <si>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</si>
  <si>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</si>
  <si>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</si>
  <si>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</si>
  <si>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</si>
  <si>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</si>
  <si>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</si>
  <si>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</si>
  <si>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</si>
  <si>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</si>
  <si>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</si>
  <si>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</si>
  <si>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</si>
  <si>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</si>
  <si>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</si>
  <si>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</si>
  <si>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</si>
  <si>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</si>
  <si>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</si>
  <si>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</si>
  <si>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</si>
  <si>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</si>
  <si>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</si>
  <si>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</si>
  <si>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</si>
  <si>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</si>
  <si>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</si>
  <si>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</si>
  <si>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</si>
  <si>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</si>
  <si>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</si>
  <si>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</si>
  <si>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</si>
  <si>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</si>
  <si>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</si>
  <si>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</si>
  <si>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</si>
  <si>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</si>
  <si>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</si>
  <si>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</si>
  <si>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</si>
  <si>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</si>
  <si>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</si>
  <si>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</si>
  <si>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</si>
  <si>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</si>
  <si>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</si>
  <si>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</si>
  <si>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</si>
  <si>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</si>
  <si>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</si>
  <si>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</si>
  <si>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</si>
  <si>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</si>
  <si>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</si>
  <si>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</si>
  <si>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</si>
  <si>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</si>
  <si>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</si>
  <si>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</si>
  <si>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</si>
  <si>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</si>
  <si>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</si>
  <si>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</si>
  <si>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</si>
  <si>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</si>
  <si>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</si>
  <si>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</si>
  <si>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</si>
  <si>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</si>
  <si>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</si>
  <si>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</si>
  <si>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</si>
  <si>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</si>
  <si>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</si>
  <si>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</si>
  <si>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</si>
  <si>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</si>
  <si>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</si>
  <si>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</si>
  <si>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</si>
  <si>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</si>
  <si>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</si>
  <si>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</si>
  <si>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</si>
  <si>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</si>
  <si>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</si>
  <si>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</si>
  <si>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</si>
  <si>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</si>
  <si>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</si>
  <si>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</si>
  <si>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</si>
  <si>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</si>
  <si>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</si>
  <si>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</si>
  <si>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</si>
  <si>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</si>
  <si>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</si>
  <si>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</si>
  <si>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</si>
  <si>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</si>
  <si>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</si>
  <si>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UNCONTACTED : Mail Box - Memo Benita Lailani 40951377|MYDITA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</si>
  <si>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</si>
  <si>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</si>
  <si>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</si>
  <si>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</si>
  <si>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</si>
  <si>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</si>
  <si>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</si>
  <si>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</si>
  <si>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</si>
  <si>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</si>
  <si>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</si>
  <si>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</si>
  <si>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</si>
  <si>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</si>
  <si>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</si>
  <si>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</si>
  <si>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</si>
  <si>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</si>
  <si>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</si>
  <si>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</si>
  <si>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</si>
  <si>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</si>
  <si>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</si>
  <si>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</si>
  <si>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</si>
  <si>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</si>
  <si>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</si>
  <si>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</si>
  <si>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</si>
  <si>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</si>
  <si>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</si>
  <si>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</si>
  <si>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</si>
  <si>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</si>
  <si>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</si>
  <si>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</si>
  <si>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</si>
  <si>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</si>
  <si>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</si>
  <si>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</si>
  <si>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</si>
  <si>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</si>
  <si>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</si>
  <si>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</si>
  <si>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</si>
  <si>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</si>
  <si>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</si>
  <si>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</si>
  <si>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</si>
  <si>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</si>
  <si>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</si>
  <si>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</si>
  <si>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</si>
  <si>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</si>
  <si>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</si>
  <si>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</si>
  <si>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Provisioning Failed|UIM|INF009675182|Service with External Object Id 69404195_172601248323_INTERNET already exists.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</si>
  <si>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</si>
  <si>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</si>
  <si>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</si>
  <si>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</si>
  <si>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</si>
  <si>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</si>
  <si>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</si>
  <si>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</si>
  <si>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</si>
  <si>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</si>
  <si>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</si>
  <si>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</si>
  <si>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</si>
  <si>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</si>
  <si>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</si>
  <si>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</si>
  <si>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</si>
  <si>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</si>
  <si>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</si>
  <si>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</si>
  <si>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</si>
  <si>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</si>
  <si>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</si>
  <si>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</si>
  <si>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</si>
  <si>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</si>
  <si>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</si>
  <si>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</si>
  <si>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</si>
  <si>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</si>
  <si>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</si>
  <si>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</si>
  <si>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</si>
  <si>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</si>
  <si>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</si>
  <si>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</si>
  <si>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</si>
  <si>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</si>
  <si>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</si>
  <si>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</si>
  <si>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</si>
  <si>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</si>
  <si>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</si>
  <si>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</si>
  <si>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</si>
  <si>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</si>
  <si>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</si>
  <si>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</si>
  <si>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</si>
  <si>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</si>
  <si>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</si>
  <si>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</si>
  <si>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</si>
  <si>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</si>
  <si>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</si>
  <si>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</si>
  <si>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</si>
  <si>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</si>
  <si>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</si>
  <si>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</si>
  <si>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</si>
  <si>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</si>
  <si>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</si>
  <si>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</si>
  <si>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</si>
  <si>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</si>
  <si>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</si>
  <si>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</si>
  <si>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</si>
  <si>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</si>
  <si>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</si>
  <si>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</si>
  <si>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</si>
  <si>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</si>
  <si>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</si>
  <si>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</si>
  <si>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</si>
  <si>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</si>
  <si>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</si>
  <si>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</si>
  <si>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</si>
  <si>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</si>
  <si>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</si>
  <si>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</si>
  <si>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</si>
  <si>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</si>
  <si>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</si>
  <si>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</si>
  <si>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</si>
  <si>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</si>
  <si>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</si>
  <si>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</si>
  <si>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</si>
  <si>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</si>
  <si>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</si>
  <si>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</si>
  <si>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</si>
  <si>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</si>
  <si>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</si>
  <si>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</si>
  <si>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</si>
  <si>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</si>
  <si>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</si>
  <si>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</si>
  <si>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</si>
  <si>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</si>
  <si>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</si>
  <si>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</si>
  <si>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</si>
  <si>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</si>
  <si>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</si>
  <si>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</si>
  <si>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</si>
  <si>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</si>
  <si>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</si>
  <si>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</si>
  <si>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</si>
  <si>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</si>
  <si>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</si>
  <si>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</si>
  <si>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</si>
  <si>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</si>
  <si>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</si>
  <si>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</si>
  <si>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</si>
  <si>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</si>
  <si>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</si>
  <si>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</si>
  <si>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</si>
  <si>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</si>
  <si>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</si>
  <si>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</si>
  <si>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</si>
  <si>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</si>
  <si>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</si>
  <si>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</si>
  <si>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</si>
  <si>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</si>
  <si>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</si>
  <si>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</si>
  <si>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</si>
  <si>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</si>
  <si>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</si>
  <si>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</si>
  <si>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</si>
  <si>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</si>
  <si>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</si>
  <si>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</si>
  <si>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</si>
  <si>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Provisioning Failed|WFM|INF009667239|KENDALA MATERIAL ONT PREMIUM KOSONG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</si>
  <si>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</si>
  <si>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</si>
  <si>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</si>
  <si>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</si>
  <si>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</si>
  <si>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</si>
  <si>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</si>
  <si>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</si>
  <si>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</si>
  <si>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</si>
  <si>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</si>
  <si>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</si>
  <si>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</si>
  <si>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</si>
  <si>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</si>
  <si>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</si>
  <si>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</si>
  <si>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</si>
  <si>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</si>
  <si>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</si>
  <si>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</si>
  <si>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</si>
  <si>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</si>
  <si>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</si>
  <si>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</si>
  <si>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</si>
  <si>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</si>
  <si>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</si>
  <si>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</si>
  <si>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</si>
  <si>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</si>
  <si>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</si>
  <si>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</si>
  <si>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</si>
  <si>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</si>
  <si>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</si>
  <si>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</si>
  <si>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</si>
  <si>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</si>
  <si>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</si>
  <si>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</si>
  <si>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</si>
  <si>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</si>
  <si>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</si>
  <si>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</si>
  <si>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</si>
  <si>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</si>
  <si>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</si>
  <si>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</si>
  <si>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</si>
  <si>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</si>
  <si>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</si>
  <si>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</si>
  <si>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</si>
  <si>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</si>
  <si>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</si>
  <si>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</si>
  <si>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</si>
  <si>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</si>
  <si>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</si>
  <si>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</si>
  <si>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</si>
  <si>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</si>
  <si>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</si>
  <si>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</si>
  <si>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</si>
  <si>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</si>
  <si>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</si>
  <si>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</si>
  <si>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</si>
  <si>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</si>
  <si>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</si>
  <si>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</si>
  <si>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</si>
  <si>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</si>
  <si>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</si>
  <si>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</si>
  <si>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</si>
  <si>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</si>
  <si>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</si>
  <si>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</si>
  <si>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</si>
  <si>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</si>
  <si>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</si>
  <si>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</si>
  <si>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</si>
  <si>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</si>
  <si>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</si>
  <si>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</si>
  <si>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</si>
  <si>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</si>
  <si>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</si>
  <si>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</si>
  <si>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</si>
  <si>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</si>
  <si>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</si>
  <si>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</si>
  <si>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</si>
  <si>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</si>
  <si>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</si>
  <si>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</si>
  <si>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</si>
  <si>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</si>
  <si>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</si>
  <si>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</si>
  <si>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</si>
  <si>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</si>
  <si>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</si>
  <si>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</si>
  <si>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</si>
  <si>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</si>
  <si>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</si>
  <si>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</si>
  <si>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</si>
  <si>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</si>
  <si>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</si>
  <si>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</si>
  <si>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</si>
  <si>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</si>
  <si>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</si>
  <si>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</si>
  <si>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</si>
  <si>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</si>
  <si>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</si>
  <si>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</si>
  <si>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</si>
  <si>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</si>
  <si>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</si>
  <si>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</si>
  <si>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</si>
  <si>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</si>
  <si>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</si>
  <si>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</si>
  <si>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</si>
  <si>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</si>
  <si>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</si>
  <si>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</si>
  <si>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</si>
  <si>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</si>
  <si>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</si>
  <si>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</si>
  <si>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</si>
  <si>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</si>
  <si>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</si>
  <si>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</si>
  <si>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</si>
  <si>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</si>
  <si>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</si>
  <si>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</si>
  <si>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</si>
  <si>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</si>
  <si>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</si>
  <si>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</si>
  <si>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</si>
  <si>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</si>
  <si>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</si>
  <si>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</si>
  <si>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</si>
  <si>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</si>
  <si>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</si>
  <si>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</si>
  <si>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</si>
  <si>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</si>
  <si>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</si>
  <si>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</si>
  <si>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</si>
  <si>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</si>
  <si>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</si>
  <si>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</si>
  <si>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</si>
  <si>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</si>
  <si>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</si>
  <si>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</si>
  <si>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</si>
  <si>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</si>
  <si>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</si>
  <si>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</si>
  <si>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</si>
  <si>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</si>
  <si>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</si>
  <si>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</si>
  <si>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</si>
  <si>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</si>
  <si>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</si>
  <si>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</si>
  <si>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</si>
  <si>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</si>
  <si>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</si>
  <si>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</si>
  <si>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</si>
  <si>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</si>
  <si>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</si>
  <si>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Provisioning Failed|WFM|INF009679920|PP_-7.0897632999999995,110.04469329999999_PP_PELANGGAN MANJA PEMASANGAN 08 OKTOBER 2026.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</si>
  <si>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</si>
  <si>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</si>
  <si>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</si>
  <si>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</si>
  <si>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</si>
  <si>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</si>
  <si>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</si>
  <si>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</si>
  <si>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</si>
  <si>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</si>
  <si>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</si>
  <si>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</si>
  <si>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</si>
  <si>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</si>
  <si>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</si>
  <si>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</si>
  <si>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</si>
  <si>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</si>
  <si>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</si>
  <si>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</si>
  <si>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</si>
  <si>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</si>
  <si>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</si>
  <si>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</si>
  <si>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</si>
  <si>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</si>
  <si>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</si>
  <si>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</si>
  <si>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</si>
  <si>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</si>
  <si>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</si>
  <si>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</si>
  <si>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</si>
  <si>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</si>
  <si>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</si>
  <si>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</si>
  <si>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</si>
  <si>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</si>
  <si>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</si>
  <si>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</si>
  <si>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</si>
  <si>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</si>
  <si>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</si>
  <si>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</si>
  <si>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</si>
  <si>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</si>
  <si>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</si>
  <si>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</si>
  <si>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</si>
  <si>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</si>
  <si>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</si>
  <si>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</si>
  <si>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</si>
  <si>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</si>
  <si>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</si>
  <si>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</si>
  <si>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</si>
  <si>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</si>
  <si>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</si>
  <si>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</si>
  <si>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</si>
  <si>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</si>
  <si>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</si>
  <si>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</si>
  <si>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</si>
  <si>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</si>
  <si>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</si>
  <si>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</si>
  <si>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</si>
  <si>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</si>
  <si>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</si>
  <si>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</si>
  <si>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</si>
  <si>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</si>
  <si>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</si>
  <si>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</si>
  <si>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</si>
  <si>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</si>
  <si>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</si>
  <si>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</si>
  <si>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</si>
  <si>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</si>
  <si>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</si>
  <si>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</si>
  <si>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</si>
  <si>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</si>
  <si>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</si>
  <si>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</si>
  <si>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</si>
  <si>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</si>
  <si>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</si>
  <si>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</si>
  <si>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</si>
  <si>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</si>
  <si>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</si>
  <si>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</si>
  <si>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</si>
  <si>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</si>
  <si>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</si>
  <si>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</si>
  <si>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</si>
  <si>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</si>
  <si>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</si>
  <si>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</si>
  <si>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</si>
  <si>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</si>
  <si>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</si>
  <si>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</si>
  <si>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</si>
  <si>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</si>
  <si>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</si>
  <si>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</si>
  <si>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</si>
  <si>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</si>
  <si>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</si>
  <si>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</si>
  <si>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</si>
  <si>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</si>
  <si>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</si>
  <si>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</si>
  <si>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</si>
  <si>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</si>
  <si>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</si>
  <si>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</si>
  <si>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</si>
  <si>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</si>
  <si>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</si>
  <si>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</si>
  <si>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</si>
  <si>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</si>
  <si>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</si>
  <si>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</si>
  <si>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</si>
  <si>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</si>
  <si>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</si>
  <si>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</si>
  <si>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</si>
  <si>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</si>
  <si>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</si>
  <si>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</si>
  <si>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</si>
  <si>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</si>
  <si>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</si>
  <si>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</si>
  <si>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</si>
  <si>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</si>
  <si>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</si>
  <si>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</si>
  <si>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</si>
  <si>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</si>
  <si>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Provisioning Failed|WFM|INF009661791|PDI_-9.6253849,119.4040576_dobel input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</si>
  <si>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</si>
  <si>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</si>
  <si>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</si>
  <si>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</si>
  <si>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</si>
  <si>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</si>
  <si>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</si>
  <si>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</si>
  <si>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</si>
  <si>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</si>
  <si>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</si>
  <si>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</si>
  <si>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</si>
  <si>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</si>
  <si>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</si>
  <si>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</si>
  <si>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</si>
  <si>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</si>
  <si>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</si>
  <si>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</si>
  <si>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</si>
  <si>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</si>
  <si>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</si>
  <si>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</si>
  <si>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</si>
  <si>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</si>
  <si>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</si>
  <si>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</si>
  <si>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</si>
  <si>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</si>
  <si>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</si>
  <si>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</si>
  <si>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</si>
  <si>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</si>
  <si>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</si>
  <si>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</si>
  <si>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</si>
  <si>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</si>
  <si>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</si>
  <si>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</si>
  <si>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</si>
  <si>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</si>
  <si>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</si>
  <si>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</si>
  <si>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</si>
  <si>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</si>
  <si>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</si>
  <si>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</si>
  <si>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</si>
  <si>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</si>
  <si>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</si>
  <si>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</si>
  <si>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</si>
  <si>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</si>
  <si>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</si>
  <si>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</si>
  <si>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</si>
  <si>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</si>
  <si>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</si>
  <si>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</si>
  <si>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</si>
  <si>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</si>
  <si>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</si>
  <si>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</si>
  <si>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</si>
  <si>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</si>
  <si>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</si>
  <si>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</si>
  <si>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</si>
  <si>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</si>
  <si>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</si>
  <si>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</si>
  <si>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</si>
  <si>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</si>
  <si>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</si>
  <si>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</si>
  <si>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</si>
  <si>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</si>
  <si>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</si>
  <si>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</si>
  <si>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</si>
  <si>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</si>
  <si>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</si>
  <si>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</si>
  <si>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</si>
  <si>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</si>
  <si>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</si>
  <si>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</si>
  <si>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</si>
  <si>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</si>
  <si>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</si>
  <si>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</si>
  <si>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</si>
  <si>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</si>
  <si>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</si>
  <si>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</si>
  <si>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</si>
  <si>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</si>
  <si>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</si>
  <si>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</si>
  <si>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</si>
  <si>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</si>
  <si>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</si>
  <si>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</si>
  <si>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</si>
  <si>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</si>
  <si>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</si>
  <si>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</si>
  <si>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</si>
  <si>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</si>
  <si>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</si>
  <si>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</si>
  <si>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</si>
  <si>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</si>
  <si>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</si>
  <si>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</si>
  <si>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</si>
  <si>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</si>
  <si>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</si>
  <si>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</si>
  <si>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</si>
  <si>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MYCX - SEND OPEN PAPERLESS</t>
  </si>
  <si>
    <t>SEND PAPERLESS OPEN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</si>
  <si>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</si>
  <si>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</si>
  <si>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</si>
  <si>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</si>
  <si>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</si>
  <si>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</si>
  <si>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</si>
  <si>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</si>
  <si>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</si>
  <si>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</si>
  <si>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</si>
  <si>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</si>
  <si>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</si>
  <si>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</si>
  <si>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</si>
  <si>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</si>
  <si>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</si>
  <si>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</si>
  <si>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</si>
  <si>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</si>
  <si>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</si>
  <si>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</si>
  <si>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</si>
  <si>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</si>
  <si>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</si>
  <si>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</si>
  <si>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</si>
  <si>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</si>
  <si>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</si>
  <si>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</si>
  <si>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</si>
  <si>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</si>
  <si>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</si>
  <si>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</si>
  <si>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</si>
  <si>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</si>
  <si>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</si>
  <si>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</si>
  <si>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</si>
  <si>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</si>
  <si>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</si>
  <si>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</si>
  <si>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</si>
  <si>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</si>
  <si>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</si>
  <si>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</si>
  <si>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</si>
  <si>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</si>
  <si>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</si>
  <si>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</si>
  <si>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</si>
  <si>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</si>
  <si>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</si>
  <si>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</si>
  <si>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</si>
  <si>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</si>
  <si>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</si>
  <si>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</si>
  <si>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</si>
  <si>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</si>
  <si>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</si>
  <si>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</si>
  <si>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</si>
  <si>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</si>
  <si>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</si>
  <si>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</si>
  <si>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</si>
  <si>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</si>
  <si>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</si>
  <si>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</si>
  <si>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</si>
  <si>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</si>
  <si>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</si>
  <si>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</si>
  <si>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</si>
  <si>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</si>
  <si>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</si>
  <si>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</si>
  <si>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</si>
  <si>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</si>
  <si>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</si>
  <si>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</si>
  <si>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</si>
  <si>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</si>
  <si>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</si>
  <si>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</si>
  <si>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</si>
  <si>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</si>
  <si>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</si>
  <si>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</si>
  <si>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</si>
  <si>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</si>
  <si>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</si>
  <si>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</si>
  <si>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</si>
  <si>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</si>
  <si>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</si>
  <si>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</si>
  <si>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</si>
  <si>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</si>
  <si>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</si>
  <si>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</si>
  <si>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</si>
  <si>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</si>
  <si>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</si>
  <si>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</si>
  <si>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</si>
  <si>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</si>
  <si>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</si>
  <si>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</si>
  <si>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</si>
  <si>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</si>
  <si>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</si>
  <si>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</si>
  <si>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</si>
  <si>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</si>
  <si>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</si>
  <si>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</si>
  <si>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</si>
  <si>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</si>
  <si>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</si>
  <si>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</si>
  <si>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</si>
  <si>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</si>
  <si>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</si>
  <si>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</si>
  <si>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</si>
  <si>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</si>
  <si>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</si>
  <si>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</si>
  <si>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</si>
  <si>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</si>
  <si>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</si>
  <si>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</si>
  <si>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</si>
  <si>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</si>
  <si>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</si>
  <si>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</si>
  <si>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</si>
  <si>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</si>
  <si>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</si>
  <si>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</si>
  <si>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</si>
  <si>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</si>
  <si>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</si>
  <si>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</si>
  <si>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</si>
  <si>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</si>
  <si>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</si>
  <si>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</si>
  <si>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</si>
  <si>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</si>
  <si>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MIE - INVALID SURVEY - Double Input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</si>
  <si>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</si>
  <si>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</si>
  <si>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</si>
  <si>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</si>
  <si>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</si>
  <si>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</si>
  <si>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</si>
  <si>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</si>
  <si>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</si>
  <si>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</si>
  <si>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</si>
  <si>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</si>
  <si>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</si>
  <si>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</si>
  <si>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</si>
  <si>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</si>
  <si>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</si>
  <si>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</si>
  <si>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</si>
  <si>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</si>
  <si>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</si>
  <si>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</si>
  <si>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</si>
  <si>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</si>
  <si>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</si>
  <si>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</si>
  <si>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</si>
  <si>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</si>
  <si>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</si>
  <si>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</si>
  <si>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</si>
  <si>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</si>
  <si>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</si>
  <si>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</si>
  <si>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</si>
  <si>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</si>
  <si>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</si>
  <si>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</si>
  <si>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</si>
  <si>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</si>
  <si>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</si>
  <si>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</si>
  <si>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</si>
  <si>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</si>
  <si>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</si>
  <si>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</si>
  <si>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</si>
  <si>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</si>
  <si>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</si>
  <si>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</si>
  <si>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</si>
  <si>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MIE - INVALID SURVEY - Salah Tagging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</si>
  <si>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</si>
  <si>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</si>
  <si>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</si>
  <si>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</si>
  <si>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</si>
  <si>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</si>
  <si>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</si>
  <si>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</si>
  <si>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</si>
  <si>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</si>
  <si>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</si>
  <si>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</si>
  <si>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</si>
  <si>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</si>
  <si>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</si>
  <si>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</si>
  <si>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</si>
  <si>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</si>
  <si>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</si>
  <si>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</si>
  <si>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</si>
  <si>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</si>
  <si>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</si>
  <si>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</si>
  <si>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</si>
  <si>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</si>
  <si>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</si>
  <si>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</si>
  <si>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</si>
  <si>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</si>
  <si>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</si>
  <si>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</si>
  <si>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</si>
  <si>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</si>
  <si>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</si>
  <si>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</si>
  <si>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</si>
  <si>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</si>
  <si>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</si>
  <si>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</si>
  <si>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</si>
  <si>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</si>
  <si>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</si>
  <si>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</si>
  <si>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</si>
  <si>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</si>
  <si>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</si>
  <si>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</si>
  <si>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</si>
  <si>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Provisioning Failed|WFM|INF009681427|PP_-7.5632887,110.8095345_pelanggan minta di undur tangal 8. karena masih diklat di sema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</si>
  <si>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</si>
  <si>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</si>
  <si>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</si>
  <si>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</si>
  <si>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</si>
  <si>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</si>
  <si>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</si>
  <si>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</si>
  <si>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</si>
  <si>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</si>
  <si>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</si>
  <si>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</si>
  <si>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</si>
  <si>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</si>
  <si>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</si>
  <si>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</si>
  <si>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</si>
  <si>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</si>
  <si>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</si>
  <si>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</si>
  <si>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</si>
  <si>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</si>
  <si>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</si>
  <si>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</si>
  <si>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</si>
  <si>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</si>
  <si>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</si>
  <si>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</si>
  <si>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</si>
  <si>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</si>
  <si>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</si>
  <si>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</si>
  <si>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</si>
  <si>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</si>
  <si>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</si>
  <si>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</si>
  <si>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</si>
  <si>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</si>
  <si>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</si>
  <si>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</si>
  <si>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</si>
  <si>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</si>
  <si>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</si>
  <si>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</si>
  <si>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</si>
  <si>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</si>
  <si>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</si>
  <si>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</si>
  <si>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</si>
  <si>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</si>
  <si>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</si>
  <si>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</si>
  <si>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</si>
  <si>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</si>
  <si>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</si>
  <si>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</si>
  <si>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</si>
  <si>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</si>
  <si>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</si>
  <si>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</si>
  <si>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</si>
  <si>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</si>
  <si>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</si>
  <si>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</si>
  <si>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</si>
  <si>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</si>
  <si>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</si>
  <si>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</si>
  <si>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</si>
  <si>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</si>
  <si>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</si>
  <si>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</si>
  <si>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</si>
  <si>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</si>
  <si>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</si>
  <si>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</si>
  <si>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Provisioning Failed|WFM|INF009695459|-6.939051, 110.251267 | TNO_RADIUS 250M NO ODP, ODP TERDEKAT JARAK 350M.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</si>
  <si>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</si>
  <si>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</si>
  <si>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</si>
  <si>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</si>
  <si>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</si>
  <si>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</si>
  <si>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</si>
  <si>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</si>
  <si>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</si>
  <si>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</si>
  <si>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</si>
  <si>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</si>
  <si>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</si>
  <si>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</si>
  <si>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</si>
  <si>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</si>
  <si>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</si>
  <si>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</si>
  <si>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</si>
  <si>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</si>
  <si>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</si>
  <si>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</si>
  <si>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</si>
  <si>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</si>
  <si>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</si>
  <si>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</si>
  <si>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</si>
  <si>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</si>
  <si>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</si>
  <si>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</si>
  <si>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</si>
  <si>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</si>
  <si>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</si>
  <si>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</si>
  <si>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</si>
  <si>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</si>
  <si>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</si>
  <si>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</si>
  <si>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</si>
  <si>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</si>
  <si>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</si>
  <si>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</si>
  <si>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</si>
  <si>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</si>
  <si>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</si>
  <si>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</si>
  <si>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</si>
  <si>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</si>
  <si>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</si>
  <si>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</si>
  <si>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</si>
  <si>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</si>
  <si>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</si>
  <si>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</si>
  <si>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</si>
  <si>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</si>
  <si>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</si>
  <si>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</si>
  <si>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</si>
  <si>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</si>
  <si>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</si>
  <si>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</si>
  <si>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</si>
  <si>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</si>
  <si>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</si>
  <si>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</si>
  <si>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</si>
  <si>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</si>
  <si>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</si>
  <si>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</si>
  <si>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</si>
  <si>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</si>
  <si>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</si>
  <si>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</si>
  <si>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</si>
  <si>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</si>
  <si>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</si>
  <si>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</si>
  <si>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</si>
  <si>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</si>
  <si>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</si>
  <si>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</si>
  <si>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</si>
  <si>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</si>
  <si>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</si>
  <si>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</si>
  <si>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</si>
  <si>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</si>
  <si>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</si>
  <si>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</si>
  <si>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</si>
  <si>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</si>
  <si>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</si>
  <si>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</si>
  <si>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</si>
  <si>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</si>
  <si>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</si>
  <si>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</si>
  <si>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</si>
  <si>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</si>
  <si>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</si>
  <si>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</si>
  <si>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</si>
  <si>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</si>
  <si>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</si>
  <si>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</si>
  <si>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</si>
  <si>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</si>
  <si>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</si>
  <si>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</si>
  <si>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</si>
  <si>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</si>
  <si>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</si>
  <si>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</si>
  <si>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</si>
  <si>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</si>
  <si>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</si>
  <si>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</si>
  <si>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</si>
  <si>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</si>
  <si>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</si>
  <si>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</si>
  <si>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</si>
  <si>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</si>
  <si>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</si>
  <si>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</si>
  <si>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</si>
  <si>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</si>
  <si>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</si>
  <si>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</si>
  <si>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</si>
  <si>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</si>
  <si>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</si>
  <si>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</si>
  <si>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</si>
  <si>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</si>
  <si>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</si>
  <si>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</si>
  <si>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</si>
  <si>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</si>
  <si>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</si>
  <si>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</si>
  <si>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</si>
  <si>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</si>
  <si>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</si>
  <si>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</si>
  <si>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</si>
  <si>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</si>
  <si>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</si>
  <si>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</si>
  <si>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</si>
  <si>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</si>
  <si>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</si>
  <si>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</si>
  <si>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</si>
  <si>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</si>
  <si>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</si>
  <si>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</si>
  <si>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</si>
  <si>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</si>
  <si>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</si>
  <si>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</si>
  <si>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</si>
  <si>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</si>
  <si>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</si>
  <si>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</si>
  <si>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</si>
  <si>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</si>
  <si>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</si>
  <si>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</si>
  <si>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</si>
  <si>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</si>
  <si>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</si>
  <si>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</si>
  <si>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</si>
  <si>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</si>
  <si>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</si>
  <si>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</si>
  <si>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</si>
  <si>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</si>
  <si>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</si>
  <si>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</si>
  <si>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</si>
  <si>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</si>
  <si>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</si>
  <si>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</si>
  <si>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</si>
  <si>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</si>
  <si>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</si>
  <si>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</si>
  <si>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</si>
  <si>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</si>
  <si>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</si>
  <si>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</si>
  <si>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</si>
  <si>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</si>
  <si>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</si>
  <si>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</si>
  <si>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</si>
  <si>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</si>
  <si>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</si>
  <si>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</si>
  <si>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</si>
  <si>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</si>
  <si>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</si>
  <si>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</si>
  <si>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</si>
  <si>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</si>
  <si>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</si>
  <si>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</si>
  <si>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</si>
  <si>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</si>
  <si>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</si>
  <si>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</si>
  <si>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</si>
  <si>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</si>
  <si>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</si>
  <si>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</si>
  <si>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</si>
  <si>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</si>
  <si>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</si>
  <si>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</si>
  <si>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</si>
  <si>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</si>
  <si>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</si>
  <si>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</si>
  <si>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</si>
  <si>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</si>
  <si>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</si>
  <si>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</si>
  <si>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</si>
  <si>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</si>
  <si>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</si>
  <si>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</si>
  <si>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</si>
  <si>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</si>
  <si>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</si>
  <si>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</si>
  <si>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</si>
  <si>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</si>
  <si>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</si>
  <si>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</si>
  <si>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 xml:space="preserve">QC MIA - INVALID QUALITY CONTROL MIA - Tidak Mengunggah Foto Lokasi Instalasi Tampak Depan Menyeluruh - 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</si>
  <si>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</si>
  <si>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</si>
  <si>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</si>
  <si>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</si>
  <si>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</si>
  <si>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</si>
  <si>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</si>
  <si>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</si>
  <si>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QC MIA - INVALID QUALITY CONTROL MIA - Tidak Mengunggah Identitas - Tidak upload KTP dan mohon upload dokumen usaha dan lokas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</si>
  <si>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</si>
  <si>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</si>
  <si>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</si>
  <si>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</si>
  <si>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</si>
  <si>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</si>
  <si>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</si>
  <si>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Provisioning Failed|WFM|INF009701912|PDI_-8.57742,116.0819372_double input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</si>
  <si>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</si>
  <si>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</si>
  <si>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</si>
  <si>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</si>
  <si>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</si>
  <si>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</si>
  <si>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</si>
  <si>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</si>
  <si>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</si>
  <si>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</si>
  <si>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</si>
  <si>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</si>
  <si>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</si>
  <si>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</si>
  <si>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</si>
  <si>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Provisioning Failed|UIM|INF009707570|1029:Reservation not found for Broadband CFS with Reservation ID : 39612408258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</si>
  <si>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</si>
  <si>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</si>
  <si>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</si>
  <si>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</si>
  <si>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</si>
  <si>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</si>
  <si>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</si>
  <si>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</si>
  <si>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</si>
  <si>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</si>
  <si>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</si>
  <si>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Inprogress Alpro, SC Lama : SC1002575954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</si>
  <si>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</si>
  <si>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</si>
  <si>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</si>
  <si>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</si>
  <si>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</si>
  <si>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</si>
  <si>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</si>
  <si>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</si>
  <si>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</si>
  <si>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ODP-SBW-FAY/29 FAY/D06/29.01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</si>
  <si>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</si>
  <si>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</si>
  <si>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</si>
  <si>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</si>
  <si>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</si>
  <si>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</si>
  <si>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</si>
  <si>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</si>
  <si>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</si>
  <si>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</si>
  <si>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</si>
  <si>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</si>
  <si>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</si>
  <si>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</si>
  <si>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</si>
  <si>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2026-09-29 08:00:00|Nama PIC : Ibu Revika No HP : 085198460388 No Alt : - M Janji : 29 Sept 2026 Jam Pasang : Pagi / Siang Note : hubungi pelanggan jika ingin kelokasi|40951378|MYDITA</t>
  </si>
  <si>
    <t>Inprogress Alpro, SC Lama : SC1002608766</t>
  </si>
  <si>
    <t>PUSKESMAS SETELUK 4</t>
  </si>
  <si>
    <t>WO065214175</t>
  </si>
  <si>
    <t>RBS|HSI|AO|MN01595|PUSKESMAS SETELUK 4|85198460388|HSI Bisnis Basic Bundling OCA Breach Checker Promo H2 2026 PSB 70% - 50Mbps</t>
  </si>
  <si>
    <t>Inprogress Alpro, SC Lama : SC1002608791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</si>
  <si>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</si>
  <si>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</si>
  <si>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</si>
  <si>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</si>
  <si>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</si>
  <si>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</si>
  <si>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</si>
  <si>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</si>
  <si>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</si>
  <si>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</si>
  <si>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</si>
  <si>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</si>
  <si>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</si>
  <si>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</si>
  <si>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</si>
  <si>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</si>
  <si>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</si>
  <si>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</si>
  <si>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</si>
  <si>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</si>
  <si>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</si>
  <si>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</si>
  <si>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</si>
  <si>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</si>
  <si>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</si>
  <si>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</si>
  <si>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</si>
  <si>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</si>
  <si>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</si>
  <si>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</si>
  <si>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</si>
  <si>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</si>
  <si>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</si>
  <si>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</si>
  <si>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</si>
  <si>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</si>
  <si>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</si>
  <si>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</si>
  <si>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</si>
  <si>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</si>
  <si>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</si>
  <si>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</si>
  <si>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</si>
  <si>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</si>
  <si>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</si>
  <si>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</si>
  <si>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</si>
  <si>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</si>
  <si>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</si>
  <si>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</si>
  <si>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</si>
  <si>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</si>
  <si>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</si>
  <si>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</si>
  <si>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</si>
  <si>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</si>
  <si>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QC MIA - INVALID QUALITY CONTROL MIA - Foto Lokasi Instalasi Tidak Valid - ingin konfirmasi nama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</si>
  <si>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</si>
  <si>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</si>
  <si>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</si>
  <si>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</si>
  <si>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</si>
  <si>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</si>
  <si>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</si>
  <si>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Provisioning Failed|UIM|INF009707481|Service with External Object Id 69404646_146137148366_INTERNET already exists.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</si>
  <si>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</si>
  <si>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</si>
  <si>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</si>
  <si>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</si>
  <si>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</si>
  <si>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</si>
  <si>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</si>
  <si>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</si>
  <si>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</si>
  <si>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</si>
  <si>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</si>
  <si>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</si>
  <si>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</si>
  <si>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</si>
  <si>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</si>
  <si>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</si>
  <si>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</si>
  <si>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</si>
  <si>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</si>
  <si>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</si>
  <si>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</si>
  <si>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</si>
  <si>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</si>
  <si>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</si>
  <si>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</si>
  <si>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</si>
  <si>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</si>
  <si>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</si>
  <si>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</si>
  <si>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</si>
  <si>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</si>
  <si>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Provisioning Failed|WFM|INF009708123|PP_-7.3208382,110.1878445_minta kunjungan hari Sabtu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</si>
  <si>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</si>
  <si>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</si>
  <si>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</si>
  <si>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</si>
  <si>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</si>
  <si>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</si>
  <si>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</si>
  <si>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</si>
  <si>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</si>
  <si>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</si>
  <si>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</si>
  <si>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</si>
  <si>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</si>
  <si>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</si>
  <si>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</si>
  <si>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</si>
  <si>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</si>
  <si>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</si>
  <si>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</si>
  <si>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Provisioning Failed|WFM|INF009707763|TKJ_-7.6043639999999995,111.90540700000001_ODP-NJK-FAC/60 |  JARAK 390M DARI ODP TERDEKA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</si>
  <si>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</si>
  <si>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</si>
  <si>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</si>
  <si>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</si>
  <si>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</si>
  <si>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</si>
  <si>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</si>
  <si>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</si>
  <si>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</si>
  <si>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</si>
  <si>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</si>
  <si>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</si>
  <si>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</si>
  <si>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</si>
  <si>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</si>
  <si>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</si>
  <si>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</si>
  <si>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</si>
  <si>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</si>
  <si>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</si>
  <si>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</si>
  <si>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</si>
  <si>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</si>
  <si>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</si>
  <si>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</si>
  <si>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</si>
  <si>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</si>
  <si>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</si>
  <si>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</si>
  <si>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</si>
  <si>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</si>
  <si>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</si>
  <si>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</si>
  <si>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</si>
  <si>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</si>
  <si>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</si>
  <si>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</si>
  <si>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</si>
  <si>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</si>
  <si>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</si>
  <si>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</si>
  <si>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</si>
  <si>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</si>
  <si>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</si>
  <si>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</si>
  <si>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</si>
  <si>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</si>
  <si>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</si>
  <si>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</si>
  <si>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</si>
  <si>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</si>
  <si>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</si>
  <si>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</si>
  <si>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</si>
  <si>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</si>
  <si>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</si>
  <si>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</si>
  <si>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</si>
  <si>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</si>
  <si>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</si>
  <si>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</si>
  <si>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</si>
  <si>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</si>
  <si>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</si>
  <si>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</si>
  <si>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</si>
  <si>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ODP-KBU-FDC/012 FDC/D01/012.01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</si>
  <si>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</si>
  <si>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</si>
  <si>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</si>
  <si>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</si>
  <si>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</si>
  <si>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</si>
  <si>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</si>
  <si>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</si>
  <si>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</si>
  <si>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</si>
  <si>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</si>
  <si>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</si>
  <si>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</si>
  <si>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</si>
  <si>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</si>
  <si>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</si>
  <si>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</si>
  <si>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</si>
  <si>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</si>
  <si>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QC MIA - SEND QUALITY CONTROL MIA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</si>
  <si>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</si>
  <si>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</si>
  <si>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</si>
  <si>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</si>
  <si>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</si>
  <si>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</si>
  <si>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</si>
  <si>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</si>
  <si>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</si>
  <si>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</si>
  <si>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</si>
  <si>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</si>
  <si>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</si>
  <si>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</si>
  <si>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</si>
  <si>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</si>
  <si>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</si>
  <si>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</si>
  <si>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</si>
  <si>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</si>
  <si>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</si>
  <si>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</si>
  <si>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</si>
  <si>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</si>
  <si>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</si>
  <si>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</si>
  <si>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</si>
  <si>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</si>
  <si>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</si>
  <si>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</si>
  <si>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</si>
  <si>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</si>
  <si>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</si>
  <si>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</si>
  <si>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</si>
  <si>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</si>
  <si>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</si>
  <si>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</si>
  <si>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</si>
  <si>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</si>
  <si>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</si>
  <si>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</si>
  <si>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</si>
  <si>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</si>
  <si>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</si>
  <si>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</si>
  <si>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</si>
  <si>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</si>
  <si>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</si>
  <si>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</si>
  <si>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</si>
  <si>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</si>
  <si>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</si>
  <si>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</si>
  <si>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</si>
  <si>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</si>
  <si>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</si>
  <si>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</si>
  <si>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</si>
  <si>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</si>
  <si>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</si>
  <si>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</si>
  <si>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</si>
  <si>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</si>
  <si>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</si>
  <si>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</si>
  <si>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</si>
  <si>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</si>
  <si>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</si>
  <si>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</si>
  <si>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</si>
  <si>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</si>
  <si>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</si>
  <si>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</si>
  <si>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</si>
  <si>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</si>
  <si>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</si>
  <si>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</si>
  <si>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</si>
  <si>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</si>
  <si>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</si>
  <si>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</si>
  <si>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</si>
  <si>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</si>
  <si>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</si>
  <si>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</si>
  <si>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</si>
  <si>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</si>
  <si>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</si>
  <si>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</si>
  <si>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</si>
  <si>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</si>
  <si>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UNCONTACTED : Mail Box - Memo Muhammad Fauzan Fidhianta 40961370|MYDITA</t>
  </si>
  <si>
    <t>QC MIA - INVALID QUALITY CONTROL MIA - Foto Lokasi Instalasi Tidak Valid - upload lokasi sesuai nama terdaftar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</si>
  <si>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</si>
  <si>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</si>
  <si>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</si>
  <si>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Failed|WFM|INF009699703|PP_-7.5563772,110.7766036_lanjut bsk pengerjaan nya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</si>
  <si>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</si>
  <si>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</si>
  <si>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</si>
  <si>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</si>
  <si>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</si>
  <si>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</si>
  <si>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</si>
  <si>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</si>
  <si>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</si>
  <si>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</si>
  <si>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</si>
  <si>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</si>
  <si>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</si>
  <si>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</si>
  <si>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</si>
  <si>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</si>
  <si>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</si>
  <si>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</si>
  <si>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</si>
  <si>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</si>
  <si>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</si>
  <si>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</si>
  <si>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</si>
  <si>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</si>
  <si>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</si>
  <si>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</si>
  <si>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</si>
  <si>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</si>
  <si>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</si>
  <si>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</si>
  <si>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</si>
  <si>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</si>
  <si>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</si>
  <si>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</si>
  <si>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</si>
  <si>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</si>
  <si>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</si>
  <si>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</si>
  <si>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</si>
  <si>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</si>
  <si>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</si>
  <si>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</si>
  <si>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</si>
  <si>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</si>
  <si>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</si>
  <si>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</si>
  <si>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</si>
  <si>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</si>
  <si>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</si>
  <si>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</si>
  <si>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</si>
  <si>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</si>
  <si>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</si>
  <si>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</si>
  <si>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</si>
  <si>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</si>
  <si>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</si>
  <si>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</si>
  <si>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</si>
  <si>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</si>
  <si>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</si>
  <si>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</si>
  <si>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</si>
  <si>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</si>
  <si>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</si>
  <si>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</si>
  <si>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</si>
  <si>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</si>
  <si>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</si>
  <si>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</si>
  <si>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</si>
  <si>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</si>
  <si>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</si>
  <si>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</si>
  <si>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</si>
  <si>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</si>
  <si>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</si>
  <si>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</si>
  <si>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</si>
  <si>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</si>
  <si>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</si>
  <si>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</si>
  <si>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</si>
  <si>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</si>
  <si>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</si>
  <si>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</si>
  <si>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</si>
  <si>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</si>
  <si>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</si>
  <si>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ODP-BDN-FA/080 FA/D06/080.01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</si>
  <si>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</si>
  <si>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</si>
  <si>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</si>
  <si>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Provisioning Failed|WFM|INF009697334|PP_-6.757595,110.8445867_pelanggan minta di pending dulu</t>
  </si>
  <si>
    <t>Error running sub-process '&lt;?&gt;' at step '&lt;?&gt;'.(SBL-BPR-00183)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</si>
  <si>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</si>
  <si>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</si>
  <si>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</si>
  <si>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</si>
  <si>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</si>
  <si>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</si>
  <si>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</si>
  <si>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</si>
  <si>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</si>
  <si>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</si>
  <si>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</si>
  <si>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</si>
  <si>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</si>
  <si>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</si>
  <si>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</si>
  <si>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</si>
  <si>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</si>
  <si>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</si>
  <si>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</si>
  <si>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</si>
  <si>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</si>
  <si>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</si>
  <si>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</si>
  <si>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</si>
  <si>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</si>
  <si>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</si>
  <si>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</si>
  <si>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</si>
  <si>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</si>
  <si>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ODP-PWT-FM/020 FM/D02/020.01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</si>
  <si>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</si>
  <si>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</si>
  <si>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</si>
  <si>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</si>
  <si>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ODP-GML-FB/038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</si>
  <si>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</si>
  <si>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</si>
  <si>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</si>
  <si>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Provisioning Failed|WFM|INF009707805|TOF_-7.3006211,108.758625_ODP FULL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</si>
  <si>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</si>
  <si>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</si>
  <si>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</si>
  <si>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</si>
  <si>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</si>
  <si>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</si>
  <si>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</si>
  <si>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</si>
  <si>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</si>
  <si>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</si>
  <si>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</si>
  <si>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</si>
  <si>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</si>
  <si>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</si>
  <si>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</si>
  <si>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UNCONTACTED : Telepon Tidak Diangkat - RNA Benita Lailani 40951377|MYDITA</t>
  </si>
  <si>
    <t xml:space="preserve">QC MIA - INVALID QUALITY CONTROL MIA - Foto Dokumen Usaha Tidak Valid - 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</si>
  <si>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</si>
  <si>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</si>
  <si>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</si>
  <si>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</si>
  <si>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</si>
  <si>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</si>
  <si>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</si>
  <si>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</si>
  <si>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</si>
  <si>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</si>
  <si>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</si>
  <si>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Provisioning Failed|WFM|INF009708310|TKJ_-7.3880625,109.3497062_jarak unspek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</si>
  <si>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</si>
  <si>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</si>
  <si>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</si>
  <si>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</si>
  <si>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</si>
  <si>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</si>
  <si>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</si>
  <si>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</si>
  <si>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</si>
  <si>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</si>
  <si>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Provisioning Failed|WFM|INF009708114|PP_-6.8795352,109.13123209999999_PENDING SAMPE WAKTU YG DITENTUKAN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</si>
  <si>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</si>
  <si>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</si>
  <si>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</si>
  <si>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</si>
  <si>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</si>
  <si>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</si>
  <si>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</si>
  <si>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</si>
  <si>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</si>
  <si>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</si>
  <si>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</si>
  <si>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ODP-BLU-FY/005 FY/D01/005.01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</si>
  <si>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</si>
  <si>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</si>
  <si>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</si>
  <si>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</si>
  <si>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</si>
  <si>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</si>
  <si>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</si>
  <si>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</si>
  <si>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</si>
  <si>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</si>
  <si>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</si>
  <si>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</si>
  <si>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</si>
  <si>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Provisioning Failed|UIM|INF009707480|Service with External Object Id 69405483_152442203155_INTERNET already exists.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</si>
  <si>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</si>
  <si>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</si>
  <si>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</si>
  <si>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</si>
  <si>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</si>
  <si>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</si>
  <si>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</si>
  <si>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</si>
  <si>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</si>
  <si>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</si>
  <si>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</si>
  <si>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</si>
  <si>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</si>
  <si>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</si>
  <si>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</si>
  <si>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</si>
  <si>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</si>
  <si>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</si>
  <si>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</si>
  <si>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</si>
  <si>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</si>
  <si>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</si>
  <si>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</si>
  <si>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</si>
  <si>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</si>
  <si>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</si>
  <si>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</si>
  <si>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</si>
  <si>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</si>
  <si>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</si>
  <si>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</si>
  <si>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Provisioning Failed|WFM|INF009698921|PP_-6.9018369,111.95118550000001_MANJA BESOK</t>
  </si>
  <si>
    <t>REVOKE ORDER</t>
  </si>
  <si>
    <t xml:space="preserve">Order direvoke oleh TANIA ARDHAMALIA remark : REVOKE FU............ response : transactionID : SC1002623571| AccountID CA :  </t>
  </si>
  <si>
    <t xml:space="preserve"> DTA MANBAIL HUDA 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</si>
  <si>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</si>
  <si>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</si>
  <si>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</si>
  <si>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</si>
  <si>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</si>
  <si>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</si>
  <si>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</si>
  <si>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</si>
  <si>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</si>
  <si>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</si>
  <si>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Provisioning Failed|WFM|INF009697158|PDI_-8.392278,114.158365_DOUBLE INPUT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</si>
  <si>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</si>
  <si>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</si>
  <si>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</si>
  <si>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</si>
  <si>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</si>
  <si>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</si>
  <si>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</si>
  <si>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</si>
  <si>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</si>
  <si>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</si>
  <si>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</si>
  <si>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</si>
  <si>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</si>
  <si>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</si>
  <si>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</si>
  <si>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</si>
  <si>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</si>
  <si>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</si>
  <si>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</si>
  <si>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</si>
  <si>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</si>
  <si>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</si>
  <si>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</si>
  <si>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</si>
  <si>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</si>
  <si>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</si>
  <si>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</si>
  <si>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</si>
  <si>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</si>
  <si>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</si>
  <si>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</si>
  <si>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</si>
  <si>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</si>
  <si>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</si>
  <si>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</si>
  <si>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</si>
  <si>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</si>
  <si>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</si>
  <si>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</si>
  <si>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</si>
  <si>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</si>
  <si>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</si>
  <si>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</si>
  <si>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</si>
  <si>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QC MIA - INVALID QUALITY CONTROL MIA - Tanda Tangan Berbeda - lakukan TTD digital sesuai dengan KTP</t>
  </si>
  <si>
    <t>Toko Pemaron</t>
  </si>
  <si>
    <t>ODP-SGR-FC/98</t>
  </si>
  <si>
    <t>MN00087/PIC Komang Suhardana/081915723578/telurgulungsingaraja@gmail.com</t>
  </si>
  <si>
    <t>UNCONTACTED : Mail Box - Memo Ghina Swanti Ariesa 40941148|MYDITA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</si>
  <si>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</si>
  <si>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</si>
  <si>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</si>
  <si>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</si>
  <si>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</si>
  <si>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</si>
  <si>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</si>
  <si>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</si>
  <si>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</si>
  <si>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</si>
  <si>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</si>
  <si>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</si>
  <si>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</si>
  <si>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</si>
  <si>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</si>
  <si>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</si>
  <si>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</si>
  <si>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</si>
  <si>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</si>
  <si>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</si>
  <si>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</si>
  <si>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</si>
  <si>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</si>
  <si>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</si>
  <si>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</si>
  <si>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</si>
  <si>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</si>
  <si>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</si>
  <si>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</si>
  <si>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</si>
  <si>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</si>
  <si>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</si>
  <si>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</si>
  <si>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</si>
  <si>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</si>
  <si>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</si>
  <si>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</si>
  <si>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</si>
  <si>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</si>
  <si>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</si>
  <si>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</si>
  <si>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</si>
  <si>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</si>
  <si>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</si>
  <si>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</si>
  <si>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</si>
  <si>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</si>
  <si>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</si>
  <si>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</si>
  <si>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</si>
  <si>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</si>
  <si>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</si>
  <si>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</si>
  <si>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</si>
  <si>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</si>
  <si>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</si>
  <si>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</si>
  <si>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</si>
  <si>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</si>
  <si>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</si>
  <si>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</si>
  <si>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</si>
  <si>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</si>
  <si>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</si>
  <si>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</si>
  <si>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</si>
  <si>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</si>
  <si>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</si>
  <si>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</si>
  <si>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</si>
  <si>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</si>
  <si>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</si>
  <si>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</si>
  <si>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</si>
  <si>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</si>
  <si>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</si>
  <si>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</si>
  <si>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Provisioning Failed|WFM|INF009699286|PP_-8.5468151,115.35496169999999_MANJA BESOK EDY</t>
  </si>
  <si>
    <t>Provisioning Failed|WFM|INF009700579|TOR_-8.5332833,115.30147_BUTUH PERBAIKAN PASIF</t>
  </si>
  <si>
    <t>Provisioning Failed|WFM|INF009698645|NUNGGU DI BUATKAN COLOKAN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</si>
  <si>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</si>
  <si>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</si>
  <si>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</si>
  <si>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</si>
  <si>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</si>
  <si>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</si>
  <si>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</si>
  <si>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</si>
  <si>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</si>
  <si>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</si>
  <si>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</si>
  <si>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Last update proses : 08-10-2026 11:04:06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</si>
</sst>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4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0.05</c:v>
                </c:pt>
                <c:pt idx="1">
                  <c:v>4.5801526717557252E-2</c:v>
                </c:pt>
                <c:pt idx="2">
                  <c:v>5.5555555555555552E-2</c:v>
                </c:pt>
                <c:pt idx="3">
                  <c:v>9.7345132743362831E-2</c:v>
                </c:pt>
                <c:pt idx="4">
                  <c:v>0.18571428571428572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0.38709677419354838</c:v>
                </c:pt>
                <c:pt idx="1">
                  <c:v>0.68376068376068377</c:v>
                </c:pt>
                <c:pt idx="2">
                  <c:v>0.69696969696969702</c:v>
                </c:pt>
                <c:pt idx="3">
                  <c:v>0.57446808510638303</c:v>
                </c:pt>
                <c:pt idx="4">
                  <c:v>0.73451327433628322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80</c:v>
                      </c:pt>
                      <c:pt idx="1">
                        <c:v>131</c:v>
                      </c:pt>
                      <c:pt idx="2">
                        <c:v>72</c:v>
                      </c:pt>
                      <c:pt idx="3">
                        <c:v>113</c:v>
                      </c:pt>
                      <c:pt idx="4">
                        <c:v>140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</c:v>
                      </c:pt>
                      <c:pt idx="1">
                        <c:v>80</c:v>
                      </c:pt>
                      <c:pt idx="2">
                        <c:v>46</c:v>
                      </c:pt>
                      <c:pt idx="3">
                        <c:v>54</c:v>
                      </c:pt>
                      <c:pt idx="4">
                        <c:v>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0.70588235294117652</c:v>
                      </c:pt>
                      <c:pt idx="1">
                        <c:v>0.88888888888888884</c:v>
                      </c:pt>
                      <c:pt idx="2">
                        <c:v>0.92</c:v>
                      </c:pt>
                      <c:pt idx="3">
                        <c:v>0.72</c:v>
                      </c:pt>
                      <c:pt idx="4">
                        <c:v>0.91208791208791207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0.875</c:v>
                      </c:pt>
                      <c:pt idx="1">
                        <c:v>0.9850746268656716</c:v>
                      </c:pt>
                      <c:pt idx="2">
                        <c:v>1</c:v>
                      </c:pt>
                      <c:pt idx="3">
                        <c:v>0.81818181818181823</c:v>
                      </c:pt>
                      <c:pt idx="4">
                        <c:v>0.98648648648648651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0.05</c:v>
                </c:pt>
                <c:pt idx="1">
                  <c:v>4.5801526717557252E-2</c:v>
                </c:pt>
                <c:pt idx="2">
                  <c:v>5.5555555555555552E-2</c:v>
                </c:pt>
                <c:pt idx="3">
                  <c:v>9.7345132743362831E-2</c:v>
                </c:pt>
                <c:pt idx="4">
                  <c:v>0.18571428571428572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0.70588235294117652</c:v>
                </c:pt>
                <c:pt idx="1">
                  <c:v>0.88888888888888884</c:v>
                </c:pt>
                <c:pt idx="2">
                  <c:v>0.92</c:v>
                </c:pt>
                <c:pt idx="3">
                  <c:v>0.72</c:v>
                </c:pt>
                <c:pt idx="4">
                  <c:v>0.91208791208791207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80</c:v>
                      </c:pt>
                      <c:pt idx="1">
                        <c:v>131</c:v>
                      </c:pt>
                      <c:pt idx="2">
                        <c:v>72</c:v>
                      </c:pt>
                      <c:pt idx="3">
                        <c:v>113</c:v>
                      </c:pt>
                      <c:pt idx="4">
                        <c:v>140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</c:v>
                      </c:pt>
                      <c:pt idx="1">
                        <c:v>80</c:v>
                      </c:pt>
                      <c:pt idx="2">
                        <c:v>46</c:v>
                      </c:pt>
                      <c:pt idx="3">
                        <c:v>54</c:v>
                      </c:pt>
                      <c:pt idx="4">
                        <c:v>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0.38709677419354838</c:v>
                      </c:pt>
                      <c:pt idx="1">
                        <c:v>0.68376068376068377</c:v>
                      </c:pt>
                      <c:pt idx="2">
                        <c:v>0.69696969696969702</c:v>
                      </c:pt>
                      <c:pt idx="3">
                        <c:v>0.57446808510638303</c:v>
                      </c:pt>
                      <c:pt idx="4">
                        <c:v>0.73451327433628322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0.875</c:v>
                      </c:pt>
                      <c:pt idx="1">
                        <c:v>0.9850746268656716</c:v>
                      </c:pt>
                      <c:pt idx="2">
                        <c:v>1</c:v>
                      </c:pt>
                      <c:pt idx="3">
                        <c:v>0.81818181818181823</c:v>
                      </c:pt>
                      <c:pt idx="4">
                        <c:v>0.98648648648648651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0.05</c:v>
                </c:pt>
                <c:pt idx="1">
                  <c:v>4.5801526717557252E-2</c:v>
                </c:pt>
                <c:pt idx="2">
                  <c:v>5.5555555555555552E-2</c:v>
                </c:pt>
                <c:pt idx="3">
                  <c:v>9.7345132743362831E-2</c:v>
                </c:pt>
                <c:pt idx="4">
                  <c:v>0.18571428571428572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0.875</c:v>
                </c:pt>
                <c:pt idx="1">
                  <c:v>0.9850746268656716</c:v>
                </c:pt>
                <c:pt idx="2">
                  <c:v>1</c:v>
                </c:pt>
                <c:pt idx="3">
                  <c:v>0.81818181818181823</c:v>
                </c:pt>
                <c:pt idx="4">
                  <c:v>0.98648648648648651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80</c:v>
                      </c:pt>
                      <c:pt idx="1">
                        <c:v>131</c:v>
                      </c:pt>
                      <c:pt idx="2">
                        <c:v>72</c:v>
                      </c:pt>
                      <c:pt idx="3">
                        <c:v>113</c:v>
                      </c:pt>
                      <c:pt idx="4">
                        <c:v>140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</c:v>
                      </c:pt>
                      <c:pt idx="1">
                        <c:v>80</c:v>
                      </c:pt>
                      <c:pt idx="2">
                        <c:v>46</c:v>
                      </c:pt>
                      <c:pt idx="3">
                        <c:v>54</c:v>
                      </c:pt>
                      <c:pt idx="4">
                        <c:v>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0.38709677419354838</c:v>
                      </c:pt>
                      <c:pt idx="1">
                        <c:v>0.68376068376068377</c:v>
                      </c:pt>
                      <c:pt idx="2">
                        <c:v>0.69696969696969702</c:v>
                      </c:pt>
                      <c:pt idx="3">
                        <c:v>0.57446808510638303</c:v>
                      </c:pt>
                      <c:pt idx="4">
                        <c:v>0.73451327433628322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0.70588235294117652</c:v>
                      </c:pt>
                      <c:pt idx="1">
                        <c:v>0.88888888888888884</c:v>
                      </c:pt>
                      <c:pt idx="2">
                        <c:v>0.92</c:v>
                      </c:pt>
                      <c:pt idx="3">
                        <c:v>0.72</c:v>
                      </c:pt>
                      <c:pt idx="4">
                        <c:v>0.91208791208791207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2.614423726853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596"/>
    </cacheField>
    <cacheField name="ORDER_ID" numFmtId="0">
      <sharedItems containsString="0" containsBlank="1" containsNumber="1" containsInteger="1" minValue="1002616819" maxValue="100262520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6T19:22:34"/>
    </cacheField>
    <cacheField name="LAST_UPDATED_DATE" numFmtId="0">
      <sharedItems containsNonDate="0" containsDate="1" containsString="0" containsBlank="1" minDate="2026-10-01T10:07:43" maxDate="2026-10-07T13:54:33"/>
    </cacheField>
    <cacheField name="NCLI" numFmtId="0">
      <sharedItems containsString="0" containsBlank="1" containsNumber="1" containsInteger="1" minValue="66525052" maxValue="69405411"/>
    </cacheField>
    <cacheField name="POTS" numFmtId="0">
      <sharedItems containsString="0" containsBlank="1" containsNumber="1" containsInteger="1" minValue="2435320314" maxValue="3619583044"/>
    </cacheField>
    <cacheField name="SPEEDY" numFmtId="0">
      <sharedItems containsString="0" containsBlank="1" containsNumber="1" containsInteger="1" minValue="141114228709" maxValue="1726192035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3678445751499" maxValue="124.890847764909"/>
    </cacheField>
    <cacheField name="GPS_LATITUDE" numFmtId="0">
      <sharedItems containsString="0" containsBlank="1" containsNumber="1" minValue="-10.446968552249499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6-10T19:25:27"/>
    </cacheField>
    <cacheField name="TANGGAL_MANJA" numFmtId="0">
      <sharedItems containsNonDate="0" containsDate="1" containsString="0" containsBlank="1" minDate="2026-09-25T00:00:00" maxDate="2026-10-12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7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25T08:00:00" maxDate="2026-10-12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7"/>
    </cacheField>
    <cacheField name="PS 1" numFmtId="0">
      <sharedItems containsDate="1" containsBlank="1" containsMixedTypes="1" minDate="2026-10-01T00:00:00" maxDate="2026-10-08T00:00:00"/>
    </cacheField>
    <cacheField name="CEK" numFmtId="0">
      <sharedItems containsBlank="1" containsMixedTypes="1" containsNumber="1" minValue="-5.3333333333357587" maxValue="3.6666666666642413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MOJOKERTO"/>
        <s v="SIDOARJO"/>
        <s v="PASURUAN"/>
        <s v="GRESIK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UBUNG"/>
        <s v="SANUR"/>
        <s v="JIMBARAN"/>
        <s v="GIANYAR"/>
        <s v="KLUNGKUNG"/>
        <m/>
        <s v="JEMBRANA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2.614425694446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596"/>
    </cacheField>
    <cacheField name="ORDER_ID" numFmtId="0">
      <sharedItems containsString="0" containsBlank="1" containsNumber="1" containsInteger="1" minValue="1002616819" maxValue="100262520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6T19:22:34"/>
    </cacheField>
    <cacheField name="LAST_UPDATED_DATE" numFmtId="0">
      <sharedItems containsNonDate="0" containsDate="1" containsString="0" containsBlank="1" minDate="2026-10-01T10:07:43" maxDate="2026-10-07T13:54:33"/>
    </cacheField>
    <cacheField name="NCLI" numFmtId="0">
      <sharedItems containsString="0" containsBlank="1" containsNumber="1" containsInteger="1" minValue="66525052" maxValue="69405411"/>
    </cacheField>
    <cacheField name="POTS" numFmtId="0">
      <sharedItems containsString="0" containsBlank="1" containsNumber="1" containsInteger="1" minValue="2435320314" maxValue="3619583044"/>
    </cacheField>
    <cacheField name="SPEEDY" numFmtId="0">
      <sharedItems containsString="0" containsBlank="1" containsNumber="1" containsInteger="1" minValue="141114228709" maxValue="1726192035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3678445751499" maxValue="124.890847764909"/>
    </cacheField>
    <cacheField name="GPS_LATITUDE" numFmtId="0">
      <sharedItems containsString="0" containsBlank="1" containsNumber="1" minValue="-10.446968552249499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6-10T19:25:27"/>
    </cacheField>
    <cacheField name="TANGGAL_MANJA" numFmtId="0">
      <sharedItems containsNonDate="0" containsDate="1" containsString="0" containsBlank="1" minDate="2026-09-25T00:00:00" maxDate="2026-10-12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7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9-25T08:00:00" maxDate="2026-10-12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7"/>
    </cacheField>
    <cacheField name="PS 1" numFmtId="0">
      <sharedItems containsDate="1" containsBlank="1" containsMixedTypes="1" minDate="2026-10-01T00:00:00" maxDate="2026-10-08T00:00:00"/>
    </cacheField>
    <cacheField name="CEK" numFmtId="0">
      <sharedItems containsBlank="1" containsMixedTypes="1" containsNumber="1" minValue="-5.3333333333357587" maxValue="3.6666666666642413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3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4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5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6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7"/>
    <n v="1002625199"/>
    <n v="3"/>
    <x v="0"/>
    <n v="5"/>
    <s v="MATARAM"/>
    <s v="INNER - NUSA TENGGARA"/>
    <s v="SWE"/>
    <s v="REG"/>
    <s v="AO"/>
    <s v="NEW SALES"/>
    <s v="1P INET"/>
    <s v="MIE - SEND SURVEY"/>
    <s v="RBS-Regional 3"/>
    <d v="2026-10-06T19:19:35"/>
    <d v="2026-10-06T19:22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SURVEY_NEW_MANJA"/>
    <s v="X"/>
    <s v="NO ADDON"/>
    <m/>
    <s v="MIE - SEND SURVEY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8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9"/>
    <n v="1002618978"/>
    <n v="3"/>
    <x v="0"/>
    <n v="5"/>
    <s v="MATARAM"/>
    <s v="LOMBOK BARAT TENGAH"/>
    <s v="PRY"/>
    <s v="REG"/>
    <s v="AO"/>
    <s v="NEW SALES"/>
    <s v="1P INET"/>
    <s v="OSS - FALLOUT"/>
    <s v="RBS-Regional 3"/>
    <d v="2026-10-02T08:43:40"/>
    <d v="2026-10-03T08:05:35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FO_UIM"/>
    <s v="LOMBOK TENGAH"/>
    <s v="NO ADDON"/>
    <m/>
    <s v="Provisioning Failed|UIM|INF009629314|1029:Reservation not found for Broadband CFS with Reservation ID : 39611817457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10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11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12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13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14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15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16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17"/>
    <n v="1002620766"/>
    <n v="3"/>
    <x v="0"/>
    <n v="5"/>
    <s v="MATARAM"/>
    <s v="LOMBOK BARAT TENGAH"/>
    <s v="PRY"/>
    <s v="REG"/>
    <s v="AO"/>
    <s v="NEW SALES"/>
    <s v="1P INET"/>
    <s v="MIE - SEND SURVEY"/>
    <s v="RBS-Regional 3"/>
    <d v="2026-10-03T09:22:40"/>
    <d v="2026-10-03T09:24:06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SURVEY_NEW_MANJA"/>
    <s v="LOMBOK TENGAH"/>
    <s v="NO ADDON"/>
    <m/>
    <s v="MIE - SEND SURVEY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18"/>
    <n v="1002624744"/>
    <n v="3"/>
    <x v="0"/>
    <n v="5"/>
    <s v="MATARAM"/>
    <s v="LOMBOK BARAT TENGAH"/>
    <s v="PRY"/>
    <s v="REG"/>
    <s v="AO"/>
    <s v="NEW SALES"/>
    <m/>
    <s v="MIE - SEND SURVEY"/>
    <s v="RBS-Regional 3"/>
    <d v="2026-10-06T15:25:44"/>
    <d v="2026-10-06T16:54:07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19"/>
    <n v="1002625164"/>
    <n v="3"/>
    <x v="0"/>
    <n v="5"/>
    <s v="MATARAM"/>
    <s v="LOMBOK BARAT TENGAH"/>
    <s v="PRY"/>
    <s v="REG"/>
    <s v="AO"/>
    <s v="NEW SALES"/>
    <s v="1P INET"/>
    <s v="MIE - SEND SURVEY"/>
    <s v="RBS-Regional 3"/>
    <d v="2026-10-06T18:19:40"/>
    <d v="2026-10-06T18:22:01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SURVEY_NEW_MANJA"/>
    <s v="LOMBOK TENGAH"/>
    <s v="NO ADDON"/>
    <m/>
    <s v="MIE - SEND SURVEY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m/>
    <m/>
    <m/>
    <e v="#NUM!"/>
    <e v="#NUM!"/>
    <x v="0"/>
    <x v="0"/>
  </r>
  <r>
    <n v="20"/>
    <n v="1002624841"/>
    <n v="3"/>
    <x v="0"/>
    <n v="5"/>
    <s v="MATARAM"/>
    <s v="LOMBOK BARAT TENGAH"/>
    <s v="PRY"/>
    <s v="REG"/>
    <s v="AO"/>
    <s v="NEW SALES"/>
    <m/>
    <s v="MYCX - SEND OPEN PAPERLESS"/>
    <s v="RBS-Regional 3"/>
    <d v="2026-10-06T15:49:05"/>
    <d v="2026-10-06T15:52:07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INPROGRESS_SC"/>
    <s v="LOMBOK TENGAH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0"/>
  </r>
  <r>
    <n v="21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22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23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24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25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26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27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28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29"/>
    <n v="1002624449"/>
    <n v="3"/>
    <x v="0"/>
    <n v="5"/>
    <s v="MATARAM"/>
    <s v="LOMBOK TIMUR UTARA"/>
    <s v="SGG"/>
    <s v="REG"/>
    <s v="AO"/>
    <s v="NEW SALES"/>
    <m/>
    <s v="MIE - SEND SURVEY"/>
    <s v="RBS-Regional 3"/>
    <d v="2026-10-06T13:58:57"/>
    <d v="2026-10-06T16:02:07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SURVEY_NEW_MANJA"/>
    <s v="LOMBOK UTAR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m/>
    <m/>
    <m/>
    <e v="#NUM!"/>
    <e v="#NUM!"/>
    <x v="0"/>
    <x v="0"/>
  </r>
  <r>
    <n v="30"/>
    <n v="1002622049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5T10:54:06"/>
    <d v="2026-10-06T08:14:3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31"/>
    <n v="1002622081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5T11:01:35"/>
    <d v="2026-10-06T08:14:07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32"/>
    <n v="1002622194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5T11:37:34"/>
    <d v="2026-10-06T11:28:42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m/>
    <s v="PI"/>
    <s v="X"/>
    <s v="OCA"/>
    <m/>
    <s v="Provisioning Issued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33"/>
    <n v="1002624262"/>
    <n v="3"/>
    <x v="0"/>
    <n v="5"/>
    <s v="MATARAM"/>
    <s v="INNER - NUSA TENGGARA"/>
    <s v="MTR"/>
    <s v="REG"/>
    <s v="AO"/>
    <s v="NEW SALES"/>
    <s v="1P INET"/>
    <s v="OSS - PROVISIONING DESAIN"/>
    <s v="RBS-Regional 3"/>
    <d v="2026-10-06T13:14:40"/>
    <d v="2026-10-07T13:52:44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RE_PI"/>
    <s v="X"/>
    <s v="NO ADDON"/>
    <m/>
    <s v="Provisioning Design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m/>
    <m/>
    <m/>
    <e v="#NUM!"/>
    <e v="#NUM!"/>
    <x v="0"/>
    <x v="1"/>
  </r>
  <r>
    <n v="34"/>
    <n v="1002622051"/>
    <n v="3"/>
    <x v="0"/>
    <n v="5"/>
    <s v="MATARAM"/>
    <s v="INNER - NUSA TENGGARA"/>
    <s v="MTR"/>
    <s v="REG"/>
    <s v="AO"/>
    <s v="NEW SALES"/>
    <s v="1P INET"/>
    <s v="OSS - FALLOUT"/>
    <s v="RBS-Regional 3"/>
    <d v="2026-10-05T10:54:50"/>
    <d v="2026-10-06T08:16:1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FO_UIM"/>
    <s v="X"/>
    <s v="NO ADDON"/>
    <m/>
    <s v="Provisioning Failed|UIM|INF009675182|Service with External Object Id 69404195_172601248323_INTERNET already exists.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35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36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37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38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39"/>
    <n v="1002618712"/>
    <n v="3"/>
    <x v="0"/>
    <n v="5"/>
    <s v="MATARAM"/>
    <s v="BIMA"/>
    <s v="SAP"/>
    <s v="REG"/>
    <s v="AO"/>
    <s v="NEW SALES"/>
    <m/>
    <s v="8 | OSS - PONR"/>
    <s v="RBS-Regional 3"/>
    <d v="2026-10-01T17:19:59"/>
    <d v="2026-10-05T14:47:06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ACT_COM"/>
    <s v="BIMA BARAT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  <x v="2"/>
  </r>
  <r>
    <n v="40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41"/>
    <n v="1002620949"/>
    <n v="3"/>
    <x v="0"/>
    <n v="5"/>
    <s v="MATARAM"/>
    <s v="BIMA"/>
    <s v="SIL"/>
    <s v="REG"/>
    <s v="AO"/>
    <s v="NEW SALES"/>
    <s v="1P INET"/>
    <s v="MIE - SEND SURVEY"/>
    <s v="RBS-Regional 3"/>
    <d v="2026-10-03T12:49:34"/>
    <d v="2026-10-03T12:54:3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SURVEY_NEW_MANJA"/>
    <s v="BIMA BARAT"/>
    <s v="NETMONK"/>
    <m/>
    <s v="MIE - SEND SURVEY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42"/>
    <n v="1002623533"/>
    <n v="3"/>
    <x v="0"/>
    <n v="5"/>
    <s v="MATARAM"/>
    <s v="BIMA"/>
    <s v="TET"/>
    <s v="REG"/>
    <s v="AO"/>
    <s v="NEW SALES"/>
    <s v="1P INET"/>
    <s v="SIBEL - CREATE ORDER FAIL"/>
    <s v="RBS-Regional 3"/>
    <d v="2026-10-06T09:08:35"/>
    <d v="2026-10-07T09:30:23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INPROGRESS_SC"/>
    <s v="BIMA BARAT"/>
    <s v="NETMONK"/>
    <m/>
    <s v="Error invoking service 'EAI Siebel Adapter', method 'Upsert' at step 'Upsert CA BA SA'.(SBL-BPR-00162) -- Cannot perform 'Up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m/>
    <m/>
    <m/>
    <e v="#NUM!"/>
    <e v="#NUM!"/>
    <x v="0"/>
    <x v="2"/>
  </r>
  <r>
    <n v="43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44"/>
    <n v="1002622101"/>
    <n v="3"/>
    <x v="0"/>
    <n v="5"/>
    <s v="MATARAM"/>
    <s v="BIMA"/>
    <s v="DMP"/>
    <s v="REG"/>
    <s v="AO"/>
    <s v="NEW SALES"/>
    <m/>
    <s v="8 | OSS - PONR"/>
    <s v="RBS-Regional 3"/>
    <d v="2026-10-05T11:07:56"/>
    <d v="2026-10-05T11:35:27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ACT_COM"/>
    <s v="DOMPU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45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46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47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48"/>
    <n v="1002619632"/>
    <n v="3"/>
    <x v="0"/>
    <n v="5"/>
    <s v="MATARAM"/>
    <s v="SUMBAWA"/>
    <s v="SBW"/>
    <s v="REG"/>
    <s v="AO"/>
    <s v="NEW SALES"/>
    <s v="1P INET"/>
    <s v="7 | OSS - PROVISIONING ISSUED"/>
    <s v="RBS-Regional 3"/>
    <d v="2026-10-02T11:58:35"/>
    <d v="2026-10-03T11:13:38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I"/>
    <s v="X"/>
    <s v="NETMONK"/>
    <m/>
    <s v="Provisioning Issued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49"/>
    <n v="1002621752"/>
    <n v="3"/>
    <x v="0"/>
    <n v="5"/>
    <s v="MATARAM"/>
    <s v="SUMBAWA"/>
    <s v="SBW"/>
    <s v="REG"/>
    <s v="AO"/>
    <s v="NEW SALES"/>
    <s v="1P INET"/>
    <s v="7 | OSS - PROVISIONING ISSUED"/>
    <s v="RBS-Regional 3"/>
    <d v="2026-10-05T09:32:53"/>
    <d v="2026-10-06T08:10:36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PI"/>
    <s v="X"/>
    <s v="NETMONK"/>
    <m/>
    <s v="Provisioning Issu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50"/>
    <n v="1002624006"/>
    <n v="3"/>
    <x v="0"/>
    <n v="5"/>
    <s v="MATARAM"/>
    <s v="SUMBAWA"/>
    <s v="SBW"/>
    <s v="REG"/>
    <s v="AO"/>
    <s v="NEW SALES"/>
    <s v="1P INET"/>
    <s v="7 | OSS - PROVISIONING ISSUED"/>
    <s v="RBS-Regional 3"/>
    <d v="2026-10-06T11:25:35"/>
    <d v="2026-10-07T09:30:47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m/>
    <s v="PI"/>
    <s v="X"/>
    <s v="OCA"/>
    <m/>
    <s v="Provisioning Issued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51"/>
    <n v="1002621572"/>
    <n v="3"/>
    <x v="0"/>
    <n v="5"/>
    <s v="MATARAM"/>
    <s v="SUMBAWA"/>
    <s v="SBW"/>
    <s v="REG"/>
    <s v="AO"/>
    <s v="NEW SALES"/>
    <s v="1P INET"/>
    <s v="OSS - FALLOUT"/>
    <s v="RBS-Regional 3"/>
    <d v="2026-10-05T08:17:35"/>
    <d v="2026-10-07T13:40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FO_WFM"/>
    <s v="X"/>
    <s v="NETMONK"/>
    <m/>
    <s v="Provisioning Failed|WFM|INF009696464|pelurusan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52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53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54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55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56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57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58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59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60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61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62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63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64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m/>
    <n v="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65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66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67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68"/>
    <n v="1002625126"/>
    <n v="3"/>
    <x v="1"/>
    <n v="5"/>
    <s v="MALANG"/>
    <s v="KEPANJEN"/>
    <s v="KEP"/>
    <s v="REG"/>
    <s v="AO"/>
    <s v="NEW SALES"/>
    <s v="1P INET"/>
    <s v="MIA - INVALID SURVEY"/>
    <s v="RBS-Regional 3"/>
    <d v="2026-10-06T17:40:34"/>
    <d v="2026-10-07T13:39:40"/>
    <n v="69405363"/>
    <m/>
    <n v="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SURVEY_NEW_MANJA"/>
    <s v="KEPANJEN"/>
    <s v="NO ADDON"/>
    <m/>
    <s v="MIE - INVALID SURVEY - Kendala Jalur/Rute Tarikan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m/>
    <m/>
    <m/>
    <e v="#NUM!"/>
    <e v="#NUM!"/>
    <x v="0"/>
    <x v="4"/>
  </r>
  <r>
    <n v="69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70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71"/>
    <n v="1002625161"/>
    <n v="3"/>
    <x v="1"/>
    <n v="5"/>
    <s v="MALANG"/>
    <s v="KEPANJEN"/>
    <s v="KLJ"/>
    <s v="REG"/>
    <s v="AO"/>
    <s v="NEW SALES"/>
    <s v="1P INET"/>
    <s v="MIA - INVALID SURVEY"/>
    <s v="RBS-Regional 3"/>
    <d v="2026-10-06T18:16:40"/>
    <d v="2026-10-07T13:39:12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SURVEY_NEW_MANJA"/>
    <s v="KLOJEN"/>
    <s v="OCA"/>
    <m/>
    <s v="MIE - INVALID SURVEY - Kendala Jalur/Rute Tarikan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m/>
    <m/>
    <m/>
    <e v="#NUM!"/>
    <e v="#NUM!"/>
    <x v="0"/>
    <x v="4"/>
  </r>
  <r>
    <n v="72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73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74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75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76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77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78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79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80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81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82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83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84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85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86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87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88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89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90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91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92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m/>
    <n v="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93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94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95"/>
    <n v="1002620919"/>
    <n v="3"/>
    <x v="1"/>
    <n v="5"/>
    <s v="KEDIRI"/>
    <s v="TULUNGAGUNG"/>
    <s v="TUL"/>
    <s v="REG"/>
    <s v="AO"/>
    <s v="NEW SALES"/>
    <m/>
    <s v="QC MIA - INVALID QUALITY CONTROL MIA"/>
    <s v="RBS-Regional 3"/>
    <d v="2026-10-03T12:12:24"/>
    <d v="2026-10-04T16:04:5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Tidak Ada Lampiran Penunjang - ingin konfirmasi loksai pemasanga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6"/>
  </r>
  <r>
    <n v="96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97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98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99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100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101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102"/>
    <n v="1002623165"/>
    <n v="3"/>
    <x v="2"/>
    <n v="4"/>
    <s v="MAGELANG"/>
    <s v="MAGELANG"/>
    <s v="MGE"/>
    <s v="REG"/>
    <s v="AO"/>
    <s v="NEW SALES"/>
    <s v="1P INET"/>
    <s v="7 | OSS - PROVISIONING ISSUED"/>
    <s v="RBS-Regional 3"/>
    <d v="2026-10-05T16:46:35"/>
    <d v="2026-10-06T15:19:12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I"/>
    <s v="X"/>
    <s v="NO ADDON"/>
    <m/>
    <s v="Provisioning Issued"/>
    <s v="HSI Bisnis Promo Hari Pelanggan Nasional PSB 70% - 100 Mbps"/>
    <s v="INDIBIZ"/>
    <m/>
    <m/>
    <d v="2026-10-07T08:00:00"/>
    <s v="2026-10-07 08:00:00 | Tanggal : 7 Oktober 2026 Jam : pagi  Hubungi pelanggan sebelum ke lokasi "/>
    <m/>
    <m/>
    <m/>
    <e v="#NUM!"/>
    <e v="#NUM!"/>
    <x v="0"/>
    <x v="7"/>
  </r>
  <r>
    <n v="103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104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105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106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107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108"/>
    <n v="1002623409"/>
    <n v="3"/>
    <x v="2"/>
    <n v="4"/>
    <s v="MAGELANG"/>
    <s v="MAGELANG"/>
    <s v="MGE"/>
    <s v="REG"/>
    <s v="AO"/>
    <s v="NEW SALES"/>
    <s v="1P INET"/>
    <s v="8 | OSS - PONR"/>
    <s v="RBS-Regional 3"/>
    <d v="2026-10-06T08:26:47"/>
    <d v="2026-10-07T13:44:28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ACT_COM"/>
    <s v="X"/>
    <s v="NO ADDON"/>
    <m/>
    <s v="PONR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m/>
    <m/>
    <m/>
    <e v="#NUM!"/>
    <e v="#NUM!"/>
    <x v="0"/>
    <x v="7"/>
  </r>
  <r>
    <n v="109"/>
    <n v="1002623555"/>
    <n v="3"/>
    <x v="2"/>
    <n v="4"/>
    <s v="MAGELANG"/>
    <s v="MAGELANG"/>
    <s v="MGE"/>
    <s v="REG"/>
    <s v="AO"/>
    <s v="NEW SALES"/>
    <s v="1P INET"/>
    <s v="8 | OSS - PONR"/>
    <s v="RBS-Regional 3"/>
    <d v="2026-10-06T09:14:35"/>
    <d v="2026-10-06T15:10:32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ACT_COM"/>
    <s v="X"/>
    <s v="NO ADDON"/>
    <m/>
    <s v="PONR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m/>
    <m/>
    <m/>
    <e v="#NUM!"/>
    <e v="#NUM!"/>
    <x v="0"/>
    <x v="7"/>
  </r>
  <r>
    <n v="110"/>
    <n v="1002623319"/>
    <n v="3"/>
    <x v="2"/>
    <n v="4"/>
    <s v="MAGELANG"/>
    <s v="MAGELANG"/>
    <s v="MGE"/>
    <s v="REG"/>
    <s v="AO"/>
    <s v="NEW SALES"/>
    <s v="1P INET"/>
    <s v="MIE - SEND SURVEY"/>
    <s v="RBS-Regional 3"/>
    <d v="2026-10-05T19:39:07"/>
    <d v="2026-10-05T19:42:06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SURVEY_NEW_MANJA"/>
    <s v="X"/>
    <s v="NO ADDON"/>
    <m/>
    <s v="MIE - SEND SURVEY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111"/>
    <n v="1002623818"/>
    <n v="3"/>
    <x v="2"/>
    <n v="4"/>
    <s v="MAGELANG"/>
    <s v="MAGELANG"/>
    <s v="MGE"/>
    <s v="REG"/>
    <s v="AO"/>
    <s v="NEW SALES"/>
    <s v="1P INET"/>
    <s v="MIE - SEND SURVEY"/>
    <s v="RBS-Regional 3"/>
    <d v="2026-10-06T10:26:34"/>
    <d v="2026-10-06T10:28:10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m/>
    <s v="SURVEY_NEW_MANJA"/>
    <s v="X"/>
    <s v="NO ADDON"/>
    <m/>
    <s v="MIE - SEND SURVEY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m/>
    <m/>
    <m/>
    <e v="#NUM!"/>
    <e v="#NUM!"/>
    <x v="0"/>
    <x v="7"/>
  </r>
  <r>
    <n v="112"/>
    <n v="1002623514"/>
    <n v="3"/>
    <x v="2"/>
    <n v="4"/>
    <s v="MAGELANG"/>
    <s v="MAGELANG"/>
    <s v="MGE"/>
    <s v="REG"/>
    <s v="AO"/>
    <s v="NEW SALES"/>
    <s v="1P INET"/>
    <s v="MIE - SEND SURVEY"/>
    <s v="RBS-Regional 3"/>
    <d v="2026-10-06T09:04:34"/>
    <d v="2026-10-06T09:06:01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SURVEY_NEW_MANJA"/>
    <s v="X"/>
    <s v="NO ADDON"/>
    <m/>
    <s v="MIE - SEND SURVEY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m/>
    <m/>
    <m/>
    <e v="#NUM!"/>
    <e v="#NUM!"/>
    <x v="0"/>
    <x v="7"/>
  </r>
  <r>
    <n v="113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114"/>
    <n v="1002622437"/>
    <n v="3"/>
    <x v="2"/>
    <n v="4"/>
    <s v="MAGELANG"/>
    <s v="MUNTILAN"/>
    <s v="SWT"/>
    <s v="REG"/>
    <s v="AO"/>
    <s v="NEW SALES"/>
    <s v="1P INET"/>
    <s v="OSS - FALLOUT"/>
    <s v="RBS-Regional 3"/>
    <d v="2026-10-05T13:28:40"/>
    <d v="2026-10-07T13:54:3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FO_WFM"/>
    <s v="X"/>
    <s v="NO ADDON"/>
    <m/>
    <s v="Provisioning Failed|WFM|INF009696677|revoke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115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116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117"/>
    <n v="1002624681"/>
    <n v="3"/>
    <x v="1"/>
    <n v="5"/>
    <s v="KEDIRI"/>
    <s v="KEDIRI"/>
    <s v="GUR"/>
    <s v="REG"/>
    <s v="AO"/>
    <s v="NEW SALES"/>
    <s v="1P INET"/>
    <s v="7 | OSS - PROVISIONING ISSUED"/>
    <s v="RBS-Regional 3"/>
    <d v="2026-10-06T15:02:40"/>
    <d v="2026-10-07T11:30:06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I"/>
    <s v="NGADILUWIH"/>
    <s v="NO ADDON"/>
    <m/>
    <s v="Provisioning Issu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m/>
    <m/>
    <m/>
    <e v="#NUM!"/>
    <e v="#NUM!"/>
    <x v="0"/>
    <x v="8"/>
  </r>
  <r>
    <n v="118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119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120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121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122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123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124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125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126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127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128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129"/>
    <n v="1002623876"/>
    <n v="3"/>
    <x v="1"/>
    <n v="5"/>
    <s v="KEDIRI"/>
    <s v="NGANJUK"/>
    <s v="WRJ"/>
    <s v="REG"/>
    <s v="AO"/>
    <s v="NEW SALES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130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131"/>
    <n v="1002622269"/>
    <n v="3"/>
    <x v="1"/>
    <n v="5"/>
    <s v="KEDIRI"/>
    <s v="KEDIRI"/>
    <s v="KDI"/>
    <s v="REG"/>
    <s v="AO"/>
    <s v="NEW SALES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0"/>
    <x v="8"/>
  </r>
  <r>
    <n v="132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133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134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135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136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137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138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139"/>
    <n v="1002620437"/>
    <n v="3"/>
    <x v="1"/>
    <n v="5"/>
    <s v="MADIUN"/>
    <s v="MADIUN"/>
    <s v="CRB"/>
    <s v="REG"/>
    <s v="AO"/>
    <s v="NEW SALES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140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141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142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143"/>
    <n v="1002622112"/>
    <n v="3"/>
    <x v="1"/>
    <n v="5"/>
    <s v="MADIUN"/>
    <s v="NGAWI"/>
    <s v="NWI"/>
    <s v="REG"/>
    <s v="AO"/>
    <s v="NEW SALES"/>
    <s v="1P INET"/>
    <s v="OSS - PROVISIONING DESAIN"/>
    <s v="RBS-Regional 3"/>
    <d v="2026-10-05T11:08:40"/>
    <d v="2026-10-07T13:54:08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RE_PI"/>
    <s v="X"/>
    <s v="NO ADDON"/>
    <m/>
    <s v="Provisioning Designed"/>
    <s v="HSI Bisnis PSB 70% Dual Band - 100 Mbps"/>
    <s v="INDIBIZ"/>
    <m/>
    <m/>
    <d v="2026-10-06T08:00:00"/>
    <s v="2026-10-06 08:00:00 | Tanggal : 6 Oktober 2026 Jam : pagi  Hubungi pelanggan sebelum ke lokasi "/>
    <m/>
    <m/>
    <m/>
    <e v="#NUM!"/>
    <e v="#NUM!"/>
    <x v="0"/>
    <x v="10"/>
  </r>
  <r>
    <n v="144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m/>
    <n v="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145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146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147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148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149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150"/>
    <n v="1002624856"/>
    <n v="3"/>
    <x v="1"/>
    <n v="5"/>
    <s v="MADIUN"/>
    <s v="PONOROGO"/>
    <s v="PON"/>
    <s v="REG"/>
    <s v="AO"/>
    <s v="NEW SALES"/>
    <s v="2P INET + VOICE"/>
    <s v="MIE - SEND SURVEY"/>
    <s v="RBS-Regional 3"/>
    <d v="2026-10-06T15:49:40"/>
    <d v="2026-10-06T15:52:01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m/>
    <s v="SURVEY_NEW_MANJA"/>
    <s v="SAMBIT SUMOROTO"/>
    <s v="NO ADDON"/>
    <m/>
    <s v="MIE - SEND SURVEY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151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152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153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154"/>
    <n v="1002624715"/>
    <n v="3"/>
    <x v="1"/>
    <n v="5"/>
    <s v="KEDIRI"/>
    <s v="TRENGGALEK"/>
    <s v="TRE"/>
    <s v="REG"/>
    <s v="AO"/>
    <s v="NEW SALES"/>
    <s v="1P INET"/>
    <s v="MIE - SEND SURVEY"/>
    <s v="RBS-Regional 3"/>
    <d v="2026-10-06T15:11:36"/>
    <d v="2026-10-06T15:14:07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SURVEY_NEW_MANJA"/>
    <s v="TRENGGALEK"/>
    <s v="OCA"/>
    <m/>
    <s v="MIE - SEND SURVEY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m/>
    <m/>
    <m/>
    <e v="#NUM!"/>
    <e v="#NUM!"/>
    <x v="0"/>
    <x v="11"/>
  </r>
  <r>
    <n v="155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156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157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158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159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160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161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162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163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164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165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166"/>
    <n v="1002623543"/>
    <n v="3"/>
    <x v="2"/>
    <n v="4"/>
    <s v="YOGYAKARTA"/>
    <s v="INNER - YOGYA JATENG SELATAN"/>
    <s v="KBU"/>
    <s v="REG"/>
    <s v="AO"/>
    <s v="NEW SALES"/>
    <m/>
    <s v="MIE - SEND SURVEY"/>
    <s v="RBS-Regional 3"/>
    <d v="2026-10-06T09:12:02"/>
    <d v="2026-10-06T11:22:07"/>
    <n v="69404725"/>
    <m/>
    <n v="146113147754"/>
    <s v="HOTEL PULANG KE UTARA 10A02"/>
    <s v="ODP-KBU-FDR/128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m/>
    <m/>
    <m/>
    <e v="#NUM!"/>
    <e v="#NUM!"/>
    <x v="0"/>
    <x v="7"/>
  </r>
  <r>
    <n v="167"/>
    <n v="1002625042"/>
    <n v="3"/>
    <x v="2"/>
    <n v="4"/>
    <s v="YOGYAKARTA"/>
    <s v="BANTUL"/>
    <s v="BTL"/>
    <s v="REG"/>
    <s v="AO"/>
    <s v="NEW SALES"/>
    <s v="1P INET"/>
    <s v="7 | OSS - PROVISIONING ISSUED"/>
    <s v="RBS-Regional 3"/>
    <d v="2026-10-06T16:49:35"/>
    <d v="2026-10-07T13:50:35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I"/>
    <s v="X"/>
    <s v="NO ADDON"/>
    <m/>
    <s v="Provisioning Issu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m/>
    <m/>
    <m/>
    <e v="#NUM!"/>
    <e v="#NUM!"/>
    <x v="0"/>
    <x v="7"/>
  </r>
  <r>
    <n v="168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169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170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171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172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173"/>
    <n v="1002624669"/>
    <n v="3"/>
    <x v="2"/>
    <n v="4"/>
    <s v="YOGYAKARTA"/>
    <s v="INNER - YOGYA JATENG SELATAN"/>
    <s v="KGD"/>
    <s v="REG"/>
    <s v="AO"/>
    <s v="NEW SALES"/>
    <s v="1P INET"/>
    <s v="MIA - INVALID SURVEY"/>
    <s v="RBS-Regional 3"/>
    <d v="2026-10-06T14:58:39"/>
    <d v="2026-10-07T10:28:01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SURVEY_NEW_MANJA"/>
    <s v="KOTAGEDE"/>
    <s v="NO ADDON"/>
    <m/>
    <s v="MIE - INVALID SURVEY - Double Input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174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175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176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177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178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179"/>
    <n v="1002622415"/>
    <n v="3"/>
    <x v="3"/>
    <n v="5"/>
    <s v="MADURA"/>
    <s v="BANGKALAN"/>
    <s v="ARB"/>
    <s v="REG"/>
    <s v="AO"/>
    <s v="NEW SALES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180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181"/>
    <n v="1002625032"/>
    <n v="3"/>
    <x v="3"/>
    <n v="5"/>
    <s v="MADURA"/>
    <s v="BANGKALAN"/>
    <s v="BKL"/>
    <s v="REG"/>
    <s v="AO"/>
    <s v="NEW SALES"/>
    <m/>
    <s v="MIE - SEND SURVEY"/>
    <s v="RBS-Regional 3"/>
    <d v="2026-10-06T16:47:50"/>
    <d v="2026-10-07T12:54:06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182"/>
    <n v="1002621239"/>
    <n v="3"/>
    <x v="3"/>
    <n v="5"/>
    <s v="MADURA"/>
    <s v="BANGKALAN"/>
    <s v="BEA"/>
    <s v="REG"/>
    <s v="AO"/>
    <s v="NEW SALES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183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184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185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186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187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188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189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190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191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192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193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194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195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196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197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198"/>
    <n v="1002617619"/>
    <n v="3"/>
    <x v="3"/>
    <n v="5"/>
    <s v="MADURA"/>
    <s v="PAMEKASAN"/>
    <s v="AJA"/>
    <s v="REG"/>
    <s v="AO"/>
    <s v="NEW SALES"/>
    <m/>
    <s v="OSS - FALLOUT"/>
    <s v="RBS-Regional 3"/>
    <d v="2026-10-01T11:36:55"/>
    <d v="2026-10-06T23:42:17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FO_WFM"/>
    <s v="X"/>
    <s v="NO ADDON"/>
    <m/>
    <s v="Provisioning Failed|WFM|INF009688337|TBR_-7.0092327,113.87100849999999_BW KEPULAUAN ARJASA HABI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199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200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201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202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203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204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205"/>
    <n v="1002625188"/>
    <n v="3"/>
    <x v="3"/>
    <n v="5"/>
    <s v="MADURA"/>
    <s v="PAMEKASAN"/>
    <s v="SMP"/>
    <s v="REG"/>
    <s v="AO"/>
    <s v="NEW SALES"/>
    <s v="1P INET"/>
    <s v="MIA - INVALID SURVEY"/>
    <s v="RBS-Regional 3"/>
    <d v="2026-10-06T19:06:57"/>
    <d v="2026-10-07T11:07:11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SURVEY_NEW_MANJA"/>
    <s v="X"/>
    <s v="NETMONK"/>
    <m/>
    <s v="MIE - INVALID SURVEY - Double Input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206"/>
    <n v="1002617733"/>
    <n v="3"/>
    <x v="3"/>
    <n v="5"/>
    <s v="SBY UTARA"/>
    <s v="KENJERAN"/>
    <s v="KBL"/>
    <s v="REG"/>
    <s v="AO"/>
    <s v="NEW SALES"/>
    <s v="1P INET"/>
    <s v="OSS - FALLOUT"/>
    <s v="RBS-Regional 3"/>
    <d v="2026-10-01T12:31:39"/>
    <d v="2026-10-03T15:42:03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FO_WFM"/>
    <s v="KEBALEN"/>
    <s v="NO ADDON"/>
    <m/>
    <s v="Provisioning Failed|WFM|INF009636679|TOF_-7.2114415,112.65197450000001_-7.229388, 112.702373, ODP SATU SATUNYA FULL ODP-KBL-F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207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208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209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210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211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212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213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214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215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216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217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218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219"/>
    <n v="1002621810"/>
    <n v="3"/>
    <x v="3"/>
    <n v="5"/>
    <s v="SBY UTARA"/>
    <s v="TANDES"/>
    <s v="KNN"/>
    <s v="REG"/>
    <s v="AO"/>
    <s v="NEW SALES"/>
    <s v="1P INET"/>
    <s v="OSS - FALLOUT"/>
    <s v="RBS-Regional 3"/>
    <d v="2026-10-05T09:47:35"/>
    <d v="2026-10-06T17:21:17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FO_WFM"/>
    <s v="KANDANGAN"/>
    <s v="NO ADDON"/>
    <m/>
    <s v="Provisioning Failed|WFM|INF009684450|MASUK CITRALAND BELUM ADA PKS DGN INDIBIZ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220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221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222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223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224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225"/>
    <n v="1002625196"/>
    <n v="3"/>
    <x v="3"/>
    <n v="5"/>
    <s v="SBY UTARA"/>
    <s v="TANDES"/>
    <s v="LKI"/>
    <s v="REG"/>
    <s v="AO"/>
    <s v="NEW SALES"/>
    <s v="2P INET + VOICE"/>
    <s v="MIE - SEND SURVEY"/>
    <s v="RBS-Regional 3"/>
    <d v="2026-10-06T19:17:41"/>
    <d v="2026-10-06T19:20:25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m/>
    <s v="SURVEY_NEW_MANJA"/>
    <s v="TANDES"/>
    <s v="NO ADDON"/>
    <m/>
    <s v="MIE - SEND SURVEY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226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227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228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229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230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231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232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233"/>
    <n v="1002622595"/>
    <n v="3"/>
    <x v="3"/>
    <n v="5"/>
    <s v="SBY UTARA"/>
    <s v="TANDES"/>
    <s v="KLN"/>
    <s v="REG"/>
    <s v="AO"/>
    <s v="NEW SALES"/>
    <s v="2P INET + VOICE"/>
    <s v="MIA - INVALID SURVEY"/>
    <s v="RBS-Regional 3"/>
    <d v="2026-10-05T14:07:39"/>
    <d v="2026-10-06T09:56:25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234"/>
    <n v="1002622546"/>
    <n v="3"/>
    <x v="3"/>
    <n v="5"/>
    <s v="SBY UTARA"/>
    <s v="TANDES"/>
    <s v="KLN"/>
    <s v="REG"/>
    <s v="AO"/>
    <s v="NEW SALES"/>
    <s v="1P INET"/>
    <s v="MIA - INVALID SURVEY"/>
    <s v="RBS-Regional 3"/>
    <d v="2026-10-05T13:58:40"/>
    <d v="2026-10-06T09:57:59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SURVEY_NEW_MANJA"/>
    <s v="KEBALEN"/>
    <s v="NO ADDON"/>
    <m/>
    <s v="MIE - INVALID SURVEY - Kendala Jalur/Rute Tarikan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235"/>
    <n v="1002624121"/>
    <n v="3"/>
    <x v="3"/>
    <n v="5"/>
    <s v="SBY UTARA"/>
    <s v="TANDES"/>
    <s v="KLN"/>
    <s v="REG"/>
    <s v="AO"/>
    <s v="NEW SALES"/>
    <s v="1P INET"/>
    <s v="MIA - INVALID SURVEY"/>
    <s v="RBS-Regional 3"/>
    <d v="2026-10-06T12:01:35"/>
    <d v="2026-10-07T12:36:17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SURVEY_NEW_MANJA"/>
    <s v="KEBALEN"/>
    <s v="NO ADDON"/>
    <m/>
    <s v="MIE - INVALID SURVEY - Salah Tagging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236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237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238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239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240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241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242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243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244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245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246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247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248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249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250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251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252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253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254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255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256"/>
    <n v="1002625053"/>
    <n v="3"/>
    <x v="3"/>
    <n v="5"/>
    <s v="SBY SELATAN"/>
    <s v="MANYAR"/>
    <s v="MYR"/>
    <s v="REG"/>
    <s v="AO"/>
    <s v="NEW SALES"/>
    <s v="1P INET"/>
    <s v="MIE - SEND SURVEY"/>
    <s v="RBS-Regional 3"/>
    <d v="2026-10-06T16:52:39"/>
    <d v="2026-10-06T16:54:11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SEND SURVEY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257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258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259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260"/>
    <n v="1002621618"/>
    <n v="3"/>
    <x v="3"/>
    <n v="5"/>
    <s v="SBY SELATAN"/>
    <s v="KETINTANG"/>
    <s v="RKT"/>
    <s v="REG"/>
    <s v="AO"/>
    <s v="NEW SALES"/>
    <m/>
    <s v="MIE - SEND SURVEY"/>
    <s v="RBS-Regional 3"/>
    <d v="2026-10-05T08:46:10"/>
    <d v="2026-10-05T16:08:02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SURVEY_NEW_MANJA"/>
    <s v="RUNGKUT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m/>
    <m/>
    <m/>
    <e v="#NUM!"/>
    <e v="#NUM!"/>
    <x v="0"/>
    <x v="14"/>
  </r>
  <r>
    <n v="261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262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263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264"/>
    <n v="1002623454"/>
    <n v="3"/>
    <x v="4"/>
    <n v="4"/>
    <s v="SOLO"/>
    <s v="KLATEN"/>
    <s v="PEN"/>
    <s v="REG"/>
    <s v="AO"/>
    <s v="NEW SALES"/>
    <s v="2P INET + VOICE"/>
    <s v="7 | OSS - PROVISIONING ISSUED"/>
    <s v="RBS-Regional 3"/>
    <d v="2026-10-06T08:44:40"/>
    <d v="2026-10-07T09:25:07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I"/>
    <s v="X"/>
    <s v="NO ADDON"/>
    <m/>
    <s v="Provisioning Issu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m/>
    <m/>
    <m/>
    <e v="#NUM!"/>
    <e v="#NUM!"/>
    <x v="0"/>
    <x v="7"/>
  </r>
  <r>
    <n v="265"/>
    <n v="1002623782"/>
    <n v="3"/>
    <x v="4"/>
    <n v="4"/>
    <s v="SOLO"/>
    <s v="INNER - SOLO JATENG TIMUR"/>
    <s v="KTO"/>
    <s v="REG"/>
    <s v="AO"/>
    <s v="NEW SALES"/>
    <s v="1P INET"/>
    <s v="7 | OSS - PROVISIONING ISSUED"/>
    <s v="RBS-Regional 3"/>
    <d v="2026-10-06T10:19:35"/>
    <d v="2026-10-07T09:23:2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I"/>
    <s v="SOLO KARTOSURO"/>
    <s v="NO ADDON"/>
    <m/>
    <s v="Provisioning Issu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7"/>
  </r>
  <r>
    <n v="266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267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268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269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270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71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272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273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274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275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276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277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278"/>
    <n v="1002624473"/>
    <n v="3"/>
    <x v="4"/>
    <n v="4"/>
    <s v="SOLO"/>
    <s v="INNER - SOLO JATENG TIMUR"/>
    <s v="SOP"/>
    <s v="REG"/>
    <s v="AO"/>
    <s v="NEW SALES"/>
    <m/>
    <s v="QC MIA - INVALID QUALITY CONTROL MIA"/>
    <s v="RBS-Regional 3"/>
    <d v="2026-10-06T14:03:49"/>
    <d v="2026-10-07T13:53:36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lokasi sesuai nama usaha terdafta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279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280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281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282"/>
    <n v="1002621260"/>
    <n v="3"/>
    <x v="4"/>
    <n v="4"/>
    <s v="SOLO"/>
    <s v="INNER - SOLO JATENG TIMUR"/>
    <s v="KRT"/>
    <s v="REG"/>
    <s v="AO"/>
    <s v="NEW SALES"/>
    <s v="1P INET"/>
    <s v="7 | OSS - PROVISIONING ISSUED"/>
    <s v="RBS-Regional 3"/>
    <d v="2026-10-04T09:20:35"/>
    <d v="2026-10-05T08:13:30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I"/>
    <s v="X"/>
    <s v="NO ADDON"/>
    <m/>
    <s v="Provisioning Issu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m/>
    <m/>
    <m/>
    <e v="#NUM!"/>
    <e v="#NUM!"/>
    <x v="0"/>
    <x v="7"/>
  </r>
  <r>
    <n v="283"/>
    <n v="1002624452"/>
    <n v="3"/>
    <x v="4"/>
    <n v="4"/>
    <s v="SOLO"/>
    <s v="INNER - SOLO JATENG TIMUR"/>
    <s v="KRT"/>
    <s v="REG"/>
    <s v="AO"/>
    <s v="NEW SALES"/>
    <m/>
    <s v="7 | OSS - PROVISIONING ISSUED"/>
    <s v="RBS-Regional 3"/>
    <d v="2026-10-06T14:00:18"/>
    <d v="2026-10-07T11:26:43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m/>
    <m/>
    <m/>
    <e v="#NUM!"/>
    <e v="#NUM!"/>
    <x v="0"/>
    <x v="7"/>
  </r>
  <r>
    <n v="284"/>
    <n v="1002624136"/>
    <n v="3"/>
    <x v="4"/>
    <n v="4"/>
    <s v="SOLO"/>
    <s v="INNER - SOLO JATENG TIMUR"/>
    <s v="KRT"/>
    <s v="REG"/>
    <s v="AO"/>
    <s v="NEW SALES"/>
    <s v="1P INET"/>
    <s v="7 | OSS - PROVISIONING ISSUED"/>
    <s v="RBS-Regional 3"/>
    <d v="2026-10-06T12:10:34"/>
    <d v="2026-10-07T11:19:44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m/>
    <s v="PI"/>
    <s v="X"/>
    <s v="NO ADDON"/>
    <m/>
    <s v="Provisioning Issu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285"/>
    <n v="1002624187"/>
    <n v="3"/>
    <x v="4"/>
    <n v="4"/>
    <s v="SOLO"/>
    <s v="INNER - SOLO JATENG TIMUR"/>
    <s v="KRT"/>
    <s v="REG"/>
    <s v="AO"/>
    <s v="NEW SALES"/>
    <s v="1P INET"/>
    <s v="OSS - FALLOUT"/>
    <s v="RBS-Regional 3"/>
    <d v="2026-10-06T12:40:35"/>
    <d v="2026-10-06T14:43:51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FO_WFM"/>
    <s v="X"/>
    <s v="NO ADDON"/>
    <m/>
    <s v="Provisioning Failed|WFM|INF009681427|PP_-7.5632887,110.8095345_pelanggan minta di undur tangal 8. karena masih diklat di sema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m/>
    <m/>
    <m/>
    <e v="#NUM!"/>
    <e v="#NUM!"/>
    <x v="0"/>
    <x v="7"/>
  </r>
  <r>
    <n v="286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287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288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289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290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291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292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293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294"/>
    <n v="1002622830"/>
    <n v="3"/>
    <x v="4"/>
    <n v="4"/>
    <s v="SOLO"/>
    <s v="WONOGIRI"/>
    <s v="WNG"/>
    <s v="REG"/>
    <s v="AO"/>
    <s v="NEW SALES"/>
    <s v="1P INET"/>
    <s v="8 | OSS - PONR"/>
    <s v="RBS-Regional 3"/>
    <d v="2026-10-05T15:19:39"/>
    <d v="2026-10-06T11:13:00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ACT_COM"/>
    <s v="X"/>
    <s v="NO ADDON"/>
    <m/>
    <s v="PONR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m/>
    <m/>
    <m/>
    <e v="#NUM!"/>
    <e v="#NUM!"/>
    <x v="0"/>
    <x v="7"/>
  </r>
  <r>
    <n v="295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5"/>
  </r>
  <r>
    <n v="296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5"/>
  </r>
  <r>
    <n v="297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5"/>
  </r>
  <r>
    <n v="298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5"/>
  </r>
  <r>
    <n v="299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5"/>
  </r>
  <r>
    <n v="300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5"/>
  </r>
  <r>
    <n v="301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5"/>
  </r>
  <r>
    <n v="302"/>
    <n v="1002624019"/>
    <n v="3"/>
    <x v="5"/>
    <n v="5"/>
    <s v="SIDOARJO"/>
    <s v="JOMBANG"/>
    <s v="MOJ"/>
    <s v="REG"/>
    <s v="AO"/>
    <s v="NEW SALES"/>
    <m/>
    <s v="CC - HD1A - INPROGRESS UNCONTACTED"/>
    <s v="RBS-Regional 3"/>
    <d v="2026-10-06T11:30:24"/>
    <d v="2026-10-07T12:30:43"/>
    <n v="69404899"/>
    <m/>
    <n v="152319209244"/>
    <s v="KRISNA JAYA"/>
    <s v="ODP-MOJ-FS/56"/>
    <m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m/>
    <m/>
    <m/>
    <d v="2026-06-10T11:40:08"/>
    <m/>
    <m/>
    <s v="FCC"/>
    <s v="JOMBANG"/>
    <s v="OCA"/>
    <m/>
    <s v="UNCONTACTED : Telepon Tidak Diangkat - RNA Putri Arviyanti 4097130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5"/>
  </r>
  <r>
    <n v="303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5"/>
  </r>
  <r>
    <n v="304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5"/>
  </r>
  <r>
    <n v="305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5"/>
  </r>
  <r>
    <n v="306"/>
    <n v="1002623517"/>
    <n v="3"/>
    <x v="5"/>
    <n v="5"/>
    <s v="SIDOARJO"/>
    <s v="MOJOKERTO"/>
    <s v="MRT"/>
    <s v="REG"/>
    <s v="AO"/>
    <s v="NEW SALES"/>
    <m/>
    <s v="7 | OSS - PROVISIONING ISSUED"/>
    <s v="RBS-Regional 3"/>
    <d v="2026-10-06T09:06:15"/>
    <d v="2026-10-07T09:25:25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m/>
    <s v="PI"/>
    <s v="MOJOKERTO"/>
    <s v="OCA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5"/>
  </r>
  <r>
    <n v="307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5"/>
  </r>
  <r>
    <n v="308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5"/>
  </r>
  <r>
    <n v="309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5"/>
  </r>
  <r>
    <n v="310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5"/>
  </r>
  <r>
    <n v="311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5"/>
  </r>
  <r>
    <n v="312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6"/>
  </r>
  <r>
    <n v="313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6"/>
  </r>
  <r>
    <n v="314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6"/>
  </r>
  <r>
    <n v="315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6"/>
  </r>
  <r>
    <n v="316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6"/>
  </r>
  <r>
    <n v="317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6"/>
  </r>
  <r>
    <n v="318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6"/>
  </r>
  <r>
    <n v="319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6"/>
  </r>
  <r>
    <n v="320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6"/>
  </r>
  <r>
    <n v="321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6"/>
  </r>
  <r>
    <n v="322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6"/>
  </r>
  <r>
    <n v="323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7"/>
  </r>
  <r>
    <n v="324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7"/>
  </r>
  <r>
    <n v="325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7"/>
  </r>
  <r>
    <n v="326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7"/>
  </r>
  <r>
    <n v="327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7"/>
  </r>
  <r>
    <n v="328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7"/>
  </r>
  <r>
    <n v="329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7"/>
  </r>
  <r>
    <n v="330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6"/>
  </r>
  <r>
    <n v="331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6"/>
  </r>
  <r>
    <n v="332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333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334"/>
    <n v="1002624432"/>
    <n v="3"/>
    <x v="3"/>
    <n v="5"/>
    <s v="SBY SELATAN"/>
    <s v="KETINTANG"/>
    <s v="WRU"/>
    <s v="REG"/>
    <s v="AO"/>
    <s v="NEW SALES"/>
    <s v="1P INET"/>
    <s v="8 | OSS - PONR"/>
    <s v="RBS-Regional 3"/>
    <d v="2026-10-06T13:53:40"/>
    <d v="2026-10-07T13:13:23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ACT_COM"/>
    <s v="WARU INJOKO"/>
    <s v="OCA"/>
    <m/>
    <s v="PONR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4"/>
  </r>
  <r>
    <n v="335"/>
    <n v="1002623807"/>
    <n v="3"/>
    <x v="3"/>
    <n v="5"/>
    <s v="SBY SELATAN"/>
    <s v="KETINTANG"/>
    <s v="TPO"/>
    <s v="REG"/>
    <s v="AO"/>
    <s v="NEW SALES"/>
    <s v="1P INET"/>
    <s v="7 | OSS - PROVISIONING ISSUED"/>
    <s v="RBS-Regional 3"/>
    <d v="2026-10-06T10:23:40"/>
    <d v="2026-10-07T09:19:37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I"/>
    <s v="TROPODO"/>
    <s v="NETMONK"/>
    <m/>
    <s v="Provisioning Issu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m/>
    <m/>
    <m/>
    <e v="#NUM!"/>
    <e v="#NUM!"/>
    <x v="0"/>
    <x v="14"/>
  </r>
  <r>
    <n v="336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337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338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339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340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341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342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343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344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345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346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347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348"/>
    <n v="1002622968"/>
    <n v="3"/>
    <x v="4"/>
    <n v="4"/>
    <s v="KUDUS"/>
    <s v="JEPARA"/>
    <s v="PEC"/>
    <s v="REG"/>
    <s v="AO"/>
    <s v="NEW SALES"/>
    <m/>
    <s v="MIE - SEND SURVEY"/>
    <s v="RBS-Regional 2"/>
    <d v="2026-10-05T15:51:43"/>
    <d v="2026-10-05T19:30:01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SURVEY_NEW_MANJA"/>
    <s v="PECANGAAN"/>
    <s v="NO ADDON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349"/>
    <n v="1002624154"/>
    <n v="3"/>
    <x v="4"/>
    <n v="4"/>
    <s v="KUDUS"/>
    <s v="KUDUS"/>
    <s v="KUD"/>
    <s v="REG"/>
    <s v="AO"/>
    <s v="NEW SALES"/>
    <s v="1P INET"/>
    <s v="7 | OSS - PROVISIONING ISSUED"/>
    <s v="RBS-Regional 3"/>
    <d v="2026-10-06T12:22:40"/>
    <d v="2026-10-07T11:19:36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m/>
    <s v="PI"/>
    <s v="X"/>
    <s v="NO ADDON"/>
    <m/>
    <s v="Provisioning Issu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350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351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352"/>
    <n v="1002617361"/>
    <n v="3"/>
    <x v="4"/>
    <n v="4"/>
    <s v="KUDUS"/>
    <s v="KUDUS"/>
    <s v="KUD"/>
    <s v="REG"/>
    <s v="AO"/>
    <s v="NEW SALES"/>
    <s v="1P INET"/>
    <s v="MIA - INVALID SURVEY"/>
    <s v="RBS-Regional 3"/>
    <d v="2026-10-01T10:31:39"/>
    <d v="2026-10-05T09:26:07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INVALID SURVEY - Bangunan/Perangkat Pelanggan Belum Siap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353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354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355"/>
    <n v="1002623986"/>
    <n v="3"/>
    <x v="4"/>
    <n v="4"/>
    <s v="KUDUS"/>
    <s v="PATI"/>
    <s v="PAT"/>
    <s v="REG"/>
    <s v="AO"/>
    <s v="NEW SALES"/>
    <s v="1P INET"/>
    <s v="SIBEL - CREATE ORDER FAIL"/>
    <s v="RBS-Regional 3"/>
    <d v="2026-10-06T11:17:35"/>
    <d v="2026-10-07T09:34:18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INPROGRESS_SC"/>
    <s v="X"/>
    <s v="NO ADDON"/>
    <m/>
    <s v="Error invoking service 'EAI Siebel Adapter', method 'Upsert' at step 'Upsert CA BA SA'.(SBL-BPR-00162) -- Cannot perform 'Upd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356"/>
    <n v="1002623718"/>
    <n v="3"/>
    <x v="6"/>
    <n v="4"/>
    <s v="SEMARANG"/>
    <s v="INNER - SEMARANG JATENG UTARA"/>
    <s v="BOJ"/>
    <s v="REG"/>
    <s v="AO"/>
    <s v="NEW SALES"/>
    <s v="1P INET"/>
    <s v="7 | OSS - PROVISIONING ISSUED"/>
    <s v="RBS-Regional 3"/>
    <d v="2026-10-06T10:02:38"/>
    <d v="2026-10-07T09:25:20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I"/>
    <s v="SEMARANG TUGU"/>
    <s v="NO ADDON"/>
    <m/>
    <s v="Provisioning Issu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357"/>
    <n v="1002621931"/>
    <n v="3"/>
    <x v="6"/>
    <n v="4"/>
    <s v="SEMARANG"/>
    <s v="KENDAL"/>
    <s v="KDL"/>
    <s v="REG"/>
    <s v="AO"/>
    <s v="NEW SALES"/>
    <s v="1P INET"/>
    <s v="OSS - FALLOUT"/>
    <s v="RBS-Regional 3"/>
    <d v="2026-10-05T10:23:39"/>
    <d v="2026-10-07T12:21:03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FO_WFM"/>
    <s v="X"/>
    <s v="NO ADDON"/>
    <m/>
    <s v="Provisioning Failed|WFM|INF009695459|-6.939051, 110.251267 | TNO_RADIUS 250M NO ODP, ODP TERDEKAT JARAK 350M.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358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359"/>
    <n v="1002622261"/>
    <n v="3"/>
    <x v="6"/>
    <n v="4"/>
    <s v="SEMARANG"/>
    <s v="KENDAL"/>
    <s v="SKR"/>
    <s v="REG"/>
    <s v="AO"/>
    <s v="NEW SALES"/>
    <m/>
    <s v="OSS - FALLOUT"/>
    <s v="RBS-Regional 3"/>
    <d v="2026-10-05T12:14:26"/>
    <d v="2026-10-06T13:39:16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FO_WFM"/>
    <s v="X"/>
    <s v="NETMONK"/>
    <m/>
    <s v="Provisioning Failed|WFM|INF009679920|PP_-7.0897632999999995,110.04469329999999_PP_PELANGGAN MANJA PEMASANGAN 08 OKTOBER 2026.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360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361"/>
    <n v="1002624515"/>
    <n v="3"/>
    <x v="6"/>
    <n v="4"/>
    <s v="SEMARANG"/>
    <s v="INNER - SEMARANG JATENG UTARA"/>
    <s v="MKG"/>
    <s v="REG"/>
    <s v="AO"/>
    <s v="NEW SALES"/>
    <s v="1P INET"/>
    <s v="MIE - SEND SURVEY"/>
    <s v="RBS-Regional 3"/>
    <d v="2026-10-06T14:16:41"/>
    <d v="2026-10-06T14:18:06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m/>
    <s v="SURVEY_NEW_MANJA"/>
    <s v="SEMARANG TUGU"/>
    <s v="NO ADDON"/>
    <m/>
    <s v="MIE - SEND SURVEY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362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363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364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365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366"/>
    <n v="1002624670"/>
    <n v="3"/>
    <x v="6"/>
    <n v="4"/>
    <s v="SEMARANG"/>
    <s v="INNER - SEMARANG JATENG UTARA"/>
    <s v="SMT"/>
    <s v="REG"/>
    <s v="AO"/>
    <s v="NEW SALES"/>
    <m/>
    <s v="MYCX - SEND OPEN PAPERLESS"/>
    <s v="RBS-Regional 3"/>
    <d v="2026-10-06T15:01:16"/>
    <d v="2026-10-06T15:04:12"/>
    <n v="69405206"/>
    <n v="2435320314"/>
    <n v="141420144664"/>
    <s v="PT. OPTIK SEIS JAYA"/>
    <s v="ODP-SMC-FD/078"/>
    <m/>
    <m/>
    <m/>
    <m/>
    <n v="110.41627761241099"/>
    <n v="-7.0124326804994599"/>
    <s v="AMRBS;403098;REG3;DANIEL MARWA DENERO;08112876658;CP.HENDRIANTO;08161938320;PAKET 2S INET VOICE 50 MBPS (479.000);PT. OPTIK SEIS JAYA"/>
    <s v="Account Manager"/>
    <m/>
    <m/>
    <m/>
    <m/>
    <m/>
    <m/>
    <m/>
    <m/>
    <m/>
    <m/>
    <m/>
    <d v="2026-06-10T15:25:46"/>
    <m/>
    <m/>
    <s v="INPROGRESS_SC"/>
    <s v="SEMARANG TUGU"/>
    <s v="NO ADDON"/>
    <m/>
    <s v="SEND PAPERLESS OPE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7"/>
  </r>
  <r>
    <n v="367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368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369"/>
    <n v="1002619811"/>
    <n v="3"/>
    <x v="6"/>
    <n v="4"/>
    <s v="SEMARANG"/>
    <s v="INNER - SEMARANG JATENG UTARA"/>
    <s v="GNK"/>
    <s v="REG"/>
    <s v="AO"/>
    <s v="NEW SALES"/>
    <m/>
    <s v="7 | OSS - PROVISIONING ISSUED"/>
    <s v="RBS-Regional 2"/>
    <d v="2026-10-02T13:37:19"/>
    <d v="2026-10-06T08:23:32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m/>
    <s v="PI"/>
    <s v="JOH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370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371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372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373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374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375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376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377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378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379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380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381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382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383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384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385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386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387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388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389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390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391"/>
    <n v="1002624799"/>
    <n v="3"/>
    <x v="2"/>
    <n v="4"/>
    <s v="PURWOKERTO"/>
    <s v="PURWOKERTO"/>
    <s v="PWT"/>
    <s v="REG"/>
    <s v="AO"/>
    <s v="NEW SALES"/>
    <m/>
    <s v="MYCX - SEND OPEN PAPERLESS"/>
    <s v="RBS-Regional 3"/>
    <d v="2026-10-06T15:36:40"/>
    <d v="2026-10-06T15:38:06"/>
    <n v="69405243"/>
    <m/>
    <n v="146303629433"/>
    <s v="PLANET SHOES"/>
    <s v="ODP-PWT-FN/048"/>
    <m/>
    <m/>
    <m/>
    <m/>
    <n v="109.24296426788"/>
    <n v="-7.41680249547899"/>
    <s v="PSB;MN02713;PLANET SHOES;089601012313;PSB HSI BISNIS 75MBPS PROMO;planetshoes151@gmail.com;FATHUL NURUL HUDA;-7.4168024954789935, 109.24296426788062"/>
    <s v="MYDIGIBIZPARTNER"/>
    <m/>
    <m/>
    <m/>
    <m/>
    <m/>
    <m/>
    <m/>
    <m/>
    <m/>
    <m/>
    <m/>
    <d v="2026-06-10T15:40:35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392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393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394"/>
    <n v="1002624065"/>
    <n v="3"/>
    <x v="2"/>
    <n v="4"/>
    <s v="PURWOKERTO"/>
    <s v="CILACAP"/>
    <s v="GML"/>
    <s v="REG"/>
    <s v="AO"/>
    <s v="NEW SALES"/>
    <s v="2P INET + VOICE"/>
    <s v="8 | OSS - PONR"/>
    <s v="RBS-Regional 3"/>
    <d v="2026-10-06T11:43:40"/>
    <d v="2026-10-07T11:39:2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ACT_COM"/>
    <s v="X"/>
    <s v="NO ADDON"/>
    <m/>
    <s v="PONR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m/>
    <m/>
    <m/>
    <e v="#NUM!"/>
    <e v="#NUM!"/>
    <x v="0"/>
    <x v="7"/>
  </r>
  <r>
    <n v="395"/>
    <n v="1002620365"/>
    <n v="3"/>
    <x v="2"/>
    <n v="4"/>
    <s v="PURWOKERTO"/>
    <s v="CILACAP"/>
    <s v="MAN"/>
    <s v="REG"/>
    <s v="AO"/>
    <s v="NEW SALES"/>
    <m/>
    <s v="7 | OSS - PROVISIONING ISSUED"/>
    <s v="RBS-Regional 3"/>
    <d v="2026-10-02T15:59:15"/>
    <d v="2026-10-06T11:09:54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m/>
    <s v="PI"/>
    <s v="MAJENANG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396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397"/>
    <n v="1002621300"/>
    <n v="3"/>
    <x v="2"/>
    <n v="4"/>
    <s v="PURWOKERTO"/>
    <s v="BANJARNEGARA"/>
    <s v="BJR"/>
    <s v="REG"/>
    <s v="AO"/>
    <s v="NEW SALES"/>
    <s v="1P INET"/>
    <s v="OSS - FALLOUT"/>
    <s v="RBS-Regional 3"/>
    <d v="2026-10-04T10:30:34"/>
    <d v="2026-10-05T16:04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WFM"/>
    <s v="X"/>
    <s v="NO ADDON"/>
    <m/>
    <s v="Provisioning Failed|WFM|INF009667198|TOJ_-7.3962143000000005,109.69823910000001_odp terdekat unspec BJR-FAR/001 300m dan full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398"/>
    <n v="1002621299"/>
    <n v="3"/>
    <x v="2"/>
    <n v="4"/>
    <s v="PURWOKERTO"/>
    <s v="BANJARNEGARA"/>
    <s v="BJR"/>
    <s v="REG"/>
    <s v="AO"/>
    <s v="NEW SALES"/>
    <s v="1P INET"/>
    <s v="OSS - FALLOUT"/>
    <s v="RBS-Regional 3"/>
    <d v="2026-10-04T10:29:51"/>
    <d v="2026-10-05T18:38:57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UIM"/>
    <s v="X"/>
    <s v="NO ADDON"/>
    <m/>
    <s v="Provisioning Failed|UIM|INF009669633|Service with External Object Id 69403803_146372103619_INTERNET already exists.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399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400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401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402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403"/>
    <n v="1002623766"/>
    <n v="3"/>
    <x v="2"/>
    <n v="4"/>
    <s v="PURWOKERTO"/>
    <s v="BANJARNEGARA"/>
    <s v="BJR"/>
    <s v="REG"/>
    <s v="AO"/>
    <s v="NEW SALES"/>
    <s v="1P INET"/>
    <s v="MIE - SEND SURVEY"/>
    <s v="RBS-Regional 3"/>
    <d v="2026-10-06T10:14:35"/>
    <d v="2026-10-06T10:16:06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SURVEY_NEW_MANJA"/>
    <s v="X"/>
    <s v="NO ADDON"/>
    <m/>
    <s v="MIE - SEND SURVEY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404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405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406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407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408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409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410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411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412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413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414"/>
    <n v="1002620906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415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416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417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m/>
    <n v="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418"/>
    <n v="1002625039"/>
    <n v="3"/>
    <x v="6"/>
    <n v="4"/>
    <s v="PEKALONGAN"/>
    <s v="PEMALANG"/>
    <s v="PML"/>
    <s v="REG"/>
    <s v="AO"/>
    <s v="NEW SALES"/>
    <m/>
    <s v="QC MIA - INVALID QUALITY CONTROL MIA"/>
    <s v="RBS-Regional 3"/>
    <d v="2026-10-06T16:50:13"/>
    <d v="2026-10-07T12:06:05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Lokasi Instalasi Tidak Valid - silakan uploadkan foto lokasi pemasnagan tampak 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419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420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421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422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423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424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425"/>
    <n v="1002621483"/>
    <n v="3"/>
    <x v="2"/>
    <n v="4"/>
    <s v="PURWOKERTO"/>
    <s v="PURBALINGGA"/>
    <s v="PBG"/>
    <s v="REG"/>
    <s v="AO"/>
    <s v="NEW SALES"/>
    <s v="1P INET"/>
    <s v="OSS - FALLOUT"/>
    <s v="RBS-Regional 3"/>
    <d v="2026-10-04T16:22:10"/>
    <d v="2026-10-07T11:04:50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FO_UIM"/>
    <s v="X"/>
    <s v="NO ADDON"/>
    <m/>
    <s v="Provisioning Failed|UIM|INF009694222|2024006:Data INET_Reservation_ID and InternetServiceNumber not match in UIM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426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427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428"/>
    <n v="1002624013"/>
    <n v="3"/>
    <x v="2"/>
    <n v="4"/>
    <s v="PURWOKERTO"/>
    <s v="PURBALINGGA"/>
    <s v="PBG"/>
    <s v="REG"/>
    <s v="AO"/>
    <s v="NEW SALES"/>
    <s v="1P INET"/>
    <s v="MIE - SEND SURVEY"/>
    <s v="RBS-Regional 3"/>
    <d v="2026-10-06T11:26:40"/>
    <d v="2026-10-06T11:28:06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m/>
    <s v="SURVEY_NEW_MANJA"/>
    <s v="X"/>
    <s v="NO ADDON"/>
    <m/>
    <s v="MIE - SEND SURVEY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429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430"/>
    <n v="1002618417"/>
    <n v="3"/>
    <x v="6"/>
    <n v="4"/>
    <s v="PEKALONGAN"/>
    <s v="BREBES"/>
    <s v="BMU"/>
    <s v="REG"/>
    <s v="AO"/>
    <s v="NEW SALES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  <x v="7"/>
  </r>
  <r>
    <n v="431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432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433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434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435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436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437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438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439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440"/>
    <n v="1002623481"/>
    <n v="3"/>
    <x v="6"/>
    <n v="4"/>
    <s v="PEKALONGAN"/>
    <s v="TEGAL"/>
    <s v="TEG"/>
    <s v="REG"/>
    <s v="AO"/>
    <s v="NEW SALES"/>
    <m/>
    <s v="7 | OSS - PROVISIONING ISSUED"/>
    <s v="RBS-Regional 3"/>
    <d v="2026-10-06T08:54:34"/>
    <d v="2026-10-07T13:54:31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m/>
    <m/>
    <m/>
    <e v="#NUM!"/>
    <e v="#NUM!"/>
    <x v="0"/>
    <x v="7"/>
  </r>
  <r>
    <n v="441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442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443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444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445"/>
    <n v="1002623785"/>
    <n v="3"/>
    <x v="6"/>
    <n v="4"/>
    <s v="PEKALONGAN"/>
    <s v="SLAWI"/>
    <s v="BLU"/>
    <s v="REG"/>
    <s v="AO"/>
    <s v="NEW SALES"/>
    <s v="1P INET"/>
    <s v="7 | OSS - PROVISIONING ISSUED"/>
    <s v="RBS-Regional 3"/>
    <d v="2026-10-06T10:19:40"/>
    <d v="2026-10-07T09:20:14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PI"/>
    <s v="X"/>
    <s v="NO ADDON"/>
    <m/>
    <s v="Provisioning Issued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446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447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448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449"/>
    <n v="1002624054"/>
    <n v="3"/>
    <x v="3"/>
    <n v="5"/>
    <s v="SBY UTARA"/>
    <s v="TANDES"/>
    <s v="BBE"/>
    <s v="REG"/>
    <s v="AO"/>
    <s v="NEW SALES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450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8"/>
  </r>
  <r>
    <n v="451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8"/>
  </r>
  <r>
    <n v="452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8"/>
  </r>
  <r>
    <n v="453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8"/>
  </r>
  <r>
    <n v="454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8"/>
  </r>
  <r>
    <n v="455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8"/>
  </r>
  <r>
    <n v="456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8"/>
  </r>
  <r>
    <n v="457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8"/>
  </r>
  <r>
    <n v="458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8"/>
  </r>
  <r>
    <n v="459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8"/>
  </r>
  <r>
    <n v="460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8"/>
  </r>
  <r>
    <n v="461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8"/>
  </r>
  <r>
    <n v="462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8"/>
  </r>
  <r>
    <n v="463"/>
    <n v="1002621551"/>
    <n v="3"/>
    <x v="3"/>
    <n v="5"/>
    <s v="SBY UTARA"/>
    <s v="GRESIK"/>
    <s v="SDY"/>
    <s v="REG"/>
    <s v="AO"/>
    <s v="NEW SALES"/>
    <s v="1P INET"/>
    <s v="7 | OSS - PROVISIONING ISSUED"/>
    <s v="RBS-Regional 3"/>
    <d v="2026-10-05T07:56:40"/>
    <d v="2026-10-06T08:12:15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m/>
    <s v="PI"/>
    <s v="GRESIK"/>
    <s v="NO ADDON"/>
    <m/>
    <s v="Provisioning Issued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8"/>
  </r>
  <r>
    <n v="464"/>
    <n v="1002619716"/>
    <n v="3"/>
    <x v="3"/>
    <n v="5"/>
    <s v="SBY UTARA"/>
    <s v="GRESIK"/>
    <s v="SDY"/>
    <s v="REG"/>
    <s v="AO"/>
    <s v="NEW SALES"/>
    <s v="1P INET"/>
    <s v="OSS - FALLOUT"/>
    <s v="RBS-Regional 3"/>
    <d v="2026-10-02T13:04:40"/>
    <d v="2026-10-03T13:43:5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FO_WFM"/>
    <s v="GRESIK"/>
    <s v="NO ADDON"/>
    <m/>
    <s v="Provisioning Failed|WFM|INF009634941|PCL Pelanggan Batal pemasangan, pelanggan minta batal sudah konfirmasi ke tim salesnya.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8"/>
  </r>
  <r>
    <n v="465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8"/>
  </r>
  <r>
    <n v="466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8"/>
  </r>
  <r>
    <n v="467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8"/>
  </r>
  <r>
    <n v="468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8"/>
  </r>
  <r>
    <n v="469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8"/>
  </r>
  <r>
    <n v="470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8"/>
  </r>
  <r>
    <n v="471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8"/>
  </r>
  <r>
    <n v="472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8"/>
  </r>
  <r>
    <n v="473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8"/>
  </r>
  <r>
    <n v="474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8"/>
  </r>
  <r>
    <n v="475"/>
    <n v="1002625133"/>
    <n v="3"/>
    <x v="3"/>
    <n v="5"/>
    <s v="SBY UTARA"/>
    <s v="LAMONGAN"/>
    <s v="LMG"/>
    <s v="REG"/>
    <s v="AO"/>
    <s v="NEW SALES"/>
    <s v="1P INET"/>
    <s v="8 | OSS - PONR"/>
    <s v="RBS-Regional 3"/>
    <d v="2026-10-06T17:47:39"/>
    <d v="2026-10-07T13:26:50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ACT_COM"/>
    <s v="LAMONGAN"/>
    <s v="NO ADDON"/>
    <m/>
    <s v="PONR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8"/>
  </r>
  <r>
    <n v="476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8"/>
  </r>
  <r>
    <n v="477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8"/>
  </r>
  <r>
    <n v="478"/>
    <n v="1002625131"/>
    <n v="3"/>
    <x v="3"/>
    <n v="5"/>
    <s v="SBY UTARA"/>
    <s v="LAMONGAN"/>
    <s v="LMG"/>
    <s v="REG"/>
    <s v="AO"/>
    <s v="NEW SALES"/>
    <s v="1P INET"/>
    <s v="MIE - SEND SURVEY"/>
    <s v="RBS-Regional 3"/>
    <d v="2026-10-06T17:46:36"/>
    <d v="2026-10-06T17:48:01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SURVEY_NEW_MANJA"/>
    <s v="LAMONGAN"/>
    <s v="NO ADDON"/>
    <m/>
    <s v="MIE - SEND SURVEY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8"/>
  </r>
  <r>
    <n v="479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480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481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482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483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484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485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486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487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488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489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490"/>
    <n v="1002624365"/>
    <n v="3"/>
    <x v="1"/>
    <n v="5"/>
    <s v="MADIUN"/>
    <s v="TUBAN"/>
    <s v="KRK"/>
    <s v="REG"/>
    <s v="AO"/>
    <s v="NEW SALES"/>
    <s v="1P INET"/>
    <s v="7 | OSS - PROVISIONING ISSUED"/>
    <s v="RBS-Regional 3"/>
    <d v="2026-10-06T13:40:35"/>
    <d v="2026-10-07T11:35:50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I"/>
    <s v="JATIROGO BANCAR"/>
    <s v="NETMONK"/>
    <m/>
    <s v="Provisioning Issued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491"/>
    <n v="1002623571"/>
    <n v="3"/>
    <x v="1"/>
    <n v="5"/>
    <s v="MADIUN"/>
    <s v="TUBAN"/>
    <s v="KRK"/>
    <s v="REG"/>
    <s v="AO"/>
    <s v="NEW SALES"/>
    <s v="1P INET"/>
    <s v="7 | OSS - PROVISIONING ISSUED"/>
    <s v="RBS-Regional 3"/>
    <d v="2026-10-06T09:19:35"/>
    <d v="2026-10-07T09:29:56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m/>
    <s v="PI"/>
    <s v="JATIROGO BANCAR"/>
    <s v="NETMONK"/>
    <m/>
    <s v="Provisioning Issued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492"/>
    <n v="1002624815"/>
    <n v="3"/>
    <x v="1"/>
    <n v="5"/>
    <s v="MADIUN"/>
    <s v="TUBAN"/>
    <s v="MRR"/>
    <s v="REG"/>
    <s v="AO"/>
    <s v="NEW SALES"/>
    <s v="1P INET"/>
    <s v="MIE - SEND SURVEY"/>
    <s v="RBS-Regional 3"/>
    <d v="2026-10-06T15:40:41"/>
    <d v="2026-10-06T15:42:06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m/>
    <s v="SURVEY_NEW_MANJA"/>
    <s v="JATIROGO BANCAR"/>
    <s v="NETMONK"/>
    <m/>
    <s v="MIE - SEND SURVEY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493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494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495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496"/>
    <n v="1002617177"/>
    <n v="3"/>
    <x v="0"/>
    <n v="5"/>
    <s v="KUPANG"/>
    <s v="KUPANG"/>
    <s v="OSP"/>
    <s v="REG"/>
    <s v="AO"/>
    <s v="NEW SALES"/>
    <m/>
    <s v="7 | OSS - PROVISIONING ISSUED"/>
    <s v="RBS-Regional 4"/>
    <d v="2026-10-01T09:49:48"/>
    <d v="2026-10-05T09:26:11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497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498"/>
    <n v="1002619312"/>
    <n v="3"/>
    <x v="0"/>
    <n v="5"/>
    <s v="KUPANG"/>
    <s v="KUPANG"/>
    <s v="KPN"/>
    <s v="REG"/>
    <s v="AO"/>
    <s v="NEW SALES"/>
    <s v="1P INET"/>
    <s v="7 | OSS - PROVISIONING ISSUED"/>
    <s v="RBS-Regional 3"/>
    <d v="2026-10-02T10:22:39"/>
    <d v="2026-10-05T21:43:20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I"/>
    <s v="KUPANG"/>
    <s v="NO ADDON"/>
    <m/>
    <s v="Provisioning Issu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0"/>
    <x v="21"/>
  </r>
  <r>
    <n v="499"/>
    <n v="1002621034"/>
    <n v="3"/>
    <x v="0"/>
    <n v="5"/>
    <s v="KUPANG"/>
    <s v="KUPANG"/>
    <s v="KPN"/>
    <s v="REG"/>
    <s v="AO"/>
    <s v="NEW SALES"/>
    <s v="1P INET"/>
    <s v="7 | OSS - PROVISIONING ISSUED"/>
    <s v="RBS-Regional 3"/>
    <d v="2026-10-03T14:14:39"/>
    <d v="2026-10-05T17:10:39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I"/>
    <s v="KUPANG"/>
    <s v="NO ADDON"/>
    <m/>
    <s v="Provisioning Issu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m/>
    <m/>
    <m/>
    <e v="#NUM!"/>
    <e v="#NUM!"/>
    <x v="0"/>
    <x v="21"/>
  </r>
  <r>
    <n v="500"/>
    <n v="1002624008"/>
    <n v="3"/>
    <x v="0"/>
    <n v="5"/>
    <s v="KUPANG"/>
    <s v="KUPANG"/>
    <s v="KPN"/>
    <s v="REG"/>
    <s v="AO"/>
    <s v="NEW SALES"/>
    <s v="1P INET"/>
    <s v="7 | OSS - PROVISIONING ISSUED"/>
    <s v="RBS-Regional 3"/>
    <d v="2026-10-06T11:25:41"/>
    <d v="2026-10-07T09:29:30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I"/>
    <s v="KUPANG"/>
    <s v="NO ADDON"/>
    <m/>
    <s v="Provisioning Issu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501"/>
    <n v="1002624124"/>
    <n v="3"/>
    <x v="0"/>
    <n v="5"/>
    <s v="KUPANG"/>
    <s v="KUPANG"/>
    <s v="KPN"/>
    <s v="REG"/>
    <s v="AO"/>
    <s v="NEW SALES"/>
    <s v="1P INET"/>
    <s v="7 | OSS - PROVISIONING ISSUED"/>
    <s v="RBS-Regional 3"/>
    <d v="2026-10-06T12:02:40"/>
    <d v="2026-10-07T09:33:34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I"/>
    <s v="KUPANG"/>
    <s v="NO ADDON"/>
    <m/>
    <s v="Provisioning Issu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m/>
    <m/>
    <m/>
    <e v="#NUM!"/>
    <e v="#NUM!"/>
    <x v="0"/>
    <x v="21"/>
  </r>
  <r>
    <n v="502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503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504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505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506"/>
    <n v="1002625179"/>
    <n v="3"/>
    <x v="0"/>
    <n v="5"/>
    <s v="KUPANG"/>
    <s v="KUPANG"/>
    <s v="KPN"/>
    <s v="REG"/>
    <s v="AO"/>
    <s v="NEW SALES"/>
    <s v="1P INET"/>
    <s v="MIE - SEND SURVEY"/>
    <s v="RBS-Regional 3"/>
    <d v="2026-10-06T18:50:34"/>
    <d v="2026-10-06T18:52:06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SURVEY_NEW_MANJA"/>
    <s v="KUPANG"/>
    <s v="NO ADDON"/>
    <m/>
    <s v="MIE - SEND SURVEY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m/>
    <m/>
    <m/>
    <e v="#NUM!"/>
    <e v="#NUM!"/>
    <x v="0"/>
    <x v="21"/>
  </r>
  <r>
    <n v="507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508"/>
    <n v="1002620730"/>
    <n v="3"/>
    <x v="0"/>
    <n v="5"/>
    <s v="KUPANG"/>
    <s v="WAIKABUBAK"/>
    <s v="WKB"/>
    <s v="REG"/>
    <s v="AO"/>
    <s v="NEW SALES"/>
    <s v="1P INET"/>
    <s v="OSS - FALLOUT"/>
    <s v="RBS-Regional 3"/>
    <d v="2026-10-03T08:22:34"/>
    <d v="2026-10-05T11:14:28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FO_WFM"/>
    <s v="WAIKABUBAK"/>
    <s v="PIJAR"/>
    <m/>
    <s v="Provisioning Failed|WFM|INF009661791|PDI_-9.6253849,119.4040576_dobel input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509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510"/>
    <n v="1002624149"/>
    <n v="3"/>
    <x v="0"/>
    <n v="5"/>
    <s v="KUPANG"/>
    <s v="WAINGAPU"/>
    <s v="WGP"/>
    <s v="REG"/>
    <s v="AO"/>
    <s v="NEW SALES"/>
    <s v="1P INET"/>
    <s v="8 | OSS - PONR"/>
    <s v="RBS-Regional 3"/>
    <d v="2026-10-06T12:19:34"/>
    <d v="2026-10-07T11:17:4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ACT_COM"/>
    <s v="X"/>
    <s v="NO ADDON"/>
    <m/>
    <s v="PONR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m/>
    <m/>
    <m/>
    <e v="#NUM!"/>
    <e v="#NUM!"/>
    <x v="0"/>
    <x v="22"/>
  </r>
  <r>
    <n v="511"/>
    <n v="1002624398"/>
    <n v="3"/>
    <x v="5"/>
    <n v="5"/>
    <s v="JEMBER"/>
    <s v="BANYUWANGI"/>
    <s v="BCK"/>
    <s v="REG"/>
    <s v="AO"/>
    <s v="NEW SALES"/>
    <s v="1P INET"/>
    <s v="7 | OSS - PROVISIONING ISSUED"/>
    <s v="RBS-Regional 3"/>
    <d v="2026-10-06T13:47:40"/>
    <d v="2026-10-07T11:34:25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I"/>
    <s v="GENTENG"/>
    <s v="NETMONK"/>
    <m/>
    <s v="Provisioning Issu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512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513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514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515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516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517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518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519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520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521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522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523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524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525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526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527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528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529"/>
    <n v="1002621429"/>
    <n v="3"/>
    <x v="0"/>
    <n v="5"/>
    <s v="KUPANG"/>
    <s v="ENDE"/>
    <s v="END"/>
    <s v="REG"/>
    <s v="AO"/>
    <s v="NEW SALES"/>
    <s v="1P INET"/>
    <s v="8 | OSS - PONR"/>
    <s v="RBS-Regional 3"/>
    <d v="2026-10-04T14:26:35"/>
    <d v="2026-10-06T14:50:00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ACT_COM"/>
    <s v="ENDE"/>
    <s v="NO ADDON"/>
    <m/>
    <s v="PONR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m/>
    <m/>
    <m/>
    <e v="#NUM!"/>
    <e v="#NUM!"/>
    <x v="0"/>
    <x v="26"/>
  </r>
  <r>
    <n v="530"/>
    <n v="1002623904"/>
    <n v="3"/>
    <x v="0"/>
    <n v="5"/>
    <s v="KUPANG"/>
    <s v="MAUMERE"/>
    <s v="LRT"/>
    <s v="REG"/>
    <s v="AO"/>
    <s v="NEW SALES"/>
    <s v="1P INET"/>
    <s v="SIBEL - CREATE ORDER FAIL"/>
    <s v="RBS-Regional 3"/>
    <d v="2026-10-06T10:52:40"/>
    <d v="2026-10-07T09:33:13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INPROGRESS_SC"/>
    <s v="X"/>
    <s v="NO ADDON"/>
    <m/>
    <s v="Error invoking service 'EAI Siebel Adapter', method 'Upsert' at step 'Upsert CA BA SA'.(SBL-BPR-00162) -- Cannot perform 'Up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m/>
    <m/>
    <m/>
    <e v="#NUM!"/>
    <e v="#NUM!"/>
    <x v="0"/>
    <x v="27"/>
  </r>
  <r>
    <n v="531"/>
    <n v="1002621495"/>
    <n v="3"/>
    <x v="0"/>
    <n v="5"/>
    <s v="KUPANG"/>
    <s v="MAUMERE"/>
    <s v="MMR"/>
    <s v="REG"/>
    <s v="AO"/>
    <s v="NEW SALES"/>
    <s v="1P INET"/>
    <s v="7 | OSS - PROVISIONING ISSUED"/>
    <s v="RBS-Regional 3"/>
    <d v="2026-10-04T17:07:41"/>
    <d v="2026-10-05T15:11:08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I"/>
    <s v="X"/>
    <s v="NETMONK"/>
    <m/>
    <s v="Provisioning Issu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0"/>
    <x v="27"/>
  </r>
  <r>
    <n v="532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533"/>
    <n v="1002621270"/>
    <n v="3"/>
    <x v="0"/>
    <n v="5"/>
    <s v="KUPANG"/>
    <s v="MAUMERE"/>
    <s v="MMR"/>
    <s v="REG"/>
    <s v="AO"/>
    <s v="NEW SALES"/>
    <s v="1P INET"/>
    <s v="8 | OSS - PONR"/>
    <s v="RBS-Regional 3"/>
    <d v="2026-10-04T09:43:35"/>
    <d v="2026-10-05T12:49:13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ACT_COM"/>
    <s v="X"/>
    <s v="NO ADDON"/>
    <m/>
    <s v="PONR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m/>
    <m/>
    <m/>
    <e v="#NUM!"/>
    <e v="#NUM!"/>
    <x v="0"/>
    <x v="27"/>
  </r>
  <r>
    <n v="534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535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536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537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538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539"/>
    <n v="1002623759"/>
    <n v="3"/>
    <x v="7"/>
    <n v="5"/>
    <s v="SINGARJA"/>
    <s v="SINGARAJA"/>
    <s v="SRR"/>
    <s v="REG"/>
    <s v="AO"/>
    <s v="NEW SALES"/>
    <m/>
    <s v="QC MIA - INVALID QUALITY CONTROL MIA"/>
    <s v="RBS-Regional 3"/>
    <d v="2026-10-06T10:14:43"/>
    <d v="2026-10-06T15:14:43"/>
    <n v="69404795"/>
    <m/>
    <n v="172425708533"/>
    <s v="PT KENCANA MAJU BERSAMA"/>
    <s v="ODP-SRR-FC/58"/>
    <m/>
    <m/>
    <m/>
    <m/>
    <n v="114.97462768076601"/>
    <n v="-8.1865989834468404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m/>
    <m/>
    <m/>
    <d v="2026-06-10T10:24:53"/>
    <m/>
    <m/>
    <s v="QC1"/>
    <s v="X"/>
    <s v="NO ADDON"/>
    <m/>
    <s v="QC MIA - INVALID QUALITY CONTROL MIA - Tidak Melakukan Tanda Tangan Digital - mohon lakukan ttd sesuai ktp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9"/>
  </r>
  <r>
    <n v="540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541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542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543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544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545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546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547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8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9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0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1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2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3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4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5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556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557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0"/>
  </r>
  <r>
    <n v="558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559"/>
    <n v="1002622743"/>
    <n v="3"/>
    <x v="7"/>
    <n v="5"/>
    <s v="SINGARJA"/>
    <s v="TABANAN"/>
    <s v="TBN"/>
    <s v="REG"/>
    <s v="AO"/>
    <s v="NEW SALES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0"/>
    <n v="1002623512"/>
    <n v="3"/>
    <x v="7"/>
    <n v="5"/>
    <s v="SINGARJA"/>
    <s v="TABANAN"/>
    <s v="TBN"/>
    <s v="REG"/>
    <s v="AO"/>
    <s v="NEW SALES"/>
    <m/>
    <s v="WAITING AKTIFASI IHLD"/>
    <s v="RBS-Regional 3"/>
    <d v="2026-10-06T09:03:38"/>
    <d v="2026-10-06T14:51:03"/>
    <n v="69403325"/>
    <m/>
    <m/>
    <s v="Resort MAYA Balian"/>
    <m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WAITING:  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1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562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3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4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5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6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7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8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69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70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71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72"/>
    <n v="1002622206"/>
    <n v="3"/>
    <x v="7"/>
    <n v="5"/>
    <s v="DENPASAR"/>
    <s v="UBUNG"/>
    <s v="SMY"/>
    <s v="REG"/>
    <s v="AO"/>
    <s v="NEW SALES"/>
    <s v="1P INET"/>
    <s v="7 | OSS - PROVISIONING ISSUED"/>
    <s v="RBS-Regional 3"/>
    <d v="2026-10-05T11:44:40"/>
    <d v="2026-10-06T08:18:46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m/>
    <s v="PI"/>
    <s v="SEMINYAK"/>
    <s v="NETMONK"/>
    <m/>
    <s v="Provisioning Issued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1"/>
  </r>
  <r>
    <n v="573"/>
    <n v="1002617925"/>
    <n v="3"/>
    <x v="7"/>
    <n v="5"/>
    <s v="DENPASAR"/>
    <s v="UBUNG"/>
    <s v="UBN"/>
    <s v="REG"/>
    <s v="AO"/>
    <s v="NEW SALES"/>
    <m/>
    <s v="100 | REVOKE COMPLETED"/>
    <s v="RBS-Regional 3"/>
    <d v="2026-10-01T13:48:55"/>
    <d v="2026-10-06T10:31:15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Revoke 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1"/>
  </r>
  <r>
    <n v="574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1"/>
  </r>
  <r>
    <n v="575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1"/>
  </r>
  <r>
    <n v="576"/>
    <n v="1002623560"/>
    <n v="3"/>
    <x v="7"/>
    <n v="5"/>
    <s v="DENPASAR"/>
    <s v="SANUR"/>
    <s v="TOP"/>
    <s v="REG"/>
    <s v="AO"/>
    <s v="NEW SALES"/>
    <m/>
    <s v="100 | REVOKE COMPLETED"/>
    <s v="RBS-Regional 3"/>
    <d v="2026-10-06T09:17:19"/>
    <d v="2026-10-07T13:48:32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2"/>
  </r>
  <r>
    <n v="577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2"/>
  </r>
  <r>
    <n v="578"/>
    <n v="1002622443"/>
    <n v="3"/>
    <x v="7"/>
    <n v="5"/>
    <s v="DENPASAR"/>
    <s v="JIMBARAN"/>
    <s v="JBR"/>
    <s v="REG"/>
    <s v="AO"/>
    <s v="NEW SALES"/>
    <m/>
    <s v="8 | OSS - PONR"/>
    <s v="RBS-Regional 3"/>
    <d v="2026-10-05T13:31:35"/>
    <d v="2026-10-07T10:06:22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ACT_COM"/>
    <s v="JIMBARAN NUSA DU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m/>
    <m/>
    <m/>
    <e v="#NUM!"/>
    <e v="#NUM!"/>
    <x v="0"/>
    <x v="33"/>
  </r>
  <r>
    <n v="579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3"/>
  </r>
  <r>
    <n v="580"/>
    <n v="1002619911"/>
    <n v="3"/>
    <x v="7"/>
    <n v="5"/>
    <s v="DENPASAR"/>
    <s v="JIMBARAN"/>
    <s v="KUT"/>
    <s v="REG"/>
    <s v="AO"/>
    <s v="NEW SALES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3"/>
  </r>
  <r>
    <n v="581"/>
    <n v="1002621594"/>
    <n v="3"/>
    <x v="7"/>
    <n v="5"/>
    <s v="DENPASAR"/>
    <s v="JIMBARAN"/>
    <s v="KUT"/>
    <s v="REG"/>
    <s v="AO"/>
    <s v="NEW SALES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3"/>
  </r>
  <r>
    <n v="582"/>
    <n v="1002619261"/>
    <n v="3"/>
    <x v="7"/>
    <n v="5"/>
    <s v="DENPASAR"/>
    <s v="JIMBARAN"/>
    <s v="KUT"/>
    <s v="REG"/>
    <s v="AO"/>
    <s v="NEW SALES"/>
    <m/>
    <s v="CC - HD1A - INPROGRESS UNCONTACTED"/>
    <s v="RBS-Regional 3"/>
    <d v="2026-10-02T10:22:26"/>
    <d v="2026-10-02T14:19:09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FCC"/>
    <s v="KUTA"/>
    <s v="NETMONK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583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2"/>
  </r>
  <r>
    <n v="584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585"/>
    <n v="1002621736"/>
    <n v="3"/>
    <x v="7"/>
    <n v="5"/>
    <s v="SINGARJA"/>
    <s v="SINGARAJA"/>
    <s v="KNT"/>
    <s v="REG"/>
    <s v="AO"/>
    <s v="NEW SALES"/>
    <m/>
    <s v="MIE - SEND SURVEY"/>
    <s v="RBS-Regional 3"/>
    <d v="2026-10-05T09:27:31"/>
    <d v="2026-10-05T11:34:06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m/>
    <m/>
    <m/>
    <e v="#NUM!"/>
    <e v="#NUM!"/>
    <x v="0"/>
    <x v="29"/>
  </r>
  <r>
    <n v="586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4"/>
  </r>
  <r>
    <n v="587"/>
    <n v="1002621378"/>
    <n v="3"/>
    <x v="7"/>
    <n v="5"/>
    <s v="SINGARJA"/>
    <s v="GIANYAR"/>
    <s v="GIN"/>
    <s v="REG"/>
    <s v="AO"/>
    <s v="NEW SALES"/>
    <m/>
    <s v="7 | OSS - PROVISIONING ISSUED"/>
    <s v="RBS-Regional 3"/>
    <d v="2026-10-04T13:02:47"/>
    <d v="2026-10-07T11:19:23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4"/>
  </r>
  <r>
    <n v="588"/>
    <n v="1002621815"/>
    <n v="3"/>
    <x v="7"/>
    <n v="5"/>
    <s v="SINGARJA"/>
    <s v="GIANYAR"/>
    <s v="GIN"/>
    <s v="REG"/>
    <s v="AO"/>
    <s v="NEW SALES"/>
    <m/>
    <s v="7 | OSS - PROVISIONING ISSUED"/>
    <s v="RBS-Regional 3"/>
    <d v="2026-10-05T09:50:34"/>
    <d v="2026-10-06T08:06:14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4"/>
  </r>
  <r>
    <n v="589"/>
    <n v="1002623430"/>
    <n v="3"/>
    <x v="7"/>
    <n v="5"/>
    <s v="SINGARJA"/>
    <s v="GIANYAR"/>
    <s v="GIN"/>
    <s v="REG"/>
    <s v="AO"/>
    <s v="NEW SALES"/>
    <m/>
    <s v="7 | OSS - PROVISIONING ISSUED"/>
    <s v="RBS-Regional 3"/>
    <d v="2026-10-06T08:36:42"/>
    <d v="2026-10-07T09:28:14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m/>
    <m/>
    <m/>
    <e v="#NUM!"/>
    <e v="#NUM!"/>
    <x v="0"/>
    <x v="34"/>
  </r>
  <r>
    <n v="590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4"/>
  </r>
  <r>
    <n v="591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4"/>
  </r>
  <r>
    <n v="592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4"/>
  </r>
  <r>
    <n v="593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4"/>
  </r>
  <r>
    <n v="594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4"/>
  </r>
  <r>
    <n v="595"/>
    <n v="1002622955"/>
    <n v="3"/>
    <x v="7"/>
    <n v="5"/>
    <s v="SINGARJA"/>
    <s v="KLUNGKUNG"/>
    <s v="CDS"/>
    <s v="REG"/>
    <s v="AO"/>
    <s v="NEW SALES"/>
    <m/>
    <s v="7 | OSS - PROVISIONING ISSUED"/>
    <s v="RBS-Regional 3"/>
    <d v="2026-10-05T15:47:38"/>
    <d v="2026-10-07T12:58:38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m/>
    <m/>
    <m/>
    <e v="#NUM!"/>
    <e v="#NUM!"/>
    <x v="0"/>
    <x v="35"/>
  </r>
  <r>
    <n v="596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5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3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4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5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6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7"/>
    <n v="1002625199"/>
    <n v="3"/>
    <x v="0"/>
    <n v="5"/>
    <s v="MATARAM"/>
    <s v="INNER - NUSA TENGGARA"/>
    <s v="SWE"/>
    <s v="REG"/>
    <s v="AO"/>
    <x v="0"/>
    <s v="1P INET"/>
    <s v="MIE - SEND SURVEY"/>
    <s v="RBS-Regional 3"/>
    <d v="2026-10-06T19:19:35"/>
    <d v="2026-10-06T19:22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SURVEY_NEW_MANJA"/>
    <s v="X"/>
    <s v="NO ADDON"/>
    <m/>
    <s v="MIE - SEND SURVEY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8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9"/>
    <n v="1002618978"/>
    <n v="3"/>
    <x v="0"/>
    <n v="5"/>
    <s v="MATARAM"/>
    <s v="LOMBOK BARAT TENGAH"/>
    <s v="PRY"/>
    <s v="REG"/>
    <s v="AO"/>
    <x v="0"/>
    <s v="1P INET"/>
    <s v="OSS - FALLOUT"/>
    <s v="RBS-Regional 3"/>
    <d v="2026-10-02T08:43:40"/>
    <d v="2026-10-03T08:05:35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FO_UIM"/>
    <s v="LOMBOK TENGAH"/>
    <s v="NO ADDON"/>
    <m/>
    <s v="Provisioning Failed|UIM|INF009629314|1029:Reservation not found for Broadband CFS with Reservation ID : 39611817457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10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11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12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13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14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15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16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17"/>
    <n v="1002620766"/>
    <n v="3"/>
    <x v="0"/>
    <n v="5"/>
    <s v="MATARAM"/>
    <s v="LOMBOK BARAT TENGAH"/>
    <s v="PRY"/>
    <s v="REG"/>
    <s v="AO"/>
    <x v="0"/>
    <s v="1P INET"/>
    <s v="MIE - SEND SURVEY"/>
    <s v="RBS-Regional 3"/>
    <d v="2026-10-03T09:22:40"/>
    <d v="2026-10-03T09:24:06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SURVEY_NEW_MANJA"/>
    <s v="LOMBOK TENGAH"/>
    <s v="NO ADDON"/>
    <m/>
    <s v="MIE - SEND SURVEY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18"/>
    <n v="1002624744"/>
    <n v="3"/>
    <x v="0"/>
    <n v="5"/>
    <s v="MATARAM"/>
    <s v="LOMBOK BARAT TENGAH"/>
    <s v="PRY"/>
    <s v="REG"/>
    <s v="AO"/>
    <x v="0"/>
    <m/>
    <s v="MIE - SEND SURVEY"/>
    <s v="RBS-Regional 3"/>
    <d v="2026-10-06T15:25:44"/>
    <d v="2026-10-06T16:54:07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19"/>
    <n v="1002625164"/>
    <n v="3"/>
    <x v="0"/>
    <n v="5"/>
    <s v="MATARAM"/>
    <s v="LOMBOK BARAT TENGAH"/>
    <s v="PRY"/>
    <s v="REG"/>
    <s v="AO"/>
    <x v="0"/>
    <s v="1P INET"/>
    <s v="MIE - SEND SURVEY"/>
    <s v="RBS-Regional 3"/>
    <d v="2026-10-06T18:19:40"/>
    <d v="2026-10-06T18:22:01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SURVEY_NEW_MANJA"/>
    <s v="LOMBOK TENGAH"/>
    <s v="NO ADDON"/>
    <m/>
    <s v="MIE - SEND SURVEY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m/>
    <m/>
    <m/>
    <e v="#NUM!"/>
    <e v="#NUM!"/>
    <x v="0"/>
  </r>
  <r>
    <n v="20"/>
    <n v="1002624841"/>
    <n v="3"/>
    <x v="0"/>
    <n v="5"/>
    <s v="MATARAM"/>
    <s v="LOMBOK BARAT TENGAH"/>
    <s v="PRY"/>
    <s v="REG"/>
    <s v="AO"/>
    <x v="0"/>
    <m/>
    <s v="MYCX - SEND OPEN PAPERLESS"/>
    <s v="RBS-Regional 3"/>
    <d v="2026-10-06T15:49:05"/>
    <d v="2026-10-06T15:52:07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INPROGRESS_SC"/>
    <s v="LOMBOK TENGAH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21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22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23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24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25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26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27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28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29"/>
    <n v="1002624449"/>
    <n v="3"/>
    <x v="0"/>
    <n v="5"/>
    <s v="MATARAM"/>
    <s v="LOMBOK TIMUR UTARA"/>
    <s v="SGG"/>
    <s v="REG"/>
    <s v="AO"/>
    <x v="0"/>
    <m/>
    <s v="MIE - SEND SURVEY"/>
    <s v="RBS-Regional 3"/>
    <d v="2026-10-06T13:58:57"/>
    <d v="2026-10-06T16:02:07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SURVEY_NEW_MANJA"/>
    <s v="LOMBOK UTAR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m/>
    <m/>
    <m/>
    <e v="#NUM!"/>
    <e v="#NUM!"/>
    <x v="0"/>
  </r>
  <r>
    <n v="30"/>
    <n v="1002622049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5T10:54:06"/>
    <d v="2026-10-06T08:14:3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1"/>
    <n v="1002622081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5T11:01:35"/>
    <d v="2026-10-06T08:14:07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2"/>
    <n v="1002622194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5T11:37:34"/>
    <d v="2026-10-06T11:28:42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m/>
    <s v="PI"/>
    <s v="X"/>
    <s v="OCA"/>
    <m/>
    <s v="Provisioning Issued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33"/>
    <n v="1002624262"/>
    <n v="3"/>
    <x v="0"/>
    <n v="5"/>
    <s v="MATARAM"/>
    <s v="INNER - NUSA TENGGARA"/>
    <s v="MTR"/>
    <s v="REG"/>
    <s v="AO"/>
    <x v="0"/>
    <s v="1P INET"/>
    <s v="OSS - PROVISIONING DESAIN"/>
    <s v="RBS-Regional 3"/>
    <d v="2026-10-06T13:14:40"/>
    <d v="2026-10-07T13:52:44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RE_PI"/>
    <s v="X"/>
    <s v="NO ADDON"/>
    <m/>
    <s v="Provisioning Design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m/>
    <m/>
    <m/>
    <e v="#NUM!"/>
    <e v="#NUM!"/>
    <x v="0"/>
  </r>
  <r>
    <n v="34"/>
    <n v="1002622051"/>
    <n v="3"/>
    <x v="0"/>
    <n v="5"/>
    <s v="MATARAM"/>
    <s v="INNER - NUSA TENGGARA"/>
    <s v="MTR"/>
    <s v="REG"/>
    <s v="AO"/>
    <x v="0"/>
    <s v="1P INET"/>
    <s v="OSS - FALLOUT"/>
    <s v="RBS-Regional 3"/>
    <d v="2026-10-05T10:54:50"/>
    <d v="2026-10-06T08:16:1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FO_UIM"/>
    <s v="X"/>
    <s v="NO ADDON"/>
    <m/>
    <s v="Provisioning Failed|UIM|INF009675182|Service with External Object Id 69404195_172601248323_INTERNET already exists.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5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36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37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38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39"/>
    <n v="1002618712"/>
    <n v="3"/>
    <x v="0"/>
    <n v="5"/>
    <s v="MATARAM"/>
    <s v="BIMA"/>
    <s v="SAP"/>
    <s v="REG"/>
    <s v="AO"/>
    <x v="0"/>
    <m/>
    <s v="8 | OSS - PONR"/>
    <s v="RBS-Regional 3"/>
    <d v="2026-10-01T17:19:59"/>
    <d v="2026-10-05T14:47:06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ACT_COM"/>
    <s v="BIMA BARAT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</r>
  <r>
    <n v="40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41"/>
    <n v="1002620949"/>
    <n v="3"/>
    <x v="0"/>
    <n v="5"/>
    <s v="MATARAM"/>
    <s v="BIMA"/>
    <s v="SIL"/>
    <s v="REG"/>
    <s v="AO"/>
    <x v="0"/>
    <s v="1P INET"/>
    <s v="MIE - SEND SURVEY"/>
    <s v="RBS-Regional 3"/>
    <d v="2026-10-03T12:49:34"/>
    <d v="2026-10-03T12:54:3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SURVEY_NEW_MANJA"/>
    <s v="BIMA BARAT"/>
    <s v="NETMONK"/>
    <m/>
    <s v="MIE - SEND SURVEY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42"/>
    <n v="1002623533"/>
    <n v="3"/>
    <x v="0"/>
    <n v="5"/>
    <s v="MATARAM"/>
    <s v="BIMA"/>
    <s v="TET"/>
    <s v="REG"/>
    <s v="AO"/>
    <x v="0"/>
    <s v="1P INET"/>
    <s v="SIBEL - CREATE ORDER FAIL"/>
    <s v="RBS-Regional 3"/>
    <d v="2026-10-06T09:08:35"/>
    <d v="2026-10-07T09:30:23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INPROGRESS_SC"/>
    <s v="BIMA BARAT"/>
    <s v="NETMONK"/>
    <m/>
    <s v="Error invoking service 'EAI Siebel Adapter', method 'Upsert' at step 'Upsert CA BA SA'.(SBL-BPR-00162) -- Cannot perform 'Up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m/>
    <m/>
    <m/>
    <e v="#NUM!"/>
    <e v="#NUM!"/>
    <x v="0"/>
  </r>
  <r>
    <n v="43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44"/>
    <n v="1002622101"/>
    <n v="3"/>
    <x v="0"/>
    <n v="5"/>
    <s v="MATARAM"/>
    <s v="BIMA"/>
    <s v="DMP"/>
    <s v="REG"/>
    <s v="AO"/>
    <x v="0"/>
    <m/>
    <s v="8 | OSS - PONR"/>
    <s v="RBS-Regional 3"/>
    <d v="2026-10-05T11:07:56"/>
    <d v="2026-10-05T11:35:27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ACT_COM"/>
    <s v="DOMPU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45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46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47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48"/>
    <n v="1002619632"/>
    <n v="3"/>
    <x v="0"/>
    <n v="5"/>
    <s v="MATARAM"/>
    <s v="SUMBAWA"/>
    <s v="SBW"/>
    <s v="REG"/>
    <s v="AO"/>
    <x v="0"/>
    <s v="1P INET"/>
    <s v="7 | OSS - PROVISIONING ISSUED"/>
    <s v="RBS-Regional 3"/>
    <d v="2026-10-02T11:58:35"/>
    <d v="2026-10-03T11:13:38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I"/>
    <s v="X"/>
    <s v="NETMONK"/>
    <m/>
    <s v="Provisioning Issued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49"/>
    <n v="1002621752"/>
    <n v="3"/>
    <x v="0"/>
    <n v="5"/>
    <s v="MATARAM"/>
    <s v="SUMBAWA"/>
    <s v="SBW"/>
    <s v="REG"/>
    <s v="AO"/>
    <x v="0"/>
    <s v="1P INET"/>
    <s v="7 | OSS - PROVISIONING ISSUED"/>
    <s v="RBS-Regional 3"/>
    <d v="2026-10-05T09:32:53"/>
    <d v="2026-10-06T08:10:36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PI"/>
    <s v="X"/>
    <s v="NETMONK"/>
    <m/>
    <s v="Provisioning Issu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50"/>
    <n v="1002624006"/>
    <n v="3"/>
    <x v="0"/>
    <n v="5"/>
    <s v="MATARAM"/>
    <s v="SUMBAWA"/>
    <s v="SBW"/>
    <s v="REG"/>
    <s v="AO"/>
    <x v="0"/>
    <s v="1P INET"/>
    <s v="7 | OSS - PROVISIONING ISSUED"/>
    <s v="RBS-Regional 3"/>
    <d v="2026-10-06T11:25:35"/>
    <d v="2026-10-07T09:30:47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m/>
    <s v="PI"/>
    <s v="X"/>
    <s v="OCA"/>
    <m/>
    <s v="Provisioning Issued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51"/>
    <n v="1002621572"/>
    <n v="3"/>
    <x v="0"/>
    <n v="5"/>
    <s v="MATARAM"/>
    <s v="SUMBAWA"/>
    <s v="SBW"/>
    <s v="REG"/>
    <s v="AO"/>
    <x v="0"/>
    <s v="1P INET"/>
    <s v="OSS - FALLOUT"/>
    <s v="RBS-Regional 3"/>
    <d v="2026-10-05T08:17:35"/>
    <d v="2026-10-07T13:40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FO_WFM"/>
    <s v="X"/>
    <s v="NETMONK"/>
    <m/>
    <s v="Provisioning Failed|WFM|INF009696464|pelurusan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52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53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54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55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56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57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58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59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60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61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62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63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64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m/>
    <n v="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65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66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67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68"/>
    <n v="1002625126"/>
    <n v="3"/>
    <x v="1"/>
    <n v="5"/>
    <s v="MALANG"/>
    <s v="KEPANJEN"/>
    <s v="KEP"/>
    <s v="REG"/>
    <s v="AO"/>
    <x v="0"/>
    <s v="1P INET"/>
    <s v="MIA - INVALID SURVEY"/>
    <s v="RBS-Regional 3"/>
    <d v="2026-10-06T17:40:34"/>
    <d v="2026-10-07T13:39:40"/>
    <n v="69405363"/>
    <m/>
    <n v="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SURVEY_NEW_MANJA"/>
    <s v="KEPANJEN"/>
    <s v="NO ADDON"/>
    <m/>
    <s v="MIE - INVALID SURVEY - Kendala Jalur/Rute Tarikan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m/>
    <m/>
    <m/>
    <e v="#NUM!"/>
    <e v="#NUM!"/>
    <x v="0"/>
  </r>
  <r>
    <n v="69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70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71"/>
    <n v="1002625161"/>
    <n v="3"/>
    <x v="1"/>
    <n v="5"/>
    <s v="MALANG"/>
    <s v="KEPANJEN"/>
    <s v="KLJ"/>
    <s v="REG"/>
    <s v="AO"/>
    <x v="0"/>
    <s v="1P INET"/>
    <s v="MIA - INVALID SURVEY"/>
    <s v="RBS-Regional 3"/>
    <d v="2026-10-06T18:16:40"/>
    <d v="2026-10-07T13:39:12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SURVEY_NEW_MANJA"/>
    <s v="KLOJEN"/>
    <s v="OCA"/>
    <m/>
    <s v="MIE - INVALID SURVEY - Kendala Jalur/Rute Tarikan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m/>
    <m/>
    <m/>
    <e v="#NUM!"/>
    <e v="#NUM!"/>
    <x v="0"/>
  </r>
  <r>
    <n v="72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73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74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75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76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77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78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79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1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82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83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84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85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86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87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88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89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90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91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92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m/>
    <n v="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93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94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95"/>
    <n v="1002620919"/>
    <n v="3"/>
    <x v="1"/>
    <n v="5"/>
    <s v="KEDIRI"/>
    <s v="TULUNGAGUNG"/>
    <s v="TUL"/>
    <s v="REG"/>
    <s v="AO"/>
    <x v="0"/>
    <m/>
    <s v="QC MIA - INVALID QUALITY CONTROL MIA"/>
    <s v="RBS-Regional 3"/>
    <d v="2026-10-03T12:12:24"/>
    <d v="2026-10-04T16:04:5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Tidak Ada Lampiran Penunjang - ingin konfirmasi loksai pemasanga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96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97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98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99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00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101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102"/>
    <n v="1002623165"/>
    <n v="3"/>
    <x v="2"/>
    <n v="4"/>
    <s v="MAGELANG"/>
    <s v="MAGELANG"/>
    <s v="MGE"/>
    <s v="REG"/>
    <s v="AO"/>
    <x v="0"/>
    <s v="1P INET"/>
    <s v="7 | OSS - PROVISIONING ISSUED"/>
    <s v="RBS-Regional 3"/>
    <d v="2026-10-05T16:46:35"/>
    <d v="2026-10-06T15:19:12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I"/>
    <s v="X"/>
    <s v="NO ADDON"/>
    <m/>
    <s v="Provisioning Issued"/>
    <s v="HSI Bisnis Promo Hari Pelanggan Nasional PSB 70% - 100 Mbps"/>
    <s v="INDIBIZ"/>
    <m/>
    <m/>
    <d v="2026-10-07T08:00:00"/>
    <s v="2026-10-07 08:00:00 | Tanggal : 7 Oktober 2026 Jam : pagi  Hubungi pelanggan sebelum ke lokasi "/>
    <m/>
    <m/>
    <m/>
    <e v="#NUM!"/>
    <e v="#NUM!"/>
    <x v="0"/>
  </r>
  <r>
    <n v="103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104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105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106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107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108"/>
    <n v="1002623409"/>
    <n v="3"/>
    <x v="2"/>
    <n v="4"/>
    <s v="MAGELANG"/>
    <s v="MAGELANG"/>
    <s v="MGE"/>
    <s v="REG"/>
    <s v="AO"/>
    <x v="0"/>
    <s v="1P INET"/>
    <s v="8 | OSS - PONR"/>
    <s v="RBS-Regional 3"/>
    <d v="2026-10-06T08:26:47"/>
    <d v="2026-10-07T13:44:28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ACT_COM"/>
    <s v="X"/>
    <s v="NO ADDON"/>
    <m/>
    <s v="PONR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m/>
    <m/>
    <m/>
    <e v="#NUM!"/>
    <e v="#NUM!"/>
    <x v="0"/>
  </r>
  <r>
    <n v="109"/>
    <n v="1002623555"/>
    <n v="3"/>
    <x v="2"/>
    <n v="4"/>
    <s v="MAGELANG"/>
    <s v="MAGELANG"/>
    <s v="MGE"/>
    <s v="REG"/>
    <s v="AO"/>
    <x v="0"/>
    <s v="1P INET"/>
    <s v="8 | OSS - PONR"/>
    <s v="RBS-Regional 3"/>
    <d v="2026-10-06T09:14:35"/>
    <d v="2026-10-06T15:10:32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ACT_COM"/>
    <s v="X"/>
    <s v="NO ADDON"/>
    <m/>
    <s v="PONR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m/>
    <m/>
    <m/>
    <e v="#NUM!"/>
    <e v="#NUM!"/>
    <x v="0"/>
  </r>
  <r>
    <n v="110"/>
    <n v="1002623319"/>
    <n v="3"/>
    <x v="2"/>
    <n v="4"/>
    <s v="MAGELANG"/>
    <s v="MAGELANG"/>
    <s v="MGE"/>
    <s v="REG"/>
    <s v="AO"/>
    <x v="0"/>
    <s v="1P INET"/>
    <s v="MIE - SEND SURVEY"/>
    <s v="RBS-Regional 3"/>
    <d v="2026-10-05T19:39:07"/>
    <d v="2026-10-05T19:42:06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SURVEY_NEW_MANJA"/>
    <s v="X"/>
    <s v="NO ADDON"/>
    <m/>
    <s v="MIE - SEND SURVEY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111"/>
    <n v="1002623818"/>
    <n v="3"/>
    <x v="2"/>
    <n v="4"/>
    <s v="MAGELANG"/>
    <s v="MAGELANG"/>
    <s v="MGE"/>
    <s v="REG"/>
    <s v="AO"/>
    <x v="0"/>
    <s v="1P INET"/>
    <s v="MIE - SEND SURVEY"/>
    <s v="RBS-Regional 3"/>
    <d v="2026-10-06T10:26:34"/>
    <d v="2026-10-06T10:28:10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m/>
    <s v="SURVEY_NEW_MANJA"/>
    <s v="X"/>
    <s v="NO ADDON"/>
    <m/>
    <s v="MIE - SEND SURVEY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m/>
    <m/>
    <m/>
    <e v="#NUM!"/>
    <e v="#NUM!"/>
    <x v="0"/>
  </r>
  <r>
    <n v="112"/>
    <n v="1002623514"/>
    <n v="3"/>
    <x v="2"/>
    <n v="4"/>
    <s v="MAGELANG"/>
    <s v="MAGELANG"/>
    <s v="MGE"/>
    <s v="REG"/>
    <s v="AO"/>
    <x v="0"/>
    <s v="1P INET"/>
    <s v="MIE - SEND SURVEY"/>
    <s v="RBS-Regional 3"/>
    <d v="2026-10-06T09:04:34"/>
    <d v="2026-10-06T09:06:01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SURVEY_NEW_MANJA"/>
    <s v="X"/>
    <s v="NO ADDON"/>
    <m/>
    <s v="MIE - SEND SURVEY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m/>
    <m/>
    <m/>
    <e v="#NUM!"/>
    <e v="#NUM!"/>
    <x v="0"/>
  </r>
  <r>
    <n v="113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114"/>
    <n v="1002622437"/>
    <n v="3"/>
    <x v="2"/>
    <n v="4"/>
    <s v="MAGELANG"/>
    <s v="MUNTILAN"/>
    <s v="SWT"/>
    <s v="REG"/>
    <s v="AO"/>
    <x v="0"/>
    <s v="1P INET"/>
    <s v="OSS - FALLOUT"/>
    <s v="RBS-Regional 3"/>
    <d v="2026-10-05T13:28:40"/>
    <d v="2026-10-07T13:54:3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FO_WFM"/>
    <s v="X"/>
    <s v="NO ADDON"/>
    <m/>
    <s v="Provisioning Failed|WFM|INF009696677|revoke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115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116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117"/>
    <n v="1002624681"/>
    <n v="3"/>
    <x v="1"/>
    <n v="5"/>
    <s v="KEDIRI"/>
    <s v="KEDIRI"/>
    <s v="GUR"/>
    <s v="REG"/>
    <s v="AO"/>
    <x v="0"/>
    <s v="1P INET"/>
    <s v="7 | OSS - PROVISIONING ISSUED"/>
    <s v="RBS-Regional 3"/>
    <d v="2026-10-06T15:02:40"/>
    <d v="2026-10-07T11:30:06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I"/>
    <s v="NGADILUWIH"/>
    <s v="NO ADDON"/>
    <m/>
    <s v="Provisioning Issu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m/>
    <m/>
    <m/>
    <e v="#NUM!"/>
    <e v="#NUM!"/>
    <x v="0"/>
  </r>
  <r>
    <n v="118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119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120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121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122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123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124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125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126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127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128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129"/>
    <n v="1002623876"/>
    <n v="3"/>
    <x v="1"/>
    <n v="5"/>
    <s v="KEDIRI"/>
    <s v="NGANJUK"/>
    <s v="WRJ"/>
    <s v="REG"/>
    <s v="AO"/>
    <x v="0"/>
    <s v="1P INET"/>
    <s v="WAITING AKTIFASI IHLD"/>
    <s v="RBS-Regional 3"/>
    <d v="2026-10-06T10:43:12"/>
    <d v="2026-10-06T17:18:02"/>
    <n v="69402815"/>
    <m/>
    <m/>
    <s v="CV KULPIZ CREATIVE STUDIO"/>
    <m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6-10T10:55:07"/>
    <d v="2026-10-03T00:00:00"/>
    <m/>
    <s v="UNSC"/>
    <s v="KERTOSONO"/>
    <s v="NO ADDON"/>
    <m/>
    <s v="WAITING:  |MYDITA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130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131"/>
    <n v="1002622269"/>
    <n v="3"/>
    <x v="1"/>
    <n v="5"/>
    <s v="KEDIRI"/>
    <s v="KEDIRI"/>
    <s v="KDI"/>
    <s v="REG"/>
    <s v="AO"/>
    <x v="0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0"/>
  </r>
  <r>
    <n v="132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133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134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35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136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137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138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139"/>
    <n v="1002620437"/>
    <n v="3"/>
    <x v="1"/>
    <n v="5"/>
    <s v="MADIUN"/>
    <s v="MADIUN"/>
    <s v="CRB"/>
    <s v="REG"/>
    <s v="AO"/>
    <x v="0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140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141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142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143"/>
    <n v="1002622112"/>
    <n v="3"/>
    <x v="1"/>
    <n v="5"/>
    <s v="MADIUN"/>
    <s v="NGAWI"/>
    <s v="NWI"/>
    <s v="REG"/>
    <s v="AO"/>
    <x v="0"/>
    <s v="1P INET"/>
    <s v="OSS - PROVISIONING DESAIN"/>
    <s v="RBS-Regional 3"/>
    <d v="2026-10-05T11:08:40"/>
    <d v="2026-10-07T13:54:08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RE_PI"/>
    <s v="X"/>
    <s v="NO ADDON"/>
    <m/>
    <s v="Provisioning Designed"/>
    <s v="HSI Bisnis PSB 70% Dual Band - 100 Mbps"/>
    <s v="INDIBIZ"/>
    <m/>
    <m/>
    <d v="2026-10-06T08:00:00"/>
    <s v="2026-10-06 08:00:00 | Tanggal : 6 Oktober 2026 Jam : pagi  Hubungi pelanggan sebelum ke lokasi "/>
    <m/>
    <m/>
    <m/>
    <e v="#NUM!"/>
    <e v="#NUM!"/>
    <x v="0"/>
  </r>
  <r>
    <n v="144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m/>
    <n v="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145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146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147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148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149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150"/>
    <n v="1002624856"/>
    <n v="3"/>
    <x v="1"/>
    <n v="5"/>
    <s v="MADIUN"/>
    <s v="PONOROGO"/>
    <s v="PON"/>
    <s v="REG"/>
    <s v="AO"/>
    <x v="0"/>
    <s v="2P INET + VOICE"/>
    <s v="MIE - SEND SURVEY"/>
    <s v="RBS-Regional 3"/>
    <d v="2026-10-06T15:49:40"/>
    <d v="2026-10-06T15:52:01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m/>
    <s v="SURVEY_NEW_MANJA"/>
    <s v="SAMBIT SUMOROTO"/>
    <s v="NO ADDON"/>
    <m/>
    <s v="MIE - SEND SURVEY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151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152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153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154"/>
    <n v="1002624715"/>
    <n v="3"/>
    <x v="1"/>
    <n v="5"/>
    <s v="KEDIRI"/>
    <s v="TRENGGALEK"/>
    <s v="TRE"/>
    <s v="REG"/>
    <s v="AO"/>
    <x v="0"/>
    <s v="1P INET"/>
    <s v="MIE - SEND SURVEY"/>
    <s v="RBS-Regional 3"/>
    <d v="2026-10-06T15:11:36"/>
    <d v="2026-10-06T15:14:07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SURVEY_NEW_MANJA"/>
    <s v="TRENGGALEK"/>
    <s v="OCA"/>
    <m/>
    <s v="MIE - SEND SURVEY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m/>
    <m/>
    <m/>
    <e v="#NUM!"/>
    <e v="#NUM!"/>
    <x v="0"/>
  </r>
  <r>
    <n v="155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156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157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158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159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160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161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162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163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164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165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166"/>
    <n v="1002623543"/>
    <n v="3"/>
    <x v="2"/>
    <n v="4"/>
    <s v="YOGYAKARTA"/>
    <s v="INNER - YOGYA JATENG SELATAN"/>
    <s v="KBU"/>
    <s v="REG"/>
    <s v="AO"/>
    <x v="0"/>
    <m/>
    <s v="MIE - SEND SURVEY"/>
    <s v="RBS-Regional 3"/>
    <d v="2026-10-06T09:12:02"/>
    <d v="2026-10-06T11:22:07"/>
    <n v="69404725"/>
    <m/>
    <n v="146113147754"/>
    <s v="HOTEL PULANG KE UTARA 10A02"/>
    <s v="ODP-KBU-FDR/128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m/>
    <m/>
    <m/>
    <e v="#NUM!"/>
    <e v="#NUM!"/>
    <x v="0"/>
  </r>
  <r>
    <n v="167"/>
    <n v="1002625042"/>
    <n v="3"/>
    <x v="2"/>
    <n v="4"/>
    <s v="YOGYAKARTA"/>
    <s v="BANTUL"/>
    <s v="BTL"/>
    <s v="REG"/>
    <s v="AO"/>
    <x v="0"/>
    <s v="1P INET"/>
    <s v="7 | OSS - PROVISIONING ISSUED"/>
    <s v="RBS-Regional 3"/>
    <d v="2026-10-06T16:49:35"/>
    <d v="2026-10-07T13:50:35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I"/>
    <s v="X"/>
    <s v="NO ADDON"/>
    <m/>
    <s v="Provisioning Issu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m/>
    <m/>
    <m/>
    <e v="#NUM!"/>
    <e v="#NUM!"/>
    <x v="0"/>
  </r>
  <r>
    <n v="168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169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170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171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172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173"/>
    <n v="1002624669"/>
    <n v="3"/>
    <x v="2"/>
    <n v="4"/>
    <s v="YOGYAKARTA"/>
    <s v="INNER - YOGYA JATENG SELATAN"/>
    <s v="KGD"/>
    <s v="REG"/>
    <s v="AO"/>
    <x v="0"/>
    <s v="1P INET"/>
    <s v="MIA - INVALID SURVEY"/>
    <s v="RBS-Regional 3"/>
    <d v="2026-10-06T14:58:39"/>
    <d v="2026-10-07T10:28:01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SURVEY_NEW_MANJA"/>
    <s v="KOTAGEDE"/>
    <s v="NO ADDON"/>
    <m/>
    <s v="MIE - INVALID SURVEY - Double Input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174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175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176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177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178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179"/>
    <n v="1002622415"/>
    <n v="3"/>
    <x v="3"/>
    <n v="5"/>
    <s v="MADURA"/>
    <s v="BANGKALAN"/>
    <s v="ARB"/>
    <s v="REG"/>
    <s v="AO"/>
    <x v="0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180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181"/>
    <n v="1002625032"/>
    <n v="3"/>
    <x v="3"/>
    <n v="5"/>
    <s v="MADURA"/>
    <s v="BANGKALAN"/>
    <s v="BKL"/>
    <s v="REG"/>
    <s v="AO"/>
    <x v="0"/>
    <m/>
    <s v="MIE - SEND SURVEY"/>
    <s v="RBS-Regional 3"/>
    <d v="2026-10-06T16:47:50"/>
    <d v="2026-10-07T12:54:06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182"/>
    <n v="1002621239"/>
    <n v="3"/>
    <x v="3"/>
    <n v="5"/>
    <s v="MADURA"/>
    <s v="BANGKALAN"/>
    <s v="BEA"/>
    <s v="REG"/>
    <s v="AO"/>
    <x v="0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183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184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185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186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187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188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189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190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191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192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193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194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195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196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197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198"/>
    <n v="1002617619"/>
    <n v="3"/>
    <x v="3"/>
    <n v="5"/>
    <s v="MADURA"/>
    <s v="PAMEKASAN"/>
    <s v="AJA"/>
    <s v="REG"/>
    <s v="AO"/>
    <x v="0"/>
    <m/>
    <s v="OSS - FALLOUT"/>
    <s v="RBS-Regional 3"/>
    <d v="2026-10-01T11:36:55"/>
    <d v="2026-10-06T23:42:17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FO_WFM"/>
    <s v="X"/>
    <s v="NO ADDON"/>
    <m/>
    <s v="Provisioning Failed|WFM|INF009688337|TBR_-7.0092327,113.87100849999999_BW KEPULAUAN ARJASA HABI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199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200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201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202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203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204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205"/>
    <n v="1002625188"/>
    <n v="3"/>
    <x v="3"/>
    <n v="5"/>
    <s v="MADURA"/>
    <s v="PAMEKASAN"/>
    <s v="SMP"/>
    <s v="REG"/>
    <s v="AO"/>
    <x v="0"/>
    <s v="1P INET"/>
    <s v="MIA - INVALID SURVEY"/>
    <s v="RBS-Regional 3"/>
    <d v="2026-10-06T19:06:57"/>
    <d v="2026-10-07T11:07:11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SURVEY_NEW_MANJA"/>
    <s v="X"/>
    <s v="NETMONK"/>
    <m/>
    <s v="MIE - INVALID SURVEY - Double Input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206"/>
    <n v="1002617733"/>
    <n v="3"/>
    <x v="3"/>
    <n v="5"/>
    <s v="SBY UTARA"/>
    <s v="KENJERAN"/>
    <s v="KBL"/>
    <s v="REG"/>
    <s v="AO"/>
    <x v="0"/>
    <s v="1P INET"/>
    <s v="OSS - FALLOUT"/>
    <s v="RBS-Regional 3"/>
    <d v="2026-10-01T12:31:39"/>
    <d v="2026-10-03T15:42:03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FO_WFM"/>
    <s v="KEBALEN"/>
    <s v="NO ADDON"/>
    <m/>
    <s v="Provisioning Failed|WFM|INF009636679|TOF_-7.2114415,112.65197450000001_-7.229388, 112.702373, ODP SATU SATUNYA FULL ODP-KBL-F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207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208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209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210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211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212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213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214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215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216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217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218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219"/>
    <n v="1002621810"/>
    <n v="3"/>
    <x v="3"/>
    <n v="5"/>
    <s v="SBY UTARA"/>
    <s v="TANDES"/>
    <s v="KNN"/>
    <s v="REG"/>
    <s v="AO"/>
    <x v="0"/>
    <s v="1P INET"/>
    <s v="OSS - FALLOUT"/>
    <s v="RBS-Regional 3"/>
    <d v="2026-10-05T09:47:35"/>
    <d v="2026-10-06T17:21:17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FO_WFM"/>
    <s v="KANDANGAN"/>
    <s v="NO ADDON"/>
    <m/>
    <s v="Provisioning Failed|WFM|INF009684450|MASUK CITRALAND BELUM ADA PKS DGN INDIBIZ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220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221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222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223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224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225"/>
    <n v="1002625196"/>
    <n v="3"/>
    <x v="3"/>
    <n v="5"/>
    <s v="SBY UTARA"/>
    <s v="TANDES"/>
    <s v="LKI"/>
    <s v="REG"/>
    <s v="AO"/>
    <x v="0"/>
    <s v="2P INET + VOICE"/>
    <s v="MIE - SEND SURVEY"/>
    <s v="RBS-Regional 3"/>
    <d v="2026-10-06T19:17:41"/>
    <d v="2026-10-06T19:20:25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m/>
    <s v="SURVEY_NEW_MANJA"/>
    <s v="TANDES"/>
    <s v="NO ADDON"/>
    <m/>
    <s v="MIE - SEND SURVEY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226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227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228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229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230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231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232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233"/>
    <n v="1002622595"/>
    <n v="3"/>
    <x v="3"/>
    <n v="5"/>
    <s v="SBY UTARA"/>
    <s v="TANDES"/>
    <s v="KLN"/>
    <s v="REG"/>
    <s v="AO"/>
    <x v="0"/>
    <s v="2P INET + VOICE"/>
    <s v="MIA - INVALID SURVEY"/>
    <s v="RBS-Regional 3"/>
    <d v="2026-10-05T14:07:39"/>
    <d v="2026-10-06T09:56:25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234"/>
    <n v="1002622546"/>
    <n v="3"/>
    <x v="3"/>
    <n v="5"/>
    <s v="SBY UTARA"/>
    <s v="TANDES"/>
    <s v="KLN"/>
    <s v="REG"/>
    <s v="AO"/>
    <x v="0"/>
    <s v="1P INET"/>
    <s v="MIA - INVALID SURVEY"/>
    <s v="RBS-Regional 3"/>
    <d v="2026-10-05T13:58:40"/>
    <d v="2026-10-06T09:57:59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SURVEY_NEW_MANJA"/>
    <s v="KEBALEN"/>
    <s v="NO ADDON"/>
    <m/>
    <s v="MIE - INVALID SURVEY - Kendala Jalur/Rute Tarikan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235"/>
    <n v="1002624121"/>
    <n v="3"/>
    <x v="3"/>
    <n v="5"/>
    <s v="SBY UTARA"/>
    <s v="TANDES"/>
    <s v="KLN"/>
    <s v="REG"/>
    <s v="AO"/>
    <x v="0"/>
    <s v="1P INET"/>
    <s v="MIA - INVALID SURVEY"/>
    <s v="RBS-Regional 3"/>
    <d v="2026-10-06T12:01:35"/>
    <d v="2026-10-07T12:36:17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SURVEY_NEW_MANJA"/>
    <s v="KEBALEN"/>
    <s v="NO ADDON"/>
    <m/>
    <s v="MIE - INVALID SURVEY - Salah Tagging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236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237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238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239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40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241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242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243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244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245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246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247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248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249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250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251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252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253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254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255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256"/>
    <n v="1002625053"/>
    <n v="3"/>
    <x v="3"/>
    <n v="5"/>
    <s v="SBY SELATAN"/>
    <s v="MANYAR"/>
    <s v="MYR"/>
    <s v="REG"/>
    <s v="AO"/>
    <x v="0"/>
    <s v="1P INET"/>
    <s v="MIE - SEND SURVEY"/>
    <s v="RBS-Regional 3"/>
    <d v="2026-10-06T16:52:39"/>
    <d v="2026-10-06T16:54:11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SEND SURVEY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257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258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259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260"/>
    <n v="1002621618"/>
    <n v="3"/>
    <x v="3"/>
    <n v="5"/>
    <s v="SBY SELATAN"/>
    <s v="KETINTANG"/>
    <s v="RKT"/>
    <s v="REG"/>
    <s v="AO"/>
    <x v="0"/>
    <m/>
    <s v="MIE - SEND SURVEY"/>
    <s v="RBS-Regional 3"/>
    <d v="2026-10-05T08:46:10"/>
    <d v="2026-10-05T16:08:02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SURVEY_NEW_MANJA"/>
    <s v="RUNGKUT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m/>
    <m/>
    <m/>
    <e v="#NUM!"/>
    <e v="#NUM!"/>
    <x v="0"/>
  </r>
  <r>
    <n v="261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262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263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264"/>
    <n v="1002623454"/>
    <n v="3"/>
    <x v="4"/>
    <n v="4"/>
    <s v="SOLO"/>
    <s v="KLATEN"/>
    <s v="PEN"/>
    <s v="REG"/>
    <s v="AO"/>
    <x v="0"/>
    <s v="2P INET + VOICE"/>
    <s v="7 | OSS - PROVISIONING ISSUED"/>
    <s v="RBS-Regional 3"/>
    <d v="2026-10-06T08:44:40"/>
    <d v="2026-10-07T09:25:07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I"/>
    <s v="X"/>
    <s v="NO ADDON"/>
    <m/>
    <s v="Provisioning Issu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m/>
    <m/>
    <m/>
    <e v="#NUM!"/>
    <e v="#NUM!"/>
    <x v="0"/>
  </r>
  <r>
    <n v="265"/>
    <n v="1002623782"/>
    <n v="3"/>
    <x v="4"/>
    <n v="4"/>
    <s v="SOLO"/>
    <s v="INNER - SOLO JATENG TIMUR"/>
    <s v="KTO"/>
    <s v="REG"/>
    <s v="AO"/>
    <x v="0"/>
    <s v="1P INET"/>
    <s v="7 | OSS - PROVISIONING ISSUED"/>
    <s v="RBS-Regional 3"/>
    <d v="2026-10-06T10:19:35"/>
    <d v="2026-10-07T09:23:2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I"/>
    <s v="SOLO KARTOSURO"/>
    <s v="NO ADDON"/>
    <m/>
    <s v="Provisioning Issu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266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267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268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269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270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1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272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273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274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275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276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277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278"/>
    <n v="1002624473"/>
    <n v="3"/>
    <x v="4"/>
    <n v="4"/>
    <s v="SOLO"/>
    <s v="INNER - SOLO JATENG TIMUR"/>
    <s v="SOP"/>
    <s v="REG"/>
    <s v="AO"/>
    <x v="0"/>
    <m/>
    <s v="QC MIA - INVALID QUALITY CONTROL MIA"/>
    <s v="RBS-Regional 3"/>
    <d v="2026-10-06T14:03:49"/>
    <d v="2026-10-07T13:53:36"/>
    <n v="69405094"/>
    <m/>
    <n v="142526106810"/>
    <s v="VENTARA HUB"/>
    <s v="ODP-SOP-FS/010"/>
    <m/>
    <m/>
    <m/>
    <m/>
    <n v="110.8630019"/>
    <n v="-7.5670392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QC1"/>
    <s v="SOLO PALUR"/>
    <s v="NO ADDON"/>
    <m/>
    <s v="QC MIA - INVALID QUALITY CONTROL MIA - Foto Lokasi Instalasi Tidak Valid - upload lokasi sesuai nama usaha terdafta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79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280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281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282"/>
    <n v="1002621260"/>
    <n v="3"/>
    <x v="4"/>
    <n v="4"/>
    <s v="SOLO"/>
    <s v="INNER - SOLO JATENG TIMUR"/>
    <s v="KRT"/>
    <s v="REG"/>
    <s v="AO"/>
    <x v="0"/>
    <s v="1P INET"/>
    <s v="7 | OSS - PROVISIONING ISSUED"/>
    <s v="RBS-Regional 3"/>
    <d v="2026-10-04T09:20:35"/>
    <d v="2026-10-05T08:13:30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I"/>
    <s v="X"/>
    <s v="NO ADDON"/>
    <m/>
    <s v="Provisioning Issu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m/>
    <m/>
    <m/>
    <e v="#NUM!"/>
    <e v="#NUM!"/>
    <x v="0"/>
  </r>
  <r>
    <n v="283"/>
    <n v="1002624452"/>
    <n v="3"/>
    <x v="4"/>
    <n v="4"/>
    <s v="SOLO"/>
    <s v="INNER - SOLO JATENG TIMUR"/>
    <s v="KRT"/>
    <s v="REG"/>
    <s v="AO"/>
    <x v="0"/>
    <m/>
    <s v="7 | OSS - PROVISIONING ISSUED"/>
    <s v="RBS-Regional 3"/>
    <d v="2026-10-06T14:00:18"/>
    <d v="2026-10-07T11:26:43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m/>
    <m/>
    <m/>
    <e v="#NUM!"/>
    <e v="#NUM!"/>
    <x v="0"/>
  </r>
  <r>
    <n v="284"/>
    <n v="1002624136"/>
    <n v="3"/>
    <x v="4"/>
    <n v="4"/>
    <s v="SOLO"/>
    <s v="INNER - SOLO JATENG TIMUR"/>
    <s v="KRT"/>
    <s v="REG"/>
    <s v="AO"/>
    <x v="0"/>
    <s v="1P INET"/>
    <s v="7 | OSS - PROVISIONING ISSUED"/>
    <s v="RBS-Regional 3"/>
    <d v="2026-10-06T12:10:34"/>
    <d v="2026-10-07T11:19:44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m/>
    <s v="PI"/>
    <s v="X"/>
    <s v="NO ADDON"/>
    <m/>
    <s v="Provisioning Issu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285"/>
    <n v="1002624187"/>
    <n v="3"/>
    <x v="4"/>
    <n v="4"/>
    <s v="SOLO"/>
    <s v="INNER - SOLO JATENG TIMUR"/>
    <s v="KRT"/>
    <s v="REG"/>
    <s v="AO"/>
    <x v="0"/>
    <s v="1P INET"/>
    <s v="OSS - FALLOUT"/>
    <s v="RBS-Regional 3"/>
    <d v="2026-10-06T12:40:35"/>
    <d v="2026-10-06T14:43:51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FO_WFM"/>
    <s v="X"/>
    <s v="NO ADDON"/>
    <m/>
    <s v="Provisioning Failed|WFM|INF009681427|PP_-7.5632887,110.8095345_pelanggan minta di undur tangal 8. karena masih diklat di sema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m/>
    <m/>
    <m/>
    <e v="#NUM!"/>
    <e v="#NUM!"/>
    <x v="0"/>
  </r>
  <r>
    <n v="286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287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288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289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290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291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292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293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294"/>
    <n v="1002622830"/>
    <n v="3"/>
    <x v="4"/>
    <n v="4"/>
    <s v="SOLO"/>
    <s v="WONOGIRI"/>
    <s v="WNG"/>
    <s v="REG"/>
    <s v="AO"/>
    <x v="0"/>
    <s v="1P INET"/>
    <s v="8 | OSS - PONR"/>
    <s v="RBS-Regional 3"/>
    <d v="2026-10-05T15:19:39"/>
    <d v="2026-10-06T11:13:00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ACT_COM"/>
    <s v="X"/>
    <s v="NO ADDON"/>
    <m/>
    <s v="PONR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m/>
    <m/>
    <m/>
    <e v="#NUM!"/>
    <e v="#NUM!"/>
    <x v="0"/>
  </r>
  <r>
    <n v="295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296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297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298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299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300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301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302"/>
    <n v="1002624019"/>
    <n v="3"/>
    <x v="5"/>
    <n v="5"/>
    <s v="SIDOARJO"/>
    <s v="JOMBANG"/>
    <s v="MOJ"/>
    <s v="REG"/>
    <s v="AO"/>
    <x v="0"/>
    <m/>
    <s v="CC - HD1A - INPROGRESS UNCONTACTED"/>
    <s v="RBS-Regional 3"/>
    <d v="2026-10-06T11:30:24"/>
    <d v="2026-10-07T12:30:43"/>
    <n v="69404899"/>
    <m/>
    <n v="152319209244"/>
    <s v="KRISNA JAYA"/>
    <s v="ODP-MOJ-FS/56"/>
    <m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m/>
    <m/>
    <m/>
    <d v="2026-06-10T11:40:08"/>
    <m/>
    <m/>
    <s v="FCC"/>
    <s v="JOMBANG"/>
    <s v="OCA"/>
    <m/>
    <s v="UNCONTACTED : Telepon Tidak Diangkat - RNA Putri Arviyanti 4097130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03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304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305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306"/>
    <n v="1002623517"/>
    <n v="3"/>
    <x v="5"/>
    <n v="5"/>
    <s v="SIDOARJO"/>
    <s v="MOJOKERTO"/>
    <s v="MRT"/>
    <s v="REG"/>
    <s v="AO"/>
    <x v="0"/>
    <m/>
    <s v="7 | OSS - PROVISIONING ISSUED"/>
    <s v="RBS-Regional 3"/>
    <d v="2026-10-06T09:06:15"/>
    <d v="2026-10-07T09:25:25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m/>
    <s v="PI"/>
    <s v="MOJOKERTO"/>
    <s v="OCA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307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308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309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310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311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312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313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314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315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316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317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318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319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320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321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322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323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324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325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326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327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328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329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330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31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332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333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334"/>
    <n v="1002624432"/>
    <n v="3"/>
    <x v="3"/>
    <n v="5"/>
    <s v="SBY SELATAN"/>
    <s v="KETINTANG"/>
    <s v="WRU"/>
    <s v="REG"/>
    <s v="AO"/>
    <x v="0"/>
    <s v="1P INET"/>
    <s v="8 | OSS - PONR"/>
    <s v="RBS-Regional 3"/>
    <d v="2026-10-06T13:53:40"/>
    <d v="2026-10-07T13:13:23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ACT_COM"/>
    <s v="WARU INJOKO"/>
    <s v="OCA"/>
    <m/>
    <s v="PONR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335"/>
    <n v="1002623807"/>
    <n v="3"/>
    <x v="3"/>
    <n v="5"/>
    <s v="SBY SELATAN"/>
    <s v="KETINTANG"/>
    <s v="TPO"/>
    <s v="REG"/>
    <s v="AO"/>
    <x v="0"/>
    <s v="1P INET"/>
    <s v="7 | OSS - PROVISIONING ISSUED"/>
    <s v="RBS-Regional 3"/>
    <d v="2026-10-06T10:23:40"/>
    <d v="2026-10-07T09:19:37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I"/>
    <s v="TROPODO"/>
    <s v="NETMONK"/>
    <m/>
    <s v="Provisioning Issu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m/>
    <m/>
    <m/>
    <e v="#NUM!"/>
    <e v="#NUM!"/>
    <x v="0"/>
  </r>
  <r>
    <n v="336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337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338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339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340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341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342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343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344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345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346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347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348"/>
    <n v="1002622968"/>
    <n v="3"/>
    <x v="4"/>
    <n v="4"/>
    <s v="KUDUS"/>
    <s v="JEPARA"/>
    <s v="PEC"/>
    <s v="REG"/>
    <s v="AO"/>
    <x v="0"/>
    <m/>
    <s v="MIE - SEND SURVEY"/>
    <s v="RBS-Regional 2"/>
    <d v="2026-10-05T15:51:43"/>
    <d v="2026-10-05T19:30:01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SURVEY_NEW_MANJA"/>
    <s v="PECANGAAN"/>
    <s v="NO ADDON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349"/>
    <n v="1002624154"/>
    <n v="3"/>
    <x v="4"/>
    <n v="4"/>
    <s v="KUDUS"/>
    <s v="KUDUS"/>
    <s v="KUD"/>
    <s v="REG"/>
    <s v="AO"/>
    <x v="0"/>
    <s v="1P INET"/>
    <s v="7 | OSS - PROVISIONING ISSUED"/>
    <s v="RBS-Regional 3"/>
    <d v="2026-10-06T12:22:40"/>
    <d v="2026-10-07T11:19:36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m/>
    <s v="PI"/>
    <s v="X"/>
    <s v="NO ADDON"/>
    <m/>
    <s v="Provisioning Issu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350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351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352"/>
    <n v="1002617361"/>
    <n v="3"/>
    <x v="4"/>
    <n v="4"/>
    <s v="KUDUS"/>
    <s v="KUDUS"/>
    <s v="KUD"/>
    <s v="REG"/>
    <s v="AO"/>
    <x v="0"/>
    <s v="1P INET"/>
    <s v="MIA - INVALID SURVEY"/>
    <s v="RBS-Regional 3"/>
    <d v="2026-10-01T10:31:39"/>
    <d v="2026-10-05T09:26:07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INVALID SURVEY - Bangunan/Perangkat Pelanggan Belum Siap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353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354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355"/>
    <n v="1002623986"/>
    <n v="3"/>
    <x v="4"/>
    <n v="4"/>
    <s v="KUDUS"/>
    <s v="PATI"/>
    <s v="PAT"/>
    <s v="REG"/>
    <s v="AO"/>
    <x v="0"/>
    <s v="1P INET"/>
    <s v="SIBEL - CREATE ORDER FAIL"/>
    <s v="RBS-Regional 3"/>
    <d v="2026-10-06T11:17:35"/>
    <d v="2026-10-07T09:34:18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INPROGRESS_SC"/>
    <s v="X"/>
    <s v="NO ADDON"/>
    <m/>
    <s v="Error invoking service 'EAI Siebel Adapter', method 'Upsert' at step 'Upsert CA BA SA'.(SBL-BPR-00162) -- Cannot perform 'Upd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356"/>
    <n v="1002623718"/>
    <n v="3"/>
    <x v="6"/>
    <n v="4"/>
    <s v="SEMARANG"/>
    <s v="INNER - SEMARANG JATENG UTARA"/>
    <s v="BOJ"/>
    <s v="REG"/>
    <s v="AO"/>
    <x v="0"/>
    <s v="1P INET"/>
    <s v="7 | OSS - PROVISIONING ISSUED"/>
    <s v="RBS-Regional 3"/>
    <d v="2026-10-06T10:02:38"/>
    <d v="2026-10-07T09:25:20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I"/>
    <s v="SEMARANG TUGU"/>
    <s v="NO ADDON"/>
    <m/>
    <s v="Provisioning Issu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357"/>
    <n v="1002621931"/>
    <n v="3"/>
    <x v="6"/>
    <n v="4"/>
    <s v="SEMARANG"/>
    <s v="KENDAL"/>
    <s v="KDL"/>
    <s v="REG"/>
    <s v="AO"/>
    <x v="0"/>
    <s v="1P INET"/>
    <s v="OSS - FALLOUT"/>
    <s v="RBS-Regional 3"/>
    <d v="2026-10-05T10:23:39"/>
    <d v="2026-10-07T12:21:03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FO_WFM"/>
    <s v="X"/>
    <s v="NO ADDON"/>
    <m/>
    <s v="Provisioning Failed|WFM|INF009695459|-6.939051, 110.251267 | TNO_RADIUS 250M NO ODP, ODP TERDEKAT JARAK 350M.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358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359"/>
    <n v="1002622261"/>
    <n v="3"/>
    <x v="6"/>
    <n v="4"/>
    <s v="SEMARANG"/>
    <s v="KENDAL"/>
    <s v="SKR"/>
    <s v="REG"/>
    <s v="AO"/>
    <x v="0"/>
    <m/>
    <s v="OSS - FALLOUT"/>
    <s v="RBS-Regional 3"/>
    <d v="2026-10-05T12:14:26"/>
    <d v="2026-10-06T13:39:16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FO_WFM"/>
    <s v="X"/>
    <s v="NETMONK"/>
    <m/>
    <s v="Provisioning Failed|WFM|INF009679920|PP_-7.0897632999999995,110.04469329999999_PP_PELANGGAN MANJA PEMASANGAN 08 OKTOBER 2026.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360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361"/>
    <n v="1002624515"/>
    <n v="3"/>
    <x v="6"/>
    <n v="4"/>
    <s v="SEMARANG"/>
    <s v="INNER - SEMARANG JATENG UTARA"/>
    <s v="MKG"/>
    <s v="REG"/>
    <s v="AO"/>
    <x v="0"/>
    <s v="1P INET"/>
    <s v="MIE - SEND SURVEY"/>
    <s v="RBS-Regional 3"/>
    <d v="2026-10-06T14:16:41"/>
    <d v="2026-10-06T14:18:06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m/>
    <s v="SURVEY_NEW_MANJA"/>
    <s v="SEMARANG TUGU"/>
    <s v="NO ADDON"/>
    <m/>
    <s v="MIE - SEND SURVEY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362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363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364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365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366"/>
    <n v="1002624670"/>
    <n v="3"/>
    <x v="6"/>
    <n v="4"/>
    <s v="SEMARANG"/>
    <s v="INNER - SEMARANG JATENG UTARA"/>
    <s v="SMT"/>
    <s v="REG"/>
    <s v="AO"/>
    <x v="0"/>
    <m/>
    <s v="MYCX - SEND OPEN PAPERLESS"/>
    <s v="RBS-Regional 3"/>
    <d v="2026-10-06T15:01:16"/>
    <d v="2026-10-06T15:04:12"/>
    <n v="69405206"/>
    <n v="2435320314"/>
    <n v="141420144664"/>
    <s v="PT. OPTIK SEIS JAYA"/>
    <s v="ODP-SMC-FD/078"/>
    <m/>
    <m/>
    <m/>
    <m/>
    <n v="110.41627761241099"/>
    <n v="-7.0124326804994599"/>
    <s v="AMRBS;403098;REG3;DANIEL MARWA DENERO;08112876658;CP.HENDRIANTO;08161938320;PAKET 2S INET VOICE 50 MBPS (479.000);PT. OPTIK SEIS JAYA"/>
    <s v="Account Manager"/>
    <m/>
    <m/>
    <m/>
    <m/>
    <m/>
    <m/>
    <m/>
    <m/>
    <m/>
    <m/>
    <m/>
    <d v="2026-06-10T15:25:46"/>
    <m/>
    <m/>
    <s v="INPROGRESS_SC"/>
    <s v="SEMARANG TUGU"/>
    <s v="NO ADDON"/>
    <m/>
    <s v="SEND PAPERLESS OPE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67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368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369"/>
    <n v="1002619811"/>
    <n v="3"/>
    <x v="6"/>
    <n v="4"/>
    <s v="SEMARANG"/>
    <s v="INNER - SEMARANG JATENG UTARA"/>
    <s v="GNK"/>
    <s v="REG"/>
    <s v="AO"/>
    <x v="0"/>
    <m/>
    <s v="7 | OSS - PROVISIONING ISSUED"/>
    <s v="RBS-Regional 2"/>
    <d v="2026-10-02T13:37:19"/>
    <d v="2026-10-06T08:23:32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m/>
    <s v="PI"/>
    <s v="JOH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370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371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372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373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374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375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376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377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378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379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380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381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382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383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384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385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386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387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388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389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390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391"/>
    <n v="1002624799"/>
    <n v="3"/>
    <x v="2"/>
    <n v="4"/>
    <s v="PURWOKERTO"/>
    <s v="PURWOKERTO"/>
    <s v="PWT"/>
    <s v="REG"/>
    <s v="AO"/>
    <x v="0"/>
    <m/>
    <s v="MYCX - SEND OPEN PAPERLESS"/>
    <s v="RBS-Regional 3"/>
    <d v="2026-10-06T15:36:40"/>
    <d v="2026-10-06T15:38:06"/>
    <n v="69405243"/>
    <m/>
    <n v="146303629433"/>
    <s v="PLANET SHOES"/>
    <s v="ODP-PWT-FN/048"/>
    <m/>
    <m/>
    <m/>
    <m/>
    <n v="109.24296426788"/>
    <n v="-7.41680249547899"/>
    <s v="PSB;MN02713;PLANET SHOES;089601012313;PSB HSI BISNIS 75MBPS PROMO;planetshoes151@gmail.com;FATHUL NURUL HUDA;-7.4168024954789935, 109.24296426788062"/>
    <s v="MYDIGIBIZPARTNER"/>
    <m/>
    <m/>
    <m/>
    <m/>
    <m/>
    <m/>
    <m/>
    <m/>
    <m/>
    <m/>
    <m/>
    <d v="2026-06-10T15:40:35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392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393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394"/>
    <n v="1002624065"/>
    <n v="3"/>
    <x v="2"/>
    <n v="4"/>
    <s v="PURWOKERTO"/>
    <s v="CILACAP"/>
    <s v="GML"/>
    <s v="REG"/>
    <s v="AO"/>
    <x v="0"/>
    <s v="2P INET + VOICE"/>
    <s v="8 | OSS - PONR"/>
    <s v="RBS-Regional 3"/>
    <d v="2026-10-06T11:43:40"/>
    <d v="2026-10-07T11:39:2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ACT_COM"/>
    <s v="X"/>
    <s v="NO ADDON"/>
    <m/>
    <s v="PONR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m/>
    <m/>
    <m/>
    <e v="#NUM!"/>
    <e v="#NUM!"/>
    <x v="0"/>
  </r>
  <r>
    <n v="395"/>
    <n v="1002620365"/>
    <n v="3"/>
    <x v="2"/>
    <n v="4"/>
    <s v="PURWOKERTO"/>
    <s v="CILACAP"/>
    <s v="MAN"/>
    <s v="REG"/>
    <s v="AO"/>
    <x v="0"/>
    <m/>
    <s v="7 | OSS - PROVISIONING ISSUED"/>
    <s v="RBS-Regional 3"/>
    <d v="2026-10-02T15:59:15"/>
    <d v="2026-10-06T11:09:54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m/>
    <s v="PI"/>
    <s v="MAJENANG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396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397"/>
    <n v="1002621300"/>
    <n v="3"/>
    <x v="2"/>
    <n v="4"/>
    <s v="PURWOKERTO"/>
    <s v="BANJARNEGARA"/>
    <s v="BJR"/>
    <s v="REG"/>
    <s v="AO"/>
    <x v="0"/>
    <s v="1P INET"/>
    <s v="OSS - FALLOUT"/>
    <s v="RBS-Regional 3"/>
    <d v="2026-10-04T10:30:34"/>
    <d v="2026-10-05T16:04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WFM"/>
    <s v="X"/>
    <s v="NO ADDON"/>
    <m/>
    <s v="Provisioning Failed|WFM|INF009667198|TOJ_-7.3962143000000005,109.69823910000001_odp terdekat unspec BJR-FAR/001 300m dan full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398"/>
    <n v="1002621299"/>
    <n v="3"/>
    <x v="2"/>
    <n v="4"/>
    <s v="PURWOKERTO"/>
    <s v="BANJARNEGARA"/>
    <s v="BJR"/>
    <s v="REG"/>
    <s v="AO"/>
    <x v="0"/>
    <s v="1P INET"/>
    <s v="OSS - FALLOUT"/>
    <s v="RBS-Regional 3"/>
    <d v="2026-10-04T10:29:51"/>
    <d v="2026-10-05T18:38:57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UIM"/>
    <s v="X"/>
    <s v="NO ADDON"/>
    <m/>
    <s v="Provisioning Failed|UIM|INF009669633|Service with External Object Id 69403803_146372103619_INTERNET already exists.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399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400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401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402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403"/>
    <n v="1002623766"/>
    <n v="3"/>
    <x v="2"/>
    <n v="4"/>
    <s v="PURWOKERTO"/>
    <s v="BANJARNEGARA"/>
    <s v="BJR"/>
    <s v="REG"/>
    <s v="AO"/>
    <x v="0"/>
    <s v="1P INET"/>
    <s v="MIE - SEND SURVEY"/>
    <s v="RBS-Regional 3"/>
    <d v="2026-10-06T10:14:35"/>
    <d v="2026-10-06T10:16:06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SURVEY_NEW_MANJA"/>
    <s v="X"/>
    <s v="NO ADDON"/>
    <m/>
    <s v="MIE - SEND SURVEY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404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405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406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407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408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409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410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411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412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413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414"/>
    <n v="1002620906"/>
    <n v="3"/>
    <x v="6"/>
    <n v="4"/>
    <s v="PEKALONGAN"/>
    <s v="PEKALONGAN"/>
    <s v="PKL"/>
    <s v="REG"/>
    <s v="AO"/>
    <x v="0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415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416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417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m/>
    <n v="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418"/>
    <n v="1002625039"/>
    <n v="3"/>
    <x v="6"/>
    <n v="4"/>
    <s v="PEKALONGAN"/>
    <s v="PEMALANG"/>
    <s v="PML"/>
    <s v="REG"/>
    <s v="AO"/>
    <x v="0"/>
    <m/>
    <s v="QC MIA - INVALID QUALITY CONTROL MIA"/>
    <s v="RBS-Regional 3"/>
    <d v="2026-10-06T16:50:13"/>
    <d v="2026-10-07T12:06:05"/>
    <n v="69405324"/>
    <m/>
    <n v="142278112955"/>
    <s v="PT NIKE INDONESIA"/>
    <s v="ODP-PML-FG/06"/>
    <m/>
    <m/>
    <m/>
    <m/>
    <n v="109.3876746"/>
    <n v="-6.9008136000000002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QC1"/>
    <s v="X"/>
    <s v="NO ADDON"/>
    <m/>
    <s v="QC MIA - INVALID QUALITY CONTROL MIA - Foto Lokasi Instalasi Tidak Valid - silakan uploadkan foto lokasi pemasnagan tampak 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19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420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421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422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423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424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425"/>
    <n v="1002621483"/>
    <n v="3"/>
    <x v="2"/>
    <n v="4"/>
    <s v="PURWOKERTO"/>
    <s v="PURBALINGGA"/>
    <s v="PBG"/>
    <s v="REG"/>
    <s v="AO"/>
    <x v="0"/>
    <s v="1P INET"/>
    <s v="OSS - FALLOUT"/>
    <s v="RBS-Regional 3"/>
    <d v="2026-10-04T16:22:10"/>
    <d v="2026-10-07T11:04:50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FO_UIM"/>
    <s v="X"/>
    <s v="NO ADDON"/>
    <m/>
    <s v="Provisioning Failed|UIM|INF009694222|2024006:Data INET_Reservation_ID and InternetServiceNumber not match in UIM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426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427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428"/>
    <n v="1002624013"/>
    <n v="3"/>
    <x v="2"/>
    <n v="4"/>
    <s v="PURWOKERTO"/>
    <s v="PURBALINGGA"/>
    <s v="PBG"/>
    <s v="REG"/>
    <s v="AO"/>
    <x v="0"/>
    <s v="1P INET"/>
    <s v="MIE - SEND SURVEY"/>
    <s v="RBS-Regional 3"/>
    <d v="2026-10-06T11:26:40"/>
    <d v="2026-10-06T11:28:06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m/>
    <s v="SURVEY_NEW_MANJA"/>
    <s v="X"/>
    <s v="NO ADDON"/>
    <m/>
    <s v="MIE - SEND SURVEY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429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430"/>
    <n v="1002618417"/>
    <n v="3"/>
    <x v="6"/>
    <n v="4"/>
    <s v="PEKALONGAN"/>
    <s v="BREBES"/>
    <s v="BMU"/>
    <s v="REG"/>
    <s v="AO"/>
    <x v="0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</r>
  <r>
    <n v="431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432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433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434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435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436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437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438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439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440"/>
    <n v="1002623481"/>
    <n v="3"/>
    <x v="6"/>
    <n v="4"/>
    <s v="PEKALONGAN"/>
    <s v="TEGAL"/>
    <s v="TEG"/>
    <s v="REG"/>
    <s v="AO"/>
    <x v="0"/>
    <m/>
    <s v="7 | OSS - PROVISIONING ISSUED"/>
    <s v="RBS-Regional 3"/>
    <d v="2026-10-06T08:54:34"/>
    <d v="2026-10-07T13:54:31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m/>
    <m/>
    <m/>
    <e v="#NUM!"/>
    <e v="#NUM!"/>
    <x v="0"/>
  </r>
  <r>
    <n v="441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442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443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444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445"/>
    <n v="1002623785"/>
    <n v="3"/>
    <x v="6"/>
    <n v="4"/>
    <s v="PEKALONGAN"/>
    <s v="SLAWI"/>
    <s v="BLU"/>
    <s v="REG"/>
    <s v="AO"/>
    <x v="0"/>
    <s v="1P INET"/>
    <s v="7 | OSS - PROVISIONING ISSUED"/>
    <s v="RBS-Regional 3"/>
    <d v="2026-10-06T10:19:40"/>
    <d v="2026-10-07T09:20:14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PI"/>
    <s v="X"/>
    <s v="NO ADDON"/>
    <m/>
    <s v="Provisioning Issued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446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447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448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449"/>
    <n v="1002624054"/>
    <n v="3"/>
    <x v="3"/>
    <n v="5"/>
    <s v="SBY UTARA"/>
    <s v="TANDES"/>
    <s v="BBE"/>
    <s v="REG"/>
    <s v="AO"/>
    <x v="0"/>
    <m/>
    <s v="MIA - INVALID SURVEY"/>
    <s v="RBS-Regional 2"/>
    <d v="2026-10-06T11:44:44"/>
    <d v="2026-10-06T19:33:34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m/>
    <s v="SURVEY_NEW_MANJA"/>
    <s v="BAMBE"/>
    <s v="NETMONK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450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451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452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453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454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455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456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457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458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459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460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461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462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463"/>
    <n v="1002621551"/>
    <n v="3"/>
    <x v="3"/>
    <n v="5"/>
    <s v="SBY UTARA"/>
    <s v="GRESIK"/>
    <s v="SDY"/>
    <s v="REG"/>
    <s v="AO"/>
    <x v="0"/>
    <s v="1P INET"/>
    <s v="7 | OSS - PROVISIONING ISSUED"/>
    <s v="RBS-Regional 3"/>
    <d v="2026-10-05T07:56:40"/>
    <d v="2026-10-06T08:12:15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m/>
    <s v="PI"/>
    <s v="GRESIK"/>
    <s v="NO ADDON"/>
    <m/>
    <s v="Provisioning Issued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464"/>
    <n v="1002619716"/>
    <n v="3"/>
    <x v="3"/>
    <n v="5"/>
    <s v="SBY UTARA"/>
    <s v="GRESIK"/>
    <s v="SDY"/>
    <s v="REG"/>
    <s v="AO"/>
    <x v="0"/>
    <s v="1P INET"/>
    <s v="OSS - FALLOUT"/>
    <s v="RBS-Regional 3"/>
    <d v="2026-10-02T13:04:40"/>
    <d v="2026-10-03T13:43:5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FO_WFM"/>
    <s v="GRESIK"/>
    <s v="NO ADDON"/>
    <m/>
    <s v="Provisioning Failed|WFM|INF009634941|PCL Pelanggan Batal pemasangan, pelanggan minta batal sudah konfirmasi ke tim salesnya.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465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466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467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468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469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470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471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472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473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474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475"/>
    <n v="1002625133"/>
    <n v="3"/>
    <x v="3"/>
    <n v="5"/>
    <s v="SBY UTARA"/>
    <s v="LAMONGAN"/>
    <s v="LMG"/>
    <s v="REG"/>
    <s v="AO"/>
    <x v="0"/>
    <s v="1P INET"/>
    <s v="8 | OSS - PONR"/>
    <s v="RBS-Regional 3"/>
    <d v="2026-10-06T17:47:39"/>
    <d v="2026-10-07T13:26:50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ACT_COM"/>
    <s v="LAMONGAN"/>
    <s v="NO ADDON"/>
    <m/>
    <s v="PONR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476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477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478"/>
    <n v="1002625131"/>
    <n v="3"/>
    <x v="3"/>
    <n v="5"/>
    <s v="SBY UTARA"/>
    <s v="LAMONGAN"/>
    <s v="LMG"/>
    <s v="REG"/>
    <s v="AO"/>
    <x v="0"/>
    <s v="1P INET"/>
    <s v="MIE - SEND SURVEY"/>
    <s v="RBS-Regional 3"/>
    <d v="2026-10-06T17:46:36"/>
    <d v="2026-10-06T17:48:01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SURVEY_NEW_MANJA"/>
    <s v="LAMONGAN"/>
    <s v="NO ADDON"/>
    <m/>
    <s v="MIE - SEND SURVEY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479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480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481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482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483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484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485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486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487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488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489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490"/>
    <n v="1002624365"/>
    <n v="3"/>
    <x v="1"/>
    <n v="5"/>
    <s v="MADIUN"/>
    <s v="TUBAN"/>
    <s v="KRK"/>
    <s v="REG"/>
    <s v="AO"/>
    <x v="0"/>
    <s v="1P INET"/>
    <s v="7 | OSS - PROVISIONING ISSUED"/>
    <s v="RBS-Regional 3"/>
    <d v="2026-10-06T13:40:35"/>
    <d v="2026-10-07T11:35:50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I"/>
    <s v="JATIROGO BANCAR"/>
    <s v="NETMONK"/>
    <m/>
    <s v="Provisioning Issued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491"/>
    <n v="1002623571"/>
    <n v="3"/>
    <x v="1"/>
    <n v="5"/>
    <s v="MADIUN"/>
    <s v="TUBAN"/>
    <s v="KRK"/>
    <s v="REG"/>
    <s v="AO"/>
    <x v="0"/>
    <s v="1P INET"/>
    <s v="7 | OSS - PROVISIONING ISSUED"/>
    <s v="RBS-Regional 3"/>
    <d v="2026-10-06T09:19:35"/>
    <d v="2026-10-07T09:29:56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m/>
    <s v="PI"/>
    <s v="JATIROGO BANCAR"/>
    <s v="NETMONK"/>
    <m/>
    <s v="Provisioning Issued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492"/>
    <n v="1002624815"/>
    <n v="3"/>
    <x v="1"/>
    <n v="5"/>
    <s v="MADIUN"/>
    <s v="TUBAN"/>
    <s v="MRR"/>
    <s v="REG"/>
    <s v="AO"/>
    <x v="0"/>
    <s v="1P INET"/>
    <s v="MIE - SEND SURVEY"/>
    <s v="RBS-Regional 3"/>
    <d v="2026-10-06T15:40:41"/>
    <d v="2026-10-06T15:42:06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m/>
    <s v="SURVEY_NEW_MANJA"/>
    <s v="JATIROGO BANCAR"/>
    <s v="NETMONK"/>
    <m/>
    <s v="MIE - SEND SURVEY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493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494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495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496"/>
    <n v="1002617177"/>
    <n v="3"/>
    <x v="0"/>
    <n v="5"/>
    <s v="KUPANG"/>
    <s v="KUPANG"/>
    <s v="OSP"/>
    <s v="REG"/>
    <s v="AO"/>
    <x v="0"/>
    <m/>
    <s v="7 | OSS - PROVISIONING ISSUED"/>
    <s v="RBS-Regional 4"/>
    <d v="2026-10-01T09:49:48"/>
    <d v="2026-10-05T09:26:11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497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498"/>
    <n v="1002619312"/>
    <n v="3"/>
    <x v="0"/>
    <n v="5"/>
    <s v="KUPANG"/>
    <s v="KUPANG"/>
    <s v="KPN"/>
    <s v="REG"/>
    <s v="AO"/>
    <x v="0"/>
    <s v="1P INET"/>
    <s v="7 | OSS - PROVISIONING ISSUED"/>
    <s v="RBS-Regional 3"/>
    <d v="2026-10-02T10:22:39"/>
    <d v="2026-10-05T21:43:20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I"/>
    <s v="KUPANG"/>
    <s v="NO ADDON"/>
    <m/>
    <s v="Provisioning Issu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0"/>
  </r>
  <r>
    <n v="499"/>
    <n v="1002621034"/>
    <n v="3"/>
    <x v="0"/>
    <n v="5"/>
    <s v="KUPANG"/>
    <s v="KUPANG"/>
    <s v="KPN"/>
    <s v="REG"/>
    <s v="AO"/>
    <x v="0"/>
    <s v="1P INET"/>
    <s v="7 | OSS - PROVISIONING ISSUED"/>
    <s v="RBS-Regional 3"/>
    <d v="2026-10-03T14:14:39"/>
    <d v="2026-10-05T17:10:39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I"/>
    <s v="KUPANG"/>
    <s v="NO ADDON"/>
    <m/>
    <s v="Provisioning Issu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m/>
    <m/>
    <m/>
    <e v="#NUM!"/>
    <e v="#NUM!"/>
    <x v="0"/>
  </r>
  <r>
    <n v="500"/>
    <n v="1002624008"/>
    <n v="3"/>
    <x v="0"/>
    <n v="5"/>
    <s v="KUPANG"/>
    <s v="KUPANG"/>
    <s v="KPN"/>
    <s v="REG"/>
    <s v="AO"/>
    <x v="0"/>
    <s v="1P INET"/>
    <s v="7 | OSS - PROVISIONING ISSUED"/>
    <s v="RBS-Regional 3"/>
    <d v="2026-10-06T11:25:41"/>
    <d v="2026-10-07T09:29:30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I"/>
    <s v="KUPANG"/>
    <s v="NO ADDON"/>
    <m/>
    <s v="Provisioning Issu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501"/>
    <n v="1002624124"/>
    <n v="3"/>
    <x v="0"/>
    <n v="5"/>
    <s v="KUPANG"/>
    <s v="KUPANG"/>
    <s v="KPN"/>
    <s v="REG"/>
    <s v="AO"/>
    <x v="0"/>
    <s v="1P INET"/>
    <s v="7 | OSS - PROVISIONING ISSUED"/>
    <s v="RBS-Regional 3"/>
    <d v="2026-10-06T12:02:40"/>
    <d v="2026-10-07T09:33:34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I"/>
    <s v="KUPANG"/>
    <s v="NO ADDON"/>
    <m/>
    <s v="Provisioning Issu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m/>
    <m/>
    <m/>
    <e v="#NUM!"/>
    <e v="#NUM!"/>
    <x v="0"/>
  </r>
  <r>
    <n v="502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503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504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505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506"/>
    <n v="1002625179"/>
    <n v="3"/>
    <x v="0"/>
    <n v="5"/>
    <s v="KUPANG"/>
    <s v="KUPANG"/>
    <s v="KPN"/>
    <s v="REG"/>
    <s v="AO"/>
    <x v="0"/>
    <s v="1P INET"/>
    <s v="MIE - SEND SURVEY"/>
    <s v="RBS-Regional 3"/>
    <d v="2026-10-06T18:50:34"/>
    <d v="2026-10-06T18:52:06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SURVEY_NEW_MANJA"/>
    <s v="KUPANG"/>
    <s v="NO ADDON"/>
    <m/>
    <s v="MIE - SEND SURVEY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m/>
    <m/>
    <m/>
    <e v="#NUM!"/>
    <e v="#NUM!"/>
    <x v="0"/>
  </r>
  <r>
    <n v="507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08"/>
    <n v="1002620730"/>
    <n v="3"/>
    <x v="0"/>
    <n v="5"/>
    <s v="KUPANG"/>
    <s v="WAIKABUBAK"/>
    <s v="WKB"/>
    <s v="REG"/>
    <s v="AO"/>
    <x v="0"/>
    <s v="1P INET"/>
    <s v="OSS - FALLOUT"/>
    <s v="RBS-Regional 3"/>
    <d v="2026-10-03T08:22:34"/>
    <d v="2026-10-05T11:14:28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FO_WFM"/>
    <s v="WAIKABUBAK"/>
    <s v="PIJAR"/>
    <m/>
    <s v="Provisioning Failed|WFM|INF009661791|PDI_-9.6253849,119.4040576_dobel input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509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510"/>
    <n v="1002624149"/>
    <n v="3"/>
    <x v="0"/>
    <n v="5"/>
    <s v="KUPANG"/>
    <s v="WAINGAPU"/>
    <s v="WGP"/>
    <s v="REG"/>
    <s v="AO"/>
    <x v="0"/>
    <s v="1P INET"/>
    <s v="8 | OSS - PONR"/>
    <s v="RBS-Regional 3"/>
    <d v="2026-10-06T12:19:34"/>
    <d v="2026-10-07T11:17:4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ACT_COM"/>
    <s v="X"/>
    <s v="NO ADDON"/>
    <m/>
    <s v="PONR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m/>
    <m/>
    <m/>
    <e v="#NUM!"/>
    <e v="#NUM!"/>
    <x v="0"/>
  </r>
  <r>
    <n v="511"/>
    <n v="1002624398"/>
    <n v="3"/>
    <x v="5"/>
    <n v="5"/>
    <s v="JEMBER"/>
    <s v="BANYUWANGI"/>
    <s v="BCK"/>
    <s v="REG"/>
    <s v="AO"/>
    <x v="0"/>
    <s v="1P INET"/>
    <s v="7 | OSS - PROVISIONING ISSUED"/>
    <s v="RBS-Regional 3"/>
    <d v="2026-10-06T13:47:40"/>
    <d v="2026-10-07T11:34:25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I"/>
    <s v="GENTENG"/>
    <s v="NETMONK"/>
    <m/>
    <s v="Provisioning Issu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512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513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514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515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516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517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518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519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520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521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522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523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524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525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526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527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528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529"/>
    <n v="1002621429"/>
    <n v="3"/>
    <x v="0"/>
    <n v="5"/>
    <s v="KUPANG"/>
    <s v="ENDE"/>
    <s v="END"/>
    <s v="REG"/>
    <s v="AO"/>
    <x v="0"/>
    <s v="1P INET"/>
    <s v="8 | OSS - PONR"/>
    <s v="RBS-Regional 3"/>
    <d v="2026-10-04T14:26:35"/>
    <d v="2026-10-06T14:50:00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ACT_COM"/>
    <s v="ENDE"/>
    <s v="NO ADDON"/>
    <m/>
    <s v="PONR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m/>
    <m/>
    <m/>
    <e v="#NUM!"/>
    <e v="#NUM!"/>
    <x v="0"/>
  </r>
  <r>
    <n v="530"/>
    <n v="1002623904"/>
    <n v="3"/>
    <x v="0"/>
    <n v="5"/>
    <s v="KUPANG"/>
    <s v="MAUMERE"/>
    <s v="LRT"/>
    <s v="REG"/>
    <s v="AO"/>
    <x v="0"/>
    <s v="1P INET"/>
    <s v="SIBEL - CREATE ORDER FAIL"/>
    <s v="RBS-Regional 3"/>
    <d v="2026-10-06T10:52:40"/>
    <d v="2026-10-07T09:33:13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INPROGRESS_SC"/>
    <s v="X"/>
    <s v="NO ADDON"/>
    <m/>
    <s v="Error invoking service 'EAI Siebel Adapter', method 'Upsert' at step 'Upsert CA BA SA'.(SBL-BPR-00162) -- Cannot perform 'Up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m/>
    <m/>
    <m/>
    <e v="#NUM!"/>
    <e v="#NUM!"/>
    <x v="0"/>
  </r>
  <r>
    <n v="531"/>
    <n v="1002621495"/>
    <n v="3"/>
    <x v="0"/>
    <n v="5"/>
    <s v="KUPANG"/>
    <s v="MAUMERE"/>
    <s v="MMR"/>
    <s v="REG"/>
    <s v="AO"/>
    <x v="0"/>
    <s v="1P INET"/>
    <s v="7 | OSS - PROVISIONING ISSUED"/>
    <s v="RBS-Regional 3"/>
    <d v="2026-10-04T17:07:41"/>
    <d v="2026-10-05T15:11:08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I"/>
    <s v="X"/>
    <s v="NETMONK"/>
    <m/>
    <s v="Provisioning Issu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0"/>
  </r>
  <r>
    <n v="532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533"/>
    <n v="1002621270"/>
    <n v="3"/>
    <x v="0"/>
    <n v="5"/>
    <s v="KUPANG"/>
    <s v="MAUMERE"/>
    <s v="MMR"/>
    <s v="REG"/>
    <s v="AO"/>
    <x v="0"/>
    <s v="1P INET"/>
    <s v="8 | OSS - PONR"/>
    <s v="RBS-Regional 3"/>
    <d v="2026-10-04T09:43:35"/>
    <d v="2026-10-05T12:49:13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ACT_COM"/>
    <s v="X"/>
    <s v="NO ADDON"/>
    <m/>
    <s v="PONR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m/>
    <m/>
    <m/>
    <e v="#NUM!"/>
    <e v="#NUM!"/>
    <x v="0"/>
  </r>
  <r>
    <n v="534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535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536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537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538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539"/>
    <n v="1002623759"/>
    <n v="3"/>
    <x v="7"/>
    <n v="5"/>
    <s v="SINGARJA"/>
    <s v="SINGARAJA"/>
    <s v="SRR"/>
    <s v="REG"/>
    <s v="AO"/>
    <x v="0"/>
    <m/>
    <s v="QC MIA - INVALID QUALITY CONTROL MIA"/>
    <s v="RBS-Regional 3"/>
    <d v="2026-10-06T10:14:43"/>
    <d v="2026-10-06T15:14:43"/>
    <n v="69404795"/>
    <m/>
    <n v="172425708533"/>
    <s v="PT KENCANA MAJU BERSAMA"/>
    <s v="ODP-SRR-FC/58"/>
    <m/>
    <m/>
    <m/>
    <m/>
    <n v="114.97462768076601"/>
    <n v="-8.1865989834468404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m/>
    <m/>
    <m/>
    <d v="2026-06-10T10:24:53"/>
    <m/>
    <m/>
    <s v="QC1"/>
    <s v="X"/>
    <s v="NO ADDON"/>
    <m/>
    <s v="QC MIA - INVALID QUALITY CONTROL MIA - Tidak Melakukan Tanda Tangan Digital - mohon lakukan ttd sesuai ktp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40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541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542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543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544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545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546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547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8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9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0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1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2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3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4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5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556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557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558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559"/>
    <n v="1002622743"/>
    <n v="3"/>
    <x v="7"/>
    <n v="5"/>
    <s v="SINGARJA"/>
    <s v="TABANAN"/>
    <s v="TBN"/>
    <s v="REG"/>
    <s v="AO"/>
    <x v="0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0"/>
    <n v="1002623512"/>
    <n v="3"/>
    <x v="7"/>
    <n v="5"/>
    <s v="SINGARJA"/>
    <s v="TABANAN"/>
    <s v="TBN"/>
    <s v="REG"/>
    <s v="AO"/>
    <x v="0"/>
    <m/>
    <s v="WAITING AKTIFASI IHLD"/>
    <s v="RBS-Regional 3"/>
    <d v="2026-10-06T09:03:38"/>
    <d v="2026-10-06T14:51:03"/>
    <n v="69403325"/>
    <m/>
    <m/>
    <s v="Resort MAYA Balian"/>
    <m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WAITING:  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1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562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3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4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5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6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7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8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69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70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71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72"/>
    <n v="1002622206"/>
    <n v="3"/>
    <x v="7"/>
    <n v="5"/>
    <s v="DENPASAR"/>
    <s v="UBUNG"/>
    <s v="SMY"/>
    <s v="REG"/>
    <s v="AO"/>
    <x v="0"/>
    <s v="1P INET"/>
    <s v="7 | OSS - PROVISIONING ISSUED"/>
    <s v="RBS-Regional 3"/>
    <d v="2026-10-05T11:44:40"/>
    <d v="2026-10-06T08:18:46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m/>
    <s v="PI"/>
    <s v="SEMINYAK"/>
    <s v="NETMONK"/>
    <m/>
    <s v="Provisioning Issued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573"/>
    <n v="1002617925"/>
    <n v="3"/>
    <x v="7"/>
    <n v="5"/>
    <s v="DENPASAR"/>
    <s v="UBUNG"/>
    <s v="UBN"/>
    <s v="REG"/>
    <s v="AO"/>
    <x v="0"/>
    <m/>
    <s v="100 | REVOKE COMPLETED"/>
    <s v="RBS-Regional 3"/>
    <d v="2026-10-01T13:48:55"/>
    <d v="2026-10-06T10:31:15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Revoke 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574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575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576"/>
    <n v="1002623560"/>
    <n v="3"/>
    <x v="7"/>
    <n v="5"/>
    <s v="DENPASAR"/>
    <s v="SANUR"/>
    <s v="TOP"/>
    <s v="REG"/>
    <s v="AO"/>
    <x v="0"/>
    <m/>
    <s v="100 | REVOKE COMPLETED"/>
    <s v="RBS-Regional 3"/>
    <d v="2026-10-06T09:17:19"/>
    <d v="2026-10-07T13:48:32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577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578"/>
    <n v="1002622443"/>
    <n v="3"/>
    <x v="7"/>
    <n v="5"/>
    <s v="DENPASAR"/>
    <s v="JIMBARAN"/>
    <s v="JBR"/>
    <s v="REG"/>
    <s v="AO"/>
    <x v="0"/>
    <m/>
    <s v="8 | OSS - PONR"/>
    <s v="RBS-Regional 3"/>
    <d v="2026-10-05T13:31:35"/>
    <d v="2026-10-07T10:06:22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ACT_COM"/>
    <s v="JIMBARAN NUSA DUA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m/>
    <m/>
    <m/>
    <e v="#NUM!"/>
    <e v="#NUM!"/>
    <x v="0"/>
  </r>
  <r>
    <n v="579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580"/>
    <n v="1002619911"/>
    <n v="3"/>
    <x v="7"/>
    <n v="5"/>
    <s v="DENPASAR"/>
    <s v="JIMBARAN"/>
    <s v="KUT"/>
    <s v="REG"/>
    <s v="AO"/>
    <x v="0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581"/>
    <n v="1002621594"/>
    <n v="3"/>
    <x v="7"/>
    <n v="5"/>
    <s v="DENPASAR"/>
    <s v="JIMBARAN"/>
    <s v="KUT"/>
    <s v="REG"/>
    <s v="AO"/>
    <x v="0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582"/>
    <n v="1002619261"/>
    <n v="3"/>
    <x v="7"/>
    <n v="5"/>
    <s v="DENPASAR"/>
    <s v="JIMBARAN"/>
    <s v="KUT"/>
    <s v="REG"/>
    <s v="AO"/>
    <x v="0"/>
    <m/>
    <s v="CC - HD1A - INPROGRESS UNCONTACTED"/>
    <s v="RBS-Regional 3"/>
    <d v="2026-10-02T10:22:26"/>
    <d v="2026-10-02T14:19:09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FCC"/>
    <s v="KUTA"/>
    <s v="NETMONK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83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584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585"/>
    <n v="1002621736"/>
    <n v="3"/>
    <x v="7"/>
    <n v="5"/>
    <s v="SINGARJA"/>
    <s v="SINGARAJA"/>
    <s v="KNT"/>
    <s v="REG"/>
    <s v="AO"/>
    <x v="0"/>
    <m/>
    <s v="MIE - SEND SURVEY"/>
    <s v="RBS-Regional 3"/>
    <d v="2026-10-05T09:27:31"/>
    <d v="2026-10-05T11:34:06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m/>
    <m/>
    <m/>
    <e v="#NUM!"/>
    <e v="#NUM!"/>
    <x v="0"/>
  </r>
  <r>
    <n v="586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587"/>
    <n v="1002621378"/>
    <n v="3"/>
    <x v="7"/>
    <n v="5"/>
    <s v="SINGARJA"/>
    <s v="GIANYAR"/>
    <s v="GIN"/>
    <s v="REG"/>
    <s v="AO"/>
    <x v="0"/>
    <m/>
    <s v="7 | OSS - PROVISIONING ISSUED"/>
    <s v="RBS-Regional 3"/>
    <d v="2026-10-04T13:02:47"/>
    <d v="2026-10-07T11:19:23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588"/>
    <n v="1002621815"/>
    <n v="3"/>
    <x v="7"/>
    <n v="5"/>
    <s v="SINGARJA"/>
    <s v="GIANYAR"/>
    <s v="GIN"/>
    <s v="REG"/>
    <s v="AO"/>
    <x v="0"/>
    <m/>
    <s v="7 | OSS - PROVISIONING ISSUED"/>
    <s v="RBS-Regional 3"/>
    <d v="2026-10-05T09:50:34"/>
    <d v="2026-10-06T08:06:14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589"/>
    <n v="1002623430"/>
    <n v="3"/>
    <x v="7"/>
    <n v="5"/>
    <s v="SINGARJA"/>
    <s v="GIANYAR"/>
    <s v="GIN"/>
    <s v="REG"/>
    <s v="AO"/>
    <x v="0"/>
    <m/>
    <s v="7 | OSS - PROVISIONING ISSUED"/>
    <s v="RBS-Regional 3"/>
    <d v="2026-10-06T08:36:42"/>
    <d v="2026-10-07T09:28:14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m/>
    <m/>
    <m/>
    <e v="#NUM!"/>
    <e v="#NUM!"/>
    <x v="0"/>
  </r>
  <r>
    <n v="590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591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592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593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594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595"/>
    <n v="1002622955"/>
    <n v="3"/>
    <x v="7"/>
    <n v="5"/>
    <s v="SINGARJA"/>
    <s v="KLUNGKUNG"/>
    <s v="CDS"/>
    <s v="REG"/>
    <s v="AO"/>
    <x v="0"/>
    <m/>
    <s v="7 | OSS - PROVISIONING ISSUED"/>
    <s v="RBS-Regional 3"/>
    <d v="2026-10-05T15:47:38"/>
    <d v="2026-10-07T12:58:38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m/>
    <m/>
    <m/>
    <e v="#NUM!"/>
    <e v="#NUM!"/>
    <x v="0"/>
  </r>
  <r>
    <n v="596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6"/>
        <item m="1" x="43"/>
        <item m="1" x="94"/>
        <item m="1" x="52"/>
        <item m="1" x="56"/>
        <item m="1" x="45"/>
        <item x="3"/>
        <item x="33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8"/>
        <item x="2"/>
        <item x="34"/>
        <item m="1" x="95"/>
        <item x="17"/>
        <item m="1" x="51"/>
        <item x="24"/>
        <item x="26"/>
        <item m="1" x="38"/>
        <item x="15"/>
        <item x="31"/>
        <item x="19"/>
        <item x="8"/>
        <item x="23"/>
        <item m="1" x="40"/>
        <item x="20"/>
        <item x="35"/>
        <item m="1" x="58"/>
        <item x="10"/>
        <item x="21"/>
        <item x="29"/>
        <item m="1" x="53"/>
        <item m="1" x="54"/>
        <item x="32"/>
        <item m="1" x="50"/>
        <item x="6"/>
        <item x="27"/>
        <item m="1" x="41"/>
        <item x="30"/>
        <item x="22"/>
        <item x="11"/>
        <item x="28"/>
        <item m="1" x="55"/>
        <item m="1" x="39"/>
        <item m="1" x="37"/>
        <item x="16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78" t="s">
        <v>0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34"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</row>
    <row r="3" spans="2:34" ht="14.5" customHeight="1"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</row>
    <row r="4" spans="2:34"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</row>
    <row r="6" spans="2:34">
      <c r="B6" s="160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60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60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60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6" t="str">
        <f ca="1">"PROVISIONING INDIBIZ TR3 JBN HARIAN "&amp;TEXT(TODAY(),"YYYY-MM-DD ")&amp;TEXT(NOW(),"HH:MM")&amp;" WIB"</f>
        <v>PROVISIONING INDIBIZ TR3 JBN HARIAN 2026-10-08 11:28 WIB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44" t="s">
        <v>66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6" t="s">
        <v>1</v>
      </c>
      <c r="C23" s="167" t="s">
        <v>3</v>
      </c>
      <c r="D23" s="167" t="s">
        <v>67</v>
      </c>
      <c r="E23" s="174" t="s">
        <v>7</v>
      </c>
      <c r="F23" s="159" t="s">
        <v>8</v>
      </c>
      <c r="G23" s="159" t="s">
        <v>9</v>
      </c>
      <c r="H23" s="170" t="s">
        <v>10</v>
      </c>
      <c r="I23" s="171"/>
      <c r="J23" s="171"/>
      <c r="K23" s="172"/>
      <c r="L23" s="159" t="s">
        <v>68</v>
      </c>
      <c r="M23" s="173" t="s">
        <v>11</v>
      </c>
      <c r="N23" s="174" t="s">
        <v>12</v>
      </c>
      <c r="O23" s="174"/>
      <c r="P23" s="174" t="s">
        <v>13</v>
      </c>
      <c r="Q23" s="174" t="s">
        <v>14</v>
      </c>
    </row>
    <row r="24" spans="2:34" ht="15.65" customHeight="1">
      <c r="B24" s="166"/>
      <c r="C24" s="167"/>
      <c r="D24" s="167"/>
      <c r="E24" s="174"/>
      <c r="F24" s="159"/>
      <c r="G24" s="159"/>
      <c r="H24" s="159" t="s">
        <v>2</v>
      </c>
      <c r="I24" s="159" t="s">
        <v>18</v>
      </c>
      <c r="J24" s="159" t="s">
        <v>20</v>
      </c>
      <c r="K24" s="159" t="s">
        <v>22</v>
      </c>
      <c r="L24" s="159"/>
      <c r="M24" s="173"/>
      <c r="N24" s="174"/>
      <c r="O24" s="174"/>
      <c r="P24" s="174"/>
      <c r="Q24" s="174"/>
    </row>
    <row r="25" spans="2:34" ht="14.5" customHeight="1">
      <c r="B25" s="166"/>
      <c r="C25" s="167"/>
      <c r="D25" s="167"/>
      <c r="E25" s="174"/>
      <c r="F25" s="159"/>
      <c r="G25" s="159"/>
      <c r="H25" s="159"/>
      <c r="I25" s="159"/>
      <c r="J25" s="159"/>
      <c r="K25" s="159"/>
      <c r="L25" s="159"/>
      <c r="M25" s="173"/>
      <c r="N25" s="174"/>
      <c r="O25" s="174"/>
      <c r="P25" s="174"/>
      <c r="Q25" s="174"/>
    </row>
    <row r="26" spans="2:34" ht="29.15" customHeight="1">
      <c r="B26" s="166"/>
      <c r="C26" s="167"/>
      <c r="D26" s="167"/>
      <c r="E26" s="174"/>
      <c r="F26" s="159"/>
      <c r="G26" s="159"/>
      <c r="H26" s="159"/>
      <c r="I26" s="159"/>
      <c r="J26" s="159"/>
      <c r="K26" s="159"/>
      <c r="L26" s="159"/>
      <c r="M26" s="173"/>
      <c r="N26" s="43" t="s">
        <v>30</v>
      </c>
      <c r="O26" s="43" t="s">
        <v>69</v>
      </c>
      <c r="P26" s="174"/>
      <c r="Q26" s="174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75" t="s">
        <v>72</v>
      </c>
      <c r="D34" s="176"/>
    </row>
    <row r="35" spans="2:18" ht="15.5">
      <c r="B35" s="48"/>
      <c r="C35" s="177" t="s">
        <v>73</v>
      </c>
      <c r="D35" s="177"/>
    </row>
    <row r="36" spans="2:18">
      <c r="B36" s="49"/>
      <c r="C36" s="177" t="s">
        <v>74</v>
      </c>
      <c r="D36" s="177"/>
    </row>
    <row r="37" spans="2:18">
      <c r="B37" s="50"/>
      <c r="C37" s="177" t="s">
        <v>75</v>
      </c>
      <c r="D37" s="177"/>
    </row>
    <row r="38" spans="2:18">
      <c r="B38" s="51"/>
      <c r="C38" s="168" t="s">
        <v>76</v>
      </c>
      <c r="D38" s="169"/>
    </row>
    <row r="39" spans="2:18">
      <c r="C39" s="1"/>
      <c r="D39" s="1"/>
    </row>
    <row r="40" spans="2:18" ht="18.5">
      <c r="B40" s="106" t="str">
        <f ca="1">"PROVISIONING INDIBIZ TR3 JBN BY TELDA MTD "&amp;TEXT(TODAY(),"YYYY-MM-DD ")&amp;TEXT(NOW(),"HH:MM")&amp;" WIB"</f>
        <v>PROVISIONING INDIBIZ TR3 JBN BY TELDA MTD 2026-10-08 11:28 WIB</v>
      </c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</row>
    <row r="41" spans="2:18" ht="15.5">
      <c r="B41" s="144" t="s">
        <v>77</v>
      </c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</row>
    <row r="43" spans="2:18" ht="15.65" customHeight="1">
      <c r="B43" s="166" t="s">
        <v>1</v>
      </c>
      <c r="C43" s="166" t="s">
        <v>78</v>
      </c>
      <c r="D43" s="167" t="s">
        <v>3</v>
      </c>
      <c r="E43" s="167" t="s">
        <v>67</v>
      </c>
      <c r="F43" s="174" t="s">
        <v>7</v>
      </c>
      <c r="G43" s="159" t="s">
        <v>8</v>
      </c>
      <c r="H43" s="159" t="s">
        <v>9</v>
      </c>
      <c r="I43" s="170" t="s">
        <v>10</v>
      </c>
      <c r="J43" s="171"/>
      <c r="K43" s="171"/>
      <c r="L43" s="172"/>
      <c r="M43" s="159" t="s">
        <v>68</v>
      </c>
      <c r="N43" s="173" t="s">
        <v>11</v>
      </c>
      <c r="O43" s="174" t="s">
        <v>12</v>
      </c>
      <c r="P43" s="174"/>
      <c r="Q43" s="174" t="s">
        <v>13</v>
      </c>
      <c r="R43" s="174" t="s">
        <v>14</v>
      </c>
    </row>
    <row r="44" spans="2:18" ht="14.5" customHeight="1">
      <c r="B44" s="166"/>
      <c r="C44" s="166"/>
      <c r="D44" s="167"/>
      <c r="E44" s="167"/>
      <c r="F44" s="174"/>
      <c r="G44" s="159"/>
      <c r="H44" s="159"/>
      <c r="I44" s="159" t="s">
        <v>2</v>
      </c>
      <c r="J44" s="159" t="s">
        <v>18</v>
      </c>
      <c r="K44" s="159" t="s">
        <v>20</v>
      </c>
      <c r="L44" s="159" t="s">
        <v>22</v>
      </c>
      <c r="M44" s="159"/>
      <c r="N44" s="173"/>
      <c r="O44" s="174"/>
      <c r="P44" s="174"/>
      <c r="Q44" s="174"/>
      <c r="R44" s="174"/>
    </row>
    <row r="45" spans="2:18" ht="14.5" customHeight="1">
      <c r="B45" s="166"/>
      <c r="C45" s="166"/>
      <c r="D45" s="167"/>
      <c r="E45" s="167"/>
      <c r="F45" s="174"/>
      <c r="G45" s="159"/>
      <c r="H45" s="159"/>
      <c r="I45" s="159"/>
      <c r="J45" s="159"/>
      <c r="K45" s="159"/>
      <c r="L45" s="159"/>
      <c r="M45" s="159"/>
      <c r="N45" s="173"/>
      <c r="O45" s="174"/>
      <c r="P45" s="174"/>
      <c r="Q45" s="174"/>
      <c r="R45" s="174"/>
    </row>
    <row r="46" spans="2:18" ht="46.5">
      <c r="B46" s="166"/>
      <c r="C46" s="166"/>
      <c r="D46" s="167"/>
      <c r="E46" s="167"/>
      <c r="F46" s="174"/>
      <c r="G46" s="159"/>
      <c r="H46" s="159"/>
      <c r="I46" s="159"/>
      <c r="J46" s="159"/>
      <c r="K46" s="159"/>
      <c r="L46" s="159"/>
      <c r="M46" s="159"/>
      <c r="N46" s="173"/>
      <c r="O46" s="43" t="s">
        <v>30</v>
      </c>
      <c r="P46" s="43" t="s">
        <v>69</v>
      </c>
      <c r="Q46" s="174"/>
      <c r="R46" s="174"/>
    </row>
    <row r="47" spans="2:18">
      <c r="B47" s="163" t="s">
        <v>34</v>
      </c>
      <c r="C47" s="52" t="s">
        <v>79</v>
      </c>
      <c r="D47" s="53">
        <f>'LOOKUP  telda'!E7</f>
        <v>10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1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3</v>
      </c>
      <c r="L47" s="53">
        <f>'LOOKUP  telda'!Y7</f>
        <v>0</v>
      </c>
      <c r="M47" s="53">
        <f>SUM('DATA MTD'!I47:L47)</f>
        <v>3</v>
      </c>
      <c r="N47" s="53">
        <f>'LOOKUP  telda'!Z7</f>
        <v>5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1</v>
      </c>
    </row>
    <row r="48" spans="2:18">
      <c r="B48" s="164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64"/>
      <c r="C49" s="52" t="s">
        <v>81</v>
      </c>
      <c r="D49" s="53">
        <f>'LOOKUP  telda'!E9</f>
        <v>11</v>
      </c>
      <c r="E49" s="53">
        <f>'LOOKUP  telda'!F9+'LOOKUP  telda'!G9+'LOOKUP  telda'!H9</f>
        <v>1</v>
      </c>
      <c r="F49" s="53">
        <f>'LOOKUP  telda'!I9</f>
        <v>1</v>
      </c>
      <c r="G49" s="53">
        <f>'LOOKUP  telda'!J9</f>
        <v>4</v>
      </c>
      <c r="H49" s="53">
        <f>'LOOKUP  telda'!K9</f>
        <v>0</v>
      </c>
      <c r="I49" s="53">
        <f>'LOOKUP  telda'!L9</f>
        <v>0</v>
      </c>
      <c r="J49" s="53">
        <f>'LOOKUP  telda'!P9</f>
        <v>3</v>
      </c>
      <c r="K49" s="53">
        <f>'LOOKUP  telda'!X9</f>
        <v>0</v>
      </c>
      <c r="L49" s="53">
        <f>'LOOKUP  telda'!Y9</f>
        <v>0</v>
      </c>
      <c r="M49" s="53">
        <f>SUM('DATA MTD'!I49:L49)</f>
        <v>3</v>
      </c>
      <c r="N49" s="53">
        <f>'LOOKUP  telda'!Z9</f>
        <v>2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64"/>
      <c r="C50" s="52" t="s">
        <v>82</v>
      </c>
      <c r="D50" s="53">
        <f>'LOOKUP  telda'!E10</f>
        <v>3</v>
      </c>
      <c r="E50" s="53">
        <f>'LOOKUP  telda'!F10+'LOOKUP  telda'!G10+'LOOKUP  telda'!H10</f>
        <v>0</v>
      </c>
      <c r="F50" s="53">
        <f>'LOOKUP  telda'!I10</f>
        <v>1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2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64"/>
      <c r="C51" s="52" t="s">
        <v>83</v>
      </c>
      <c r="D51" s="53">
        <f>'LOOKUP  telda'!E11</f>
        <v>6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4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1</v>
      </c>
    </row>
    <row r="52" spans="2:18">
      <c r="B52" s="164"/>
      <c r="C52" s="52" t="s">
        <v>84</v>
      </c>
      <c r="D52" s="53">
        <f>'LOOKUP  telda'!E12</f>
        <v>5</v>
      </c>
      <c r="E52" s="53">
        <f>'LOOKUP  telda'!F12+'LOOKUP  telda'!G12+'LOOKUP  telda'!H12</f>
        <v>2</v>
      </c>
      <c r="F52" s="53">
        <f>'LOOKUP  telda'!I12</f>
        <v>0</v>
      </c>
      <c r="G52" s="53">
        <f>'LOOKUP  telda'!J12</f>
        <v>1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2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64"/>
      <c r="C53" s="52" t="s">
        <v>85</v>
      </c>
      <c r="D53" s="53">
        <f>'LOOKUP  telda'!E13</f>
        <v>37</v>
      </c>
      <c r="E53" s="53">
        <f>'LOOKUP  telda'!F13+'LOOKUP  telda'!G13+'LOOKUP  telda'!H13</f>
        <v>0</v>
      </c>
      <c r="F53" s="53">
        <f>'LOOKUP  telda'!I13</f>
        <v>1</v>
      </c>
      <c r="G53" s="53">
        <f>'LOOKUP  telda'!J13</f>
        <v>4</v>
      </c>
      <c r="H53" s="53">
        <f>'LOOKUP  telda'!K13</f>
        <v>11</v>
      </c>
      <c r="I53" s="53">
        <f>'LOOKUP  telda'!L13</f>
        <v>0</v>
      </c>
      <c r="J53" s="53">
        <f>'LOOKUP  telda'!P13</f>
        <v>0</v>
      </c>
      <c r="K53" s="53">
        <f>'LOOKUP  telda'!X13</f>
        <v>2</v>
      </c>
      <c r="L53" s="53">
        <f>'LOOKUP  telda'!Y13</f>
        <v>0</v>
      </c>
      <c r="M53" s="53">
        <f>SUM('DATA MTD'!I53:L53)</f>
        <v>2</v>
      </c>
      <c r="N53" s="53">
        <f>'LOOKUP  telda'!Z13</f>
        <v>7</v>
      </c>
      <c r="O53" s="53">
        <f>'LOOKUP  telda'!AA13</f>
        <v>0</v>
      </c>
      <c r="P53" s="53">
        <f>'LOOKUP  telda'!AE13-'LOOKUP  telda'!AA13</f>
        <v>11</v>
      </c>
      <c r="Q53" s="53">
        <f t="shared" si="4"/>
        <v>11</v>
      </c>
      <c r="R53" s="53">
        <f>'LOOKUP  telda'!AF13</f>
        <v>1</v>
      </c>
    </row>
    <row r="54" spans="2:18">
      <c r="B54" s="165"/>
      <c r="C54" s="52" t="s">
        <v>86</v>
      </c>
      <c r="D54" s="53">
        <f>'LOOKUP  telda'!E14</f>
        <v>8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2</v>
      </c>
      <c r="H54" s="53">
        <f>'LOOKUP  telda'!K14</f>
        <v>0</v>
      </c>
      <c r="I54" s="53">
        <f>'LOOKUP  telda'!L14</f>
        <v>0</v>
      </c>
      <c r="J54" s="53">
        <f>'LOOKUP  telda'!P14</f>
        <v>2</v>
      </c>
      <c r="K54" s="53">
        <f>'LOOKUP  telda'!X14</f>
        <v>0</v>
      </c>
      <c r="L54" s="53">
        <f>'LOOKUP  telda'!Y14</f>
        <v>0</v>
      </c>
      <c r="M54" s="53">
        <f>SUM('DATA MTD'!I54:L54)</f>
        <v>2</v>
      </c>
      <c r="N54" s="53">
        <f>'LOOKUP  telda'!Z14</f>
        <v>2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1</v>
      </c>
    </row>
    <row r="55" spans="2:18">
      <c r="B55" s="16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64"/>
      <c r="C56" s="52" t="s">
        <v>88</v>
      </c>
      <c r="D56" s="53">
        <f>'LOOKUP  telda'!E15</f>
        <v>16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2</v>
      </c>
      <c r="H56" s="53">
        <f>'LOOKUP  telda'!K15</f>
        <v>0</v>
      </c>
      <c r="I56" s="53">
        <f>'LOOKUP  telda'!L15</f>
        <v>0</v>
      </c>
      <c r="J56" s="53">
        <f>'LOOKUP  telda'!P15</f>
        <v>1</v>
      </c>
      <c r="K56" s="53">
        <f>'LOOKUP  telda'!X15</f>
        <v>0</v>
      </c>
      <c r="L56" s="53">
        <f>'LOOKUP  telda'!Y15</f>
        <v>0</v>
      </c>
      <c r="M56" s="53">
        <f>SUM('DATA MTD'!I56:L56)</f>
        <v>1</v>
      </c>
      <c r="N56" s="53">
        <f>'LOOKUP  telda'!Z15</f>
        <v>9</v>
      </c>
      <c r="O56" s="53">
        <f>'LOOKUP  telda'!AA15</f>
        <v>0</v>
      </c>
      <c r="P56" s="53">
        <f>'LOOKUP  telda'!AE15-'LOOKUP  telda'!AA15</f>
        <v>1</v>
      </c>
      <c r="Q56" s="53">
        <f t="shared" si="4"/>
        <v>1</v>
      </c>
      <c r="R56" s="53">
        <f>'LOOKUP  telda'!AF15</f>
        <v>1</v>
      </c>
    </row>
    <row r="57" spans="2:18">
      <c r="B57" s="164"/>
      <c r="C57" s="52" t="s">
        <v>89</v>
      </c>
      <c r="D57" s="53">
        <f>'LOOKUP  telda'!E16</f>
        <v>6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6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64"/>
      <c r="C58" s="52" t="s">
        <v>90</v>
      </c>
      <c r="D58" s="53">
        <f>'LOOKUP  telda'!E17</f>
        <v>10</v>
      </c>
      <c r="E58" s="53">
        <f>'LOOKUP  telda'!F17+'LOOKUP  telda'!G17+'LOOKUP  telda'!H17</f>
        <v>0</v>
      </c>
      <c r="F58" s="53">
        <f>'LOOKUP  telda'!I17</f>
        <v>0</v>
      </c>
      <c r="G58" s="53">
        <f>'LOOKUP  telda'!J17</f>
        <v>2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6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2</v>
      </c>
    </row>
    <row r="59" spans="2:18">
      <c r="B59" s="164"/>
      <c r="C59" s="52" t="s">
        <v>91</v>
      </c>
      <c r="D59" s="53">
        <f>'LOOKUP  telda'!E18</f>
        <v>19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3</v>
      </c>
      <c r="H59" s="53">
        <f>'LOOKUP  telda'!K18</f>
        <v>0</v>
      </c>
      <c r="I59" s="53">
        <f>'LOOKUP  telda'!L18</f>
        <v>0</v>
      </c>
      <c r="J59" s="53">
        <f>'LOOKUP  telda'!P18</f>
        <v>2</v>
      </c>
      <c r="K59" s="53">
        <f>'LOOKUP  telda'!X18</f>
        <v>0</v>
      </c>
      <c r="L59" s="53">
        <f>'LOOKUP  telda'!Y18</f>
        <v>0</v>
      </c>
      <c r="M59" s="53">
        <f>SUM('DATA MTD'!I59:L59)</f>
        <v>2</v>
      </c>
      <c r="N59" s="53">
        <f>'LOOKUP  telda'!Z18</f>
        <v>14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0</v>
      </c>
    </row>
    <row r="60" spans="2:18">
      <c r="B60" s="164"/>
      <c r="C60" s="52" t="s">
        <v>92</v>
      </c>
      <c r="D60" s="53">
        <f>'LOOKUP  telda'!E19</f>
        <v>20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4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14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2</v>
      </c>
    </row>
    <row r="61" spans="2:18">
      <c r="B61" s="164"/>
      <c r="C61" s="52" t="s">
        <v>93</v>
      </c>
      <c r="D61" s="53">
        <f>'LOOKUP  telda'!E20</f>
        <v>3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1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2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64"/>
      <c r="C62" s="52" t="s">
        <v>94</v>
      </c>
      <c r="D62" s="53">
        <f>'LOOKUP  telda'!E21</f>
        <v>12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0</v>
      </c>
      <c r="H62" s="53">
        <f>'LOOKUP  telda'!K21</f>
        <v>3</v>
      </c>
      <c r="I62" s="53">
        <f>'LOOKUP  telda'!L21</f>
        <v>0</v>
      </c>
      <c r="J62" s="53">
        <f>'LOOKUP  telda'!P21</f>
        <v>0</v>
      </c>
      <c r="K62" s="53">
        <f>'LOOKUP  telda'!X21</f>
        <v>1</v>
      </c>
      <c r="L62" s="53">
        <f>'LOOKUP  telda'!Y21</f>
        <v>0</v>
      </c>
      <c r="M62" s="53">
        <f>SUM('DATA MTD'!I62:L62)</f>
        <v>1</v>
      </c>
      <c r="N62" s="53">
        <f>'LOOKUP  telda'!Z21</f>
        <v>7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0</v>
      </c>
    </row>
    <row r="63" spans="2:18">
      <c r="B63" s="164"/>
      <c r="C63" s="52" t="s">
        <v>95</v>
      </c>
      <c r="D63" s="53">
        <f>'LOOKUP  telda'!E22</f>
        <v>3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3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64"/>
      <c r="C64" s="52" t="s">
        <v>96</v>
      </c>
      <c r="D64" s="53">
        <f>'LOOKUP  telda'!E23</f>
        <v>13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3</v>
      </c>
      <c r="K64" s="53">
        <f>'LOOKUP  telda'!X23</f>
        <v>0</v>
      </c>
      <c r="L64" s="53">
        <f>'LOOKUP  telda'!Y23</f>
        <v>0</v>
      </c>
      <c r="M64" s="53">
        <f>SUM('DATA MTD'!I64:L64)</f>
        <v>3</v>
      </c>
      <c r="N64" s="53">
        <f>'LOOKUP  telda'!Z23</f>
        <v>8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0</v>
      </c>
    </row>
    <row r="65" spans="2:18">
      <c r="B65" s="164"/>
      <c r="C65" s="52" t="s">
        <v>97</v>
      </c>
      <c r="D65" s="53">
        <f>'LOOKUP  telda'!E24</f>
        <v>5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2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3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0</v>
      </c>
    </row>
    <row r="66" spans="2:18">
      <c r="B66" s="165"/>
      <c r="C66" s="52" t="s">
        <v>98</v>
      </c>
      <c r="D66" s="53">
        <f>'LOOKUP  telda'!E25</f>
        <v>14</v>
      </c>
      <c r="E66" s="53">
        <f>'LOOKUP  telda'!F25+'LOOKUP  telda'!G25+'LOOKUP  telda'!H25</f>
        <v>3</v>
      </c>
      <c r="F66" s="53">
        <f>'LOOKUP  telda'!I25</f>
        <v>0</v>
      </c>
      <c r="G66" s="53">
        <f>'LOOKUP  telda'!J25</f>
        <v>0</v>
      </c>
      <c r="H66" s="53">
        <f>'LOOKUP  telda'!K25</f>
        <v>2</v>
      </c>
      <c r="I66" s="53">
        <f>'LOOKUP  telda'!L25</f>
        <v>0</v>
      </c>
      <c r="J66" s="53">
        <f>'LOOKUP  telda'!P25</f>
        <v>1</v>
      </c>
      <c r="K66" s="53">
        <f>'LOOKUP  telda'!X25</f>
        <v>1</v>
      </c>
      <c r="L66" s="53">
        <f>'LOOKUP  telda'!Y25</f>
        <v>1</v>
      </c>
      <c r="M66" s="53">
        <f>SUM('DATA MTD'!I66:L66)</f>
        <v>3</v>
      </c>
      <c r="N66" s="53">
        <f>'LOOKUP  telda'!Z25</f>
        <v>4</v>
      </c>
      <c r="O66" s="53">
        <f>'LOOKUP  telda'!AA25</f>
        <v>0</v>
      </c>
      <c r="P66" s="53">
        <f>'LOOKUP  telda'!AE25-'LOOKUP  telda'!AA25</f>
        <v>1</v>
      </c>
      <c r="Q66" s="53">
        <f t="shared" si="4"/>
        <v>1</v>
      </c>
      <c r="R66" s="53">
        <f>'LOOKUP  telda'!AF25</f>
        <v>1</v>
      </c>
    </row>
    <row r="67" spans="2:18">
      <c r="B67" s="163" t="s">
        <v>42</v>
      </c>
      <c r="C67" s="52" t="s">
        <v>99</v>
      </c>
      <c r="D67" s="53">
        <f>'LOOKUP  telda'!E26</f>
        <v>10</v>
      </c>
      <c r="E67" s="53">
        <f>'LOOKUP  telda'!F26+'LOOKUP  telda'!G26+'LOOKUP  telda'!H26</f>
        <v>1</v>
      </c>
      <c r="F67" s="53">
        <f>'LOOKUP  telda'!I26</f>
        <v>1</v>
      </c>
      <c r="G67" s="53">
        <f>'LOOKUP  telda'!J26</f>
        <v>3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4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64"/>
      <c r="C68" s="52" t="s">
        <v>100</v>
      </c>
      <c r="D68" s="53">
        <f>'LOOKUP  telda'!E27</f>
        <v>6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1</v>
      </c>
      <c r="L68" s="53">
        <f>'LOOKUP  telda'!Y27</f>
        <v>0</v>
      </c>
      <c r="M68" s="53">
        <f>SUM('DATA MTD'!I68:L68)</f>
        <v>1</v>
      </c>
      <c r="N68" s="53">
        <f>'LOOKUP  telda'!Z27</f>
        <v>5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64"/>
      <c r="C69" s="52" t="s">
        <v>101</v>
      </c>
      <c r="D69" s="53">
        <f>'LOOKUP  telda'!E28</f>
        <v>4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1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3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64"/>
      <c r="C70" s="52" t="s">
        <v>102</v>
      </c>
      <c r="D70" s="53">
        <f>'LOOKUP  telda'!E29</f>
        <v>17</v>
      </c>
      <c r="E70" s="53">
        <f>'LOOKUP  telda'!F29+'LOOKUP  telda'!G29+'LOOKUP  telda'!H29</f>
        <v>2</v>
      </c>
      <c r="F70" s="53">
        <f>'LOOKUP  telda'!I29</f>
        <v>0</v>
      </c>
      <c r="G70" s="53">
        <f>'LOOKUP  telda'!J29</f>
        <v>1</v>
      </c>
      <c r="H70" s="53">
        <f>'LOOKUP  telda'!K29</f>
        <v>1</v>
      </c>
      <c r="I70" s="53">
        <f>'LOOKUP  telda'!L29</f>
        <v>0</v>
      </c>
      <c r="J70" s="53">
        <f>'LOOKUP  telda'!P29</f>
        <v>0</v>
      </c>
      <c r="K70" s="53">
        <f>'LOOKUP  telda'!X29</f>
        <v>0</v>
      </c>
      <c r="L70" s="53">
        <f>'LOOKUP  telda'!Y29</f>
        <v>0</v>
      </c>
      <c r="M70" s="53">
        <f>SUM('DATA MTD'!I70:L70)</f>
        <v>0</v>
      </c>
      <c r="N70" s="53">
        <f>'LOOKUP  telda'!Z29</f>
        <v>10</v>
      </c>
      <c r="O70" s="53">
        <f>'LOOKUP  telda'!AA29</f>
        <v>0</v>
      </c>
      <c r="P70" s="53">
        <f>'LOOKUP  telda'!AE29-'LOOKUP  telda'!AA29</f>
        <v>1</v>
      </c>
      <c r="Q70" s="53">
        <f t="shared" si="4"/>
        <v>1</v>
      </c>
      <c r="R70" s="53">
        <f>'LOOKUP  telda'!AF29</f>
        <v>2</v>
      </c>
    </row>
    <row r="71" spans="2:18">
      <c r="B71" s="164"/>
      <c r="C71" s="52" t="s">
        <v>103</v>
      </c>
      <c r="D71" s="53">
        <f>'LOOKUP  telda'!E30</f>
        <v>4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1</v>
      </c>
      <c r="K71" s="53">
        <f>'LOOKUP  telda'!X30</f>
        <v>0</v>
      </c>
      <c r="L71" s="53">
        <f>'LOOKUP  telda'!Y30</f>
        <v>0</v>
      </c>
      <c r="M71" s="53">
        <f>SUM('DATA MTD'!I71:L71)</f>
        <v>1</v>
      </c>
      <c r="N71" s="53">
        <f>'LOOKUP  telda'!Z30</f>
        <v>3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0</v>
      </c>
    </row>
    <row r="72" spans="2:18">
      <c r="B72" s="164"/>
      <c r="C72" s="52" t="s">
        <v>104</v>
      </c>
      <c r="D72" s="53">
        <f>'LOOKUP  telda'!E31</f>
        <v>10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1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7</v>
      </c>
      <c r="O72" s="53">
        <f>'LOOKUP  telda'!AA31</f>
        <v>0</v>
      </c>
      <c r="P72" s="53">
        <f>'LOOKUP  telda'!AE31-'LOOKUP  telda'!AA31</f>
        <v>0</v>
      </c>
      <c r="Q72" s="53">
        <f t="shared" si="4"/>
        <v>0</v>
      </c>
      <c r="R72" s="53">
        <f>'LOOKUP  telda'!AF31</f>
        <v>2</v>
      </c>
    </row>
    <row r="73" spans="2:18">
      <c r="B73" s="164"/>
      <c r="C73" s="52" t="s">
        <v>105</v>
      </c>
      <c r="D73" s="53">
        <f>'LOOKUP  telda'!E32</f>
        <v>3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1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0</v>
      </c>
      <c r="L73" s="53">
        <f>'LOOKUP  telda'!Y32</f>
        <v>0</v>
      </c>
      <c r="M73" s="53">
        <f>SUM('DATA MTD'!I73:L73)</f>
        <v>0</v>
      </c>
      <c r="N73" s="53">
        <f>'LOOKUP  telda'!Z32</f>
        <v>2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64"/>
      <c r="C74" s="52" t="s">
        <v>106</v>
      </c>
      <c r="D74" s="53">
        <f>'LOOKUP  telda'!E33</f>
        <v>13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2</v>
      </c>
      <c r="H74" s="53">
        <f>'LOOKUP  telda'!K33</f>
        <v>0</v>
      </c>
      <c r="I74" s="53">
        <f>'LOOKUP  telda'!L33</f>
        <v>0</v>
      </c>
      <c r="J74" s="53">
        <f>'LOOKUP  telda'!P33</f>
        <v>2</v>
      </c>
      <c r="K74" s="53">
        <f>'LOOKUP  telda'!X33</f>
        <v>0</v>
      </c>
      <c r="L74" s="53">
        <f>'LOOKUP  telda'!Y33</f>
        <v>0</v>
      </c>
      <c r="M74" s="53">
        <f>SUM('DATA MTD'!I74:L74)</f>
        <v>2</v>
      </c>
      <c r="N74" s="53">
        <f>'LOOKUP  telda'!Z33</f>
        <v>8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0</v>
      </c>
    </row>
    <row r="75" spans="2:18">
      <c r="B75" s="164"/>
      <c r="C75" s="52" t="s">
        <v>107</v>
      </c>
      <c r="D75" s="53">
        <f>'LOOKUP  telda'!E34</f>
        <v>11</v>
      </c>
      <c r="E75" s="53">
        <f>'LOOKUP  telda'!F34+'LOOKUP  telda'!G34+'LOOKUP  telda'!H34</f>
        <v>2</v>
      </c>
      <c r="F75" s="53">
        <f>'LOOKUP  telda'!I34</f>
        <v>0</v>
      </c>
      <c r="G75" s="53">
        <f>'LOOKUP  telda'!J34</f>
        <v>2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0</v>
      </c>
      <c r="M75" s="53">
        <f>SUM('DATA MTD'!I75:L75)</f>
        <v>0</v>
      </c>
      <c r="N75" s="53">
        <f>'LOOKUP  telda'!Z34</f>
        <v>5</v>
      </c>
      <c r="O75" s="53">
        <f>'LOOKUP  telda'!AA34</f>
        <v>0</v>
      </c>
      <c r="P75" s="53">
        <f>'LOOKUP  telda'!AE34-'LOOKUP  telda'!AA34</f>
        <v>2</v>
      </c>
      <c r="Q75" s="53">
        <f t="shared" si="4"/>
        <v>2</v>
      </c>
      <c r="R75" s="53">
        <f>'LOOKUP  telda'!AF34</f>
        <v>0</v>
      </c>
    </row>
    <row r="76" spans="2:18">
      <c r="B76" s="165"/>
      <c r="C76" s="52" t="s">
        <v>108</v>
      </c>
      <c r="D76" s="53">
        <f>'LOOKUP  telda'!E35</f>
        <v>3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0</v>
      </c>
      <c r="N76" s="53">
        <f>'LOOKUP  telda'!Z35</f>
        <v>2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63" t="s">
        <v>70</v>
      </c>
      <c r="C77" s="52" t="s">
        <v>109</v>
      </c>
      <c r="D77" s="53">
        <f>'LOOKUP  telda'!E36</f>
        <v>1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1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64"/>
      <c r="C78" s="52" t="s">
        <v>110</v>
      </c>
      <c r="D78" s="53">
        <f>'LOOKUP  telda'!E37</f>
        <v>1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0</v>
      </c>
      <c r="M78" s="53">
        <f>SUM('DATA MTD'!I78:L78)</f>
        <v>0</v>
      </c>
      <c r="N78" s="53">
        <f>'LOOKUP  telda'!Z37</f>
        <v>1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64"/>
      <c r="C79" s="52" t="s">
        <v>111</v>
      </c>
      <c r="D79" s="53">
        <f>'LOOKUP  telda'!E38</f>
        <v>8</v>
      </c>
      <c r="E79" s="53">
        <f>'LOOKUP  telda'!F38+'LOOKUP  telda'!G38+'LOOKUP  telda'!H38</f>
        <v>1</v>
      </c>
      <c r="F79" s="53">
        <f>'LOOKUP  telda'!I38</f>
        <v>0</v>
      </c>
      <c r="G79" s="53">
        <f>'LOOKUP  telda'!J38</f>
        <v>2</v>
      </c>
      <c r="H79" s="53">
        <f>'LOOKUP  telda'!K38</f>
        <v>0</v>
      </c>
      <c r="I79" s="53">
        <f>'LOOKUP  telda'!L38</f>
        <v>0</v>
      </c>
      <c r="J79" s="53">
        <f>'LOOKUP  telda'!P38</f>
        <v>0</v>
      </c>
      <c r="K79" s="53">
        <f>'LOOKUP  telda'!X38</f>
        <v>1</v>
      </c>
      <c r="L79" s="53">
        <f>'LOOKUP  telda'!Y38</f>
        <v>0</v>
      </c>
      <c r="M79" s="53">
        <f>SUM('DATA MTD'!I79:L79)</f>
        <v>1</v>
      </c>
      <c r="N79" s="53">
        <f>'LOOKUP  telda'!Z38</f>
        <v>3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1</v>
      </c>
    </row>
    <row r="80" spans="2:18" ht="29">
      <c r="B80" s="164"/>
      <c r="C80" s="52" t="s">
        <v>112</v>
      </c>
      <c r="D80" s="53">
        <f>'LOOKUP  telda'!E39</f>
        <v>7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2</v>
      </c>
      <c r="H80" s="53">
        <f>'LOOKUP  telda'!K39</f>
        <v>0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1</v>
      </c>
      <c r="M80" s="53">
        <f>SUM('DATA MTD'!I80:L80)</f>
        <v>1</v>
      </c>
      <c r="N80" s="53">
        <f>'LOOKUP  telda'!Z39</f>
        <v>4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64"/>
      <c r="C81" s="52" t="s">
        <v>113</v>
      </c>
      <c r="D81" s="53">
        <f>'LOOKUP  telda'!E40</f>
        <v>17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3</v>
      </c>
      <c r="H81" s="53">
        <f>'LOOKUP  telda'!K40</f>
        <v>0</v>
      </c>
      <c r="I81" s="53">
        <f>'LOOKUP  telda'!L40</f>
        <v>0</v>
      </c>
      <c r="J81" s="53">
        <f>'LOOKUP  telda'!P40</f>
        <v>4</v>
      </c>
      <c r="K81" s="53">
        <f>'LOOKUP  telda'!X40</f>
        <v>2</v>
      </c>
      <c r="L81" s="53">
        <f>'LOOKUP  telda'!Y40</f>
        <v>0</v>
      </c>
      <c r="M81" s="53">
        <f>SUM('DATA MTD'!I81:L81)</f>
        <v>6</v>
      </c>
      <c r="N81" s="53">
        <f>'LOOKUP  telda'!Z40</f>
        <v>7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1</v>
      </c>
    </row>
    <row r="82" spans="2:18">
      <c r="B82" s="164"/>
      <c r="C82" s="52" t="s">
        <v>114</v>
      </c>
      <c r="D82" s="53">
        <f>'LOOKUP  telda'!E41</f>
        <v>11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0</v>
      </c>
      <c r="H82" s="53">
        <f>'LOOKUP  telda'!K41</f>
        <v>1</v>
      </c>
      <c r="I82" s="53">
        <f>'LOOKUP  telda'!L41</f>
        <v>0</v>
      </c>
      <c r="J82" s="53">
        <f>'LOOKUP  telda'!P41</f>
        <v>5</v>
      </c>
      <c r="K82" s="53">
        <f>'LOOKUP  telda'!X41</f>
        <v>0</v>
      </c>
      <c r="L82" s="53">
        <f>'LOOKUP  telda'!Y41</f>
        <v>0</v>
      </c>
      <c r="M82" s="53">
        <f>SUM('DATA MTD'!I82:L82)</f>
        <v>5</v>
      </c>
      <c r="N82" s="53">
        <f>'LOOKUP  telda'!Z41</f>
        <v>5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64"/>
      <c r="C83" s="52" t="s">
        <v>115</v>
      </c>
      <c r="D83" s="53">
        <f>'LOOKUP  telda'!E42</f>
        <v>5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0</v>
      </c>
      <c r="K83" s="53">
        <f>'LOOKUP  telda'!X42</f>
        <v>0</v>
      </c>
      <c r="L83" s="53">
        <f>'LOOKUP  telda'!Y42</f>
        <v>0</v>
      </c>
      <c r="M83" s="53">
        <f>SUM('DATA MTD'!I83:L83)</f>
        <v>0</v>
      </c>
      <c r="N83" s="53">
        <f>'LOOKUP  telda'!Z42</f>
        <v>3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64"/>
      <c r="C84" s="52" t="s">
        <v>116</v>
      </c>
      <c r="D84" s="53">
        <f>'LOOKUP  telda'!E43</f>
        <v>20</v>
      </c>
      <c r="E84" s="53">
        <f>'LOOKUP  telda'!F43+'LOOKUP  telda'!G43+'LOOKUP  telda'!H43</f>
        <v>2</v>
      </c>
      <c r="F84" s="53">
        <f>'LOOKUP  telda'!I43</f>
        <v>0</v>
      </c>
      <c r="G84" s="53">
        <f>'LOOKUP  telda'!J43</f>
        <v>3</v>
      </c>
      <c r="H84" s="53">
        <f>'LOOKUP  telda'!K43</f>
        <v>1</v>
      </c>
      <c r="I84" s="53">
        <f>'LOOKUP  telda'!L43</f>
        <v>0</v>
      </c>
      <c r="J84" s="53">
        <f>'LOOKUP  telda'!P43</f>
        <v>1</v>
      </c>
      <c r="K84" s="53">
        <f>'LOOKUP  telda'!X43</f>
        <v>1</v>
      </c>
      <c r="L84" s="53">
        <f>'LOOKUP  telda'!Y43</f>
        <v>0</v>
      </c>
      <c r="M84" s="53">
        <f>SUM('DATA MTD'!I84:L84)</f>
        <v>2</v>
      </c>
      <c r="N84" s="53">
        <f>'LOOKUP  telda'!Z43</f>
        <v>10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2</v>
      </c>
    </row>
    <row r="85" spans="2:18">
      <c r="B85" s="164"/>
      <c r="C85" s="52" t="s">
        <v>117</v>
      </c>
      <c r="D85" s="53">
        <f>'LOOKUP  telda'!E44</f>
        <v>12</v>
      </c>
      <c r="E85" s="53">
        <f>'LOOKUP  telda'!F44+'LOOKUP  telda'!G44+'LOOKUP  telda'!H44</f>
        <v>2</v>
      </c>
      <c r="F85" s="53">
        <f>'LOOKUP  telda'!I44</f>
        <v>0</v>
      </c>
      <c r="G85" s="53">
        <f>'LOOKUP  telda'!J44</f>
        <v>2</v>
      </c>
      <c r="H85" s="53">
        <f>'LOOKUP  telda'!K44</f>
        <v>0</v>
      </c>
      <c r="I85" s="53">
        <f>'LOOKUP  telda'!L44</f>
        <v>0</v>
      </c>
      <c r="J85" s="53">
        <f>'LOOKUP  telda'!P44</f>
        <v>0</v>
      </c>
      <c r="K85" s="53">
        <f>'LOOKUP  telda'!X44</f>
        <v>0</v>
      </c>
      <c r="L85" s="53">
        <f>'LOOKUP  telda'!Y44</f>
        <v>0</v>
      </c>
      <c r="M85" s="53">
        <f>SUM('DATA MTD'!I85:L85)</f>
        <v>0</v>
      </c>
      <c r="N85" s="53">
        <f>'LOOKUP  telda'!Z44</f>
        <v>7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</v>
      </c>
    </row>
    <row r="86" spans="2:18">
      <c r="B86" s="164"/>
      <c r="C86" s="52" t="s">
        <v>118</v>
      </c>
      <c r="D86" s="53">
        <f>'LOOKUP  telda'!E45</f>
        <v>4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2</v>
      </c>
      <c r="K86" s="53">
        <f>'LOOKUP  telda'!X45</f>
        <v>0</v>
      </c>
      <c r="L86" s="53">
        <f>'LOOKUP  telda'!Y45</f>
        <v>0</v>
      </c>
      <c r="M86" s="53">
        <f>SUM('DATA MTD'!I86:L86)</f>
        <v>2</v>
      </c>
      <c r="N86" s="53">
        <f>'LOOKUP  telda'!Z45</f>
        <v>2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64"/>
      <c r="C87" s="52" t="s">
        <v>119</v>
      </c>
      <c r="D87" s="53">
        <f>'LOOKUP  telda'!E46</f>
        <v>24</v>
      </c>
      <c r="E87" s="53">
        <f>'LOOKUP  telda'!F46+'LOOKUP  telda'!G46+'LOOKUP  telda'!H46</f>
        <v>0</v>
      </c>
      <c r="F87" s="53">
        <f>'LOOKUP  telda'!I46</f>
        <v>0</v>
      </c>
      <c r="G87" s="53">
        <f>'LOOKUP  telda'!J46</f>
        <v>2</v>
      </c>
      <c r="H87" s="53">
        <f>'LOOKUP  telda'!K46</f>
        <v>3</v>
      </c>
      <c r="I87" s="53">
        <f>'LOOKUP  telda'!L46</f>
        <v>0</v>
      </c>
      <c r="J87" s="53">
        <f>'LOOKUP  telda'!P46</f>
        <v>3</v>
      </c>
      <c r="K87" s="53">
        <f>'LOOKUP  telda'!X46</f>
        <v>0</v>
      </c>
      <c r="L87" s="53">
        <f>'LOOKUP  telda'!Y46</f>
        <v>0</v>
      </c>
      <c r="M87" s="53">
        <f>SUM('DATA MTD'!I87:L87)</f>
        <v>3</v>
      </c>
      <c r="N87" s="53">
        <f>'LOOKUP  telda'!Z46</f>
        <v>10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6</v>
      </c>
    </row>
    <row r="88" spans="2:18">
      <c r="B88" s="165"/>
      <c r="C88" s="52" t="s">
        <v>120</v>
      </c>
      <c r="D88" s="53">
        <f>'LOOKUP  telda'!E47</f>
        <v>2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1</v>
      </c>
      <c r="L88" s="53">
        <f>'LOOKUP  telda'!Y47</f>
        <v>0</v>
      </c>
      <c r="M88" s="53">
        <f>SUM('DATA MTD'!I88:L88)</f>
        <v>1</v>
      </c>
      <c r="N88" s="53">
        <f>'LOOKUP  telda'!Z47</f>
        <v>1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63" t="s">
        <v>55</v>
      </c>
      <c r="C89" s="52" t="s">
        <v>121</v>
      </c>
      <c r="D89" s="53">
        <f>'LOOKUP  telda'!E48</f>
        <v>2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1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64"/>
      <c r="C90" s="52" t="s">
        <v>122</v>
      </c>
      <c r="D90" s="53">
        <f>'LOOKUP  telda'!E49</f>
        <v>10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3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1</v>
      </c>
      <c r="L90" s="53">
        <f>'LOOKUP  telda'!Y49</f>
        <v>0</v>
      </c>
      <c r="M90" s="53">
        <f>SUM('DATA MTD'!I90:L90)</f>
        <v>1</v>
      </c>
      <c r="N90" s="53">
        <f>'LOOKUP  telda'!Z49</f>
        <v>5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1</v>
      </c>
    </row>
    <row r="91" spans="2:18">
      <c r="B91" s="164"/>
      <c r="C91" s="52" t="s">
        <v>123</v>
      </c>
      <c r="D91" s="53">
        <f>'LOOKUP  telda'!E50</f>
        <v>22</v>
      </c>
      <c r="E91" s="53">
        <f>'LOOKUP  telda'!F50+'LOOKUP  telda'!G50+'LOOKUP  telda'!H50</f>
        <v>1</v>
      </c>
      <c r="F91" s="53">
        <f>'LOOKUP  telda'!I50</f>
        <v>0</v>
      </c>
      <c r="G91" s="53">
        <f>'LOOKUP  telda'!J50</f>
        <v>1</v>
      </c>
      <c r="H91" s="53">
        <f>'LOOKUP  telda'!K50</f>
        <v>0</v>
      </c>
      <c r="I91" s="53">
        <f>'LOOKUP  telda'!L50</f>
        <v>0</v>
      </c>
      <c r="J91" s="53">
        <f>'LOOKUP  telda'!P50</f>
        <v>2</v>
      </c>
      <c r="K91" s="53">
        <f>'LOOKUP  telda'!X50</f>
        <v>1</v>
      </c>
      <c r="L91" s="53">
        <f>'LOOKUP  telda'!Y50</f>
        <v>0</v>
      </c>
      <c r="M91" s="53">
        <f>SUM('DATA MTD'!I91:L91)</f>
        <v>3</v>
      </c>
      <c r="N91" s="53">
        <f>'LOOKUP  telda'!Z50</f>
        <v>12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5</v>
      </c>
    </row>
    <row r="92" spans="2:18">
      <c r="B92" s="164"/>
      <c r="C92" s="52" t="s">
        <v>124</v>
      </c>
      <c r="D92" s="53">
        <f>'LOOKUP  telda'!E51</f>
        <v>10</v>
      </c>
      <c r="E92" s="53">
        <f>'LOOKUP  telda'!F51+'LOOKUP  telda'!G51+'LOOKUP  telda'!H51</f>
        <v>0</v>
      </c>
      <c r="F92" s="53">
        <f>'LOOKUP  telda'!I51</f>
        <v>0</v>
      </c>
      <c r="G92" s="53">
        <f>'LOOKUP  telda'!J51</f>
        <v>0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8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2</v>
      </c>
    </row>
    <row r="93" spans="2:18">
      <c r="B93" s="164"/>
      <c r="C93" s="52" t="s">
        <v>125</v>
      </c>
      <c r="D93" s="53">
        <f>'LOOKUP  telda'!E52</f>
        <v>18</v>
      </c>
      <c r="E93" s="53">
        <f>'LOOKUP  telda'!F52+'LOOKUP  telda'!G52+'LOOKUP  telda'!H52</f>
        <v>0</v>
      </c>
      <c r="F93" s="53">
        <f>'LOOKUP  telda'!I52</f>
        <v>1</v>
      </c>
      <c r="G93" s="53">
        <f>'LOOKUP  telda'!J52</f>
        <v>3</v>
      </c>
      <c r="H93" s="53">
        <f>'LOOKUP  telda'!K52</f>
        <v>0</v>
      </c>
      <c r="I93" s="53">
        <f>'LOOKUP  telda'!L52</f>
        <v>0</v>
      </c>
      <c r="J93" s="53">
        <f>'LOOKUP  telda'!P52</f>
        <v>1</v>
      </c>
      <c r="K93" s="53">
        <f>'LOOKUP  telda'!X52</f>
        <v>0</v>
      </c>
      <c r="L93" s="53">
        <f>'LOOKUP  telda'!Y52</f>
        <v>0</v>
      </c>
      <c r="M93" s="53">
        <f>SUM('DATA MTD'!I93:L93)</f>
        <v>1</v>
      </c>
      <c r="N93" s="53">
        <f>'LOOKUP  telda'!Z52</f>
        <v>10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3</v>
      </c>
    </row>
    <row r="94" spans="2:18">
      <c r="B94" s="164"/>
      <c r="C94" s="52" t="s">
        <v>126</v>
      </c>
      <c r="D94" s="53">
        <f>'LOOKUP  telda'!E53</f>
        <v>14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2</v>
      </c>
      <c r="H94" s="53">
        <f>'LOOKUP  telda'!K53</f>
        <v>0</v>
      </c>
      <c r="I94" s="53">
        <f>'LOOKUP  telda'!L53</f>
        <v>0</v>
      </c>
      <c r="J94" s="53">
        <f>'LOOKUP  telda'!P53</f>
        <v>2</v>
      </c>
      <c r="K94" s="53">
        <f>'LOOKUP  telda'!X53</f>
        <v>1</v>
      </c>
      <c r="L94" s="53">
        <f>'LOOKUP  telda'!Y53</f>
        <v>0</v>
      </c>
      <c r="M94" s="53">
        <f>SUM('DATA MTD'!I94:L94)</f>
        <v>3</v>
      </c>
      <c r="N94" s="53">
        <f>'LOOKUP  telda'!Z53</f>
        <v>8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1</v>
      </c>
    </row>
    <row r="95" spans="2:18">
      <c r="B95" s="164"/>
      <c r="C95" s="52" t="s">
        <v>127</v>
      </c>
      <c r="D95" s="53">
        <f>'LOOKUP  telda'!E54</f>
        <v>23</v>
      </c>
      <c r="E95" s="53">
        <f>'LOOKUP  telda'!F54+'LOOKUP  telda'!G54+'LOOKUP  telda'!H54</f>
        <v>0</v>
      </c>
      <c r="F95" s="53">
        <f>'LOOKUP  telda'!I54</f>
        <v>0</v>
      </c>
      <c r="G95" s="53">
        <f>'LOOKUP  telda'!J54</f>
        <v>2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17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3</v>
      </c>
    </row>
    <row r="96" spans="2:18">
      <c r="B96" s="165"/>
      <c r="C96" s="52" t="s">
        <v>128</v>
      </c>
      <c r="D96" s="53">
        <f>'LOOKUP  telda'!E55</f>
        <v>21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5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0</v>
      </c>
      <c r="M96" s="53">
        <f>SUM('DATA MTD'!I96:L96)</f>
        <v>0</v>
      </c>
      <c r="N96" s="53">
        <f>'LOOKUP  telda'!Z55</f>
        <v>11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5</v>
      </c>
    </row>
    <row r="97" spans="2:18" ht="15.5">
      <c r="B97" s="161" t="s">
        <v>62</v>
      </c>
      <c r="C97" s="16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S10" sqref="S10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6" t="str">
        <f ca="1">"PROVISIONING NEW SALES INDIBIZ TR3 JBN MTD  "&amp;TEXT(TODAY()-1,"YYYY-MM-DD ")</f>
        <v xml:space="preserve">PROVISIONING NEW SALES INDIBIZ TR3 JBN MTD  2026-10-07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6" t="str">
        <f ca="1">"PERIODE ORDER &amp; PS : 2026-01-01 to  "&amp;TEXT(TODAY()-1,"YYYY-MM-DD ")</f>
        <v xml:space="preserve">PERIODE ORDER &amp; PS : 2026-01-01 to  2026-10-07 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0" t="s">
        <v>586</v>
      </c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1" t="s">
        <v>1</v>
      </c>
      <c r="D6" s="108" t="s">
        <v>129</v>
      </c>
      <c r="E6" s="108" t="s">
        <v>67</v>
      </c>
      <c r="F6" s="111" t="s">
        <v>12</v>
      </c>
      <c r="G6" s="112"/>
      <c r="H6" s="113"/>
      <c r="I6" s="120" t="s">
        <v>14</v>
      </c>
      <c r="J6" s="123" t="s">
        <v>8</v>
      </c>
      <c r="K6" s="123" t="s">
        <v>9</v>
      </c>
      <c r="L6" s="127" t="s">
        <v>10</v>
      </c>
      <c r="M6" s="128"/>
      <c r="N6" s="128"/>
      <c r="O6" s="129"/>
      <c r="P6" s="136" t="s">
        <v>11</v>
      </c>
      <c r="Q6" s="101" t="s">
        <v>130</v>
      </c>
      <c r="R6" s="101" t="s">
        <v>131</v>
      </c>
      <c r="S6" s="101" t="s">
        <v>132</v>
      </c>
    </row>
    <row r="7" spans="3:31" ht="15.65" customHeight="1">
      <c r="C7" s="182"/>
      <c r="D7" s="109"/>
      <c r="E7" s="109"/>
      <c r="F7" s="114"/>
      <c r="G7" s="115"/>
      <c r="H7" s="116"/>
      <c r="I7" s="121"/>
      <c r="J7" s="124"/>
      <c r="K7" s="124"/>
      <c r="L7" s="130"/>
      <c r="M7" s="131"/>
      <c r="N7" s="131"/>
      <c r="O7" s="132"/>
      <c r="P7" s="137"/>
      <c r="Q7" s="102"/>
      <c r="R7" s="102"/>
      <c r="S7" s="102"/>
    </row>
    <row r="8" spans="3:31" ht="14.5" customHeight="1">
      <c r="C8" s="182"/>
      <c r="D8" s="109"/>
      <c r="E8" s="109"/>
      <c r="F8" s="117"/>
      <c r="G8" s="118"/>
      <c r="H8" s="119"/>
      <c r="I8" s="121"/>
      <c r="J8" s="124"/>
      <c r="K8" s="124"/>
      <c r="L8" s="133"/>
      <c r="M8" s="134"/>
      <c r="N8" s="134"/>
      <c r="O8" s="135"/>
      <c r="P8" s="137"/>
      <c r="Q8" s="102"/>
      <c r="R8" s="102"/>
      <c r="S8" s="102"/>
    </row>
    <row r="9" spans="3:31" ht="49.5" customHeight="1">
      <c r="C9" s="183"/>
      <c r="D9" s="110"/>
      <c r="E9" s="110"/>
      <c r="F9" s="22" t="s">
        <v>133</v>
      </c>
      <c r="G9" s="22" t="s">
        <v>30</v>
      </c>
      <c r="H9" s="22" t="s">
        <v>69</v>
      </c>
      <c r="I9" s="122"/>
      <c r="J9" s="125"/>
      <c r="K9" s="125"/>
      <c r="L9" s="37" t="s">
        <v>2</v>
      </c>
      <c r="M9" s="37" t="s">
        <v>18</v>
      </c>
      <c r="N9" s="37" t="s">
        <v>20</v>
      </c>
      <c r="O9" s="37" t="s">
        <v>22</v>
      </c>
      <c r="P9" s="138"/>
      <c r="Q9" s="103"/>
      <c r="R9" s="103"/>
      <c r="S9" s="103"/>
      <c r="X9">
        <f>205/216</f>
        <v>0.94907407407407407</v>
      </c>
    </row>
    <row r="10" spans="3:31" ht="15.5">
      <c r="C10" s="23" t="s">
        <v>34</v>
      </c>
      <c r="D10" s="24">
        <f>'COPY DATA XPRO'!E63</f>
        <v>80</v>
      </c>
      <c r="E10" s="24">
        <f>'COPY DATA XPRO'!F63+'COPY DATA XPRO'!G63+'COPY DATA XPRO'!H63</f>
        <v>3</v>
      </c>
      <c r="F10" s="24">
        <f>'COPY DATA XPRO'!I63</f>
        <v>3</v>
      </c>
      <c r="G10" s="24">
        <f>'COPY DATA XPRO'!AA63</f>
        <v>1</v>
      </c>
      <c r="H10" s="24">
        <f>'COPY DATA XPRO'!AE63-HARIAN!G10</f>
        <v>11</v>
      </c>
      <c r="I10" s="24">
        <f>'COPY DATA XPRO'!AF63</f>
        <v>4</v>
      </c>
      <c r="J10" s="24">
        <f>'COPY DATA XPRO'!J63</f>
        <v>13</v>
      </c>
      <c r="K10" s="24">
        <f>'COPY DATA XPRO'!K63</f>
        <v>11</v>
      </c>
      <c r="L10" s="24">
        <f>'COPY DATA XPRO'!L63</f>
        <v>0</v>
      </c>
      <c r="M10" s="24">
        <f>'COPY DATA XPRO'!P63</f>
        <v>5</v>
      </c>
      <c r="N10" s="24">
        <f>'COPY DATA XPRO'!X63</f>
        <v>5</v>
      </c>
      <c r="O10" s="24">
        <f>'COPY DATA XPRO'!Y63</f>
        <v>0</v>
      </c>
      <c r="P10" s="24">
        <f>'COPY DATA XPRO'!Z63</f>
        <v>24</v>
      </c>
      <c r="Q10" s="40">
        <f t="shared" ref="Q10:R15" si="0">T10</f>
        <v>0.38709677419354838</v>
      </c>
      <c r="R10" s="40">
        <f>U10</f>
        <v>0.70588235294117652</v>
      </c>
      <c r="S10" s="40">
        <f>VLOOKUP(C10,Sheet3!$A$19:$G$81,7,FALSE)</f>
        <v>0.875</v>
      </c>
      <c r="T10" s="8">
        <f t="shared" ref="T10:T15" si="1">P10/(D10-F10-K10-I10)</f>
        <v>0.38709677419354838</v>
      </c>
      <c r="U10" s="8">
        <f>P10/(M10+N10+O10+P10)</f>
        <v>0.70588235294117652</v>
      </c>
    </row>
    <row r="11" spans="3:31" ht="15.5">
      <c r="C11" s="23" t="s">
        <v>38</v>
      </c>
      <c r="D11" s="24">
        <f>'COPY DATA XPRO'!E64</f>
        <v>131</v>
      </c>
      <c r="E11" s="24">
        <f>'COPY DATA XPRO'!F64+'COPY DATA XPRO'!G64+'COPY DATA XPRO'!H64</f>
        <v>6</v>
      </c>
      <c r="F11" s="24">
        <f>'COPY DATA XPRO'!I64</f>
        <v>1</v>
      </c>
      <c r="G11" s="24">
        <f>'COPY DATA XPRO'!AA64</f>
        <v>0</v>
      </c>
      <c r="H11" s="24">
        <f>'COPY DATA XPRO'!AE64-HARIAN!G11</f>
        <v>5</v>
      </c>
      <c r="I11" s="24">
        <f>'COPY DATA XPRO'!AF64</f>
        <v>6</v>
      </c>
      <c r="J11" s="24">
        <f>'COPY DATA XPRO'!J64</f>
        <v>16</v>
      </c>
      <c r="K11" s="24">
        <f>'COPY DATA XPRO'!K64</f>
        <v>7</v>
      </c>
      <c r="L11" s="24">
        <f>'COPY DATA XPRO'!L64</f>
        <v>0</v>
      </c>
      <c r="M11" s="24">
        <f>'COPY DATA XPRO'!P64</f>
        <v>7</v>
      </c>
      <c r="N11" s="24">
        <f>'COPY DATA XPRO'!X64</f>
        <v>2</v>
      </c>
      <c r="O11" s="24">
        <f>'COPY DATA XPRO'!Y64</f>
        <v>1</v>
      </c>
      <c r="P11" s="24">
        <f>'COPY DATA XPRO'!Z64</f>
        <v>80</v>
      </c>
      <c r="Q11" s="40">
        <f t="shared" si="0"/>
        <v>0.68376068376068377</v>
      </c>
      <c r="R11" s="40">
        <f t="shared" si="0"/>
        <v>0.88888888888888884</v>
      </c>
      <c r="S11" s="40">
        <f>VLOOKUP(C11,Sheet3!$A$19:$G$81,7,FALSE)</f>
        <v>0.9850746268656716</v>
      </c>
      <c r="T11" s="8">
        <f t="shared" si="1"/>
        <v>0.68376068376068377</v>
      </c>
      <c r="U11" s="8">
        <f t="shared" ref="U11:U15" si="2">P11/(M11+N11+O11+P11)</f>
        <v>0.88888888888888884</v>
      </c>
    </row>
    <row r="12" spans="3:31" ht="15.5">
      <c r="C12" s="23" t="s">
        <v>42</v>
      </c>
      <c r="D12" s="24">
        <f>'COPY DATA XPRO'!E65</f>
        <v>72</v>
      </c>
      <c r="E12" s="24">
        <f>'COPY DATA XPRO'!F65+'COPY DATA XPRO'!G65+'COPY DATA XPRO'!H65</f>
        <v>4</v>
      </c>
      <c r="F12" s="24">
        <f>'COPY DATA XPRO'!I65</f>
        <v>1</v>
      </c>
      <c r="G12" s="24">
        <f>'COPY DATA XPRO'!AA65</f>
        <v>0</v>
      </c>
      <c r="H12" s="24">
        <f>'COPY DATA XPRO'!AE65-HARIAN!G12</f>
        <v>3</v>
      </c>
      <c r="I12" s="24">
        <f>'COPY DATA XPRO'!AF65</f>
        <v>4</v>
      </c>
      <c r="J12" s="24">
        <f>'COPY DATA XPRO'!J65</f>
        <v>9</v>
      </c>
      <c r="K12" s="24">
        <f>'COPY DATA XPRO'!K65</f>
        <v>1</v>
      </c>
      <c r="L12" s="24">
        <f>'COPY DATA XPRO'!L65</f>
        <v>0</v>
      </c>
      <c r="M12" s="24">
        <f>'COPY DATA XPRO'!P65</f>
        <v>3</v>
      </c>
      <c r="N12" s="24">
        <f>'COPY DATA XPRO'!X65</f>
        <v>1</v>
      </c>
      <c r="O12" s="24">
        <f>'COPY DATA XPRO'!Y65</f>
        <v>0</v>
      </c>
      <c r="P12" s="24">
        <f>'COPY DATA XPRO'!Z65</f>
        <v>46</v>
      </c>
      <c r="Q12" s="40">
        <f t="shared" si="0"/>
        <v>0.69696969696969702</v>
      </c>
      <c r="R12" s="40">
        <f t="shared" si="0"/>
        <v>0.92</v>
      </c>
      <c r="S12" s="40">
        <f>VLOOKUP(C12,Sheet3!$A$19:$G$81,7,FALSE)</f>
        <v>1</v>
      </c>
      <c r="T12" s="8">
        <f t="shared" si="1"/>
        <v>0.69696969696969702</v>
      </c>
      <c r="U12" s="8">
        <f t="shared" si="2"/>
        <v>0.92</v>
      </c>
    </row>
    <row r="13" spans="3:31" ht="15.5">
      <c r="C13" s="23" t="s">
        <v>45</v>
      </c>
      <c r="D13" s="24">
        <f>'COPY DATA XPRO'!E66</f>
        <v>113</v>
      </c>
      <c r="E13" s="24">
        <f>'COPY DATA XPRO'!F66+'COPY DATA XPRO'!G66+'COPY DATA XPRO'!H66</f>
        <v>5</v>
      </c>
      <c r="F13" s="24">
        <f>'COPY DATA XPRO'!I66</f>
        <v>1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11</v>
      </c>
      <c r="J13" s="24">
        <f>'COPY DATA XPRO'!J66</f>
        <v>14</v>
      </c>
      <c r="K13" s="24">
        <f>'COPY DATA XPRO'!K66</f>
        <v>7</v>
      </c>
      <c r="L13" s="24">
        <f>'COPY DATA XPRO'!L66</f>
        <v>0</v>
      </c>
      <c r="M13" s="24">
        <f>'COPY DATA XPRO'!P66</f>
        <v>15</v>
      </c>
      <c r="N13" s="24">
        <f>'COPY DATA XPRO'!X66</f>
        <v>5</v>
      </c>
      <c r="O13" s="24">
        <f>'COPY DATA XPRO'!Y66</f>
        <v>1</v>
      </c>
      <c r="P13" s="24">
        <f>'COPY DATA XPRO'!Z66</f>
        <v>54</v>
      </c>
      <c r="Q13" s="40">
        <f t="shared" si="0"/>
        <v>0.57446808510638303</v>
      </c>
      <c r="R13" s="40">
        <f t="shared" si="0"/>
        <v>0.72</v>
      </c>
      <c r="S13" s="40">
        <f>VLOOKUP(C13,Sheet3!$A$19:$G$81,7,FALSE)</f>
        <v>0.81818181818181823</v>
      </c>
      <c r="T13" s="8">
        <f t="shared" si="1"/>
        <v>0.57446808510638303</v>
      </c>
      <c r="U13" s="8">
        <f t="shared" si="2"/>
        <v>0.72</v>
      </c>
    </row>
    <row r="14" spans="3:31" ht="15.5">
      <c r="C14" s="23" t="s">
        <v>55</v>
      </c>
      <c r="D14" s="24">
        <f>'COPY DATA XPRO'!E69</f>
        <v>140</v>
      </c>
      <c r="E14" s="24">
        <f>'COPY DATA XPRO'!F69+'COPY DATA XPRO'!G69+'COPY DATA XPRO'!H69</f>
        <v>1</v>
      </c>
      <c r="F14" s="24">
        <f>'COPY DATA XPRO'!I69</f>
        <v>1</v>
      </c>
      <c r="G14" s="24">
        <f>'COPY DATA XPRO'!AA69</f>
        <v>1</v>
      </c>
      <c r="H14" s="24">
        <f>'COPY DATA XPRO'!AE69-HARIAN!G14</f>
        <v>0</v>
      </c>
      <c r="I14" s="24">
        <f>'COPY DATA XPRO'!AF69</f>
        <v>26</v>
      </c>
      <c r="J14" s="24">
        <f>'COPY DATA XPRO'!J69</f>
        <v>20</v>
      </c>
      <c r="K14" s="24">
        <f>'COPY DATA XPRO'!K69</f>
        <v>0</v>
      </c>
      <c r="L14" s="24">
        <f>'COPY DATA XPRO'!L69</f>
        <v>0</v>
      </c>
      <c r="M14" s="24">
        <f>'COPY DATA XPRO'!P69</f>
        <v>5</v>
      </c>
      <c r="N14" s="24">
        <f>'COPY DATA XPRO'!X69</f>
        <v>3</v>
      </c>
      <c r="O14" s="24">
        <f>'COPY DATA XPRO'!Y69</f>
        <v>0</v>
      </c>
      <c r="P14" s="24">
        <f>'COPY DATA XPRO'!Z69</f>
        <v>83</v>
      </c>
      <c r="Q14" s="40">
        <f t="shared" si="0"/>
        <v>0.73451327433628322</v>
      </c>
      <c r="R14" s="40">
        <f t="shared" si="0"/>
        <v>0.91208791208791207</v>
      </c>
      <c r="S14" s="40">
        <f>VLOOKUP(C14,Sheet3!$A$19:$G$81,7,FALSE)</f>
        <v>0.98648648648648651</v>
      </c>
      <c r="T14" s="8">
        <f t="shared" si="1"/>
        <v>0.73451327433628322</v>
      </c>
      <c r="U14" s="8">
        <f t="shared" si="2"/>
        <v>0.91208791208791207</v>
      </c>
    </row>
    <row r="15" spans="3:31" ht="15.5">
      <c r="C15" s="25" t="s">
        <v>62</v>
      </c>
      <c r="D15" s="26">
        <f>SUM(D10:D14)</f>
        <v>536</v>
      </c>
      <c r="E15" s="26">
        <f>SUM(E10:E14)</f>
        <v>19</v>
      </c>
      <c r="F15" s="26">
        <f>SUM(F10:F14)</f>
        <v>7</v>
      </c>
      <c r="G15" s="26">
        <f t="shared" ref="G15:P15" si="3">SUM(G10:G14)</f>
        <v>2</v>
      </c>
      <c r="H15" s="26">
        <f t="shared" si="3"/>
        <v>19</v>
      </c>
      <c r="I15" s="26">
        <f t="shared" si="3"/>
        <v>51</v>
      </c>
      <c r="J15" s="26">
        <f t="shared" si="3"/>
        <v>72</v>
      </c>
      <c r="K15" s="26">
        <f t="shared" si="3"/>
        <v>26</v>
      </c>
      <c r="L15" s="26">
        <f t="shared" si="3"/>
        <v>0</v>
      </c>
      <c r="M15" s="26">
        <f t="shared" si="3"/>
        <v>35</v>
      </c>
      <c r="N15" s="26">
        <f t="shared" si="3"/>
        <v>16</v>
      </c>
      <c r="O15" s="26">
        <f t="shared" si="3"/>
        <v>2</v>
      </c>
      <c r="P15" s="26">
        <f t="shared" si="3"/>
        <v>287</v>
      </c>
      <c r="Q15" s="41">
        <f t="shared" si="0"/>
        <v>0.63495575221238942</v>
      </c>
      <c r="R15" s="41">
        <f>U15</f>
        <v>0.84411764705882353</v>
      </c>
      <c r="S15" s="41">
        <f>Sheet3!G10</f>
        <v>0.95041322314049592</v>
      </c>
      <c r="T15" s="8">
        <f t="shared" si="1"/>
        <v>0.63495575221238942</v>
      </c>
      <c r="U15" s="8">
        <f t="shared" si="2"/>
        <v>0.84411764705882353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04" t="s">
        <v>72</v>
      </c>
      <c r="E17" s="105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9" t="s">
        <v>73</v>
      </c>
      <c r="E18" s="140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9" t="s">
        <v>74</v>
      </c>
      <c r="E19" s="140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9" t="s">
        <v>75</v>
      </c>
      <c r="E20" s="140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9" t="s">
        <v>76</v>
      </c>
      <c r="E21" s="140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41" t="s">
        <v>138</v>
      </c>
      <c r="E22" s="142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2026-10-07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2026-10-07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43" t="str">
        <f>C4</f>
        <v>Last update proses : 06-03-2026 15:19:48 WIB (Source: ETL XPRO)</v>
      </c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35"/>
    </row>
    <row r="27" spans="2:22" ht="15.5"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36"/>
    </row>
    <row r="29" spans="2:22" ht="15.65" customHeight="1">
      <c r="B29" s="146" t="s">
        <v>1</v>
      </c>
      <c r="C29" s="145" t="s">
        <v>78</v>
      </c>
      <c r="D29" s="146" t="s">
        <v>129</v>
      </c>
      <c r="E29" s="146" t="s">
        <v>67</v>
      </c>
      <c r="F29" s="189" t="s">
        <v>12</v>
      </c>
      <c r="G29" s="189"/>
      <c r="H29" s="189"/>
      <c r="I29" s="18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52" t="s">
        <v>130</v>
      </c>
      <c r="R29" s="152" t="s">
        <v>131</v>
      </c>
      <c r="S29" s="152" t="s">
        <v>132</v>
      </c>
    </row>
    <row r="30" spans="2:22" ht="14.5" customHeight="1">
      <c r="B30" s="146"/>
      <c r="C30" s="145"/>
      <c r="D30" s="146"/>
      <c r="E30" s="146"/>
      <c r="F30" s="189"/>
      <c r="G30" s="189"/>
      <c r="H30" s="189"/>
      <c r="I30" s="189"/>
      <c r="J30" s="148"/>
      <c r="K30" s="148"/>
      <c r="L30" s="148"/>
      <c r="M30" s="148"/>
      <c r="N30" s="148"/>
      <c r="O30" s="148"/>
      <c r="P30" s="151"/>
      <c r="Q30" s="152"/>
      <c r="R30" s="152"/>
      <c r="S30" s="152"/>
    </row>
    <row r="31" spans="2:22" ht="14.5" customHeight="1">
      <c r="B31" s="146"/>
      <c r="C31" s="145"/>
      <c r="D31" s="146"/>
      <c r="E31" s="146"/>
      <c r="F31" s="189"/>
      <c r="G31" s="189"/>
      <c r="H31" s="189"/>
      <c r="I31" s="189"/>
      <c r="J31" s="148"/>
      <c r="K31" s="148"/>
      <c r="L31" s="148"/>
      <c r="M31" s="148"/>
      <c r="N31" s="148"/>
      <c r="O31" s="148"/>
      <c r="P31" s="151"/>
      <c r="Q31" s="152"/>
      <c r="R31" s="152"/>
      <c r="S31" s="152"/>
    </row>
    <row r="32" spans="2:22" ht="31">
      <c r="B32" s="146"/>
      <c r="C32" s="145"/>
      <c r="D32" s="146"/>
      <c r="E32" s="146"/>
      <c r="F32" s="22" t="s">
        <v>133</v>
      </c>
      <c r="G32" s="22" t="s">
        <v>30</v>
      </c>
      <c r="H32" s="22" t="s">
        <v>69</v>
      </c>
      <c r="I32" s="18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52"/>
      <c r="R32" s="152"/>
      <c r="S32" s="152"/>
      <c r="V32" s="87" t="s">
        <v>796</v>
      </c>
    </row>
    <row r="33" spans="2:22" ht="15.5">
      <c r="B33" s="184" t="s">
        <v>34</v>
      </c>
      <c r="C33" s="64" t="s">
        <v>79</v>
      </c>
      <c r="D33" s="65">
        <f>'LOOKUP  telda'!E7</f>
        <v>10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1</v>
      </c>
      <c r="J33" s="65">
        <f>'LOOKUP  telda'!J7</f>
        <v>1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3</v>
      </c>
      <c r="O33" s="65">
        <f>'LOOKUP  telda'!Y7</f>
        <v>0</v>
      </c>
      <c r="P33" s="65">
        <f>'LOOKUP  telda'!Z7</f>
        <v>5</v>
      </c>
      <c r="Q33" s="40">
        <f>T33</f>
        <v>0.55555555555555558</v>
      </c>
      <c r="R33" s="40">
        <f>U33</f>
        <v>0.625</v>
      </c>
      <c r="S33" s="40">
        <f>VLOOKUP(C33,Sheet3!$A$19:$G$81,7,FALSE)</f>
        <v>0.6</v>
      </c>
      <c r="T33" s="8">
        <f>IFERROR(P33/(D33-F33-K33-I33),0)</f>
        <v>0.55555555555555558</v>
      </c>
      <c r="U33" s="8">
        <f>IFERROR(P33/(M33+N33+O33+P33),0)</f>
        <v>0.625</v>
      </c>
      <c r="V33" t="str">
        <f>VLOOKUP(C33,Sheet5!$A$2:$J$270,8,FALSE)</f>
        <v>GIANYAR</v>
      </c>
    </row>
    <row r="34" spans="2:22" ht="15.5">
      <c r="B34" s="184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5">
      <c r="B35" s="184"/>
      <c r="C35" s="64" t="s">
        <v>81</v>
      </c>
      <c r="D35" s="65">
        <f>'LOOKUP  telda'!E9</f>
        <v>11</v>
      </c>
      <c r="E35" s="65">
        <f>'LOOKUP  telda'!F9+'LOOKUP  telda'!G9+'LOOKUP  telda'!H9</f>
        <v>1</v>
      </c>
      <c r="F35" s="65">
        <f>'LOOKUP  telda'!I9</f>
        <v>1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4</v>
      </c>
      <c r="K35" s="65">
        <f>'LOOKUP  telda'!K9</f>
        <v>0</v>
      </c>
      <c r="L35" s="65">
        <f>'LOOKUP  telda'!L9</f>
        <v>0</v>
      </c>
      <c r="M35" s="65">
        <f>'LOOKUP  telda'!P9</f>
        <v>3</v>
      </c>
      <c r="N35" s="65">
        <f>'LOOKUP  telda'!X9</f>
        <v>0</v>
      </c>
      <c r="O35" s="65">
        <f>'LOOKUP  telda'!Y9</f>
        <v>0</v>
      </c>
      <c r="P35" s="65">
        <f>'LOOKUP  telda'!Z9</f>
        <v>2</v>
      </c>
      <c r="Q35" s="40">
        <f t="shared" si="4"/>
        <v>0.2</v>
      </c>
      <c r="R35" s="40">
        <f t="shared" si="5"/>
        <v>0.4</v>
      </c>
      <c r="S35" s="40" t="e">
        <f>VLOOKUP(C35,Sheet3!$A$19:$G$81,7,FALSE)</f>
        <v>#DIV/0!</v>
      </c>
      <c r="T35" s="8">
        <f t="shared" si="6"/>
        <v>0.2</v>
      </c>
      <c r="U35" s="8">
        <f t="shared" si="7"/>
        <v>0.4</v>
      </c>
      <c r="V35" t="str">
        <f>VLOOKUP(C35,Sheet5!$A$2:$J$270,8,FALSE)</f>
        <v>JIMBARAN</v>
      </c>
    </row>
    <row r="36" spans="2:22" ht="15.5">
      <c r="B36" s="184"/>
      <c r="C36" s="64" t="s">
        <v>82</v>
      </c>
      <c r="D36" s="65">
        <f>'LOOKUP  telda'!E10</f>
        <v>3</v>
      </c>
      <c r="E36" s="65">
        <f>'LOOKUP  telda'!F10+'LOOKUP  telda'!G10+'LOOKUP  telda'!H10</f>
        <v>0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2</v>
      </c>
      <c r="Q36" s="40">
        <f t="shared" si="4"/>
        <v>1</v>
      </c>
      <c r="R36" s="40">
        <f t="shared" si="5"/>
        <v>1</v>
      </c>
      <c r="S36" s="40" t="e">
        <f>VLOOKUP(C36,Sheet3!$A$19:$G$81,7,FALSE)</f>
        <v>#DIV/0!</v>
      </c>
      <c r="T36" s="8">
        <f t="shared" si="6"/>
        <v>1</v>
      </c>
      <c r="U36" s="8">
        <f t="shared" si="7"/>
        <v>1</v>
      </c>
      <c r="V36" t="str">
        <f>VLOOKUP(C36,Sheet5!$A$2:$J$270,8,FALSE)</f>
        <v>KLUNGKUNG</v>
      </c>
    </row>
    <row r="37" spans="2:22" ht="15.5">
      <c r="B37" s="184"/>
      <c r="C37" s="64" t="s">
        <v>83</v>
      </c>
      <c r="D37" s="65">
        <f>'LOOKUP  telda'!E11</f>
        <v>6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1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4</v>
      </c>
      <c r="Q37" s="40">
        <f t="shared" si="4"/>
        <v>0.8</v>
      </c>
      <c r="R37" s="40">
        <f t="shared" si="5"/>
        <v>1</v>
      </c>
      <c r="S37" s="40">
        <f>VLOOKUP(C37,Sheet3!$A$19:$G$81,7,FALSE)</f>
        <v>1</v>
      </c>
      <c r="T37" s="8">
        <f t="shared" si="6"/>
        <v>0.8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84"/>
      <c r="C38" s="64" t="s">
        <v>84</v>
      </c>
      <c r="D38" s="65">
        <f>'LOOKUP  telda'!E12</f>
        <v>5</v>
      </c>
      <c r="E38" s="65">
        <f>'LOOKUP  telda'!F12+'LOOKUP  telda'!G12+'LOOKUP  telda'!H12</f>
        <v>2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1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2</v>
      </c>
      <c r="Q38" s="40">
        <f t="shared" si="4"/>
        <v>0.4</v>
      </c>
      <c r="R38" s="40">
        <f t="shared" si="5"/>
        <v>1</v>
      </c>
      <c r="S38" s="40">
        <f>VLOOKUP(C38,Sheet3!$A$19:$G$81,7,FALSE)</f>
        <v>1</v>
      </c>
      <c r="T38" s="8">
        <f t="shared" si="6"/>
        <v>0.4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84"/>
      <c r="C39" s="64" t="s">
        <v>85</v>
      </c>
      <c r="D39" s="65">
        <f>'LOOKUP  telda'!E13</f>
        <v>37</v>
      </c>
      <c r="E39" s="65">
        <f>'LOOKUP  telda'!F13+'LOOKUP  telda'!G13+'LOOKUP  telda'!H13</f>
        <v>0</v>
      </c>
      <c r="F39" s="65">
        <f>'LOOKUP  telda'!I13</f>
        <v>1</v>
      </c>
      <c r="G39" s="65">
        <f>'LOOKUP  telda'!AA13</f>
        <v>0</v>
      </c>
      <c r="H39" s="65">
        <f>'LOOKUP  telda'!AE13-'LOOKUP  telda'!AA13</f>
        <v>11</v>
      </c>
      <c r="I39" s="65">
        <f>'LOOKUP  telda'!AF13</f>
        <v>1</v>
      </c>
      <c r="J39" s="65">
        <f>'LOOKUP  telda'!J13</f>
        <v>4</v>
      </c>
      <c r="K39" s="65">
        <f>'LOOKUP  telda'!K13</f>
        <v>11</v>
      </c>
      <c r="L39" s="65">
        <f>'LOOKUP  telda'!L13</f>
        <v>0</v>
      </c>
      <c r="M39" s="65">
        <f>'LOOKUP  telda'!P13</f>
        <v>0</v>
      </c>
      <c r="N39" s="65">
        <f>'LOOKUP  telda'!X13</f>
        <v>2</v>
      </c>
      <c r="O39" s="65">
        <f>'LOOKUP  telda'!Y13</f>
        <v>0</v>
      </c>
      <c r="P39" s="65">
        <f>'LOOKUP  telda'!Z13</f>
        <v>7</v>
      </c>
      <c r="Q39" s="40">
        <f t="shared" si="4"/>
        <v>0.29166666666666669</v>
      </c>
      <c r="R39" s="40">
        <f t="shared" si="5"/>
        <v>0.77777777777777779</v>
      </c>
      <c r="S39" s="40">
        <f>VLOOKUP(C39,Sheet3!$A$19:$G$81,7,FALSE)</f>
        <v>1</v>
      </c>
      <c r="T39" s="8">
        <f t="shared" si="6"/>
        <v>0.29166666666666669</v>
      </c>
      <c r="U39" s="8">
        <f t="shared" si="7"/>
        <v>0.77777777777777779</v>
      </c>
      <c r="V39" t="str">
        <f>VLOOKUP(C39,Sheet5!$A$2:$J$270,8,FALSE)</f>
        <v>TABANAN</v>
      </c>
    </row>
    <row r="40" spans="2:22" ht="15.5">
      <c r="B40" s="184"/>
      <c r="C40" s="64" t="s">
        <v>86</v>
      </c>
      <c r="D40" s="65">
        <f>'LOOKUP  telda'!E14</f>
        <v>8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1</v>
      </c>
      <c r="J40" s="65">
        <f>'LOOKUP  telda'!J14</f>
        <v>2</v>
      </c>
      <c r="K40" s="65">
        <f>'LOOKUP  telda'!K14</f>
        <v>0</v>
      </c>
      <c r="L40" s="65">
        <f>'LOOKUP  telda'!L14</f>
        <v>0</v>
      </c>
      <c r="M40" s="65">
        <f>'LOOKUP  telda'!P14</f>
        <v>2</v>
      </c>
      <c r="N40" s="65">
        <f>'LOOKUP  telda'!X14</f>
        <v>0</v>
      </c>
      <c r="O40" s="65">
        <f>'LOOKUP  telda'!Y14</f>
        <v>0</v>
      </c>
      <c r="P40" s="65">
        <f>'LOOKUP  telda'!Z14</f>
        <v>2</v>
      </c>
      <c r="Q40" s="40">
        <f t="shared" si="4"/>
        <v>0.2857142857142857</v>
      </c>
      <c r="R40" s="40">
        <f t="shared" si="5"/>
        <v>0.5</v>
      </c>
      <c r="S40" s="40">
        <f>VLOOKUP(C40,Sheet3!$A$19:$G$81,7,FALSE)</f>
        <v>1</v>
      </c>
      <c r="T40" s="8">
        <f t="shared" si="6"/>
        <v>0.2857142857142857</v>
      </c>
      <c r="U40" s="8">
        <f t="shared" si="7"/>
        <v>0.5</v>
      </c>
      <c r="V40" t="str">
        <f>VLOOKUP(C40,Sheet5!$A$2:$J$270,8,FALSE)</f>
        <v>UBUNG</v>
      </c>
    </row>
    <row r="41" spans="2:22" ht="15.5">
      <c r="B41" s="185" t="s">
        <v>38</v>
      </c>
      <c r="C41" s="66" t="s">
        <v>87</v>
      </c>
      <c r="D41" s="67">
        <f>'LOOKUP  telda'!E15</f>
        <v>16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1</v>
      </c>
      <c r="I41" s="67">
        <f>'LOOKUP  telda'!AF15</f>
        <v>1</v>
      </c>
      <c r="J41" s="67">
        <f>'LOOKUP  telda'!J15</f>
        <v>2</v>
      </c>
      <c r="K41" s="67">
        <f>'LOOKUP  telda'!K15</f>
        <v>0</v>
      </c>
      <c r="L41" s="67">
        <f>'LOOKUP  telda'!L15</f>
        <v>0</v>
      </c>
      <c r="M41" s="67">
        <f>'LOOKUP  telda'!P15</f>
        <v>1</v>
      </c>
      <c r="N41" s="67">
        <f>'LOOKUP  telda'!X15</f>
        <v>0</v>
      </c>
      <c r="O41" s="67">
        <f>'LOOKUP  telda'!Y15</f>
        <v>0</v>
      </c>
      <c r="P41" s="67">
        <f>'LOOKUP  telda'!Z15</f>
        <v>9</v>
      </c>
      <c r="Q41" s="40">
        <f t="shared" si="4"/>
        <v>0.6</v>
      </c>
      <c r="R41" s="40">
        <f t="shared" si="5"/>
        <v>0.9</v>
      </c>
      <c r="S41" s="40">
        <f>VLOOKUP(C41,Sheet3!$A$19:$G$81,7,FALSE)</f>
        <v>1</v>
      </c>
      <c r="T41" s="8">
        <f t="shared" si="6"/>
        <v>0.6</v>
      </c>
      <c r="U41" s="8">
        <f t="shared" si="7"/>
        <v>0.9</v>
      </c>
      <c r="V41" t="str">
        <f>VLOOKUP(C41,Sheet5!$A$2:$J$270,8,FALSE)</f>
        <v>BATU</v>
      </c>
    </row>
    <row r="42" spans="2:22" ht="15.5">
      <c r="B42" s="185"/>
      <c r="C42" s="66" t="s">
        <v>88</v>
      </c>
      <c r="D42" s="67">
        <f>'LOOKUP  telda'!E16</f>
        <v>6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6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5"/>
      <c r="C43" s="66" t="s">
        <v>89</v>
      </c>
      <c r="D43" s="67">
        <f>'LOOKUP  telda'!E17</f>
        <v>10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2</v>
      </c>
      <c r="J43" s="67">
        <f>'LOOKUP  telda'!J17</f>
        <v>2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6</v>
      </c>
      <c r="Q43" s="40">
        <f t="shared" si="4"/>
        <v>0.75</v>
      </c>
      <c r="R43" s="40">
        <f t="shared" si="5"/>
        <v>1</v>
      </c>
      <c r="S43" s="40">
        <f>VLOOKUP(C43,Sheet3!$A$19:$G$81,7,FALSE)</f>
        <v>1</v>
      </c>
      <c r="T43" s="8">
        <f t="shared" si="6"/>
        <v>0.75</v>
      </c>
      <c r="U43" s="8">
        <f t="shared" si="7"/>
        <v>1</v>
      </c>
      <c r="V43" t="str">
        <f>VLOOKUP(C43,Sheet5!$A$2:$J$270,8,FALSE)</f>
        <v>BOJONEGORO</v>
      </c>
    </row>
    <row r="44" spans="2:22" ht="15.5">
      <c r="B44" s="185"/>
      <c r="C44" s="66" t="s">
        <v>90</v>
      </c>
      <c r="D44" s="67">
        <f>'LOOKUP  telda'!E18</f>
        <v>19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3</v>
      </c>
      <c r="K44" s="67">
        <f>'LOOKUP  telda'!K18</f>
        <v>0</v>
      </c>
      <c r="L44" s="67">
        <f>'LOOKUP  telda'!L18</f>
        <v>0</v>
      </c>
      <c r="M44" s="67">
        <f>'LOOKUP  telda'!P18</f>
        <v>2</v>
      </c>
      <c r="N44" s="67">
        <f>'LOOKUP  telda'!X18</f>
        <v>0</v>
      </c>
      <c r="O44" s="67">
        <f>'LOOKUP  telda'!Y18</f>
        <v>0</v>
      </c>
      <c r="P44" s="67">
        <f>'LOOKUP  telda'!Z18</f>
        <v>14</v>
      </c>
      <c r="Q44" s="40">
        <f t="shared" si="4"/>
        <v>0.73684210526315785</v>
      </c>
      <c r="R44" s="40">
        <f t="shared" si="5"/>
        <v>0.875</v>
      </c>
      <c r="S44" s="40">
        <f>VLOOKUP(C44,Sheet3!$A$19:$G$81,7,FALSE)</f>
        <v>0.92307692307692313</v>
      </c>
      <c r="T44" s="8">
        <f t="shared" si="6"/>
        <v>0.73684210526315785</v>
      </c>
      <c r="U44" s="8">
        <f t="shared" si="7"/>
        <v>0.875</v>
      </c>
      <c r="V44" t="str">
        <f>VLOOKUP(C44,Sheet5!$A$2:$J$270,8,FALSE)</f>
        <v>KEDIRI</v>
      </c>
    </row>
    <row r="45" spans="2:22" ht="15.5">
      <c r="B45" s="185"/>
      <c r="C45" s="66" t="s">
        <v>91</v>
      </c>
      <c r="D45" s="67">
        <f>'LOOKUP  telda'!E19</f>
        <v>20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2</v>
      </c>
      <c r="J45" s="67">
        <f>'LOOKUP  telda'!J19</f>
        <v>4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14</v>
      </c>
      <c r="Q45" s="40">
        <f t="shared" si="4"/>
        <v>0.77777777777777779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0.77777777777777779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85"/>
      <c r="C46" s="66" t="s">
        <v>92</v>
      </c>
      <c r="D46" s="67">
        <f>'LOOKUP  telda'!E20</f>
        <v>3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1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2</v>
      </c>
      <c r="Q46" s="40">
        <f t="shared" si="4"/>
        <v>1</v>
      </c>
      <c r="R46" s="40">
        <f t="shared" si="5"/>
        <v>1</v>
      </c>
      <c r="S46" s="40">
        <f>VLOOKUP(C46,Sheet3!$A$19:$G$81,7,FALSE)</f>
        <v>1</v>
      </c>
      <c r="T46" s="8">
        <f t="shared" si="6"/>
        <v>1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85"/>
      <c r="C47" s="66" t="s">
        <v>93</v>
      </c>
      <c r="D47" s="67">
        <f>'LOOKUP  telda'!E21</f>
        <v>12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0</v>
      </c>
      <c r="J47" s="67">
        <f>'LOOKUP  telda'!J21</f>
        <v>0</v>
      </c>
      <c r="K47" s="67">
        <f>'LOOKUP  telda'!K21</f>
        <v>3</v>
      </c>
      <c r="L47" s="67">
        <f>'LOOKUP  telda'!L21</f>
        <v>0</v>
      </c>
      <c r="M47" s="67">
        <f>'LOOKUP  telda'!P21</f>
        <v>0</v>
      </c>
      <c r="N47" s="67">
        <f>'LOOKUP  telda'!X21</f>
        <v>1</v>
      </c>
      <c r="O47" s="67">
        <f>'LOOKUP  telda'!Y21</f>
        <v>0</v>
      </c>
      <c r="P47" s="67">
        <f>'LOOKUP  telda'!Z21</f>
        <v>7</v>
      </c>
      <c r="Q47" s="40">
        <f t="shared" si="4"/>
        <v>0.77777777777777779</v>
      </c>
      <c r="R47" s="40">
        <f t="shared" si="5"/>
        <v>0.875</v>
      </c>
      <c r="S47" s="40">
        <f>VLOOKUP(C47,Sheet3!$A$19:$G$81,7,FALSE)</f>
        <v>1</v>
      </c>
      <c r="T47" s="8">
        <f t="shared" si="6"/>
        <v>0.77777777777777779</v>
      </c>
      <c r="U47" s="8">
        <f t="shared" si="7"/>
        <v>0.875</v>
      </c>
      <c r="V47" t="str">
        <f>VLOOKUP(C47,Sheet5!$A$2:$J$270,8,FALSE)</f>
        <v>NGANJUK</v>
      </c>
    </row>
    <row r="48" spans="2:22" ht="15.5">
      <c r="B48" s="185"/>
      <c r="C48" s="66" t="s">
        <v>94</v>
      </c>
      <c r="D48" s="67">
        <f>'LOOKUP  telda'!E22</f>
        <v>3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3</v>
      </c>
      <c r="Q48" s="40">
        <f t="shared" si="4"/>
        <v>1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1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5"/>
      <c r="C49" s="66" t="s">
        <v>95</v>
      </c>
      <c r="D49" s="67">
        <f>'LOOKUP  telda'!E23</f>
        <v>13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0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3</v>
      </c>
      <c r="N49" s="67">
        <f>'LOOKUP  telda'!X23</f>
        <v>0</v>
      </c>
      <c r="O49" s="67">
        <f>'LOOKUP  telda'!Y23</f>
        <v>0</v>
      </c>
      <c r="P49" s="67">
        <f>'LOOKUP  telda'!Z23</f>
        <v>8</v>
      </c>
      <c r="Q49" s="40">
        <f t="shared" si="4"/>
        <v>0.66666666666666663</v>
      </c>
      <c r="R49" s="40">
        <f t="shared" si="5"/>
        <v>0.72727272727272729</v>
      </c>
      <c r="S49" s="40">
        <f>VLOOKUP(C49,Sheet3!$A$19:$G$81,7,FALSE)</f>
        <v>1</v>
      </c>
      <c r="T49" s="8">
        <f t="shared" si="6"/>
        <v>0.66666666666666663</v>
      </c>
      <c r="U49" s="8">
        <f t="shared" si="7"/>
        <v>0.72727272727272729</v>
      </c>
      <c r="V49" t="str">
        <f>VLOOKUP(C49,Sheet5!$A$2:$J$270,8,FALSE)</f>
        <v>PONOROGO</v>
      </c>
    </row>
    <row r="50" spans="2:22" ht="15.5">
      <c r="B50" s="185"/>
      <c r="C50" s="66" t="s">
        <v>96</v>
      </c>
      <c r="D50" s="67">
        <f>'LOOKUP  telda'!E24</f>
        <v>5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2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3</v>
      </c>
      <c r="Q50" s="40">
        <f t="shared" si="4"/>
        <v>0.6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0.6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5"/>
      <c r="C51" s="66" t="s">
        <v>97</v>
      </c>
      <c r="D51" s="67">
        <f>'LOOKUP  telda'!E25</f>
        <v>14</v>
      </c>
      <c r="E51" s="67">
        <f>'LOOKUP  telda'!F25+'LOOKUP  telda'!G25+'LOOKUP  telda'!H25</f>
        <v>3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1</v>
      </c>
      <c r="I51" s="67">
        <f>'LOOKUP  telda'!AF25</f>
        <v>1</v>
      </c>
      <c r="J51" s="67">
        <f>'LOOKUP  telda'!J25</f>
        <v>0</v>
      </c>
      <c r="K51" s="67">
        <f>'LOOKUP  telda'!K25</f>
        <v>2</v>
      </c>
      <c r="L51" s="67">
        <f>'LOOKUP  telda'!L25</f>
        <v>0</v>
      </c>
      <c r="M51" s="67">
        <f>'LOOKUP  telda'!P25</f>
        <v>1</v>
      </c>
      <c r="N51" s="67">
        <f>'LOOKUP  telda'!X25</f>
        <v>1</v>
      </c>
      <c r="O51" s="67">
        <f>'LOOKUP  telda'!Y25</f>
        <v>1</v>
      </c>
      <c r="P51" s="67">
        <f>'LOOKUP  telda'!Z25</f>
        <v>4</v>
      </c>
      <c r="Q51" s="40">
        <f t="shared" si="4"/>
        <v>0.36363636363636365</v>
      </c>
      <c r="R51" s="40">
        <f t="shared" si="5"/>
        <v>0.5714285714285714</v>
      </c>
      <c r="S51" s="40" t="e">
        <f>VLOOKUP(C51,Sheet3!$A$19:$G$81,7,FALSE)</f>
        <v>#N/A</v>
      </c>
      <c r="T51" s="8">
        <f t="shared" si="6"/>
        <v>0.36363636363636365</v>
      </c>
      <c r="U51" s="8">
        <f t="shared" si="7"/>
        <v>0.5714285714285714</v>
      </c>
      <c r="V51" t="str">
        <f>VLOOKUP(C51,Sheet5!$A$2:$J$270,8,FALSE)</f>
        <v>BOJONEGORO</v>
      </c>
    </row>
    <row r="52" spans="2:22" ht="15.5">
      <c r="B52" s="185"/>
      <c r="C52" s="66" t="s">
        <v>98</v>
      </c>
      <c r="D52" s="67">
        <f>'LOOKUP  telda'!E26</f>
        <v>10</v>
      </c>
      <c r="E52" s="67">
        <f>'LOOKUP  telda'!F26+'LOOKUP  telda'!G26+'LOOKUP  telda'!H26</f>
        <v>1</v>
      </c>
      <c r="F52" s="67">
        <f>'LOOKUP  telda'!I26</f>
        <v>1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3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4</v>
      </c>
      <c r="Q52" s="40">
        <f t="shared" si="4"/>
        <v>0.44444444444444442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0.44444444444444442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86" t="s">
        <v>42</v>
      </c>
      <c r="C53" s="62" t="s">
        <v>99</v>
      </c>
      <c r="D53" s="63">
        <f>'LOOKUP  telda'!E27</f>
        <v>6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1</v>
      </c>
      <c r="O53" s="63">
        <f>'LOOKUP  telda'!Y27</f>
        <v>0</v>
      </c>
      <c r="P53" s="63">
        <f>'LOOKUP  telda'!Z27</f>
        <v>5</v>
      </c>
      <c r="Q53" s="40">
        <f t="shared" si="4"/>
        <v>0.83333333333333337</v>
      </c>
      <c r="R53" s="40">
        <f t="shared" si="5"/>
        <v>0.83333333333333337</v>
      </c>
      <c r="S53" s="40">
        <f>VLOOKUP(C53,Sheet3!$A$19:$G$81,7,FALSE)</f>
        <v>1</v>
      </c>
      <c r="T53" s="8">
        <f t="shared" si="6"/>
        <v>0.83333333333333337</v>
      </c>
      <c r="U53" s="8">
        <f t="shared" si="7"/>
        <v>0.83333333333333337</v>
      </c>
      <c r="V53" t="str">
        <f>VLOOKUP(C53,Sheet5!$A$2:$J$270,8,FALSE)</f>
        <v>BANYUWANGI</v>
      </c>
    </row>
    <row r="54" spans="2:22" ht="15.5">
      <c r="B54" s="186"/>
      <c r="C54" s="62" t="s">
        <v>100</v>
      </c>
      <c r="D54" s="63">
        <f>'LOOKUP  telda'!E28</f>
        <v>4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1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3</v>
      </c>
      <c r="Q54" s="40">
        <f t="shared" si="4"/>
        <v>0.75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0.75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86"/>
      <c r="C55" s="62" t="s">
        <v>101</v>
      </c>
      <c r="D55" s="63">
        <f>'LOOKUP  telda'!E29</f>
        <v>17</v>
      </c>
      <c r="E55" s="63">
        <f>'LOOKUP  telda'!F29+'LOOKUP  telda'!G29+'LOOKUP  telda'!H29</f>
        <v>2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1</v>
      </c>
      <c r="I55" s="63">
        <f>'LOOKUP  telda'!AF29</f>
        <v>2</v>
      </c>
      <c r="J55" s="63">
        <f>'LOOKUP  telda'!J29</f>
        <v>1</v>
      </c>
      <c r="K55" s="63">
        <f>'LOOKUP  telda'!K29</f>
        <v>1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10</v>
      </c>
      <c r="Q55" s="40">
        <f t="shared" si="4"/>
        <v>0.7142857142857143</v>
      </c>
      <c r="R55" s="40">
        <f t="shared" si="5"/>
        <v>1</v>
      </c>
      <c r="S55" s="40" t="e">
        <f>VLOOKUP(C55,Sheet3!$A$19:$G$81,7,FALSE)</f>
        <v>#N/A</v>
      </c>
      <c r="T55" s="8">
        <f t="shared" si="6"/>
        <v>0.7142857142857143</v>
      </c>
      <c r="U55" s="8">
        <f t="shared" si="7"/>
        <v>1</v>
      </c>
      <c r="V55" t="str">
        <f>VLOOKUP(C55,Sheet5!$A$2:$J$270,8,FALSE)</f>
        <v>SIDOARJO</v>
      </c>
    </row>
    <row r="56" spans="2:22" ht="15.5">
      <c r="B56" s="186"/>
      <c r="C56" s="62" t="s">
        <v>102</v>
      </c>
      <c r="D56" s="63">
        <f>'LOOKUP  telda'!E30</f>
        <v>4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1</v>
      </c>
      <c r="N56" s="63">
        <f>'LOOKUP  telda'!X30</f>
        <v>0</v>
      </c>
      <c r="O56" s="63">
        <f>'LOOKUP  telda'!Y30</f>
        <v>0</v>
      </c>
      <c r="P56" s="63">
        <f>'LOOKUP  telda'!Z30</f>
        <v>3</v>
      </c>
      <c r="Q56" s="40">
        <f t="shared" si="4"/>
        <v>0.75</v>
      </c>
      <c r="R56" s="40">
        <f t="shared" si="5"/>
        <v>0.75</v>
      </c>
      <c r="S56" s="40">
        <f>VLOOKUP(C56,Sheet3!$A$19:$G$81,7,FALSE)</f>
        <v>1</v>
      </c>
      <c r="T56" s="8">
        <f t="shared" si="6"/>
        <v>0.75</v>
      </c>
      <c r="U56" s="8">
        <f t="shared" si="7"/>
        <v>0.75</v>
      </c>
      <c r="V56" t="str">
        <f>VLOOKUP(C56,Sheet5!$A$2:$J$270,8,FALSE)</f>
        <v>JEMBER</v>
      </c>
    </row>
    <row r="57" spans="2:22" ht="15.5">
      <c r="B57" s="186"/>
      <c r="C57" s="62" t="s">
        <v>103</v>
      </c>
      <c r="D57" s="63">
        <f>'LOOKUP  telda'!E31</f>
        <v>10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2</v>
      </c>
      <c r="J57" s="63">
        <f>'LOOKUP  telda'!J31</f>
        <v>1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7</v>
      </c>
      <c r="Q57" s="40">
        <f t="shared" si="4"/>
        <v>0.875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0.875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6"/>
      <c r="C58" s="62" t="s">
        <v>104</v>
      </c>
      <c r="D58" s="63">
        <f>'LOOKUP  telda'!E32</f>
        <v>3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1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2</v>
      </c>
      <c r="Q58" s="40">
        <f t="shared" si="4"/>
        <v>0.66666666666666663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0.66666666666666663</v>
      </c>
      <c r="U58" s="8">
        <f t="shared" si="7"/>
        <v>1</v>
      </c>
      <c r="V58" t="str">
        <f>VLOOKUP(C58,Sheet5!$A$2:$J$270,8,FALSE)</f>
        <v>PROBOLINGGO</v>
      </c>
    </row>
    <row r="59" spans="2:22" ht="15.5">
      <c r="B59" s="186"/>
      <c r="C59" s="62" t="s">
        <v>105</v>
      </c>
      <c r="D59" s="63">
        <f>'LOOKUP  telda'!E33</f>
        <v>13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2</v>
      </c>
      <c r="K59" s="63">
        <f>'LOOKUP  telda'!K33</f>
        <v>0</v>
      </c>
      <c r="L59" s="63">
        <f>'LOOKUP  telda'!L33</f>
        <v>0</v>
      </c>
      <c r="M59" s="63">
        <f>'LOOKUP  telda'!P33</f>
        <v>2</v>
      </c>
      <c r="N59" s="63">
        <f>'LOOKUP  telda'!X33</f>
        <v>0</v>
      </c>
      <c r="O59" s="63">
        <f>'LOOKUP  telda'!Y33</f>
        <v>0</v>
      </c>
      <c r="P59" s="63">
        <f>'LOOKUP  telda'!Z33</f>
        <v>8</v>
      </c>
      <c r="Q59" s="40">
        <f t="shared" si="4"/>
        <v>0.66666666666666663</v>
      </c>
      <c r="R59" s="40">
        <f t="shared" si="5"/>
        <v>0.8</v>
      </c>
      <c r="S59" s="40">
        <f>VLOOKUP(C59,Sheet3!$A$19:$G$81,7,FALSE)</f>
        <v>1</v>
      </c>
      <c r="T59" s="8">
        <f t="shared" si="6"/>
        <v>0.66666666666666663</v>
      </c>
      <c r="U59" s="8">
        <f t="shared" si="7"/>
        <v>0.8</v>
      </c>
      <c r="V59" t="str">
        <f>VLOOKUP(C59,Sheet5!$A$2:$J$270,8,FALSE)</f>
        <v>MOJOKERTO</v>
      </c>
    </row>
    <row r="60" spans="2:22" ht="15.5">
      <c r="B60" s="186"/>
      <c r="C60" s="62" t="s">
        <v>106</v>
      </c>
      <c r="D60" s="63">
        <f>'LOOKUP  telda'!E34</f>
        <v>11</v>
      </c>
      <c r="E60" s="63">
        <f>'LOOKUP  telda'!F34+'LOOKUP  telda'!G34+'LOOKUP  telda'!H34</f>
        <v>2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2</v>
      </c>
      <c r="I60" s="63">
        <f>'LOOKUP  telda'!AF34</f>
        <v>0</v>
      </c>
      <c r="J60" s="63">
        <f>'LOOKUP  telda'!J34</f>
        <v>2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5</v>
      </c>
      <c r="Q60" s="40">
        <f t="shared" si="4"/>
        <v>0.45454545454545453</v>
      </c>
      <c r="R60" s="40">
        <f t="shared" si="5"/>
        <v>1</v>
      </c>
      <c r="S60" s="40">
        <f>VLOOKUP(C60,Sheet3!$A$19:$G$81,7,FALSE)</f>
        <v>1</v>
      </c>
      <c r="T60" s="8">
        <f t="shared" si="6"/>
        <v>0.45454545454545453</v>
      </c>
      <c r="U60" s="8">
        <f t="shared" si="7"/>
        <v>1</v>
      </c>
      <c r="V60" t="str">
        <f>VLOOKUP(C60,Sheet5!$A$2:$J$270,8,FALSE)</f>
        <v>PASURUAN</v>
      </c>
    </row>
    <row r="61" spans="2:22" ht="15.5">
      <c r="B61" s="186"/>
      <c r="C61" s="62" t="s">
        <v>107</v>
      </c>
      <c r="D61" s="63">
        <f>'LOOKUP  telda'!E35</f>
        <v>3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2</v>
      </c>
      <c r="Q61" s="40">
        <f t="shared" si="4"/>
        <v>0.66666666666666663</v>
      </c>
      <c r="R61" s="40">
        <f t="shared" si="5"/>
        <v>1</v>
      </c>
      <c r="S61" s="40">
        <f>VLOOKUP(C61,Sheet3!$A$19:$G$81,7,FALSE)</f>
        <v>1</v>
      </c>
      <c r="T61" s="8">
        <f t="shared" si="6"/>
        <v>0.66666666666666663</v>
      </c>
      <c r="U61" s="8">
        <f t="shared" si="7"/>
        <v>1</v>
      </c>
      <c r="V61" t="str">
        <f>VLOOKUP(C61,Sheet5!$A$2:$J$270,8,FALSE)</f>
        <v>PROBOLINGGO</v>
      </c>
    </row>
    <row r="62" spans="2:22" ht="15.5">
      <c r="B62" s="186"/>
      <c r="C62" s="62" t="s">
        <v>108</v>
      </c>
      <c r="D62" s="63">
        <f>'LOOKUP  telda'!E36</f>
        <v>1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1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7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1</v>
      </c>
      <c r="R63" s="40">
        <f t="shared" si="5"/>
        <v>1</v>
      </c>
      <c r="S63" s="40">
        <f>VLOOKUP(C63,Sheet3!$A$19:$G$81,7,FALSE)</f>
        <v>1</v>
      </c>
      <c r="T63" s="8">
        <f t="shared" si="6"/>
        <v>1</v>
      </c>
      <c r="U63" s="8">
        <f t="shared" si="7"/>
        <v>1</v>
      </c>
      <c r="V63" t="str">
        <f>VLOOKUP(C63,Sheet5!$A$2:$J$270,8,FALSE)</f>
        <v>ATAMBUA</v>
      </c>
    </row>
    <row r="64" spans="2:22" ht="15.5">
      <c r="B64" s="187"/>
      <c r="C64" s="68" t="s">
        <v>110</v>
      </c>
      <c r="D64" s="69">
        <f>'LOOKUP  telda'!E38</f>
        <v>8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1</v>
      </c>
      <c r="J64" s="69">
        <f>'LOOKUP  telda'!J38</f>
        <v>2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1</v>
      </c>
      <c r="O64" s="69">
        <f>'LOOKUP  telda'!Y38</f>
        <v>0</v>
      </c>
      <c r="P64" s="69">
        <f>'LOOKUP  telda'!Z38</f>
        <v>3</v>
      </c>
      <c r="Q64" s="40">
        <f t="shared" si="4"/>
        <v>0.42857142857142855</v>
      </c>
      <c r="R64" s="40">
        <f t="shared" si="5"/>
        <v>0.75</v>
      </c>
      <c r="S64" s="40">
        <f>VLOOKUP(C64,Sheet3!$A$19:$G$81,7,FALSE)</f>
        <v>1</v>
      </c>
      <c r="T64" s="8">
        <f t="shared" si="6"/>
        <v>0.42857142857142855</v>
      </c>
      <c r="U64" s="8">
        <f t="shared" si="7"/>
        <v>0.75</v>
      </c>
      <c r="V64" t="str">
        <f>VLOOKUP(C64,Sheet5!$A$2:$J$270,8,FALSE)</f>
        <v>BIMA</v>
      </c>
    </row>
    <row r="65" spans="2:22" ht="15.5">
      <c r="B65" s="187"/>
      <c r="C65" s="68" t="s">
        <v>111</v>
      </c>
      <c r="D65" s="69">
        <f>'LOOKUP  telda'!E39</f>
        <v>7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2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1</v>
      </c>
      <c r="P65" s="69">
        <f>'LOOKUP  telda'!Z39</f>
        <v>4</v>
      </c>
      <c r="Q65" s="40">
        <f t="shared" si="4"/>
        <v>0.5714285714285714</v>
      </c>
      <c r="R65" s="40">
        <f t="shared" si="5"/>
        <v>0.8</v>
      </c>
      <c r="S65" s="40">
        <f>VLOOKUP(C65,Sheet3!$A$19:$G$81,7,FALSE)</f>
        <v>1</v>
      </c>
      <c r="T65" s="8">
        <f t="shared" si="6"/>
        <v>0.5714285714285714</v>
      </c>
      <c r="U65" s="8">
        <f t="shared" si="7"/>
        <v>0.8</v>
      </c>
      <c r="V65" t="str">
        <f>VLOOKUP(C65,Sheet5!$A$2:$J$270,8,FALSE)</f>
        <v>ENDE</v>
      </c>
    </row>
    <row r="66" spans="2:22" ht="29">
      <c r="B66" s="187"/>
      <c r="C66" s="68" t="s">
        <v>112</v>
      </c>
      <c r="D66" s="69">
        <f>'LOOKUP  telda'!E40</f>
        <v>17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1</v>
      </c>
      <c r="J66" s="69">
        <f>'LOOKUP  telda'!J40</f>
        <v>3</v>
      </c>
      <c r="K66" s="69">
        <f>'LOOKUP  telda'!K40</f>
        <v>0</v>
      </c>
      <c r="L66" s="69">
        <f>'LOOKUP  telda'!L40</f>
        <v>0</v>
      </c>
      <c r="M66" s="69">
        <f>'LOOKUP  telda'!P40</f>
        <v>4</v>
      </c>
      <c r="N66" s="69">
        <f>'LOOKUP  telda'!X40</f>
        <v>2</v>
      </c>
      <c r="O66" s="69">
        <f>'LOOKUP  telda'!Y40</f>
        <v>0</v>
      </c>
      <c r="P66" s="69">
        <f>'LOOKUP  telda'!Z40</f>
        <v>7</v>
      </c>
      <c r="Q66" s="40">
        <f t="shared" si="4"/>
        <v>0.4375</v>
      </c>
      <c r="R66" s="40">
        <f t="shared" si="5"/>
        <v>0.53846153846153844</v>
      </c>
      <c r="S66" s="40" t="e">
        <f>VLOOKUP(C66,Sheet3!$A$19:$G$81,7,FALSE)</f>
        <v>#N/A</v>
      </c>
      <c r="T66" s="8">
        <f t="shared" si="6"/>
        <v>0.4375</v>
      </c>
      <c r="U66" s="8">
        <f t="shared" si="7"/>
        <v>0.53846153846153844</v>
      </c>
      <c r="V66" t="str">
        <f>VLOOKUP(C66,Sheet5!$A$2:$J$270,8,FALSE)</f>
        <v>MATARAM</v>
      </c>
    </row>
    <row r="67" spans="2:22" ht="15.5">
      <c r="B67" s="187"/>
      <c r="C67" s="68" t="s">
        <v>113</v>
      </c>
      <c r="D67" s="69">
        <f>'LOOKUP  telda'!E41</f>
        <v>11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1</v>
      </c>
      <c r="L67" s="69">
        <f>'LOOKUP  telda'!L41</f>
        <v>0</v>
      </c>
      <c r="M67" s="69">
        <f>'LOOKUP  telda'!P41</f>
        <v>5</v>
      </c>
      <c r="N67" s="69">
        <f>'LOOKUP  telda'!X41</f>
        <v>0</v>
      </c>
      <c r="O67" s="69">
        <f>'LOOKUP  telda'!Y41</f>
        <v>0</v>
      </c>
      <c r="P67" s="69">
        <f>'LOOKUP  telda'!Z41</f>
        <v>5</v>
      </c>
      <c r="Q67" s="40">
        <f t="shared" si="4"/>
        <v>0.5</v>
      </c>
      <c r="R67" s="40">
        <f t="shared" si="5"/>
        <v>0.5</v>
      </c>
      <c r="S67" s="40">
        <f>VLOOKUP(C67,Sheet3!$A$19:$G$81,7,FALSE)</f>
        <v>0.25</v>
      </c>
      <c r="T67" s="8">
        <f t="shared" si="6"/>
        <v>0.5</v>
      </c>
      <c r="U67" s="8">
        <f t="shared" si="7"/>
        <v>0.5</v>
      </c>
      <c r="V67" t="str">
        <f>VLOOKUP(C67,Sheet5!$A$2:$J$270,8,FALSE)</f>
        <v>KUPANG</v>
      </c>
    </row>
    <row r="68" spans="2:22" ht="15.5">
      <c r="B68" s="187"/>
      <c r="C68" s="68" t="s">
        <v>114</v>
      </c>
      <c r="D68" s="69">
        <f>'LOOKUP  telda'!E42</f>
        <v>5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3</v>
      </c>
      <c r="Q68" s="40">
        <f t="shared" si="4"/>
        <v>1</v>
      </c>
      <c r="R68" s="40">
        <f t="shared" si="5"/>
        <v>1</v>
      </c>
      <c r="S68" s="40">
        <f>VLOOKUP(C68,Sheet3!$A$19:$G$81,7,FALSE)</f>
        <v>0.66666666666666663</v>
      </c>
      <c r="T68" s="8">
        <f t="shared" si="6"/>
        <v>1</v>
      </c>
      <c r="U68" s="8">
        <f t="shared" si="7"/>
        <v>1</v>
      </c>
      <c r="V68" t="str">
        <f>VLOOKUP(C68,Sheet5!$A$2:$J$270,8,FALSE)</f>
        <v>LABOAN BAJO</v>
      </c>
    </row>
    <row r="69" spans="2:22" ht="29">
      <c r="B69" s="187"/>
      <c r="C69" s="68" t="s">
        <v>115</v>
      </c>
      <c r="D69" s="69">
        <f>'LOOKUP  telda'!E43</f>
        <v>20</v>
      </c>
      <c r="E69" s="69">
        <f>'LOOKUP  telda'!F43+'LOOKUP  telda'!G43+'LOOKUP  telda'!H43</f>
        <v>2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2</v>
      </c>
      <c r="J69" s="69">
        <f>'LOOKUP  telda'!J43</f>
        <v>3</v>
      </c>
      <c r="K69" s="69">
        <f>'LOOKUP  telda'!K43</f>
        <v>1</v>
      </c>
      <c r="L69" s="69">
        <f>'LOOKUP  telda'!L43</f>
        <v>0</v>
      </c>
      <c r="M69" s="69">
        <f>'LOOKUP  telda'!P43</f>
        <v>1</v>
      </c>
      <c r="N69" s="69">
        <f>'LOOKUP  telda'!X43</f>
        <v>1</v>
      </c>
      <c r="O69" s="69">
        <f>'LOOKUP  telda'!Y43</f>
        <v>0</v>
      </c>
      <c r="P69" s="69">
        <f>'LOOKUP  telda'!Z43</f>
        <v>10</v>
      </c>
      <c r="Q69" s="40">
        <f t="shared" si="4"/>
        <v>0.58823529411764708</v>
      </c>
      <c r="R69" s="40">
        <f t="shared" si="5"/>
        <v>0.83333333333333337</v>
      </c>
      <c r="S69" s="40" t="e">
        <f>VLOOKUP(C69,Sheet3!$A$19:$G$81,7,FALSE)</f>
        <v>#N/A</v>
      </c>
      <c r="T69" s="8">
        <f t="shared" si="6"/>
        <v>0.58823529411764708</v>
      </c>
      <c r="U69" s="8">
        <f t="shared" si="7"/>
        <v>0.83333333333333337</v>
      </c>
      <c r="V69" t="str">
        <f>VLOOKUP(C69,Sheet5!$A$2:$J$270,8,FALSE)</f>
        <v>SELONG</v>
      </c>
    </row>
    <row r="70" spans="2:22" ht="15.5">
      <c r="B70" s="187"/>
      <c r="C70" s="68" t="s">
        <v>116</v>
      </c>
      <c r="D70" s="69">
        <f>'LOOKUP  telda'!E44</f>
        <v>12</v>
      </c>
      <c r="E70" s="69">
        <f>'LOOKUP  telda'!F44+'LOOKUP  telda'!G44+'LOOKUP  telda'!H44</f>
        <v>2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</v>
      </c>
      <c r="J70" s="69">
        <f>'LOOKUP  telda'!J44</f>
        <v>2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7</v>
      </c>
      <c r="Q70" s="40">
        <f t="shared" si="4"/>
        <v>0.63636363636363635</v>
      </c>
      <c r="R70" s="40">
        <f t="shared" si="5"/>
        <v>1</v>
      </c>
      <c r="S70" s="40" t="e">
        <f>VLOOKUP(C70,Sheet3!$A$19:$G$81,7,FALSE)</f>
        <v>#N/A</v>
      </c>
      <c r="T70" s="8">
        <f t="shared" si="6"/>
        <v>0.63636363636363635</v>
      </c>
      <c r="U70" s="8">
        <f t="shared" si="7"/>
        <v>1</v>
      </c>
      <c r="V70" t="str">
        <f>VLOOKUP(C70,Sheet5!$A$2:$J$270,8,FALSE)</f>
        <v>SELONG</v>
      </c>
    </row>
    <row r="71" spans="2:22" ht="15.5">
      <c r="B71" s="187"/>
      <c r="C71" s="68" t="s">
        <v>117</v>
      </c>
      <c r="D71" s="69">
        <f>'LOOKUP  telda'!E45</f>
        <v>4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2</v>
      </c>
      <c r="N71" s="69">
        <f>'LOOKUP  telda'!X45</f>
        <v>0</v>
      </c>
      <c r="O71" s="69">
        <f>'LOOKUP  telda'!Y45</f>
        <v>0</v>
      </c>
      <c r="P71" s="69">
        <f>'LOOKUP  telda'!Z45</f>
        <v>2</v>
      </c>
      <c r="Q71" s="40">
        <f t="shared" si="4"/>
        <v>0.5</v>
      </c>
      <c r="R71" s="40">
        <f t="shared" si="5"/>
        <v>0.5</v>
      </c>
      <c r="S71" s="40">
        <f>VLOOKUP(C71,Sheet3!$A$19:$G$81,7,FALSE)</f>
        <v>1</v>
      </c>
      <c r="T71" s="8">
        <f t="shared" si="6"/>
        <v>0.5</v>
      </c>
      <c r="U71" s="8">
        <f t="shared" si="7"/>
        <v>0.5</v>
      </c>
      <c r="V71" t="str">
        <f>VLOOKUP(C71,Sheet5!$A$2:$J$270,8,FALSE)</f>
        <v>MAUMERE</v>
      </c>
    </row>
    <row r="72" spans="2:22" ht="15.5">
      <c r="B72" s="187"/>
      <c r="C72" s="68" t="s">
        <v>118</v>
      </c>
      <c r="D72" s="69">
        <f>'LOOKUP  telda'!E46</f>
        <v>24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6</v>
      </c>
      <c r="J72" s="69">
        <f>'LOOKUP  telda'!J46</f>
        <v>2</v>
      </c>
      <c r="K72" s="69">
        <f>'LOOKUP  telda'!K46</f>
        <v>3</v>
      </c>
      <c r="L72" s="69">
        <f>'LOOKUP  telda'!L46</f>
        <v>0</v>
      </c>
      <c r="M72" s="69">
        <f>'LOOKUP  telda'!P46</f>
        <v>3</v>
      </c>
      <c r="N72" s="69">
        <f>'LOOKUP  telda'!X46</f>
        <v>0</v>
      </c>
      <c r="O72" s="69">
        <f>'LOOKUP  telda'!Y46</f>
        <v>0</v>
      </c>
      <c r="P72" s="69">
        <f>'LOOKUP  telda'!Z46</f>
        <v>10</v>
      </c>
      <c r="Q72" s="40">
        <f t="shared" si="4"/>
        <v>0.66666666666666663</v>
      </c>
      <c r="R72" s="40">
        <f t="shared" si="5"/>
        <v>0.76923076923076927</v>
      </c>
      <c r="S72" s="40">
        <f>VLOOKUP(C72,Sheet3!$A$19:$G$81,7,FALSE)</f>
        <v>0.8571428571428571</v>
      </c>
      <c r="T72" s="8">
        <f t="shared" si="6"/>
        <v>0.66666666666666663</v>
      </c>
      <c r="U72" s="8">
        <f t="shared" si="7"/>
        <v>0.76923076923076927</v>
      </c>
      <c r="V72" t="str">
        <f>VLOOKUP(C72,Sheet5!$A$2:$J$270,8,FALSE)</f>
        <v>SUMBAWA</v>
      </c>
    </row>
    <row r="73" spans="2:22" ht="15.5">
      <c r="B73" s="187"/>
      <c r="C73" s="68" t="s">
        <v>119</v>
      </c>
      <c r="D73" s="69">
        <f>'LOOKUP  telda'!E47</f>
        <v>2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1</v>
      </c>
      <c r="O73" s="69">
        <f>'LOOKUP  telda'!Y47</f>
        <v>0</v>
      </c>
      <c r="P73" s="69">
        <f>'LOOKUP  telda'!Z47</f>
        <v>1</v>
      </c>
      <c r="Q73" s="40">
        <f t="shared" si="4"/>
        <v>0.5</v>
      </c>
      <c r="R73" s="40">
        <f t="shared" si="5"/>
        <v>0.5</v>
      </c>
      <c r="S73" s="40" t="e">
        <f>VLOOKUP(C73,Sheet3!$A$19:$G$81,7,FALSE)</f>
        <v>#N/A</v>
      </c>
      <c r="T73" s="8">
        <f t="shared" si="6"/>
        <v>0.5</v>
      </c>
      <c r="U73" s="8">
        <f t="shared" si="7"/>
        <v>0.5</v>
      </c>
      <c r="V73" t="str">
        <f>VLOOKUP(C73,Sheet5!$A$2:$J$270,8,FALSE)</f>
        <v>WAINGAPU</v>
      </c>
    </row>
    <row r="74" spans="2:22" ht="15.5">
      <c r="B74" s="187"/>
      <c r="C74" s="68" t="s">
        <v>120</v>
      </c>
      <c r="D74" s="69">
        <f>'LOOKUP  telda'!E48</f>
        <v>2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1</v>
      </c>
      <c r="Q74" s="40">
        <f t="shared" si="4"/>
        <v>1</v>
      </c>
      <c r="R74" s="40">
        <f t="shared" si="5"/>
        <v>1</v>
      </c>
      <c r="S74" s="40">
        <f>VLOOKUP(C74,Sheet3!$A$19:$G$81,7,FALSE)</f>
        <v>1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5">
      <c r="B75" s="188" t="s">
        <v>55</v>
      </c>
      <c r="C75" s="70" t="s">
        <v>121</v>
      </c>
      <c r="D75" s="99">
        <f>'LOOKUP  telda'!E49</f>
        <v>10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1</v>
      </c>
      <c r="J75" s="99">
        <f>'LOOKUP  telda'!J49</f>
        <v>3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1</v>
      </c>
      <c r="O75" s="99">
        <f>'LOOKUP  telda'!Y49</f>
        <v>0</v>
      </c>
      <c r="P75" s="99">
        <f>'LOOKUP  telda'!Z49</f>
        <v>5</v>
      </c>
      <c r="Q75" s="40">
        <f t="shared" si="4"/>
        <v>0.55555555555555558</v>
      </c>
      <c r="R75" s="40">
        <f t="shared" si="5"/>
        <v>0.83333333333333337</v>
      </c>
      <c r="S75" s="40" t="e">
        <f>VLOOKUP(C75,Sheet3!$A$19:$G$81,7,FALSE)</f>
        <v>#N/A</v>
      </c>
      <c r="T75" s="8">
        <f t="shared" si="6"/>
        <v>0.55555555555555558</v>
      </c>
      <c r="U75" s="8">
        <f t="shared" si="7"/>
        <v>0.83333333333333337</v>
      </c>
      <c r="V75" t="str">
        <f>VLOOKUP(C75,Sheet5!$A$2:$J$270,8,FALSE)</f>
        <v>MADURA</v>
      </c>
    </row>
    <row r="76" spans="2:22" ht="15.5">
      <c r="B76" s="188"/>
      <c r="C76" s="70" t="s">
        <v>122</v>
      </c>
      <c r="D76" s="99">
        <f>'LOOKUP  telda'!E50</f>
        <v>22</v>
      </c>
      <c r="E76" s="99">
        <f>'LOOKUP  telda'!F50+'LOOKUP  telda'!G50+'LOOKUP  telda'!H50</f>
        <v>1</v>
      </c>
      <c r="F76" s="99">
        <f>'LOOKUP  telda'!I50</f>
        <v>0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5</v>
      </c>
      <c r="J76" s="99">
        <f>'LOOKUP  telda'!J50</f>
        <v>1</v>
      </c>
      <c r="K76" s="99">
        <f>'LOOKUP  telda'!K50</f>
        <v>0</v>
      </c>
      <c r="L76" s="99">
        <f>'LOOKUP  telda'!L50</f>
        <v>0</v>
      </c>
      <c r="M76" s="99">
        <f>'LOOKUP  telda'!P50</f>
        <v>2</v>
      </c>
      <c r="N76" s="99">
        <f>'LOOKUP  telda'!X50</f>
        <v>1</v>
      </c>
      <c r="O76" s="99">
        <f>'LOOKUP  telda'!Y50</f>
        <v>0</v>
      </c>
      <c r="P76" s="99">
        <f>'LOOKUP  telda'!Z50</f>
        <v>12</v>
      </c>
      <c r="Q76" s="40">
        <f t="shared" si="4"/>
        <v>0.70588235294117652</v>
      </c>
      <c r="R76" s="40">
        <f t="shared" si="5"/>
        <v>0.8</v>
      </c>
      <c r="S76" s="40">
        <f>VLOOKUP(C76,Sheet3!$A$19:$G$81,7,FALSE)</f>
        <v>1</v>
      </c>
      <c r="T76" s="8">
        <f t="shared" si="6"/>
        <v>0.70588235294117652</v>
      </c>
      <c r="U76" s="8">
        <f t="shared" si="7"/>
        <v>0.8</v>
      </c>
      <c r="V76" t="str">
        <f>VLOOKUP(C76,Sheet5!$A$2:$J$270,8,FALSE)</f>
        <v>GRESIK</v>
      </c>
    </row>
    <row r="77" spans="2:22" ht="15.5">
      <c r="B77" s="188"/>
      <c r="C77" s="70" t="s">
        <v>123</v>
      </c>
      <c r="D77" s="99">
        <f>'LOOKUP  telda'!E51</f>
        <v>10</v>
      </c>
      <c r="E77" s="99">
        <f>'LOOKUP  telda'!F51+'LOOKUP  telda'!G51+'LOOKUP  telda'!H51</f>
        <v>0</v>
      </c>
      <c r="F77" s="99">
        <f>'LOOKUP  telda'!I51</f>
        <v>0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2</v>
      </c>
      <c r="J77" s="99">
        <f>'LOOKUP  telda'!J51</f>
        <v>0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8</v>
      </c>
      <c r="Q77" s="40">
        <f t="shared" si="4"/>
        <v>1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1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88"/>
      <c r="C78" s="70" t="s">
        <v>124</v>
      </c>
      <c r="D78" s="99">
        <f>'LOOKUP  telda'!E52</f>
        <v>18</v>
      </c>
      <c r="E78" s="99">
        <f>'LOOKUP  telda'!F52+'LOOKUP  telda'!G52+'LOOKUP  telda'!H52</f>
        <v>0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3</v>
      </c>
      <c r="J78" s="99">
        <f>'LOOKUP  telda'!J52</f>
        <v>3</v>
      </c>
      <c r="K78" s="99">
        <f>'LOOKUP  telda'!K52</f>
        <v>0</v>
      </c>
      <c r="L78" s="99">
        <f>'LOOKUP  telda'!L52</f>
        <v>0</v>
      </c>
      <c r="M78" s="99">
        <f>'LOOKUP  telda'!P52</f>
        <v>1</v>
      </c>
      <c r="N78" s="99">
        <f>'LOOKUP  telda'!X52</f>
        <v>0</v>
      </c>
      <c r="O78" s="99">
        <f>'LOOKUP  telda'!Y52</f>
        <v>0</v>
      </c>
      <c r="P78" s="99">
        <f>'LOOKUP  telda'!Z52</f>
        <v>10</v>
      </c>
      <c r="Q78" s="40">
        <f t="shared" si="4"/>
        <v>0.7142857142857143</v>
      </c>
      <c r="R78" s="40">
        <f t="shared" si="5"/>
        <v>0.90909090909090906</v>
      </c>
      <c r="S78" s="40" t="e">
        <f>VLOOKUP(C78,Sheet3!$A$19:$G$81,7,FALSE)</f>
        <v>#N/A</v>
      </c>
      <c r="T78" s="8">
        <f t="shared" si="6"/>
        <v>0.7142857142857143</v>
      </c>
      <c r="U78" s="8">
        <f t="shared" si="7"/>
        <v>0.90909090909090906</v>
      </c>
      <c r="V78" t="str">
        <f>VLOOKUP(C78,Sheet5!$A$2:$J$270,8,FALSE)</f>
        <v>SURABAYA SELATAN</v>
      </c>
    </row>
    <row r="79" spans="2:22" ht="15.5">
      <c r="B79" s="188"/>
      <c r="C79" s="70" t="s">
        <v>125</v>
      </c>
      <c r="D79" s="99">
        <f>'LOOKUP  telda'!E53</f>
        <v>14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1</v>
      </c>
      <c r="J79" s="99">
        <f>'LOOKUP  telda'!J53</f>
        <v>2</v>
      </c>
      <c r="K79" s="99">
        <f>'LOOKUP  telda'!K53</f>
        <v>0</v>
      </c>
      <c r="L79" s="99">
        <f>'LOOKUP  telda'!L53</f>
        <v>0</v>
      </c>
      <c r="M79" s="99">
        <f>'LOOKUP  telda'!P53</f>
        <v>2</v>
      </c>
      <c r="N79" s="99">
        <f>'LOOKUP  telda'!X53</f>
        <v>1</v>
      </c>
      <c r="O79" s="99">
        <f>'LOOKUP  telda'!Y53</f>
        <v>0</v>
      </c>
      <c r="P79" s="99">
        <f>'LOOKUP  telda'!Z53</f>
        <v>8</v>
      </c>
      <c r="Q79" s="40">
        <f t="shared" si="4"/>
        <v>0.61538461538461542</v>
      </c>
      <c r="R79" s="40">
        <f t="shared" si="5"/>
        <v>0.72727272727272729</v>
      </c>
      <c r="S79" s="40" t="e">
        <f>VLOOKUP(C79,Sheet3!$A$19:$G$81,7,FALSE)</f>
        <v>#N/A</v>
      </c>
      <c r="T79" s="8">
        <f t="shared" si="6"/>
        <v>0.61538461538461542</v>
      </c>
      <c r="U79" s="8">
        <f t="shared" si="7"/>
        <v>0.72727272727272729</v>
      </c>
      <c r="V79" t="str">
        <f>VLOOKUP(C79,Sheet5!$A$2:$J$270,8,FALSE)</f>
        <v>GRESIK</v>
      </c>
    </row>
    <row r="80" spans="2:22" ht="15.5">
      <c r="B80" s="188"/>
      <c r="C80" s="70" t="s">
        <v>126</v>
      </c>
      <c r="D80" s="99">
        <f>'LOOKUP  telda'!E54</f>
        <v>23</v>
      </c>
      <c r="E80" s="99">
        <f>'LOOKUP  telda'!F54+'LOOKUP  telda'!G54+'LOOKUP  telda'!H54</f>
        <v>0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3</v>
      </c>
      <c r="J80" s="99">
        <f>'LOOKUP  telda'!J54</f>
        <v>2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17</v>
      </c>
      <c r="Q80" s="40">
        <f t="shared" si="4"/>
        <v>0.85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0.85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88"/>
      <c r="C81" s="70" t="s">
        <v>127</v>
      </c>
      <c r="D81" s="99">
        <f>'LOOKUP  telda'!E55</f>
        <v>21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5</v>
      </c>
      <c r="J81" s="99">
        <f>'LOOKUP  telda'!J55</f>
        <v>5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0</v>
      </c>
      <c r="P81" s="99">
        <f>'LOOKUP  telda'!Z55</f>
        <v>11</v>
      </c>
      <c r="Q81" s="40">
        <f t="shared" si="4"/>
        <v>0.6875</v>
      </c>
      <c r="R81" s="40">
        <f t="shared" si="5"/>
        <v>1</v>
      </c>
      <c r="S81" s="40" t="e">
        <f>VLOOKUP(C81,Sheet3!$A$19:$G$81,7,FALSE)</f>
        <v>#N/A</v>
      </c>
      <c r="T81" s="8">
        <f t="shared" si="6"/>
        <v>0.6875</v>
      </c>
      <c r="U81" s="8">
        <f t="shared" si="7"/>
        <v>1</v>
      </c>
      <c r="V81" t="str">
        <f>VLOOKUP(C81,Sheet5!$A$2:$J$270,8,FALSE)</f>
        <v>MADURA</v>
      </c>
    </row>
    <row r="82" spans="2:22" ht="15.5">
      <c r="B82" s="188"/>
      <c r="C82" s="70" t="s">
        <v>128</v>
      </c>
      <c r="D82" s="99">
        <f>'LOOKUP  telda'!E56</f>
        <v>22</v>
      </c>
      <c r="E82" s="99">
        <f>'LOOKUP  telda'!F56+'LOOKUP  telda'!G56+'LOOKUP  telda'!H56</f>
        <v>0</v>
      </c>
      <c r="F82" s="99">
        <f>'LOOKUP  telda'!I56</f>
        <v>0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6</v>
      </c>
      <c r="J82" s="99">
        <f>'LOOKUP  telda'!J56</f>
        <v>4</v>
      </c>
      <c r="K82" s="99">
        <f>'LOOKUP  telda'!K56</f>
        <v>0</v>
      </c>
      <c r="L82" s="99">
        <f>'LOOKUP  telda'!L56</f>
        <v>0</v>
      </c>
      <c r="M82" s="99">
        <f>'LOOKUP  telda'!P56</f>
        <v>0</v>
      </c>
      <c r="N82" s="99">
        <f>'LOOKUP  telda'!X56</f>
        <v>0</v>
      </c>
      <c r="O82" s="99">
        <f>'LOOKUP  telda'!Y56</f>
        <v>0</v>
      </c>
      <c r="P82" s="99">
        <f>'LOOKUP  telda'!Z56</f>
        <v>12</v>
      </c>
      <c r="Q82" s="40">
        <f t="shared" si="4"/>
        <v>0.75</v>
      </c>
      <c r="R82" s="40">
        <f t="shared" si="5"/>
        <v>1</v>
      </c>
      <c r="S82" s="40" t="e">
        <f>VLOOKUP(C82,Sheet3!$A$19:$G$81,7,FALSE)</f>
        <v>#N/A</v>
      </c>
      <c r="T82" s="8">
        <f t="shared" si="6"/>
        <v>0.75</v>
      </c>
      <c r="U82" s="8">
        <f t="shared" si="7"/>
        <v>1</v>
      </c>
      <c r="V82" t="str">
        <f>VLOOKUP(C82,Sheet5!$A$2:$J$270,8,FALSE)</f>
        <v>SURABAYA UTARA</v>
      </c>
    </row>
    <row r="83" spans="2:22" ht="15.5">
      <c r="B83" s="149" t="s">
        <v>62</v>
      </c>
      <c r="C83" s="149"/>
      <c r="D83" s="26">
        <f>SUM(D33:D82)</f>
        <v>536</v>
      </c>
      <c r="E83" s="26">
        <f>SUM(E33:E82)</f>
        <v>19</v>
      </c>
      <c r="F83" s="26">
        <f>SUM(F33:F82)</f>
        <v>7</v>
      </c>
      <c r="G83" s="26">
        <f t="shared" ref="G83:P83" si="8">SUM(G33:G82)</f>
        <v>2</v>
      </c>
      <c r="H83" s="26">
        <f t="shared" si="8"/>
        <v>19</v>
      </c>
      <c r="I83" s="26">
        <f t="shared" si="8"/>
        <v>51</v>
      </c>
      <c r="J83" s="26">
        <f t="shared" si="8"/>
        <v>72</v>
      </c>
      <c r="K83" s="26">
        <f t="shared" si="8"/>
        <v>26</v>
      </c>
      <c r="L83" s="26">
        <f t="shared" si="8"/>
        <v>0</v>
      </c>
      <c r="M83" s="26">
        <f t="shared" si="8"/>
        <v>35</v>
      </c>
      <c r="N83" s="26">
        <f t="shared" si="8"/>
        <v>16</v>
      </c>
      <c r="O83" s="26">
        <f t="shared" si="8"/>
        <v>2</v>
      </c>
      <c r="P83" s="26">
        <f t="shared" si="8"/>
        <v>287</v>
      </c>
      <c r="Q83" s="41">
        <f>T83</f>
        <v>0.63495575221238942</v>
      </c>
      <c r="R83" s="41">
        <f>U83</f>
        <v>0.84411764705882353</v>
      </c>
      <c r="S83" s="41">
        <f>S15</f>
        <v>0.95041322314049592</v>
      </c>
      <c r="T83" s="8">
        <f>P83/(D83-F83-K83-I83)</f>
        <v>0.63495575221238942</v>
      </c>
      <c r="U83" s="8">
        <f>P83/(M83+N83+O83+P83)</f>
        <v>0.84411764705882353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26" t="str">
        <f ca="1">LAPORAN!C1</f>
        <v xml:space="preserve">PROVISIONING NEW SALES INDIBIZ TR3 JBN MTD H-1  2026-10-07 </v>
      </c>
      <c r="B1" s="126"/>
      <c r="C1" s="126"/>
      <c r="D1" s="126"/>
      <c r="E1" s="126"/>
      <c r="F1" s="126"/>
      <c r="G1" s="126"/>
      <c r="H1" s="126"/>
    </row>
    <row r="2" spans="1:8">
      <c r="A2" s="126" t="str">
        <f ca="1">LAPORAN!C2</f>
        <v xml:space="preserve">PERIODE ORDER &amp; PS : 2026-10-01 to  2026-10-07 </v>
      </c>
      <c r="B2" s="126"/>
      <c r="C2" s="126"/>
      <c r="D2" s="126"/>
      <c r="E2" s="126"/>
      <c r="F2" s="126"/>
      <c r="G2" s="126"/>
      <c r="H2" s="126"/>
    </row>
    <row r="3" spans="1:8">
      <c r="A3" s="126" t="str">
        <f>LAPORAN!C3</f>
        <v>Last update proses : 08-10-2026 11:04:06 WIB (Source: ETL XPRO)</v>
      </c>
      <c r="B3" s="126"/>
      <c r="C3" s="126"/>
      <c r="D3" s="126"/>
      <c r="E3" s="126"/>
      <c r="F3" s="126"/>
      <c r="G3" s="126"/>
      <c r="H3" s="126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80</v>
      </c>
      <c r="C6" s="4">
        <f>HARIAN!I10</f>
        <v>4</v>
      </c>
      <c r="D6" s="4">
        <f>HARIAN!P10</f>
        <v>24</v>
      </c>
      <c r="E6" s="77">
        <f t="shared" ref="E6:E11" si="0">C6/B6</f>
        <v>0.05</v>
      </c>
      <c r="F6" s="78">
        <f>HARIAN!Q10</f>
        <v>0.38709677419354838</v>
      </c>
      <c r="G6" s="78">
        <f>HARIAN!R10</f>
        <v>0.70588235294117652</v>
      </c>
      <c r="H6" s="78">
        <f>HARIAN!S10</f>
        <v>0.875</v>
      </c>
    </row>
    <row r="7" spans="1:8">
      <c r="A7" s="76" t="str">
        <f>HARIAN!C11</f>
        <v>JATIM BARAT</v>
      </c>
      <c r="B7" s="4">
        <f>HARIAN!D11</f>
        <v>131</v>
      </c>
      <c r="C7" s="4">
        <f>HARIAN!I11</f>
        <v>6</v>
      </c>
      <c r="D7" s="4">
        <f>HARIAN!P11</f>
        <v>80</v>
      </c>
      <c r="E7" s="77">
        <f t="shared" si="0"/>
        <v>4.5801526717557252E-2</v>
      </c>
      <c r="F7" s="78">
        <f>HARIAN!Q11</f>
        <v>0.68376068376068377</v>
      </c>
      <c r="G7" s="78">
        <f>HARIAN!R11</f>
        <v>0.88888888888888884</v>
      </c>
      <c r="H7" s="78">
        <f>HARIAN!S11</f>
        <v>0.9850746268656716</v>
      </c>
    </row>
    <row r="8" spans="1:8">
      <c r="A8" s="76" t="str">
        <f>HARIAN!C12</f>
        <v>JATIM TIMUR</v>
      </c>
      <c r="B8" s="4">
        <f>HARIAN!D12</f>
        <v>72</v>
      </c>
      <c r="C8" s="4">
        <f>HARIAN!I12</f>
        <v>4</v>
      </c>
      <c r="D8" s="4">
        <f>HARIAN!P12</f>
        <v>46</v>
      </c>
      <c r="E8" s="77">
        <f t="shared" si="0"/>
        <v>5.5555555555555552E-2</v>
      </c>
      <c r="F8" s="78">
        <f>HARIAN!Q12</f>
        <v>0.69696969696969702</v>
      </c>
      <c r="G8" s="78">
        <f>HARIAN!R12</f>
        <v>0.92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113</v>
      </c>
      <c r="C9" s="4">
        <f>HARIAN!I13</f>
        <v>11</v>
      </c>
      <c r="D9" s="4">
        <f>HARIAN!P13</f>
        <v>54</v>
      </c>
      <c r="E9" s="77">
        <f t="shared" si="0"/>
        <v>9.7345132743362831E-2</v>
      </c>
      <c r="F9" s="78">
        <f>HARIAN!Q13</f>
        <v>0.57446808510638303</v>
      </c>
      <c r="G9" s="78">
        <f>HARIAN!R13</f>
        <v>0.72</v>
      </c>
      <c r="H9" s="78">
        <f>HARIAN!S13</f>
        <v>0.81818181818181823</v>
      </c>
    </row>
    <row r="10" spans="1:8">
      <c r="A10" s="76" t="str">
        <f>HARIAN!C14</f>
        <v>SURAMADU</v>
      </c>
      <c r="B10" s="4">
        <f>HARIAN!D14</f>
        <v>140</v>
      </c>
      <c r="C10" s="4">
        <f>HARIAN!I14</f>
        <v>26</v>
      </c>
      <c r="D10" s="4">
        <f>HARIAN!P14</f>
        <v>83</v>
      </c>
      <c r="E10" s="77">
        <f t="shared" si="0"/>
        <v>0.18571428571428572</v>
      </c>
      <c r="F10" s="78">
        <f>HARIAN!Q14</f>
        <v>0.73451327433628322</v>
      </c>
      <c r="G10" s="78">
        <f>HARIAN!R14</f>
        <v>0.91208791208791207</v>
      </c>
      <c r="H10" s="78">
        <f>HARIAN!S14</f>
        <v>0.98648648648648651</v>
      </c>
    </row>
    <row r="11" spans="1:8">
      <c r="A11" s="79" t="str">
        <f>HARIAN!C15</f>
        <v>TOTAL</v>
      </c>
      <c r="B11" s="80">
        <f>HARIAN!D15</f>
        <v>536</v>
      </c>
      <c r="C11" s="80">
        <f>HARIAN!I15</f>
        <v>51</v>
      </c>
      <c r="D11" s="80">
        <f>HARIAN!P15</f>
        <v>287</v>
      </c>
      <c r="E11" s="81">
        <f t="shared" si="0"/>
        <v>9.5149253731343281E-2</v>
      </c>
      <c r="F11" s="82">
        <f>HARIAN!Q15</f>
        <v>0.63495575221238942</v>
      </c>
      <c r="G11" s="82">
        <f>HARIAN!R15</f>
        <v>0.84411764705882353</v>
      </c>
      <c r="H11" s="82">
        <f>HARIAN!S15</f>
        <v>0.95041322314049592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C1" zoomScale="90" zoomScaleNormal="90" workbookViewId="0">
      <selection activeCell="C4" sqref="C4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6" t="str">
        <f ca="1">"PROVISIONING NEW SALES INDIBIZ TR3 JBN MTD H-1  "&amp;TEXT(TODAY()-1,"YYYY-MM-DD ")</f>
        <v xml:space="preserve">PROVISIONING NEW SALES INDIBIZ TR3 JBN MTD H-1  2026-10-07 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20"/>
    </row>
    <row r="2" spans="3:19" ht="18.5">
      <c r="C2" s="106" t="str">
        <f ca="1">"PERIODE ORDER &amp; PS : 2026-10-01 to  "&amp;TEXT(TODAY()-1,"YYYY-MM-DD ")</f>
        <v xml:space="preserve">PERIODE ORDER &amp; PS : 2026-10-01 to  2026-10-07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</row>
    <row r="3" spans="3:19" ht="15.5">
      <c r="C3" s="107" t="s">
        <v>4490</v>
      </c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93"/>
    </row>
    <row r="5" spans="3:19" ht="15" customHeight="1">
      <c r="C5" s="108" t="s">
        <v>1</v>
      </c>
      <c r="D5" s="108" t="s">
        <v>129</v>
      </c>
      <c r="E5" s="108" t="s">
        <v>67</v>
      </c>
      <c r="F5" s="111" t="s">
        <v>12</v>
      </c>
      <c r="G5" s="112"/>
      <c r="H5" s="113"/>
      <c r="I5" s="120" t="s">
        <v>14</v>
      </c>
      <c r="J5" s="123" t="s">
        <v>8</v>
      </c>
      <c r="K5" s="123" t="s">
        <v>9</v>
      </c>
      <c r="L5" s="127" t="s">
        <v>10</v>
      </c>
      <c r="M5" s="128"/>
      <c r="N5" s="128"/>
      <c r="O5" s="129"/>
      <c r="P5" s="136" t="s">
        <v>11</v>
      </c>
      <c r="Q5" s="101" t="s">
        <v>130</v>
      </c>
      <c r="R5" s="101" t="s">
        <v>806</v>
      </c>
      <c r="S5" s="101" t="s">
        <v>807</v>
      </c>
    </row>
    <row r="6" spans="3:19" ht="6.75" customHeight="1">
      <c r="C6" s="109"/>
      <c r="D6" s="109"/>
      <c r="E6" s="109"/>
      <c r="F6" s="114"/>
      <c r="G6" s="115"/>
      <c r="H6" s="116"/>
      <c r="I6" s="121"/>
      <c r="J6" s="124"/>
      <c r="K6" s="124"/>
      <c r="L6" s="130"/>
      <c r="M6" s="131"/>
      <c r="N6" s="131"/>
      <c r="O6" s="132"/>
      <c r="P6" s="137"/>
      <c r="Q6" s="102"/>
      <c r="R6" s="102"/>
      <c r="S6" s="102"/>
    </row>
    <row r="7" spans="3:19" ht="4.5" customHeight="1">
      <c r="C7" s="109"/>
      <c r="D7" s="109"/>
      <c r="E7" s="109"/>
      <c r="F7" s="117"/>
      <c r="G7" s="118"/>
      <c r="H7" s="119"/>
      <c r="I7" s="121"/>
      <c r="J7" s="124"/>
      <c r="K7" s="124"/>
      <c r="L7" s="133"/>
      <c r="M7" s="134"/>
      <c r="N7" s="134"/>
      <c r="O7" s="135"/>
      <c r="P7" s="137"/>
      <c r="Q7" s="102"/>
      <c r="R7" s="102"/>
      <c r="S7" s="102"/>
    </row>
    <row r="8" spans="3:19" ht="45" customHeight="1">
      <c r="C8" s="110"/>
      <c r="D8" s="110"/>
      <c r="E8" s="110"/>
      <c r="F8" s="22" t="s">
        <v>133</v>
      </c>
      <c r="G8" s="22" t="s">
        <v>30</v>
      </c>
      <c r="H8" s="22" t="s">
        <v>69</v>
      </c>
      <c r="I8" s="122"/>
      <c r="J8" s="125"/>
      <c r="K8" s="125"/>
      <c r="L8" s="37" t="s">
        <v>2</v>
      </c>
      <c r="M8" s="37" t="s">
        <v>18</v>
      </c>
      <c r="N8" s="37" t="s">
        <v>20</v>
      </c>
      <c r="O8" s="37" t="s">
        <v>22</v>
      </c>
      <c r="P8" s="138"/>
      <c r="Q8" s="103"/>
      <c r="R8" s="103"/>
      <c r="S8" s="103"/>
    </row>
    <row r="9" spans="3:19" ht="15.5">
      <c r="C9" s="23" t="s">
        <v>34</v>
      </c>
      <c r="D9" s="24">
        <f>HARIAN!D10</f>
        <v>80</v>
      </c>
      <c r="E9" s="24">
        <f>HARIAN!E10</f>
        <v>3</v>
      </c>
      <c r="F9" s="24">
        <f>HARIAN!F10</f>
        <v>3</v>
      </c>
      <c r="G9" s="24">
        <f>HARIAN!G10</f>
        <v>1</v>
      </c>
      <c r="H9" s="24">
        <f>HARIAN!H10</f>
        <v>11</v>
      </c>
      <c r="I9" s="24">
        <f>HARIAN!I10</f>
        <v>4</v>
      </c>
      <c r="J9" s="24">
        <f>HARIAN!J10</f>
        <v>13</v>
      </c>
      <c r="K9" s="24">
        <f>HARIAN!K10</f>
        <v>11</v>
      </c>
      <c r="L9" s="24">
        <f>HARIAN!L10</f>
        <v>0</v>
      </c>
      <c r="M9" s="24">
        <f>HARIAN!M10</f>
        <v>5</v>
      </c>
      <c r="N9" s="24">
        <f>HARIAN!N10</f>
        <v>5</v>
      </c>
      <c r="O9" s="24">
        <f>HARIAN!O10</f>
        <v>0</v>
      </c>
      <c r="P9" s="24">
        <f>HARIAN!P10</f>
        <v>24</v>
      </c>
      <c r="Q9" s="40">
        <f>HARIAN!Q10</f>
        <v>0.38709677419354838</v>
      </c>
      <c r="R9" s="40">
        <f>HARIAN!R10</f>
        <v>0.70588235294117652</v>
      </c>
      <c r="S9" s="40">
        <f>HARIAN!S10</f>
        <v>0.875</v>
      </c>
    </row>
    <row r="10" spans="3:19" ht="15.5">
      <c r="C10" s="23" t="s">
        <v>38</v>
      </c>
      <c r="D10" s="24">
        <f>HARIAN!D11</f>
        <v>131</v>
      </c>
      <c r="E10" s="24">
        <f>HARIAN!E11</f>
        <v>6</v>
      </c>
      <c r="F10" s="24">
        <f>HARIAN!F11</f>
        <v>1</v>
      </c>
      <c r="G10" s="24">
        <f>HARIAN!G11</f>
        <v>0</v>
      </c>
      <c r="H10" s="24">
        <f>HARIAN!H11</f>
        <v>5</v>
      </c>
      <c r="I10" s="24">
        <f>HARIAN!I11</f>
        <v>6</v>
      </c>
      <c r="J10" s="24">
        <f>HARIAN!J11</f>
        <v>16</v>
      </c>
      <c r="K10" s="24">
        <f>HARIAN!K11</f>
        <v>7</v>
      </c>
      <c r="L10" s="24">
        <f>HARIAN!L11</f>
        <v>0</v>
      </c>
      <c r="M10" s="24">
        <f>HARIAN!M11</f>
        <v>7</v>
      </c>
      <c r="N10" s="24">
        <f>HARIAN!N11</f>
        <v>2</v>
      </c>
      <c r="O10" s="24">
        <f>HARIAN!O11</f>
        <v>1</v>
      </c>
      <c r="P10" s="24">
        <f>HARIAN!P11</f>
        <v>80</v>
      </c>
      <c r="Q10" s="40">
        <f>HARIAN!Q11</f>
        <v>0.68376068376068377</v>
      </c>
      <c r="R10" s="40">
        <f>HARIAN!R11</f>
        <v>0.88888888888888884</v>
      </c>
      <c r="S10" s="40">
        <f>HARIAN!S11</f>
        <v>0.9850746268656716</v>
      </c>
    </row>
    <row r="11" spans="3:19" ht="15.5">
      <c r="C11" s="23" t="s">
        <v>42</v>
      </c>
      <c r="D11" s="24">
        <f>HARIAN!D12</f>
        <v>72</v>
      </c>
      <c r="E11" s="24">
        <f>HARIAN!E12</f>
        <v>4</v>
      </c>
      <c r="F11" s="24">
        <f>HARIAN!F12</f>
        <v>1</v>
      </c>
      <c r="G11" s="24">
        <f>HARIAN!G12</f>
        <v>0</v>
      </c>
      <c r="H11" s="24">
        <f>HARIAN!H12</f>
        <v>3</v>
      </c>
      <c r="I11" s="24">
        <f>HARIAN!I12</f>
        <v>4</v>
      </c>
      <c r="J11" s="24">
        <f>HARIAN!J12</f>
        <v>9</v>
      </c>
      <c r="K11" s="24">
        <f>HARIAN!K12</f>
        <v>1</v>
      </c>
      <c r="L11" s="24">
        <f>HARIAN!L12</f>
        <v>0</v>
      </c>
      <c r="M11" s="24">
        <f>HARIAN!M12</f>
        <v>3</v>
      </c>
      <c r="N11" s="24">
        <f>HARIAN!N12</f>
        <v>1</v>
      </c>
      <c r="O11" s="24">
        <f>HARIAN!O12</f>
        <v>0</v>
      </c>
      <c r="P11" s="24">
        <f>HARIAN!P12</f>
        <v>46</v>
      </c>
      <c r="Q11" s="40">
        <f>HARIAN!Q12</f>
        <v>0.69696969696969702</v>
      </c>
      <c r="R11" s="40">
        <f>HARIAN!R12</f>
        <v>0.92</v>
      </c>
      <c r="S11" s="40">
        <f>HARIAN!S12</f>
        <v>1</v>
      </c>
    </row>
    <row r="12" spans="3:19" ht="15.5">
      <c r="C12" s="23" t="s">
        <v>45</v>
      </c>
      <c r="D12" s="24">
        <f>HARIAN!D13</f>
        <v>113</v>
      </c>
      <c r="E12" s="24">
        <f>HARIAN!E13</f>
        <v>5</v>
      </c>
      <c r="F12" s="24">
        <f>HARIAN!F13</f>
        <v>1</v>
      </c>
      <c r="G12" s="24">
        <f>HARIAN!G13</f>
        <v>0</v>
      </c>
      <c r="H12" s="24">
        <f>HARIAN!H13</f>
        <v>0</v>
      </c>
      <c r="I12" s="24">
        <f>HARIAN!I13</f>
        <v>11</v>
      </c>
      <c r="J12" s="24">
        <f>HARIAN!J13</f>
        <v>14</v>
      </c>
      <c r="K12" s="24">
        <f>HARIAN!K13</f>
        <v>7</v>
      </c>
      <c r="L12" s="24">
        <f>HARIAN!L13</f>
        <v>0</v>
      </c>
      <c r="M12" s="24">
        <f>HARIAN!M13</f>
        <v>15</v>
      </c>
      <c r="N12" s="24">
        <f>HARIAN!N13</f>
        <v>5</v>
      </c>
      <c r="O12" s="24">
        <f>HARIAN!O13</f>
        <v>1</v>
      </c>
      <c r="P12" s="24">
        <f>HARIAN!P13</f>
        <v>54</v>
      </c>
      <c r="Q12" s="40">
        <f>HARIAN!Q13</f>
        <v>0.57446808510638303</v>
      </c>
      <c r="R12" s="40">
        <f>HARIAN!R13</f>
        <v>0.72</v>
      </c>
      <c r="S12" s="40">
        <f>HARIAN!S13</f>
        <v>0.81818181818181823</v>
      </c>
    </row>
    <row r="13" spans="3:19" ht="15.5">
      <c r="C13" s="23" t="s">
        <v>55</v>
      </c>
      <c r="D13" s="24">
        <f>HARIAN!D14</f>
        <v>140</v>
      </c>
      <c r="E13" s="24">
        <f>HARIAN!E14</f>
        <v>1</v>
      </c>
      <c r="F13" s="24">
        <f>HARIAN!F14</f>
        <v>1</v>
      </c>
      <c r="G13" s="24">
        <f>HARIAN!G14</f>
        <v>1</v>
      </c>
      <c r="H13" s="24">
        <f>HARIAN!H14</f>
        <v>0</v>
      </c>
      <c r="I13" s="24">
        <f>HARIAN!I14</f>
        <v>26</v>
      </c>
      <c r="J13" s="24">
        <f>HARIAN!J14</f>
        <v>20</v>
      </c>
      <c r="K13" s="24">
        <f>HARIAN!K14</f>
        <v>0</v>
      </c>
      <c r="L13" s="24">
        <f>HARIAN!L14</f>
        <v>0</v>
      </c>
      <c r="M13" s="24">
        <f>HARIAN!M14</f>
        <v>5</v>
      </c>
      <c r="N13" s="24">
        <f>HARIAN!N14</f>
        <v>3</v>
      </c>
      <c r="O13" s="24">
        <f>HARIAN!O14</f>
        <v>0</v>
      </c>
      <c r="P13" s="24">
        <f>HARIAN!P14</f>
        <v>83</v>
      </c>
      <c r="Q13" s="40">
        <f>HARIAN!Q14</f>
        <v>0.73451327433628322</v>
      </c>
      <c r="R13" s="40">
        <f>HARIAN!R14</f>
        <v>0.91208791208791207</v>
      </c>
      <c r="S13" s="40">
        <f>HARIAN!S14</f>
        <v>0.98648648648648651</v>
      </c>
    </row>
    <row r="14" spans="3:19" ht="15.5">
      <c r="C14" s="25" t="s">
        <v>62</v>
      </c>
      <c r="D14" s="26">
        <f>SUM(D9:D13)</f>
        <v>536</v>
      </c>
      <c r="E14" s="26">
        <f>SUM(E9:E13)</f>
        <v>19</v>
      </c>
      <c r="F14" s="26">
        <f>SUM(F9:F13)</f>
        <v>7</v>
      </c>
      <c r="G14" s="26">
        <f t="shared" ref="G14:P14" si="0">SUM(G9:G13)</f>
        <v>2</v>
      </c>
      <c r="H14" s="26">
        <f t="shared" si="0"/>
        <v>19</v>
      </c>
      <c r="I14" s="26">
        <f t="shared" si="0"/>
        <v>51</v>
      </c>
      <c r="J14" s="26">
        <f t="shared" si="0"/>
        <v>72</v>
      </c>
      <c r="K14" s="26">
        <f t="shared" si="0"/>
        <v>26</v>
      </c>
      <c r="L14" s="26">
        <f t="shared" si="0"/>
        <v>0</v>
      </c>
      <c r="M14" s="26">
        <f t="shared" si="0"/>
        <v>35</v>
      </c>
      <c r="N14" s="26">
        <f t="shared" si="0"/>
        <v>16</v>
      </c>
      <c r="O14" s="26">
        <f t="shared" si="0"/>
        <v>2</v>
      </c>
      <c r="P14" s="26">
        <f t="shared" si="0"/>
        <v>287</v>
      </c>
      <c r="Q14" s="41">
        <f>HARIAN!Q15</f>
        <v>0.63495575221238942</v>
      </c>
      <c r="R14" s="41">
        <f>HARIAN!R15</f>
        <v>0.84411764705882353</v>
      </c>
      <c r="S14" s="41">
        <f>HARIAN!S15</f>
        <v>0.95041322314049592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04" t="s">
        <v>72</v>
      </c>
      <c r="E16" s="105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9" t="s">
        <v>73</v>
      </c>
      <c r="E17" s="140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9" t="s">
        <v>74</v>
      </c>
      <c r="E18" s="140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9" t="s">
        <v>75</v>
      </c>
      <c r="E19" s="140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9" t="s">
        <v>76</v>
      </c>
      <c r="E20" s="140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41" t="s">
        <v>138</v>
      </c>
      <c r="E21" s="142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26" t="str">
        <f ca="1">C1</f>
        <v xml:space="preserve">PROVISIONING NEW SALES INDIBIZ TR3 JBN MTD H-1  2026-10-07 </v>
      </c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83"/>
    </row>
    <row r="24" spans="2:21">
      <c r="B24" s="126" t="str">
        <f ca="1">C2</f>
        <v xml:space="preserve">PERIODE ORDER &amp; PS : 2026-10-01 to  2026-10-07 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83"/>
    </row>
    <row r="25" spans="2:21" ht="18.5">
      <c r="B25" s="143" t="str">
        <f>C3</f>
        <v>Last update proses : 08-10-2026 11:04:06 WIB (Source: ETL XPRO)</v>
      </c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35"/>
    </row>
    <row r="26" spans="2:21" ht="6.75" customHeight="1"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36"/>
    </row>
    <row r="27" spans="2:21" ht="9" customHeight="1"/>
    <row r="28" spans="2:21" ht="15" customHeight="1">
      <c r="B28" s="145" t="s">
        <v>1</v>
      </c>
      <c r="C28" s="145" t="s">
        <v>78</v>
      </c>
      <c r="D28" s="145" t="s">
        <v>129</v>
      </c>
      <c r="E28" s="146" t="s">
        <v>67</v>
      </c>
      <c r="F28" s="147" t="s">
        <v>12</v>
      </c>
      <c r="G28" s="147"/>
      <c r="H28" s="147"/>
      <c r="I28" s="147" t="s">
        <v>14</v>
      </c>
      <c r="J28" s="148" t="s">
        <v>8</v>
      </c>
      <c r="K28" s="148" t="s">
        <v>9</v>
      </c>
      <c r="L28" s="150" t="s">
        <v>10</v>
      </c>
      <c r="M28" s="150"/>
      <c r="N28" s="150"/>
      <c r="O28" s="150"/>
      <c r="P28" s="151" t="s">
        <v>11</v>
      </c>
      <c r="Q28" s="152" t="s">
        <v>130</v>
      </c>
      <c r="R28" s="101" t="s">
        <v>806</v>
      </c>
      <c r="S28" s="101" t="s">
        <v>807</v>
      </c>
    </row>
    <row r="29" spans="2:21" ht="15" customHeight="1">
      <c r="B29" s="145"/>
      <c r="C29" s="145"/>
      <c r="D29" s="145"/>
      <c r="E29" s="146"/>
      <c r="F29" s="147"/>
      <c r="G29" s="147"/>
      <c r="H29" s="147"/>
      <c r="I29" s="147"/>
      <c r="J29" s="148"/>
      <c r="K29" s="148"/>
      <c r="L29" s="150"/>
      <c r="M29" s="150"/>
      <c r="N29" s="150"/>
      <c r="O29" s="150"/>
      <c r="P29" s="151"/>
      <c r="Q29" s="152"/>
      <c r="R29" s="102"/>
      <c r="S29" s="102"/>
    </row>
    <row r="30" spans="2:21" ht="15" customHeight="1">
      <c r="B30" s="145"/>
      <c r="C30" s="145"/>
      <c r="D30" s="145"/>
      <c r="E30" s="146"/>
      <c r="F30" s="147"/>
      <c r="G30" s="147"/>
      <c r="H30" s="147"/>
      <c r="I30" s="147"/>
      <c r="J30" s="148"/>
      <c r="K30" s="148"/>
      <c r="L30" s="150"/>
      <c r="M30" s="150"/>
      <c r="N30" s="150"/>
      <c r="O30" s="150"/>
      <c r="P30" s="151"/>
      <c r="Q30" s="152"/>
      <c r="R30" s="102"/>
      <c r="S30" s="102"/>
    </row>
    <row r="31" spans="2:21" s="19" customFormat="1" ht="48" customHeight="1">
      <c r="B31" s="145"/>
      <c r="C31" s="145"/>
      <c r="D31" s="145"/>
      <c r="E31" s="146"/>
      <c r="F31" s="22" t="s">
        <v>133</v>
      </c>
      <c r="G31" s="22" t="s">
        <v>30</v>
      </c>
      <c r="H31" s="22" t="s">
        <v>69</v>
      </c>
      <c r="I31" s="147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52"/>
      <c r="R31" s="103"/>
      <c r="S31" s="103"/>
    </row>
    <row r="32" spans="2:21" ht="15.5">
      <c r="B32" s="153" t="s">
        <v>34</v>
      </c>
      <c r="C32" s="88" t="s">
        <v>79</v>
      </c>
      <c r="D32" s="65">
        <f>HARIAN!D33</f>
        <v>10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1</v>
      </c>
      <c r="J32" s="65">
        <f>HARIAN!J33</f>
        <v>1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3</v>
      </c>
      <c r="O32" s="65">
        <f>HARIAN!O33</f>
        <v>0</v>
      </c>
      <c r="P32" s="65">
        <f>HARIAN!P33</f>
        <v>5</v>
      </c>
      <c r="Q32" s="40">
        <f>T32</f>
        <v>0.55555555555555558</v>
      </c>
      <c r="R32" s="40">
        <f t="shared" ref="R32:R67" si="1">U32</f>
        <v>0.625</v>
      </c>
      <c r="S32" s="40">
        <f>VLOOKUP(C32,Sheet3!$A$19:$G$81,7,FALSE)</f>
        <v>0.6</v>
      </c>
      <c r="T32" s="10">
        <f>P32/(D32-F32-K32-I32)</f>
        <v>0.55555555555555558</v>
      </c>
      <c r="U32" s="10">
        <f>P32/(M32+N32+O32+P32)</f>
        <v>0.625</v>
      </c>
    </row>
    <row r="33" spans="2:21" ht="15.5">
      <c r="B33" s="153"/>
      <c r="C33" s="88" t="s">
        <v>85</v>
      </c>
      <c r="D33" s="65">
        <f>HARIAN!D34+HARIAN!D39</f>
        <v>37</v>
      </c>
      <c r="E33" s="65">
        <f>HARIAN!E34+HARIAN!E39</f>
        <v>0</v>
      </c>
      <c r="F33" s="65">
        <f>HARIAN!F34+HARIAN!F39</f>
        <v>1</v>
      </c>
      <c r="G33" s="65">
        <f>HARIAN!G34+HARIAN!G39</f>
        <v>0</v>
      </c>
      <c r="H33" s="65">
        <f>HARIAN!H34+HARIAN!H39</f>
        <v>11</v>
      </c>
      <c r="I33" s="65">
        <f>HARIAN!I34+HARIAN!I39</f>
        <v>1</v>
      </c>
      <c r="J33" s="65">
        <f>HARIAN!J34+HARIAN!J39</f>
        <v>4</v>
      </c>
      <c r="K33" s="65">
        <f>HARIAN!K34+HARIAN!K39</f>
        <v>11</v>
      </c>
      <c r="L33" s="65">
        <f>HARIAN!L34+HARIAN!L39</f>
        <v>0</v>
      </c>
      <c r="M33" s="65">
        <f>HARIAN!M34+HARIAN!M39</f>
        <v>0</v>
      </c>
      <c r="N33" s="65">
        <f>HARIAN!N34+HARIAN!N39</f>
        <v>2</v>
      </c>
      <c r="O33" s="65">
        <f>HARIAN!O34+HARIAN!O39</f>
        <v>0</v>
      </c>
      <c r="P33" s="65">
        <f>HARIAN!P34+HARIAN!P39</f>
        <v>7</v>
      </c>
      <c r="Q33" s="40">
        <f t="shared" ref="Q33:Q67" si="2">T33</f>
        <v>0.29166666666666669</v>
      </c>
      <c r="R33" s="40">
        <f t="shared" si="1"/>
        <v>0.77777777777777779</v>
      </c>
      <c r="S33" s="40">
        <f>VLOOKUP(C33,Sheet3!$A$19:$G$81,7,FALSE)</f>
        <v>1</v>
      </c>
      <c r="T33" s="10">
        <f t="shared" ref="T33:T67" si="3">P33/(D33-F33-K33-I33)</f>
        <v>0.29166666666666669</v>
      </c>
      <c r="U33" s="10">
        <f t="shared" ref="U33:U67" si="4">P33/(M33+N33+O33+P33)</f>
        <v>0.77777777777777779</v>
      </c>
    </row>
    <row r="34" spans="2:21" ht="15.5">
      <c r="B34" s="153"/>
      <c r="C34" s="88" t="s">
        <v>81</v>
      </c>
      <c r="D34" s="65">
        <f>HARIAN!D35</f>
        <v>11</v>
      </c>
      <c r="E34" s="65">
        <f>HARIAN!E35</f>
        <v>1</v>
      </c>
      <c r="F34" s="65">
        <f>HARIAN!F35</f>
        <v>1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4</v>
      </c>
      <c r="K34" s="65">
        <f>HARIAN!K35</f>
        <v>0</v>
      </c>
      <c r="L34" s="65">
        <f>HARIAN!L35</f>
        <v>0</v>
      </c>
      <c r="M34" s="65">
        <f>HARIAN!M35</f>
        <v>3</v>
      </c>
      <c r="N34" s="65">
        <f>HARIAN!N35</f>
        <v>0</v>
      </c>
      <c r="O34" s="65">
        <f>HARIAN!O35</f>
        <v>0</v>
      </c>
      <c r="P34" s="65">
        <f>HARIAN!P35</f>
        <v>2</v>
      </c>
      <c r="Q34" s="40">
        <f t="shared" si="2"/>
        <v>0.2</v>
      </c>
      <c r="R34" s="40">
        <f t="shared" si="1"/>
        <v>0.4</v>
      </c>
      <c r="S34" s="40" t="e">
        <f>VLOOKUP(C34,Sheet3!$A$19:$G$81,7,FALSE)</f>
        <v>#DIV/0!</v>
      </c>
      <c r="T34" s="10">
        <f t="shared" si="3"/>
        <v>0.2</v>
      </c>
      <c r="U34" s="10">
        <f t="shared" si="4"/>
        <v>0.4</v>
      </c>
    </row>
    <row r="35" spans="2:21" ht="15.5">
      <c r="B35" s="153"/>
      <c r="C35" s="88" t="s">
        <v>82</v>
      </c>
      <c r="D35" s="65">
        <f>HARIAN!D36</f>
        <v>3</v>
      </c>
      <c r="E35" s="65">
        <f>HARIAN!E36</f>
        <v>0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2</v>
      </c>
      <c r="Q35" s="40">
        <f t="shared" si="2"/>
        <v>1</v>
      </c>
      <c r="R35" s="40">
        <f t="shared" si="1"/>
        <v>1</v>
      </c>
      <c r="S35" s="40" t="e">
        <f>VLOOKUP(C35,Sheet3!$A$19:$G$81,7,FALSE)</f>
        <v>#DIV/0!</v>
      </c>
      <c r="T35" s="10">
        <f t="shared" si="3"/>
        <v>1</v>
      </c>
      <c r="U35" s="10">
        <f t="shared" si="4"/>
        <v>1</v>
      </c>
    </row>
    <row r="36" spans="2:21" ht="15.5">
      <c r="B36" s="153"/>
      <c r="C36" s="88" t="s">
        <v>83</v>
      </c>
      <c r="D36" s="65">
        <f>HARIAN!D37</f>
        <v>6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1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4</v>
      </c>
      <c r="Q36" s="40">
        <f t="shared" si="2"/>
        <v>0.8</v>
      </c>
      <c r="R36" s="40">
        <f t="shared" si="1"/>
        <v>1</v>
      </c>
      <c r="S36" s="40">
        <f>VLOOKUP(C36,Sheet3!$A$19:$G$81,7,FALSE)</f>
        <v>1</v>
      </c>
      <c r="T36" s="10">
        <f t="shared" si="3"/>
        <v>0.8</v>
      </c>
      <c r="U36" s="10">
        <f t="shared" si="4"/>
        <v>1</v>
      </c>
    </row>
    <row r="37" spans="2:21" ht="15.5">
      <c r="B37" s="153"/>
      <c r="C37" s="88" t="s">
        <v>84</v>
      </c>
      <c r="D37" s="65">
        <f>HARIAN!D38</f>
        <v>5</v>
      </c>
      <c r="E37" s="65">
        <f>HARIAN!E38</f>
        <v>2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1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2</v>
      </c>
      <c r="Q37" s="40">
        <f t="shared" si="2"/>
        <v>0.4</v>
      </c>
      <c r="R37" s="40">
        <f t="shared" si="1"/>
        <v>1</v>
      </c>
      <c r="S37" s="40">
        <f>VLOOKUP(C37,Sheet3!$A$19:$G$81,7,FALSE)</f>
        <v>1</v>
      </c>
      <c r="T37" s="10">
        <f t="shared" si="3"/>
        <v>0.4</v>
      </c>
      <c r="U37" s="10">
        <f t="shared" si="4"/>
        <v>1</v>
      </c>
    </row>
    <row r="38" spans="2:21" ht="15.5">
      <c r="B38" s="153"/>
      <c r="C38" s="88" t="s">
        <v>86</v>
      </c>
      <c r="D38" s="65">
        <f>HARIAN!D40</f>
        <v>8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1</v>
      </c>
      <c r="J38" s="65">
        <f>HARIAN!J40</f>
        <v>2</v>
      </c>
      <c r="K38" s="65">
        <f>HARIAN!K40</f>
        <v>0</v>
      </c>
      <c r="L38" s="65">
        <f>HARIAN!L40</f>
        <v>0</v>
      </c>
      <c r="M38" s="65">
        <f>HARIAN!M40</f>
        <v>2</v>
      </c>
      <c r="N38" s="65">
        <f>HARIAN!N40</f>
        <v>0</v>
      </c>
      <c r="O38" s="65">
        <f>HARIAN!O40</f>
        <v>0</v>
      </c>
      <c r="P38" s="65">
        <f>HARIAN!P40</f>
        <v>2</v>
      </c>
      <c r="Q38" s="40">
        <f t="shared" si="2"/>
        <v>0.2857142857142857</v>
      </c>
      <c r="R38" s="40">
        <f t="shared" si="1"/>
        <v>0.5</v>
      </c>
      <c r="S38" s="40">
        <f>VLOOKUP(C38,Sheet3!$A$19:$G$81,7,FALSE)</f>
        <v>1</v>
      </c>
      <c r="T38" s="10">
        <f t="shared" si="3"/>
        <v>0.2857142857142857</v>
      </c>
      <c r="U38" s="10">
        <f t="shared" si="4"/>
        <v>0.5</v>
      </c>
    </row>
    <row r="39" spans="2:21" ht="15.5">
      <c r="B39" s="154" t="s">
        <v>38</v>
      </c>
      <c r="C39" s="89" t="s">
        <v>87</v>
      </c>
      <c r="D39" s="67">
        <f>HARIAN!D41</f>
        <v>16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1</v>
      </c>
      <c r="I39" s="67">
        <f>HARIAN!I41</f>
        <v>1</v>
      </c>
      <c r="J39" s="67">
        <f>HARIAN!J41</f>
        <v>2</v>
      </c>
      <c r="K39" s="67">
        <f>HARIAN!K41</f>
        <v>0</v>
      </c>
      <c r="L39" s="67">
        <f>HARIAN!L41</f>
        <v>0</v>
      </c>
      <c r="M39" s="67">
        <f>HARIAN!M41</f>
        <v>1</v>
      </c>
      <c r="N39" s="67">
        <f>HARIAN!N41</f>
        <v>0</v>
      </c>
      <c r="O39" s="67">
        <f>HARIAN!O41</f>
        <v>0</v>
      </c>
      <c r="P39" s="67">
        <f>HARIAN!P41</f>
        <v>9</v>
      </c>
      <c r="Q39" s="40">
        <f t="shared" si="2"/>
        <v>0.6</v>
      </c>
      <c r="R39" s="40">
        <f t="shared" si="1"/>
        <v>0.9</v>
      </c>
      <c r="S39" s="40">
        <f>VLOOKUP(C39,Sheet3!$A$19:$G$81,7,FALSE)</f>
        <v>1</v>
      </c>
      <c r="T39" s="10">
        <f t="shared" ref="T39" si="5">P39/(D39-F39-K39-I39)</f>
        <v>0.6</v>
      </c>
      <c r="U39" s="10">
        <f t="shared" ref="U39" si="6">P39/(M39+N39+O39+P39)</f>
        <v>0.9</v>
      </c>
    </row>
    <row r="40" spans="2:21" ht="15.5">
      <c r="B40" s="154"/>
      <c r="C40" s="89" t="s">
        <v>88</v>
      </c>
      <c r="D40" s="67">
        <f>HARIAN!D42+HARIAN!D52</f>
        <v>16</v>
      </c>
      <c r="E40" s="67">
        <f>HARIAN!E42+HARIAN!E52</f>
        <v>1</v>
      </c>
      <c r="F40" s="67">
        <f>HARIAN!F42+HARIAN!F52</f>
        <v>1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3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10</v>
      </c>
      <c r="Q40" s="40">
        <f t="shared" si="2"/>
        <v>0.66666666666666663</v>
      </c>
      <c r="R40" s="40">
        <f t="shared" si="1"/>
        <v>1</v>
      </c>
      <c r="S40" s="40">
        <f>VLOOKUP(C40,Sheet3!$A$19:$G$81,7,FALSE)</f>
        <v>1</v>
      </c>
      <c r="T40" s="10">
        <f t="shared" si="3"/>
        <v>0.66666666666666663</v>
      </c>
      <c r="U40" s="10">
        <f t="shared" si="4"/>
        <v>1</v>
      </c>
    </row>
    <row r="41" spans="2:21" ht="15.5">
      <c r="B41" s="154"/>
      <c r="C41" s="89" t="s">
        <v>89</v>
      </c>
      <c r="D41" s="67">
        <f>HARIAN!D43+HARIAN!D51</f>
        <v>24</v>
      </c>
      <c r="E41" s="67">
        <f>HARIAN!E43+HARIAN!E51</f>
        <v>3</v>
      </c>
      <c r="F41" s="67">
        <f>HARIAN!F43+HARIAN!F51</f>
        <v>0</v>
      </c>
      <c r="G41" s="67">
        <f>HARIAN!G43+HARIAN!G51</f>
        <v>0</v>
      </c>
      <c r="H41" s="67">
        <f>HARIAN!H43+HARIAN!H51</f>
        <v>1</v>
      </c>
      <c r="I41" s="67">
        <f>HARIAN!I43+HARIAN!I51</f>
        <v>3</v>
      </c>
      <c r="J41" s="67">
        <f>HARIAN!J43+HARIAN!J51</f>
        <v>2</v>
      </c>
      <c r="K41" s="67">
        <f>HARIAN!K43+HARIAN!K51</f>
        <v>2</v>
      </c>
      <c r="L41" s="67">
        <f>HARIAN!L43+HARIAN!L51</f>
        <v>0</v>
      </c>
      <c r="M41" s="67">
        <f>HARIAN!M43+HARIAN!M51</f>
        <v>1</v>
      </c>
      <c r="N41" s="67">
        <f>HARIAN!N43+HARIAN!N51</f>
        <v>1</v>
      </c>
      <c r="O41" s="67">
        <f>HARIAN!O43+HARIAN!O51</f>
        <v>1</v>
      </c>
      <c r="P41" s="67">
        <f>HARIAN!P43+HARIAN!P51</f>
        <v>10</v>
      </c>
      <c r="Q41" s="40">
        <f t="shared" si="2"/>
        <v>0.52631578947368418</v>
      </c>
      <c r="R41" s="40">
        <f t="shared" si="1"/>
        <v>0.76923076923076927</v>
      </c>
      <c r="S41" s="40">
        <f>VLOOKUP(C41,Sheet3!$A$19:$G$81,7,FALSE)</f>
        <v>1</v>
      </c>
      <c r="T41" s="10">
        <f t="shared" si="3"/>
        <v>0.52631578947368418</v>
      </c>
      <c r="U41" s="10">
        <f t="shared" si="4"/>
        <v>0.76923076923076927</v>
      </c>
    </row>
    <row r="42" spans="2:21" ht="15.5">
      <c r="B42" s="154"/>
      <c r="C42" s="89" t="s">
        <v>90</v>
      </c>
      <c r="D42" s="67">
        <f>HARIAN!D44</f>
        <v>19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3</v>
      </c>
      <c r="K42" s="67">
        <f>HARIAN!K44</f>
        <v>0</v>
      </c>
      <c r="L42" s="67">
        <f>HARIAN!L44</f>
        <v>0</v>
      </c>
      <c r="M42" s="67">
        <f>HARIAN!M44</f>
        <v>2</v>
      </c>
      <c r="N42" s="67">
        <f>HARIAN!N44</f>
        <v>0</v>
      </c>
      <c r="O42" s="67">
        <f>HARIAN!O44</f>
        <v>0</v>
      </c>
      <c r="P42" s="67">
        <f>HARIAN!P44</f>
        <v>14</v>
      </c>
      <c r="Q42" s="40">
        <f t="shared" si="2"/>
        <v>0.73684210526315785</v>
      </c>
      <c r="R42" s="40">
        <f t="shared" si="1"/>
        <v>0.875</v>
      </c>
      <c r="S42" s="40">
        <f>VLOOKUP(C42,Sheet3!$A$19:$G$81,7,FALSE)</f>
        <v>0.92307692307692313</v>
      </c>
      <c r="T42" s="10">
        <f t="shared" si="3"/>
        <v>0.73684210526315785</v>
      </c>
      <c r="U42" s="10">
        <f t="shared" si="4"/>
        <v>0.875</v>
      </c>
    </row>
    <row r="43" spans="2:21" ht="15.5">
      <c r="B43" s="154"/>
      <c r="C43" s="89" t="s">
        <v>247</v>
      </c>
      <c r="D43" s="67">
        <f>HARIAN!D45</f>
        <v>20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2</v>
      </c>
      <c r="J43" s="67">
        <f>HARIAN!J45</f>
        <v>4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14</v>
      </c>
      <c r="Q43" s="40">
        <f t="shared" si="2"/>
        <v>0.77777777777777779</v>
      </c>
      <c r="R43" s="40">
        <f t="shared" si="1"/>
        <v>1</v>
      </c>
      <c r="S43" s="40">
        <f>VLOOKUP(C43,Sheet3!$A$19:$G$81,7,FALSE)</f>
        <v>1</v>
      </c>
      <c r="T43" s="10">
        <f t="shared" si="3"/>
        <v>0.77777777777777779</v>
      </c>
      <c r="U43" s="10">
        <f t="shared" si="4"/>
        <v>1</v>
      </c>
    </row>
    <row r="44" spans="2:21" ht="15.5">
      <c r="B44" s="154"/>
      <c r="C44" s="89" t="s">
        <v>92</v>
      </c>
      <c r="D44" s="67">
        <f>HARIAN!D46</f>
        <v>3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1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2</v>
      </c>
      <c r="Q44" s="40">
        <f t="shared" si="2"/>
        <v>1</v>
      </c>
      <c r="R44" s="40">
        <f t="shared" si="1"/>
        <v>1</v>
      </c>
      <c r="S44" s="40">
        <f>VLOOKUP(C44,Sheet3!$A$19:$G$81,7,FALSE)</f>
        <v>1</v>
      </c>
      <c r="T44" s="10">
        <f t="shared" si="3"/>
        <v>1</v>
      </c>
      <c r="U44" s="10">
        <f t="shared" si="4"/>
        <v>1</v>
      </c>
    </row>
    <row r="45" spans="2:21" ht="15.5">
      <c r="B45" s="154"/>
      <c r="C45" s="89" t="s">
        <v>93</v>
      </c>
      <c r="D45" s="67">
        <f>HARIAN!D47</f>
        <v>12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0</v>
      </c>
      <c r="J45" s="67">
        <f>HARIAN!J47</f>
        <v>0</v>
      </c>
      <c r="K45" s="67">
        <f>HARIAN!K47</f>
        <v>3</v>
      </c>
      <c r="L45" s="67">
        <f>HARIAN!L47</f>
        <v>0</v>
      </c>
      <c r="M45" s="67">
        <f>HARIAN!M47</f>
        <v>0</v>
      </c>
      <c r="N45" s="67">
        <f>HARIAN!N47</f>
        <v>1</v>
      </c>
      <c r="O45" s="67">
        <f>HARIAN!O47</f>
        <v>0</v>
      </c>
      <c r="P45" s="67">
        <f>HARIAN!P47</f>
        <v>7</v>
      </c>
      <c r="Q45" s="40">
        <f t="shared" si="2"/>
        <v>0.77777777777777779</v>
      </c>
      <c r="R45" s="40">
        <f t="shared" si="1"/>
        <v>0.875</v>
      </c>
      <c r="S45" s="40">
        <f>VLOOKUP(C45,Sheet3!$A$19:$G$81,7,FALSE)</f>
        <v>1</v>
      </c>
      <c r="T45" s="10">
        <f t="shared" si="3"/>
        <v>0.77777777777777779</v>
      </c>
      <c r="U45" s="10">
        <f t="shared" si="4"/>
        <v>0.875</v>
      </c>
    </row>
    <row r="46" spans="2:21" ht="15.5">
      <c r="B46" s="154"/>
      <c r="C46" s="89" t="s">
        <v>92</v>
      </c>
      <c r="D46" s="67">
        <f>HARIAN!D48</f>
        <v>3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3</v>
      </c>
      <c r="Q46" s="40">
        <f t="shared" si="2"/>
        <v>1</v>
      </c>
      <c r="R46" s="40">
        <f t="shared" si="1"/>
        <v>1</v>
      </c>
      <c r="S46" s="40">
        <f>VLOOKUP(C46,Sheet3!$A$19:$G$81,7,FALSE)</f>
        <v>1</v>
      </c>
      <c r="T46" s="10">
        <f t="shared" si="3"/>
        <v>1</v>
      </c>
      <c r="U46" s="10">
        <f t="shared" si="4"/>
        <v>1</v>
      </c>
    </row>
    <row r="47" spans="2:21" ht="15.5">
      <c r="B47" s="154"/>
      <c r="C47" s="89" t="s">
        <v>95</v>
      </c>
      <c r="D47" s="67">
        <f>HARIAN!D49+HARIAN!D50</f>
        <v>18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1</v>
      </c>
      <c r="I47" s="67">
        <f>HARIAN!I49+HARIAN!I50</f>
        <v>0</v>
      </c>
      <c r="J47" s="67">
        <f>HARIAN!J49+HARIAN!J50</f>
        <v>2</v>
      </c>
      <c r="K47" s="67">
        <f>HARIAN!K49+HARIAN!K50</f>
        <v>1</v>
      </c>
      <c r="L47" s="67">
        <f>HARIAN!L49+HARIAN!L50</f>
        <v>0</v>
      </c>
      <c r="M47" s="67">
        <f>HARIAN!M49+HARIAN!M50</f>
        <v>3</v>
      </c>
      <c r="N47" s="67">
        <f>HARIAN!N49+HARIAN!N50</f>
        <v>0</v>
      </c>
      <c r="O47" s="67">
        <f>HARIAN!O49+HARIAN!O50</f>
        <v>0</v>
      </c>
      <c r="P47" s="67">
        <f>HARIAN!P49+HARIAN!P50</f>
        <v>11</v>
      </c>
      <c r="Q47" s="40">
        <f t="shared" si="2"/>
        <v>0.6470588235294118</v>
      </c>
      <c r="R47" s="40">
        <f t="shared" si="1"/>
        <v>0.7857142857142857</v>
      </c>
      <c r="S47" s="40">
        <f>VLOOKUP(C47,Sheet3!$A$19:$G$81,7,FALSE)</f>
        <v>1</v>
      </c>
      <c r="T47" s="10">
        <f t="shared" si="3"/>
        <v>0.6470588235294118</v>
      </c>
      <c r="U47" s="10">
        <f t="shared" si="4"/>
        <v>0.7857142857142857</v>
      </c>
    </row>
    <row r="48" spans="2:21" ht="15.5">
      <c r="B48" s="155" t="s">
        <v>42</v>
      </c>
      <c r="C48" s="90" t="s">
        <v>99</v>
      </c>
      <c r="D48" s="63">
        <f>HARIAN!D53+HARIAN!D62</f>
        <v>7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1</v>
      </c>
      <c r="O48" s="63">
        <f>HARIAN!O53+HARIAN!O62</f>
        <v>0</v>
      </c>
      <c r="P48" s="63">
        <f>HARIAN!P53+HARIAN!P62</f>
        <v>6</v>
      </c>
      <c r="Q48" s="40">
        <f t="shared" si="2"/>
        <v>0.8571428571428571</v>
      </c>
      <c r="R48" s="40">
        <f t="shared" si="1"/>
        <v>0.8571428571428571</v>
      </c>
      <c r="S48" s="40">
        <f>VLOOKUP(C48,Sheet3!$A$19:$G$81,7,FALSE)</f>
        <v>1</v>
      </c>
      <c r="T48" s="10">
        <f t="shared" si="3"/>
        <v>0.8571428571428571</v>
      </c>
      <c r="U48" s="10">
        <f t="shared" si="4"/>
        <v>0.8571428571428571</v>
      </c>
    </row>
    <row r="49" spans="2:21" ht="15.5">
      <c r="B49" s="155"/>
      <c r="C49" s="90" t="s">
        <v>102</v>
      </c>
      <c r="D49" s="63">
        <f>HARIAN!D54+HARIAN!D56</f>
        <v>8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6</v>
      </c>
      <c r="Q49" s="40">
        <f t="shared" si="2"/>
        <v>0.75</v>
      </c>
      <c r="R49" s="40">
        <f t="shared" si="1"/>
        <v>0.8571428571428571</v>
      </c>
      <c r="S49" s="40">
        <f>VLOOKUP(C49,Sheet3!$A$19:$G$81,7,FALSE)</f>
        <v>1</v>
      </c>
      <c r="T49" s="10">
        <f t="shared" si="3"/>
        <v>0.75</v>
      </c>
      <c r="U49" s="10">
        <f t="shared" si="4"/>
        <v>0.8571428571428571</v>
      </c>
    </row>
    <row r="50" spans="2:21" ht="15.5">
      <c r="B50" s="155"/>
      <c r="C50" s="90" t="s">
        <v>232</v>
      </c>
      <c r="D50" s="63">
        <f>HARIAN!D55</f>
        <v>17</v>
      </c>
      <c r="E50" s="63">
        <f>HARIAN!E55</f>
        <v>2</v>
      </c>
      <c r="F50" s="63">
        <f>HARIAN!F55</f>
        <v>0</v>
      </c>
      <c r="G50" s="63">
        <f>HARIAN!G55</f>
        <v>0</v>
      </c>
      <c r="H50" s="63">
        <f>HARIAN!H55</f>
        <v>1</v>
      </c>
      <c r="I50" s="63">
        <f>HARIAN!I55</f>
        <v>2</v>
      </c>
      <c r="J50" s="63">
        <f>HARIAN!J55</f>
        <v>1</v>
      </c>
      <c r="K50" s="63">
        <f>HARIAN!K55</f>
        <v>1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10</v>
      </c>
      <c r="Q50" s="40">
        <f t="shared" si="2"/>
        <v>0.7142857142857143</v>
      </c>
      <c r="R50" s="40">
        <f t="shared" si="1"/>
        <v>1</v>
      </c>
      <c r="S50" s="40">
        <f>VLOOKUP(C50,Sheet3!$A$19:$G$81,7,FALSE)</f>
        <v>1</v>
      </c>
      <c r="T50" s="10">
        <f t="shared" si="3"/>
        <v>0.7142857142857143</v>
      </c>
      <c r="U50" s="10">
        <f t="shared" si="4"/>
        <v>1</v>
      </c>
    </row>
    <row r="51" spans="2:21" ht="15.5">
      <c r="B51" s="155"/>
      <c r="C51" s="90" t="s">
        <v>105</v>
      </c>
      <c r="D51" s="63">
        <f>HARIAN!D57+HARIAN!D59</f>
        <v>23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0</v>
      </c>
      <c r="I51" s="63">
        <f>HARIAN!I57+HARIAN!I59</f>
        <v>2</v>
      </c>
      <c r="J51" s="63">
        <f>HARIAN!J57+HARIAN!J59</f>
        <v>3</v>
      </c>
      <c r="K51" s="63">
        <f>HARIAN!K57+HARIAN!K59</f>
        <v>0</v>
      </c>
      <c r="L51" s="63">
        <f>HARIAN!L57+HARIAN!L59</f>
        <v>0</v>
      </c>
      <c r="M51" s="63">
        <f>HARIAN!M57+HARIAN!M59</f>
        <v>2</v>
      </c>
      <c r="N51" s="63">
        <f>HARIAN!N57+HARIAN!N59</f>
        <v>0</v>
      </c>
      <c r="O51" s="63">
        <f>HARIAN!O57+HARIAN!O59</f>
        <v>0</v>
      </c>
      <c r="P51" s="63">
        <f>HARIAN!P57+HARIAN!P59</f>
        <v>15</v>
      </c>
      <c r="Q51" s="40">
        <f t="shared" si="2"/>
        <v>0.75</v>
      </c>
      <c r="R51" s="40">
        <f t="shared" si="1"/>
        <v>0.88235294117647056</v>
      </c>
      <c r="S51" s="40">
        <f>VLOOKUP(C51,Sheet3!$A$19:$G$81,7,FALSE)</f>
        <v>1</v>
      </c>
      <c r="T51" s="10">
        <f t="shared" si="3"/>
        <v>0.75</v>
      </c>
      <c r="U51" s="10">
        <f t="shared" si="4"/>
        <v>0.88235294117647056</v>
      </c>
    </row>
    <row r="52" spans="2:21" ht="15.5">
      <c r="B52" s="155"/>
      <c r="C52" s="90" t="s">
        <v>106</v>
      </c>
      <c r="D52" s="63">
        <f>HARIAN!D60</f>
        <v>11</v>
      </c>
      <c r="E52" s="63">
        <f>HARIAN!E60</f>
        <v>2</v>
      </c>
      <c r="F52" s="63">
        <f>HARIAN!F60</f>
        <v>0</v>
      </c>
      <c r="G52" s="63">
        <f>HARIAN!G60</f>
        <v>0</v>
      </c>
      <c r="H52" s="63">
        <f>HARIAN!H60</f>
        <v>2</v>
      </c>
      <c r="I52" s="63">
        <f>HARIAN!I60</f>
        <v>0</v>
      </c>
      <c r="J52" s="63">
        <f>HARIAN!J60</f>
        <v>2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5</v>
      </c>
      <c r="Q52" s="40">
        <f t="shared" si="2"/>
        <v>0.45454545454545453</v>
      </c>
      <c r="R52" s="40">
        <f t="shared" si="1"/>
        <v>1</v>
      </c>
      <c r="S52" s="40">
        <f>VLOOKUP(C52,Sheet3!$A$19:$G$81,7,FALSE)</f>
        <v>1</v>
      </c>
      <c r="T52" s="10">
        <f t="shared" si="3"/>
        <v>0.45454545454545453</v>
      </c>
      <c r="U52" s="10">
        <f t="shared" si="4"/>
        <v>1</v>
      </c>
    </row>
    <row r="53" spans="2:21" ht="15.5">
      <c r="B53" s="155"/>
      <c r="C53" s="90" t="s">
        <v>107</v>
      </c>
      <c r="D53" s="63">
        <f>HARIAN!D61+HARIAN!D58</f>
        <v>6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2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4</v>
      </c>
      <c r="Q53" s="40">
        <f t="shared" si="2"/>
        <v>0.66666666666666663</v>
      </c>
      <c r="R53" s="40">
        <f t="shared" si="1"/>
        <v>1</v>
      </c>
      <c r="S53" s="40">
        <f>VLOOKUP(C53,Sheet3!$A$19:$G$81,7,FALSE)</f>
        <v>1</v>
      </c>
      <c r="T53" s="10">
        <f t="shared" si="3"/>
        <v>0.66666666666666663</v>
      </c>
      <c r="U53" s="10">
        <f t="shared" si="4"/>
        <v>1</v>
      </c>
    </row>
    <row r="54" spans="2:21" ht="15.5">
      <c r="B54" s="156" t="s">
        <v>70</v>
      </c>
      <c r="C54" s="91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1</v>
      </c>
      <c r="R54" s="40">
        <f t="shared" si="1"/>
        <v>1</v>
      </c>
      <c r="S54" s="40">
        <f>VLOOKUP(C54,Sheet3!$A$19:$G$81,7,FALSE)</f>
        <v>1</v>
      </c>
      <c r="T54" s="10">
        <f t="shared" si="3"/>
        <v>1</v>
      </c>
      <c r="U54" s="10">
        <f t="shared" si="4"/>
        <v>1</v>
      </c>
    </row>
    <row r="55" spans="2:21" ht="15.5">
      <c r="B55" s="156"/>
      <c r="C55" s="91" t="s">
        <v>110</v>
      </c>
      <c r="D55" s="69">
        <f>HARIAN!D64</f>
        <v>8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1</v>
      </c>
      <c r="J55" s="69">
        <f>HARIAN!J64</f>
        <v>2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1</v>
      </c>
      <c r="O55" s="69">
        <f>HARIAN!O64</f>
        <v>0</v>
      </c>
      <c r="P55" s="69">
        <f>HARIAN!P64</f>
        <v>3</v>
      </c>
      <c r="Q55" s="40">
        <f t="shared" si="2"/>
        <v>0.42857142857142855</v>
      </c>
      <c r="R55" s="40">
        <f t="shared" si="1"/>
        <v>0.75</v>
      </c>
      <c r="S55" s="40">
        <f>VLOOKUP(C55,Sheet3!$A$19:$G$81,7,FALSE)</f>
        <v>1</v>
      </c>
      <c r="T55" s="10">
        <f t="shared" si="3"/>
        <v>0.42857142857142855</v>
      </c>
      <c r="U55" s="10">
        <f t="shared" si="4"/>
        <v>0.75</v>
      </c>
    </row>
    <row r="56" spans="2:21" ht="15.5">
      <c r="B56" s="156"/>
      <c r="C56" s="91" t="s">
        <v>111</v>
      </c>
      <c r="D56" s="69">
        <f>HARIAN!D65</f>
        <v>7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2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1</v>
      </c>
      <c r="P56" s="69">
        <f>HARIAN!P65</f>
        <v>4</v>
      </c>
      <c r="Q56" s="40">
        <f t="shared" si="2"/>
        <v>0.5714285714285714</v>
      </c>
      <c r="R56" s="40">
        <f t="shared" si="1"/>
        <v>0.8</v>
      </c>
      <c r="S56" s="40">
        <f>VLOOKUP(C56,Sheet3!$A$19:$G$81,7,FALSE)</f>
        <v>1</v>
      </c>
      <c r="T56" s="10">
        <f t="shared" si="3"/>
        <v>0.5714285714285714</v>
      </c>
      <c r="U56" s="10">
        <f t="shared" si="4"/>
        <v>0.8</v>
      </c>
    </row>
    <row r="57" spans="2:21" ht="15.5">
      <c r="B57" s="156"/>
      <c r="C57" s="91" t="s">
        <v>210</v>
      </c>
      <c r="D57" s="69">
        <f>HARIAN!D66</f>
        <v>17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1</v>
      </c>
      <c r="J57" s="69">
        <f>HARIAN!J66</f>
        <v>3</v>
      </c>
      <c r="K57" s="69">
        <f>HARIAN!K66</f>
        <v>0</v>
      </c>
      <c r="L57" s="69">
        <f>HARIAN!L66</f>
        <v>0</v>
      </c>
      <c r="M57" s="69">
        <f>HARIAN!M66</f>
        <v>4</v>
      </c>
      <c r="N57" s="69">
        <f>HARIAN!N66</f>
        <v>2</v>
      </c>
      <c r="O57" s="69">
        <f>HARIAN!O66</f>
        <v>0</v>
      </c>
      <c r="P57" s="69">
        <f>HARIAN!P66</f>
        <v>7</v>
      </c>
      <c r="Q57" s="40">
        <f t="shared" si="2"/>
        <v>0.4375</v>
      </c>
      <c r="R57" s="40">
        <f t="shared" si="1"/>
        <v>0.53846153846153844</v>
      </c>
      <c r="S57" s="40">
        <f>VLOOKUP(C57,Sheet3!$A$19:$G$81,7,FALSE)</f>
        <v>0.5</v>
      </c>
      <c r="T57" s="10">
        <f t="shared" si="3"/>
        <v>0.4375</v>
      </c>
      <c r="U57" s="10">
        <f t="shared" si="4"/>
        <v>0.53846153846153844</v>
      </c>
    </row>
    <row r="58" spans="2:21" ht="15.5">
      <c r="B58" s="156"/>
      <c r="C58" s="91" t="s">
        <v>113</v>
      </c>
      <c r="D58" s="69">
        <f>HARIAN!D67</f>
        <v>11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1</v>
      </c>
      <c r="L58" s="69">
        <f>HARIAN!L67</f>
        <v>0</v>
      </c>
      <c r="M58" s="69">
        <f>HARIAN!M67</f>
        <v>5</v>
      </c>
      <c r="N58" s="69">
        <f>HARIAN!N67</f>
        <v>0</v>
      </c>
      <c r="O58" s="69">
        <f>HARIAN!O67</f>
        <v>0</v>
      </c>
      <c r="P58" s="69">
        <f>HARIAN!P67</f>
        <v>5</v>
      </c>
      <c r="Q58" s="40">
        <f t="shared" si="2"/>
        <v>0.5</v>
      </c>
      <c r="R58" s="40">
        <f t="shared" si="1"/>
        <v>0.5</v>
      </c>
      <c r="S58" s="40">
        <f>VLOOKUP(C58,Sheet3!$A$19:$G$81,7,FALSE)</f>
        <v>0.25</v>
      </c>
      <c r="T58" s="10">
        <f t="shared" si="3"/>
        <v>0.5</v>
      </c>
      <c r="U58" s="10">
        <f t="shared" si="4"/>
        <v>0.5</v>
      </c>
    </row>
    <row r="59" spans="2:21" ht="15.5">
      <c r="B59" s="156"/>
      <c r="C59" s="91" t="s">
        <v>114</v>
      </c>
      <c r="D59" s="69">
        <f>HARIAN!D68</f>
        <v>5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3</v>
      </c>
      <c r="Q59" s="40">
        <f t="shared" si="2"/>
        <v>1</v>
      </c>
      <c r="R59" s="40">
        <f t="shared" si="1"/>
        <v>1</v>
      </c>
      <c r="S59" s="40">
        <f>VLOOKUP(C59,Sheet3!$A$19:$G$81,7,FALSE)</f>
        <v>0.66666666666666663</v>
      </c>
      <c r="T59" s="10">
        <f t="shared" si="3"/>
        <v>1</v>
      </c>
      <c r="U59" s="10">
        <f t="shared" si="4"/>
        <v>1</v>
      </c>
    </row>
    <row r="60" spans="2:21" ht="15.5">
      <c r="B60" s="156"/>
      <c r="C60" s="91" t="s">
        <v>755</v>
      </c>
      <c r="D60" s="69">
        <f>HARIAN!D69+HARIAN!D70</f>
        <v>32</v>
      </c>
      <c r="E60" s="69">
        <f>HARIAN!E69+HARIAN!E70</f>
        <v>4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3</v>
      </c>
      <c r="J60" s="69">
        <f>HARIAN!J69+HARIAN!J70</f>
        <v>5</v>
      </c>
      <c r="K60" s="69">
        <f>HARIAN!K69+HARIAN!K70</f>
        <v>1</v>
      </c>
      <c r="L60" s="69">
        <f>HARIAN!L69+HARIAN!L70</f>
        <v>0</v>
      </c>
      <c r="M60" s="69">
        <f>HARIAN!M69+HARIAN!M70</f>
        <v>1</v>
      </c>
      <c r="N60" s="69">
        <f>HARIAN!N69+HARIAN!N70</f>
        <v>1</v>
      </c>
      <c r="O60" s="69">
        <f>HARIAN!O69+HARIAN!O70</f>
        <v>0</v>
      </c>
      <c r="P60" s="69">
        <f>HARIAN!P69+HARIAN!P70</f>
        <v>17</v>
      </c>
      <c r="Q60" s="40">
        <f t="shared" si="2"/>
        <v>0.6071428571428571</v>
      </c>
      <c r="R60" s="40">
        <f t="shared" si="1"/>
        <v>0.89473684210526316</v>
      </c>
      <c r="S60" s="40">
        <f>VLOOKUP(C60,Sheet3!$A$19:$G$81,7,FALSE)</f>
        <v>1</v>
      </c>
      <c r="T60" s="10">
        <f t="shared" si="3"/>
        <v>0.6071428571428571</v>
      </c>
      <c r="U60" s="10">
        <f t="shared" si="4"/>
        <v>0.89473684210526316</v>
      </c>
    </row>
    <row r="61" spans="2:21" ht="15.5">
      <c r="B61" s="156"/>
      <c r="C61" s="91" t="s">
        <v>117</v>
      </c>
      <c r="D61" s="69">
        <f>HARIAN!D71</f>
        <v>4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2</v>
      </c>
      <c r="N61" s="69">
        <f>HARIAN!N71</f>
        <v>0</v>
      </c>
      <c r="O61" s="69">
        <f>HARIAN!O71</f>
        <v>0</v>
      </c>
      <c r="P61" s="69">
        <f>HARIAN!P71</f>
        <v>2</v>
      </c>
      <c r="Q61" s="40">
        <f t="shared" si="2"/>
        <v>0.5</v>
      </c>
      <c r="R61" s="40">
        <f t="shared" si="1"/>
        <v>0.5</v>
      </c>
      <c r="S61" s="40">
        <f>VLOOKUP(C61,Sheet3!$A$19:$G$81,7,FALSE)</f>
        <v>1</v>
      </c>
      <c r="T61" s="10">
        <f t="shared" si="3"/>
        <v>0.5</v>
      </c>
      <c r="U61" s="10">
        <f t="shared" si="4"/>
        <v>0.5</v>
      </c>
    </row>
    <row r="62" spans="2:21" ht="15.5">
      <c r="B62" s="156"/>
      <c r="C62" s="91" t="s">
        <v>118</v>
      </c>
      <c r="D62" s="69">
        <f>HARIAN!D72</f>
        <v>24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6</v>
      </c>
      <c r="J62" s="69">
        <f>HARIAN!J72</f>
        <v>2</v>
      </c>
      <c r="K62" s="69">
        <f>HARIAN!K72</f>
        <v>3</v>
      </c>
      <c r="L62" s="69">
        <f>HARIAN!L72</f>
        <v>0</v>
      </c>
      <c r="M62" s="69">
        <f>HARIAN!M72</f>
        <v>3</v>
      </c>
      <c r="N62" s="69">
        <f>HARIAN!N72</f>
        <v>0</v>
      </c>
      <c r="O62" s="69">
        <f>HARIAN!O72</f>
        <v>0</v>
      </c>
      <c r="P62" s="69">
        <f>HARIAN!P72</f>
        <v>10</v>
      </c>
      <c r="Q62" s="40">
        <f t="shared" si="2"/>
        <v>0.66666666666666663</v>
      </c>
      <c r="R62" s="40">
        <f t="shared" si="1"/>
        <v>0.76923076923076927</v>
      </c>
      <c r="S62" s="40">
        <f>VLOOKUP(C62,Sheet3!$A$19:$G$81,7,FALSE)</f>
        <v>0.8571428571428571</v>
      </c>
      <c r="T62" s="10">
        <f t="shared" si="3"/>
        <v>0.66666666666666663</v>
      </c>
      <c r="U62" s="10">
        <f t="shared" si="4"/>
        <v>0.76923076923076927</v>
      </c>
    </row>
    <row r="63" spans="2:21" ht="15.5">
      <c r="B63" s="156"/>
      <c r="C63" s="91" t="s">
        <v>120</v>
      </c>
      <c r="D63" s="69">
        <f>HARIAN!D73+HARIAN!D74</f>
        <v>4</v>
      </c>
      <c r="E63" s="69">
        <f>HARIAN!E73+HARIAN!E74</f>
        <v>0</v>
      </c>
      <c r="F63" s="69">
        <f>HARIAN!F73+HARIAN!F74</f>
        <v>1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1</v>
      </c>
      <c r="O63" s="69">
        <f>HARIAN!O73+HARIAN!O74</f>
        <v>0</v>
      </c>
      <c r="P63" s="69">
        <f>HARIAN!P73+HARIAN!P74</f>
        <v>2</v>
      </c>
      <c r="Q63" s="40">
        <f t="shared" si="2"/>
        <v>0.66666666666666663</v>
      </c>
      <c r="R63" s="40">
        <f t="shared" si="1"/>
        <v>0.66666666666666663</v>
      </c>
      <c r="S63" s="40">
        <f>VLOOKUP(C63,Sheet3!$A$19:$G$81,7,FALSE)</f>
        <v>1</v>
      </c>
      <c r="T63" s="10">
        <f t="shared" si="3"/>
        <v>0.66666666666666663</v>
      </c>
      <c r="U63" s="10">
        <f t="shared" si="4"/>
        <v>0.66666666666666663</v>
      </c>
    </row>
    <row r="64" spans="2:21" ht="15.5">
      <c r="B64" s="157" t="s">
        <v>55</v>
      </c>
      <c r="C64" s="92" t="s">
        <v>227</v>
      </c>
      <c r="D64" s="71">
        <f>HARIAN!D75+HARIAN!D81</f>
        <v>31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6</v>
      </c>
      <c r="J64" s="71">
        <f>HARIAN!J75+HARIAN!J81</f>
        <v>8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1</v>
      </c>
      <c r="O64" s="71">
        <f>HARIAN!O75+HARIAN!O81</f>
        <v>0</v>
      </c>
      <c r="P64" s="71">
        <f>HARIAN!P75+HARIAN!P81</f>
        <v>16</v>
      </c>
      <c r="Q64" s="40">
        <f t="shared" si="2"/>
        <v>0.64</v>
      </c>
      <c r="R64" s="40">
        <f t="shared" si="1"/>
        <v>0.94117647058823528</v>
      </c>
      <c r="S64" s="40">
        <f>VLOOKUP(C64,Sheet3!$A$19:$G$81,7,FALSE)</f>
        <v>1</v>
      </c>
      <c r="T64" s="10">
        <f t="shared" si="3"/>
        <v>0.64</v>
      </c>
      <c r="U64" s="10">
        <f t="shared" si="4"/>
        <v>0.94117647058823528</v>
      </c>
    </row>
    <row r="65" spans="2:21" ht="15.5">
      <c r="B65" s="157"/>
      <c r="C65" s="92" t="s">
        <v>122</v>
      </c>
      <c r="D65" s="71">
        <f>HARIAN!D76+HARIAN!D79</f>
        <v>36</v>
      </c>
      <c r="E65" s="71">
        <f>HARIAN!E76+HARIAN!E79</f>
        <v>1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6</v>
      </c>
      <c r="J65" s="71">
        <f>HARIAN!J76+HARIAN!J79</f>
        <v>3</v>
      </c>
      <c r="K65" s="71">
        <f>HARIAN!K76+HARIAN!K79</f>
        <v>0</v>
      </c>
      <c r="L65" s="71">
        <f>HARIAN!L76+HARIAN!L79</f>
        <v>0</v>
      </c>
      <c r="M65" s="71">
        <f>HARIAN!M76+HARIAN!M79</f>
        <v>4</v>
      </c>
      <c r="N65" s="71">
        <f>HARIAN!N76+HARIAN!N79</f>
        <v>2</v>
      </c>
      <c r="O65" s="71">
        <f>HARIAN!O76+HARIAN!O79</f>
        <v>0</v>
      </c>
      <c r="P65" s="71">
        <f>HARIAN!P76+HARIAN!P79</f>
        <v>20</v>
      </c>
      <c r="Q65" s="40">
        <f t="shared" si="2"/>
        <v>0.66666666666666663</v>
      </c>
      <c r="R65" s="40">
        <f t="shared" si="1"/>
        <v>0.76923076923076927</v>
      </c>
      <c r="S65" s="40">
        <f>VLOOKUP(C65,Sheet3!$A$19:$G$81,7,FALSE)</f>
        <v>1</v>
      </c>
      <c r="T65" s="10">
        <f t="shared" si="3"/>
        <v>0.66666666666666663</v>
      </c>
      <c r="U65" s="10">
        <f t="shared" si="4"/>
        <v>0.76923076923076927</v>
      </c>
    </row>
    <row r="66" spans="2:21" ht="15.5">
      <c r="B66" s="157"/>
      <c r="C66" s="92" t="s">
        <v>637</v>
      </c>
      <c r="D66" s="71">
        <f>HARIAN!D77+HARIAN!D82</f>
        <v>32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8</v>
      </c>
      <c r="J66" s="71">
        <f>HARIAN!J77+HARIAN!J82</f>
        <v>4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0</v>
      </c>
      <c r="P66" s="71">
        <f>HARIAN!P77+HARIAN!P82</f>
        <v>20</v>
      </c>
      <c r="Q66" s="40">
        <f t="shared" si="2"/>
        <v>0.83333333333333337</v>
      </c>
      <c r="R66" s="40">
        <f t="shared" si="1"/>
        <v>1</v>
      </c>
      <c r="S66" s="40">
        <f>VLOOKUP(C66,Sheet3!$A$19:$G$81,7,FALSE)</f>
        <v>1</v>
      </c>
      <c r="T66" s="10">
        <f t="shared" si="3"/>
        <v>0.83333333333333337</v>
      </c>
      <c r="U66" s="10">
        <f t="shared" si="4"/>
        <v>1</v>
      </c>
    </row>
    <row r="67" spans="2:21" ht="15.5">
      <c r="B67" s="157"/>
      <c r="C67" s="92" t="s">
        <v>640</v>
      </c>
      <c r="D67" s="71">
        <f>HARIAN!D78+HARIAN!D80</f>
        <v>41</v>
      </c>
      <c r="E67" s="71">
        <f>HARIAN!E78+HARIAN!E80</f>
        <v>0</v>
      </c>
      <c r="F67" s="71">
        <f>HARIAN!F78+HARIAN!F80</f>
        <v>1</v>
      </c>
      <c r="G67" s="71">
        <f>HARIAN!G78+HARIAN!G80</f>
        <v>1</v>
      </c>
      <c r="H67" s="71">
        <f>HARIAN!H78+HARIAN!H80</f>
        <v>0</v>
      </c>
      <c r="I67" s="71">
        <f>HARIAN!I78+HARIAN!I80</f>
        <v>6</v>
      </c>
      <c r="J67" s="71">
        <f>HARIAN!J78+HARIAN!J80</f>
        <v>5</v>
      </c>
      <c r="K67" s="71">
        <f>HARIAN!K78+HARIAN!K80</f>
        <v>0</v>
      </c>
      <c r="L67" s="71">
        <f>HARIAN!L78+HARIAN!L80</f>
        <v>0</v>
      </c>
      <c r="M67" s="71">
        <f>HARIAN!M78+HARIAN!M80</f>
        <v>1</v>
      </c>
      <c r="N67" s="71">
        <f>HARIAN!N78+HARIAN!N80</f>
        <v>0</v>
      </c>
      <c r="O67" s="71">
        <f>HARIAN!O78+HARIAN!O80</f>
        <v>0</v>
      </c>
      <c r="P67" s="71">
        <f>HARIAN!P78+HARIAN!P80</f>
        <v>27</v>
      </c>
      <c r="Q67" s="40">
        <f t="shared" si="2"/>
        <v>0.79411764705882348</v>
      </c>
      <c r="R67" s="40">
        <f t="shared" si="1"/>
        <v>0.9642857142857143</v>
      </c>
      <c r="S67" s="40">
        <f>VLOOKUP(C67,Sheet3!$A$19:$G$81,7,FALSE)</f>
        <v>0.95833333333333337</v>
      </c>
      <c r="T67" s="10">
        <f t="shared" si="3"/>
        <v>0.79411764705882348</v>
      </c>
      <c r="U67" s="10">
        <f t="shared" si="4"/>
        <v>0.9642857142857143</v>
      </c>
    </row>
    <row r="68" spans="2:21" ht="15.5">
      <c r="B68" s="149" t="s">
        <v>62</v>
      </c>
      <c r="C68" s="149"/>
      <c r="D68" s="26">
        <f t="shared" ref="D68:P68" si="7">SUM(D32:D67)</f>
        <v>536</v>
      </c>
      <c r="E68" s="26">
        <f t="shared" si="7"/>
        <v>19</v>
      </c>
      <c r="F68" s="26">
        <f t="shared" si="7"/>
        <v>7</v>
      </c>
      <c r="G68" s="26">
        <f t="shared" si="7"/>
        <v>2</v>
      </c>
      <c r="H68" s="26">
        <f t="shared" si="7"/>
        <v>19</v>
      </c>
      <c r="I68" s="26">
        <f t="shared" si="7"/>
        <v>51</v>
      </c>
      <c r="J68" s="26">
        <f t="shared" si="7"/>
        <v>72</v>
      </c>
      <c r="K68" s="26">
        <f t="shared" si="7"/>
        <v>26</v>
      </c>
      <c r="L68" s="26">
        <f t="shared" si="7"/>
        <v>0</v>
      </c>
      <c r="M68" s="26">
        <f t="shared" si="7"/>
        <v>35</v>
      </c>
      <c r="N68" s="26">
        <f t="shared" si="7"/>
        <v>16</v>
      </c>
      <c r="O68" s="26">
        <f t="shared" si="7"/>
        <v>2</v>
      </c>
      <c r="P68" s="26">
        <f t="shared" si="7"/>
        <v>287</v>
      </c>
      <c r="Q68" s="41">
        <f>Q14</f>
        <v>0.63495575221238942</v>
      </c>
      <c r="R68" s="41">
        <f>R14</f>
        <v>0.84411764705882353</v>
      </c>
      <c r="S68" s="41">
        <f>S14</f>
        <v>0.95041322314049592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zoomScale="85" zoomScaleNormal="85" workbookViewId="0">
      <selection activeCell="C2" sqref="C2:N2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9" t="str">
        <f ca="1">LAPORAN!C2</f>
        <v xml:space="preserve">PERIODE ORDER &amp; PS : 2026-10-01 to  2026-10-07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</row>
    <row r="3" spans="3:14">
      <c r="C3" s="139" t="str">
        <f>LAPORAN!C3</f>
        <v>Last update proses : 08-10-2026 11:04:06 WIB (Source: ETL XPRO)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80</v>
      </c>
      <c r="E6" s="94">
        <f>LAPORAN!J9</f>
        <v>13</v>
      </c>
      <c r="F6" s="94">
        <f>LAPORAN!K9</f>
        <v>11</v>
      </c>
      <c r="G6" s="94">
        <f>LAPORAN!L9</f>
        <v>0</v>
      </c>
      <c r="H6" s="94">
        <f>LAPORAN!M9</f>
        <v>5</v>
      </c>
      <c r="I6" s="94">
        <f>LAPORAN!N9</f>
        <v>5</v>
      </c>
      <c r="J6" s="94">
        <f>LAPORAN!O9</f>
        <v>0</v>
      </c>
      <c r="K6" s="94">
        <f>LAPORAN!P9</f>
        <v>24</v>
      </c>
      <c r="L6" s="40">
        <f>LAPORAN!Q9</f>
        <v>0.38709677419354838</v>
      </c>
      <c r="M6" s="40">
        <f>LAPORAN!R9</f>
        <v>0.70588235294117652</v>
      </c>
      <c r="N6" s="40">
        <f>LAPORAN!S9</f>
        <v>0.875</v>
      </c>
    </row>
    <row r="7" spans="3:14" ht="15.5">
      <c r="C7" s="76" t="str">
        <f>[1]LAPORAN!C10</f>
        <v>JATIM BARAT</v>
      </c>
      <c r="D7" s="4">
        <f>LAPORAN!D10</f>
        <v>131</v>
      </c>
      <c r="E7" s="94">
        <f>LAPORAN!J10</f>
        <v>16</v>
      </c>
      <c r="F7" s="94">
        <f>LAPORAN!K10</f>
        <v>7</v>
      </c>
      <c r="G7" s="94">
        <f>LAPORAN!L10</f>
        <v>0</v>
      </c>
      <c r="H7" s="94">
        <f>LAPORAN!M10</f>
        <v>7</v>
      </c>
      <c r="I7" s="94">
        <f>LAPORAN!N10</f>
        <v>2</v>
      </c>
      <c r="J7" s="94">
        <f>LAPORAN!O10</f>
        <v>1</v>
      </c>
      <c r="K7" s="94">
        <f>LAPORAN!P10</f>
        <v>80</v>
      </c>
      <c r="L7" s="40">
        <f>LAPORAN!Q10</f>
        <v>0.68376068376068377</v>
      </c>
      <c r="M7" s="40">
        <f>LAPORAN!R10</f>
        <v>0.88888888888888884</v>
      </c>
      <c r="N7" s="40">
        <f>LAPORAN!S10</f>
        <v>0.9850746268656716</v>
      </c>
    </row>
    <row r="8" spans="3:14" ht="15.5">
      <c r="C8" s="76" t="str">
        <f>[1]LAPORAN!C11</f>
        <v>JATIM TIMUR</v>
      </c>
      <c r="D8" s="4">
        <f>LAPORAN!D11</f>
        <v>72</v>
      </c>
      <c r="E8" s="94">
        <f>LAPORAN!J11</f>
        <v>9</v>
      </c>
      <c r="F8" s="94">
        <f>LAPORAN!K11</f>
        <v>1</v>
      </c>
      <c r="G8" s="94">
        <f>LAPORAN!L11</f>
        <v>0</v>
      </c>
      <c r="H8" s="94">
        <f>LAPORAN!M11</f>
        <v>3</v>
      </c>
      <c r="I8" s="94">
        <f>LAPORAN!N11</f>
        <v>1</v>
      </c>
      <c r="J8" s="94">
        <f>LAPORAN!O11</f>
        <v>0</v>
      </c>
      <c r="K8" s="94">
        <f>LAPORAN!P11</f>
        <v>46</v>
      </c>
      <c r="L8" s="40">
        <f>LAPORAN!Q11</f>
        <v>0.69696969696969702</v>
      </c>
      <c r="M8" s="40">
        <f>LAPORAN!R11</f>
        <v>0.92</v>
      </c>
      <c r="N8" s="40">
        <f>LAPORAN!S11</f>
        <v>1</v>
      </c>
    </row>
    <row r="9" spans="3:14" ht="15.5">
      <c r="C9" s="76" t="str">
        <f>[1]LAPORAN!C12</f>
        <v>NUSA TENGGARA</v>
      </c>
      <c r="D9" s="4">
        <f>LAPORAN!D12</f>
        <v>113</v>
      </c>
      <c r="E9" s="94">
        <f>LAPORAN!J12</f>
        <v>14</v>
      </c>
      <c r="F9" s="94">
        <f>LAPORAN!K12</f>
        <v>7</v>
      </c>
      <c r="G9" s="94">
        <f>LAPORAN!L12</f>
        <v>0</v>
      </c>
      <c r="H9" s="94">
        <f>LAPORAN!M12</f>
        <v>15</v>
      </c>
      <c r="I9" s="94">
        <f>LAPORAN!N12</f>
        <v>5</v>
      </c>
      <c r="J9" s="94">
        <f>LAPORAN!O12</f>
        <v>1</v>
      </c>
      <c r="K9" s="94">
        <f>LAPORAN!P12</f>
        <v>54</v>
      </c>
      <c r="L9" s="40">
        <f>LAPORAN!Q12</f>
        <v>0.57446808510638303</v>
      </c>
      <c r="M9" s="40">
        <f>LAPORAN!R12</f>
        <v>0.72</v>
      </c>
      <c r="N9" s="40">
        <f>LAPORAN!S12</f>
        <v>0.81818181818181823</v>
      </c>
    </row>
    <row r="10" spans="3:14" ht="15.5">
      <c r="C10" s="76" t="str">
        <f>[1]LAPORAN!C13</f>
        <v>SURAMADU</v>
      </c>
      <c r="D10" s="4">
        <f>LAPORAN!D13</f>
        <v>140</v>
      </c>
      <c r="E10" s="94">
        <f>LAPORAN!J13</f>
        <v>20</v>
      </c>
      <c r="F10" s="94">
        <f>LAPORAN!K13</f>
        <v>0</v>
      </c>
      <c r="G10" s="94">
        <f>LAPORAN!L13</f>
        <v>0</v>
      </c>
      <c r="H10" s="94">
        <f>LAPORAN!M13</f>
        <v>5</v>
      </c>
      <c r="I10" s="94">
        <f>LAPORAN!N13</f>
        <v>3</v>
      </c>
      <c r="J10" s="94">
        <f>LAPORAN!O13</f>
        <v>0</v>
      </c>
      <c r="K10" s="94">
        <f>LAPORAN!P13</f>
        <v>83</v>
      </c>
      <c r="L10" s="40">
        <f>LAPORAN!Q13</f>
        <v>0.73451327433628322</v>
      </c>
      <c r="M10" s="40">
        <f>LAPORAN!R13</f>
        <v>0.91208791208791207</v>
      </c>
      <c r="N10" s="40">
        <f>LAPORAN!S13</f>
        <v>0.98648648648648651</v>
      </c>
    </row>
    <row r="11" spans="3:14" ht="15.5">
      <c r="C11" s="95" t="str">
        <f>[1]LAPORAN!C14</f>
        <v>TOTAL</v>
      </c>
      <c r="D11" s="98">
        <f>LAPORAN!D14</f>
        <v>536</v>
      </c>
      <c r="E11" s="96">
        <f>LAPORAN!J14</f>
        <v>72</v>
      </c>
      <c r="F11" s="96">
        <f>LAPORAN!K14</f>
        <v>26</v>
      </c>
      <c r="G11" s="96">
        <f>LAPORAN!L14</f>
        <v>0</v>
      </c>
      <c r="H11" s="96">
        <f>LAPORAN!M14</f>
        <v>35</v>
      </c>
      <c r="I11" s="96">
        <f>LAPORAN!N14</f>
        <v>16</v>
      </c>
      <c r="J11" s="96">
        <f>LAPORAN!O14</f>
        <v>2</v>
      </c>
      <c r="K11" s="96">
        <f>LAPORAN!P14</f>
        <v>287</v>
      </c>
      <c r="L11" s="97">
        <f>LAPORAN!Q14</f>
        <v>0.63495575221238942</v>
      </c>
      <c r="M11" s="97">
        <f>LAPORAN!R14</f>
        <v>0.84411764705882353</v>
      </c>
      <c r="N11" s="97">
        <f>LAPORAN!S14</f>
        <v>0.95041322314049592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10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1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1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1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3</v>
      </c>
      <c r="Y7">
        <f>IFERROR(VLOOKUP(C7,'COPY DATA XPRO'!$C$7:$AI$58,23,FALSE),0)</f>
        <v>0</v>
      </c>
      <c r="Z7">
        <f>IFERROR(VLOOKUP(C7,'COPY DATA XPRO'!$C$7:$AI$58,24,FALSE),0)</f>
        <v>5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1</v>
      </c>
      <c r="AG7">
        <f>IFERROR(VLOOKUP(C7,'COPY DATA XPRO'!$C$7:$AI$58,31,FALSE),0)</f>
        <v>80</v>
      </c>
      <c r="AH7">
        <f>IFERROR(VLOOKUP(C7,'COPY DATA XPRO'!$C$7:$AI$58,32,FALSE),0)</f>
        <v>55.56</v>
      </c>
      <c r="AI7">
        <f>IFERROR(VLOOKUP(C7,'COPY DATA XPRO'!$C$7:$AI$58,33,FALSE),0)</f>
        <v>62.5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11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1</v>
      </c>
      <c r="I9">
        <f>IFERROR(VLOOKUP(C9,'COPY DATA XPRO'!$C$7:$AI$58,7,FALSE),0)</f>
        <v>1</v>
      </c>
      <c r="J9">
        <f>IFERROR(VLOOKUP(C9,'COPY DATA XPRO'!$C$7:$AI$58,8,FALSE),0)</f>
        <v>4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1</v>
      </c>
      <c r="N9">
        <f>IFERROR(VLOOKUP(C9,'COPY DATA XPRO'!$C$7:$AI$58,12,FALSE),0)</f>
        <v>1</v>
      </c>
      <c r="O9">
        <f>IFERROR(VLOOKUP(C9,'COPY DATA XPRO'!$C$7:$AI$58,13,FALSE),0)</f>
        <v>1</v>
      </c>
      <c r="P9">
        <f>IFERROR(VLOOKUP(C9,'COPY DATA XPRO'!$C$7:$AI$58,14,FALSE),0)</f>
        <v>3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2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45.45</v>
      </c>
      <c r="AH9">
        <f>IFERROR(VLOOKUP(C9,'COPY DATA XPRO'!$C$7:$AI$58,32,FALSE),0)</f>
        <v>20</v>
      </c>
      <c r="AI9">
        <f>IFERROR(VLOOKUP(C9,'COPY DATA XPRO'!$C$7:$AI$58,33,FALSE),0)</f>
        <v>40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2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66.67</v>
      </c>
      <c r="AH10">
        <f>IFERROR(VLOOKUP(C10,'COPY DATA XPRO'!$C$7:$AI$58,32,FALSE),0)</f>
        <v>100</v>
      </c>
      <c r="AI10">
        <f>IFERROR(VLOOKUP(C10,'COPY DATA XPRO'!$C$7:$AI$58,33,FALSE),0)</f>
        <v>100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6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4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1</v>
      </c>
      <c r="AG11">
        <f>IFERROR(VLOOKUP(C11,'COPY DATA XPRO'!$C$7:$AI$58,31,FALSE),0)</f>
        <v>66.67</v>
      </c>
      <c r="AH11">
        <f>IFERROR(VLOOKUP(C11,'COPY DATA XPRO'!$C$7:$AI$58,32,FALSE),0)</f>
        <v>80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5</v>
      </c>
      <c r="F12">
        <f>IFERROR(VLOOKUP(C12,'COPY DATA XPRO'!$C$7:$AI$58,4,FALSE),0)</f>
        <v>0</v>
      </c>
      <c r="G12">
        <f>IFERROR(VLOOKUP(C12,'COPY DATA XPRO'!$C$7:$AI$58,5,FALSE),0)</f>
        <v>1</v>
      </c>
      <c r="H12">
        <f>IFERROR(VLOOKUP(C12,'COPY DATA XPRO'!$C$7:$AI$58,6,FALSE),0)</f>
        <v>1</v>
      </c>
      <c r="I12">
        <f>IFERROR(VLOOKUP(C12,'COPY DATA XPRO'!$C$7:$AI$58,7,FALSE),0)</f>
        <v>0</v>
      </c>
      <c r="J12">
        <f>IFERROR(VLOOKUP(C12,'COPY DATA XPRO'!$C$7:$AI$58,8,FALSE),0)</f>
        <v>1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2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40</v>
      </c>
      <c r="AH12">
        <f>IFERROR(VLOOKUP(C12,'COPY DATA XPRO'!$C$7:$AI$58,32,FALSE),0)</f>
        <v>40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37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1</v>
      </c>
      <c r="J13">
        <f>IFERROR(VLOOKUP(C13,'COPY DATA XPRO'!$C$7:$AI$58,8,FALSE),0)</f>
        <v>4</v>
      </c>
      <c r="K13">
        <f>IFERROR(VLOOKUP(C13,'COPY DATA XPRO'!$C$7:$AI$58,9,FALSE),0)</f>
        <v>11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2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2</v>
      </c>
      <c r="Y13">
        <f>IFERROR(VLOOKUP(C13,'COPY DATA XPRO'!$C$7:$AI$58,23,FALSE),0)</f>
        <v>0</v>
      </c>
      <c r="Z13">
        <f>IFERROR(VLOOKUP(C13,'COPY DATA XPRO'!$C$7:$AI$58,24,FALSE),0)</f>
        <v>7</v>
      </c>
      <c r="AA13">
        <f>IFERROR(VLOOKUP(C13,'COPY DATA XPRO'!$C$7:$AI$58,25,FALSE),0)</f>
        <v>0</v>
      </c>
      <c r="AB13">
        <f>IFERROR(VLOOKUP(C13,'COPY DATA XPRO'!$C$7:$AI$58,26,FALSE),0)</f>
        <v>11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11</v>
      </c>
      <c r="AF13">
        <f>IFERROR(VLOOKUP(C13,'COPY DATA XPRO'!$C$7:$AI$58,30,FALSE),0)</f>
        <v>1</v>
      </c>
      <c r="AG13">
        <f>IFERROR(VLOOKUP(C13,'COPY DATA XPRO'!$C$7:$AI$58,31,FALSE),0)</f>
        <v>54.05</v>
      </c>
      <c r="AH13">
        <f>IFERROR(VLOOKUP(C13,'COPY DATA XPRO'!$C$7:$AI$58,32,FALSE),0)</f>
        <v>29.17</v>
      </c>
      <c r="AI13">
        <f>IFERROR(VLOOKUP(C13,'COPY DATA XPRO'!$C$7:$AI$58,33,FALSE),0)</f>
        <v>77.78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8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2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1</v>
      </c>
      <c r="N14">
        <f>IFERROR(VLOOKUP(C14,'COPY DATA XPRO'!$C$7:$AI$58,12,FALSE),0)</f>
        <v>1</v>
      </c>
      <c r="O14">
        <f>IFERROR(VLOOKUP(C14,'COPY DATA XPRO'!$C$7:$AI$58,13,FALSE),0)</f>
        <v>0</v>
      </c>
      <c r="P14">
        <f>IFERROR(VLOOKUP(C14,'COPY DATA XPRO'!$C$7:$AI$58,14,FALSE),0)</f>
        <v>2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2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1</v>
      </c>
      <c r="AG14">
        <f>IFERROR(VLOOKUP(C14,'COPY DATA XPRO'!$C$7:$AI$58,31,FALSE),0)</f>
        <v>62.5</v>
      </c>
      <c r="AH14">
        <f>IFERROR(VLOOKUP(C14,'COPY DATA XPRO'!$C$7:$AI$58,32,FALSE),0)</f>
        <v>28.57</v>
      </c>
      <c r="AI14">
        <f>IFERROR(VLOOKUP(C14,'COPY DATA XPRO'!$C$7:$AI$58,33,FALSE),0)</f>
        <v>50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16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2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1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1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9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1</v>
      </c>
      <c r="AE15">
        <f>IFERROR(VLOOKUP(C15,'COPY DATA XPRO'!$C$7:$AI$58,29,FALSE),0)</f>
        <v>1</v>
      </c>
      <c r="AF15">
        <f>IFERROR(VLOOKUP(C15,'COPY DATA XPRO'!$C$7:$AI$58,30,FALSE),0)</f>
        <v>1</v>
      </c>
      <c r="AG15">
        <f>IFERROR(VLOOKUP(C15,'COPY DATA XPRO'!$C$7:$AI$58,31,FALSE),0)</f>
        <v>68.75</v>
      </c>
      <c r="AH15">
        <f>IFERROR(VLOOKUP(C15,'COPY DATA XPRO'!$C$7:$AI$58,32,FALSE),0)</f>
        <v>60</v>
      </c>
      <c r="AI15">
        <f>IFERROR(VLOOKUP(C15,'COPY DATA XPRO'!$C$7:$AI$58,33,FALSE),0)</f>
        <v>90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6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6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2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6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2</v>
      </c>
      <c r="AG17">
        <f>IFERROR(VLOOKUP(C17,'COPY DATA XPRO'!$C$7:$AI$58,31,FALSE),0)</f>
        <v>60</v>
      </c>
      <c r="AH17">
        <f>IFERROR(VLOOKUP(C17,'COPY DATA XPRO'!$C$7:$AI$58,32,FALSE),0)</f>
        <v>75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19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3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1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2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14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84.21</v>
      </c>
      <c r="AH18">
        <f>IFERROR(VLOOKUP(C18,'COPY DATA XPRO'!$C$7:$AI$58,32,FALSE),0)</f>
        <v>73.680000000000007</v>
      </c>
      <c r="AI18">
        <f>IFERROR(VLOOKUP(C18,'COPY DATA XPRO'!$C$7:$AI$58,33,FALSE),0)</f>
        <v>87.5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20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4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14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2</v>
      </c>
      <c r="AG19">
        <f>IFERROR(VLOOKUP(C19,'COPY DATA XPRO'!$C$7:$AI$58,31,FALSE),0)</f>
        <v>70</v>
      </c>
      <c r="AH19">
        <f>IFERROR(VLOOKUP(C19,'COPY DATA XPRO'!$C$7:$AI$58,32,FALSE),0)</f>
        <v>77.78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1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66.67</v>
      </c>
      <c r="AH20">
        <f>IFERROR(VLOOKUP(C20,'COPY DATA XPRO'!$C$7:$AI$58,32,FALSE),0)</f>
        <v>100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12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3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1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1</v>
      </c>
      <c r="Y21">
        <f>IFERROR(VLOOKUP(C21,'COPY DATA XPRO'!$C$7:$AI$58,23,FALSE),0)</f>
        <v>0</v>
      </c>
      <c r="Z21">
        <f>IFERROR(VLOOKUP(C21,'COPY DATA XPRO'!$C$7:$AI$58,24,FALSE),0)</f>
        <v>7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0</v>
      </c>
      <c r="AG21">
        <f>IFERROR(VLOOKUP(C21,'COPY DATA XPRO'!$C$7:$AI$58,31,FALSE),0)</f>
        <v>75</v>
      </c>
      <c r="AH21">
        <f>IFERROR(VLOOKUP(C21,'COPY DATA XPRO'!$C$7:$AI$58,32,FALSE),0)</f>
        <v>77.78</v>
      </c>
      <c r="AI21">
        <f>IFERROR(VLOOKUP(C21,'COPY DATA XPRO'!$C$7:$AI$58,33,FALSE),0)</f>
        <v>87.5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3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3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100</v>
      </c>
      <c r="AH22">
        <f>IFERROR(VLOOKUP(C22,'COPY DATA XPRO'!$C$7:$AI$58,32,FALSE),0)</f>
        <v>100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13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2</v>
      </c>
      <c r="N23">
        <f>IFERROR(VLOOKUP(C23,'COPY DATA XPRO'!$C$7:$AI$58,12,FALSE),0)</f>
        <v>1</v>
      </c>
      <c r="O23">
        <f>IFERROR(VLOOKUP(C23,'COPY DATA XPRO'!$C$7:$AI$58,13,FALSE),0)</f>
        <v>0</v>
      </c>
      <c r="P23">
        <f>IFERROR(VLOOKUP(C23,'COPY DATA XPRO'!$C$7:$AI$58,14,FALSE),0)</f>
        <v>3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8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0</v>
      </c>
      <c r="AG23">
        <f>IFERROR(VLOOKUP(C23,'COPY DATA XPRO'!$C$7:$AI$58,31,FALSE),0)</f>
        <v>92.31</v>
      </c>
      <c r="AH23">
        <f>IFERROR(VLOOKUP(C23,'COPY DATA XPRO'!$C$7:$AI$58,32,FALSE),0)</f>
        <v>66.67</v>
      </c>
      <c r="AI23">
        <f>IFERROR(VLOOKUP(C23,'COPY DATA XPRO'!$C$7:$AI$58,33,FALSE),0)</f>
        <v>72.73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5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2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3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60</v>
      </c>
      <c r="AH24">
        <f>IFERROR(VLOOKUP(C24,'COPY DATA XPRO'!$C$7:$AI$58,32,FALSE),0)</f>
        <v>60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14</v>
      </c>
      <c r="F25">
        <f>IFERROR(VLOOKUP(C25,'COPY DATA XPRO'!$C$7:$AI$58,4,FALSE),0)</f>
        <v>3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2</v>
      </c>
      <c r="L25">
        <f>IFERROR(VLOOKUP(C25,'COPY DATA XPRO'!$C$7:$AI$58,10,FALSE),0)</f>
        <v>0</v>
      </c>
      <c r="M25">
        <f>IFERROR(VLOOKUP(C25,'COPY DATA XPRO'!$C$7:$AI$58,11,FALSE),0)</f>
        <v>1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1</v>
      </c>
      <c r="Q25">
        <f>IFERROR(VLOOKUP(C25,'COPY DATA XPRO'!$C$7:$AI$58,15,FALSE),0)</f>
        <v>1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1</v>
      </c>
      <c r="Y25">
        <f>IFERROR(VLOOKUP(C25,'COPY DATA XPRO'!$C$7:$AI$58,23,FALSE),0)</f>
        <v>1</v>
      </c>
      <c r="Z25">
        <f>IFERROR(VLOOKUP(C25,'COPY DATA XPRO'!$C$7:$AI$58,24,FALSE),0)</f>
        <v>4</v>
      </c>
      <c r="AA25">
        <f>IFERROR(VLOOKUP(C25,'COPY DATA XPRO'!$C$7:$AI$58,25,FALSE),0)</f>
        <v>0</v>
      </c>
      <c r="AB25">
        <f>IFERROR(VLOOKUP(C25,'COPY DATA XPRO'!$C$7:$AI$58,26,FALSE),0)</f>
        <v>1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1</v>
      </c>
      <c r="AF25">
        <f>IFERROR(VLOOKUP(C25,'COPY DATA XPRO'!$C$7:$AI$58,30,FALSE),0)</f>
        <v>1</v>
      </c>
      <c r="AG25">
        <f>IFERROR(VLOOKUP(C25,'COPY DATA XPRO'!$C$7:$AI$58,31,FALSE),0)</f>
        <v>57.14</v>
      </c>
      <c r="AH25">
        <f>IFERROR(VLOOKUP(C25,'COPY DATA XPRO'!$C$7:$AI$58,32,FALSE),0)</f>
        <v>36.36</v>
      </c>
      <c r="AI25">
        <f>IFERROR(VLOOKUP(C25,'COPY DATA XPRO'!$C$7:$AI$58,33,FALSE),0)</f>
        <v>57.14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10</v>
      </c>
      <c r="F26">
        <f>IFERROR(VLOOKUP(C26,'COPY DATA XPRO'!$C$7:$AI$58,4,FALSE),0)</f>
        <v>0</v>
      </c>
      <c r="G26">
        <f>IFERROR(VLOOKUP(C26,'COPY DATA XPRO'!$C$7:$AI$58,5,FALSE),0)</f>
        <v>1</v>
      </c>
      <c r="H26">
        <f>IFERROR(VLOOKUP(C26,'COPY DATA XPRO'!$C$7:$AI$58,6,FALSE),0)</f>
        <v>0</v>
      </c>
      <c r="I26">
        <f>IFERROR(VLOOKUP(C26,'COPY DATA XPRO'!$C$7:$AI$58,7,FALSE),0)</f>
        <v>1</v>
      </c>
      <c r="J26">
        <f>IFERROR(VLOOKUP(C26,'COPY DATA XPRO'!$C$7:$AI$58,8,FALSE),0)</f>
        <v>3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4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50</v>
      </c>
      <c r="AH26">
        <f>IFERROR(VLOOKUP(C26,'COPY DATA XPRO'!$C$7:$AI$58,32,FALSE),0)</f>
        <v>44.44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6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1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1</v>
      </c>
      <c r="Y27">
        <f>IFERROR(VLOOKUP(C27,'COPY DATA XPRO'!$C$7:$AI$58,23,FALSE),0)</f>
        <v>0</v>
      </c>
      <c r="Z27">
        <f>IFERROR(VLOOKUP(C27,'COPY DATA XPRO'!$C$7:$AI$58,24,FALSE),0)</f>
        <v>5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83.33</v>
      </c>
      <c r="AI27">
        <f>IFERROR(VLOOKUP(C27,'COPY DATA XPRO'!$C$7:$AI$58,33,FALSE),0)</f>
        <v>83.33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4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1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3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75</v>
      </c>
      <c r="AH28">
        <f>IFERROR(VLOOKUP(C28,'COPY DATA XPRO'!$C$7:$AI$58,32,FALSE),0)</f>
        <v>75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17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1</v>
      </c>
      <c r="I29">
        <f>IFERROR(VLOOKUP(C29,'COPY DATA XPRO'!$C$7:$AI$58,7,FALSE),0)</f>
        <v>0</v>
      </c>
      <c r="J29">
        <f>IFERROR(VLOOKUP(C29,'COPY DATA XPRO'!$C$7:$AI$58,8,FALSE),0)</f>
        <v>1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10</v>
      </c>
      <c r="AA29">
        <f>IFERROR(VLOOKUP(C29,'COPY DATA XPRO'!$C$7:$AI$58,25,FALSE),0)</f>
        <v>0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1</v>
      </c>
      <c r="AF29">
        <f>IFERROR(VLOOKUP(C29,'COPY DATA XPRO'!$C$7:$AI$58,30,FALSE),0)</f>
        <v>2</v>
      </c>
      <c r="AG29">
        <f>IFERROR(VLOOKUP(C29,'COPY DATA XPRO'!$C$7:$AI$58,31,FALSE),0)</f>
        <v>64.709999999999994</v>
      </c>
      <c r="AH29">
        <f>IFERROR(VLOOKUP(C29,'COPY DATA XPRO'!$C$7:$AI$58,32,FALSE),0)</f>
        <v>71.430000000000007</v>
      </c>
      <c r="AI29">
        <f>IFERROR(VLOOKUP(C29,'COPY DATA XPRO'!$C$7:$AI$58,33,FALSE),0)</f>
        <v>100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4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1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1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3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100</v>
      </c>
      <c r="AH30">
        <f>IFERROR(VLOOKUP(C30,'COPY DATA XPRO'!$C$7:$AI$58,32,FALSE),0)</f>
        <v>75</v>
      </c>
      <c r="AI30">
        <f>IFERROR(VLOOKUP(C30,'COPY DATA XPRO'!$C$7:$AI$58,33,FALSE),0)</f>
        <v>75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1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7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2</v>
      </c>
      <c r="AG31">
        <f>IFERROR(VLOOKUP(C31,'COPY DATA XPRO'!$C$7:$AI$58,31,FALSE),0)</f>
        <v>70</v>
      </c>
      <c r="AH31">
        <f>IFERROR(VLOOKUP(C31,'COPY DATA XPRO'!$C$7:$AI$58,32,FALSE),0)</f>
        <v>87.5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3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1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2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66.67</v>
      </c>
      <c r="AH32">
        <f>IFERROR(VLOOKUP(C32,'COPY DATA XPRO'!$C$7:$AI$58,32,FALSE),0)</f>
        <v>66.67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13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2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1</v>
      </c>
      <c r="N33">
        <f>IFERROR(VLOOKUP(C33,'COPY DATA XPRO'!$C$7:$AI$58,12,FALSE),0)</f>
        <v>1</v>
      </c>
      <c r="O33">
        <f>IFERROR(VLOOKUP(C33,'COPY DATA XPRO'!$C$7:$AI$58,13,FALSE),0)</f>
        <v>0</v>
      </c>
      <c r="P33">
        <f>IFERROR(VLOOKUP(C33,'COPY DATA XPRO'!$C$7:$AI$58,14,FALSE),0)</f>
        <v>2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8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76.92</v>
      </c>
      <c r="AH33">
        <f>IFERROR(VLOOKUP(C33,'COPY DATA XPRO'!$C$7:$AI$58,32,FALSE),0)</f>
        <v>66.67</v>
      </c>
      <c r="AI33">
        <f>IFERROR(VLOOKUP(C33,'COPY DATA XPRO'!$C$7:$AI$58,33,FALSE),0)</f>
        <v>80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11</v>
      </c>
      <c r="F34">
        <f>IFERROR(VLOOKUP(C34,'COPY DATA XPRO'!$C$7:$AI$58,4,FALSE),0)</f>
        <v>1</v>
      </c>
      <c r="G34">
        <f>IFERROR(VLOOKUP(C34,'COPY DATA XPRO'!$C$7:$AI$58,5,FALSE),0)</f>
        <v>1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2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5</v>
      </c>
      <c r="AA34">
        <f>IFERROR(VLOOKUP(C34,'COPY DATA XPRO'!$C$7:$AI$58,25,FALSE),0)</f>
        <v>0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2</v>
      </c>
      <c r="AF34">
        <f>IFERROR(VLOOKUP(C34,'COPY DATA XPRO'!$C$7:$AI$58,30,FALSE),0)</f>
        <v>0</v>
      </c>
      <c r="AG34">
        <f>IFERROR(VLOOKUP(C34,'COPY DATA XPRO'!$C$7:$AI$58,31,FALSE),0)</f>
        <v>63.64</v>
      </c>
      <c r="AH34">
        <f>IFERROR(VLOOKUP(C34,'COPY DATA XPRO'!$C$7:$AI$58,32,FALSE),0)</f>
        <v>45.45</v>
      </c>
      <c r="AI34">
        <f>IFERROR(VLOOKUP(C34,'COPY DATA XPRO'!$C$7:$AI$58,33,FALSE),0)</f>
        <v>100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3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2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66.67</v>
      </c>
      <c r="AH35">
        <f>IFERROR(VLOOKUP(C35,'COPY DATA XPRO'!$C$7:$AI$58,32,FALSE),0)</f>
        <v>66.67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1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1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100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8</v>
      </c>
      <c r="F38">
        <f>IFERROR(VLOOKUP(C38,'COPY DATA XPRO'!$C$7:$AI$58,4,FALSE),0)</f>
        <v>1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2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3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1</v>
      </c>
      <c r="AG38">
        <f>IFERROR(VLOOKUP(C38,'COPY DATA XPRO'!$C$7:$AI$58,31,FALSE),0)</f>
        <v>50</v>
      </c>
      <c r="AH38">
        <f>IFERROR(VLOOKUP(C38,'COPY DATA XPRO'!$C$7:$AI$58,32,FALSE),0)</f>
        <v>42.86</v>
      </c>
      <c r="AI38">
        <f>IFERROR(VLOOKUP(C38,'COPY DATA XPRO'!$C$7:$AI$58,33,FALSE),0)</f>
        <v>75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7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2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1</v>
      </c>
      <c r="Z39">
        <f>IFERROR(VLOOKUP(C39,'COPY DATA XPRO'!$C$7:$AI$58,24,FALSE),0)</f>
        <v>4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71.430000000000007</v>
      </c>
      <c r="AH39">
        <f>IFERROR(VLOOKUP(C39,'COPY DATA XPRO'!$C$7:$AI$58,32,FALSE),0)</f>
        <v>57.14</v>
      </c>
      <c r="AI39">
        <f>IFERROR(VLOOKUP(C39,'COPY DATA XPRO'!$C$7:$AI$58,33,FALSE),0)</f>
        <v>80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17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3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2</v>
      </c>
      <c r="N40">
        <f>IFERROR(VLOOKUP(C40,'COPY DATA XPRO'!$C$7:$AI$58,12,FALSE),0)</f>
        <v>2</v>
      </c>
      <c r="O40">
        <f>IFERROR(VLOOKUP(C40,'COPY DATA XPRO'!$C$7:$AI$58,13,FALSE),0)</f>
        <v>0</v>
      </c>
      <c r="P40">
        <f>IFERROR(VLOOKUP(C40,'COPY DATA XPRO'!$C$7:$AI$58,14,FALSE),0)</f>
        <v>4</v>
      </c>
      <c r="Q40">
        <f>IFERROR(VLOOKUP(C40,'COPY DATA XPRO'!$C$7:$AI$58,15,FALSE),0)</f>
        <v>1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1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2</v>
      </c>
      <c r="Y40">
        <f>IFERROR(VLOOKUP(C40,'COPY DATA XPRO'!$C$7:$AI$58,23,FALSE),0)</f>
        <v>0</v>
      </c>
      <c r="Z40">
        <f>IFERROR(VLOOKUP(C40,'COPY DATA XPRO'!$C$7:$AI$58,24,FALSE),0)</f>
        <v>7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1</v>
      </c>
      <c r="AG40">
        <f>IFERROR(VLOOKUP(C40,'COPY DATA XPRO'!$C$7:$AI$58,31,FALSE),0)</f>
        <v>76.47</v>
      </c>
      <c r="AH40">
        <f>IFERROR(VLOOKUP(C40,'COPY DATA XPRO'!$C$7:$AI$58,32,FALSE),0)</f>
        <v>43.75</v>
      </c>
      <c r="AI40">
        <f>IFERROR(VLOOKUP(C40,'COPY DATA XPRO'!$C$7:$AI$58,33,FALSE),0)</f>
        <v>53.85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11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1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5</v>
      </c>
      <c r="O41">
        <f>IFERROR(VLOOKUP(C41,'COPY DATA XPRO'!$C$7:$AI$58,13,FALSE),0)</f>
        <v>0</v>
      </c>
      <c r="P41">
        <f>IFERROR(VLOOKUP(C41,'COPY DATA XPRO'!$C$7:$AI$58,14,FALSE),0)</f>
        <v>5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5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90.91</v>
      </c>
      <c r="AH41">
        <f>IFERROR(VLOOKUP(C41,'COPY DATA XPRO'!$C$7:$AI$58,32,FALSE),0)</f>
        <v>50</v>
      </c>
      <c r="AI41">
        <f>IFERROR(VLOOKUP(C41,'COPY DATA XPRO'!$C$7:$AI$58,33,FALSE),0)</f>
        <v>50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5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3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60</v>
      </c>
      <c r="AH42">
        <f>IFERROR(VLOOKUP(C42,'COPY DATA XPRO'!$C$7:$AI$58,32,FALSE),0)</f>
        <v>100</v>
      </c>
      <c r="AI42">
        <f>IFERROR(VLOOKUP(C42,'COPY DATA XPRO'!$C$7:$AI$58,33,FALSE),0)</f>
        <v>100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20</v>
      </c>
      <c r="F43">
        <f>IFERROR(VLOOKUP(C43,'COPY DATA XPRO'!$C$7:$AI$58,4,FALSE),0)</f>
        <v>1</v>
      </c>
      <c r="G43">
        <f>IFERROR(VLOOKUP(C43,'COPY DATA XPRO'!$C$7:$AI$58,5,FALSE),0)</f>
        <v>1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3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1</v>
      </c>
      <c r="N43">
        <f>IFERROR(VLOOKUP(C43,'COPY DATA XPRO'!$C$7:$AI$58,12,FALSE),0)</f>
        <v>0</v>
      </c>
      <c r="O43">
        <f>IFERROR(VLOOKUP(C43,'COPY DATA XPRO'!$C$7:$AI$58,13,FALSE),0)</f>
        <v>0</v>
      </c>
      <c r="P43">
        <f>IFERROR(VLOOKUP(C43,'COPY DATA XPRO'!$C$7:$AI$58,14,FALSE),0)</f>
        <v>1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1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10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2</v>
      </c>
      <c r="AG43">
        <f>IFERROR(VLOOKUP(C43,'COPY DATA XPRO'!$C$7:$AI$58,31,FALSE),0)</f>
        <v>60</v>
      </c>
      <c r="AH43">
        <f>IFERROR(VLOOKUP(C43,'COPY DATA XPRO'!$C$7:$AI$58,32,FALSE),0)</f>
        <v>58.82</v>
      </c>
      <c r="AI43">
        <f>IFERROR(VLOOKUP(C43,'COPY DATA XPRO'!$C$7:$AI$58,33,FALSE),0)</f>
        <v>83.33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12</v>
      </c>
      <c r="F44">
        <f>IFERROR(VLOOKUP(C44,'COPY DATA XPRO'!$C$7:$AI$58,4,FALSE),0)</f>
        <v>1</v>
      </c>
      <c r="G44">
        <f>IFERROR(VLOOKUP(C44,'COPY DATA XPRO'!$C$7:$AI$58,5,FALSE),0)</f>
        <v>1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2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7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</v>
      </c>
      <c r="AG44">
        <f>IFERROR(VLOOKUP(C44,'COPY DATA XPRO'!$C$7:$AI$58,31,FALSE),0)</f>
        <v>58.33</v>
      </c>
      <c r="AH44">
        <f>IFERROR(VLOOKUP(C44,'COPY DATA XPRO'!$C$7:$AI$58,32,FALSE),0)</f>
        <v>63.64</v>
      </c>
      <c r="AI44">
        <f>IFERROR(VLOOKUP(C44,'COPY DATA XPRO'!$C$7:$AI$58,33,FALSE),0)</f>
        <v>100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4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1</v>
      </c>
      <c r="N45">
        <f>IFERROR(VLOOKUP(C45,'COPY DATA XPRO'!$C$7:$AI$58,12,FALSE),0)</f>
        <v>1</v>
      </c>
      <c r="O45">
        <f>IFERROR(VLOOKUP(C45,'COPY DATA XPRO'!$C$7:$AI$58,13,FALSE),0)</f>
        <v>0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2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100</v>
      </c>
      <c r="AH45">
        <f>IFERROR(VLOOKUP(C45,'COPY DATA XPRO'!$C$7:$AI$58,32,FALSE),0)</f>
        <v>50</v>
      </c>
      <c r="AI45">
        <f>IFERROR(VLOOKUP(C45,'COPY DATA XPRO'!$C$7:$AI$58,33,FALSE),0)</f>
        <v>50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24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2</v>
      </c>
      <c r="K46">
        <f>IFERROR(VLOOKUP(C46,'COPY DATA XPRO'!$C$7:$AI$58,9,FALSE),0)</f>
        <v>3</v>
      </c>
      <c r="L46">
        <f>IFERROR(VLOOKUP(C46,'COPY DATA XPRO'!$C$7:$AI$58,10,FALSE),0)</f>
        <v>0</v>
      </c>
      <c r="M46">
        <f>IFERROR(VLOOKUP(C46,'COPY DATA XPRO'!$C$7:$AI$58,11,FALSE),0)</f>
        <v>1</v>
      </c>
      <c r="N46">
        <f>IFERROR(VLOOKUP(C46,'COPY DATA XPRO'!$C$7:$AI$58,12,FALSE),0)</f>
        <v>1</v>
      </c>
      <c r="O46">
        <f>IFERROR(VLOOKUP(C46,'COPY DATA XPRO'!$C$7:$AI$58,13,FALSE),0)</f>
        <v>1</v>
      </c>
      <c r="P46">
        <f>IFERROR(VLOOKUP(C46,'COPY DATA XPRO'!$C$7:$AI$58,14,FALSE),0)</f>
        <v>3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10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6</v>
      </c>
      <c r="AG46">
        <f>IFERROR(VLOOKUP(C46,'COPY DATA XPRO'!$C$7:$AI$58,31,FALSE),0)</f>
        <v>54.17</v>
      </c>
      <c r="AH46">
        <f>IFERROR(VLOOKUP(C46,'COPY DATA XPRO'!$C$7:$AI$58,32,FALSE),0)</f>
        <v>66.67</v>
      </c>
      <c r="AI46">
        <f>IFERROR(VLOOKUP(C46,'COPY DATA XPRO'!$C$7:$AI$58,33,FALSE),0)</f>
        <v>76.92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2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1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1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50</v>
      </c>
      <c r="AI47">
        <f>IFERROR(VLOOKUP(C47,'COPY DATA XPRO'!$C$7:$AI$58,33,FALSE),0)</f>
        <v>50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2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1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50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10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3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5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</v>
      </c>
      <c r="AG49">
        <f>IFERROR(VLOOKUP(C49,'COPY DATA XPRO'!$C$7:$AI$58,31,FALSE),0)</f>
        <v>60</v>
      </c>
      <c r="AH49">
        <f>IFERROR(VLOOKUP(C49,'COPY DATA XPRO'!$C$7:$AI$58,32,FALSE),0)</f>
        <v>55.56</v>
      </c>
      <c r="AI49">
        <f>IFERROR(VLOOKUP(C49,'COPY DATA XPRO'!$C$7:$AI$58,33,FALSE),0)</f>
        <v>83.33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22</v>
      </c>
      <c r="F50">
        <f>IFERROR(VLOOKUP(C50,'COPY DATA XPRO'!$C$7:$AI$58,4,FALSE),0)</f>
        <v>1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1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1</v>
      </c>
      <c r="N50">
        <f>IFERROR(VLOOKUP(C50,'COPY DATA XPRO'!$C$7:$AI$58,12,FALSE),0)</f>
        <v>1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1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1</v>
      </c>
      <c r="Y50">
        <f>IFERROR(VLOOKUP(C50,'COPY DATA XPRO'!$C$7:$AI$58,23,FALSE),0)</f>
        <v>0</v>
      </c>
      <c r="Z50">
        <f>IFERROR(VLOOKUP(C50,'COPY DATA XPRO'!$C$7:$AI$58,24,FALSE),0)</f>
        <v>12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5</v>
      </c>
      <c r="AG50">
        <f>IFERROR(VLOOKUP(C50,'COPY DATA XPRO'!$C$7:$AI$58,31,FALSE),0)</f>
        <v>68.180000000000007</v>
      </c>
      <c r="AH50">
        <f>IFERROR(VLOOKUP(C50,'COPY DATA XPRO'!$C$7:$AI$58,32,FALSE),0)</f>
        <v>70.59</v>
      </c>
      <c r="AI50">
        <f>IFERROR(VLOOKUP(C50,'COPY DATA XPRO'!$C$7:$AI$58,33,FALSE),0)</f>
        <v>80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8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2</v>
      </c>
      <c r="AG51">
        <f>IFERROR(VLOOKUP(C51,'COPY DATA XPRO'!$C$7:$AI$58,31,FALSE),0)</f>
        <v>80</v>
      </c>
      <c r="AH51">
        <f>IFERROR(VLOOKUP(C51,'COPY DATA XPRO'!$C$7:$AI$58,32,FALSE),0)</f>
        <v>100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18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3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1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1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10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3</v>
      </c>
      <c r="AG52">
        <f>IFERROR(VLOOKUP(C52,'COPY DATA XPRO'!$C$7:$AI$58,31,FALSE),0)</f>
        <v>61.11</v>
      </c>
      <c r="AH52">
        <f>IFERROR(VLOOKUP(C52,'COPY DATA XPRO'!$C$7:$AI$58,32,FALSE),0)</f>
        <v>71.430000000000007</v>
      </c>
      <c r="AI52">
        <f>IFERROR(VLOOKUP(C52,'COPY DATA XPRO'!$C$7:$AI$58,33,FALSE),0)</f>
        <v>90.91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14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2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1</v>
      </c>
      <c r="N53">
        <f>IFERROR(VLOOKUP(C53,'COPY DATA XPRO'!$C$7:$AI$58,12,FALSE),0)</f>
        <v>1</v>
      </c>
      <c r="O53">
        <f>IFERROR(VLOOKUP(C53,'COPY DATA XPRO'!$C$7:$AI$58,13,FALSE),0)</f>
        <v>0</v>
      </c>
      <c r="P53">
        <f>IFERROR(VLOOKUP(C53,'COPY DATA XPRO'!$C$7:$AI$58,14,FALSE),0)</f>
        <v>2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8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1</v>
      </c>
      <c r="AG53">
        <f>IFERROR(VLOOKUP(C53,'COPY DATA XPRO'!$C$7:$AI$58,31,FALSE),0)</f>
        <v>78.569999999999993</v>
      </c>
      <c r="AH53">
        <f>IFERROR(VLOOKUP(C53,'COPY DATA XPRO'!$C$7:$AI$58,32,FALSE),0)</f>
        <v>61.54</v>
      </c>
      <c r="AI53">
        <f>IFERROR(VLOOKUP(C53,'COPY DATA XPRO'!$C$7:$AI$58,33,FALSE),0)</f>
        <v>72.73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23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2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17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3</v>
      </c>
      <c r="AG54">
        <f>IFERROR(VLOOKUP(C54,'COPY DATA XPRO'!$C$7:$AI$58,31,FALSE),0)</f>
        <v>78.260000000000005</v>
      </c>
      <c r="AH54">
        <f>IFERROR(VLOOKUP(C54,'COPY DATA XPRO'!$C$7:$AI$58,32,FALSE),0)</f>
        <v>85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21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5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11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5</v>
      </c>
      <c r="AG55">
        <f>IFERROR(VLOOKUP(C55,'COPY DATA XPRO'!$C$7:$AI$58,31,FALSE),0)</f>
        <v>52.38</v>
      </c>
      <c r="AH55">
        <f>IFERROR(VLOOKUP(C55,'COPY DATA XPRO'!$C$7:$AI$58,32,FALSE),0)</f>
        <v>68.75</v>
      </c>
      <c r="AI55">
        <f>IFERROR(VLOOKUP(C55,'COPY DATA XPRO'!$C$7:$AI$58,33,FALSE),0)</f>
        <v>100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22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4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12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6</v>
      </c>
      <c r="AG56">
        <f>IFERROR(VLOOKUP(C56,'COPY DATA XPRO'!$C$7:$AI$58,31,FALSE),0)</f>
        <v>54.55</v>
      </c>
      <c r="AH56">
        <f>IFERROR(VLOOKUP(C56,'COPY DATA XPRO'!$C$7:$AI$58,32,FALSE),0)</f>
        <v>75</v>
      </c>
      <c r="AI56">
        <f>IFERROR(VLOOKUP(C56,'COPY DATA XPRO'!$C$7:$AI$58,33,FALSE),0)</f>
        <v>100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60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60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60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60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29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10</v>
      </c>
      <c r="F7">
        <v>0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3</v>
      </c>
      <c r="Y7">
        <v>0</v>
      </c>
      <c r="Z7">
        <v>5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80</v>
      </c>
      <c r="AH7">
        <v>55.56</v>
      </c>
      <c r="AI7">
        <v>62.5</v>
      </c>
    </row>
    <row r="8" spans="2:35">
      <c r="C8" t="s">
        <v>81</v>
      </c>
      <c r="D8">
        <v>0</v>
      </c>
      <c r="E8">
        <v>11</v>
      </c>
      <c r="F8">
        <v>0</v>
      </c>
      <c r="G8">
        <v>0</v>
      </c>
      <c r="H8">
        <v>1</v>
      </c>
      <c r="I8">
        <v>1</v>
      </c>
      <c r="J8">
        <v>4</v>
      </c>
      <c r="K8">
        <v>0</v>
      </c>
      <c r="L8">
        <v>0</v>
      </c>
      <c r="M8">
        <v>1</v>
      </c>
      <c r="N8">
        <v>1</v>
      </c>
      <c r="O8">
        <v>1</v>
      </c>
      <c r="P8">
        <v>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45.45</v>
      </c>
      <c r="AH8">
        <v>20</v>
      </c>
      <c r="AI8">
        <v>40</v>
      </c>
    </row>
    <row r="9" spans="2:35">
      <c r="C9" t="s">
        <v>82</v>
      </c>
      <c r="D9">
        <v>0</v>
      </c>
      <c r="E9">
        <v>3</v>
      </c>
      <c r="F9">
        <v>0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2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66.67</v>
      </c>
      <c r="AH9">
        <v>100</v>
      </c>
      <c r="AI9">
        <v>100</v>
      </c>
    </row>
    <row r="10" spans="2:35">
      <c r="C10" t="s">
        <v>83</v>
      </c>
      <c r="D10">
        <v>0</v>
      </c>
      <c r="E10">
        <v>6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4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66.67</v>
      </c>
      <c r="AH10">
        <v>80</v>
      </c>
      <c r="AI10">
        <v>100</v>
      </c>
    </row>
    <row r="11" spans="2:35">
      <c r="C11" t="s">
        <v>84</v>
      </c>
      <c r="D11">
        <v>0</v>
      </c>
      <c r="E11">
        <v>5</v>
      </c>
      <c r="F11">
        <v>0</v>
      </c>
      <c r="G11">
        <v>1</v>
      </c>
      <c r="H11">
        <v>1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2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40</v>
      </c>
      <c r="AH11">
        <v>40</v>
      </c>
      <c r="AI11">
        <v>100</v>
      </c>
    </row>
    <row r="12" spans="2:35">
      <c r="C12" t="s">
        <v>85</v>
      </c>
      <c r="D12">
        <v>0</v>
      </c>
      <c r="E12">
        <v>37</v>
      </c>
      <c r="F12">
        <v>0</v>
      </c>
      <c r="G12">
        <v>0</v>
      </c>
      <c r="H12">
        <v>0</v>
      </c>
      <c r="I12">
        <v>1</v>
      </c>
      <c r="J12">
        <v>4</v>
      </c>
      <c r="K12">
        <v>11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2</v>
      </c>
      <c r="S12">
        <v>0</v>
      </c>
      <c r="T12">
        <v>0</v>
      </c>
      <c r="U12">
        <v>0</v>
      </c>
      <c r="V12">
        <v>0</v>
      </c>
      <c r="W12">
        <v>0</v>
      </c>
      <c r="X12">
        <v>2</v>
      </c>
      <c r="Y12">
        <v>0</v>
      </c>
      <c r="Z12">
        <v>7</v>
      </c>
      <c r="AA12">
        <v>0</v>
      </c>
      <c r="AB12">
        <v>11</v>
      </c>
      <c r="AC12">
        <v>0</v>
      </c>
      <c r="AD12">
        <v>0</v>
      </c>
      <c r="AE12">
        <v>11</v>
      </c>
      <c r="AF12">
        <v>1</v>
      </c>
      <c r="AG12">
        <v>54.05</v>
      </c>
      <c r="AH12">
        <v>29.17</v>
      </c>
      <c r="AI12">
        <v>77.78</v>
      </c>
    </row>
    <row r="13" spans="2:35">
      <c r="C13" t="s">
        <v>86</v>
      </c>
      <c r="D13">
        <v>0</v>
      </c>
      <c r="E13">
        <v>8</v>
      </c>
      <c r="F13">
        <v>0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1</v>
      </c>
      <c r="N13">
        <v>1</v>
      </c>
      <c r="O13">
        <v>0</v>
      </c>
      <c r="P13">
        <v>2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2</v>
      </c>
      <c r="AA13">
        <v>1</v>
      </c>
      <c r="AB13">
        <v>0</v>
      </c>
      <c r="AC13">
        <v>0</v>
      </c>
      <c r="AD13">
        <v>0</v>
      </c>
      <c r="AE13">
        <v>1</v>
      </c>
      <c r="AF13">
        <v>1</v>
      </c>
      <c r="AG13">
        <v>62.5</v>
      </c>
      <c r="AH13">
        <v>28.57</v>
      </c>
      <c r="AI13">
        <v>50</v>
      </c>
    </row>
    <row r="16" spans="2:35">
      <c r="B16" t="s">
        <v>38</v>
      </c>
      <c r="C16" s="100" t="s">
        <v>87</v>
      </c>
      <c r="D16">
        <v>0</v>
      </c>
      <c r="E16">
        <v>16</v>
      </c>
      <c r="F16">
        <v>0</v>
      </c>
      <c r="G16">
        <v>0</v>
      </c>
      <c r="H16">
        <v>2</v>
      </c>
      <c r="I16">
        <v>0</v>
      </c>
      <c r="J16">
        <v>2</v>
      </c>
      <c r="K16">
        <v>0</v>
      </c>
      <c r="L16">
        <v>0</v>
      </c>
      <c r="M16">
        <v>1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9</v>
      </c>
      <c r="AA16">
        <v>0</v>
      </c>
      <c r="AB16">
        <v>0</v>
      </c>
      <c r="AC16">
        <v>0</v>
      </c>
      <c r="AD16">
        <v>1</v>
      </c>
      <c r="AE16">
        <v>1</v>
      </c>
      <c r="AF16">
        <v>1</v>
      </c>
      <c r="AG16">
        <v>68.75</v>
      </c>
      <c r="AH16">
        <v>60</v>
      </c>
      <c r="AI16">
        <v>90</v>
      </c>
    </row>
    <row r="17" spans="2:35">
      <c r="C17" t="s">
        <v>88</v>
      </c>
      <c r="D17">
        <v>0</v>
      </c>
      <c r="E17">
        <v>6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10</v>
      </c>
      <c r="F18">
        <v>0</v>
      </c>
      <c r="G18">
        <v>0</v>
      </c>
      <c r="H18"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6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2</v>
      </c>
      <c r="AG18">
        <v>60</v>
      </c>
      <c r="AH18">
        <v>75</v>
      </c>
      <c r="AI18">
        <v>100</v>
      </c>
    </row>
    <row r="19" spans="2:35">
      <c r="C19" t="s">
        <v>90</v>
      </c>
      <c r="D19">
        <v>0</v>
      </c>
      <c r="E19">
        <v>19</v>
      </c>
      <c r="F19">
        <v>0</v>
      </c>
      <c r="G19">
        <v>0</v>
      </c>
      <c r="H19">
        <v>0</v>
      </c>
      <c r="I19">
        <v>0</v>
      </c>
      <c r="J19">
        <v>3</v>
      </c>
      <c r="K19">
        <v>0</v>
      </c>
      <c r="L19">
        <v>0</v>
      </c>
      <c r="M19">
        <v>1</v>
      </c>
      <c r="N19">
        <v>1</v>
      </c>
      <c r="O19">
        <v>0</v>
      </c>
      <c r="P19">
        <v>2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14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84.21</v>
      </c>
      <c r="AH19">
        <v>73.680000000000007</v>
      </c>
      <c r="AI19">
        <v>87.5</v>
      </c>
    </row>
    <row r="20" spans="2:35">
      <c r="C20" t="s">
        <v>91</v>
      </c>
      <c r="D20">
        <v>0</v>
      </c>
      <c r="E20">
        <v>20</v>
      </c>
      <c r="F20">
        <v>0</v>
      </c>
      <c r="G20">
        <v>0</v>
      </c>
      <c r="H20">
        <v>0</v>
      </c>
      <c r="I20">
        <v>0</v>
      </c>
      <c r="J20">
        <v>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14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2</v>
      </c>
      <c r="AG20">
        <v>70</v>
      </c>
      <c r="AH20">
        <v>77.78</v>
      </c>
      <c r="AI20">
        <v>100</v>
      </c>
    </row>
    <row r="21" spans="2:35">
      <c r="C21" t="s">
        <v>92</v>
      </c>
      <c r="D21">
        <v>0</v>
      </c>
      <c r="E21">
        <v>3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66.67</v>
      </c>
      <c r="AH21">
        <v>100</v>
      </c>
      <c r="AI21">
        <v>100</v>
      </c>
    </row>
    <row r="22" spans="2:35">
      <c r="C22" t="s">
        <v>93</v>
      </c>
      <c r="D22">
        <v>0</v>
      </c>
      <c r="E22">
        <v>12</v>
      </c>
      <c r="F22">
        <v>0</v>
      </c>
      <c r="G22">
        <v>0</v>
      </c>
      <c r="H22">
        <v>0</v>
      </c>
      <c r="I22">
        <v>0</v>
      </c>
      <c r="J22">
        <v>0</v>
      </c>
      <c r="K22">
        <v>3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7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0</v>
      </c>
      <c r="AG22">
        <v>75</v>
      </c>
      <c r="AH22">
        <v>77.78</v>
      </c>
      <c r="AI22">
        <v>87.5</v>
      </c>
    </row>
    <row r="23" spans="2:35">
      <c r="C23" t="s">
        <v>94</v>
      </c>
      <c r="D23">
        <v>0</v>
      </c>
      <c r="E23">
        <v>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3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100</v>
      </c>
      <c r="AH23">
        <v>100</v>
      </c>
      <c r="AI23">
        <v>100</v>
      </c>
    </row>
    <row r="24" spans="2:35">
      <c r="C24" t="s">
        <v>95</v>
      </c>
      <c r="D24">
        <v>0</v>
      </c>
      <c r="E24">
        <v>13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2</v>
      </c>
      <c r="N24">
        <v>1</v>
      </c>
      <c r="O24">
        <v>0</v>
      </c>
      <c r="P24">
        <v>3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8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0</v>
      </c>
      <c r="AG24">
        <v>92.31</v>
      </c>
      <c r="AH24">
        <v>66.67</v>
      </c>
      <c r="AI24">
        <v>72.73</v>
      </c>
    </row>
    <row r="25" spans="2:35">
      <c r="C25" t="s">
        <v>96</v>
      </c>
      <c r="D25">
        <v>0</v>
      </c>
      <c r="E25">
        <v>5</v>
      </c>
      <c r="F25">
        <v>0</v>
      </c>
      <c r="G25">
        <v>0</v>
      </c>
      <c r="H25">
        <v>0</v>
      </c>
      <c r="I25">
        <v>0</v>
      </c>
      <c r="J25">
        <v>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3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60</v>
      </c>
      <c r="AH25">
        <v>60</v>
      </c>
      <c r="AI25">
        <v>100</v>
      </c>
    </row>
    <row r="26" spans="2:35">
      <c r="C26" t="s">
        <v>97</v>
      </c>
      <c r="D26">
        <v>0</v>
      </c>
      <c r="E26">
        <v>14</v>
      </c>
      <c r="F26">
        <v>3</v>
      </c>
      <c r="G26">
        <v>0</v>
      </c>
      <c r="H26">
        <v>0</v>
      </c>
      <c r="I26">
        <v>0</v>
      </c>
      <c r="J26">
        <v>0</v>
      </c>
      <c r="K26">
        <v>2</v>
      </c>
      <c r="L26">
        <v>0</v>
      </c>
      <c r="M26">
        <v>1</v>
      </c>
      <c r="N26">
        <v>0</v>
      </c>
      <c r="O26">
        <v>0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1</v>
      </c>
      <c r="Z26">
        <v>4</v>
      </c>
      <c r="AA26">
        <v>0</v>
      </c>
      <c r="AB26">
        <v>1</v>
      </c>
      <c r="AC26">
        <v>0</v>
      </c>
      <c r="AD26">
        <v>0</v>
      </c>
      <c r="AE26">
        <v>1</v>
      </c>
      <c r="AF26">
        <v>1</v>
      </c>
      <c r="AG26">
        <v>57.14</v>
      </c>
      <c r="AH26">
        <v>36.36</v>
      </c>
      <c r="AI26">
        <v>57.14</v>
      </c>
    </row>
    <row r="27" spans="2:35">
      <c r="C27" t="s">
        <v>98</v>
      </c>
      <c r="D27">
        <v>0</v>
      </c>
      <c r="E27">
        <v>10</v>
      </c>
      <c r="F27">
        <v>0</v>
      </c>
      <c r="G27">
        <v>1</v>
      </c>
      <c r="H27">
        <v>0</v>
      </c>
      <c r="I27">
        <v>1</v>
      </c>
      <c r="J27">
        <v>3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4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50</v>
      </c>
      <c r="AH27">
        <v>44.44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6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1</v>
      </c>
      <c r="Y28">
        <v>0</v>
      </c>
      <c r="Z28">
        <v>5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100</v>
      </c>
      <c r="AH28">
        <v>83.33</v>
      </c>
      <c r="AI28">
        <v>83.33</v>
      </c>
    </row>
    <row r="29" spans="2:35">
      <c r="C29" t="s">
        <v>100</v>
      </c>
      <c r="D29">
        <v>0</v>
      </c>
      <c r="E29">
        <v>4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3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75</v>
      </c>
      <c r="AH29">
        <v>75</v>
      </c>
      <c r="AI29">
        <v>100</v>
      </c>
    </row>
    <row r="30" spans="2:35">
      <c r="C30" t="s">
        <v>101</v>
      </c>
      <c r="D30">
        <v>0</v>
      </c>
      <c r="E30">
        <v>17</v>
      </c>
      <c r="F30">
        <v>0</v>
      </c>
      <c r="G30">
        <v>1</v>
      </c>
      <c r="H30">
        <v>1</v>
      </c>
      <c r="I30">
        <v>0</v>
      </c>
      <c r="J30">
        <v>1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10</v>
      </c>
      <c r="AA30">
        <v>0</v>
      </c>
      <c r="AB30">
        <v>1</v>
      </c>
      <c r="AC30">
        <v>0</v>
      </c>
      <c r="AD30">
        <v>0</v>
      </c>
      <c r="AE30">
        <v>1</v>
      </c>
      <c r="AF30">
        <v>2</v>
      </c>
      <c r="AG30">
        <v>64.709999999999994</v>
      </c>
      <c r="AH30">
        <v>71.430000000000007</v>
      </c>
      <c r="AI30">
        <v>100</v>
      </c>
    </row>
    <row r="31" spans="2:35">
      <c r="C31" t="s">
        <v>102</v>
      </c>
      <c r="D31">
        <v>0</v>
      </c>
      <c r="E31">
        <v>4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3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100</v>
      </c>
      <c r="AH31">
        <v>75</v>
      </c>
      <c r="AI31">
        <v>75</v>
      </c>
    </row>
    <row r="32" spans="2:35">
      <c r="C32" t="s">
        <v>103</v>
      </c>
      <c r="D32">
        <v>0</v>
      </c>
      <c r="E32">
        <v>10</v>
      </c>
      <c r="F32">
        <v>0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7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2</v>
      </c>
      <c r="AG32">
        <v>70</v>
      </c>
      <c r="AH32">
        <v>87.5</v>
      </c>
      <c r="AI32">
        <v>100</v>
      </c>
    </row>
    <row r="33" spans="2:35">
      <c r="C33" t="s">
        <v>104</v>
      </c>
      <c r="D33">
        <v>0</v>
      </c>
      <c r="E33">
        <v>3</v>
      </c>
      <c r="F33">
        <v>0</v>
      </c>
      <c r="G33">
        <v>0</v>
      </c>
      <c r="H33">
        <v>0</v>
      </c>
      <c r="I33">
        <v>0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2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66.67</v>
      </c>
      <c r="AH33">
        <v>66.67</v>
      </c>
      <c r="AI33">
        <v>100</v>
      </c>
    </row>
    <row r="34" spans="2:35">
      <c r="C34" t="s">
        <v>105</v>
      </c>
      <c r="D34">
        <v>0</v>
      </c>
      <c r="E34">
        <v>13</v>
      </c>
      <c r="F34">
        <v>0</v>
      </c>
      <c r="G34">
        <v>0</v>
      </c>
      <c r="H34">
        <v>0</v>
      </c>
      <c r="I34">
        <v>1</v>
      </c>
      <c r="J34">
        <v>2</v>
      </c>
      <c r="K34">
        <v>0</v>
      </c>
      <c r="L34">
        <v>0</v>
      </c>
      <c r="M34">
        <v>1</v>
      </c>
      <c r="N34">
        <v>1</v>
      </c>
      <c r="O34">
        <v>0</v>
      </c>
      <c r="P34">
        <v>2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8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76.92</v>
      </c>
      <c r="AH34">
        <v>66.67</v>
      </c>
      <c r="AI34">
        <v>80</v>
      </c>
    </row>
    <row r="35" spans="2:35">
      <c r="C35" t="s">
        <v>106</v>
      </c>
      <c r="D35">
        <v>0</v>
      </c>
      <c r="E35">
        <v>11</v>
      </c>
      <c r="F35">
        <v>1</v>
      </c>
      <c r="G35">
        <v>1</v>
      </c>
      <c r="H35">
        <v>0</v>
      </c>
      <c r="I35">
        <v>0</v>
      </c>
      <c r="J35">
        <v>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5</v>
      </c>
      <c r="AA35">
        <v>0</v>
      </c>
      <c r="AB35">
        <v>2</v>
      </c>
      <c r="AC35">
        <v>0</v>
      </c>
      <c r="AD35">
        <v>0</v>
      </c>
      <c r="AE35">
        <v>2</v>
      </c>
      <c r="AF35">
        <v>0</v>
      </c>
      <c r="AG35">
        <v>63.64</v>
      </c>
      <c r="AH35">
        <v>45.45</v>
      </c>
      <c r="AI35">
        <v>100</v>
      </c>
    </row>
    <row r="36" spans="2:35">
      <c r="C36" t="s">
        <v>107</v>
      </c>
      <c r="D36">
        <v>0</v>
      </c>
      <c r="E36">
        <v>3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2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66.67</v>
      </c>
      <c r="AH36">
        <v>66.67</v>
      </c>
      <c r="AI36">
        <v>100</v>
      </c>
    </row>
    <row r="37" spans="2:35">
      <c r="C37" t="s">
        <v>108</v>
      </c>
      <c r="D37">
        <v>0</v>
      </c>
      <c r="E37">
        <v>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100</v>
      </c>
      <c r="AI38">
        <v>100</v>
      </c>
    </row>
    <row r="39" spans="2:35">
      <c r="C39" t="s">
        <v>110</v>
      </c>
      <c r="D39">
        <v>0</v>
      </c>
      <c r="E39">
        <v>8</v>
      </c>
      <c r="F39">
        <v>1</v>
      </c>
      <c r="G39">
        <v>0</v>
      </c>
      <c r="H39">
        <v>0</v>
      </c>
      <c r="I39">
        <v>0</v>
      </c>
      <c r="J39">
        <v>2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3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50</v>
      </c>
      <c r="AH39">
        <v>42.86</v>
      </c>
      <c r="AI39">
        <v>75</v>
      </c>
    </row>
    <row r="40" spans="2:35">
      <c r="C40" t="s">
        <v>111</v>
      </c>
      <c r="D40">
        <v>0</v>
      </c>
      <c r="E40">
        <v>7</v>
      </c>
      <c r="F40">
        <v>0</v>
      </c>
      <c r="G40">
        <v>0</v>
      </c>
      <c r="H40">
        <v>0</v>
      </c>
      <c r="I40">
        <v>0</v>
      </c>
      <c r="J40">
        <v>2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4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71.430000000000007</v>
      </c>
      <c r="AH40">
        <v>57.14</v>
      </c>
      <c r="AI40">
        <v>80</v>
      </c>
    </row>
    <row r="41" spans="2:35">
      <c r="C41" t="s">
        <v>112</v>
      </c>
      <c r="D41">
        <v>0</v>
      </c>
      <c r="E41">
        <v>17</v>
      </c>
      <c r="F41">
        <v>0</v>
      </c>
      <c r="G41">
        <v>0</v>
      </c>
      <c r="H41">
        <v>0</v>
      </c>
      <c r="I41">
        <v>0</v>
      </c>
      <c r="J41">
        <v>3</v>
      </c>
      <c r="K41">
        <v>0</v>
      </c>
      <c r="L41">
        <v>0</v>
      </c>
      <c r="M41">
        <v>2</v>
      </c>
      <c r="N41">
        <v>2</v>
      </c>
      <c r="O41">
        <v>0</v>
      </c>
      <c r="P41">
        <v>4</v>
      </c>
      <c r="Q41">
        <v>1</v>
      </c>
      <c r="R41">
        <v>0</v>
      </c>
      <c r="S41">
        <v>0</v>
      </c>
      <c r="T41">
        <v>0</v>
      </c>
      <c r="U41">
        <v>1</v>
      </c>
      <c r="V41">
        <v>0</v>
      </c>
      <c r="W41">
        <v>0</v>
      </c>
      <c r="X41">
        <v>2</v>
      </c>
      <c r="Y41">
        <v>0</v>
      </c>
      <c r="Z41">
        <v>7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76.47</v>
      </c>
      <c r="AH41">
        <v>43.75</v>
      </c>
      <c r="AI41">
        <v>53.85</v>
      </c>
    </row>
    <row r="42" spans="2:35">
      <c r="C42" t="s">
        <v>113</v>
      </c>
      <c r="D42">
        <v>0</v>
      </c>
      <c r="E42">
        <v>11</v>
      </c>
      <c r="F42">
        <v>0</v>
      </c>
      <c r="G42">
        <v>0</v>
      </c>
      <c r="H42">
        <v>0</v>
      </c>
      <c r="I42">
        <v>0</v>
      </c>
      <c r="J42">
        <v>0</v>
      </c>
      <c r="K42">
        <v>1</v>
      </c>
      <c r="L42">
        <v>0</v>
      </c>
      <c r="M42">
        <v>0</v>
      </c>
      <c r="N42">
        <v>5</v>
      </c>
      <c r="O42">
        <v>0</v>
      </c>
      <c r="P42">
        <v>5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5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90.91</v>
      </c>
      <c r="AH42">
        <v>50</v>
      </c>
      <c r="AI42">
        <v>50</v>
      </c>
    </row>
    <row r="43" spans="2:35">
      <c r="C43" t="s">
        <v>114</v>
      </c>
      <c r="D43">
        <v>0</v>
      </c>
      <c r="E43">
        <v>5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3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60</v>
      </c>
      <c r="AH43">
        <v>100</v>
      </c>
      <c r="AI43">
        <v>100</v>
      </c>
    </row>
    <row r="44" spans="2:35">
      <c r="C44" t="s">
        <v>115</v>
      </c>
      <c r="D44">
        <v>0</v>
      </c>
      <c r="E44">
        <v>20</v>
      </c>
      <c r="F44">
        <v>1</v>
      </c>
      <c r="G44">
        <v>1</v>
      </c>
      <c r="H44">
        <v>0</v>
      </c>
      <c r="I44">
        <v>0</v>
      </c>
      <c r="J44">
        <v>3</v>
      </c>
      <c r="K44">
        <v>1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0</v>
      </c>
      <c r="Z44">
        <v>10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2</v>
      </c>
      <c r="AG44">
        <v>60</v>
      </c>
      <c r="AH44">
        <v>58.82</v>
      </c>
      <c r="AI44">
        <v>83.33</v>
      </c>
    </row>
    <row r="45" spans="2:35">
      <c r="C45" t="s">
        <v>116</v>
      </c>
      <c r="D45">
        <v>0</v>
      </c>
      <c r="E45">
        <v>12</v>
      </c>
      <c r="F45">
        <v>1</v>
      </c>
      <c r="G45">
        <v>1</v>
      </c>
      <c r="H45">
        <v>0</v>
      </c>
      <c r="I45">
        <v>0</v>
      </c>
      <c r="J45">
        <v>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7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58.33</v>
      </c>
      <c r="AH45">
        <v>63.64</v>
      </c>
      <c r="AI45">
        <v>100</v>
      </c>
    </row>
    <row r="46" spans="2:35">
      <c r="C46" t="s">
        <v>117</v>
      </c>
      <c r="D46">
        <v>0</v>
      </c>
      <c r="E46">
        <v>4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</v>
      </c>
      <c r="N46">
        <v>1</v>
      </c>
      <c r="O46">
        <v>0</v>
      </c>
      <c r="P46">
        <v>2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100</v>
      </c>
      <c r="AH46">
        <v>50</v>
      </c>
      <c r="AI46">
        <v>50</v>
      </c>
    </row>
    <row r="47" spans="2:35">
      <c r="C47" t="s">
        <v>118</v>
      </c>
      <c r="D47">
        <v>0</v>
      </c>
      <c r="E47">
        <v>24</v>
      </c>
      <c r="F47">
        <v>0</v>
      </c>
      <c r="G47">
        <v>0</v>
      </c>
      <c r="H47">
        <v>0</v>
      </c>
      <c r="I47">
        <v>0</v>
      </c>
      <c r="J47">
        <v>2</v>
      </c>
      <c r="K47">
        <v>3</v>
      </c>
      <c r="L47">
        <v>0</v>
      </c>
      <c r="M47">
        <v>1</v>
      </c>
      <c r="N47">
        <v>1</v>
      </c>
      <c r="O47">
        <v>1</v>
      </c>
      <c r="P47">
        <v>3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6</v>
      </c>
      <c r="AG47">
        <v>54.17</v>
      </c>
      <c r="AH47">
        <v>66.67</v>
      </c>
      <c r="AI47">
        <v>76.92</v>
      </c>
    </row>
    <row r="48" spans="2:35">
      <c r="C48" t="s">
        <v>119</v>
      </c>
      <c r="D48">
        <v>0</v>
      </c>
      <c r="E48">
        <v>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50</v>
      </c>
      <c r="AI48">
        <v>50</v>
      </c>
    </row>
    <row r="49" spans="2:35">
      <c r="C49" t="s">
        <v>120</v>
      </c>
      <c r="D49">
        <v>0</v>
      </c>
      <c r="E49">
        <v>2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50</v>
      </c>
      <c r="AH49">
        <v>100</v>
      </c>
      <c r="AI49">
        <v>100</v>
      </c>
    </row>
    <row r="50" spans="2:35">
      <c r="B50" t="s">
        <v>55</v>
      </c>
      <c r="C50" t="s">
        <v>121</v>
      </c>
      <c r="D50">
        <v>0</v>
      </c>
      <c r="E50">
        <v>10</v>
      </c>
      <c r="F50">
        <v>0</v>
      </c>
      <c r="G50">
        <v>0</v>
      </c>
      <c r="H50">
        <v>0</v>
      </c>
      <c r="I50">
        <v>0</v>
      </c>
      <c r="J50">
        <v>3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5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</v>
      </c>
      <c r="AG50">
        <v>60</v>
      </c>
      <c r="AH50">
        <v>55.56</v>
      </c>
      <c r="AI50">
        <v>83.33</v>
      </c>
    </row>
    <row r="51" spans="2:35">
      <c r="C51" t="s">
        <v>122</v>
      </c>
      <c r="D51">
        <v>0</v>
      </c>
      <c r="E51">
        <v>22</v>
      </c>
      <c r="F51">
        <v>1</v>
      </c>
      <c r="G51">
        <v>0</v>
      </c>
      <c r="H51">
        <v>0</v>
      </c>
      <c r="I51">
        <v>0</v>
      </c>
      <c r="J51">
        <v>1</v>
      </c>
      <c r="K51">
        <v>0</v>
      </c>
      <c r="L51">
        <v>0</v>
      </c>
      <c r="M51">
        <v>1</v>
      </c>
      <c r="N51">
        <v>1</v>
      </c>
      <c r="O51">
        <v>0</v>
      </c>
      <c r="P51">
        <v>2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1</v>
      </c>
      <c r="Y51">
        <v>0</v>
      </c>
      <c r="Z51">
        <v>12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5</v>
      </c>
      <c r="AG51">
        <v>68.180000000000007</v>
      </c>
      <c r="AH51">
        <v>70.59</v>
      </c>
      <c r="AI51">
        <v>80</v>
      </c>
    </row>
    <row r="52" spans="2:35">
      <c r="C52" t="s">
        <v>123</v>
      </c>
      <c r="D52">
        <v>0</v>
      </c>
      <c r="E52">
        <v>10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8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2</v>
      </c>
      <c r="AG52">
        <v>80</v>
      </c>
      <c r="AH52">
        <v>100</v>
      </c>
      <c r="AI52">
        <v>100</v>
      </c>
    </row>
    <row r="53" spans="2:35">
      <c r="C53" t="s">
        <v>124</v>
      </c>
      <c r="D53">
        <v>0</v>
      </c>
      <c r="E53">
        <v>18</v>
      </c>
      <c r="F53">
        <v>0</v>
      </c>
      <c r="G53">
        <v>0</v>
      </c>
      <c r="H53">
        <v>0</v>
      </c>
      <c r="I53">
        <v>1</v>
      </c>
      <c r="J53">
        <v>3</v>
      </c>
      <c r="K53">
        <v>0</v>
      </c>
      <c r="L53">
        <v>0</v>
      </c>
      <c r="M53">
        <v>1</v>
      </c>
      <c r="N53">
        <v>0</v>
      </c>
      <c r="O53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3</v>
      </c>
      <c r="AG53">
        <v>61.11</v>
      </c>
      <c r="AH53">
        <v>71.430000000000007</v>
      </c>
      <c r="AI53">
        <v>90.91</v>
      </c>
    </row>
    <row r="54" spans="2:35">
      <c r="C54" t="s">
        <v>125</v>
      </c>
      <c r="D54">
        <v>0</v>
      </c>
      <c r="E54">
        <v>14</v>
      </c>
      <c r="F54">
        <v>0</v>
      </c>
      <c r="G54">
        <v>0</v>
      </c>
      <c r="H54">
        <v>0</v>
      </c>
      <c r="I54">
        <v>0</v>
      </c>
      <c r="J54">
        <v>2</v>
      </c>
      <c r="K54">
        <v>0</v>
      </c>
      <c r="L54">
        <v>0</v>
      </c>
      <c r="M54">
        <v>1</v>
      </c>
      <c r="N54">
        <v>1</v>
      </c>
      <c r="O54">
        <v>0</v>
      </c>
      <c r="P54">
        <v>2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8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78.569999999999993</v>
      </c>
      <c r="AH54">
        <v>61.54</v>
      </c>
      <c r="AI54">
        <v>72.73</v>
      </c>
    </row>
    <row r="55" spans="2:35">
      <c r="C55" t="s">
        <v>126</v>
      </c>
      <c r="D55">
        <v>0</v>
      </c>
      <c r="E55">
        <v>23</v>
      </c>
      <c r="F55">
        <v>0</v>
      </c>
      <c r="G55">
        <v>0</v>
      </c>
      <c r="H55">
        <v>0</v>
      </c>
      <c r="I55">
        <v>0</v>
      </c>
      <c r="J55">
        <v>2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17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3</v>
      </c>
      <c r="AG55">
        <v>78.260000000000005</v>
      </c>
      <c r="AH55">
        <v>85</v>
      </c>
      <c r="AI55">
        <v>100</v>
      </c>
    </row>
    <row r="56" spans="2:35">
      <c r="C56" t="s">
        <v>127</v>
      </c>
      <c r="D56">
        <v>0</v>
      </c>
      <c r="E56">
        <v>21</v>
      </c>
      <c r="F56">
        <v>0</v>
      </c>
      <c r="G56">
        <v>0</v>
      </c>
      <c r="H56">
        <v>0</v>
      </c>
      <c r="I56">
        <v>0</v>
      </c>
      <c r="J56">
        <v>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11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5</v>
      </c>
      <c r="AG56">
        <v>52.38</v>
      </c>
      <c r="AH56">
        <v>68.75</v>
      </c>
      <c r="AI56">
        <v>100</v>
      </c>
    </row>
    <row r="57" spans="2:35">
      <c r="C57" t="s">
        <v>128</v>
      </c>
      <c r="D57">
        <v>0</v>
      </c>
      <c r="E57">
        <v>22</v>
      </c>
      <c r="F57">
        <v>0</v>
      </c>
      <c r="G57">
        <v>0</v>
      </c>
      <c r="H57">
        <v>0</v>
      </c>
      <c r="I57">
        <v>0</v>
      </c>
      <c r="J57">
        <v>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12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6</v>
      </c>
      <c r="AG57">
        <v>54.55</v>
      </c>
      <c r="AH57">
        <v>75</v>
      </c>
      <c r="AI57">
        <v>100</v>
      </c>
    </row>
    <row r="59" spans="2:35">
      <c r="C59" s="160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60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60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60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80</v>
      </c>
      <c r="F63" s="12">
        <v>0</v>
      </c>
      <c r="G63" s="12">
        <v>1</v>
      </c>
      <c r="H63" s="12">
        <v>2</v>
      </c>
      <c r="I63" s="12">
        <v>3</v>
      </c>
      <c r="J63" s="12">
        <v>13</v>
      </c>
      <c r="K63" s="12">
        <v>11</v>
      </c>
      <c r="L63" s="12">
        <v>0</v>
      </c>
      <c r="M63" s="12">
        <v>2</v>
      </c>
      <c r="N63" s="12">
        <v>2</v>
      </c>
      <c r="O63" s="12">
        <v>1</v>
      </c>
      <c r="P63" s="12">
        <v>5</v>
      </c>
      <c r="Q63" s="12">
        <v>1</v>
      </c>
      <c r="R63" s="12">
        <v>3</v>
      </c>
      <c r="S63" s="12">
        <v>0</v>
      </c>
      <c r="T63" s="12">
        <v>1</v>
      </c>
      <c r="U63" s="12">
        <v>0</v>
      </c>
      <c r="V63" s="12">
        <v>0</v>
      </c>
      <c r="W63" s="12">
        <v>0</v>
      </c>
      <c r="X63" s="12">
        <v>5</v>
      </c>
      <c r="Y63" s="12">
        <v>0</v>
      </c>
      <c r="Z63" s="12">
        <v>24</v>
      </c>
      <c r="AA63" s="12">
        <v>1</v>
      </c>
      <c r="AB63" s="12">
        <v>11</v>
      </c>
      <c r="AC63" s="12">
        <v>0</v>
      </c>
      <c r="AD63" s="12">
        <v>0</v>
      </c>
      <c r="AE63" s="12">
        <v>12</v>
      </c>
      <c r="AF63" s="12">
        <v>4</v>
      </c>
      <c r="AG63" s="12">
        <v>57.5</v>
      </c>
      <c r="AH63" s="12">
        <v>38.71</v>
      </c>
      <c r="AI63" s="12">
        <v>70.59</v>
      </c>
    </row>
    <row r="64" spans="2:35" ht="21.5" thickBot="1">
      <c r="C64" s="11" t="s">
        <v>38</v>
      </c>
      <c r="D64" s="12">
        <v>0</v>
      </c>
      <c r="E64" s="12">
        <v>131</v>
      </c>
      <c r="F64" s="12">
        <v>3</v>
      </c>
      <c r="G64" s="12">
        <v>1</v>
      </c>
      <c r="H64" s="12">
        <v>2</v>
      </c>
      <c r="I64" s="12">
        <v>1</v>
      </c>
      <c r="J64" s="12">
        <v>16</v>
      </c>
      <c r="K64" s="12">
        <v>7</v>
      </c>
      <c r="L64" s="12">
        <v>0</v>
      </c>
      <c r="M64" s="12">
        <v>5</v>
      </c>
      <c r="N64" s="12">
        <v>2</v>
      </c>
      <c r="O64" s="12">
        <v>0</v>
      </c>
      <c r="P64" s="12">
        <v>7</v>
      </c>
      <c r="Q64" s="12">
        <v>1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2</v>
      </c>
      <c r="Y64" s="12">
        <v>1</v>
      </c>
      <c r="Z64" s="12">
        <v>80</v>
      </c>
      <c r="AA64" s="12">
        <v>0</v>
      </c>
      <c r="AB64" s="12">
        <v>3</v>
      </c>
      <c r="AC64" s="12">
        <v>0</v>
      </c>
      <c r="AD64" s="12">
        <v>2</v>
      </c>
      <c r="AE64" s="12">
        <v>5</v>
      </c>
      <c r="AF64" s="12">
        <v>6</v>
      </c>
      <c r="AG64" s="14">
        <v>72.52</v>
      </c>
      <c r="AH64" s="14">
        <v>68.38</v>
      </c>
      <c r="AI64" s="14">
        <v>88.89</v>
      </c>
    </row>
    <row r="65" spans="3:35" ht="21.5" thickBot="1">
      <c r="C65" s="11" t="s">
        <v>42</v>
      </c>
      <c r="D65" s="12">
        <v>0</v>
      </c>
      <c r="E65" s="12">
        <v>72</v>
      </c>
      <c r="F65" s="12">
        <v>1</v>
      </c>
      <c r="G65" s="12">
        <v>2</v>
      </c>
      <c r="H65" s="12">
        <v>1</v>
      </c>
      <c r="I65" s="12">
        <v>1</v>
      </c>
      <c r="J65" s="12">
        <v>9</v>
      </c>
      <c r="K65" s="12">
        <v>1</v>
      </c>
      <c r="L65" s="12">
        <v>0</v>
      </c>
      <c r="M65" s="12">
        <v>2</v>
      </c>
      <c r="N65" s="12">
        <v>1</v>
      </c>
      <c r="O65" s="12">
        <v>0</v>
      </c>
      <c r="P65" s="12">
        <v>3</v>
      </c>
      <c r="Q65" s="12">
        <v>1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1</v>
      </c>
      <c r="Y65" s="12">
        <v>0</v>
      </c>
      <c r="Z65" s="12">
        <v>46</v>
      </c>
      <c r="AA65" s="12">
        <v>0</v>
      </c>
      <c r="AB65" s="12">
        <v>3</v>
      </c>
      <c r="AC65" s="12">
        <v>0</v>
      </c>
      <c r="AD65" s="12">
        <v>0</v>
      </c>
      <c r="AE65" s="12">
        <v>3</v>
      </c>
      <c r="AF65" s="12">
        <v>4</v>
      </c>
      <c r="AG65" s="14">
        <v>73.61</v>
      </c>
      <c r="AH65" s="14">
        <v>69.7</v>
      </c>
      <c r="AI65" s="14">
        <v>92</v>
      </c>
    </row>
    <row r="66" spans="3:35" ht="21.5" thickBot="1">
      <c r="C66" s="11" t="s">
        <v>45</v>
      </c>
      <c r="D66" s="12">
        <v>0</v>
      </c>
      <c r="E66" s="12">
        <v>113</v>
      </c>
      <c r="F66" s="12">
        <v>3</v>
      </c>
      <c r="G66" s="12">
        <v>2</v>
      </c>
      <c r="H66" s="12">
        <v>0</v>
      </c>
      <c r="I66" s="12">
        <v>1</v>
      </c>
      <c r="J66" s="12">
        <v>14</v>
      </c>
      <c r="K66" s="12">
        <v>7</v>
      </c>
      <c r="L66" s="12">
        <v>0</v>
      </c>
      <c r="M66" s="12">
        <v>5</v>
      </c>
      <c r="N66" s="12">
        <v>9</v>
      </c>
      <c r="O66" s="12">
        <v>1</v>
      </c>
      <c r="P66" s="12">
        <v>15</v>
      </c>
      <c r="Q66" s="12">
        <v>2</v>
      </c>
      <c r="R66" s="12">
        <v>0</v>
      </c>
      <c r="S66" s="12">
        <v>0</v>
      </c>
      <c r="T66" s="12">
        <v>0</v>
      </c>
      <c r="U66" s="12">
        <v>3</v>
      </c>
      <c r="V66" s="12">
        <v>0</v>
      </c>
      <c r="W66" s="12">
        <v>0</v>
      </c>
      <c r="X66" s="12">
        <v>5</v>
      </c>
      <c r="Y66" s="12">
        <v>1</v>
      </c>
      <c r="Z66" s="12">
        <v>54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11</v>
      </c>
      <c r="AG66" s="14">
        <v>66.37</v>
      </c>
      <c r="AH66" s="14">
        <v>57.45</v>
      </c>
      <c r="AI66" s="14">
        <v>72</v>
      </c>
    </row>
    <row r="67" spans="3:35" ht="21.5" thickBot="1">
      <c r="C67" s="11" t="s">
        <v>49</v>
      </c>
      <c r="D67" s="12">
        <v>0</v>
      </c>
      <c r="E67" s="12">
        <v>77</v>
      </c>
      <c r="F67" s="12">
        <v>2</v>
      </c>
      <c r="G67" s="12">
        <v>2</v>
      </c>
      <c r="H67" s="12">
        <v>2</v>
      </c>
      <c r="I67" s="12">
        <v>0</v>
      </c>
      <c r="J67" s="12">
        <v>10</v>
      </c>
      <c r="K67" s="12">
        <v>2</v>
      </c>
      <c r="L67" s="12">
        <v>0</v>
      </c>
      <c r="M67" s="12">
        <v>1</v>
      </c>
      <c r="N67" s="12">
        <v>2</v>
      </c>
      <c r="O67" s="12">
        <v>1</v>
      </c>
      <c r="P67" s="12">
        <v>4</v>
      </c>
      <c r="Q67" s="12">
        <v>2</v>
      </c>
      <c r="R67" s="12">
        <v>1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3</v>
      </c>
      <c r="Y67" s="12">
        <v>0</v>
      </c>
      <c r="Z67" s="12">
        <v>43</v>
      </c>
      <c r="AA67" s="12">
        <v>0</v>
      </c>
      <c r="AB67" s="12">
        <v>0</v>
      </c>
      <c r="AC67" s="12">
        <v>0</v>
      </c>
      <c r="AD67" s="12">
        <v>0</v>
      </c>
      <c r="AE67" s="12">
        <v>0</v>
      </c>
      <c r="AF67" s="12">
        <v>8</v>
      </c>
      <c r="AG67" s="14">
        <v>64.94</v>
      </c>
      <c r="AH67" s="14">
        <v>64.180000000000007</v>
      </c>
      <c r="AI67" s="14">
        <v>86</v>
      </c>
    </row>
    <row r="68" spans="3:35" ht="21.5" thickBot="1">
      <c r="C68" s="11" t="s">
        <v>51</v>
      </c>
      <c r="D68" s="12">
        <v>0</v>
      </c>
      <c r="E68" s="12">
        <v>56</v>
      </c>
      <c r="F68" s="12">
        <v>2</v>
      </c>
      <c r="G68" s="12">
        <v>1</v>
      </c>
      <c r="H68" s="12">
        <v>1</v>
      </c>
      <c r="I68" s="12">
        <v>1</v>
      </c>
      <c r="J68" s="12">
        <v>8</v>
      </c>
      <c r="K68" s="12">
        <v>0</v>
      </c>
      <c r="L68" s="12">
        <v>0</v>
      </c>
      <c r="M68" s="12">
        <v>2</v>
      </c>
      <c r="N68" s="12">
        <v>1</v>
      </c>
      <c r="O68" s="12">
        <v>0</v>
      </c>
      <c r="P68" s="12">
        <v>3</v>
      </c>
      <c r="Q68" s="12">
        <v>3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4</v>
      </c>
      <c r="Y68" s="12">
        <v>0</v>
      </c>
      <c r="Z68" s="12">
        <v>31</v>
      </c>
      <c r="AA68" s="12">
        <v>5</v>
      </c>
      <c r="AB68" s="12">
        <v>0</v>
      </c>
      <c r="AC68" s="12">
        <v>0</v>
      </c>
      <c r="AD68" s="12">
        <v>0</v>
      </c>
      <c r="AE68" s="12">
        <v>5</v>
      </c>
      <c r="AF68" s="12">
        <v>0</v>
      </c>
      <c r="AG68" s="14">
        <v>76.790000000000006</v>
      </c>
      <c r="AH68" s="14">
        <v>56.36</v>
      </c>
      <c r="AI68" s="14">
        <v>81.58</v>
      </c>
    </row>
    <row r="69" spans="3:35" ht="21.5" thickBot="1">
      <c r="C69" s="11" t="s">
        <v>55</v>
      </c>
      <c r="D69" s="12">
        <v>0</v>
      </c>
      <c r="E69" s="12">
        <v>140</v>
      </c>
      <c r="F69" s="12">
        <v>1</v>
      </c>
      <c r="G69" s="12">
        <v>0</v>
      </c>
      <c r="H69" s="12">
        <v>0</v>
      </c>
      <c r="I69" s="12">
        <v>1</v>
      </c>
      <c r="J69" s="12">
        <v>20</v>
      </c>
      <c r="K69" s="12">
        <v>0</v>
      </c>
      <c r="L69" s="12">
        <v>0</v>
      </c>
      <c r="M69" s="12">
        <v>3</v>
      </c>
      <c r="N69" s="12">
        <v>2</v>
      </c>
      <c r="O69" s="12">
        <v>0</v>
      </c>
      <c r="P69" s="12">
        <v>5</v>
      </c>
      <c r="Q69" s="12">
        <v>1</v>
      </c>
      <c r="R69" s="12">
        <v>1</v>
      </c>
      <c r="S69" s="12">
        <v>0</v>
      </c>
      <c r="T69" s="12">
        <v>0</v>
      </c>
      <c r="U69" s="12">
        <v>1</v>
      </c>
      <c r="V69" s="12">
        <v>0</v>
      </c>
      <c r="W69" s="12">
        <v>0</v>
      </c>
      <c r="X69" s="12">
        <v>3</v>
      </c>
      <c r="Y69" s="12">
        <v>0</v>
      </c>
      <c r="Z69" s="12">
        <v>83</v>
      </c>
      <c r="AA69" s="12">
        <v>1</v>
      </c>
      <c r="AB69" s="12">
        <v>0</v>
      </c>
      <c r="AC69" s="12">
        <v>0</v>
      </c>
      <c r="AD69" s="12">
        <v>0</v>
      </c>
      <c r="AE69" s="12">
        <v>1</v>
      </c>
      <c r="AF69" s="12">
        <v>26</v>
      </c>
      <c r="AG69" s="14">
        <v>65.709999999999994</v>
      </c>
      <c r="AH69" s="14">
        <v>73.45</v>
      </c>
      <c r="AI69" s="14">
        <v>91.21</v>
      </c>
    </row>
    <row r="70" spans="3:35" ht="21.5" thickBot="1">
      <c r="C70" s="11" t="s">
        <v>59</v>
      </c>
      <c r="D70" s="12">
        <v>0</v>
      </c>
      <c r="E70" s="12">
        <v>103</v>
      </c>
      <c r="F70" s="12">
        <v>1</v>
      </c>
      <c r="G70" s="12">
        <v>2</v>
      </c>
      <c r="H70" s="12">
        <v>0</v>
      </c>
      <c r="I70" s="12">
        <v>1</v>
      </c>
      <c r="J70" s="12">
        <v>13</v>
      </c>
      <c r="K70" s="12">
        <v>0</v>
      </c>
      <c r="L70" s="12">
        <v>0</v>
      </c>
      <c r="M70" s="12">
        <v>4</v>
      </c>
      <c r="N70" s="12">
        <v>2</v>
      </c>
      <c r="O70" s="12">
        <v>0</v>
      </c>
      <c r="P70" s="12">
        <v>6</v>
      </c>
      <c r="Q70" s="12">
        <v>1</v>
      </c>
      <c r="R70" s="12">
        <v>2</v>
      </c>
      <c r="S70" s="12">
        <v>0</v>
      </c>
      <c r="T70" s="12">
        <v>0</v>
      </c>
      <c r="U70" s="12">
        <v>1</v>
      </c>
      <c r="V70" s="12">
        <v>0</v>
      </c>
      <c r="W70" s="12">
        <v>0</v>
      </c>
      <c r="X70" s="12">
        <v>4</v>
      </c>
      <c r="Y70" s="12">
        <v>0</v>
      </c>
      <c r="Z70" s="12">
        <v>57</v>
      </c>
      <c r="AA70" s="12">
        <v>1</v>
      </c>
      <c r="AB70" s="12">
        <v>2</v>
      </c>
      <c r="AC70" s="12">
        <v>0</v>
      </c>
      <c r="AD70" s="12">
        <v>3</v>
      </c>
      <c r="AE70" s="12">
        <v>6</v>
      </c>
      <c r="AF70" s="12">
        <v>13</v>
      </c>
      <c r="AG70" s="14">
        <v>70.87</v>
      </c>
      <c r="AH70" s="14">
        <v>64.040000000000006</v>
      </c>
      <c r="AI70" s="14">
        <v>85.07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1" sqref="G11:G18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2512</v>
      </c>
      <c r="D4" t="s">
        <v>528</v>
      </c>
      <c r="E4" t="s">
        <v>154</v>
      </c>
    </row>
    <row r="5" spans="1:7">
      <c r="A5" s="7" t="s">
        <v>34</v>
      </c>
      <c r="B5">
        <v>14</v>
      </c>
      <c r="C5">
        <v>2</v>
      </c>
      <c r="D5">
        <v>43</v>
      </c>
      <c r="E5">
        <v>59</v>
      </c>
      <c r="G5" s="8">
        <f t="shared" ref="G5:G58" si="0">B5/(B5+C5)</f>
        <v>0.875</v>
      </c>
    </row>
    <row r="6" spans="1:7">
      <c r="A6" s="7" t="s">
        <v>38</v>
      </c>
      <c r="B6">
        <v>66</v>
      </c>
      <c r="C6">
        <v>1</v>
      </c>
      <c r="D6">
        <v>29</v>
      </c>
      <c r="E6">
        <v>96</v>
      </c>
      <c r="G6" s="8">
        <f t="shared" si="0"/>
        <v>0.9850746268656716</v>
      </c>
    </row>
    <row r="7" spans="1:7">
      <c r="A7" s="7" t="s">
        <v>42</v>
      </c>
      <c r="B7">
        <v>41</v>
      </c>
      <c r="D7">
        <v>11</v>
      </c>
      <c r="E7">
        <v>52</v>
      </c>
      <c r="G7" s="8">
        <f t="shared" si="0"/>
        <v>1</v>
      </c>
    </row>
    <row r="8" spans="1:7">
      <c r="A8" s="7" t="s">
        <v>45</v>
      </c>
      <c r="B8">
        <v>36</v>
      </c>
      <c r="C8">
        <v>8</v>
      </c>
      <c r="D8">
        <v>42</v>
      </c>
      <c r="E8">
        <v>86</v>
      </c>
      <c r="G8" s="8">
        <f t="shared" si="0"/>
        <v>0.81818181818181823</v>
      </c>
    </row>
    <row r="9" spans="1:7">
      <c r="A9" s="7" t="s">
        <v>55</v>
      </c>
      <c r="B9">
        <v>73</v>
      </c>
      <c r="C9">
        <v>1</v>
      </c>
      <c r="D9">
        <v>44</v>
      </c>
      <c r="E9">
        <v>118</v>
      </c>
      <c r="G9" s="8">
        <f t="shared" si="0"/>
        <v>0.98648648648648651</v>
      </c>
    </row>
    <row r="10" spans="1:7">
      <c r="A10" s="7" t="s">
        <v>154</v>
      </c>
      <c r="B10">
        <v>230</v>
      </c>
      <c r="C10">
        <v>12</v>
      </c>
      <c r="D10">
        <v>169</v>
      </c>
      <c r="E10">
        <v>411</v>
      </c>
      <c r="G10" s="8">
        <f t="shared" si="0"/>
        <v>0.95041322314049592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2512</v>
      </c>
      <c r="D18" t="s">
        <v>528</v>
      </c>
      <c r="E18" t="s">
        <v>154</v>
      </c>
      <c r="G18" s="8"/>
    </row>
    <row r="19" spans="1:7">
      <c r="A19" s="7" t="s">
        <v>34</v>
      </c>
      <c r="B19">
        <v>14</v>
      </c>
      <c r="C19">
        <v>2</v>
      </c>
      <c r="D19">
        <v>43</v>
      </c>
      <c r="E19">
        <v>59</v>
      </c>
      <c r="G19" s="8">
        <f t="shared" si="0"/>
        <v>0.875</v>
      </c>
    </row>
    <row r="20" spans="1:7">
      <c r="A20" s="9" t="s">
        <v>81</v>
      </c>
      <c r="D20">
        <v>5</v>
      </c>
      <c r="E20">
        <v>5</v>
      </c>
      <c r="G20" s="8" t="e">
        <f t="shared" si="0"/>
        <v>#DIV/0!</v>
      </c>
    </row>
    <row r="21" spans="1:7">
      <c r="A21" s="9" t="s">
        <v>79</v>
      </c>
      <c r="B21">
        <v>3</v>
      </c>
      <c r="C21">
        <v>2</v>
      </c>
      <c r="D21">
        <v>4</v>
      </c>
      <c r="E21">
        <v>9</v>
      </c>
      <c r="G21" s="8">
        <f t="shared" si="0"/>
        <v>0.6</v>
      </c>
    </row>
    <row r="22" spans="1:7">
      <c r="A22" s="9" t="s">
        <v>86</v>
      </c>
      <c r="B22">
        <v>1</v>
      </c>
      <c r="D22">
        <v>3</v>
      </c>
      <c r="E22">
        <v>4</v>
      </c>
      <c r="G22" s="8">
        <f t="shared" si="0"/>
        <v>1</v>
      </c>
    </row>
    <row r="23" spans="1:7">
      <c r="A23" s="9" t="s">
        <v>82</v>
      </c>
      <c r="D23">
        <v>2</v>
      </c>
      <c r="E23">
        <v>2</v>
      </c>
      <c r="G23" s="8" t="e">
        <f t="shared" si="0"/>
        <v>#DIV/0!</v>
      </c>
    </row>
    <row r="24" spans="1:7">
      <c r="A24" s="9" t="s">
        <v>84</v>
      </c>
      <c r="B24">
        <v>2</v>
      </c>
      <c r="D24">
        <v>2</v>
      </c>
      <c r="E24">
        <v>4</v>
      </c>
      <c r="G24" s="8">
        <f t="shared" si="0"/>
        <v>1</v>
      </c>
    </row>
    <row r="25" spans="1:7">
      <c r="A25" s="9" t="s">
        <v>83</v>
      </c>
      <c r="B25">
        <v>2</v>
      </c>
      <c r="D25">
        <v>1</v>
      </c>
      <c r="E25">
        <v>3</v>
      </c>
      <c r="G25" s="8">
        <f t="shared" si="0"/>
        <v>1</v>
      </c>
    </row>
    <row r="26" spans="1:7">
      <c r="A26" s="9" t="s">
        <v>85</v>
      </c>
      <c r="B26">
        <v>6</v>
      </c>
      <c r="D26">
        <v>26</v>
      </c>
      <c r="E26">
        <v>32</v>
      </c>
      <c r="G26" s="8">
        <f t="shared" si="0"/>
        <v>1</v>
      </c>
    </row>
    <row r="27" spans="1:7">
      <c r="A27" s="7" t="s">
        <v>38</v>
      </c>
      <c r="B27">
        <v>66</v>
      </c>
      <c r="C27">
        <v>1</v>
      </c>
      <c r="D27">
        <v>29</v>
      </c>
      <c r="E27">
        <v>96</v>
      </c>
      <c r="G27" s="8">
        <f t="shared" si="0"/>
        <v>0.9850746268656716</v>
      </c>
    </row>
    <row r="28" spans="1:7">
      <c r="A28" s="9" t="s">
        <v>93</v>
      </c>
      <c r="B28">
        <v>5</v>
      </c>
      <c r="D28">
        <v>2</v>
      </c>
      <c r="E28">
        <v>7</v>
      </c>
      <c r="G28" s="8">
        <f t="shared" si="0"/>
        <v>1</v>
      </c>
    </row>
    <row r="29" spans="1:7">
      <c r="A29" s="9" t="s">
        <v>87</v>
      </c>
      <c r="B29">
        <v>8</v>
      </c>
      <c r="D29">
        <v>5</v>
      </c>
      <c r="E29">
        <v>13</v>
      </c>
      <c r="G29" s="8">
        <f t="shared" si="0"/>
        <v>1</v>
      </c>
    </row>
    <row r="30" spans="1:7">
      <c r="A30" s="9" t="s">
        <v>89</v>
      </c>
      <c r="B30">
        <v>9</v>
      </c>
      <c r="D30">
        <v>7</v>
      </c>
      <c r="E30">
        <v>16</v>
      </c>
      <c r="G30" s="8">
        <f t="shared" si="0"/>
        <v>1</v>
      </c>
    </row>
    <row r="31" spans="1:7">
      <c r="A31" s="9" t="s">
        <v>90</v>
      </c>
      <c r="B31">
        <v>12</v>
      </c>
      <c r="C31">
        <v>1</v>
      </c>
      <c r="D31">
        <v>2</v>
      </c>
      <c r="E31">
        <v>15</v>
      </c>
      <c r="G31" s="8">
        <f t="shared" si="0"/>
        <v>0.92307692307692313</v>
      </c>
    </row>
    <row r="32" spans="1:7">
      <c r="A32" s="9" t="s">
        <v>92</v>
      </c>
      <c r="B32">
        <v>4</v>
      </c>
      <c r="D32">
        <v>2</v>
      </c>
      <c r="E32">
        <v>6</v>
      </c>
      <c r="G32" s="8">
        <f t="shared" si="0"/>
        <v>1</v>
      </c>
    </row>
    <row r="33" spans="1:7">
      <c r="A33" s="9" t="s">
        <v>88</v>
      </c>
      <c r="B33">
        <v>10</v>
      </c>
      <c r="D33">
        <v>4</v>
      </c>
      <c r="E33">
        <v>14</v>
      </c>
      <c r="G33" s="8">
        <f t="shared" si="0"/>
        <v>1</v>
      </c>
    </row>
    <row r="34" spans="1:7">
      <c r="A34" s="9" t="s">
        <v>95</v>
      </c>
      <c r="B34">
        <v>7</v>
      </c>
      <c r="D34">
        <v>3</v>
      </c>
      <c r="E34">
        <v>10</v>
      </c>
      <c r="G34" s="8">
        <f t="shared" si="0"/>
        <v>1</v>
      </c>
    </row>
    <row r="35" spans="1:7">
      <c r="A35" s="9" t="s">
        <v>247</v>
      </c>
      <c r="B35">
        <v>11</v>
      </c>
      <c r="D35">
        <v>4</v>
      </c>
      <c r="E35">
        <v>15</v>
      </c>
      <c r="G35" s="8">
        <f t="shared" si="0"/>
        <v>1</v>
      </c>
    </row>
    <row r="36" spans="1:7">
      <c r="A36" s="7" t="s">
        <v>42</v>
      </c>
      <c r="B36">
        <v>41</v>
      </c>
      <c r="D36">
        <v>11</v>
      </c>
      <c r="E36">
        <v>52</v>
      </c>
      <c r="G36" s="8">
        <f t="shared" si="0"/>
        <v>1</v>
      </c>
    </row>
    <row r="37" spans="1:7">
      <c r="A37" s="9" t="s">
        <v>107</v>
      </c>
      <c r="B37">
        <v>4</v>
      </c>
      <c r="E37">
        <v>4</v>
      </c>
      <c r="G37" s="8">
        <f t="shared" si="0"/>
        <v>1</v>
      </c>
    </row>
    <row r="38" spans="1:7">
      <c r="A38" s="9" t="s">
        <v>106</v>
      </c>
      <c r="B38">
        <v>5</v>
      </c>
      <c r="D38">
        <v>2</v>
      </c>
      <c r="E38">
        <v>7</v>
      </c>
      <c r="G38" s="8">
        <f t="shared" si="0"/>
        <v>1</v>
      </c>
    </row>
    <row r="39" spans="1:7">
      <c r="A39" s="9" t="s">
        <v>102</v>
      </c>
      <c r="B39">
        <v>5</v>
      </c>
      <c r="E39">
        <v>5</v>
      </c>
      <c r="G39" s="8">
        <f t="shared" si="0"/>
        <v>1</v>
      </c>
    </row>
    <row r="40" spans="1:7">
      <c r="A40" s="9" t="s">
        <v>105</v>
      </c>
      <c r="B40">
        <v>13</v>
      </c>
      <c r="D40">
        <v>4</v>
      </c>
      <c r="E40">
        <v>17</v>
      </c>
      <c r="G40" s="8">
        <f t="shared" si="0"/>
        <v>1</v>
      </c>
    </row>
    <row r="41" spans="1:7">
      <c r="A41" s="9" t="s">
        <v>99</v>
      </c>
      <c r="B41">
        <v>5</v>
      </c>
      <c r="D41">
        <v>1</v>
      </c>
      <c r="E41">
        <v>6</v>
      </c>
      <c r="G41" s="8">
        <f t="shared" si="0"/>
        <v>1</v>
      </c>
    </row>
    <row r="42" spans="1:7">
      <c r="A42" s="9" t="s">
        <v>232</v>
      </c>
      <c r="B42">
        <v>9</v>
      </c>
      <c r="D42">
        <v>4</v>
      </c>
      <c r="E42">
        <v>13</v>
      </c>
      <c r="G42" s="8">
        <f t="shared" si="0"/>
        <v>1</v>
      </c>
    </row>
    <row r="43" spans="1:7">
      <c r="A43" s="7" t="s">
        <v>45</v>
      </c>
      <c r="B43">
        <v>36</v>
      </c>
      <c r="C43">
        <v>8</v>
      </c>
      <c r="D43">
        <v>42</v>
      </c>
      <c r="E43">
        <v>86</v>
      </c>
      <c r="G43" s="8">
        <f t="shared" si="0"/>
        <v>0.81818181818181823</v>
      </c>
    </row>
    <row r="44" spans="1:7">
      <c r="A44" s="9" t="s">
        <v>118</v>
      </c>
      <c r="B44">
        <v>6</v>
      </c>
      <c r="C44">
        <v>1</v>
      </c>
      <c r="D44">
        <v>7</v>
      </c>
      <c r="E44">
        <v>14</v>
      </c>
      <c r="G44" s="8">
        <f t="shared" si="0"/>
        <v>0.8571428571428571</v>
      </c>
    </row>
    <row r="45" spans="1:7">
      <c r="A45" s="9" t="s">
        <v>110</v>
      </c>
      <c r="B45">
        <v>1</v>
      </c>
      <c r="D45">
        <v>5</v>
      </c>
      <c r="E45">
        <v>6</v>
      </c>
      <c r="G45" s="8">
        <f t="shared" si="0"/>
        <v>1</v>
      </c>
    </row>
    <row r="46" spans="1:7">
      <c r="A46" s="9" t="s">
        <v>111</v>
      </c>
      <c r="B46">
        <v>4</v>
      </c>
      <c r="D46">
        <v>1</v>
      </c>
      <c r="E46">
        <v>5</v>
      </c>
      <c r="G46" s="8">
        <f t="shared" si="0"/>
        <v>1</v>
      </c>
    </row>
    <row r="47" spans="1:7">
      <c r="A47" s="9" t="s">
        <v>109</v>
      </c>
      <c r="B47">
        <v>1</v>
      </c>
      <c r="E47">
        <v>1</v>
      </c>
      <c r="G47" s="8">
        <f t="shared" si="0"/>
        <v>1</v>
      </c>
    </row>
    <row r="48" spans="1:7">
      <c r="A48" s="9" t="s">
        <v>113</v>
      </c>
      <c r="B48">
        <v>1</v>
      </c>
      <c r="C48">
        <v>3</v>
      </c>
      <c r="D48">
        <v>7</v>
      </c>
      <c r="E48">
        <v>11</v>
      </c>
      <c r="G48" s="8">
        <f t="shared" si="0"/>
        <v>0.25</v>
      </c>
    </row>
    <row r="49" spans="1:7">
      <c r="A49" s="9" t="s">
        <v>117</v>
      </c>
      <c r="B49">
        <v>1</v>
      </c>
      <c r="D49">
        <v>3</v>
      </c>
      <c r="E49">
        <v>4</v>
      </c>
      <c r="G49" s="8">
        <f t="shared" si="0"/>
        <v>1</v>
      </c>
    </row>
    <row r="50" spans="1:7">
      <c r="A50" s="9" t="s">
        <v>120</v>
      </c>
      <c r="B50">
        <v>1</v>
      </c>
      <c r="D50">
        <v>3</v>
      </c>
      <c r="E50">
        <v>4</v>
      </c>
      <c r="G50" s="8">
        <f t="shared" si="0"/>
        <v>1</v>
      </c>
    </row>
    <row r="51" spans="1:7">
      <c r="A51" s="9" t="s">
        <v>114</v>
      </c>
      <c r="B51">
        <v>2</v>
      </c>
      <c r="C51">
        <v>1</v>
      </c>
      <c r="E51">
        <v>3</v>
      </c>
      <c r="G51" s="8">
        <f t="shared" si="0"/>
        <v>0.66666666666666663</v>
      </c>
    </row>
    <row r="52" spans="1:7">
      <c r="A52" s="9" t="s">
        <v>755</v>
      </c>
      <c r="B52">
        <v>16</v>
      </c>
      <c r="D52">
        <v>9</v>
      </c>
      <c r="E52">
        <v>25</v>
      </c>
      <c r="G52" s="8">
        <f t="shared" si="0"/>
        <v>1</v>
      </c>
    </row>
    <row r="53" spans="1:7">
      <c r="A53" s="9" t="s">
        <v>210</v>
      </c>
      <c r="B53">
        <v>3</v>
      </c>
      <c r="C53">
        <v>3</v>
      </c>
      <c r="D53">
        <v>7</v>
      </c>
      <c r="E53">
        <v>13</v>
      </c>
      <c r="G53" s="8">
        <f t="shared" si="0"/>
        <v>0.5</v>
      </c>
    </row>
    <row r="54" spans="1:7">
      <c r="A54" s="7" t="s">
        <v>55</v>
      </c>
      <c r="B54">
        <v>73</v>
      </c>
      <c r="C54">
        <v>1</v>
      </c>
      <c r="D54">
        <v>44</v>
      </c>
      <c r="E54">
        <v>118</v>
      </c>
      <c r="G54" s="8">
        <f t="shared" si="0"/>
        <v>0.98648648648648651</v>
      </c>
    </row>
    <row r="55" spans="1:7">
      <c r="A55" s="9" t="s">
        <v>122</v>
      </c>
      <c r="B55">
        <v>17</v>
      </c>
      <c r="D55">
        <v>12</v>
      </c>
      <c r="E55">
        <v>29</v>
      </c>
      <c r="G55" s="8">
        <f t="shared" si="0"/>
        <v>1</v>
      </c>
    </row>
    <row r="56" spans="1:7">
      <c r="A56" s="9" t="s">
        <v>227</v>
      </c>
      <c r="B56">
        <v>16</v>
      </c>
      <c r="D56">
        <v>11</v>
      </c>
      <c r="E56">
        <v>27</v>
      </c>
      <c r="G56" s="8">
        <f t="shared" si="0"/>
        <v>1</v>
      </c>
    </row>
    <row r="57" spans="1:7">
      <c r="A57" s="9" t="s">
        <v>640</v>
      </c>
      <c r="B57">
        <v>23</v>
      </c>
      <c r="C57">
        <v>1</v>
      </c>
      <c r="D57">
        <v>11</v>
      </c>
      <c r="E57">
        <v>35</v>
      </c>
      <c r="G57" s="8">
        <f t="shared" si="0"/>
        <v>0.95833333333333337</v>
      </c>
    </row>
    <row r="58" spans="1:7">
      <c r="A58" s="9" t="s">
        <v>637</v>
      </c>
      <c r="B58">
        <v>17</v>
      </c>
      <c r="D58">
        <v>10</v>
      </c>
      <c r="E58">
        <v>27</v>
      </c>
      <c r="G58" s="8">
        <f t="shared" si="0"/>
        <v>1</v>
      </c>
    </row>
    <row r="59" spans="1:7">
      <c r="A59" s="7" t="s">
        <v>154</v>
      </c>
      <c r="B59">
        <v>230</v>
      </c>
      <c r="C59">
        <v>12</v>
      </c>
      <c r="D59">
        <v>169</v>
      </c>
      <c r="E59">
        <v>411</v>
      </c>
      <c r="G59" s="8">
        <f t="shared" ref="G59" si="1">B59/(B59+C59)</f>
        <v>0.95041322314049592</v>
      </c>
    </row>
    <row r="60" spans="1:7">
      <c r="G60" s="8" t="e">
        <f t="shared" ref="G60:G78" si="2">B60/(B60+C60)</f>
        <v>#DIV/0!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S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3118</v>
      </c>
      <c r="BD1" s="193" t="s">
        <v>3119</v>
      </c>
      <c r="BE1" s="193" t="s">
        <v>3120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1401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1402</v>
      </c>
      <c r="U2" t="s">
        <v>1403</v>
      </c>
      <c r="V2" t="s">
        <v>1404</v>
      </c>
      <c r="Z2">
        <v>116.07382200000001</v>
      </c>
      <c r="AA2">
        <v>-8.7262160000000009</v>
      </c>
      <c r="AB2" t="s">
        <v>1405</v>
      </c>
      <c r="AC2" t="s">
        <v>235</v>
      </c>
      <c r="AL2" t="s">
        <v>217</v>
      </c>
      <c r="AM2" t="s">
        <v>1406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1407</v>
      </c>
      <c r="AW2" t="s">
        <v>875</v>
      </c>
      <c r="AX2" t="s">
        <v>222</v>
      </c>
      <c r="BA2" s="57">
        <v>46299.333333333336</v>
      </c>
      <c r="BB2" t="s">
        <v>1406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1002621447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46299.631712962961</v>
      </c>
      <c r="P3" s="57">
        <v>46300.354814814818</v>
      </c>
      <c r="Q3">
        <v>69403029</v>
      </c>
      <c r="S3">
        <v>172602204310</v>
      </c>
      <c r="T3" t="s">
        <v>1402</v>
      </c>
      <c r="U3" t="s">
        <v>1408</v>
      </c>
      <c r="V3" t="s">
        <v>1409</v>
      </c>
      <c r="Z3">
        <v>116.07343735021701</v>
      </c>
      <c r="AA3">
        <v>-8.7254262319400802</v>
      </c>
      <c r="AB3" t="s">
        <v>1405</v>
      </c>
      <c r="AC3" t="s">
        <v>229</v>
      </c>
      <c r="AL3" t="s">
        <v>217</v>
      </c>
      <c r="AM3" t="s">
        <v>1410</v>
      </c>
      <c r="AN3" t="s">
        <v>6</v>
      </c>
      <c r="AO3" s="57">
        <v>46122.642152777778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541</v>
      </c>
      <c r="AX3" t="s">
        <v>222</v>
      </c>
      <c r="BA3" s="57">
        <v>46299.291666666664</v>
      </c>
      <c r="BB3" t="s">
        <v>1410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1002621340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46299.493310185186</v>
      </c>
      <c r="P4" s="57">
        <v>46300.350960648146</v>
      </c>
      <c r="Q4">
        <v>69399532</v>
      </c>
      <c r="S4">
        <v>172602204309</v>
      </c>
      <c r="T4" t="s">
        <v>1411</v>
      </c>
      <c r="U4" t="s">
        <v>1412</v>
      </c>
      <c r="V4" t="s">
        <v>1413</v>
      </c>
      <c r="Z4">
        <v>116.013121763043</v>
      </c>
      <c r="AA4">
        <v>-8.7516921329937798</v>
      </c>
      <c r="AB4" t="s">
        <v>1414</v>
      </c>
      <c r="AC4" t="s">
        <v>216</v>
      </c>
      <c r="AL4" t="s">
        <v>217</v>
      </c>
      <c r="AM4" t="s">
        <v>1415</v>
      </c>
      <c r="AN4" t="s">
        <v>6</v>
      </c>
      <c r="AO4" s="57">
        <v>46122.49664351852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540</v>
      </c>
      <c r="AX4" t="s">
        <v>222</v>
      </c>
      <c r="BA4" s="57">
        <v>46299.291666666664</v>
      </c>
      <c r="BB4" t="s">
        <v>1415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1002625798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L5" t="s">
        <v>214</v>
      </c>
      <c r="M5" t="s">
        <v>238</v>
      </c>
      <c r="N5" t="s">
        <v>215</v>
      </c>
      <c r="O5" s="57">
        <v>46302.474004629628</v>
      </c>
      <c r="P5" s="57">
        <v>46302.475081018521</v>
      </c>
      <c r="Q5">
        <v>69405677</v>
      </c>
      <c r="S5">
        <v>172602203039</v>
      </c>
      <c r="T5" t="s">
        <v>3703</v>
      </c>
      <c r="U5" t="s">
        <v>3704</v>
      </c>
      <c r="V5" t="s">
        <v>3705</v>
      </c>
      <c r="Z5">
        <v>116.1660232</v>
      </c>
      <c r="AA5">
        <v>-8.6742326999999992</v>
      </c>
      <c r="AB5" t="s">
        <v>3706</v>
      </c>
      <c r="AC5" t="s">
        <v>235</v>
      </c>
      <c r="AL5" t="s">
        <v>217</v>
      </c>
      <c r="AM5" t="s">
        <v>3707</v>
      </c>
      <c r="AN5" t="s">
        <v>6</v>
      </c>
      <c r="AO5" s="57">
        <v>46213.475960648146</v>
      </c>
      <c r="AP5" s="57">
        <v>46303.458333333336</v>
      </c>
      <c r="AR5" t="s">
        <v>239</v>
      </c>
      <c r="AS5" t="s">
        <v>812</v>
      </c>
      <c r="AT5" t="s">
        <v>230</v>
      </c>
      <c r="AV5" t="s">
        <v>238</v>
      </c>
      <c r="AW5" t="s">
        <v>2990</v>
      </c>
      <c r="AX5" t="s">
        <v>222</v>
      </c>
      <c r="BA5" s="57">
        <v>46303.458333333336</v>
      </c>
      <c r="BB5" t="s">
        <v>3707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1002621187</v>
      </c>
      <c r="C6">
        <v>3</v>
      </c>
      <c r="D6" t="s">
        <v>45</v>
      </c>
      <c r="E6">
        <v>5</v>
      </c>
      <c r="F6" t="s">
        <v>210</v>
      </c>
      <c r="G6" t="s">
        <v>112</v>
      </c>
      <c r="H6" t="s">
        <v>242</v>
      </c>
      <c r="I6" t="s">
        <v>212</v>
      </c>
      <c r="J6" t="s">
        <v>213</v>
      </c>
      <c r="K6" t="s">
        <v>149</v>
      </c>
      <c r="L6" t="s">
        <v>214</v>
      </c>
      <c r="M6" t="s">
        <v>1401</v>
      </c>
      <c r="N6" t="s">
        <v>215</v>
      </c>
      <c r="O6" s="57">
        <v>46298.760254629633</v>
      </c>
      <c r="P6" s="57">
        <v>46300.68645833333</v>
      </c>
      <c r="Q6">
        <v>69403754</v>
      </c>
      <c r="S6">
        <v>172605804558</v>
      </c>
      <c r="T6" t="s">
        <v>1422</v>
      </c>
      <c r="U6" t="s">
        <v>1423</v>
      </c>
      <c r="V6" t="s">
        <v>1424</v>
      </c>
      <c r="Z6">
        <v>116.15934278815899</v>
      </c>
      <c r="AA6">
        <v>-8.6577033377755601</v>
      </c>
      <c r="AB6" t="s">
        <v>1425</v>
      </c>
      <c r="AC6" t="s">
        <v>216</v>
      </c>
      <c r="AL6" t="s">
        <v>217</v>
      </c>
      <c r="AM6" t="s">
        <v>1426</v>
      </c>
      <c r="AN6" t="s">
        <v>6</v>
      </c>
      <c r="AO6" s="57">
        <v>46091.778020833335</v>
      </c>
      <c r="AP6" s="57">
        <v>46299.625</v>
      </c>
      <c r="AR6" t="s">
        <v>14</v>
      </c>
      <c r="AS6" t="s">
        <v>219</v>
      </c>
      <c r="AT6" t="s">
        <v>342</v>
      </c>
      <c r="AV6" t="s">
        <v>2513</v>
      </c>
      <c r="AW6" t="s">
        <v>1427</v>
      </c>
      <c r="AX6" t="s">
        <v>222</v>
      </c>
      <c r="BA6" s="57">
        <v>46299.625</v>
      </c>
      <c r="BB6" t="s">
        <v>1426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MATARAM</v>
      </c>
    </row>
    <row r="7" spans="1:61">
      <c r="A7">
        <v>6</v>
      </c>
      <c r="B7">
        <v>1002625199</v>
      </c>
      <c r="C7">
        <v>3</v>
      </c>
      <c r="D7" t="s">
        <v>45</v>
      </c>
      <c r="E7">
        <v>5</v>
      </c>
      <c r="F7" t="s">
        <v>210</v>
      </c>
      <c r="G7" t="s">
        <v>112</v>
      </c>
      <c r="H7" t="s">
        <v>242</v>
      </c>
      <c r="I7" t="s">
        <v>212</v>
      </c>
      <c r="J7" t="s">
        <v>213</v>
      </c>
      <c r="K7" t="s">
        <v>149</v>
      </c>
      <c r="L7" t="s">
        <v>214</v>
      </c>
      <c r="M7" t="s">
        <v>224</v>
      </c>
      <c r="N7" t="s">
        <v>215</v>
      </c>
      <c r="O7" s="57">
        <v>46301.805266203701</v>
      </c>
      <c r="P7" s="57">
        <v>46303.337511574071</v>
      </c>
      <c r="Q7">
        <v>69405399</v>
      </c>
      <c r="S7">
        <v>172605804578</v>
      </c>
      <c r="T7" t="s">
        <v>3121</v>
      </c>
      <c r="U7" t="s">
        <v>3122</v>
      </c>
      <c r="V7" t="s">
        <v>3123</v>
      </c>
      <c r="Z7">
        <v>116.20994634926301</v>
      </c>
      <c r="AA7">
        <v>-8.5912044709838895</v>
      </c>
      <c r="AB7" t="s">
        <v>3124</v>
      </c>
      <c r="AC7" t="s">
        <v>216</v>
      </c>
      <c r="AL7" t="s">
        <v>217</v>
      </c>
      <c r="AM7" t="s">
        <v>3125</v>
      </c>
      <c r="AN7" t="s">
        <v>6</v>
      </c>
      <c r="AO7" s="57">
        <v>46183.809340277781</v>
      </c>
      <c r="AP7" s="57">
        <v>46303.333333333336</v>
      </c>
      <c r="AR7" t="s">
        <v>18</v>
      </c>
      <c r="AS7" t="s">
        <v>219</v>
      </c>
      <c r="AT7" t="s">
        <v>230</v>
      </c>
      <c r="AV7" t="s">
        <v>226</v>
      </c>
      <c r="AW7" t="s">
        <v>878</v>
      </c>
      <c r="AX7" t="s">
        <v>222</v>
      </c>
      <c r="BA7" s="57">
        <v>46303.333333333336</v>
      </c>
      <c r="BB7" t="s">
        <v>3125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MATARAM</v>
      </c>
    </row>
    <row r="8" spans="1:61">
      <c r="A8">
        <v>7</v>
      </c>
      <c r="B8">
        <v>1002625744</v>
      </c>
      <c r="C8">
        <v>3</v>
      </c>
      <c r="D8" t="s">
        <v>45</v>
      </c>
      <c r="E8">
        <v>5</v>
      </c>
      <c r="F8" t="s">
        <v>210</v>
      </c>
      <c r="G8" t="s">
        <v>112</v>
      </c>
      <c r="H8" t="s">
        <v>242</v>
      </c>
      <c r="I8" t="s">
        <v>212</v>
      </c>
      <c r="J8" t="s">
        <v>213</v>
      </c>
      <c r="K8" t="s">
        <v>149</v>
      </c>
      <c r="L8" t="s">
        <v>214</v>
      </c>
      <c r="M8" t="s">
        <v>224</v>
      </c>
      <c r="N8" t="s">
        <v>215</v>
      </c>
      <c r="O8" s="57">
        <v>46302.459444444445</v>
      </c>
      <c r="P8" s="57">
        <v>46303.344155092593</v>
      </c>
      <c r="Q8">
        <v>69405653</v>
      </c>
      <c r="S8">
        <v>172605804582</v>
      </c>
      <c r="T8" t="s">
        <v>3708</v>
      </c>
      <c r="U8" t="s">
        <v>3709</v>
      </c>
      <c r="V8" t="s">
        <v>3710</v>
      </c>
      <c r="Z8">
        <v>116.199207</v>
      </c>
      <c r="AA8">
        <v>-8.6240489999999994</v>
      </c>
      <c r="AB8" t="s">
        <v>3711</v>
      </c>
      <c r="AC8" t="s">
        <v>235</v>
      </c>
      <c r="AL8" t="s">
        <v>217</v>
      </c>
      <c r="AM8" t="s">
        <v>3712</v>
      </c>
      <c r="AN8" t="s">
        <v>6</v>
      </c>
      <c r="AO8" s="57">
        <v>46213.475960648146</v>
      </c>
      <c r="AP8" s="57">
        <v>46303.333333333336</v>
      </c>
      <c r="AR8" t="s">
        <v>18</v>
      </c>
      <c r="AS8" t="s">
        <v>219</v>
      </c>
      <c r="AT8" t="s">
        <v>230</v>
      </c>
      <c r="AV8" t="s">
        <v>226</v>
      </c>
      <c r="AW8" t="s">
        <v>3713</v>
      </c>
      <c r="AX8" t="s">
        <v>222</v>
      </c>
      <c r="BA8" s="57">
        <v>46303.333333333336</v>
      </c>
      <c r="BB8" t="s">
        <v>3712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MATARAM</v>
      </c>
    </row>
    <row r="9" spans="1:61">
      <c r="A9">
        <v>8</v>
      </c>
      <c r="B9">
        <v>1002620604</v>
      </c>
      <c r="C9">
        <v>3</v>
      </c>
      <c r="D9" t="s">
        <v>45</v>
      </c>
      <c r="E9">
        <v>5</v>
      </c>
      <c r="F9" t="s">
        <v>210</v>
      </c>
      <c r="G9" t="s">
        <v>112</v>
      </c>
      <c r="H9" t="s">
        <v>242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46297.744849537034</v>
      </c>
      <c r="P9" s="57">
        <v>46301.689837962964</v>
      </c>
      <c r="Q9">
        <v>69403382</v>
      </c>
      <c r="S9">
        <v>172605804551</v>
      </c>
      <c r="T9" t="s">
        <v>1416</v>
      </c>
      <c r="U9" t="s">
        <v>1417</v>
      </c>
      <c r="V9" t="s">
        <v>1418</v>
      </c>
      <c r="Z9">
        <v>116.17569899999999</v>
      </c>
      <c r="AA9">
        <v>-8.6091850000000001</v>
      </c>
      <c r="AB9" t="s">
        <v>1419</v>
      </c>
      <c r="AC9" t="s">
        <v>235</v>
      </c>
      <c r="AL9" t="s">
        <v>217</v>
      </c>
      <c r="AM9" t="s">
        <v>1420</v>
      </c>
      <c r="AN9" t="s">
        <v>6</v>
      </c>
      <c r="AO9" s="57">
        <v>46063.746817129628</v>
      </c>
      <c r="AP9" s="57">
        <v>46298.625</v>
      </c>
      <c r="AR9" t="s">
        <v>218</v>
      </c>
      <c r="AS9" t="s">
        <v>219</v>
      </c>
      <c r="AT9" t="s">
        <v>230</v>
      </c>
      <c r="AU9">
        <v>20261006</v>
      </c>
      <c r="AV9" t="s">
        <v>221</v>
      </c>
      <c r="AW9" t="s">
        <v>1421</v>
      </c>
      <c r="AX9" t="s">
        <v>222</v>
      </c>
      <c r="BA9" s="57">
        <v>46298.625</v>
      </c>
      <c r="BB9" t="s">
        <v>1420</v>
      </c>
      <c r="BC9">
        <v>2026</v>
      </c>
      <c r="BD9">
        <v>10</v>
      </c>
      <c r="BE9">
        <v>6</v>
      </c>
      <c r="BF9" s="6">
        <f t="shared" si="0"/>
        <v>46301</v>
      </c>
      <c r="BG9">
        <f t="shared" si="1"/>
        <v>2.375</v>
      </c>
      <c r="BH9" t="str">
        <f t="shared" si="2"/>
        <v>NOT COMPLY</v>
      </c>
      <c r="BI9" t="str">
        <f>VLOOKUP(H9,Sheet2!$A$1:$B$270,2,FALSE)</f>
        <v>MATARAM</v>
      </c>
    </row>
    <row r="10" spans="1:61">
      <c r="A10">
        <v>9</v>
      </c>
      <c r="B10">
        <v>1002623076</v>
      </c>
      <c r="C10">
        <v>3</v>
      </c>
      <c r="D10" t="s">
        <v>45</v>
      </c>
      <c r="E10">
        <v>5</v>
      </c>
      <c r="F10" t="s">
        <v>210</v>
      </c>
      <c r="G10" t="s">
        <v>112</v>
      </c>
      <c r="H10" t="s">
        <v>242</v>
      </c>
      <c r="I10" t="s">
        <v>212</v>
      </c>
      <c r="J10" t="s">
        <v>213</v>
      </c>
      <c r="K10" t="s">
        <v>149</v>
      </c>
      <c r="M10" t="s">
        <v>76</v>
      </c>
      <c r="N10" t="s">
        <v>215</v>
      </c>
      <c r="O10" s="57">
        <v>46300.686469907407</v>
      </c>
      <c r="P10" s="57">
        <v>46301.634062500001</v>
      </c>
      <c r="Q10">
        <v>69403754</v>
      </c>
      <c r="S10">
        <v>172605804571</v>
      </c>
      <c r="T10" t="s">
        <v>1422</v>
      </c>
      <c r="U10" t="s">
        <v>2514</v>
      </c>
      <c r="V10" t="s">
        <v>2515</v>
      </c>
      <c r="Z10">
        <v>116.1606266</v>
      </c>
      <c r="AA10">
        <v>-8.6574731000000007</v>
      </c>
      <c r="AB10" t="s">
        <v>1425</v>
      </c>
      <c r="AC10" t="s">
        <v>216</v>
      </c>
      <c r="AL10" t="s">
        <v>217</v>
      </c>
      <c r="AM10" t="s">
        <v>2516</v>
      </c>
      <c r="AN10" t="s">
        <v>6</v>
      </c>
      <c r="AO10" s="57">
        <v>46152.726238425923</v>
      </c>
      <c r="AR10" t="s">
        <v>218</v>
      </c>
      <c r="AS10" t="s">
        <v>219</v>
      </c>
      <c r="AT10" t="s">
        <v>342</v>
      </c>
      <c r="AU10">
        <v>20261006</v>
      </c>
      <c r="AV10" t="s">
        <v>221</v>
      </c>
      <c r="AW10" t="s">
        <v>2517</v>
      </c>
      <c r="AX10" t="s">
        <v>222</v>
      </c>
      <c r="BA10" s="57">
        <v>46300.291666666664</v>
      </c>
      <c r="BB10" t="s">
        <v>2516</v>
      </c>
      <c r="BC10">
        <v>2026</v>
      </c>
      <c r="BD10">
        <v>10</v>
      </c>
      <c r="BE10">
        <v>6</v>
      </c>
      <c r="BF10" s="6">
        <f t="shared" si="0"/>
        <v>46301</v>
      </c>
      <c r="BG10">
        <f t="shared" si="1"/>
        <v>0.70833333333575865</v>
      </c>
      <c r="BH10" t="str">
        <f t="shared" si="2"/>
        <v>COMPLY</v>
      </c>
      <c r="BI10" t="str">
        <f>VLOOKUP(H10,Sheet2!$A$1:$B$270,2,FALSE)</f>
        <v>MATARAM</v>
      </c>
    </row>
    <row r="11" spans="1:61">
      <c r="A11">
        <v>10</v>
      </c>
      <c r="B11">
        <v>1002627057</v>
      </c>
      <c r="C11">
        <v>3</v>
      </c>
      <c r="D11" t="s">
        <v>45</v>
      </c>
      <c r="E11">
        <v>5</v>
      </c>
      <c r="F11" t="s">
        <v>210</v>
      </c>
      <c r="G11" t="s">
        <v>112</v>
      </c>
      <c r="H11" t="s">
        <v>242</v>
      </c>
      <c r="I11" t="s">
        <v>212</v>
      </c>
      <c r="J11" t="s">
        <v>213</v>
      </c>
      <c r="K11" t="s">
        <v>149</v>
      </c>
      <c r="L11" t="s">
        <v>214</v>
      </c>
      <c r="M11" t="s">
        <v>238</v>
      </c>
      <c r="N11" t="s">
        <v>215</v>
      </c>
      <c r="O11" s="57">
        <v>46303.35597222222</v>
      </c>
      <c r="P11" s="57">
        <v>46303.356956018521</v>
      </c>
      <c r="Q11">
        <v>69406216</v>
      </c>
      <c r="S11">
        <v>172605804586</v>
      </c>
      <c r="T11" t="s">
        <v>3714</v>
      </c>
      <c r="U11" t="s">
        <v>3715</v>
      </c>
      <c r="V11" t="s">
        <v>3716</v>
      </c>
      <c r="Z11">
        <v>116.209152</v>
      </c>
      <c r="AA11">
        <v>-8.6266200000000008</v>
      </c>
      <c r="AB11" t="s">
        <v>3717</v>
      </c>
      <c r="AC11" t="s">
        <v>235</v>
      </c>
      <c r="AL11" t="s">
        <v>217</v>
      </c>
      <c r="AM11" t="s">
        <v>3718</v>
      </c>
      <c r="AN11" t="s">
        <v>6</v>
      </c>
      <c r="AO11" s="57">
        <v>46244.361608796295</v>
      </c>
      <c r="AP11" s="57">
        <v>46304.333333333336</v>
      </c>
      <c r="AR11" t="s">
        <v>239</v>
      </c>
      <c r="AS11" t="s">
        <v>219</v>
      </c>
      <c r="AT11" t="s">
        <v>230</v>
      </c>
      <c r="AV11" t="s">
        <v>238</v>
      </c>
      <c r="AW11" t="s">
        <v>3713</v>
      </c>
      <c r="AX11" t="s">
        <v>222</v>
      </c>
      <c r="BA11" s="57">
        <v>46304.333333333336</v>
      </c>
      <c r="BB11" t="s">
        <v>3718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MATARAM</v>
      </c>
    </row>
    <row r="12" spans="1:61">
      <c r="A12">
        <v>11</v>
      </c>
      <c r="B12">
        <v>1002621319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272</v>
      </c>
      <c r="I12" t="s">
        <v>212</v>
      </c>
      <c r="J12" t="s">
        <v>213</v>
      </c>
      <c r="K12" t="s">
        <v>149</v>
      </c>
      <c r="L12" t="s">
        <v>214</v>
      </c>
      <c r="M12" t="s">
        <v>1401</v>
      </c>
      <c r="N12" t="s">
        <v>215</v>
      </c>
      <c r="O12" s="57">
        <v>46299.457418981481</v>
      </c>
      <c r="P12" s="57">
        <v>46301.395995370367</v>
      </c>
      <c r="Q12">
        <v>69403835</v>
      </c>
      <c r="S12">
        <v>172603792380</v>
      </c>
      <c r="T12" t="s">
        <v>1450</v>
      </c>
      <c r="U12" t="s">
        <v>1451</v>
      </c>
      <c r="V12" t="s">
        <v>1452</v>
      </c>
      <c r="Z12">
        <v>116.31309304386301</v>
      </c>
      <c r="AA12">
        <v>-8.8024313504861595</v>
      </c>
      <c r="AB12" t="s">
        <v>1453</v>
      </c>
      <c r="AC12" t="s">
        <v>216</v>
      </c>
      <c r="AL12" t="s">
        <v>217</v>
      </c>
      <c r="AM12" t="s">
        <v>1454</v>
      </c>
      <c r="AN12" t="s">
        <v>6</v>
      </c>
      <c r="AO12" s="57">
        <v>46122.475601851853</v>
      </c>
      <c r="AP12" s="57">
        <v>46300.458333333336</v>
      </c>
      <c r="AR12" t="s">
        <v>14</v>
      </c>
      <c r="AS12" t="s">
        <v>812</v>
      </c>
      <c r="AT12" t="s">
        <v>230</v>
      </c>
      <c r="AV12" t="s">
        <v>2518</v>
      </c>
      <c r="AW12" t="s">
        <v>802</v>
      </c>
      <c r="AX12" t="s">
        <v>222</v>
      </c>
      <c r="BA12" s="57">
        <v>46300.458333333336</v>
      </c>
      <c r="BB12" t="s">
        <v>1454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SELONG</v>
      </c>
    </row>
    <row r="13" spans="1:61">
      <c r="A13">
        <v>12</v>
      </c>
      <c r="B13">
        <v>1002624744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272</v>
      </c>
      <c r="I13" t="s">
        <v>212</v>
      </c>
      <c r="J13" t="s">
        <v>213</v>
      </c>
      <c r="K13" t="s">
        <v>149</v>
      </c>
      <c r="M13" t="s">
        <v>224</v>
      </c>
      <c r="N13" t="s">
        <v>215</v>
      </c>
      <c r="O13" s="57">
        <v>46301.642870370371</v>
      </c>
      <c r="P13" s="57">
        <v>46303.337638888886</v>
      </c>
      <c r="Q13">
        <v>69405218</v>
      </c>
      <c r="S13">
        <v>172603792512</v>
      </c>
      <c r="T13" t="s">
        <v>3139</v>
      </c>
      <c r="U13" t="s">
        <v>3127</v>
      </c>
      <c r="V13" t="s">
        <v>3140</v>
      </c>
      <c r="Z13">
        <v>116.285090446472</v>
      </c>
      <c r="AA13">
        <v>-8.8926930500268195</v>
      </c>
      <c r="AB13" t="s">
        <v>3141</v>
      </c>
      <c r="AC13" t="s">
        <v>284</v>
      </c>
      <c r="AL13" t="s">
        <v>217</v>
      </c>
      <c r="AM13" t="s">
        <v>3142</v>
      </c>
      <c r="AN13" t="s">
        <v>6</v>
      </c>
      <c r="AO13" s="57">
        <v>46183.653182870374</v>
      </c>
      <c r="AP13" s="57">
        <v>46303.333333333336</v>
      </c>
      <c r="AR13" t="s">
        <v>18</v>
      </c>
      <c r="AS13" t="s">
        <v>812</v>
      </c>
      <c r="AT13" t="s">
        <v>230</v>
      </c>
      <c r="AV13" t="s">
        <v>226</v>
      </c>
      <c r="AW13" t="s">
        <v>540</v>
      </c>
      <c r="AX13" t="s">
        <v>222</v>
      </c>
      <c r="BA13" s="57">
        <v>46303.333333333336</v>
      </c>
      <c r="BB13" t="s">
        <v>3142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SELONG</v>
      </c>
    </row>
    <row r="14" spans="1:61">
      <c r="A14">
        <v>13</v>
      </c>
      <c r="B14">
        <v>1002618978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272</v>
      </c>
      <c r="I14" t="s">
        <v>212</v>
      </c>
      <c r="J14" t="s">
        <v>213</v>
      </c>
      <c r="K14" t="s">
        <v>149</v>
      </c>
      <c r="L14" t="s">
        <v>214</v>
      </c>
      <c r="M14" t="s">
        <v>839</v>
      </c>
      <c r="N14" t="s">
        <v>215</v>
      </c>
      <c r="O14" s="57">
        <v>46297.363657407404</v>
      </c>
      <c r="P14" s="57">
        <v>46298.337210648147</v>
      </c>
      <c r="Q14">
        <v>69402728</v>
      </c>
      <c r="S14">
        <v>172603791819</v>
      </c>
      <c r="T14" t="s">
        <v>1428</v>
      </c>
      <c r="U14" t="s">
        <v>1429</v>
      </c>
      <c r="V14" t="s">
        <v>1430</v>
      </c>
      <c r="Z14">
        <v>116.313012912869</v>
      </c>
      <c r="AA14">
        <v>-8.8024899953972096</v>
      </c>
      <c r="AB14" t="s">
        <v>1431</v>
      </c>
      <c r="AC14" t="s">
        <v>216</v>
      </c>
      <c r="AL14" t="s">
        <v>217</v>
      </c>
      <c r="AM14" t="s">
        <v>1432</v>
      </c>
      <c r="AN14" t="s">
        <v>6</v>
      </c>
      <c r="AO14" s="57">
        <v>46063.39334490741</v>
      </c>
      <c r="AP14" s="57">
        <v>46298.333333333336</v>
      </c>
      <c r="AR14" t="s">
        <v>1433</v>
      </c>
      <c r="AS14" t="s">
        <v>812</v>
      </c>
      <c r="AT14" t="s">
        <v>230</v>
      </c>
      <c r="AV14" t="s">
        <v>1434</v>
      </c>
      <c r="AW14" t="s">
        <v>802</v>
      </c>
      <c r="AX14" t="s">
        <v>222</v>
      </c>
      <c r="BA14" s="57">
        <v>46298.333333333336</v>
      </c>
      <c r="BB14" t="s">
        <v>1432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1002627372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272</v>
      </c>
      <c r="I15" t="s">
        <v>212</v>
      </c>
      <c r="J15" t="s">
        <v>213</v>
      </c>
      <c r="K15" t="s">
        <v>149</v>
      </c>
      <c r="L15" t="s">
        <v>214</v>
      </c>
      <c r="M15" t="s">
        <v>542</v>
      </c>
      <c r="N15" t="s">
        <v>215</v>
      </c>
      <c r="O15" s="57">
        <v>46303.425428240742</v>
      </c>
      <c r="P15" s="57">
        <v>46303.425439814811</v>
      </c>
      <c r="Q15">
        <v>69400480</v>
      </c>
      <c r="T15" t="s">
        <v>3719</v>
      </c>
      <c r="V15" t="s">
        <v>3720</v>
      </c>
      <c r="Z15">
        <v>116.29940000000001</v>
      </c>
      <c r="AA15">
        <v>-8.8912200000000006</v>
      </c>
      <c r="AB15" t="s">
        <v>3721</v>
      </c>
      <c r="AC15" t="s">
        <v>235</v>
      </c>
      <c r="AL15" t="s">
        <v>217</v>
      </c>
      <c r="AM15" t="s">
        <v>3722</v>
      </c>
      <c r="AN15" t="s">
        <v>6</v>
      </c>
      <c r="AO15" s="57">
        <v>46244.435104166667</v>
      </c>
      <c r="AP15" s="57">
        <v>46295</v>
      </c>
      <c r="AR15" t="s">
        <v>543</v>
      </c>
      <c r="AS15" t="s">
        <v>812</v>
      </c>
      <c r="AT15" t="s">
        <v>230</v>
      </c>
      <c r="AV15" t="s">
        <v>3723</v>
      </c>
      <c r="AW15" t="s">
        <v>875</v>
      </c>
      <c r="AX15" t="s">
        <v>222</v>
      </c>
      <c r="BA15" s="57">
        <v>46295.333333333336</v>
      </c>
      <c r="BB15" t="s">
        <v>3722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SELONG</v>
      </c>
    </row>
    <row r="16" spans="1:61">
      <c r="A16">
        <v>15</v>
      </c>
      <c r="B16">
        <v>1002618762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272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46296.742812500001</v>
      </c>
      <c r="P16" s="57">
        <v>46298.844375000001</v>
      </c>
      <c r="Q16">
        <v>69402658</v>
      </c>
      <c r="S16">
        <v>172603792347</v>
      </c>
      <c r="T16" t="s">
        <v>943</v>
      </c>
      <c r="U16" t="s">
        <v>944</v>
      </c>
      <c r="V16" t="s">
        <v>945</v>
      </c>
      <c r="Z16">
        <v>116.32773052901</v>
      </c>
      <c r="AA16">
        <v>-8.7849984904067604</v>
      </c>
      <c r="AB16" t="s">
        <v>946</v>
      </c>
      <c r="AC16" t="s">
        <v>216</v>
      </c>
      <c r="AL16" t="s">
        <v>217</v>
      </c>
      <c r="AM16" t="s">
        <v>947</v>
      </c>
      <c r="AN16" t="s">
        <v>6</v>
      </c>
      <c r="AO16" s="57">
        <v>46032.746898148151</v>
      </c>
      <c r="AP16" s="57">
        <v>46298.458333333336</v>
      </c>
      <c r="AR16" t="s">
        <v>218</v>
      </c>
      <c r="AS16" t="s">
        <v>812</v>
      </c>
      <c r="AT16" t="s">
        <v>230</v>
      </c>
      <c r="AU16">
        <v>20261003</v>
      </c>
      <c r="AV16" t="s">
        <v>221</v>
      </c>
      <c r="AW16" t="s">
        <v>802</v>
      </c>
      <c r="AX16" t="s">
        <v>222</v>
      </c>
      <c r="BA16" s="57">
        <v>46298.458333333336</v>
      </c>
      <c r="BB16" t="s">
        <v>947</v>
      </c>
      <c r="BC16">
        <v>2026</v>
      </c>
      <c r="BD16">
        <v>10</v>
      </c>
      <c r="BE16">
        <v>3</v>
      </c>
      <c r="BF16" s="6">
        <f t="shared" si="0"/>
        <v>46298</v>
      </c>
      <c r="BG16">
        <f t="shared" si="1"/>
        <v>-0.45833333333575865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1002621183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272</v>
      </c>
      <c r="I17" t="s">
        <v>212</v>
      </c>
      <c r="J17" t="s">
        <v>213</v>
      </c>
      <c r="K17" t="s">
        <v>149</v>
      </c>
      <c r="L17" t="s">
        <v>214</v>
      </c>
      <c r="M17" t="s">
        <v>76</v>
      </c>
      <c r="N17" t="s">
        <v>215</v>
      </c>
      <c r="O17" s="57">
        <v>46298.755578703705</v>
      </c>
      <c r="P17" s="57">
        <v>46299.590682870374</v>
      </c>
      <c r="Q17">
        <v>69403751</v>
      </c>
      <c r="S17">
        <v>172603792377</v>
      </c>
      <c r="T17" t="s">
        <v>1435</v>
      </c>
      <c r="U17" t="s">
        <v>1436</v>
      </c>
      <c r="V17" t="s">
        <v>1437</v>
      </c>
      <c r="Z17">
        <v>116.22030700000001</v>
      </c>
      <c r="AA17">
        <v>-8.7608580000000007</v>
      </c>
      <c r="AB17" t="s">
        <v>1438</v>
      </c>
      <c r="AC17" t="s">
        <v>235</v>
      </c>
      <c r="AL17" t="s">
        <v>217</v>
      </c>
      <c r="AM17" t="s">
        <v>1439</v>
      </c>
      <c r="AN17" t="s">
        <v>6</v>
      </c>
      <c r="AO17" s="57">
        <v>46091.757280092592</v>
      </c>
      <c r="AP17" s="57">
        <v>46300.458333333336</v>
      </c>
      <c r="AR17" t="s">
        <v>218</v>
      </c>
      <c r="AS17" t="s">
        <v>812</v>
      </c>
      <c r="AT17" t="s">
        <v>230</v>
      </c>
      <c r="AU17">
        <v>20261004</v>
      </c>
      <c r="AV17" t="s">
        <v>221</v>
      </c>
      <c r="AW17" t="s">
        <v>876</v>
      </c>
      <c r="AX17" t="s">
        <v>222</v>
      </c>
      <c r="BA17" s="57">
        <v>46300.458333333336</v>
      </c>
      <c r="BB17" t="s">
        <v>1439</v>
      </c>
      <c r="BC17">
        <v>2026</v>
      </c>
      <c r="BD17">
        <v>10</v>
      </c>
      <c r="BE17">
        <v>4</v>
      </c>
      <c r="BF17" s="6">
        <f t="shared" si="0"/>
        <v>46299</v>
      </c>
      <c r="BG17">
        <f t="shared" si="1"/>
        <v>-1.4583333333357587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1002621235</v>
      </c>
      <c r="C18">
        <v>3</v>
      </c>
      <c r="D18" t="s">
        <v>45</v>
      </c>
      <c r="E18">
        <v>5</v>
      </c>
      <c r="F18" t="s">
        <v>210</v>
      </c>
      <c r="G18" t="s">
        <v>115</v>
      </c>
      <c r="H18" t="s">
        <v>272</v>
      </c>
      <c r="I18" t="s">
        <v>212</v>
      </c>
      <c r="J18" t="s">
        <v>213</v>
      </c>
      <c r="K18" t="s">
        <v>149</v>
      </c>
      <c r="L18" t="s">
        <v>214</v>
      </c>
      <c r="M18" t="s">
        <v>76</v>
      </c>
      <c r="N18" t="s">
        <v>215</v>
      </c>
      <c r="O18" s="57">
        <v>46299.314293981479</v>
      </c>
      <c r="P18" s="57">
        <v>46299.691840277781</v>
      </c>
      <c r="Q18">
        <v>69403783</v>
      </c>
      <c r="S18">
        <v>172603792378</v>
      </c>
      <c r="T18" t="s">
        <v>1440</v>
      </c>
      <c r="U18" t="s">
        <v>1441</v>
      </c>
      <c r="V18" t="s">
        <v>1442</v>
      </c>
      <c r="Z18">
        <v>116.276986822485</v>
      </c>
      <c r="AA18">
        <v>-8.8713724455214198</v>
      </c>
      <c r="AB18" t="s">
        <v>1443</v>
      </c>
      <c r="AC18" t="s">
        <v>216</v>
      </c>
      <c r="AL18" t="s">
        <v>217</v>
      </c>
      <c r="AM18" t="s">
        <v>1444</v>
      </c>
      <c r="AN18" t="s">
        <v>6</v>
      </c>
      <c r="AO18" s="57">
        <v>46122.319525462961</v>
      </c>
      <c r="AP18" s="57">
        <v>46300.458333333336</v>
      </c>
      <c r="AR18" t="s">
        <v>218</v>
      </c>
      <c r="AS18" t="s">
        <v>812</v>
      </c>
      <c r="AT18" t="s">
        <v>230</v>
      </c>
      <c r="AU18">
        <v>20261004</v>
      </c>
      <c r="AV18" t="s">
        <v>221</v>
      </c>
      <c r="AW18" t="s">
        <v>876</v>
      </c>
      <c r="AX18" t="s">
        <v>222</v>
      </c>
      <c r="BA18" s="57">
        <v>46300.458333333336</v>
      </c>
      <c r="BB18" t="s">
        <v>1444</v>
      </c>
      <c r="BC18">
        <v>2026</v>
      </c>
      <c r="BD18">
        <v>10</v>
      </c>
      <c r="BE18">
        <v>4</v>
      </c>
      <c r="BF18" s="6">
        <f t="shared" si="0"/>
        <v>46299</v>
      </c>
      <c r="BG18">
        <f t="shared" si="1"/>
        <v>-1.4583333333357587</v>
      </c>
      <c r="BH18" t="str">
        <f t="shared" si="2"/>
        <v>COMPLY</v>
      </c>
      <c r="BI18" t="str">
        <f>VLOOKUP(H18,Sheet2!$A$1:$B$270,2,FALSE)</f>
        <v>SELONG</v>
      </c>
    </row>
    <row r="19" spans="1:61">
      <c r="A19">
        <v>18</v>
      </c>
      <c r="B19">
        <v>1002621358</v>
      </c>
      <c r="C19">
        <v>3</v>
      </c>
      <c r="D19" t="s">
        <v>45</v>
      </c>
      <c r="E19">
        <v>5</v>
      </c>
      <c r="F19" t="s">
        <v>210</v>
      </c>
      <c r="G19" t="s">
        <v>115</v>
      </c>
      <c r="H19" t="s">
        <v>272</v>
      </c>
      <c r="I19" t="s">
        <v>212</v>
      </c>
      <c r="J19" t="s">
        <v>213</v>
      </c>
      <c r="K19" t="s">
        <v>149</v>
      </c>
      <c r="L19" t="s">
        <v>214</v>
      </c>
      <c r="M19" t="s">
        <v>76</v>
      </c>
      <c r="N19" t="s">
        <v>215</v>
      </c>
      <c r="O19" s="57">
        <v>46299.520543981482</v>
      </c>
      <c r="P19" s="57">
        <v>46300.688194444447</v>
      </c>
      <c r="Q19">
        <v>69403876</v>
      </c>
      <c r="S19">
        <v>172603792382</v>
      </c>
      <c r="T19" t="s">
        <v>1455</v>
      </c>
      <c r="U19" t="s">
        <v>1456</v>
      </c>
      <c r="V19" t="s">
        <v>1457</v>
      </c>
      <c r="Z19">
        <v>116.27727299999999</v>
      </c>
      <c r="AA19">
        <v>-8.7051820000000006</v>
      </c>
      <c r="AB19" t="s">
        <v>1458</v>
      </c>
      <c r="AC19" t="s">
        <v>235</v>
      </c>
      <c r="AL19" t="s">
        <v>217</v>
      </c>
      <c r="AM19" t="s">
        <v>1459</v>
      </c>
      <c r="AN19" t="s">
        <v>6</v>
      </c>
      <c r="AO19" s="57">
        <v>46122.528171296297</v>
      </c>
      <c r="AP19" s="57">
        <v>46300.458333333336</v>
      </c>
      <c r="AR19" t="s">
        <v>218</v>
      </c>
      <c r="AS19" t="s">
        <v>812</v>
      </c>
      <c r="AT19" t="s">
        <v>230</v>
      </c>
      <c r="AU19">
        <v>20261005</v>
      </c>
      <c r="AV19" t="s">
        <v>221</v>
      </c>
      <c r="AW19" t="s">
        <v>883</v>
      </c>
      <c r="AX19" t="s">
        <v>222</v>
      </c>
      <c r="BA19" s="57">
        <v>46300.458333333336</v>
      </c>
      <c r="BB19" t="s">
        <v>1459</v>
      </c>
      <c r="BC19">
        <v>2026</v>
      </c>
      <c r="BD19">
        <v>10</v>
      </c>
      <c r="BE19">
        <v>5</v>
      </c>
      <c r="BF19" s="6">
        <f t="shared" si="0"/>
        <v>46300</v>
      </c>
      <c r="BG19">
        <f t="shared" si="1"/>
        <v>-0.45833333333575865</v>
      </c>
      <c r="BH19" t="str">
        <f t="shared" si="2"/>
        <v>COMPLY</v>
      </c>
      <c r="BI19" t="str">
        <f>VLOOKUP(H19,Sheet2!$A$1:$B$270,2,FALSE)</f>
        <v>SELONG</v>
      </c>
    </row>
    <row r="20" spans="1:61">
      <c r="A20">
        <v>19</v>
      </c>
      <c r="B20">
        <v>1002624413</v>
      </c>
      <c r="C20">
        <v>3</v>
      </c>
      <c r="D20" t="s">
        <v>45</v>
      </c>
      <c r="E20">
        <v>5</v>
      </c>
      <c r="F20" t="s">
        <v>210</v>
      </c>
      <c r="G20" t="s">
        <v>115</v>
      </c>
      <c r="H20" t="s">
        <v>272</v>
      </c>
      <c r="I20" t="s">
        <v>212</v>
      </c>
      <c r="J20" t="s">
        <v>213</v>
      </c>
      <c r="K20" t="s">
        <v>149</v>
      </c>
      <c r="M20" t="s">
        <v>76</v>
      </c>
      <c r="N20" t="s">
        <v>215</v>
      </c>
      <c r="O20" s="57">
        <v>46301.577199074076</v>
      </c>
      <c r="P20" s="57">
        <v>46301.62127314815</v>
      </c>
      <c r="Q20">
        <v>69396080</v>
      </c>
      <c r="S20">
        <v>172603792448</v>
      </c>
      <c r="T20" t="s">
        <v>3126</v>
      </c>
      <c r="U20" t="s">
        <v>3127</v>
      </c>
      <c r="V20" t="s">
        <v>3128</v>
      </c>
      <c r="Z20">
        <v>116.283749334478</v>
      </c>
      <c r="AA20">
        <v>-8.8907426862706593</v>
      </c>
      <c r="AB20" t="s">
        <v>3129</v>
      </c>
      <c r="AC20" t="s">
        <v>216</v>
      </c>
      <c r="AL20" t="s">
        <v>217</v>
      </c>
      <c r="AM20" t="s">
        <v>3130</v>
      </c>
      <c r="AN20" t="s">
        <v>6</v>
      </c>
      <c r="AO20" s="57">
        <v>46183.601145833331</v>
      </c>
      <c r="AR20" t="s">
        <v>218</v>
      </c>
      <c r="AS20" t="s">
        <v>812</v>
      </c>
      <c r="AT20" t="s">
        <v>230</v>
      </c>
      <c r="AU20">
        <v>20261006</v>
      </c>
      <c r="AV20" t="s">
        <v>221</v>
      </c>
      <c r="AW20" t="s">
        <v>1987</v>
      </c>
      <c r="AX20" t="s">
        <v>222</v>
      </c>
      <c r="BA20" s="57">
        <v>46301.291666666664</v>
      </c>
      <c r="BB20" t="s">
        <v>3130</v>
      </c>
      <c r="BC20">
        <v>2026</v>
      </c>
      <c r="BD20">
        <v>10</v>
      </c>
      <c r="BE20">
        <v>6</v>
      </c>
      <c r="BF20" s="6">
        <f t="shared" si="0"/>
        <v>46301</v>
      </c>
      <c r="BG20">
        <f t="shared" si="1"/>
        <v>-0.29166666666424135</v>
      </c>
      <c r="BH20" t="str">
        <f t="shared" si="2"/>
        <v>COMPLY</v>
      </c>
      <c r="BI20" t="str">
        <f>VLOOKUP(H20,Sheet2!$A$1:$B$270,2,FALSE)</f>
        <v>SELONG</v>
      </c>
    </row>
    <row r="21" spans="1:61">
      <c r="A21">
        <v>20</v>
      </c>
      <c r="B21">
        <v>1002623366</v>
      </c>
      <c r="C21">
        <v>3</v>
      </c>
      <c r="D21" t="s">
        <v>45</v>
      </c>
      <c r="E21">
        <v>5</v>
      </c>
      <c r="F21" t="s">
        <v>210</v>
      </c>
      <c r="G21" t="s">
        <v>115</v>
      </c>
      <c r="H21" t="s">
        <v>272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46301.316435185188</v>
      </c>
      <c r="P21" s="57">
        <v>46301.773449074077</v>
      </c>
      <c r="Q21">
        <v>69404660</v>
      </c>
      <c r="S21">
        <v>172603792395</v>
      </c>
      <c r="T21" t="s">
        <v>3131</v>
      </c>
      <c r="U21" t="s">
        <v>3132</v>
      </c>
      <c r="V21" t="s">
        <v>3133</v>
      </c>
      <c r="Z21">
        <v>116.275495849549</v>
      </c>
      <c r="AA21">
        <v>-8.7135408615783199</v>
      </c>
      <c r="AB21" t="s">
        <v>3134</v>
      </c>
      <c r="AC21" t="s">
        <v>216</v>
      </c>
      <c r="AL21" t="s">
        <v>217</v>
      </c>
      <c r="AM21" t="s">
        <v>3135</v>
      </c>
      <c r="AN21" t="s">
        <v>6</v>
      </c>
      <c r="AO21" s="57">
        <v>46183.340474537035</v>
      </c>
      <c r="AP21" s="57">
        <v>46302.333333333336</v>
      </c>
      <c r="AR21" t="s">
        <v>218</v>
      </c>
      <c r="AS21" t="s">
        <v>812</v>
      </c>
      <c r="AT21" t="s">
        <v>230</v>
      </c>
      <c r="AU21">
        <v>20261006</v>
      </c>
      <c r="AV21" t="s">
        <v>221</v>
      </c>
      <c r="AW21" t="s">
        <v>878</v>
      </c>
      <c r="AX21" t="s">
        <v>222</v>
      </c>
      <c r="BA21" s="57">
        <v>46302.333333333336</v>
      </c>
      <c r="BB21" t="s">
        <v>3135</v>
      </c>
      <c r="BC21">
        <v>2026</v>
      </c>
      <c r="BD21">
        <v>10</v>
      </c>
      <c r="BE21">
        <v>6</v>
      </c>
      <c r="BF21" s="6">
        <f t="shared" si="0"/>
        <v>46301</v>
      </c>
      <c r="BG21">
        <f t="shared" si="1"/>
        <v>-1.3333333333357587</v>
      </c>
      <c r="BH21" t="str">
        <f t="shared" si="2"/>
        <v>COMPLY</v>
      </c>
      <c r="BI21" t="str">
        <f>VLOOKUP(H21,Sheet2!$A$1:$B$270,2,FALSE)</f>
        <v>SELONG</v>
      </c>
    </row>
    <row r="22" spans="1:61">
      <c r="A22">
        <v>21</v>
      </c>
      <c r="B22">
        <v>1002623606</v>
      </c>
      <c r="C22">
        <v>3</v>
      </c>
      <c r="D22" t="s">
        <v>45</v>
      </c>
      <c r="E22">
        <v>5</v>
      </c>
      <c r="F22" t="s">
        <v>210</v>
      </c>
      <c r="G22" t="s">
        <v>115</v>
      </c>
      <c r="H22" t="s">
        <v>272</v>
      </c>
      <c r="I22" t="s">
        <v>212</v>
      </c>
      <c r="J22" t="s">
        <v>213</v>
      </c>
      <c r="K22" t="s">
        <v>149</v>
      </c>
      <c r="M22" t="s">
        <v>76</v>
      </c>
      <c r="N22" t="s">
        <v>215</v>
      </c>
      <c r="O22" s="57">
        <v>46301.396006944444</v>
      </c>
      <c r="P22" s="57">
        <v>46301.484293981484</v>
      </c>
      <c r="Q22">
        <v>69403835</v>
      </c>
      <c r="S22">
        <v>172603792401</v>
      </c>
      <c r="T22" t="s">
        <v>1450</v>
      </c>
      <c r="U22" t="s">
        <v>3136</v>
      </c>
      <c r="V22" t="s">
        <v>3137</v>
      </c>
      <c r="Z22">
        <v>116.3134694</v>
      </c>
      <c r="AA22">
        <v>-8.8035212999999999</v>
      </c>
      <c r="AB22" t="s">
        <v>1453</v>
      </c>
      <c r="AC22" t="s">
        <v>216</v>
      </c>
      <c r="AL22" t="s">
        <v>217</v>
      </c>
      <c r="AM22" t="s">
        <v>3138</v>
      </c>
      <c r="AN22" t="s">
        <v>6</v>
      </c>
      <c r="AO22" s="57">
        <v>46183.402939814812</v>
      </c>
      <c r="AR22" t="s">
        <v>218</v>
      </c>
      <c r="AS22" t="s">
        <v>812</v>
      </c>
      <c r="AT22" t="s">
        <v>230</v>
      </c>
      <c r="AU22">
        <v>20261006</v>
      </c>
      <c r="AV22" t="s">
        <v>221</v>
      </c>
      <c r="AW22" t="s">
        <v>540</v>
      </c>
      <c r="AX22" t="s">
        <v>222</v>
      </c>
      <c r="BA22" s="57">
        <v>46301.291666666664</v>
      </c>
      <c r="BB22" t="s">
        <v>3138</v>
      </c>
      <c r="BC22">
        <v>2026</v>
      </c>
      <c r="BD22">
        <v>10</v>
      </c>
      <c r="BE22">
        <v>6</v>
      </c>
      <c r="BF22" s="6">
        <f t="shared" si="0"/>
        <v>46301</v>
      </c>
      <c r="BG22">
        <f t="shared" si="1"/>
        <v>-0.29166666666424135</v>
      </c>
      <c r="BH22" t="str">
        <f t="shared" si="2"/>
        <v>COMPLY</v>
      </c>
      <c r="BI22" t="str">
        <f>VLOOKUP(H22,Sheet2!$A$1:$B$270,2,FALSE)</f>
        <v>SELONG</v>
      </c>
    </row>
    <row r="23" spans="1:61">
      <c r="A23">
        <v>22</v>
      </c>
      <c r="B23">
        <v>1002625164</v>
      </c>
      <c r="C23">
        <v>3</v>
      </c>
      <c r="D23" t="s">
        <v>45</v>
      </c>
      <c r="E23">
        <v>5</v>
      </c>
      <c r="F23" t="s">
        <v>210</v>
      </c>
      <c r="G23" t="s">
        <v>115</v>
      </c>
      <c r="H23" t="s">
        <v>272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46301.763657407406</v>
      </c>
      <c r="P23" s="57">
        <v>46302.704814814817</v>
      </c>
      <c r="Q23">
        <v>69405379</v>
      </c>
      <c r="S23">
        <v>172603792515</v>
      </c>
      <c r="T23" t="s">
        <v>3143</v>
      </c>
      <c r="U23" t="s">
        <v>3144</v>
      </c>
      <c r="V23" t="s">
        <v>3145</v>
      </c>
      <c r="Z23">
        <v>116.2634755</v>
      </c>
      <c r="AA23">
        <v>-8.7084796000000004</v>
      </c>
      <c r="AB23" t="s">
        <v>3146</v>
      </c>
      <c r="AC23" t="s">
        <v>235</v>
      </c>
      <c r="AL23" t="s">
        <v>217</v>
      </c>
      <c r="AM23" t="s">
        <v>3147</v>
      </c>
      <c r="AN23" t="s">
        <v>6</v>
      </c>
      <c r="AO23" s="57">
        <v>46183.767627314817</v>
      </c>
      <c r="AP23" s="57">
        <v>46302.625</v>
      </c>
      <c r="AR23" t="s">
        <v>218</v>
      </c>
      <c r="AS23" t="s">
        <v>812</v>
      </c>
      <c r="AT23" t="s">
        <v>230</v>
      </c>
      <c r="AU23">
        <v>20261007</v>
      </c>
      <c r="AV23" t="s">
        <v>221</v>
      </c>
      <c r="AW23" t="s">
        <v>3148</v>
      </c>
      <c r="AX23" t="s">
        <v>222</v>
      </c>
      <c r="BA23" s="57">
        <v>46302.625</v>
      </c>
      <c r="BB23" t="s">
        <v>3147</v>
      </c>
      <c r="BC23">
        <v>2026</v>
      </c>
      <c r="BD23">
        <v>10</v>
      </c>
      <c r="BE23">
        <v>7</v>
      </c>
      <c r="BF23" s="6">
        <f t="shared" si="0"/>
        <v>46302</v>
      </c>
      <c r="BG23">
        <f t="shared" si="1"/>
        <v>-0.625</v>
      </c>
      <c r="BH23" t="str">
        <f t="shared" si="2"/>
        <v>COMPLY</v>
      </c>
      <c r="BI23" t="str">
        <f>VLOOKUP(H23,Sheet2!$A$1:$B$270,2,FALSE)</f>
        <v>SELONG</v>
      </c>
    </row>
    <row r="24" spans="1:61">
      <c r="A24">
        <v>23</v>
      </c>
      <c r="B24">
        <v>1002625600</v>
      </c>
      <c r="C24">
        <v>3</v>
      </c>
      <c r="D24" t="s">
        <v>45</v>
      </c>
      <c r="E24">
        <v>5</v>
      </c>
      <c r="F24" t="s">
        <v>210</v>
      </c>
      <c r="G24" t="s">
        <v>115</v>
      </c>
      <c r="H24" t="s">
        <v>272</v>
      </c>
      <c r="I24" t="s">
        <v>212</v>
      </c>
      <c r="J24" t="s">
        <v>213</v>
      </c>
      <c r="K24" t="s">
        <v>149</v>
      </c>
      <c r="M24" t="s">
        <v>1619</v>
      </c>
      <c r="N24" t="s">
        <v>215</v>
      </c>
      <c r="O24" s="57">
        <v>46302.433888888889</v>
      </c>
      <c r="P24" s="57">
        <v>46302.773842592593</v>
      </c>
      <c r="Q24">
        <v>69405544</v>
      </c>
      <c r="S24">
        <v>172603791344</v>
      </c>
      <c r="T24" t="s">
        <v>3139</v>
      </c>
      <c r="U24" t="s">
        <v>3127</v>
      </c>
      <c r="Z24">
        <v>116.28581800000001</v>
      </c>
      <c r="AA24">
        <v>-8.892944</v>
      </c>
      <c r="AB24" t="s">
        <v>3724</v>
      </c>
      <c r="AC24" t="s">
        <v>284</v>
      </c>
      <c r="AO24" s="57">
        <v>46213.434340277781</v>
      </c>
      <c r="AR24" t="s">
        <v>5</v>
      </c>
      <c r="AS24" t="s">
        <v>812</v>
      </c>
      <c r="AT24" t="s">
        <v>230</v>
      </c>
      <c r="AV24" t="s">
        <v>3725</v>
      </c>
      <c r="AW24" t="s">
        <v>541</v>
      </c>
      <c r="AX24" t="s">
        <v>222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SELONG</v>
      </c>
    </row>
    <row r="25" spans="1:61">
      <c r="A25">
        <v>24</v>
      </c>
      <c r="B25">
        <v>1002620766</v>
      </c>
      <c r="C25">
        <v>3</v>
      </c>
      <c r="D25" t="s">
        <v>45</v>
      </c>
      <c r="E25">
        <v>5</v>
      </c>
      <c r="F25" t="s">
        <v>210</v>
      </c>
      <c r="G25" t="s">
        <v>115</v>
      </c>
      <c r="H25" t="s">
        <v>272</v>
      </c>
      <c r="I25" t="s">
        <v>212</v>
      </c>
      <c r="J25" t="s">
        <v>213</v>
      </c>
      <c r="K25" t="s">
        <v>149</v>
      </c>
      <c r="L25" t="s">
        <v>214</v>
      </c>
      <c r="M25" t="s">
        <v>238</v>
      </c>
      <c r="N25" t="s">
        <v>215</v>
      </c>
      <c r="O25" s="57">
        <v>46298.390740740739</v>
      </c>
      <c r="P25" s="57">
        <v>46298.391736111109</v>
      </c>
      <c r="Q25">
        <v>69403468</v>
      </c>
      <c r="S25">
        <v>172603792364</v>
      </c>
      <c r="T25" t="s">
        <v>1445</v>
      </c>
      <c r="U25" t="s">
        <v>1446</v>
      </c>
      <c r="V25" t="s">
        <v>1447</v>
      </c>
      <c r="Z25">
        <v>116.352053</v>
      </c>
      <c r="AA25">
        <v>-8.7611553999999998</v>
      </c>
      <c r="AB25" t="s">
        <v>1448</v>
      </c>
      <c r="AC25" t="s">
        <v>235</v>
      </c>
      <c r="AL25" t="s">
        <v>217</v>
      </c>
      <c r="AM25" t="s">
        <v>1449</v>
      </c>
      <c r="AN25" t="s">
        <v>6</v>
      </c>
      <c r="AO25" s="57">
        <v>46091.392974537041</v>
      </c>
      <c r="AP25" s="57">
        <v>46305.333333333336</v>
      </c>
      <c r="AR25" t="s">
        <v>239</v>
      </c>
      <c r="AS25" t="s">
        <v>812</v>
      </c>
      <c r="AT25" t="s">
        <v>230</v>
      </c>
      <c r="AV25" t="s">
        <v>238</v>
      </c>
      <c r="AW25" t="s">
        <v>876</v>
      </c>
      <c r="AX25" t="s">
        <v>222</v>
      </c>
      <c r="BA25" s="57">
        <v>46305.333333333336</v>
      </c>
      <c r="BB25" t="s">
        <v>1449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SELONG</v>
      </c>
    </row>
    <row r="26" spans="1:61">
      <c r="A26">
        <v>25</v>
      </c>
      <c r="B26">
        <v>1002626043</v>
      </c>
      <c r="C26">
        <v>3</v>
      </c>
      <c r="D26" t="s">
        <v>45</v>
      </c>
      <c r="E26">
        <v>5</v>
      </c>
      <c r="F26" t="s">
        <v>210</v>
      </c>
      <c r="G26" t="s">
        <v>115</v>
      </c>
      <c r="H26" t="s">
        <v>272</v>
      </c>
      <c r="I26" t="s">
        <v>212</v>
      </c>
      <c r="J26" t="s">
        <v>213</v>
      </c>
      <c r="K26" t="s">
        <v>149</v>
      </c>
      <c r="L26" t="s">
        <v>214</v>
      </c>
      <c r="M26" t="s">
        <v>238</v>
      </c>
      <c r="N26" t="s">
        <v>215</v>
      </c>
      <c r="O26" s="57">
        <v>46302.542754629627</v>
      </c>
      <c r="P26" s="57">
        <v>46302.54451388889</v>
      </c>
      <c r="Q26">
        <v>69405827</v>
      </c>
      <c r="S26">
        <v>172603791856</v>
      </c>
      <c r="T26" t="s">
        <v>3726</v>
      </c>
      <c r="U26" t="s">
        <v>3727</v>
      </c>
      <c r="V26" t="s">
        <v>3728</v>
      </c>
      <c r="Z26">
        <v>116.32275369018301</v>
      </c>
      <c r="AA26">
        <v>-8.8940451935785596</v>
      </c>
      <c r="AB26" t="s">
        <v>3729</v>
      </c>
      <c r="AC26" t="s">
        <v>216</v>
      </c>
      <c r="AL26" t="s">
        <v>217</v>
      </c>
      <c r="AM26" t="s">
        <v>3730</v>
      </c>
      <c r="AN26" t="s">
        <v>6</v>
      </c>
      <c r="AO26" s="57">
        <v>46213.549027777779</v>
      </c>
      <c r="AP26" s="57">
        <v>46303.458333333336</v>
      </c>
      <c r="AR26" t="s">
        <v>239</v>
      </c>
      <c r="AS26" t="s">
        <v>812</v>
      </c>
      <c r="AT26" t="s">
        <v>230</v>
      </c>
      <c r="AV26" t="s">
        <v>238</v>
      </c>
      <c r="AW26" t="s">
        <v>802</v>
      </c>
      <c r="AX26" t="s">
        <v>222</v>
      </c>
      <c r="BA26" s="57">
        <v>46303.458333333336</v>
      </c>
      <c r="BB26" t="s">
        <v>3730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SELONG</v>
      </c>
    </row>
    <row r="27" spans="1:61">
      <c r="A27">
        <v>26</v>
      </c>
      <c r="B27">
        <v>1002624841</v>
      </c>
      <c r="C27">
        <v>3</v>
      </c>
      <c r="D27" t="s">
        <v>45</v>
      </c>
      <c r="E27">
        <v>5</v>
      </c>
      <c r="F27" t="s">
        <v>210</v>
      </c>
      <c r="G27" t="s">
        <v>115</v>
      </c>
      <c r="H27" t="s">
        <v>272</v>
      </c>
      <c r="I27" t="s">
        <v>212</v>
      </c>
      <c r="J27" t="s">
        <v>213</v>
      </c>
      <c r="K27" t="s">
        <v>149</v>
      </c>
      <c r="M27" t="s">
        <v>3149</v>
      </c>
      <c r="N27" t="s">
        <v>215</v>
      </c>
      <c r="O27" s="57">
        <v>46301.659085648149</v>
      </c>
      <c r="P27" s="57">
        <v>46301.661192129628</v>
      </c>
      <c r="Q27">
        <v>69405256</v>
      </c>
      <c r="S27">
        <v>172603792513</v>
      </c>
      <c r="T27" t="s">
        <v>3139</v>
      </c>
      <c r="U27" t="s">
        <v>3127</v>
      </c>
      <c r="Z27">
        <v>116.285858</v>
      </c>
      <c r="AA27">
        <v>-8.8928619999999992</v>
      </c>
      <c r="AB27" t="s">
        <v>3141</v>
      </c>
      <c r="AC27" t="s">
        <v>284</v>
      </c>
      <c r="AO27" s="57">
        <v>46183.663668981484</v>
      </c>
      <c r="AR27" t="s">
        <v>325</v>
      </c>
      <c r="AS27" t="s">
        <v>812</v>
      </c>
      <c r="AT27" t="s">
        <v>230</v>
      </c>
      <c r="AV27" t="s">
        <v>3150</v>
      </c>
      <c r="AW27" t="s">
        <v>539</v>
      </c>
      <c r="AX27" t="s">
        <v>222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SELONG</v>
      </c>
    </row>
    <row r="28" spans="1:61">
      <c r="A28">
        <v>27</v>
      </c>
      <c r="B28">
        <v>1002617999</v>
      </c>
      <c r="C28">
        <v>3</v>
      </c>
      <c r="D28" t="s">
        <v>45</v>
      </c>
      <c r="E28">
        <v>5</v>
      </c>
      <c r="F28" t="s">
        <v>210</v>
      </c>
      <c r="G28" t="s">
        <v>116</v>
      </c>
      <c r="H28" t="s">
        <v>356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46296.584490740737</v>
      </c>
      <c r="P28" s="57">
        <v>46297.786006944443</v>
      </c>
      <c r="Q28">
        <v>69402420</v>
      </c>
      <c r="S28">
        <v>172619203547</v>
      </c>
      <c r="T28" t="s">
        <v>953</v>
      </c>
      <c r="U28" t="s">
        <v>922</v>
      </c>
      <c r="V28" t="s">
        <v>954</v>
      </c>
      <c r="Z28">
        <v>116.508950963616</v>
      </c>
      <c r="AA28">
        <v>-8.7742104745551899</v>
      </c>
      <c r="AB28" t="s">
        <v>955</v>
      </c>
      <c r="AC28" t="s">
        <v>216</v>
      </c>
      <c r="AL28" t="s">
        <v>217</v>
      </c>
      <c r="AM28" t="s">
        <v>956</v>
      </c>
      <c r="AN28" t="s">
        <v>6</v>
      </c>
      <c r="AO28" s="57">
        <v>46032.590474537035</v>
      </c>
      <c r="AP28" s="57">
        <v>46298.458333333336</v>
      </c>
      <c r="AR28" t="s">
        <v>218</v>
      </c>
      <c r="AS28" t="s">
        <v>825</v>
      </c>
      <c r="AT28" t="s">
        <v>230</v>
      </c>
      <c r="AU28">
        <v>20261002</v>
      </c>
      <c r="AV28" t="s">
        <v>221</v>
      </c>
      <c r="AW28" t="s">
        <v>923</v>
      </c>
      <c r="AX28" t="s">
        <v>222</v>
      </c>
      <c r="BA28" s="57">
        <v>46298.458333333336</v>
      </c>
      <c r="BB28" t="s">
        <v>956</v>
      </c>
      <c r="BC28">
        <v>2026</v>
      </c>
      <c r="BD28">
        <v>10</v>
      </c>
      <c r="BE28">
        <v>2</v>
      </c>
      <c r="BF28" s="6">
        <f t="shared" si="0"/>
        <v>46297</v>
      </c>
      <c r="BG28">
        <f t="shared" si="1"/>
        <v>-1.4583333333357587</v>
      </c>
      <c r="BH28" t="str">
        <f t="shared" si="2"/>
        <v>COMPLY</v>
      </c>
      <c r="BI28" t="str">
        <f>VLOOKUP(H28,Sheet2!$A$1:$B$270,2,FALSE)</f>
        <v>SELONG</v>
      </c>
    </row>
    <row r="29" spans="1:61">
      <c r="A29">
        <v>28</v>
      </c>
      <c r="B29">
        <v>1002617134</v>
      </c>
      <c r="C29">
        <v>3</v>
      </c>
      <c r="D29" t="s">
        <v>45</v>
      </c>
      <c r="E29">
        <v>5</v>
      </c>
      <c r="F29" t="s">
        <v>210</v>
      </c>
      <c r="G29" t="s">
        <v>116</v>
      </c>
      <c r="H29" t="s">
        <v>356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46296.40179398148</v>
      </c>
      <c r="P29" s="57">
        <v>46296.862164351849</v>
      </c>
      <c r="Q29">
        <v>69402106</v>
      </c>
      <c r="S29">
        <v>172619203309</v>
      </c>
      <c r="T29" t="s">
        <v>948</v>
      </c>
      <c r="U29" t="s">
        <v>949</v>
      </c>
      <c r="V29" t="s">
        <v>950</v>
      </c>
      <c r="Z29">
        <v>116.47214300930401</v>
      </c>
      <c r="AA29">
        <v>-8.8049368383438704</v>
      </c>
      <c r="AB29" t="s">
        <v>951</v>
      </c>
      <c r="AC29" t="s">
        <v>216</v>
      </c>
      <c r="AL29" t="s">
        <v>217</v>
      </c>
      <c r="AM29" t="s">
        <v>952</v>
      </c>
      <c r="AN29" t="s">
        <v>6</v>
      </c>
      <c r="AO29" s="57">
        <v>46032.413738425923</v>
      </c>
      <c r="AP29" s="57">
        <v>46298.458333333336</v>
      </c>
      <c r="AR29" t="s">
        <v>218</v>
      </c>
      <c r="AS29" t="s">
        <v>825</v>
      </c>
      <c r="AT29" t="s">
        <v>230</v>
      </c>
      <c r="AU29">
        <v>20261001</v>
      </c>
      <c r="AV29" t="s">
        <v>221</v>
      </c>
      <c r="AW29" t="s">
        <v>875</v>
      </c>
      <c r="AX29" t="s">
        <v>222</v>
      </c>
      <c r="BA29" s="57">
        <v>46298.458333333336</v>
      </c>
      <c r="BB29" t="s">
        <v>952</v>
      </c>
      <c r="BC29">
        <v>2026</v>
      </c>
      <c r="BD29">
        <v>10</v>
      </c>
      <c r="BE29">
        <v>1</v>
      </c>
      <c r="BF29" s="6">
        <f t="shared" si="0"/>
        <v>46296</v>
      </c>
      <c r="BG29">
        <f t="shared" si="1"/>
        <v>-2.4583333333357587</v>
      </c>
      <c r="BH29" t="str">
        <f t="shared" si="2"/>
        <v>COMPLY</v>
      </c>
      <c r="BI29" t="str">
        <f>VLOOKUP(H29,Sheet2!$A$1:$B$270,2,FALSE)</f>
        <v>SELONG</v>
      </c>
    </row>
    <row r="30" spans="1:61">
      <c r="A30">
        <v>29</v>
      </c>
      <c r="B30">
        <v>1002620545</v>
      </c>
      <c r="C30">
        <v>3</v>
      </c>
      <c r="D30" t="s">
        <v>45</v>
      </c>
      <c r="E30">
        <v>5</v>
      </c>
      <c r="F30" t="s">
        <v>210</v>
      </c>
      <c r="G30" t="s">
        <v>116</v>
      </c>
      <c r="H30" t="s">
        <v>356</v>
      </c>
      <c r="I30" t="s">
        <v>212</v>
      </c>
      <c r="J30" t="s">
        <v>213</v>
      </c>
      <c r="K30" t="s">
        <v>149</v>
      </c>
      <c r="L30" t="s">
        <v>214</v>
      </c>
      <c r="M30" t="s">
        <v>76</v>
      </c>
      <c r="N30" t="s">
        <v>215</v>
      </c>
      <c r="O30" s="57">
        <v>46297.715729166666</v>
      </c>
      <c r="P30" s="57">
        <v>46301.436018518521</v>
      </c>
      <c r="Q30">
        <v>69403341</v>
      </c>
      <c r="S30">
        <v>172619203554</v>
      </c>
      <c r="T30" t="s">
        <v>1460</v>
      </c>
      <c r="U30" t="s">
        <v>1461</v>
      </c>
      <c r="V30" t="s">
        <v>1462</v>
      </c>
      <c r="Z30">
        <v>116.472752206027</v>
      </c>
      <c r="AA30">
        <v>-8.7741713749654409</v>
      </c>
      <c r="AB30" t="s">
        <v>1463</v>
      </c>
      <c r="AC30" t="s">
        <v>216</v>
      </c>
      <c r="AL30" t="s">
        <v>217</v>
      </c>
      <c r="AM30" t="s">
        <v>1464</v>
      </c>
      <c r="AN30" t="s">
        <v>6</v>
      </c>
      <c r="AO30" s="57">
        <v>46063.736041666663</v>
      </c>
      <c r="AP30" s="57">
        <v>46300.333333333336</v>
      </c>
      <c r="AR30" t="s">
        <v>218</v>
      </c>
      <c r="AS30" t="s">
        <v>825</v>
      </c>
      <c r="AT30" t="s">
        <v>230</v>
      </c>
      <c r="AU30">
        <v>20261006</v>
      </c>
      <c r="AV30" t="s">
        <v>221</v>
      </c>
      <c r="AW30" t="s">
        <v>877</v>
      </c>
      <c r="AX30" t="s">
        <v>222</v>
      </c>
      <c r="BA30" s="57">
        <v>46300.333333333336</v>
      </c>
      <c r="BB30" t="s">
        <v>1464</v>
      </c>
      <c r="BC30">
        <v>2026</v>
      </c>
      <c r="BD30">
        <v>10</v>
      </c>
      <c r="BE30">
        <v>6</v>
      </c>
      <c r="BF30" s="6">
        <f t="shared" si="0"/>
        <v>46301</v>
      </c>
      <c r="BG30">
        <f t="shared" si="1"/>
        <v>0.66666666666424135</v>
      </c>
      <c r="BH30" t="str">
        <f t="shared" si="2"/>
        <v>COMPLY</v>
      </c>
      <c r="BI30" t="str">
        <f>VLOOKUP(H30,Sheet2!$A$1:$B$270,2,FALSE)</f>
        <v>SELONG</v>
      </c>
    </row>
    <row r="31" spans="1:61">
      <c r="A31">
        <v>30</v>
      </c>
      <c r="B31">
        <v>1002621062</v>
      </c>
      <c r="C31">
        <v>3</v>
      </c>
      <c r="D31" t="s">
        <v>45</v>
      </c>
      <c r="E31">
        <v>5</v>
      </c>
      <c r="F31" t="s">
        <v>210</v>
      </c>
      <c r="G31" t="s">
        <v>116</v>
      </c>
      <c r="H31" t="s">
        <v>267</v>
      </c>
      <c r="I31" t="s">
        <v>212</v>
      </c>
      <c r="J31" t="s">
        <v>213</v>
      </c>
      <c r="K31" t="s">
        <v>149</v>
      </c>
      <c r="L31" t="s">
        <v>214</v>
      </c>
      <c r="M31" t="s">
        <v>1401</v>
      </c>
      <c r="N31" t="s">
        <v>215</v>
      </c>
      <c r="O31" s="57">
        <v>46298.620532407411</v>
      </c>
      <c r="P31" s="57">
        <v>46300.568564814814</v>
      </c>
      <c r="Q31">
        <v>69403674</v>
      </c>
      <c r="S31">
        <v>172604214416</v>
      </c>
      <c r="T31" t="s">
        <v>1465</v>
      </c>
      <c r="U31" t="s">
        <v>1466</v>
      </c>
      <c r="V31" t="s">
        <v>1467</v>
      </c>
      <c r="Z31">
        <v>116.098117008805</v>
      </c>
      <c r="AA31">
        <v>-8.41501912195878</v>
      </c>
      <c r="AB31" t="s">
        <v>1468</v>
      </c>
      <c r="AC31" t="s">
        <v>216</v>
      </c>
      <c r="AL31" t="s">
        <v>217</v>
      </c>
      <c r="AM31" t="s">
        <v>1469</v>
      </c>
      <c r="AN31" t="s">
        <v>6</v>
      </c>
      <c r="AO31" s="57">
        <v>46091.621793981481</v>
      </c>
      <c r="AP31" s="57">
        <v>46299.458333333336</v>
      </c>
      <c r="AR31" t="s">
        <v>14</v>
      </c>
      <c r="AS31" t="s">
        <v>814</v>
      </c>
      <c r="AT31" t="s">
        <v>230</v>
      </c>
      <c r="AV31" t="s">
        <v>2519</v>
      </c>
      <c r="AW31" t="s">
        <v>875</v>
      </c>
      <c r="AX31" t="s">
        <v>222</v>
      </c>
      <c r="BA31" s="57">
        <v>46299.458333333336</v>
      </c>
      <c r="BB31" t="s">
        <v>1469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SELONG</v>
      </c>
    </row>
    <row r="32" spans="1:61">
      <c r="A32">
        <v>31</v>
      </c>
      <c r="B32">
        <v>1002618749</v>
      </c>
      <c r="C32">
        <v>3</v>
      </c>
      <c r="D32" t="s">
        <v>45</v>
      </c>
      <c r="E32">
        <v>5</v>
      </c>
      <c r="F32" t="s">
        <v>210</v>
      </c>
      <c r="G32" t="s">
        <v>116</v>
      </c>
      <c r="H32" t="s">
        <v>267</v>
      </c>
      <c r="I32" t="s">
        <v>212</v>
      </c>
      <c r="J32" t="s">
        <v>213</v>
      </c>
      <c r="K32" t="s">
        <v>149</v>
      </c>
      <c r="M32" t="s">
        <v>76</v>
      </c>
      <c r="N32" t="s">
        <v>215</v>
      </c>
      <c r="O32" s="57">
        <v>46296.73773148148</v>
      </c>
      <c r="P32" s="57">
        <v>46297.46565972222</v>
      </c>
      <c r="Q32">
        <v>69399006</v>
      </c>
      <c r="S32">
        <v>172604214410</v>
      </c>
      <c r="T32" t="s">
        <v>907</v>
      </c>
      <c r="U32" t="s">
        <v>957</v>
      </c>
      <c r="V32" t="s">
        <v>958</v>
      </c>
      <c r="Z32">
        <v>116.284406241482</v>
      </c>
      <c r="AA32">
        <v>-8.2657515630690597</v>
      </c>
      <c r="AB32" t="s">
        <v>908</v>
      </c>
      <c r="AC32" t="s">
        <v>216</v>
      </c>
      <c r="AL32" t="s">
        <v>217</v>
      </c>
      <c r="AM32" t="s">
        <v>959</v>
      </c>
      <c r="AN32" t="s">
        <v>6</v>
      </c>
      <c r="AO32" s="57">
        <v>46032.746898148151</v>
      </c>
      <c r="AR32" t="s">
        <v>218</v>
      </c>
      <c r="AS32" t="s">
        <v>814</v>
      </c>
      <c r="AT32" t="s">
        <v>342</v>
      </c>
      <c r="AU32">
        <v>20261002</v>
      </c>
      <c r="AV32" t="s">
        <v>221</v>
      </c>
      <c r="AW32" t="s">
        <v>559</v>
      </c>
      <c r="AX32" t="s">
        <v>222</v>
      </c>
      <c r="BA32" s="57">
        <v>46296.291666666664</v>
      </c>
      <c r="BB32" t="s">
        <v>959</v>
      </c>
      <c r="BC32">
        <v>2026</v>
      </c>
      <c r="BD32">
        <v>10</v>
      </c>
      <c r="BE32">
        <v>2</v>
      </c>
      <c r="BF32" s="6">
        <f t="shared" si="0"/>
        <v>46297</v>
      </c>
      <c r="BG32">
        <f t="shared" si="1"/>
        <v>0.70833333333575865</v>
      </c>
      <c r="BH32" t="str">
        <f t="shared" si="2"/>
        <v>COMPLY</v>
      </c>
      <c r="BI32" t="str">
        <f>VLOOKUP(H32,Sheet2!$A$1:$B$270,2,FALSE)</f>
        <v>SELONG</v>
      </c>
    </row>
    <row r="33" spans="1:61">
      <c r="A33">
        <v>32</v>
      </c>
      <c r="B33">
        <v>1002620615</v>
      </c>
      <c r="C33">
        <v>3</v>
      </c>
      <c r="D33" t="s">
        <v>45</v>
      </c>
      <c r="E33">
        <v>5</v>
      </c>
      <c r="F33" t="s">
        <v>210</v>
      </c>
      <c r="G33" t="s">
        <v>116</v>
      </c>
      <c r="H33" t="s">
        <v>267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46297.752349537041</v>
      </c>
      <c r="P33" s="57">
        <v>46297.810706018521</v>
      </c>
      <c r="Q33">
        <v>69400343</v>
      </c>
      <c r="S33">
        <v>172604214412</v>
      </c>
      <c r="T33" t="s">
        <v>1470</v>
      </c>
      <c r="U33" t="s">
        <v>1471</v>
      </c>
      <c r="V33" t="s">
        <v>1472</v>
      </c>
      <c r="Z33">
        <v>116.49837970999801</v>
      </c>
      <c r="AA33">
        <v>-8.3339065777651005</v>
      </c>
      <c r="AB33" t="s">
        <v>1473</v>
      </c>
      <c r="AC33" t="s">
        <v>283</v>
      </c>
      <c r="AL33" t="s">
        <v>217</v>
      </c>
      <c r="AM33" t="s">
        <v>1474</v>
      </c>
      <c r="AN33" t="s">
        <v>6</v>
      </c>
      <c r="AO33" s="57">
        <v>46063.757476851853</v>
      </c>
      <c r="AR33" t="s">
        <v>218</v>
      </c>
      <c r="AS33" t="s">
        <v>814</v>
      </c>
      <c r="AT33" t="s">
        <v>230</v>
      </c>
      <c r="AU33">
        <v>20261002</v>
      </c>
      <c r="AV33" t="s">
        <v>221</v>
      </c>
      <c r="AW33" t="s">
        <v>1475</v>
      </c>
      <c r="AX33" t="s">
        <v>222</v>
      </c>
      <c r="BA33" s="57">
        <v>46297.291666666664</v>
      </c>
      <c r="BB33" t="s">
        <v>1474</v>
      </c>
      <c r="BC33">
        <v>2026</v>
      </c>
      <c r="BD33">
        <v>10</v>
      </c>
      <c r="BE33">
        <v>2</v>
      </c>
      <c r="BF33" s="6">
        <f t="shared" si="0"/>
        <v>46297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SELONG</v>
      </c>
    </row>
    <row r="34" spans="1:61">
      <c r="A34">
        <v>33</v>
      </c>
      <c r="B34">
        <v>1002622466</v>
      </c>
      <c r="C34">
        <v>3</v>
      </c>
      <c r="D34" t="s">
        <v>45</v>
      </c>
      <c r="E34">
        <v>5</v>
      </c>
      <c r="F34" t="s">
        <v>210</v>
      </c>
      <c r="G34" t="s">
        <v>116</v>
      </c>
      <c r="H34" t="s">
        <v>267</v>
      </c>
      <c r="I34" t="s">
        <v>212</v>
      </c>
      <c r="J34" t="s">
        <v>213</v>
      </c>
      <c r="K34" t="s">
        <v>149</v>
      </c>
      <c r="M34" t="s">
        <v>76</v>
      </c>
      <c r="N34" t="s">
        <v>215</v>
      </c>
      <c r="O34" s="57">
        <v>46300.568576388891</v>
      </c>
      <c r="P34" s="57">
        <v>46300.599675925929</v>
      </c>
      <c r="Q34">
        <v>69403674</v>
      </c>
      <c r="S34">
        <v>172604214292</v>
      </c>
      <c r="T34" t="s">
        <v>1465</v>
      </c>
      <c r="U34" t="s">
        <v>2520</v>
      </c>
      <c r="V34" t="s">
        <v>2521</v>
      </c>
      <c r="Z34">
        <v>116.0959276</v>
      </c>
      <c r="AA34">
        <v>-8.4186340000000008</v>
      </c>
      <c r="AB34" t="s">
        <v>1468</v>
      </c>
      <c r="AC34" t="s">
        <v>216</v>
      </c>
      <c r="AL34" t="s">
        <v>217</v>
      </c>
      <c r="AM34" t="s">
        <v>2522</v>
      </c>
      <c r="AN34" t="s">
        <v>6</v>
      </c>
      <c r="AO34" s="57">
        <v>46152.569618055553</v>
      </c>
      <c r="AR34" t="s">
        <v>218</v>
      </c>
      <c r="AS34" t="s">
        <v>814</v>
      </c>
      <c r="AT34" t="s">
        <v>230</v>
      </c>
      <c r="AU34">
        <v>20261005</v>
      </c>
      <c r="AV34" t="s">
        <v>221</v>
      </c>
      <c r="AW34" t="s">
        <v>540</v>
      </c>
      <c r="AX34" t="s">
        <v>222</v>
      </c>
      <c r="BA34" s="57">
        <v>46300.291666666664</v>
      </c>
      <c r="BB34" t="s">
        <v>2522</v>
      </c>
      <c r="BC34">
        <v>2026</v>
      </c>
      <c r="BD34">
        <v>10</v>
      </c>
      <c r="BE34">
        <v>5</v>
      </c>
      <c r="BF34" s="6">
        <f t="shared" si="0"/>
        <v>46300</v>
      </c>
      <c r="BG34">
        <f t="shared" si="1"/>
        <v>-0.29166666666424135</v>
      </c>
      <c r="BH34" t="str">
        <f t="shared" si="2"/>
        <v>COMPLY</v>
      </c>
      <c r="BI34" t="str">
        <f>VLOOKUP(H34,Sheet2!$A$1:$B$270,2,FALSE)</f>
        <v>SELONG</v>
      </c>
    </row>
    <row r="35" spans="1:61">
      <c r="A35">
        <v>34</v>
      </c>
      <c r="B35">
        <v>1002621878</v>
      </c>
      <c r="C35">
        <v>3</v>
      </c>
      <c r="D35" t="s">
        <v>45</v>
      </c>
      <c r="E35">
        <v>5</v>
      </c>
      <c r="F35" t="s">
        <v>210</v>
      </c>
      <c r="G35" t="s">
        <v>116</v>
      </c>
      <c r="H35" t="s">
        <v>267</v>
      </c>
      <c r="I35" t="s">
        <v>212</v>
      </c>
      <c r="J35" t="s">
        <v>213</v>
      </c>
      <c r="K35" t="s">
        <v>149</v>
      </c>
      <c r="M35" t="s">
        <v>76</v>
      </c>
      <c r="N35" t="s">
        <v>215</v>
      </c>
      <c r="O35" s="57">
        <v>46300.423622685186</v>
      </c>
      <c r="P35" s="57">
        <v>46300.537870370368</v>
      </c>
      <c r="Q35">
        <v>69401070</v>
      </c>
      <c r="S35">
        <v>172604214422</v>
      </c>
      <c r="T35" t="s">
        <v>2523</v>
      </c>
      <c r="U35" t="s">
        <v>2524</v>
      </c>
      <c r="V35" t="s">
        <v>2525</v>
      </c>
      <c r="Z35">
        <v>116.545543672969</v>
      </c>
      <c r="AA35">
        <v>-8.38375397798535</v>
      </c>
      <c r="AB35" t="s">
        <v>2526</v>
      </c>
      <c r="AC35" t="s">
        <v>216</v>
      </c>
      <c r="AL35" t="s">
        <v>217</v>
      </c>
      <c r="AM35" t="s">
        <v>2527</v>
      </c>
      <c r="AN35" t="s">
        <v>6</v>
      </c>
      <c r="AO35" s="57">
        <v>46152.444537037038</v>
      </c>
      <c r="AR35" t="s">
        <v>218</v>
      </c>
      <c r="AS35" t="s">
        <v>814</v>
      </c>
      <c r="AT35" t="s">
        <v>230</v>
      </c>
      <c r="AU35">
        <v>20261005</v>
      </c>
      <c r="AV35" t="s">
        <v>221</v>
      </c>
      <c r="AW35" t="s">
        <v>540</v>
      </c>
      <c r="AX35" t="s">
        <v>222</v>
      </c>
      <c r="BA35" s="57">
        <v>46300.291666666664</v>
      </c>
      <c r="BB35" t="s">
        <v>2527</v>
      </c>
      <c r="BC35">
        <v>2026</v>
      </c>
      <c r="BD35">
        <v>10</v>
      </c>
      <c r="BE35">
        <v>5</v>
      </c>
      <c r="BF35" s="6">
        <f t="shared" si="0"/>
        <v>46300</v>
      </c>
      <c r="BG35">
        <f t="shared" si="1"/>
        <v>-0.29166666666424135</v>
      </c>
      <c r="BH35" t="str">
        <f t="shared" si="2"/>
        <v>COMPLY</v>
      </c>
      <c r="BI35" t="str">
        <f>VLOOKUP(H35,Sheet2!$A$1:$B$270,2,FALSE)</f>
        <v>SELONG</v>
      </c>
    </row>
    <row r="36" spans="1:61">
      <c r="A36">
        <v>35</v>
      </c>
      <c r="B36">
        <v>1002626134</v>
      </c>
      <c r="C36">
        <v>3</v>
      </c>
      <c r="D36" t="s">
        <v>45</v>
      </c>
      <c r="E36">
        <v>5</v>
      </c>
      <c r="F36" t="s">
        <v>210</v>
      </c>
      <c r="G36" t="s">
        <v>116</v>
      </c>
      <c r="H36" t="s">
        <v>267</v>
      </c>
      <c r="I36" t="s">
        <v>212</v>
      </c>
      <c r="J36" t="s">
        <v>213</v>
      </c>
      <c r="K36" t="s">
        <v>149</v>
      </c>
      <c r="M36" t="s">
        <v>1619</v>
      </c>
      <c r="N36" t="s">
        <v>215</v>
      </c>
      <c r="O36" s="57">
        <v>46302.563113425924</v>
      </c>
      <c r="P36" s="57">
        <v>46302.789479166669</v>
      </c>
      <c r="Q36">
        <v>69405834</v>
      </c>
      <c r="S36">
        <v>172604214438</v>
      </c>
      <c r="T36" t="s">
        <v>3731</v>
      </c>
      <c r="U36" t="s">
        <v>3732</v>
      </c>
      <c r="Z36">
        <v>116.077972</v>
      </c>
      <c r="AA36">
        <v>-8.3636850000000003</v>
      </c>
      <c r="AB36" t="s">
        <v>3733</v>
      </c>
      <c r="AC36" t="s">
        <v>283</v>
      </c>
      <c r="AO36" s="57">
        <v>46213.56962962963</v>
      </c>
      <c r="AR36" t="s">
        <v>5</v>
      </c>
      <c r="AS36" t="s">
        <v>814</v>
      </c>
      <c r="AT36" t="s">
        <v>230</v>
      </c>
      <c r="AV36" t="s">
        <v>3734</v>
      </c>
      <c r="AW36" t="s">
        <v>540</v>
      </c>
      <c r="AX36" t="s">
        <v>222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SELONG</v>
      </c>
    </row>
    <row r="37" spans="1:61">
      <c r="A37">
        <v>36</v>
      </c>
      <c r="B37">
        <v>1002624449</v>
      </c>
      <c r="C37">
        <v>3</v>
      </c>
      <c r="D37" t="s">
        <v>45</v>
      </c>
      <c r="E37">
        <v>5</v>
      </c>
      <c r="F37" t="s">
        <v>210</v>
      </c>
      <c r="G37" t="s">
        <v>116</v>
      </c>
      <c r="H37" t="s">
        <v>267</v>
      </c>
      <c r="I37" t="s">
        <v>212</v>
      </c>
      <c r="J37" t="s">
        <v>213</v>
      </c>
      <c r="K37" t="s">
        <v>149</v>
      </c>
      <c r="M37" t="s">
        <v>238</v>
      </c>
      <c r="N37" t="s">
        <v>215</v>
      </c>
      <c r="O37" s="57">
        <v>46301.582604166666</v>
      </c>
      <c r="P37" s="57">
        <v>46301.668136574073</v>
      </c>
      <c r="Q37">
        <v>69405087</v>
      </c>
      <c r="S37">
        <v>172604214434</v>
      </c>
      <c r="T37" t="s">
        <v>3151</v>
      </c>
      <c r="U37" t="s">
        <v>3152</v>
      </c>
      <c r="V37" t="s">
        <v>3153</v>
      </c>
      <c r="Z37">
        <v>116.1936431</v>
      </c>
      <c r="AA37">
        <v>-8.3315918999999994</v>
      </c>
      <c r="AB37" t="s">
        <v>3154</v>
      </c>
      <c r="AC37" t="s">
        <v>229</v>
      </c>
      <c r="AL37" t="s">
        <v>217</v>
      </c>
      <c r="AM37" t="s">
        <v>3155</v>
      </c>
      <c r="AN37" t="s">
        <v>6</v>
      </c>
      <c r="AO37" s="57">
        <v>46183.601145833331</v>
      </c>
      <c r="AP37" s="57">
        <v>46303.458333333336</v>
      </c>
      <c r="AR37" t="s">
        <v>239</v>
      </c>
      <c r="AS37" t="s">
        <v>814</v>
      </c>
      <c r="AT37" t="s">
        <v>230</v>
      </c>
      <c r="AV37" t="s">
        <v>238</v>
      </c>
      <c r="AW37" t="s">
        <v>1987</v>
      </c>
      <c r="AX37" t="s">
        <v>222</v>
      </c>
      <c r="BA37" s="57">
        <v>46303.458333333336</v>
      </c>
      <c r="BB37" t="s">
        <v>3155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SELONG</v>
      </c>
    </row>
    <row r="38" spans="1:61">
      <c r="A38">
        <v>37</v>
      </c>
      <c r="B38">
        <v>1002626609</v>
      </c>
      <c r="C38">
        <v>3</v>
      </c>
      <c r="D38" t="s">
        <v>45</v>
      </c>
      <c r="E38">
        <v>5</v>
      </c>
      <c r="F38" t="s">
        <v>210</v>
      </c>
      <c r="G38" t="s">
        <v>116</v>
      </c>
      <c r="H38" t="s">
        <v>267</v>
      </c>
      <c r="I38" t="s">
        <v>212</v>
      </c>
      <c r="J38" t="s">
        <v>213</v>
      </c>
      <c r="K38" t="s">
        <v>149</v>
      </c>
      <c r="L38" t="s">
        <v>214</v>
      </c>
      <c r="M38" t="s">
        <v>238</v>
      </c>
      <c r="N38" t="s">
        <v>215</v>
      </c>
      <c r="O38" s="57">
        <v>46302.65185185185</v>
      </c>
      <c r="P38" s="57">
        <v>46302.652789351851</v>
      </c>
      <c r="Q38">
        <v>69405999</v>
      </c>
      <c r="S38">
        <v>172604214299</v>
      </c>
      <c r="T38" t="s">
        <v>3735</v>
      </c>
      <c r="U38" t="s">
        <v>3736</v>
      </c>
      <c r="V38" t="s">
        <v>3737</v>
      </c>
      <c r="Z38">
        <v>116.0392489</v>
      </c>
      <c r="AA38">
        <v>-8.3496699999999997</v>
      </c>
      <c r="AB38" t="s">
        <v>3738</v>
      </c>
      <c r="AC38" t="s">
        <v>216</v>
      </c>
      <c r="AL38" t="s">
        <v>217</v>
      </c>
      <c r="AM38" t="s">
        <v>3739</v>
      </c>
      <c r="AN38" t="s">
        <v>6</v>
      </c>
      <c r="AO38" s="57">
        <v>46213.66333333333</v>
      </c>
      <c r="AP38" s="57">
        <v>46303.625</v>
      </c>
      <c r="AR38" t="s">
        <v>239</v>
      </c>
      <c r="AS38" t="s">
        <v>814</v>
      </c>
      <c r="AT38" t="s">
        <v>230</v>
      </c>
      <c r="AV38" t="s">
        <v>238</v>
      </c>
      <c r="AW38" t="s">
        <v>802</v>
      </c>
      <c r="AX38" t="s">
        <v>222</v>
      </c>
      <c r="BA38" s="57">
        <v>46303.625</v>
      </c>
      <c r="BB38" t="s">
        <v>3739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SELONG</v>
      </c>
    </row>
    <row r="39" spans="1:61">
      <c r="A39">
        <v>38</v>
      </c>
      <c r="B39">
        <v>1002626176</v>
      </c>
      <c r="C39">
        <v>3</v>
      </c>
      <c r="D39" t="s">
        <v>45</v>
      </c>
      <c r="E39">
        <v>5</v>
      </c>
      <c r="F39" t="s">
        <v>210</v>
      </c>
      <c r="G39" t="s">
        <v>116</v>
      </c>
      <c r="H39" t="s">
        <v>267</v>
      </c>
      <c r="I39" t="s">
        <v>212</v>
      </c>
      <c r="J39" t="s">
        <v>213</v>
      </c>
      <c r="K39" t="s">
        <v>149</v>
      </c>
      <c r="M39" t="s">
        <v>3149</v>
      </c>
      <c r="N39" t="s">
        <v>215</v>
      </c>
      <c r="O39" s="57">
        <v>46302.568865740737</v>
      </c>
      <c r="P39" s="57">
        <v>46302.570914351854</v>
      </c>
      <c r="Q39">
        <v>69405861</v>
      </c>
      <c r="S39">
        <v>172604214439</v>
      </c>
      <c r="T39" t="s">
        <v>3740</v>
      </c>
      <c r="U39" t="s">
        <v>3732</v>
      </c>
      <c r="Z39">
        <v>116.077972</v>
      </c>
      <c r="AA39">
        <v>-8.3636850000000003</v>
      </c>
      <c r="AB39" t="s">
        <v>3741</v>
      </c>
      <c r="AC39" t="s">
        <v>283</v>
      </c>
      <c r="AO39" s="57">
        <v>46213.56962962963</v>
      </c>
      <c r="AR39" t="s">
        <v>325</v>
      </c>
      <c r="AS39" t="s">
        <v>814</v>
      </c>
      <c r="AT39" t="s">
        <v>230</v>
      </c>
      <c r="AV39" t="s">
        <v>3150</v>
      </c>
      <c r="AW39" t="s">
        <v>541</v>
      </c>
      <c r="AX39" t="s">
        <v>222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1002622081</v>
      </c>
      <c r="C40">
        <v>3</v>
      </c>
      <c r="D40" t="s">
        <v>45</v>
      </c>
      <c r="E40">
        <v>5</v>
      </c>
      <c r="F40" t="s">
        <v>210</v>
      </c>
      <c r="G40" t="s">
        <v>112</v>
      </c>
      <c r="H40" t="s">
        <v>262</v>
      </c>
      <c r="I40" t="s">
        <v>212</v>
      </c>
      <c r="J40" t="s">
        <v>213</v>
      </c>
      <c r="K40" t="s">
        <v>149</v>
      </c>
      <c r="L40" t="s">
        <v>214</v>
      </c>
      <c r="M40" t="s">
        <v>224</v>
      </c>
      <c r="N40" t="s">
        <v>215</v>
      </c>
      <c r="O40" s="57">
        <v>46300.459432870368</v>
      </c>
      <c r="P40" s="57">
        <v>46301.343136574076</v>
      </c>
      <c r="Q40">
        <v>69404207</v>
      </c>
      <c r="S40">
        <v>172601248326</v>
      </c>
      <c r="T40" t="s">
        <v>2534</v>
      </c>
      <c r="U40" t="s">
        <v>2529</v>
      </c>
      <c r="V40" t="s">
        <v>2535</v>
      </c>
      <c r="Z40">
        <v>116.10332320000001</v>
      </c>
      <c r="AA40">
        <v>-8.5712813000000008</v>
      </c>
      <c r="AB40" t="s">
        <v>2536</v>
      </c>
      <c r="AC40" t="s">
        <v>235</v>
      </c>
      <c r="AL40" t="s">
        <v>217</v>
      </c>
      <c r="AM40" t="s">
        <v>2532</v>
      </c>
      <c r="AN40" t="s">
        <v>6</v>
      </c>
      <c r="AO40" s="57">
        <v>46152.486157407409</v>
      </c>
      <c r="AP40" s="57">
        <v>46301.333333333336</v>
      </c>
      <c r="AR40" t="s">
        <v>18</v>
      </c>
      <c r="AS40" t="s">
        <v>219</v>
      </c>
      <c r="AT40" t="s">
        <v>230</v>
      </c>
      <c r="AV40" t="s">
        <v>226</v>
      </c>
      <c r="AW40" t="s">
        <v>877</v>
      </c>
      <c r="AX40" t="s">
        <v>222</v>
      </c>
      <c r="BA40" s="57">
        <v>46301.333333333336</v>
      </c>
      <c r="BB40" t="s">
        <v>2532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MATARAM</v>
      </c>
    </row>
    <row r="41" spans="1:61">
      <c r="A41">
        <v>40</v>
      </c>
      <c r="B41">
        <v>1002622194</v>
      </c>
      <c r="C41">
        <v>3</v>
      </c>
      <c r="D41" t="s">
        <v>45</v>
      </c>
      <c r="E41">
        <v>5</v>
      </c>
      <c r="F41" t="s">
        <v>210</v>
      </c>
      <c r="G41" t="s">
        <v>112</v>
      </c>
      <c r="H41" t="s">
        <v>262</v>
      </c>
      <c r="I41" t="s">
        <v>212</v>
      </c>
      <c r="J41" t="s">
        <v>213</v>
      </c>
      <c r="K41" t="s">
        <v>149</v>
      </c>
      <c r="L41" t="s">
        <v>214</v>
      </c>
      <c r="M41" t="s">
        <v>224</v>
      </c>
      <c r="N41" t="s">
        <v>215</v>
      </c>
      <c r="O41" s="57">
        <v>46300.4844212963</v>
      </c>
      <c r="P41" s="57">
        <v>46301.478263888886</v>
      </c>
      <c r="Q41">
        <v>69404249</v>
      </c>
      <c r="S41">
        <v>172601248330</v>
      </c>
      <c r="T41" t="s">
        <v>2537</v>
      </c>
      <c r="U41" t="s">
        <v>2538</v>
      </c>
      <c r="V41" t="s">
        <v>2539</v>
      </c>
      <c r="Z41">
        <v>116.111175008118</v>
      </c>
      <c r="AA41">
        <v>-8.6166178212292497</v>
      </c>
      <c r="AB41" t="s">
        <v>2540</v>
      </c>
      <c r="AC41" t="s">
        <v>216</v>
      </c>
      <c r="AL41" t="s">
        <v>217</v>
      </c>
      <c r="AM41" t="s">
        <v>2541</v>
      </c>
      <c r="AN41" t="s">
        <v>6</v>
      </c>
      <c r="AO41" s="57">
        <v>46152.486157407409</v>
      </c>
      <c r="AP41" s="57">
        <v>46301.458333333336</v>
      </c>
      <c r="AR41" t="s">
        <v>18</v>
      </c>
      <c r="AS41" t="s">
        <v>219</v>
      </c>
      <c r="AT41" t="s">
        <v>342</v>
      </c>
      <c r="AV41" t="s">
        <v>226</v>
      </c>
      <c r="AW41" t="s">
        <v>2542</v>
      </c>
      <c r="AX41" t="s">
        <v>222</v>
      </c>
      <c r="BA41" s="57">
        <v>46301.458333333336</v>
      </c>
      <c r="BB41" t="s">
        <v>2541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MATARAM</v>
      </c>
    </row>
    <row r="42" spans="1:61">
      <c r="A42">
        <v>41</v>
      </c>
      <c r="B42">
        <v>1002622049</v>
      </c>
      <c r="C42">
        <v>3</v>
      </c>
      <c r="D42" t="s">
        <v>45</v>
      </c>
      <c r="E42">
        <v>5</v>
      </c>
      <c r="F42" t="s">
        <v>210</v>
      </c>
      <c r="G42" t="s">
        <v>112</v>
      </c>
      <c r="H42" t="s">
        <v>262</v>
      </c>
      <c r="I42" t="s">
        <v>212</v>
      </c>
      <c r="J42" t="s">
        <v>213</v>
      </c>
      <c r="K42" t="s">
        <v>149</v>
      </c>
      <c r="L42" t="s">
        <v>214</v>
      </c>
      <c r="M42" t="s">
        <v>839</v>
      </c>
      <c r="N42" t="s">
        <v>215</v>
      </c>
      <c r="O42" s="57">
        <v>46300.454236111109</v>
      </c>
      <c r="P42" s="57">
        <v>46302.794618055559</v>
      </c>
      <c r="Q42">
        <v>69404195</v>
      </c>
      <c r="S42">
        <v>172601248323</v>
      </c>
      <c r="T42" t="s">
        <v>2528</v>
      </c>
      <c r="U42" t="s">
        <v>2529</v>
      </c>
      <c r="V42" t="s">
        <v>2530</v>
      </c>
      <c r="Z42">
        <v>116.10332320000001</v>
      </c>
      <c r="AA42">
        <v>-8.5712813000000008</v>
      </c>
      <c r="AB42" t="s">
        <v>2531</v>
      </c>
      <c r="AC42" t="s">
        <v>235</v>
      </c>
      <c r="AL42" t="s">
        <v>217</v>
      </c>
      <c r="AM42" t="s">
        <v>2532</v>
      </c>
      <c r="AN42" t="s">
        <v>6</v>
      </c>
      <c r="AO42" s="57">
        <v>46152.486157407409</v>
      </c>
      <c r="AP42" s="57">
        <v>46301.333333333336</v>
      </c>
      <c r="AQ42" t="s">
        <v>841</v>
      </c>
      <c r="AR42" t="s">
        <v>840</v>
      </c>
      <c r="AS42" t="s">
        <v>219</v>
      </c>
      <c r="AT42" t="s">
        <v>230</v>
      </c>
      <c r="AV42" t="s">
        <v>3742</v>
      </c>
      <c r="AW42" t="s">
        <v>875</v>
      </c>
      <c r="AX42" t="s">
        <v>222</v>
      </c>
      <c r="BA42" s="57">
        <v>46301.333333333336</v>
      </c>
      <c r="BB42" t="s">
        <v>2532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MATARAM</v>
      </c>
    </row>
    <row r="43" spans="1:61">
      <c r="A43">
        <v>42</v>
      </c>
      <c r="B43">
        <v>1002622051</v>
      </c>
      <c r="C43">
        <v>3</v>
      </c>
      <c r="D43" t="s">
        <v>45</v>
      </c>
      <c r="E43">
        <v>5</v>
      </c>
      <c r="F43" t="s">
        <v>210</v>
      </c>
      <c r="G43" t="s">
        <v>112</v>
      </c>
      <c r="H43" t="s">
        <v>262</v>
      </c>
      <c r="I43" t="s">
        <v>212</v>
      </c>
      <c r="J43" t="s">
        <v>213</v>
      </c>
      <c r="K43" t="s">
        <v>149</v>
      </c>
      <c r="L43" t="s">
        <v>214</v>
      </c>
      <c r="M43" t="s">
        <v>839</v>
      </c>
      <c r="N43" t="s">
        <v>215</v>
      </c>
      <c r="O43" s="57">
        <v>46300.454745370371</v>
      </c>
      <c r="P43" s="57">
        <v>46301.344560185185</v>
      </c>
      <c r="Q43">
        <v>69404195</v>
      </c>
      <c r="S43">
        <v>172601248323</v>
      </c>
      <c r="T43" t="s">
        <v>2528</v>
      </c>
      <c r="U43" t="s">
        <v>2529</v>
      </c>
      <c r="V43" t="s">
        <v>2530</v>
      </c>
      <c r="Z43">
        <v>116.10332320000001</v>
      </c>
      <c r="AA43">
        <v>-8.5712813000000008</v>
      </c>
      <c r="AB43" t="s">
        <v>2531</v>
      </c>
      <c r="AC43" t="s">
        <v>235</v>
      </c>
      <c r="AL43" t="s">
        <v>217</v>
      </c>
      <c r="AM43" t="s">
        <v>2532</v>
      </c>
      <c r="AN43" t="s">
        <v>6</v>
      </c>
      <c r="AO43" s="57">
        <v>46152.486157407409</v>
      </c>
      <c r="AP43" s="57">
        <v>46301.333333333336</v>
      </c>
      <c r="AQ43" t="s">
        <v>841</v>
      </c>
      <c r="AR43" t="s">
        <v>1433</v>
      </c>
      <c r="AS43" t="s">
        <v>219</v>
      </c>
      <c r="AT43" t="s">
        <v>230</v>
      </c>
      <c r="AV43" t="s">
        <v>2533</v>
      </c>
      <c r="AW43" t="s">
        <v>875</v>
      </c>
      <c r="AX43" t="s">
        <v>222</v>
      </c>
      <c r="BA43" s="57">
        <v>46301.333333333336</v>
      </c>
      <c r="BB43" t="s">
        <v>2532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MATARAM</v>
      </c>
    </row>
    <row r="44" spans="1:61">
      <c r="A44">
        <v>43</v>
      </c>
      <c r="B44">
        <v>1002619117</v>
      </c>
      <c r="C44">
        <v>3</v>
      </c>
      <c r="D44" t="s">
        <v>45</v>
      </c>
      <c r="E44">
        <v>5</v>
      </c>
      <c r="F44" t="s">
        <v>210</v>
      </c>
      <c r="G44" t="s">
        <v>112</v>
      </c>
      <c r="H44" t="s">
        <v>262</v>
      </c>
      <c r="I44" t="s">
        <v>212</v>
      </c>
      <c r="J44" t="s">
        <v>213</v>
      </c>
      <c r="K44" t="s">
        <v>149</v>
      </c>
      <c r="L44" t="s">
        <v>214</v>
      </c>
      <c r="M44" t="s">
        <v>76</v>
      </c>
      <c r="N44" t="s">
        <v>215</v>
      </c>
      <c r="O44" s="57">
        <v>46297.391423611109</v>
      </c>
      <c r="P44" s="57">
        <v>46300.648344907408</v>
      </c>
      <c r="Q44">
        <v>69402777</v>
      </c>
      <c r="S44">
        <v>172601248263</v>
      </c>
      <c r="T44" t="s">
        <v>1482</v>
      </c>
      <c r="U44" t="s">
        <v>1483</v>
      </c>
      <c r="V44" t="s">
        <v>1484</v>
      </c>
      <c r="Z44">
        <v>116.122366860508</v>
      </c>
      <c r="AA44">
        <v>-8.5432598658307803</v>
      </c>
      <c r="AB44" t="s">
        <v>1485</v>
      </c>
      <c r="AC44" t="s">
        <v>216</v>
      </c>
      <c r="AL44" t="s">
        <v>217</v>
      </c>
      <c r="AM44" t="s">
        <v>1486</v>
      </c>
      <c r="AN44" t="s">
        <v>6</v>
      </c>
      <c r="AO44" s="57">
        <v>46063.39334490741</v>
      </c>
      <c r="AP44" s="57">
        <v>46298.333333333336</v>
      </c>
      <c r="AR44" t="s">
        <v>218</v>
      </c>
      <c r="AS44" t="s">
        <v>219</v>
      </c>
      <c r="AT44" t="s">
        <v>230</v>
      </c>
      <c r="AU44">
        <v>20261005</v>
      </c>
      <c r="AV44" t="s">
        <v>221</v>
      </c>
      <c r="AW44" t="s">
        <v>877</v>
      </c>
      <c r="AX44" t="s">
        <v>222</v>
      </c>
      <c r="BA44" s="57">
        <v>46298.333333333336</v>
      </c>
      <c r="BB44" t="s">
        <v>1486</v>
      </c>
      <c r="BC44">
        <v>2026</v>
      </c>
      <c r="BD44">
        <v>10</v>
      </c>
      <c r="BE44">
        <v>5</v>
      </c>
      <c r="BF44" s="6">
        <f t="shared" si="0"/>
        <v>46300</v>
      </c>
      <c r="BG44">
        <f t="shared" si="1"/>
        <v>1.6666666666642413</v>
      </c>
      <c r="BH44" t="str">
        <f t="shared" si="2"/>
        <v>NOT COMPLY</v>
      </c>
      <c r="BI44" t="str">
        <f>VLOOKUP(H44,Sheet2!$A$1:$B$270,2,FALSE)</f>
        <v>MATARAM</v>
      </c>
    </row>
    <row r="45" spans="1:61">
      <c r="A45">
        <v>44</v>
      </c>
      <c r="B45">
        <v>1002618926</v>
      </c>
      <c r="C45">
        <v>3</v>
      </c>
      <c r="D45" t="s">
        <v>45</v>
      </c>
      <c r="E45">
        <v>5</v>
      </c>
      <c r="F45" t="s">
        <v>210</v>
      </c>
      <c r="G45" t="s">
        <v>112</v>
      </c>
      <c r="H45" t="s">
        <v>262</v>
      </c>
      <c r="I45" t="s">
        <v>212</v>
      </c>
      <c r="J45" t="s">
        <v>213</v>
      </c>
      <c r="K45" t="s">
        <v>149</v>
      </c>
      <c r="L45" t="s">
        <v>214</v>
      </c>
      <c r="M45" t="s">
        <v>76</v>
      </c>
      <c r="N45" t="s">
        <v>215</v>
      </c>
      <c r="O45" s="57">
        <v>46297.349756944444</v>
      </c>
      <c r="P45" s="57">
        <v>46301.661550925928</v>
      </c>
      <c r="Q45">
        <v>69402708</v>
      </c>
      <c r="S45">
        <v>172601797550</v>
      </c>
      <c r="T45" t="s">
        <v>1476</v>
      </c>
      <c r="U45" t="s">
        <v>1477</v>
      </c>
      <c r="V45" t="s">
        <v>1478</v>
      </c>
      <c r="Z45">
        <v>116.13216899335301</v>
      </c>
      <c r="AA45">
        <v>-8.5677338730114894</v>
      </c>
      <c r="AB45" t="s">
        <v>1479</v>
      </c>
      <c r="AC45" t="s">
        <v>216</v>
      </c>
      <c r="AL45" t="s">
        <v>217</v>
      </c>
      <c r="AM45" t="s">
        <v>1480</v>
      </c>
      <c r="AN45" t="s">
        <v>6</v>
      </c>
      <c r="AO45" s="57">
        <v>46063.351053240738</v>
      </c>
      <c r="AP45" s="57">
        <v>46298.458333333336</v>
      </c>
      <c r="AR45" t="s">
        <v>218</v>
      </c>
      <c r="AS45" t="s">
        <v>219</v>
      </c>
      <c r="AT45" t="s">
        <v>220</v>
      </c>
      <c r="AU45">
        <v>20261006</v>
      </c>
      <c r="AV45" t="s">
        <v>221</v>
      </c>
      <c r="AW45" t="s">
        <v>1481</v>
      </c>
      <c r="AX45" t="s">
        <v>222</v>
      </c>
      <c r="BA45" s="57">
        <v>46298.458333333336</v>
      </c>
      <c r="BB45" t="s">
        <v>1480</v>
      </c>
      <c r="BC45">
        <v>2026</v>
      </c>
      <c r="BD45">
        <v>10</v>
      </c>
      <c r="BE45">
        <v>6</v>
      </c>
      <c r="BF45" s="6">
        <f t="shared" si="0"/>
        <v>46301</v>
      </c>
      <c r="BG45">
        <f t="shared" si="1"/>
        <v>2.5416666666642413</v>
      </c>
      <c r="BH45" t="str">
        <f t="shared" si="2"/>
        <v>NOT COMPLY</v>
      </c>
      <c r="BI45" t="str">
        <f>VLOOKUP(H45,Sheet2!$A$1:$B$270,2,FALSE)</f>
        <v>MATARAM</v>
      </c>
    </row>
    <row r="46" spans="1:61">
      <c r="A46">
        <v>45</v>
      </c>
      <c r="B46">
        <v>1002619938</v>
      </c>
      <c r="C46">
        <v>3</v>
      </c>
      <c r="D46" t="s">
        <v>45</v>
      </c>
      <c r="E46">
        <v>5</v>
      </c>
      <c r="F46" t="s">
        <v>210</v>
      </c>
      <c r="G46" t="s">
        <v>112</v>
      </c>
      <c r="H46" t="s">
        <v>262</v>
      </c>
      <c r="I46" t="s">
        <v>212</v>
      </c>
      <c r="J46" t="s">
        <v>213</v>
      </c>
      <c r="K46" t="s">
        <v>149</v>
      </c>
      <c r="M46" t="s">
        <v>76</v>
      </c>
      <c r="N46" t="s">
        <v>215</v>
      </c>
      <c r="O46" s="57">
        <v>46297.5940625</v>
      </c>
      <c r="P46" s="57">
        <v>46297.710972222223</v>
      </c>
      <c r="Q46">
        <v>69369262</v>
      </c>
      <c r="S46">
        <v>172601248280</v>
      </c>
      <c r="T46" t="s">
        <v>1487</v>
      </c>
      <c r="U46" t="s">
        <v>1488</v>
      </c>
      <c r="V46" t="s">
        <v>1489</v>
      </c>
      <c r="Z46">
        <v>116.07887685408799</v>
      </c>
      <c r="AA46">
        <v>-8.5864581538802298</v>
      </c>
      <c r="AB46" t="s">
        <v>1490</v>
      </c>
      <c r="AC46" t="s">
        <v>229</v>
      </c>
      <c r="AL46" t="s">
        <v>217</v>
      </c>
      <c r="AM46" t="s">
        <v>1491</v>
      </c>
      <c r="AN46" t="s">
        <v>6</v>
      </c>
      <c r="AO46" s="57">
        <v>46063.61105324074</v>
      </c>
      <c r="AR46" t="s">
        <v>218</v>
      </c>
      <c r="AS46" t="s">
        <v>219</v>
      </c>
      <c r="AT46" t="s">
        <v>230</v>
      </c>
      <c r="AU46">
        <v>20261002</v>
      </c>
      <c r="AV46" t="s">
        <v>221</v>
      </c>
      <c r="AW46" t="s">
        <v>540</v>
      </c>
      <c r="AX46" t="s">
        <v>222</v>
      </c>
      <c r="BA46" s="57">
        <v>46297.291666666664</v>
      </c>
      <c r="BB46" t="s">
        <v>1491</v>
      </c>
      <c r="BC46">
        <v>2026</v>
      </c>
      <c r="BD46">
        <v>10</v>
      </c>
      <c r="BE46">
        <v>2</v>
      </c>
      <c r="BF46" s="6">
        <f t="shared" si="0"/>
        <v>46297</v>
      </c>
      <c r="BG46">
        <f t="shared" si="1"/>
        <v>-0.29166666666424135</v>
      </c>
      <c r="BH46" t="str">
        <f t="shared" si="2"/>
        <v>COMPLY</v>
      </c>
      <c r="BI46" t="str">
        <f>VLOOKUP(H46,Sheet2!$A$1:$B$270,2,FALSE)</f>
        <v>MATARAM</v>
      </c>
    </row>
    <row r="47" spans="1:61">
      <c r="A47">
        <v>46</v>
      </c>
      <c r="B47">
        <v>1002622042</v>
      </c>
      <c r="C47">
        <v>3</v>
      </c>
      <c r="D47" t="s">
        <v>45</v>
      </c>
      <c r="E47">
        <v>5</v>
      </c>
      <c r="F47" t="s">
        <v>210</v>
      </c>
      <c r="G47" t="s">
        <v>112</v>
      </c>
      <c r="H47" t="s">
        <v>262</v>
      </c>
      <c r="I47" t="s">
        <v>212</v>
      </c>
      <c r="J47" t="s">
        <v>213</v>
      </c>
      <c r="K47" t="s">
        <v>149</v>
      </c>
      <c r="L47" t="s">
        <v>214</v>
      </c>
      <c r="M47" t="s">
        <v>76</v>
      </c>
      <c r="N47" t="s">
        <v>215</v>
      </c>
      <c r="O47" s="57">
        <v>46300.451851851853</v>
      </c>
      <c r="P47" s="57">
        <v>46301.678379629629</v>
      </c>
      <c r="Q47">
        <v>69404179</v>
      </c>
      <c r="S47">
        <v>172601248322</v>
      </c>
      <c r="T47" t="s">
        <v>2543</v>
      </c>
      <c r="U47" t="s">
        <v>2529</v>
      </c>
      <c r="V47" t="s">
        <v>2544</v>
      </c>
      <c r="Z47">
        <v>116.10332320000001</v>
      </c>
      <c r="AA47">
        <v>-8.5712813000000008</v>
      </c>
      <c r="AB47" t="s">
        <v>2545</v>
      </c>
      <c r="AC47" t="s">
        <v>235</v>
      </c>
      <c r="AL47" t="s">
        <v>217</v>
      </c>
      <c r="AM47" t="s">
        <v>2532</v>
      </c>
      <c r="AN47" t="s">
        <v>6</v>
      </c>
      <c r="AO47" s="57">
        <v>46152.486157407409</v>
      </c>
      <c r="AP47" s="57">
        <v>46301.333333333336</v>
      </c>
      <c r="AR47" t="s">
        <v>218</v>
      </c>
      <c r="AS47" t="s">
        <v>219</v>
      </c>
      <c r="AT47" t="s">
        <v>230</v>
      </c>
      <c r="AU47">
        <v>20261006</v>
      </c>
      <c r="AV47" t="s">
        <v>221</v>
      </c>
      <c r="AW47" t="s">
        <v>876</v>
      </c>
      <c r="AX47" t="s">
        <v>222</v>
      </c>
      <c r="BA47" s="57">
        <v>46301.333333333336</v>
      </c>
      <c r="BB47" t="s">
        <v>2532</v>
      </c>
      <c r="BC47">
        <v>2026</v>
      </c>
      <c r="BD47">
        <v>10</v>
      </c>
      <c r="BE47">
        <v>6</v>
      </c>
      <c r="BF47" s="6">
        <f t="shared" si="0"/>
        <v>46301</v>
      </c>
      <c r="BG47">
        <f t="shared" si="1"/>
        <v>-0.33333333333575865</v>
      </c>
      <c r="BH47" t="str">
        <f t="shared" si="2"/>
        <v>COMPLY</v>
      </c>
      <c r="BI47" t="str">
        <f>VLOOKUP(H47,Sheet2!$A$1:$B$270,2,FALSE)</f>
        <v>MATARAM</v>
      </c>
    </row>
    <row r="48" spans="1:61">
      <c r="A48">
        <v>47</v>
      </c>
      <c r="B48">
        <v>1002624262</v>
      </c>
      <c r="C48">
        <v>3</v>
      </c>
      <c r="D48" t="s">
        <v>45</v>
      </c>
      <c r="E48">
        <v>5</v>
      </c>
      <c r="F48" t="s">
        <v>210</v>
      </c>
      <c r="G48" t="s">
        <v>112</v>
      </c>
      <c r="H48" t="s">
        <v>262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46301.551851851851</v>
      </c>
      <c r="P48" s="57">
        <v>46302.598726851851</v>
      </c>
      <c r="Q48">
        <v>69405035</v>
      </c>
      <c r="S48">
        <v>172601797606</v>
      </c>
      <c r="T48" t="s">
        <v>3156</v>
      </c>
      <c r="U48" t="s">
        <v>3157</v>
      </c>
      <c r="V48" t="s">
        <v>3158</v>
      </c>
      <c r="Z48">
        <v>116.1306926</v>
      </c>
      <c r="AA48">
        <v>-8.5633879000000004</v>
      </c>
      <c r="AB48" t="s">
        <v>3159</v>
      </c>
      <c r="AC48" t="s">
        <v>235</v>
      </c>
      <c r="AL48" t="s">
        <v>217</v>
      </c>
      <c r="AM48" t="s">
        <v>3160</v>
      </c>
      <c r="AN48" t="s">
        <v>6</v>
      </c>
      <c r="AO48" s="57">
        <v>46183.559259259258</v>
      </c>
      <c r="AP48" s="57">
        <v>46302.625</v>
      </c>
      <c r="AR48" t="s">
        <v>218</v>
      </c>
      <c r="AS48" t="s">
        <v>219</v>
      </c>
      <c r="AT48" t="s">
        <v>230</v>
      </c>
      <c r="AU48">
        <v>20261007</v>
      </c>
      <c r="AV48" t="s">
        <v>221</v>
      </c>
      <c r="AW48" t="s">
        <v>2730</v>
      </c>
      <c r="AX48" t="s">
        <v>222</v>
      </c>
      <c r="BA48" s="57">
        <v>46302.625</v>
      </c>
      <c r="BB48" t="s">
        <v>3160</v>
      </c>
      <c r="BC48">
        <v>2026</v>
      </c>
      <c r="BD48">
        <v>10</v>
      </c>
      <c r="BE48">
        <v>7</v>
      </c>
      <c r="BF48" s="6">
        <f t="shared" si="0"/>
        <v>46302</v>
      </c>
      <c r="BG48">
        <f t="shared" si="1"/>
        <v>-0.625</v>
      </c>
      <c r="BH48" t="str">
        <f t="shared" si="2"/>
        <v>COMPLY</v>
      </c>
      <c r="BI48" t="str">
        <f>VLOOKUP(H48,Sheet2!$A$1:$B$270,2,FALSE)</f>
        <v>MATARAM</v>
      </c>
    </row>
    <row r="49" spans="1:61">
      <c r="A49">
        <v>48</v>
      </c>
      <c r="B49">
        <v>1002625931</v>
      </c>
      <c r="C49">
        <v>3</v>
      </c>
      <c r="D49" t="s">
        <v>45</v>
      </c>
      <c r="E49">
        <v>5</v>
      </c>
      <c r="F49" t="s">
        <v>210</v>
      </c>
      <c r="G49" t="s">
        <v>112</v>
      </c>
      <c r="H49" t="s">
        <v>262</v>
      </c>
      <c r="I49" t="s">
        <v>212</v>
      </c>
      <c r="J49" t="s">
        <v>213</v>
      </c>
      <c r="K49" t="s">
        <v>149</v>
      </c>
      <c r="L49" t="s">
        <v>214</v>
      </c>
      <c r="M49" t="s">
        <v>238</v>
      </c>
      <c r="N49" t="s">
        <v>215</v>
      </c>
      <c r="O49" s="57">
        <v>46302.505277777775</v>
      </c>
      <c r="P49" s="57">
        <v>46302.507013888891</v>
      </c>
      <c r="Q49">
        <v>69405739</v>
      </c>
      <c r="S49">
        <v>172601248377</v>
      </c>
      <c r="T49" t="s">
        <v>3743</v>
      </c>
      <c r="U49" t="s">
        <v>3744</v>
      </c>
      <c r="V49" t="s">
        <v>3745</v>
      </c>
      <c r="Z49">
        <v>116.08918089419601</v>
      </c>
      <c r="AA49">
        <v>-8.6146252184401408</v>
      </c>
      <c r="AB49" t="s">
        <v>3746</v>
      </c>
      <c r="AC49" t="s">
        <v>216</v>
      </c>
      <c r="AL49" t="s">
        <v>217</v>
      </c>
      <c r="AM49" t="s">
        <v>3747</v>
      </c>
      <c r="AN49" t="s">
        <v>6</v>
      </c>
      <c r="AO49" s="57">
        <v>46213.507164351853</v>
      </c>
      <c r="AP49" s="57">
        <v>46304.333333333336</v>
      </c>
      <c r="AR49" t="s">
        <v>239</v>
      </c>
      <c r="AS49" t="s">
        <v>219</v>
      </c>
      <c r="AT49" t="s">
        <v>230</v>
      </c>
      <c r="AV49" t="s">
        <v>238</v>
      </c>
      <c r="AW49" t="s">
        <v>879</v>
      </c>
      <c r="AX49" t="s">
        <v>222</v>
      </c>
      <c r="BA49" s="57">
        <v>46304.333333333336</v>
      </c>
      <c r="BB49" t="s">
        <v>3747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MATARAM</v>
      </c>
    </row>
    <row r="50" spans="1:61">
      <c r="A50">
        <v>49</v>
      </c>
      <c r="B50">
        <v>1002625508</v>
      </c>
      <c r="C50">
        <v>3</v>
      </c>
      <c r="D50" t="s">
        <v>45</v>
      </c>
      <c r="E50">
        <v>5</v>
      </c>
      <c r="F50" t="s">
        <v>210</v>
      </c>
      <c r="G50" t="s">
        <v>112</v>
      </c>
      <c r="H50" t="s">
        <v>262</v>
      </c>
      <c r="I50" t="s">
        <v>212</v>
      </c>
      <c r="J50" t="s">
        <v>213</v>
      </c>
      <c r="K50" t="s">
        <v>149</v>
      </c>
      <c r="L50" t="s">
        <v>214</v>
      </c>
      <c r="M50" t="s">
        <v>238</v>
      </c>
      <c r="N50" t="s">
        <v>215</v>
      </c>
      <c r="O50" s="57">
        <v>46302.411516203705</v>
      </c>
      <c r="P50" s="57">
        <v>46302.412511574075</v>
      </c>
      <c r="Q50">
        <v>69405518</v>
      </c>
      <c r="S50">
        <v>172601248371</v>
      </c>
      <c r="T50" t="s">
        <v>3748</v>
      </c>
      <c r="U50" t="s">
        <v>3749</v>
      </c>
      <c r="V50" t="s">
        <v>3750</v>
      </c>
      <c r="Z50">
        <v>116.118802487197</v>
      </c>
      <c r="AA50">
        <v>-8.5599542958762598</v>
      </c>
      <c r="AB50" t="s">
        <v>3751</v>
      </c>
      <c r="AC50" t="s">
        <v>235</v>
      </c>
      <c r="AL50" t="s">
        <v>217</v>
      </c>
      <c r="AM50" t="s">
        <v>3752</v>
      </c>
      <c r="AN50" t="s">
        <v>6</v>
      </c>
      <c r="AO50" s="57">
        <v>46213.413402777776</v>
      </c>
      <c r="AP50" s="57">
        <v>46303.625</v>
      </c>
      <c r="AR50" t="s">
        <v>239</v>
      </c>
      <c r="AS50" t="s">
        <v>219</v>
      </c>
      <c r="AT50" t="s">
        <v>230</v>
      </c>
      <c r="AV50" t="s">
        <v>238</v>
      </c>
      <c r="AW50" t="s">
        <v>236</v>
      </c>
      <c r="AX50" t="s">
        <v>222</v>
      </c>
      <c r="BA50" s="57">
        <v>46303.625</v>
      </c>
      <c r="BB50" t="s">
        <v>3752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MATARAM</v>
      </c>
    </row>
    <row r="51" spans="1:61">
      <c r="A51">
        <v>50</v>
      </c>
      <c r="B51">
        <v>1002618712</v>
      </c>
      <c r="C51">
        <v>3</v>
      </c>
      <c r="D51" t="s">
        <v>45</v>
      </c>
      <c r="E51">
        <v>5</v>
      </c>
      <c r="F51" t="s">
        <v>210</v>
      </c>
      <c r="G51" t="s">
        <v>110</v>
      </c>
      <c r="H51" t="s">
        <v>443</v>
      </c>
      <c r="I51" t="s">
        <v>212</v>
      </c>
      <c r="J51" t="s">
        <v>213</v>
      </c>
      <c r="K51" t="s">
        <v>149</v>
      </c>
      <c r="M51" t="s">
        <v>76</v>
      </c>
      <c r="N51" t="s">
        <v>215</v>
      </c>
      <c r="O51" s="57">
        <v>46296.722210648149</v>
      </c>
      <c r="P51" s="57">
        <v>46302.78261574074</v>
      </c>
      <c r="Q51">
        <v>69399079</v>
      </c>
      <c r="S51">
        <v>172610305882</v>
      </c>
      <c r="T51" t="s">
        <v>909</v>
      </c>
      <c r="U51" t="s">
        <v>900</v>
      </c>
      <c r="V51" t="s">
        <v>960</v>
      </c>
      <c r="Z51">
        <v>119.010786571083</v>
      </c>
      <c r="AA51">
        <v>-8.5810439764457396</v>
      </c>
      <c r="AB51" t="s">
        <v>910</v>
      </c>
      <c r="AC51" t="s">
        <v>216</v>
      </c>
      <c r="AL51" t="s">
        <v>217</v>
      </c>
      <c r="AM51" t="s">
        <v>961</v>
      </c>
      <c r="AN51" t="s">
        <v>6</v>
      </c>
      <c r="AO51" s="57">
        <v>46032.726099537038</v>
      </c>
      <c r="AR51" t="s">
        <v>218</v>
      </c>
      <c r="AS51" t="s">
        <v>815</v>
      </c>
      <c r="AT51" t="s">
        <v>342</v>
      </c>
      <c r="AU51">
        <v>20261007</v>
      </c>
      <c r="AV51" t="s">
        <v>221</v>
      </c>
      <c r="AW51" t="s">
        <v>540</v>
      </c>
      <c r="AX51" t="s">
        <v>222</v>
      </c>
      <c r="BA51" s="57">
        <v>46296.291666666664</v>
      </c>
      <c r="BB51" t="s">
        <v>961</v>
      </c>
      <c r="BC51">
        <v>2026</v>
      </c>
      <c r="BD51">
        <v>10</v>
      </c>
      <c r="BE51">
        <v>7</v>
      </c>
      <c r="BF51" s="6">
        <f t="shared" si="0"/>
        <v>46302</v>
      </c>
      <c r="BG51">
        <f t="shared" si="1"/>
        <v>5.7083333333357587</v>
      </c>
      <c r="BH51" t="str">
        <f t="shared" si="2"/>
        <v>NOT COMPLY</v>
      </c>
      <c r="BI51" t="str">
        <f>VLOOKUP(H51,Sheet2!$A$1:$B$270,2,FALSE)</f>
        <v>BIMA</v>
      </c>
    </row>
    <row r="52" spans="1:61">
      <c r="A52">
        <v>51</v>
      </c>
      <c r="B52">
        <v>1002616820</v>
      </c>
      <c r="C52">
        <v>3</v>
      </c>
      <c r="D52" t="s">
        <v>45</v>
      </c>
      <c r="E52">
        <v>5</v>
      </c>
      <c r="F52" t="s">
        <v>210</v>
      </c>
      <c r="G52" t="s">
        <v>110</v>
      </c>
      <c r="H52" t="s">
        <v>467</v>
      </c>
      <c r="I52" t="s">
        <v>212</v>
      </c>
      <c r="J52" t="s">
        <v>213</v>
      </c>
      <c r="K52" t="s">
        <v>149</v>
      </c>
      <c r="L52" t="s">
        <v>214</v>
      </c>
      <c r="M52" t="s">
        <v>76</v>
      </c>
      <c r="N52" t="s">
        <v>215</v>
      </c>
      <c r="O52" s="57">
        <v>46296.30809027778</v>
      </c>
      <c r="P52" s="57">
        <v>46297.771481481483</v>
      </c>
      <c r="Q52">
        <v>69401995</v>
      </c>
      <c r="S52">
        <v>172617203143</v>
      </c>
      <c r="T52" t="s">
        <v>962</v>
      </c>
      <c r="U52" t="s">
        <v>963</v>
      </c>
      <c r="V52" t="s">
        <v>964</v>
      </c>
      <c r="Z52">
        <v>118.587181</v>
      </c>
      <c r="AA52">
        <v>-8.5123169999999995</v>
      </c>
      <c r="AB52" t="s">
        <v>965</v>
      </c>
      <c r="AC52" t="s">
        <v>235</v>
      </c>
      <c r="AL52" t="s">
        <v>217</v>
      </c>
      <c r="AM52" t="s">
        <v>966</v>
      </c>
      <c r="AN52" t="s">
        <v>6</v>
      </c>
      <c r="AO52" s="57">
        <v>46032.319768518515</v>
      </c>
      <c r="AP52" s="57">
        <v>46297.333333333336</v>
      </c>
      <c r="AR52" t="s">
        <v>218</v>
      </c>
      <c r="AS52" t="s">
        <v>815</v>
      </c>
      <c r="AT52" t="s">
        <v>220</v>
      </c>
      <c r="AU52">
        <v>20261002</v>
      </c>
      <c r="AV52" t="s">
        <v>221</v>
      </c>
      <c r="AW52" t="s">
        <v>871</v>
      </c>
      <c r="AX52" t="s">
        <v>222</v>
      </c>
      <c r="BA52" s="57">
        <v>46297.333333333336</v>
      </c>
      <c r="BB52" t="s">
        <v>966</v>
      </c>
      <c r="BC52">
        <v>2026</v>
      </c>
      <c r="BD52">
        <v>10</v>
      </c>
      <c r="BE52">
        <v>2</v>
      </c>
      <c r="BF52" s="6">
        <f t="shared" si="0"/>
        <v>46297</v>
      </c>
      <c r="BG52">
        <f t="shared" si="1"/>
        <v>-0.33333333333575865</v>
      </c>
      <c r="BH52" t="str">
        <f t="shared" si="2"/>
        <v>COMPLY</v>
      </c>
      <c r="BI52" t="str">
        <f>VLOOKUP(H52,Sheet2!$A$1:$B$270,2,FALSE)</f>
        <v>BIMA</v>
      </c>
    </row>
    <row r="53" spans="1:61">
      <c r="A53">
        <v>52</v>
      </c>
      <c r="B53">
        <v>1002620949</v>
      </c>
      <c r="C53">
        <v>3</v>
      </c>
      <c r="D53" t="s">
        <v>45</v>
      </c>
      <c r="E53">
        <v>5</v>
      </c>
      <c r="F53" t="s">
        <v>210</v>
      </c>
      <c r="G53" t="s">
        <v>110</v>
      </c>
      <c r="H53" t="s">
        <v>467</v>
      </c>
      <c r="I53" t="s">
        <v>212</v>
      </c>
      <c r="J53" t="s">
        <v>213</v>
      </c>
      <c r="K53" t="s">
        <v>149</v>
      </c>
      <c r="L53" t="s">
        <v>214</v>
      </c>
      <c r="M53" t="s">
        <v>238</v>
      </c>
      <c r="N53" t="s">
        <v>215</v>
      </c>
      <c r="O53" s="57">
        <v>46298.534421296295</v>
      </c>
      <c r="P53" s="57">
        <v>46298.537870370368</v>
      </c>
      <c r="Q53">
        <v>69403591</v>
      </c>
      <c r="S53">
        <v>172617203150</v>
      </c>
      <c r="T53" t="s">
        <v>1492</v>
      </c>
      <c r="U53" t="s">
        <v>1493</v>
      </c>
      <c r="V53" t="s">
        <v>1494</v>
      </c>
      <c r="Z53">
        <v>118.620157577097</v>
      </c>
      <c r="AA53">
        <v>-8.5052059632253307</v>
      </c>
      <c r="AB53" t="s">
        <v>1495</v>
      </c>
      <c r="AC53" t="s">
        <v>216</v>
      </c>
      <c r="AL53" t="s">
        <v>217</v>
      </c>
      <c r="AM53" t="s">
        <v>1496</v>
      </c>
      <c r="AN53" t="s">
        <v>6</v>
      </c>
      <c r="AO53" s="57">
        <v>46091.549074074072</v>
      </c>
      <c r="AP53" s="57">
        <v>46305.333333333336</v>
      </c>
      <c r="AR53" t="s">
        <v>239</v>
      </c>
      <c r="AS53" t="s">
        <v>815</v>
      </c>
      <c r="AT53" t="s">
        <v>220</v>
      </c>
      <c r="AV53" t="s">
        <v>238</v>
      </c>
      <c r="AW53" t="s">
        <v>871</v>
      </c>
      <c r="AX53" t="s">
        <v>222</v>
      </c>
      <c r="BA53" s="57">
        <v>46305.333333333336</v>
      </c>
      <c r="BB53" t="s">
        <v>1496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BIMA</v>
      </c>
    </row>
    <row r="54" spans="1:61">
      <c r="A54">
        <v>53</v>
      </c>
      <c r="B54">
        <v>1002625681</v>
      </c>
      <c r="C54">
        <v>3</v>
      </c>
      <c r="D54" t="s">
        <v>45</v>
      </c>
      <c r="E54">
        <v>5</v>
      </c>
      <c r="F54" t="s">
        <v>210</v>
      </c>
      <c r="G54" t="s">
        <v>110</v>
      </c>
      <c r="H54" t="s">
        <v>237</v>
      </c>
      <c r="I54" t="s">
        <v>212</v>
      </c>
      <c r="J54" t="s">
        <v>213</v>
      </c>
      <c r="K54" t="s">
        <v>149</v>
      </c>
      <c r="L54" t="s">
        <v>214</v>
      </c>
      <c r="M54" t="s">
        <v>839</v>
      </c>
      <c r="N54" t="s">
        <v>215</v>
      </c>
      <c r="O54" s="57">
        <v>46302.447002314817</v>
      </c>
      <c r="P54" s="57">
        <v>46303.343935185185</v>
      </c>
      <c r="Q54">
        <v>69405617</v>
      </c>
      <c r="S54">
        <v>172616790548</v>
      </c>
      <c r="T54" t="s">
        <v>3753</v>
      </c>
      <c r="U54" t="s">
        <v>3754</v>
      </c>
      <c r="V54" t="s">
        <v>3755</v>
      </c>
      <c r="Z54">
        <v>118.663235530257</v>
      </c>
      <c r="AA54">
        <v>-8.7472198442349196</v>
      </c>
      <c r="AB54" t="s">
        <v>3756</v>
      </c>
      <c r="AC54" t="s">
        <v>216</v>
      </c>
      <c r="AL54" t="s">
        <v>217</v>
      </c>
      <c r="AM54" t="s">
        <v>3757</v>
      </c>
      <c r="AN54" t="s">
        <v>6</v>
      </c>
      <c r="AO54" s="57">
        <v>46213.455231481479</v>
      </c>
      <c r="AP54" s="57">
        <v>46303.333333333336</v>
      </c>
      <c r="AR54" t="s">
        <v>1433</v>
      </c>
      <c r="AS54" t="s">
        <v>815</v>
      </c>
      <c r="AT54" t="s">
        <v>220</v>
      </c>
      <c r="AV54" t="s">
        <v>3758</v>
      </c>
      <c r="AW54" t="s">
        <v>871</v>
      </c>
      <c r="AX54" t="s">
        <v>222</v>
      </c>
      <c r="BA54" s="57">
        <v>46303.333333333336</v>
      </c>
      <c r="BB54" t="s">
        <v>3757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BIMA</v>
      </c>
    </row>
    <row r="55" spans="1:61">
      <c r="A55">
        <v>54</v>
      </c>
      <c r="B55">
        <v>1002623533</v>
      </c>
      <c r="C55">
        <v>3</v>
      </c>
      <c r="D55" t="s">
        <v>45</v>
      </c>
      <c r="E55">
        <v>5</v>
      </c>
      <c r="F55" t="s">
        <v>210</v>
      </c>
      <c r="G55" t="s">
        <v>110</v>
      </c>
      <c r="H55" t="s">
        <v>237</v>
      </c>
      <c r="I55" t="s">
        <v>212</v>
      </c>
      <c r="J55" t="s">
        <v>213</v>
      </c>
      <c r="K55" t="s">
        <v>149</v>
      </c>
      <c r="L55" t="s">
        <v>214</v>
      </c>
      <c r="M55" t="s">
        <v>1736</v>
      </c>
      <c r="N55" t="s">
        <v>215</v>
      </c>
      <c r="O55" s="57">
        <v>46301.380960648145</v>
      </c>
      <c r="P55" s="57">
        <v>46302.396099537036</v>
      </c>
      <c r="Q55">
        <v>69404708</v>
      </c>
      <c r="S55">
        <v>172616790349</v>
      </c>
      <c r="T55" t="s">
        <v>3161</v>
      </c>
      <c r="U55" t="s">
        <v>3162</v>
      </c>
      <c r="V55" t="s">
        <v>3163</v>
      </c>
      <c r="Z55">
        <v>118.681394420564</v>
      </c>
      <c r="AA55">
        <v>-8.5828923268358803</v>
      </c>
      <c r="AB55" t="s">
        <v>3164</v>
      </c>
      <c r="AC55" t="s">
        <v>216</v>
      </c>
      <c r="AL55" t="s">
        <v>217</v>
      </c>
      <c r="AM55" t="s">
        <v>3165</v>
      </c>
      <c r="AN55" t="s">
        <v>6</v>
      </c>
      <c r="AO55" s="57">
        <v>46183.392407407409</v>
      </c>
      <c r="AP55" s="57">
        <v>46302.333333333336</v>
      </c>
      <c r="AR55" t="s">
        <v>325</v>
      </c>
      <c r="AS55" t="s">
        <v>815</v>
      </c>
      <c r="AT55" t="s">
        <v>220</v>
      </c>
      <c r="AV55" t="s">
        <v>3166</v>
      </c>
      <c r="AW55" t="s">
        <v>1481</v>
      </c>
      <c r="AX55" t="s">
        <v>222</v>
      </c>
      <c r="BA55" s="57">
        <v>46302.333333333336</v>
      </c>
      <c r="BB55" t="s">
        <v>3165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BIMA</v>
      </c>
    </row>
    <row r="56" spans="1:61">
      <c r="A56">
        <v>55</v>
      </c>
      <c r="B56">
        <v>1002620771</v>
      </c>
      <c r="C56">
        <v>3</v>
      </c>
      <c r="D56" t="s">
        <v>45</v>
      </c>
      <c r="E56">
        <v>5</v>
      </c>
      <c r="F56" t="s">
        <v>210</v>
      </c>
      <c r="G56" t="s">
        <v>110</v>
      </c>
      <c r="H56" t="s">
        <v>311</v>
      </c>
      <c r="I56" t="s">
        <v>212</v>
      </c>
      <c r="J56" t="s">
        <v>213</v>
      </c>
      <c r="K56" t="s">
        <v>149</v>
      </c>
      <c r="M56" t="s">
        <v>836</v>
      </c>
      <c r="N56" t="s">
        <v>215</v>
      </c>
      <c r="O56" s="57">
        <v>46298.395844907405</v>
      </c>
      <c r="P56" s="57">
        <v>46300.461944444447</v>
      </c>
      <c r="Q56">
        <v>69397281</v>
      </c>
      <c r="S56">
        <v>172611786496</v>
      </c>
      <c r="T56" t="s">
        <v>1498</v>
      </c>
      <c r="U56" t="s">
        <v>1499</v>
      </c>
      <c r="V56" t="s">
        <v>1500</v>
      </c>
      <c r="Z56">
        <v>118.460014288861</v>
      </c>
      <c r="AA56">
        <v>-8.5409235837202893</v>
      </c>
      <c r="AB56" t="s">
        <v>1501</v>
      </c>
      <c r="AC56" t="s">
        <v>216</v>
      </c>
      <c r="AL56" t="s">
        <v>217</v>
      </c>
      <c r="AM56" t="s">
        <v>1502</v>
      </c>
      <c r="AN56" t="s">
        <v>6</v>
      </c>
      <c r="AO56" s="57">
        <v>46091.40283564815</v>
      </c>
      <c r="AR56" t="s">
        <v>14</v>
      </c>
      <c r="AS56" t="s">
        <v>557</v>
      </c>
      <c r="AT56" t="s">
        <v>230</v>
      </c>
      <c r="AV56" t="s">
        <v>837</v>
      </c>
      <c r="AW56" t="s">
        <v>559</v>
      </c>
      <c r="AX56" t="s">
        <v>222</v>
      </c>
      <c r="BA56" s="57">
        <v>46298.291666666664</v>
      </c>
      <c r="BB56" t="s">
        <v>1502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BIMA</v>
      </c>
    </row>
    <row r="57" spans="1:61">
      <c r="A57">
        <v>56</v>
      </c>
      <c r="B57">
        <v>1002622101</v>
      </c>
      <c r="C57">
        <v>3</v>
      </c>
      <c r="D57" t="s">
        <v>45</v>
      </c>
      <c r="E57">
        <v>5</v>
      </c>
      <c r="F57" t="s">
        <v>210</v>
      </c>
      <c r="G57" t="s">
        <v>110</v>
      </c>
      <c r="H57" t="s">
        <v>311</v>
      </c>
      <c r="I57" t="s">
        <v>212</v>
      </c>
      <c r="J57" t="s">
        <v>213</v>
      </c>
      <c r="K57" t="s">
        <v>149</v>
      </c>
      <c r="M57" t="s">
        <v>76</v>
      </c>
      <c r="N57" t="s">
        <v>215</v>
      </c>
      <c r="O57" s="57">
        <v>46300.463842592595</v>
      </c>
      <c r="P57" s="57">
        <v>46303.372407407405</v>
      </c>
      <c r="Q57">
        <v>69397281</v>
      </c>
      <c r="S57">
        <v>172611786511</v>
      </c>
      <c r="T57" t="s">
        <v>1498</v>
      </c>
      <c r="U57" t="s">
        <v>1499</v>
      </c>
      <c r="V57" t="s">
        <v>2546</v>
      </c>
      <c r="Z57">
        <v>118.4600214</v>
      </c>
      <c r="AA57">
        <v>-8.5408875999999996</v>
      </c>
      <c r="AB57" t="s">
        <v>1501</v>
      </c>
      <c r="AC57" t="s">
        <v>216</v>
      </c>
      <c r="AL57" t="s">
        <v>217</v>
      </c>
      <c r="AM57" t="s">
        <v>1502</v>
      </c>
      <c r="AN57" t="s">
        <v>6</v>
      </c>
      <c r="AO57" s="57">
        <v>46152.486157407409</v>
      </c>
      <c r="AR57" t="s">
        <v>218</v>
      </c>
      <c r="AS57" t="s">
        <v>557</v>
      </c>
      <c r="AT57" t="s">
        <v>230</v>
      </c>
      <c r="AU57">
        <v>20261008</v>
      </c>
      <c r="AV57" t="s">
        <v>221</v>
      </c>
      <c r="AW57" t="s">
        <v>539</v>
      </c>
      <c r="AX57" t="s">
        <v>222</v>
      </c>
      <c r="BA57" s="57">
        <v>46300.291666666664</v>
      </c>
      <c r="BB57" t="s">
        <v>1502</v>
      </c>
      <c r="BC57">
        <v>2026</v>
      </c>
      <c r="BD57">
        <v>10</v>
      </c>
      <c r="BE57">
        <v>8</v>
      </c>
      <c r="BF57" s="6">
        <f t="shared" si="0"/>
        <v>46303</v>
      </c>
      <c r="BG57">
        <f t="shared" si="1"/>
        <v>2.7083333333357587</v>
      </c>
      <c r="BH57" t="str">
        <f t="shared" si="2"/>
        <v>NOT COMPLY</v>
      </c>
      <c r="BI57" t="str">
        <f>VLOOKUP(H57,Sheet2!$A$1:$B$270,2,FALSE)</f>
        <v>BIMA</v>
      </c>
    </row>
    <row r="58" spans="1:61">
      <c r="A58">
        <v>57</v>
      </c>
      <c r="B58">
        <v>1002626867</v>
      </c>
      <c r="C58">
        <v>3</v>
      </c>
      <c r="D58" t="s">
        <v>45</v>
      </c>
      <c r="E58">
        <v>5</v>
      </c>
      <c r="F58" t="s">
        <v>210</v>
      </c>
      <c r="G58" t="s">
        <v>110</v>
      </c>
      <c r="H58" t="s">
        <v>311</v>
      </c>
      <c r="I58" t="s">
        <v>212</v>
      </c>
      <c r="J58" t="s">
        <v>213</v>
      </c>
      <c r="K58" t="s">
        <v>149</v>
      </c>
      <c r="L58" t="s">
        <v>214</v>
      </c>
      <c r="M58" t="s">
        <v>238</v>
      </c>
      <c r="N58" t="s">
        <v>215</v>
      </c>
      <c r="O58" s="57">
        <v>46302.724074074074</v>
      </c>
      <c r="P58" s="57">
        <v>46302.725011574075</v>
      </c>
      <c r="Q58">
        <v>69406130</v>
      </c>
      <c r="S58">
        <v>172611786522</v>
      </c>
      <c r="T58" t="s">
        <v>3759</v>
      </c>
      <c r="U58" t="s">
        <v>3760</v>
      </c>
      <c r="V58" t="s">
        <v>3761</v>
      </c>
      <c r="Z58">
        <v>118.4122572</v>
      </c>
      <c r="AA58">
        <v>-8.7550913000000001</v>
      </c>
      <c r="AB58" t="s">
        <v>3762</v>
      </c>
      <c r="AC58" t="s">
        <v>235</v>
      </c>
      <c r="AL58" t="s">
        <v>217</v>
      </c>
      <c r="AM58" t="s">
        <v>3763</v>
      </c>
      <c r="AN58" t="s">
        <v>6</v>
      </c>
      <c r="AO58" s="57">
        <v>46213.736238425925</v>
      </c>
      <c r="AP58" s="57">
        <v>46303.625</v>
      </c>
      <c r="AR58" t="s">
        <v>239</v>
      </c>
      <c r="AS58" t="s">
        <v>557</v>
      </c>
      <c r="AT58" t="s">
        <v>230</v>
      </c>
      <c r="AV58" t="s">
        <v>238</v>
      </c>
      <c r="AW58" t="s">
        <v>881</v>
      </c>
      <c r="AX58" t="s">
        <v>222</v>
      </c>
      <c r="BA58" s="57">
        <v>46303.625</v>
      </c>
      <c r="BB58" t="s">
        <v>3763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BIMA</v>
      </c>
    </row>
    <row r="59" spans="1:61">
      <c r="A59">
        <v>58</v>
      </c>
      <c r="B59">
        <v>1002616833</v>
      </c>
      <c r="C59">
        <v>3</v>
      </c>
      <c r="D59" t="s">
        <v>45</v>
      </c>
      <c r="E59">
        <v>5</v>
      </c>
      <c r="F59" t="s">
        <v>210</v>
      </c>
      <c r="G59" t="s">
        <v>118</v>
      </c>
      <c r="H59" t="s">
        <v>211</v>
      </c>
      <c r="I59" t="s">
        <v>212</v>
      </c>
      <c r="J59" t="s">
        <v>213</v>
      </c>
      <c r="K59" t="s">
        <v>149</v>
      </c>
      <c r="L59" t="s">
        <v>214</v>
      </c>
      <c r="M59" t="s">
        <v>1401</v>
      </c>
      <c r="N59" t="s">
        <v>215</v>
      </c>
      <c r="O59" s="57">
        <v>46296.328946759262</v>
      </c>
      <c r="P59" s="57">
        <v>46301.613287037035</v>
      </c>
      <c r="Q59">
        <v>69402001</v>
      </c>
      <c r="S59">
        <v>172606792351</v>
      </c>
      <c r="T59" t="s">
        <v>906</v>
      </c>
      <c r="U59" t="s">
        <v>967</v>
      </c>
      <c r="V59" t="s">
        <v>968</v>
      </c>
      <c r="Z59">
        <v>117.602678015828</v>
      </c>
      <c r="AA59">
        <v>-8.6273268453709395</v>
      </c>
      <c r="AB59" t="s">
        <v>969</v>
      </c>
      <c r="AC59" t="s">
        <v>216</v>
      </c>
      <c r="AL59" t="s">
        <v>217</v>
      </c>
      <c r="AM59" t="s">
        <v>970</v>
      </c>
      <c r="AN59" t="s">
        <v>6</v>
      </c>
      <c r="AO59" s="57">
        <v>46032.330370370371</v>
      </c>
      <c r="AP59" s="57">
        <v>46297.333333333336</v>
      </c>
      <c r="AQ59" t="s">
        <v>1497</v>
      </c>
      <c r="AR59" t="s">
        <v>14</v>
      </c>
      <c r="AS59" t="s">
        <v>219</v>
      </c>
      <c r="AT59" t="s">
        <v>342</v>
      </c>
      <c r="AV59" t="s">
        <v>2552</v>
      </c>
      <c r="AW59" t="s">
        <v>971</v>
      </c>
      <c r="AX59" t="s">
        <v>222</v>
      </c>
      <c r="BA59" s="57">
        <v>46297.333333333336</v>
      </c>
      <c r="BB59" t="s">
        <v>970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SUMBAWA</v>
      </c>
    </row>
    <row r="60" spans="1:61">
      <c r="A60">
        <v>59</v>
      </c>
      <c r="B60">
        <v>1002619534</v>
      </c>
      <c r="C60">
        <v>3</v>
      </c>
      <c r="D60" t="s">
        <v>45</v>
      </c>
      <c r="E60">
        <v>5</v>
      </c>
      <c r="F60" t="s">
        <v>210</v>
      </c>
      <c r="G60" t="s">
        <v>118</v>
      </c>
      <c r="H60" t="s">
        <v>211</v>
      </c>
      <c r="I60" t="s">
        <v>212</v>
      </c>
      <c r="J60" t="s">
        <v>213</v>
      </c>
      <c r="K60" t="s">
        <v>149</v>
      </c>
      <c r="L60" t="s">
        <v>214</v>
      </c>
      <c r="M60" t="s">
        <v>1401</v>
      </c>
      <c r="N60" t="s">
        <v>215</v>
      </c>
      <c r="O60" s="57">
        <v>46297.474062499998</v>
      </c>
      <c r="P60" s="57">
        <v>46299.392905092594</v>
      </c>
      <c r="Q60">
        <v>69402948</v>
      </c>
      <c r="S60">
        <v>172606792365</v>
      </c>
      <c r="T60" t="s">
        <v>1503</v>
      </c>
      <c r="U60" t="s">
        <v>1504</v>
      </c>
      <c r="V60" t="s">
        <v>1505</v>
      </c>
      <c r="Z60">
        <v>117.435237290834</v>
      </c>
      <c r="AA60">
        <v>-8.5304424068142204</v>
      </c>
      <c r="AB60" t="s">
        <v>1506</v>
      </c>
      <c r="AC60" t="s">
        <v>235</v>
      </c>
      <c r="AL60" t="s">
        <v>217</v>
      </c>
      <c r="AM60" t="s">
        <v>1507</v>
      </c>
      <c r="AN60" t="s">
        <v>6</v>
      </c>
      <c r="AO60" s="57">
        <v>46063.475972222222</v>
      </c>
      <c r="AP60" s="57">
        <v>46298.458333333336</v>
      </c>
      <c r="AR60" t="s">
        <v>14</v>
      </c>
      <c r="AS60" t="s">
        <v>219</v>
      </c>
      <c r="AT60" t="s">
        <v>230</v>
      </c>
      <c r="AV60" t="s">
        <v>1508</v>
      </c>
      <c r="AW60" t="s">
        <v>880</v>
      </c>
      <c r="AX60" t="s">
        <v>222</v>
      </c>
      <c r="BA60" s="57">
        <v>46298.458333333336</v>
      </c>
      <c r="BB60" t="s">
        <v>1507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SUMBAWA</v>
      </c>
    </row>
    <row r="61" spans="1:61">
      <c r="A61">
        <v>60</v>
      </c>
      <c r="B61">
        <v>1002621572</v>
      </c>
      <c r="C61">
        <v>3</v>
      </c>
      <c r="D61" t="s">
        <v>45</v>
      </c>
      <c r="E61">
        <v>5</v>
      </c>
      <c r="F61" t="s">
        <v>210</v>
      </c>
      <c r="G61" t="s">
        <v>118</v>
      </c>
      <c r="H61" t="s">
        <v>211</v>
      </c>
      <c r="I61" t="s">
        <v>212</v>
      </c>
      <c r="J61" t="s">
        <v>213</v>
      </c>
      <c r="K61" t="s">
        <v>149</v>
      </c>
      <c r="L61" t="s">
        <v>214</v>
      </c>
      <c r="M61" t="s">
        <v>1401</v>
      </c>
      <c r="N61" t="s">
        <v>215</v>
      </c>
      <c r="O61" s="57">
        <v>46300.345543981479</v>
      </c>
      <c r="P61" s="57">
        <v>46302.616180555553</v>
      </c>
      <c r="Q61">
        <v>69404019</v>
      </c>
      <c r="S61">
        <v>172606792406</v>
      </c>
      <c r="T61" t="s">
        <v>2553</v>
      </c>
      <c r="U61" t="s">
        <v>2548</v>
      </c>
      <c r="V61" t="s">
        <v>2554</v>
      </c>
      <c r="Z61">
        <v>117.6003386</v>
      </c>
      <c r="AA61">
        <v>-8.6272842999999995</v>
      </c>
      <c r="AB61" t="s">
        <v>2555</v>
      </c>
      <c r="AC61" t="s">
        <v>216</v>
      </c>
      <c r="AL61" t="s">
        <v>217</v>
      </c>
      <c r="AM61" t="s">
        <v>2551</v>
      </c>
      <c r="AN61" t="s">
        <v>6</v>
      </c>
      <c r="AO61" s="57">
        <v>46152.361574074072</v>
      </c>
      <c r="AP61" s="57">
        <v>46301.333333333336</v>
      </c>
      <c r="AQ61" t="s">
        <v>1497</v>
      </c>
      <c r="AR61" t="s">
        <v>14</v>
      </c>
      <c r="AS61" t="s">
        <v>219</v>
      </c>
      <c r="AT61" t="s">
        <v>220</v>
      </c>
      <c r="AV61" t="s">
        <v>3764</v>
      </c>
      <c r="AW61" t="s">
        <v>2556</v>
      </c>
      <c r="AX61" t="s">
        <v>222</v>
      </c>
      <c r="BA61" s="57">
        <v>46301.333333333336</v>
      </c>
      <c r="BB61" t="s">
        <v>2551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SUMBAWA</v>
      </c>
    </row>
    <row r="62" spans="1:61">
      <c r="A62">
        <v>61</v>
      </c>
      <c r="B62">
        <v>1002621758</v>
      </c>
      <c r="C62">
        <v>3</v>
      </c>
      <c r="D62" t="s">
        <v>45</v>
      </c>
      <c r="E62">
        <v>5</v>
      </c>
      <c r="F62" t="s">
        <v>210</v>
      </c>
      <c r="G62" t="s">
        <v>118</v>
      </c>
      <c r="H62" t="s">
        <v>211</v>
      </c>
      <c r="I62" t="s">
        <v>212</v>
      </c>
      <c r="J62" t="s">
        <v>213</v>
      </c>
      <c r="K62" t="s">
        <v>149</v>
      </c>
      <c r="L62" t="s">
        <v>214</v>
      </c>
      <c r="M62" t="s">
        <v>1401</v>
      </c>
      <c r="N62" t="s">
        <v>215</v>
      </c>
      <c r="O62" s="57">
        <v>46300.398368055554</v>
      </c>
      <c r="P62" s="57">
        <v>46302.548622685186</v>
      </c>
      <c r="Q62">
        <v>69404084</v>
      </c>
      <c r="S62">
        <v>172606792415</v>
      </c>
      <c r="T62" t="s">
        <v>2547</v>
      </c>
      <c r="U62" t="s">
        <v>2548</v>
      </c>
      <c r="V62" t="s">
        <v>2549</v>
      </c>
      <c r="Z62">
        <v>117.6003386</v>
      </c>
      <c r="AA62">
        <v>-8.6272842999999995</v>
      </c>
      <c r="AB62" t="s">
        <v>2550</v>
      </c>
      <c r="AC62" t="s">
        <v>216</v>
      </c>
      <c r="AL62" t="s">
        <v>217</v>
      </c>
      <c r="AM62" t="s">
        <v>2551</v>
      </c>
      <c r="AN62" t="s">
        <v>6</v>
      </c>
      <c r="AO62" s="57">
        <v>46152.40284722222</v>
      </c>
      <c r="AP62" s="57">
        <v>46301.333333333336</v>
      </c>
      <c r="AR62" t="s">
        <v>14</v>
      </c>
      <c r="AS62" t="s">
        <v>219</v>
      </c>
      <c r="AT62" t="s">
        <v>220</v>
      </c>
      <c r="AV62" t="s">
        <v>3167</v>
      </c>
      <c r="AW62" t="s">
        <v>1817</v>
      </c>
      <c r="AX62" t="s">
        <v>222</v>
      </c>
      <c r="BA62" s="57">
        <v>46301.333333333336</v>
      </c>
      <c r="BB62" t="s">
        <v>2551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SUMBAWA</v>
      </c>
    </row>
    <row r="63" spans="1:61">
      <c r="A63">
        <v>62</v>
      </c>
      <c r="B63">
        <v>1002624006</v>
      </c>
      <c r="C63">
        <v>3</v>
      </c>
      <c r="D63" t="s">
        <v>45</v>
      </c>
      <c r="E63">
        <v>5</v>
      </c>
      <c r="F63" t="s">
        <v>210</v>
      </c>
      <c r="G63" t="s">
        <v>118</v>
      </c>
      <c r="H63" t="s">
        <v>211</v>
      </c>
      <c r="I63" t="s">
        <v>212</v>
      </c>
      <c r="J63" t="s">
        <v>213</v>
      </c>
      <c r="K63" t="s">
        <v>149</v>
      </c>
      <c r="L63" t="s">
        <v>214</v>
      </c>
      <c r="M63" t="s">
        <v>1401</v>
      </c>
      <c r="N63" t="s">
        <v>215</v>
      </c>
      <c r="O63" s="57">
        <v>46301.476099537038</v>
      </c>
      <c r="P63" s="57">
        <v>46302.748171296298</v>
      </c>
      <c r="Q63">
        <v>69404909</v>
      </c>
      <c r="S63">
        <v>172606792754</v>
      </c>
      <c r="T63" t="s">
        <v>3168</v>
      </c>
      <c r="U63" t="s">
        <v>3169</v>
      </c>
      <c r="V63" t="s">
        <v>3170</v>
      </c>
      <c r="Z63">
        <v>117.426931299269</v>
      </c>
      <c r="AA63">
        <v>-8.5070943573789393</v>
      </c>
      <c r="AB63" t="s">
        <v>3171</v>
      </c>
      <c r="AC63" t="s">
        <v>216</v>
      </c>
      <c r="AL63" t="s">
        <v>217</v>
      </c>
      <c r="AM63" t="s">
        <v>3172</v>
      </c>
      <c r="AN63" t="s">
        <v>6</v>
      </c>
      <c r="AO63" s="57">
        <v>46183.486203703702</v>
      </c>
      <c r="AP63" s="57">
        <v>46302.333333333336</v>
      </c>
      <c r="AQ63" t="s">
        <v>1497</v>
      </c>
      <c r="AR63" t="s">
        <v>14</v>
      </c>
      <c r="AS63" t="s">
        <v>219</v>
      </c>
      <c r="AT63" t="s">
        <v>342</v>
      </c>
      <c r="AV63" t="s">
        <v>3765</v>
      </c>
      <c r="AW63" t="s">
        <v>3173</v>
      </c>
      <c r="AX63" t="s">
        <v>222</v>
      </c>
      <c r="BA63" s="57">
        <v>46302.333333333336</v>
      </c>
      <c r="BB63" t="s">
        <v>3172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SUMBAWA</v>
      </c>
    </row>
    <row r="64" spans="1:61">
      <c r="A64">
        <v>63</v>
      </c>
      <c r="B64">
        <v>1002619632</v>
      </c>
      <c r="C64">
        <v>3</v>
      </c>
      <c r="D64" t="s">
        <v>45</v>
      </c>
      <c r="E64">
        <v>5</v>
      </c>
      <c r="F64" t="s">
        <v>210</v>
      </c>
      <c r="G64" t="s">
        <v>118</v>
      </c>
      <c r="H64" t="s">
        <v>211</v>
      </c>
      <c r="I64" t="s">
        <v>212</v>
      </c>
      <c r="J64" t="s">
        <v>213</v>
      </c>
      <c r="K64" t="s">
        <v>149</v>
      </c>
      <c r="L64" t="s">
        <v>214</v>
      </c>
      <c r="M64" t="s">
        <v>224</v>
      </c>
      <c r="N64" t="s">
        <v>215</v>
      </c>
      <c r="O64" s="57">
        <v>46297.499016203707</v>
      </c>
      <c r="P64" s="57">
        <v>46298.467800925922</v>
      </c>
      <c r="Q64">
        <v>69403008</v>
      </c>
      <c r="S64">
        <v>172606792367</v>
      </c>
      <c r="T64" t="s">
        <v>1509</v>
      </c>
      <c r="U64" t="s">
        <v>1510</v>
      </c>
      <c r="V64" t="s">
        <v>1511</v>
      </c>
      <c r="Z64">
        <v>117.4945766</v>
      </c>
      <c r="AA64">
        <v>-8.5185905999999996</v>
      </c>
      <c r="AB64" t="s">
        <v>1512</v>
      </c>
      <c r="AC64" t="s">
        <v>235</v>
      </c>
      <c r="AL64" t="s">
        <v>217</v>
      </c>
      <c r="AM64" t="s">
        <v>1513</v>
      </c>
      <c r="AN64" t="s">
        <v>6</v>
      </c>
      <c r="AO64" s="57">
        <v>46063.507453703707</v>
      </c>
      <c r="AP64" s="57">
        <v>46298.458333333336</v>
      </c>
      <c r="AR64" t="s">
        <v>18</v>
      </c>
      <c r="AS64" t="s">
        <v>219</v>
      </c>
      <c r="AT64" t="s">
        <v>220</v>
      </c>
      <c r="AV64" t="s">
        <v>226</v>
      </c>
      <c r="AW64" t="s">
        <v>1514</v>
      </c>
      <c r="AX64" t="s">
        <v>222</v>
      </c>
      <c r="BA64" s="57">
        <v>46298.458333333336</v>
      </c>
      <c r="BB64" t="s">
        <v>1513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SUMBAWA</v>
      </c>
    </row>
    <row r="65" spans="1:61">
      <c r="A65">
        <v>64</v>
      </c>
      <c r="B65">
        <v>1002621752</v>
      </c>
      <c r="C65">
        <v>3</v>
      </c>
      <c r="D65" t="s">
        <v>45</v>
      </c>
      <c r="E65">
        <v>5</v>
      </c>
      <c r="F65" t="s">
        <v>210</v>
      </c>
      <c r="G65" t="s">
        <v>118</v>
      </c>
      <c r="H65" t="s">
        <v>211</v>
      </c>
      <c r="I65" t="s">
        <v>212</v>
      </c>
      <c r="J65" t="s">
        <v>213</v>
      </c>
      <c r="K65" t="s">
        <v>149</v>
      </c>
      <c r="L65" t="s">
        <v>214</v>
      </c>
      <c r="M65" t="s">
        <v>224</v>
      </c>
      <c r="N65" t="s">
        <v>215</v>
      </c>
      <c r="O65" s="57">
        <v>46300.397835648146</v>
      </c>
      <c r="P65" s="57">
        <v>46301.340694444443</v>
      </c>
      <c r="Q65">
        <v>69404084</v>
      </c>
      <c r="S65">
        <v>172606792415</v>
      </c>
      <c r="T65" t="s">
        <v>2547</v>
      </c>
      <c r="U65" t="s">
        <v>2548</v>
      </c>
      <c r="V65" t="s">
        <v>2549</v>
      </c>
      <c r="Z65">
        <v>117.6003386</v>
      </c>
      <c r="AA65">
        <v>-8.6272842999999995</v>
      </c>
      <c r="AB65" t="s">
        <v>2550</v>
      </c>
      <c r="AC65" t="s">
        <v>216</v>
      </c>
      <c r="AL65" t="s">
        <v>217</v>
      </c>
      <c r="AM65" t="s">
        <v>2551</v>
      </c>
      <c r="AN65" t="s">
        <v>6</v>
      </c>
      <c r="AO65" s="57">
        <v>46152.40284722222</v>
      </c>
      <c r="AP65" s="57">
        <v>46301.333333333336</v>
      </c>
      <c r="AR65" t="s">
        <v>18</v>
      </c>
      <c r="AS65" t="s">
        <v>219</v>
      </c>
      <c r="AT65" t="s">
        <v>220</v>
      </c>
      <c r="AV65" t="s">
        <v>226</v>
      </c>
      <c r="AW65" t="s">
        <v>1817</v>
      </c>
      <c r="AX65" t="s">
        <v>222</v>
      </c>
      <c r="BA65" s="57">
        <v>46301.333333333336</v>
      </c>
      <c r="BB65" t="s">
        <v>2551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SUMBAWA</v>
      </c>
    </row>
    <row r="66" spans="1:61">
      <c r="A66">
        <v>65</v>
      </c>
      <c r="B66">
        <v>1002627383</v>
      </c>
      <c r="C66">
        <v>3</v>
      </c>
      <c r="D66" t="s">
        <v>45</v>
      </c>
      <c r="E66">
        <v>5</v>
      </c>
      <c r="F66" t="s">
        <v>210</v>
      </c>
      <c r="G66" t="s">
        <v>118</v>
      </c>
      <c r="H66" t="s">
        <v>211</v>
      </c>
      <c r="I66" t="s">
        <v>212</v>
      </c>
      <c r="J66" t="s">
        <v>213</v>
      </c>
      <c r="K66" t="s">
        <v>149</v>
      </c>
      <c r="L66" t="s">
        <v>214</v>
      </c>
      <c r="M66" t="s">
        <v>542</v>
      </c>
      <c r="N66" t="s">
        <v>215</v>
      </c>
      <c r="O66" s="57">
        <v>46303.427835648145</v>
      </c>
      <c r="P66" s="57">
        <v>46303.427847222221</v>
      </c>
      <c r="Q66">
        <v>69385644</v>
      </c>
      <c r="T66" t="s">
        <v>3766</v>
      </c>
      <c r="V66" t="s">
        <v>3767</v>
      </c>
      <c r="Z66">
        <v>117.4004</v>
      </c>
      <c r="AA66">
        <v>-8.4700249999999997</v>
      </c>
      <c r="AB66" t="s">
        <v>3768</v>
      </c>
      <c r="AC66" t="s">
        <v>216</v>
      </c>
      <c r="AL66" t="s">
        <v>217</v>
      </c>
      <c r="AM66" t="s">
        <v>3769</v>
      </c>
      <c r="AN66" t="s">
        <v>6</v>
      </c>
      <c r="AO66" s="57">
        <v>46244.435104166667</v>
      </c>
      <c r="AP66" s="57">
        <v>46275</v>
      </c>
      <c r="AR66" t="s">
        <v>543</v>
      </c>
      <c r="AS66" t="s">
        <v>219</v>
      </c>
      <c r="AT66" t="s">
        <v>230</v>
      </c>
      <c r="AV66" t="s">
        <v>3770</v>
      </c>
      <c r="AW66" t="s">
        <v>3771</v>
      </c>
      <c r="AX66" t="s">
        <v>222</v>
      </c>
      <c r="BA66" s="57">
        <v>46275.333333333336</v>
      </c>
      <c r="BB66" t="s">
        <v>3769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SUMBAWA</v>
      </c>
    </row>
    <row r="67" spans="1:61">
      <c r="A67">
        <v>66</v>
      </c>
      <c r="B67">
        <v>1002621261</v>
      </c>
      <c r="C67">
        <v>3</v>
      </c>
      <c r="D67" t="s">
        <v>45</v>
      </c>
      <c r="E67">
        <v>5</v>
      </c>
      <c r="F67" t="s">
        <v>210</v>
      </c>
      <c r="G67" t="s">
        <v>118</v>
      </c>
      <c r="H67" t="s">
        <v>211</v>
      </c>
      <c r="I67" t="s">
        <v>212</v>
      </c>
      <c r="J67" t="s">
        <v>213</v>
      </c>
      <c r="K67" t="s">
        <v>149</v>
      </c>
      <c r="M67" t="s">
        <v>76</v>
      </c>
      <c r="N67" t="s">
        <v>215</v>
      </c>
      <c r="O67" s="57">
        <v>46299.392916666664</v>
      </c>
      <c r="P67" s="57">
        <v>46299.468842592592</v>
      </c>
      <c r="Q67">
        <v>69402948</v>
      </c>
      <c r="S67">
        <v>172606792357</v>
      </c>
      <c r="T67" t="s">
        <v>1503</v>
      </c>
      <c r="U67" t="s">
        <v>1515</v>
      </c>
      <c r="V67" t="s">
        <v>1516</v>
      </c>
      <c r="Z67">
        <v>117.4346771</v>
      </c>
      <c r="AA67">
        <v>-8.5247863000000006</v>
      </c>
      <c r="AB67" t="s">
        <v>1506</v>
      </c>
      <c r="AC67" t="s">
        <v>283</v>
      </c>
      <c r="AL67" t="s">
        <v>217</v>
      </c>
      <c r="AM67" t="s">
        <v>1517</v>
      </c>
      <c r="AN67" t="s">
        <v>6</v>
      </c>
      <c r="AO67" s="57">
        <v>46122.402604166666</v>
      </c>
      <c r="AR67" t="s">
        <v>218</v>
      </c>
      <c r="AS67" t="s">
        <v>219</v>
      </c>
      <c r="AT67" t="s">
        <v>230</v>
      </c>
      <c r="AU67">
        <v>20261004</v>
      </c>
      <c r="AV67" t="s">
        <v>221</v>
      </c>
      <c r="AW67" t="s">
        <v>1518</v>
      </c>
      <c r="AX67" t="s">
        <v>222</v>
      </c>
      <c r="BA67" s="57">
        <v>46299.291666666664</v>
      </c>
      <c r="BB67" t="s">
        <v>1517</v>
      </c>
      <c r="BC67">
        <v>2026</v>
      </c>
      <c r="BD67">
        <v>10</v>
      </c>
      <c r="BE67">
        <v>4</v>
      </c>
      <c r="BF67" s="6">
        <f t="shared" si="3"/>
        <v>46299</v>
      </c>
      <c r="BG67">
        <f t="shared" si="4"/>
        <v>-0.29166666666424135</v>
      </c>
      <c r="BH67" t="str">
        <f t="shared" si="5"/>
        <v>COMPLY</v>
      </c>
      <c r="BI67" t="str">
        <f>VLOOKUP(H67,Sheet2!$A$1:$B$270,2,FALSE)</f>
        <v>SUMBAWA</v>
      </c>
    </row>
    <row r="68" spans="1:61">
      <c r="A68">
        <v>67</v>
      </c>
      <c r="B68">
        <v>1002624610</v>
      </c>
      <c r="C68">
        <v>3</v>
      </c>
      <c r="D68" t="s">
        <v>45</v>
      </c>
      <c r="E68">
        <v>5</v>
      </c>
      <c r="F68" t="s">
        <v>210</v>
      </c>
      <c r="G68" t="s">
        <v>118</v>
      </c>
      <c r="H68" t="s">
        <v>211</v>
      </c>
      <c r="I68" t="s">
        <v>212</v>
      </c>
      <c r="J68" t="s">
        <v>213</v>
      </c>
      <c r="K68" t="s">
        <v>149</v>
      </c>
      <c r="M68" t="s">
        <v>76</v>
      </c>
      <c r="N68" t="s">
        <v>215</v>
      </c>
      <c r="O68" s="57">
        <v>46301.613298611112</v>
      </c>
      <c r="P68" s="57">
        <v>46301.715497685182</v>
      </c>
      <c r="Q68">
        <v>69402001</v>
      </c>
      <c r="S68">
        <v>172606792436</v>
      </c>
      <c r="T68" t="s">
        <v>906</v>
      </c>
      <c r="U68" t="s">
        <v>967</v>
      </c>
      <c r="V68" t="s">
        <v>3174</v>
      </c>
      <c r="Z68">
        <v>117.60266849999999</v>
      </c>
      <c r="AA68">
        <v>-8.6269598999999992</v>
      </c>
      <c r="AB68" t="s">
        <v>969</v>
      </c>
      <c r="AC68" t="s">
        <v>216</v>
      </c>
      <c r="AL68" t="s">
        <v>217</v>
      </c>
      <c r="AM68" t="s">
        <v>3175</v>
      </c>
      <c r="AN68" t="s">
        <v>6</v>
      </c>
      <c r="AO68" s="57">
        <v>46183.621979166666</v>
      </c>
      <c r="AR68" t="s">
        <v>218</v>
      </c>
      <c r="AS68" t="s">
        <v>219</v>
      </c>
      <c r="AT68" t="s">
        <v>342</v>
      </c>
      <c r="AU68">
        <v>20261006</v>
      </c>
      <c r="AV68" t="s">
        <v>221</v>
      </c>
      <c r="AW68" t="s">
        <v>3176</v>
      </c>
      <c r="AX68" t="s">
        <v>222</v>
      </c>
      <c r="BA68" s="57">
        <v>46301.291666666664</v>
      </c>
      <c r="BB68" t="s">
        <v>3175</v>
      </c>
      <c r="BC68">
        <v>2026</v>
      </c>
      <c r="BD68">
        <v>10</v>
      </c>
      <c r="BE68">
        <v>6</v>
      </c>
      <c r="BF68" s="6">
        <f t="shared" si="3"/>
        <v>46301</v>
      </c>
      <c r="BG68">
        <f t="shared" si="4"/>
        <v>-0.29166666666424135</v>
      </c>
      <c r="BH68" t="str">
        <f t="shared" si="5"/>
        <v>COMPLY</v>
      </c>
      <c r="BI68" t="str">
        <f>VLOOKUP(H68,Sheet2!$A$1:$B$270,2,FALSE)</f>
        <v>SUMBAWA</v>
      </c>
    </row>
    <row r="69" spans="1:61">
      <c r="A69">
        <v>68</v>
      </c>
      <c r="B69">
        <v>1002626070</v>
      </c>
      <c r="C69">
        <v>3</v>
      </c>
      <c r="D69" t="s">
        <v>45</v>
      </c>
      <c r="E69">
        <v>5</v>
      </c>
      <c r="F69" t="s">
        <v>210</v>
      </c>
      <c r="G69" t="s">
        <v>118</v>
      </c>
      <c r="H69" t="s">
        <v>211</v>
      </c>
      <c r="I69" t="s">
        <v>212</v>
      </c>
      <c r="J69" t="s">
        <v>213</v>
      </c>
      <c r="K69" t="s">
        <v>149</v>
      </c>
      <c r="M69" t="s">
        <v>76</v>
      </c>
      <c r="N69" t="s">
        <v>215</v>
      </c>
      <c r="O69" s="57">
        <v>46302.548622685186</v>
      </c>
      <c r="P69" s="57">
        <v>46302.637129629627</v>
      </c>
      <c r="Q69">
        <v>69404084</v>
      </c>
      <c r="S69">
        <v>172606792762</v>
      </c>
      <c r="T69" t="s">
        <v>2547</v>
      </c>
      <c r="U69" t="s">
        <v>3772</v>
      </c>
      <c r="V69" t="s">
        <v>3773</v>
      </c>
      <c r="Z69">
        <v>117.588707</v>
      </c>
      <c r="AA69">
        <v>-8.620196</v>
      </c>
      <c r="AB69" t="s">
        <v>2550</v>
      </c>
      <c r="AC69" t="s">
        <v>216</v>
      </c>
      <c r="AL69" t="s">
        <v>217</v>
      </c>
      <c r="AM69" t="s">
        <v>3774</v>
      </c>
      <c r="AN69" t="s">
        <v>6</v>
      </c>
      <c r="AO69" s="57">
        <v>46213.559548611112</v>
      </c>
      <c r="AR69" t="s">
        <v>218</v>
      </c>
      <c r="AS69" t="s">
        <v>219</v>
      </c>
      <c r="AT69" t="s">
        <v>220</v>
      </c>
      <c r="AU69">
        <v>20261007</v>
      </c>
      <c r="AV69" t="s">
        <v>221</v>
      </c>
      <c r="AW69" t="s">
        <v>541</v>
      </c>
      <c r="AX69" t="s">
        <v>222</v>
      </c>
      <c r="BA69" s="57">
        <v>46302.291666666664</v>
      </c>
      <c r="BB69" t="s">
        <v>3774</v>
      </c>
      <c r="BC69">
        <v>2026</v>
      </c>
      <c r="BD69">
        <v>10</v>
      </c>
      <c r="BE69">
        <v>7</v>
      </c>
      <c r="BF69" s="6">
        <f t="shared" si="3"/>
        <v>46302</v>
      </c>
      <c r="BG69">
        <f t="shared" si="4"/>
        <v>-0.29166666666424135</v>
      </c>
      <c r="BH69" t="str">
        <f t="shared" si="5"/>
        <v>COMPLY</v>
      </c>
      <c r="BI69" t="str">
        <f>VLOOKUP(H69,Sheet2!$A$1:$B$270,2,FALSE)</f>
        <v>SUMBAWA</v>
      </c>
    </row>
    <row r="70" spans="1:61">
      <c r="A70">
        <v>69</v>
      </c>
      <c r="B70">
        <v>1002626433</v>
      </c>
      <c r="C70">
        <v>3</v>
      </c>
      <c r="D70" t="s">
        <v>45</v>
      </c>
      <c r="E70">
        <v>5</v>
      </c>
      <c r="F70" t="s">
        <v>210</v>
      </c>
      <c r="G70" t="s">
        <v>118</v>
      </c>
      <c r="H70" t="s">
        <v>211</v>
      </c>
      <c r="I70" t="s">
        <v>212</v>
      </c>
      <c r="J70" t="s">
        <v>213</v>
      </c>
      <c r="K70" t="s">
        <v>149</v>
      </c>
      <c r="M70" t="s">
        <v>76</v>
      </c>
      <c r="N70" t="s">
        <v>215</v>
      </c>
      <c r="O70" s="57">
        <v>46302.616180555553</v>
      </c>
      <c r="P70" s="57">
        <v>46303.258449074077</v>
      </c>
      <c r="Q70">
        <v>69404019</v>
      </c>
      <c r="S70">
        <v>172606792766</v>
      </c>
      <c r="T70" t="s">
        <v>2553</v>
      </c>
      <c r="U70" t="s">
        <v>3775</v>
      </c>
      <c r="V70" t="s">
        <v>3776</v>
      </c>
      <c r="Z70">
        <v>117.604780196159</v>
      </c>
      <c r="AA70">
        <v>-8.6363258239345502</v>
      </c>
      <c r="AB70" t="s">
        <v>2555</v>
      </c>
      <c r="AC70" t="s">
        <v>216</v>
      </c>
      <c r="AL70" t="s">
        <v>217</v>
      </c>
      <c r="AM70" t="s">
        <v>3774</v>
      </c>
      <c r="AN70" t="s">
        <v>6</v>
      </c>
      <c r="AO70" s="57">
        <v>46213.621770833335</v>
      </c>
      <c r="AR70" t="s">
        <v>218</v>
      </c>
      <c r="AS70" t="s">
        <v>219</v>
      </c>
      <c r="AT70" t="s">
        <v>220</v>
      </c>
      <c r="AU70">
        <v>20261008</v>
      </c>
      <c r="AV70" t="s">
        <v>221</v>
      </c>
      <c r="AW70" t="s">
        <v>540</v>
      </c>
      <c r="AX70" t="s">
        <v>222</v>
      </c>
      <c r="BA70" s="57">
        <v>46302.291666666664</v>
      </c>
      <c r="BB70" t="s">
        <v>3774</v>
      </c>
      <c r="BC70">
        <v>2026</v>
      </c>
      <c r="BD70">
        <v>10</v>
      </c>
      <c r="BE70">
        <v>8</v>
      </c>
      <c r="BF70" s="6">
        <f t="shared" si="3"/>
        <v>46303</v>
      </c>
      <c r="BG70">
        <f t="shared" si="4"/>
        <v>0.70833333333575865</v>
      </c>
      <c r="BH70" t="str">
        <f t="shared" si="5"/>
        <v>COMPLY</v>
      </c>
      <c r="BI70" t="str">
        <f>VLOOKUP(H70,Sheet2!$A$1:$B$270,2,FALSE)</f>
        <v>SUMBAWA</v>
      </c>
    </row>
    <row r="71" spans="1:61">
      <c r="A71">
        <v>70</v>
      </c>
      <c r="B71">
        <v>1002626893</v>
      </c>
      <c r="C71">
        <v>3</v>
      </c>
      <c r="D71" t="s">
        <v>45</v>
      </c>
      <c r="E71">
        <v>5</v>
      </c>
      <c r="F71" t="s">
        <v>210</v>
      </c>
      <c r="G71" t="s">
        <v>118</v>
      </c>
      <c r="H71" t="s">
        <v>211</v>
      </c>
      <c r="I71" t="s">
        <v>212</v>
      </c>
      <c r="J71" t="s">
        <v>213</v>
      </c>
      <c r="K71" t="s">
        <v>149</v>
      </c>
      <c r="M71" t="s">
        <v>76</v>
      </c>
      <c r="N71" t="s">
        <v>215</v>
      </c>
      <c r="O71" s="57">
        <v>46302.748171296298</v>
      </c>
      <c r="P71" s="57">
        <v>46303.258923611109</v>
      </c>
      <c r="Q71">
        <v>69404909</v>
      </c>
      <c r="S71">
        <v>172606792769</v>
      </c>
      <c r="T71" t="s">
        <v>3168</v>
      </c>
      <c r="U71" t="s">
        <v>3777</v>
      </c>
      <c r="V71" t="s">
        <v>3778</v>
      </c>
      <c r="Z71">
        <v>117.4269103</v>
      </c>
      <c r="AA71">
        <v>-8.5049208000000007</v>
      </c>
      <c r="AB71" t="s">
        <v>3171</v>
      </c>
      <c r="AC71" t="s">
        <v>216</v>
      </c>
      <c r="AL71" t="s">
        <v>217</v>
      </c>
      <c r="AM71" t="s">
        <v>3422</v>
      </c>
      <c r="AN71" t="s">
        <v>6</v>
      </c>
      <c r="AO71" s="57">
        <v>46213.767291666663</v>
      </c>
      <c r="AR71" t="s">
        <v>218</v>
      </c>
      <c r="AS71" t="s">
        <v>219</v>
      </c>
      <c r="AT71" t="s">
        <v>342</v>
      </c>
      <c r="AU71">
        <v>20261008</v>
      </c>
      <c r="AV71" t="s">
        <v>221</v>
      </c>
      <c r="AW71" t="s">
        <v>2400</v>
      </c>
      <c r="AX71" t="s">
        <v>222</v>
      </c>
      <c r="BA71" s="57">
        <v>46302.291666666664</v>
      </c>
      <c r="BB71" t="s">
        <v>3422</v>
      </c>
      <c r="BC71">
        <v>2026</v>
      </c>
      <c r="BD71">
        <v>10</v>
      </c>
      <c r="BE71">
        <v>8</v>
      </c>
      <c r="BF71" s="6">
        <f t="shared" si="3"/>
        <v>46303</v>
      </c>
      <c r="BG71">
        <f t="shared" si="4"/>
        <v>0.70833333333575865</v>
      </c>
      <c r="BH71" t="str">
        <f t="shared" si="5"/>
        <v>COMPLY</v>
      </c>
      <c r="BI71" t="str">
        <f>VLOOKUP(H71,Sheet2!$A$1:$B$270,2,FALSE)</f>
        <v>SUMBAWA</v>
      </c>
    </row>
    <row r="72" spans="1:61">
      <c r="A72">
        <v>71</v>
      </c>
      <c r="B72">
        <v>1002627218</v>
      </c>
      <c r="C72">
        <v>3</v>
      </c>
      <c r="D72" t="s">
        <v>45</v>
      </c>
      <c r="E72">
        <v>5</v>
      </c>
      <c r="F72" t="s">
        <v>210</v>
      </c>
      <c r="G72" t="s">
        <v>118</v>
      </c>
      <c r="H72" t="s">
        <v>211</v>
      </c>
      <c r="I72" t="s">
        <v>212</v>
      </c>
      <c r="J72" t="s">
        <v>213</v>
      </c>
      <c r="K72" t="s">
        <v>149</v>
      </c>
      <c r="L72" t="s">
        <v>214</v>
      </c>
      <c r="M72" t="s">
        <v>238</v>
      </c>
      <c r="N72" t="s">
        <v>215</v>
      </c>
      <c r="O72" s="57">
        <v>46303.392835648148</v>
      </c>
      <c r="P72" s="57">
        <v>46303.394513888888</v>
      </c>
      <c r="Q72">
        <v>69406274</v>
      </c>
      <c r="S72">
        <v>172606792772</v>
      </c>
      <c r="T72" t="s">
        <v>3779</v>
      </c>
      <c r="U72" t="s">
        <v>3780</v>
      </c>
      <c r="V72" t="s">
        <v>3781</v>
      </c>
      <c r="Z72">
        <v>117.489897315614</v>
      </c>
      <c r="AA72">
        <v>-8.5244711568872802</v>
      </c>
      <c r="AB72" t="s">
        <v>3782</v>
      </c>
      <c r="AC72" t="s">
        <v>235</v>
      </c>
      <c r="AL72" t="s">
        <v>217</v>
      </c>
      <c r="AM72" t="s">
        <v>3783</v>
      </c>
      <c r="AN72" t="s">
        <v>6</v>
      </c>
      <c r="AO72" s="57">
        <v>46244.403275462966</v>
      </c>
      <c r="AP72" s="57">
        <v>46304.625</v>
      </c>
      <c r="AR72" t="s">
        <v>239</v>
      </c>
      <c r="AS72" t="s">
        <v>219</v>
      </c>
      <c r="AT72" t="s">
        <v>342</v>
      </c>
      <c r="AV72" t="s">
        <v>238</v>
      </c>
      <c r="AW72" t="s">
        <v>3416</v>
      </c>
      <c r="AX72" t="s">
        <v>222</v>
      </c>
      <c r="BA72" s="57">
        <v>46304.625</v>
      </c>
      <c r="BB72" t="s">
        <v>3783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SUMBAWA</v>
      </c>
    </row>
    <row r="73" spans="1:61">
      <c r="A73">
        <v>72</v>
      </c>
      <c r="B73">
        <v>1002617985</v>
      </c>
      <c r="C73">
        <v>3</v>
      </c>
      <c r="D73" t="s">
        <v>45</v>
      </c>
      <c r="E73">
        <v>5</v>
      </c>
      <c r="F73" t="s">
        <v>210</v>
      </c>
      <c r="G73" t="s">
        <v>118</v>
      </c>
      <c r="H73" t="s">
        <v>476</v>
      </c>
      <c r="I73" t="s">
        <v>212</v>
      </c>
      <c r="J73" t="s">
        <v>213</v>
      </c>
      <c r="K73" t="s">
        <v>149</v>
      </c>
      <c r="L73" t="s">
        <v>214</v>
      </c>
      <c r="M73" t="s">
        <v>76</v>
      </c>
      <c r="N73" t="s">
        <v>215</v>
      </c>
      <c r="O73" s="57">
        <v>46296.582407407404</v>
      </c>
      <c r="P73" s="57">
        <v>46297.718738425923</v>
      </c>
      <c r="Q73">
        <v>69402415</v>
      </c>
      <c r="S73">
        <v>172607203876</v>
      </c>
      <c r="T73" t="s">
        <v>972</v>
      </c>
      <c r="U73" t="s">
        <v>973</v>
      </c>
      <c r="V73" t="s">
        <v>974</v>
      </c>
      <c r="Z73">
        <v>116.84393909611801</v>
      </c>
      <c r="AA73">
        <v>-8.5645946796152597</v>
      </c>
      <c r="AB73" t="s">
        <v>975</v>
      </c>
      <c r="AC73" t="s">
        <v>235</v>
      </c>
      <c r="AL73" t="s">
        <v>217</v>
      </c>
      <c r="AM73" t="s">
        <v>976</v>
      </c>
      <c r="AN73" t="s">
        <v>6</v>
      </c>
      <c r="AO73" s="57">
        <v>46032.590474537035</v>
      </c>
      <c r="AP73" s="57">
        <v>46297.458333333336</v>
      </c>
      <c r="AR73" t="s">
        <v>218</v>
      </c>
      <c r="AS73" t="s">
        <v>813</v>
      </c>
      <c r="AT73" t="s">
        <v>230</v>
      </c>
      <c r="AU73">
        <v>20261002</v>
      </c>
      <c r="AV73" t="s">
        <v>221</v>
      </c>
      <c r="AW73" t="s">
        <v>923</v>
      </c>
      <c r="AX73" t="s">
        <v>222</v>
      </c>
      <c r="BA73" s="57">
        <v>46297.458333333336</v>
      </c>
      <c r="BB73" t="s">
        <v>976</v>
      </c>
      <c r="BC73">
        <v>2026</v>
      </c>
      <c r="BD73">
        <v>10</v>
      </c>
      <c r="BE73">
        <v>2</v>
      </c>
      <c r="BF73" s="6">
        <f t="shared" si="3"/>
        <v>46297</v>
      </c>
      <c r="BG73">
        <f t="shared" si="4"/>
        <v>-0.45833333333575865</v>
      </c>
      <c r="BH73" t="str">
        <f t="shared" si="5"/>
        <v>COMPLY</v>
      </c>
      <c r="BI73" t="str">
        <f>VLOOKUP(H73,Sheet2!$A$1:$B$270,2,FALSE)</f>
        <v>SUMBAWA</v>
      </c>
    </row>
    <row r="74" spans="1:61">
      <c r="A74">
        <v>73</v>
      </c>
      <c r="B74">
        <v>1002620649</v>
      </c>
      <c r="C74">
        <v>3</v>
      </c>
      <c r="D74" t="s">
        <v>45</v>
      </c>
      <c r="E74">
        <v>5</v>
      </c>
      <c r="F74" t="s">
        <v>210</v>
      </c>
      <c r="G74" t="s">
        <v>118</v>
      </c>
      <c r="H74" t="s">
        <v>452</v>
      </c>
      <c r="I74" t="s">
        <v>212</v>
      </c>
      <c r="J74" t="s">
        <v>213</v>
      </c>
      <c r="K74" t="s">
        <v>149</v>
      </c>
      <c r="L74" t="s">
        <v>214</v>
      </c>
      <c r="M74" t="s">
        <v>76</v>
      </c>
      <c r="N74" t="s">
        <v>215</v>
      </c>
      <c r="O74" s="57">
        <v>46297.79074074074</v>
      </c>
      <c r="P74" s="57">
        <v>46300.296574074076</v>
      </c>
      <c r="Q74">
        <v>69403408</v>
      </c>
      <c r="S74">
        <v>172608206628</v>
      </c>
      <c r="T74" t="s">
        <v>1520</v>
      </c>
      <c r="U74" t="s">
        <v>1521</v>
      </c>
      <c r="V74" t="s">
        <v>1522</v>
      </c>
      <c r="Z74">
        <v>116.751770424765</v>
      </c>
      <c r="AA74">
        <v>-8.9187890974864601</v>
      </c>
      <c r="AB74" t="s">
        <v>1523</v>
      </c>
      <c r="AC74" t="s">
        <v>235</v>
      </c>
      <c r="AL74" t="s">
        <v>217</v>
      </c>
      <c r="AM74" t="s">
        <v>1524</v>
      </c>
      <c r="AN74" t="s">
        <v>6</v>
      </c>
      <c r="AO74" s="57">
        <v>46063.819363425922</v>
      </c>
      <c r="AP74" s="57">
        <v>46298.625</v>
      </c>
      <c r="AR74" t="s">
        <v>218</v>
      </c>
      <c r="AS74" t="s">
        <v>1519</v>
      </c>
      <c r="AT74" t="s">
        <v>230</v>
      </c>
      <c r="AU74">
        <v>20261005</v>
      </c>
      <c r="AV74" t="s">
        <v>221</v>
      </c>
      <c r="AW74" t="s">
        <v>881</v>
      </c>
      <c r="AX74" t="s">
        <v>222</v>
      </c>
      <c r="BA74" s="57">
        <v>46298.625</v>
      </c>
      <c r="BB74" t="s">
        <v>1524</v>
      </c>
      <c r="BC74">
        <v>2026</v>
      </c>
      <c r="BD74">
        <v>10</v>
      </c>
      <c r="BE74">
        <v>5</v>
      </c>
      <c r="BF74" s="6">
        <f t="shared" si="3"/>
        <v>46300</v>
      </c>
      <c r="BG74">
        <f t="shared" si="4"/>
        <v>1.375</v>
      </c>
      <c r="BH74" t="str">
        <f t="shared" si="5"/>
        <v>NOT COMPLY</v>
      </c>
      <c r="BI74" t="str">
        <f>VLOOKUP(H74,Sheet2!$A$1:$B$270,2,FALSE)</f>
        <v>SUMBAWA</v>
      </c>
    </row>
    <row r="75" spans="1:61">
      <c r="A75">
        <v>74</v>
      </c>
      <c r="B75">
        <v>1002622507</v>
      </c>
      <c r="C75">
        <v>3</v>
      </c>
      <c r="D75" t="s">
        <v>45</v>
      </c>
      <c r="E75">
        <v>5</v>
      </c>
      <c r="F75" t="s">
        <v>210</v>
      </c>
      <c r="G75" t="s">
        <v>118</v>
      </c>
      <c r="H75" t="s">
        <v>452</v>
      </c>
      <c r="I75" t="s">
        <v>212</v>
      </c>
      <c r="J75" t="s">
        <v>213</v>
      </c>
      <c r="K75" t="s">
        <v>149</v>
      </c>
      <c r="M75" t="s">
        <v>76</v>
      </c>
      <c r="N75" t="s">
        <v>215</v>
      </c>
      <c r="O75" s="57">
        <v>46300.576863425929</v>
      </c>
      <c r="P75" s="57">
        <v>46300.715173611112</v>
      </c>
      <c r="Q75">
        <v>69399142</v>
      </c>
      <c r="S75">
        <v>172608206634</v>
      </c>
      <c r="T75" t="s">
        <v>2557</v>
      </c>
      <c r="U75" t="s">
        <v>2558</v>
      </c>
      <c r="V75" t="s">
        <v>2559</v>
      </c>
      <c r="Z75">
        <v>116.75177650000001</v>
      </c>
      <c r="AA75">
        <v>-8.9184563000000008</v>
      </c>
      <c r="AB75" t="s">
        <v>2560</v>
      </c>
      <c r="AC75" t="s">
        <v>229</v>
      </c>
      <c r="AL75" t="s">
        <v>217</v>
      </c>
      <c r="AM75" t="s">
        <v>2561</v>
      </c>
      <c r="AN75" t="s">
        <v>6</v>
      </c>
      <c r="AO75" s="57">
        <v>46152.601203703707</v>
      </c>
      <c r="AR75" t="s">
        <v>218</v>
      </c>
      <c r="AS75" t="s">
        <v>1519</v>
      </c>
      <c r="AT75" t="s">
        <v>342</v>
      </c>
      <c r="AU75">
        <v>20261005</v>
      </c>
      <c r="AV75" t="s">
        <v>221</v>
      </c>
      <c r="AW75" t="s">
        <v>1572</v>
      </c>
      <c r="AX75" t="s">
        <v>222</v>
      </c>
      <c r="BA75" s="57">
        <v>46300.291666666664</v>
      </c>
      <c r="BB75" t="s">
        <v>2561</v>
      </c>
      <c r="BC75">
        <v>2026</v>
      </c>
      <c r="BD75">
        <v>10</v>
      </c>
      <c r="BE75">
        <v>5</v>
      </c>
      <c r="BF75" s="6">
        <f t="shared" si="3"/>
        <v>46300</v>
      </c>
      <c r="BG75">
        <f t="shared" si="4"/>
        <v>-0.29166666666424135</v>
      </c>
      <c r="BH75" t="str">
        <f t="shared" si="5"/>
        <v>COMPLY</v>
      </c>
      <c r="BI75" t="str">
        <f>VLOOKUP(H75,Sheet2!$A$1:$B$270,2,FALSE)</f>
        <v>SUMBAWA</v>
      </c>
    </row>
    <row r="76" spans="1:61">
      <c r="A76">
        <v>75</v>
      </c>
      <c r="B76">
        <v>1002625288</v>
      </c>
      <c r="C76">
        <v>3</v>
      </c>
      <c r="D76" t="s">
        <v>45</v>
      </c>
      <c r="E76">
        <v>5</v>
      </c>
      <c r="F76" t="s">
        <v>210</v>
      </c>
      <c r="G76" t="s">
        <v>118</v>
      </c>
      <c r="H76" t="s">
        <v>276</v>
      </c>
      <c r="I76" t="s">
        <v>212</v>
      </c>
      <c r="J76" t="s">
        <v>213</v>
      </c>
      <c r="K76" t="s">
        <v>149</v>
      </c>
      <c r="L76" t="s">
        <v>214</v>
      </c>
      <c r="M76" t="s">
        <v>1401</v>
      </c>
      <c r="N76" t="s">
        <v>215</v>
      </c>
      <c r="O76" s="57">
        <v>46302.349699074075</v>
      </c>
      <c r="P76" s="57">
        <v>46303.385034722225</v>
      </c>
      <c r="Q76">
        <v>69405468</v>
      </c>
      <c r="S76">
        <v>172610203842</v>
      </c>
      <c r="T76" t="s">
        <v>3784</v>
      </c>
      <c r="U76" t="s">
        <v>3785</v>
      </c>
      <c r="V76" t="s">
        <v>3786</v>
      </c>
      <c r="Z76">
        <v>116.842750534415</v>
      </c>
      <c r="AA76">
        <v>-8.7436147819127594</v>
      </c>
      <c r="AB76" t="s">
        <v>3787</v>
      </c>
      <c r="AC76" t="s">
        <v>216</v>
      </c>
      <c r="AL76" t="s">
        <v>217</v>
      </c>
      <c r="AM76" t="s">
        <v>3788</v>
      </c>
      <c r="AN76" t="s">
        <v>6</v>
      </c>
      <c r="AO76" s="57">
        <v>46213.351041666669</v>
      </c>
      <c r="AP76" s="57">
        <v>46303.333333333336</v>
      </c>
      <c r="AR76" t="s">
        <v>14</v>
      </c>
      <c r="AS76" t="s">
        <v>1519</v>
      </c>
      <c r="AT76" t="s">
        <v>342</v>
      </c>
      <c r="AV76" t="s">
        <v>3789</v>
      </c>
      <c r="AW76" t="s">
        <v>3173</v>
      </c>
      <c r="AX76" t="s">
        <v>222</v>
      </c>
      <c r="BA76" s="57">
        <v>46303.333333333336</v>
      </c>
      <c r="BB76" t="s">
        <v>3788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SUMBAWA</v>
      </c>
    </row>
    <row r="77" spans="1:61">
      <c r="A77">
        <v>76</v>
      </c>
      <c r="B77">
        <v>1002627181</v>
      </c>
      <c r="C77">
        <v>3</v>
      </c>
      <c r="D77" t="s">
        <v>45</v>
      </c>
      <c r="E77">
        <v>5</v>
      </c>
      <c r="F77" t="s">
        <v>210</v>
      </c>
      <c r="G77" t="s">
        <v>118</v>
      </c>
      <c r="H77" t="s">
        <v>276</v>
      </c>
      <c r="I77" t="s">
        <v>212</v>
      </c>
      <c r="J77" t="s">
        <v>213</v>
      </c>
      <c r="K77" t="s">
        <v>149</v>
      </c>
      <c r="M77" t="s">
        <v>224</v>
      </c>
      <c r="N77" t="s">
        <v>215</v>
      </c>
      <c r="O77" s="57">
        <v>46303.385081018518</v>
      </c>
      <c r="P77" s="57">
        <v>46303.390034722222</v>
      </c>
      <c r="Q77">
        <v>69405468</v>
      </c>
      <c r="S77">
        <v>172610203851</v>
      </c>
      <c r="T77" t="s">
        <v>3784</v>
      </c>
      <c r="U77" t="s">
        <v>3790</v>
      </c>
      <c r="V77" t="s">
        <v>3791</v>
      </c>
      <c r="Z77">
        <v>116.862162352071</v>
      </c>
      <c r="AA77">
        <v>-8.6282748840081993</v>
      </c>
      <c r="AB77" t="s">
        <v>3787</v>
      </c>
      <c r="AC77" t="s">
        <v>216</v>
      </c>
      <c r="AL77" t="s">
        <v>217</v>
      </c>
      <c r="AM77" t="s">
        <v>3792</v>
      </c>
      <c r="AN77" t="s">
        <v>6</v>
      </c>
      <c r="AO77" s="57">
        <v>46244.392905092594</v>
      </c>
      <c r="AR77" t="s">
        <v>18</v>
      </c>
      <c r="AS77" t="s">
        <v>1519</v>
      </c>
      <c r="AT77" t="s">
        <v>342</v>
      </c>
      <c r="AV77" t="s">
        <v>226</v>
      </c>
      <c r="AW77" t="s">
        <v>540</v>
      </c>
      <c r="AX77" t="s">
        <v>222</v>
      </c>
      <c r="BA77" s="57">
        <v>46303.291666666664</v>
      </c>
      <c r="BB77" t="s">
        <v>3792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SUMBAWA</v>
      </c>
    </row>
    <row r="78" spans="1:61">
      <c r="A78">
        <v>77</v>
      </c>
      <c r="B78">
        <v>1002627389</v>
      </c>
      <c r="C78">
        <v>3</v>
      </c>
      <c r="D78" t="s">
        <v>45</v>
      </c>
      <c r="E78">
        <v>5</v>
      </c>
      <c r="F78" t="s">
        <v>210</v>
      </c>
      <c r="G78" t="s">
        <v>118</v>
      </c>
      <c r="H78" t="s">
        <v>276</v>
      </c>
      <c r="I78" t="s">
        <v>212</v>
      </c>
      <c r="J78" t="s">
        <v>213</v>
      </c>
      <c r="K78" t="s">
        <v>149</v>
      </c>
      <c r="M78" t="s">
        <v>542</v>
      </c>
      <c r="N78" t="s">
        <v>215</v>
      </c>
      <c r="O78" s="57">
        <v>46303.428935185184</v>
      </c>
      <c r="P78" s="57">
        <v>46303.428935185184</v>
      </c>
      <c r="Q78">
        <v>69398557</v>
      </c>
      <c r="T78" t="s">
        <v>3793</v>
      </c>
      <c r="V78" t="s">
        <v>3794</v>
      </c>
      <c r="Z78">
        <v>116.86499999999999</v>
      </c>
      <c r="AA78">
        <v>-8.6239000000000008</v>
      </c>
      <c r="AB78" t="s">
        <v>3795</v>
      </c>
      <c r="AC78" t="s">
        <v>283</v>
      </c>
      <c r="AL78" t="s">
        <v>217</v>
      </c>
      <c r="AM78" t="s">
        <v>3796</v>
      </c>
      <c r="AN78" t="s">
        <v>6</v>
      </c>
      <c r="AO78" s="57">
        <v>46244.435104166667</v>
      </c>
      <c r="AP78" s="57">
        <v>46294</v>
      </c>
      <c r="AR78" t="s">
        <v>543</v>
      </c>
      <c r="AS78" t="s">
        <v>1519</v>
      </c>
      <c r="AT78" t="s">
        <v>342</v>
      </c>
      <c r="AV78" t="s">
        <v>3797</v>
      </c>
      <c r="AW78" t="s">
        <v>1593</v>
      </c>
      <c r="AX78" t="s">
        <v>222</v>
      </c>
      <c r="BA78" s="57">
        <v>46294.333333333336</v>
      </c>
      <c r="BB78" t="s">
        <v>3796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SUMBAWA</v>
      </c>
    </row>
    <row r="79" spans="1:61">
      <c r="A79">
        <v>78</v>
      </c>
      <c r="B79">
        <v>1002627397</v>
      </c>
      <c r="C79">
        <v>3</v>
      </c>
      <c r="D79" t="s">
        <v>45</v>
      </c>
      <c r="E79">
        <v>5</v>
      </c>
      <c r="F79" t="s">
        <v>210</v>
      </c>
      <c r="G79" t="s">
        <v>118</v>
      </c>
      <c r="H79" t="s">
        <v>276</v>
      </c>
      <c r="I79" t="s">
        <v>212</v>
      </c>
      <c r="J79" t="s">
        <v>213</v>
      </c>
      <c r="K79" t="s">
        <v>149</v>
      </c>
      <c r="M79" t="s">
        <v>542</v>
      </c>
      <c r="N79" t="s">
        <v>215</v>
      </c>
      <c r="O79" s="57">
        <v>46303.43</v>
      </c>
      <c r="P79" s="57">
        <v>46303.430011574077</v>
      </c>
      <c r="Q79">
        <v>69398560</v>
      </c>
      <c r="T79" t="s">
        <v>3798</v>
      </c>
      <c r="V79" t="s">
        <v>3799</v>
      </c>
      <c r="Z79">
        <v>116.86509</v>
      </c>
      <c r="AA79">
        <v>-8.6242900000000002</v>
      </c>
      <c r="AB79" t="s">
        <v>3800</v>
      </c>
      <c r="AC79" t="s">
        <v>283</v>
      </c>
      <c r="AL79" t="s">
        <v>217</v>
      </c>
      <c r="AM79" t="s">
        <v>3796</v>
      </c>
      <c r="AN79" t="s">
        <v>6</v>
      </c>
      <c r="AO79" s="57">
        <v>46244.435104166667</v>
      </c>
      <c r="AP79" s="57">
        <v>46294</v>
      </c>
      <c r="AR79" t="s">
        <v>543</v>
      </c>
      <c r="AS79" t="s">
        <v>1519</v>
      </c>
      <c r="AT79" t="s">
        <v>342</v>
      </c>
      <c r="AV79" t="s">
        <v>3801</v>
      </c>
      <c r="AW79" t="s">
        <v>3025</v>
      </c>
      <c r="AX79" t="s">
        <v>222</v>
      </c>
      <c r="BA79" s="57">
        <v>46294.333333333336</v>
      </c>
      <c r="BB79" t="s">
        <v>3796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SUMBAWA</v>
      </c>
    </row>
    <row r="80" spans="1:61">
      <c r="A80">
        <v>79</v>
      </c>
      <c r="B80">
        <v>1002622594</v>
      </c>
      <c r="C80">
        <v>3</v>
      </c>
      <c r="D80" t="s">
        <v>45</v>
      </c>
      <c r="E80">
        <v>5</v>
      </c>
      <c r="F80" t="s">
        <v>210</v>
      </c>
      <c r="G80" t="s">
        <v>118</v>
      </c>
      <c r="H80" t="s">
        <v>276</v>
      </c>
      <c r="I80" t="s">
        <v>212</v>
      </c>
      <c r="J80" t="s">
        <v>213</v>
      </c>
      <c r="K80" t="s">
        <v>149</v>
      </c>
      <c r="M80" t="s">
        <v>76</v>
      </c>
      <c r="N80" t="s">
        <v>215</v>
      </c>
      <c r="O80" s="57">
        <v>46300.589548611111</v>
      </c>
      <c r="P80" s="57">
        <v>46300.792557870373</v>
      </c>
      <c r="Q80">
        <v>69401045</v>
      </c>
      <c r="S80">
        <v>172610203835</v>
      </c>
      <c r="T80" t="s">
        <v>2562</v>
      </c>
      <c r="U80" t="s">
        <v>2563</v>
      </c>
      <c r="V80" t="s">
        <v>2564</v>
      </c>
      <c r="Z80">
        <v>116.8507429</v>
      </c>
      <c r="AA80">
        <v>-8.7357896000000004</v>
      </c>
      <c r="AB80" t="s">
        <v>2565</v>
      </c>
      <c r="AC80" t="s">
        <v>229</v>
      </c>
      <c r="AL80" t="s">
        <v>217</v>
      </c>
      <c r="AM80" t="s">
        <v>2566</v>
      </c>
      <c r="AN80" t="s">
        <v>6</v>
      </c>
      <c r="AO80" s="57">
        <v>46152.601203703707</v>
      </c>
      <c r="AR80" t="s">
        <v>218</v>
      </c>
      <c r="AS80" t="s">
        <v>1519</v>
      </c>
      <c r="AT80" t="s">
        <v>342</v>
      </c>
      <c r="AU80">
        <v>20261005</v>
      </c>
      <c r="AV80" t="s">
        <v>221</v>
      </c>
      <c r="AW80" t="s">
        <v>540</v>
      </c>
      <c r="AX80" t="s">
        <v>222</v>
      </c>
      <c r="BA80" s="57">
        <v>46300.291666666664</v>
      </c>
      <c r="BB80" t="s">
        <v>2566</v>
      </c>
      <c r="BC80">
        <v>2026</v>
      </c>
      <c r="BD80">
        <v>10</v>
      </c>
      <c r="BE80">
        <v>5</v>
      </c>
      <c r="BF80" s="6">
        <f t="shared" si="3"/>
        <v>46300</v>
      </c>
      <c r="BG80">
        <f t="shared" si="4"/>
        <v>-0.29166666666424135</v>
      </c>
      <c r="BH80" t="str">
        <f t="shared" si="5"/>
        <v>COMPLY</v>
      </c>
      <c r="BI80" t="str">
        <f>VLOOKUP(H80,Sheet2!$A$1:$B$270,2,FALSE)</f>
        <v>SUMBAWA</v>
      </c>
    </row>
    <row r="81" spans="1:61">
      <c r="A81">
        <v>80</v>
      </c>
      <c r="B81">
        <v>1002625106</v>
      </c>
      <c r="C81">
        <v>3</v>
      </c>
      <c r="D81" t="s">
        <v>45</v>
      </c>
      <c r="E81">
        <v>5</v>
      </c>
      <c r="F81" t="s">
        <v>210</v>
      </c>
      <c r="G81" t="s">
        <v>118</v>
      </c>
      <c r="H81" t="s">
        <v>276</v>
      </c>
      <c r="I81" t="s">
        <v>212</v>
      </c>
      <c r="J81" t="s">
        <v>213</v>
      </c>
      <c r="K81" t="s">
        <v>149</v>
      </c>
      <c r="L81" t="s">
        <v>214</v>
      </c>
      <c r="M81" t="s">
        <v>76</v>
      </c>
      <c r="N81" t="s">
        <v>215</v>
      </c>
      <c r="O81" s="57">
        <v>46301.722673611112</v>
      </c>
      <c r="P81" s="57">
        <v>46302.552094907405</v>
      </c>
      <c r="Q81">
        <v>69405356</v>
      </c>
      <c r="S81">
        <v>172610203839</v>
      </c>
      <c r="T81" t="s">
        <v>3177</v>
      </c>
      <c r="U81" t="s">
        <v>3178</v>
      </c>
      <c r="V81" t="s">
        <v>3179</v>
      </c>
      <c r="Z81">
        <v>116.863120655256</v>
      </c>
      <c r="AA81">
        <v>-8.7576621950468692</v>
      </c>
      <c r="AB81" t="s">
        <v>3180</v>
      </c>
      <c r="AC81" t="s">
        <v>235</v>
      </c>
      <c r="AL81" t="s">
        <v>217</v>
      </c>
      <c r="AM81" t="s">
        <v>3181</v>
      </c>
      <c r="AN81" t="s">
        <v>6</v>
      </c>
      <c r="AO81" s="57">
        <v>46183.725902777776</v>
      </c>
      <c r="AP81" s="57">
        <v>46302.625</v>
      </c>
      <c r="AR81" t="s">
        <v>218</v>
      </c>
      <c r="AS81" t="s">
        <v>1519</v>
      </c>
      <c r="AT81" t="s">
        <v>220</v>
      </c>
      <c r="AU81">
        <v>20261007</v>
      </c>
      <c r="AV81" t="s">
        <v>221</v>
      </c>
      <c r="AW81" t="s">
        <v>1303</v>
      </c>
      <c r="AX81" t="s">
        <v>222</v>
      </c>
      <c r="BA81" s="57">
        <v>46302.625</v>
      </c>
      <c r="BB81" t="s">
        <v>3181</v>
      </c>
      <c r="BC81">
        <v>2026</v>
      </c>
      <c r="BD81">
        <v>10</v>
      </c>
      <c r="BE81">
        <v>7</v>
      </c>
      <c r="BF81" s="6">
        <f t="shared" si="3"/>
        <v>46302</v>
      </c>
      <c r="BG81">
        <f t="shared" si="4"/>
        <v>-0.625</v>
      </c>
      <c r="BH81" t="str">
        <f t="shared" si="5"/>
        <v>COMPLY</v>
      </c>
      <c r="BI81" t="str">
        <f>VLOOKUP(H81,Sheet2!$A$1:$B$270,2,FALSE)</f>
        <v>SUMBAWA</v>
      </c>
    </row>
    <row r="82" spans="1:61">
      <c r="A82">
        <v>81</v>
      </c>
      <c r="B82">
        <v>1002626149</v>
      </c>
      <c r="C82">
        <v>3</v>
      </c>
      <c r="D82" t="s">
        <v>45</v>
      </c>
      <c r="E82">
        <v>5</v>
      </c>
      <c r="F82" t="s">
        <v>210</v>
      </c>
      <c r="G82" t="s">
        <v>118</v>
      </c>
      <c r="H82" t="s">
        <v>276</v>
      </c>
      <c r="I82" t="s">
        <v>212</v>
      </c>
      <c r="J82" t="s">
        <v>213</v>
      </c>
      <c r="K82" t="s">
        <v>149</v>
      </c>
      <c r="L82" t="s">
        <v>214</v>
      </c>
      <c r="M82" t="s">
        <v>238</v>
      </c>
      <c r="N82" t="s">
        <v>215</v>
      </c>
      <c r="O82" s="57">
        <v>46302.563657407409</v>
      </c>
      <c r="P82" s="57">
        <v>46302.565347222226</v>
      </c>
      <c r="Q82">
        <v>69405858</v>
      </c>
      <c r="S82">
        <v>172610203846</v>
      </c>
      <c r="T82" t="s">
        <v>3784</v>
      </c>
      <c r="U82" t="s">
        <v>3802</v>
      </c>
      <c r="V82" t="s">
        <v>3803</v>
      </c>
      <c r="Z82">
        <v>116.844043010522</v>
      </c>
      <c r="AA82">
        <v>-8.7439580667454493</v>
      </c>
      <c r="AB82" t="s">
        <v>3804</v>
      </c>
      <c r="AC82" t="s">
        <v>235</v>
      </c>
      <c r="AL82" t="s">
        <v>217</v>
      </c>
      <c r="AM82" t="s">
        <v>3805</v>
      </c>
      <c r="AN82" t="s">
        <v>6</v>
      </c>
      <c r="AO82" s="57">
        <v>46213.56962962963</v>
      </c>
      <c r="AP82" s="57">
        <v>46303.458333333336</v>
      </c>
      <c r="AR82" t="s">
        <v>239</v>
      </c>
      <c r="AS82" t="s">
        <v>1519</v>
      </c>
      <c r="AT82" t="s">
        <v>342</v>
      </c>
      <c r="AV82" t="s">
        <v>238</v>
      </c>
      <c r="AW82" t="s">
        <v>821</v>
      </c>
      <c r="AX82" t="s">
        <v>222</v>
      </c>
      <c r="BA82" s="57">
        <v>46303.458333333336</v>
      </c>
      <c r="BB82" t="s">
        <v>3805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SUMBAWA</v>
      </c>
    </row>
    <row r="83" spans="1:61">
      <c r="A83">
        <v>82</v>
      </c>
      <c r="B83">
        <v>1002620982</v>
      </c>
      <c r="C83">
        <v>3</v>
      </c>
      <c r="D83" t="s">
        <v>38</v>
      </c>
      <c r="E83">
        <v>5</v>
      </c>
      <c r="F83" t="s">
        <v>247</v>
      </c>
      <c r="G83" t="s">
        <v>91</v>
      </c>
      <c r="H83" t="s">
        <v>509</v>
      </c>
      <c r="I83" t="s">
        <v>212</v>
      </c>
      <c r="J83" t="s">
        <v>213</v>
      </c>
      <c r="K83" t="s">
        <v>149</v>
      </c>
      <c r="L83" t="s">
        <v>214</v>
      </c>
      <c r="M83" t="s">
        <v>76</v>
      </c>
      <c r="N83" t="s">
        <v>215</v>
      </c>
      <c r="O83" s="57">
        <v>46298.553935185184</v>
      </c>
      <c r="P83" s="57">
        <v>46298.706574074073</v>
      </c>
      <c r="Q83">
        <v>69403613</v>
      </c>
      <c r="S83">
        <v>152725202847</v>
      </c>
      <c r="T83" t="s">
        <v>1525</v>
      </c>
      <c r="U83" t="s">
        <v>1526</v>
      </c>
      <c r="V83" t="s">
        <v>1527</v>
      </c>
      <c r="Z83">
        <v>112.89444</v>
      </c>
      <c r="AA83">
        <v>-8.222963</v>
      </c>
      <c r="AB83" t="s">
        <v>1528</v>
      </c>
      <c r="AC83" t="s">
        <v>235</v>
      </c>
      <c r="AL83" t="s">
        <v>217</v>
      </c>
      <c r="AM83" t="s">
        <v>1529</v>
      </c>
      <c r="AN83" t="s">
        <v>6</v>
      </c>
      <c r="AO83" s="57">
        <v>46091.559224537035</v>
      </c>
      <c r="AP83" s="57">
        <v>46299.625</v>
      </c>
      <c r="AR83" t="s">
        <v>218</v>
      </c>
      <c r="AS83" t="s">
        <v>219</v>
      </c>
      <c r="AT83" t="s">
        <v>342</v>
      </c>
      <c r="AU83">
        <v>20261003</v>
      </c>
      <c r="AV83" t="s">
        <v>221</v>
      </c>
      <c r="AW83" t="s">
        <v>1530</v>
      </c>
      <c r="AX83" t="s">
        <v>222</v>
      </c>
      <c r="BA83" s="57">
        <v>46299.625</v>
      </c>
      <c r="BB83" t="s">
        <v>1529</v>
      </c>
      <c r="BC83">
        <v>2026</v>
      </c>
      <c r="BD83">
        <v>10</v>
      </c>
      <c r="BE83">
        <v>3</v>
      </c>
      <c r="BF83" s="6">
        <f t="shared" si="3"/>
        <v>46298</v>
      </c>
      <c r="BG83">
        <f t="shared" si="4"/>
        <v>-1.625</v>
      </c>
      <c r="BH83" t="str">
        <f t="shared" si="5"/>
        <v>COMPLY</v>
      </c>
      <c r="BI83" t="str">
        <f>VLOOKUP(H83,Sheet2!$A$1:$B$270,2,FALSE)</f>
        <v>MALANG</v>
      </c>
    </row>
    <row r="84" spans="1:61">
      <c r="A84">
        <v>83</v>
      </c>
      <c r="B84">
        <v>1002618893</v>
      </c>
      <c r="C84">
        <v>3</v>
      </c>
      <c r="D84" t="s">
        <v>38</v>
      </c>
      <c r="E84">
        <v>5</v>
      </c>
      <c r="F84" t="s">
        <v>247</v>
      </c>
      <c r="G84" t="s">
        <v>91</v>
      </c>
      <c r="H84" t="s">
        <v>512</v>
      </c>
      <c r="I84" t="s">
        <v>212</v>
      </c>
      <c r="J84" t="s">
        <v>213</v>
      </c>
      <c r="K84" t="s">
        <v>149</v>
      </c>
      <c r="L84" t="s">
        <v>214</v>
      </c>
      <c r="M84" t="s">
        <v>1401</v>
      </c>
      <c r="N84" t="s">
        <v>215</v>
      </c>
      <c r="O84" s="57">
        <v>46297.336574074077</v>
      </c>
      <c r="P84" s="57">
        <v>46300.567395833335</v>
      </c>
      <c r="Q84">
        <v>69402682</v>
      </c>
      <c r="S84">
        <v>152712204186</v>
      </c>
      <c r="T84" t="s">
        <v>1531</v>
      </c>
      <c r="U84" t="s">
        <v>1532</v>
      </c>
      <c r="V84" t="s">
        <v>1533</v>
      </c>
      <c r="Z84">
        <v>112.78721</v>
      </c>
      <c r="AA84">
        <v>-8.2437489999999993</v>
      </c>
      <c r="AB84" t="s">
        <v>1534</v>
      </c>
      <c r="AC84" t="s">
        <v>235</v>
      </c>
      <c r="AL84" t="s">
        <v>217</v>
      </c>
      <c r="AM84" t="s">
        <v>1535</v>
      </c>
      <c r="AN84" t="s">
        <v>6</v>
      </c>
      <c r="AO84" s="57">
        <v>46063.351053240738</v>
      </c>
      <c r="AP84" s="57">
        <v>46298.333333333336</v>
      </c>
      <c r="AR84" t="s">
        <v>14</v>
      </c>
      <c r="AS84" t="s">
        <v>565</v>
      </c>
      <c r="AT84" t="s">
        <v>230</v>
      </c>
      <c r="AV84" t="s">
        <v>2567</v>
      </c>
      <c r="AW84" t="s">
        <v>882</v>
      </c>
      <c r="AX84" t="s">
        <v>222</v>
      </c>
      <c r="BA84" s="57">
        <v>46298.333333333336</v>
      </c>
      <c r="BB84" t="s">
        <v>1535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MALANG</v>
      </c>
    </row>
    <row r="85" spans="1:61">
      <c r="A85">
        <v>84</v>
      </c>
      <c r="B85">
        <v>1002622457</v>
      </c>
      <c r="C85">
        <v>3</v>
      </c>
      <c r="D85" t="s">
        <v>38</v>
      </c>
      <c r="E85">
        <v>5</v>
      </c>
      <c r="F85" t="s">
        <v>247</v>
      </c>
      <c r="G85" t="s">
        <v>91</v>
      </c>
      <c r="H85" t="s">
        <v>512</v>
      </c>
      <c r="I85" t="s">
        <v>212</v>
      </c>
      <c r="J85" t="s">
        <v>213</v>
      </c>
      <c r="K85" t="s">
        <v>149</v>
      </c>
      <c r="M85" t="s">
        <v>76</v>
      </c>
      <c r="N85" t="s">
        <v>215</v>
      </c>
      <c r="O85" s="57">
        <v>46300.567407407405</v>
      </c>
      <c r="P85" s="57">
        <v>46300.737083333333</v>
      </c>
      <c r="Q85">
        <v>69402682</v>
      </c>
      <c r="S85">
        <v>152712204736</v>
      </c>
      <c r="T85" t="s">
        <v>1531</v>
      </c>
      <c r="U85" t="s">
        <v>2568</v>
      </c>
      <c r="V85" t="s">
        <v>2569</v>
      </c>
      <c r="Z85">
        <v>112.77079580038</v>
      </c>
      <c r="AA85">
        <v>-8.2404786967026897</v>
      </c>
      <c r="AB85" t="s">
        <v>1534</v>
      </c>
      <c r="AC85" t="s">
        <v>229</v>
      </c>
      <c r="AL85" t="s">
        <v>217</v>
      </c>
      <c r="AM85" t="s">
        <v>2570</v>
      </c>
      <c r="AN85" t="s">
        <v>6</v>
      </c>
      <c r="AO85" s="57">
        <v>46152.569618055553</v>
      </c>
      <c r="AR85" t="s">
        <v>218</v>
      </c>
      <c r="AS85" t="s">
        <v>565</v>
      </c>
      <c r="AT85" t="s">
        <v>230</v>
      </c>
      <c r="AU85">
        <v>20261005</v>
      </c>
      <c r="AV85" t="s">
        <v>221</v>
      </c>
      <c r="AW85" t="s">
        <v>540</v>
      </c>
      <c r="AX85" t="s">
        <v>222</v>
      </c>
      <c r="BA85" s="57">
        <v>46300.291666666664</v>
      </c>
      <c r="BB85" t="s">
        <v>2570</v>
      </c>
      <c r="BC85">
        <v>2026</v>
      </c>
      <c r="BD85">
        <v>10</v>
      </c>
      <c r="BE85">
        <v>5</v>
      </c>
      <c r="BF85" s="6">
        <f t="shared" si="3"/>
        <v>46300</v>
      </c>
      <c r="BG85">
        <f t="shared" si="4"/>
        <v>-0.29166666666424135</v>
      </c>
      <c r="BH85" t="str">
        <f t="shared" si="5"/>
        <v>COMPLY</v>
      </c>
      <c r="BI85" t="str">
        <f>VLOOKUP(H85,Sheet2!$A$1:$B$270,2,FALSE)</f>
        <v>MALANG</v>
      </c>
    </row>
    <row r="86" spans="1:61">
      <c r="A86">
        <v>85</v>
      </c>
      <c r="B86">
        <v>1002621409</v>
      </c>
      <c r="C86">
        <v>3</v>
      </c>
      <c r="D86" t="s">
        <v>38</v>
      </c>
      <c r="E86">
        <v>5</v>
      </c>
      <c r="F86" t="s">
        <v>247</v>
      </c>
      <c r="G86" t="s">
        <v>91</v>
      </c>
      <c r="H86" t="s">
        <v>410</v>
      </c>
      <c r="I86" t="s">
        <v>212</v>
      </c>
      <c r="J86" t="s">
        <v>213</v>
      </c>
      <c r="K86" t="s">
        <v>149</v>
      </c>
      <c r="L86" t="s">
        <v>214</v>
      </c>
      <c r="M86" t="s">
        <v>76</v>
      </c>
      <c r="N86" t="s">
        <v>215</v>
      </c>
      <c r="O86" s="57">
        <v>46299.584444444445</v>
      </c>
      <c r="P86" s="57">
        <v>46300.720891203702</v>
      </c>
      <c r="Q86">
        <v>69403909</v>
      </c>
      <c r="S86">
        <v>152715213491</v>
      </c>
      <c r="T86" t="s">
        <v>1536</v>
      </c>
      <c r="U86" t="s">
        <v>1537</v>
      </c>
      <c r="V86" t="s">
        <v>1538</v>
      </c>
      <c r="Z86">
        <v>112.618283712253</v>
      </c>
      <c r="AA86">
        <v>-8.19984535891885</v>
      </c>
      <c r="AB86" t="s">
        <v>1539</v>
      </c>
      <c r="AC86" t="s">
        <v>235</v>
      </c>
      <c r="AL86" t="s">
        <v>217</v>
      </c>
      <c r="AM86" t="s">
        <v>1540</v>
      </c>
      <c r="AN86" t="s">
        <v>6</v>
      </c>
      <c r="AO86" s="57">
        <v>46122.590717592589</v>
      </c>
      <c r="AP86" s="57">
        <v>46300.458333333336</v>
      </c>
      <c r="AR86" t="s">
        <v>218</v>
      </c>
      <c r="AS86" t="s">
        <v>565</v>
      </c>
      <c r="AT86" t="s">
        <v>230</v>
      </c>
      <c r="AU86">
        <v>20261005</v>
      </c>
      <c r="AV86" t="s">
        <v>221</v>
      </c>
      <c r="AW86" t="s">
        <v>877</v>
      </c>
      <c r="AX86" t="s">
        <v>222</v>
      </c>
      <c r="BA86" s="57">
        <v>46300.458333333336</v>
      </c>
      <c r="BB86" t="s">
        <v>1540</v>
      </c>
      <c r="BC86">
        <v>2026</v>
      </c>
      <c r="BD86">
        <v>10</v>
      </c>
      <c r="BE86">
        <v>5</v>
      </c>
      <c r="BF86" s="6">
        <f t="shared" si="3"/>
        <v>46300</v>
      </c>
      <c r="BG86">
        <f t="shared" si="4"/>
        <v>-0.45833333333575865</v>
      </c>
      <c r="BH86" t="str">
        <f t="shared" si="5"/>
        <v>COMPLY</v>
      </c>
      <c r="BI86" t="str">
        <f>VLOOKUP(H86,Sheet2!$A$1:$B$270,2,FALSE)</f>
        <v>MALANG</v>
      </c>
    </row>
    <row r="87" spans="1:61">
      <c r="A87">
        <v>86</v>
      </c>
      <c r="B87">
        <v>1002619454</v>
      </c>
      <c r="C87">
        <v>3</v>
      </c>
      <c r="D87" t="s">
        <v>38</v>
      </c>
      <c r="E87">
        <v>5</v>
      </c>
      <c r="F87" t="s">
        <v>247</v>
      </c>
      <c r="G87" t="s">
        <v>91</v>
      </c>
      <c r="H87" t="s">
        <v>421</v>
      </c>
      <c r="I87" t="s">
        <v>212</v>
      </c>
      <c r="J87" t="s">
        <v>213</v>
      </c>
      <c r="K87" t="s">
        <v>149</v>
      </c>
      <c r="M87" t="s">
        <v>76</v>
      </c>
      <c r="N87" t="s">
        <v>215</v>
      </c>
      <c r="O87" s="57">
        <v>46297.459953703707</v>
      </c>
      <c r="P87" s="57">
        <v>46300.691400462965</v>
      </c>
      <c r="Q87">
        <v>69402913</v>
      </c>
      <c r="S87">
        <v>152713217331</v>
      </c>
      <c r="T87" t="s">
        <v>1541</v>
      </c>
      <c r="U87" t="s">
        <v>1542</v>
      </c>
      <c r="V87" t="s">
        <v>1543</v>
      </c>
      <c r="Z87">
        <v>112.68666690000001</v>
      </c>
      <c r="AA87">
        <v>-8.1776052999999997</v>
      </c>
      <c r="AB87" t="s">
        <v>1544</v>
      </c>
      <c r="AC87" t="s">
        <v>229</v>
      </c>
      <c r="AL87" t="s">
        <v>217</v>
      </c>
      <c r="AM87" t="s">
        <v>1545</v>
      </c>
      <c r="AN87" t="s">
        <v>6</v>
      </c>
      <c r="AO87" s="57">
        <v>46063.466053240743</v>
      </c>
      <c r="AP87" s="57">
        <v>46300.333333333336</v>
      </c>
      <c r="AR87" t="s">
        <v>218</v>
      </c>
      <c r="AS87" t="s">
        <v>565</v>
      </c>
      <c r="AT87" t="s">
        <v>230</v>
      </c>
      <c r="AU87">
        <v>20261005</v>
      </c>
      <c r="AV87" t="s">
        <v>221</v>
      </c>
      <c r="AW87" t="s">
        <v>540</v>
      </c>
      <c r="AX87" t="s">
        <v>222</v>
      </c>
      <c r="BA87" s="57">
        <v>46300.333333333336</v>
      </c>
      <c r="BB87" t="s">
        <v>1545</v>
      </c>
      <c r="BC87">
        <v>2026</v>
      </c>
      <c r="BD87">
        <v>10</v>
      </c>
      <c r="BE87">
        <v>5</v>
      </c>
      <c r="BF87" s="6">
        <f t="shared" si="3"/>
        <v>46300</v>
      </c>
      <c r="BG87">
        <f t="shared" si="4"/>
        <v>-0.33333333333575865</v>
      </c>
      <c r="BH87" t="str">
        <f t="shared" si="5"/>
        <v>COMPLY</v>
      </c>
      <c r="BI87" t="str">
        <f>VLOOKUP(H87,Sheet2!$A$1:$B$270,2,FALSE)</f>
        <v>MALANG</v>
      </c>
    </row>
    <row r="88" spans="1:61">
      <c r="A88">
        <v>87</v>
      </c>
      <c r="B88">
        <v>1002621501</v>
      </c>
      <c r="C88">
        <v>3</v>
      </c>
      <c r="D88" t="s">
        <v>38</v>
      </c>
      <c r="E88">
        <v>5</v>
      </c>
      <c r="F88" t="s">
        <v>247</v>
      </c>
      <c r="G88" t="s">
        <v>91</v>
      </c>
      <c r="H88" t="s">
        <v>322</v>
      </c>
      <c r="I88" t="s">
        <v>212</v>
      </c>
      <c r="J88" t="s">
        <v>213</v>
      </c>
      <c r="K88" t="s">
        <v>149</v>
      </c>
      <c r="L88" t="s">
        <v>214</v>
      </c>
      <c r="M88" t="s">
        <v>76</v>
      </c>
      <c r="N88" t="s">
        <v>215</v>
      </c>
      <c r="O88" s="57">
        <v>46299.743634259263</v>
      </c>
      <c r="P88" s="57">
        <v>46301.546261574076</v>
      </c>
      <c r="Q88">
        <v>69403990</v>
      </c>
      <c r="S88">
        <v>152704231743</v>
      </c>
      <c r="T88" t="s">
        <v>1546</v>
      </c>
      <c r="U88" t="s">
        <v>1547</v>
      </c>
      <c r="V88" t="s">
        <v>1548</v>
      </c>
      <c r="Z88">
        <v>112.6195108518</v>
      </c>
      <c r="AA88">
        <v>-8.0037150013869898</v>
      </c>
      <c r="AB88" t="s">
        <v>1549</v>
      </c>
      <c r="AC88" t="s">
        <v>216</v>
      </c>
      <c r="AL88" t="s">
        <v>217</v>
      </c>
      <c r="AM88" t="s">
        <v>1550</v>
      </c>
      <c r="AN88" t="s">
        <v>6</v>
      </c>
      <c r="AO88" s="57">
        <v>46122.746898148151</v>
      </c>
      <c r="AP88" s="57">
        <v>46302.333333333336</v>
      </c>
      <c r="AR88" t="s">
        <v>218</v>
      </c>
      <c r="AS88" t="s">
        <v>549</v>
      </c>
      <c r="AT88" t="s">
        <v>230</v>
      </c>
      <c r="AU88">
        <v>20261006</v>
      </c>
      <c r="AV88" t="s">
        <v>221</v>
      </c>
      <c r="AW88" t="s">
        <v>880</v>
      </c>
      <c r="AX88" t="s">
        <v>222</v>
      </c>
      <c r="BA88" s="57">
        <v>46302.333333333336</v>
      </c>
      <c r="BB88" t="s">
        <v>1550</v>
      </c>
      <c r="BC88">
        <v>2026</v>
      </c>
      <c r="BD88">
        <v>10</v>
      </c>
      <c r="BE88">
        <v>6</v>
      </c>
      <c r="BF88" s="6">
        <f t="shared" si="3"/>
        <v>46301</v>
      </c>
      <c r="BG88">
        <f t="shared" si="4"/>
        <v>-1.3333333333357587</v>
      </c>
      <c r="BH88" t="str">
        <f t="shared" si="5"/>
        <v>COMPLY</v>
      </c>
      <c r="BI88" t="str">
        <f>VLOOKUP(H88,Sheet2!$A$1:$B$270,2,FALSE)</f>
        <v>MALANG</v>
      </c>
    </row>
    <row r="89" spans="1:61">
      <c r="A89">
        <v>88</v>
      </c>
      <c r="B89">
        <v>1002622286</v>
      </c>
      <c r="C89">
        <v>3</v>
      </c>
      <c r="D89" t="s">
        <v>38</v>
      </c>
      <c r="E89">
        <v>5</v>
      </c>
      <c r="F89" t="s">
        <v>247</v>
      </c>
      <c r="G89" t="s">
        <v>91</v>
      </c>
      <c r="H89" t="s">
        <v>322</v>
      </c>
      <c r="I89" t="s">
        <v>212</v>
      </c>
      <c r="J89" t="s">
        <v>213</v>
      </c>
      <c r="K89" t="s">
        <v>149</v>
      </c>
      <c r="M89" t="s">
        <v>76</v>
      </c>
      <c r="N89" t="s">
        <v>215</v>
      </c>
      <c r="O89" s="57">
        <v>46300.513495370367</v>
      </c>
      <c r="P89" s="57">
        <v>46300.598634259259</v>
      </c>
      <c r="Q89">
        <v>69403224</v>
      </c>
      <c r="S89">
        <v>152704231751</v>
      </c>
      <c r="T89" t="s">
        <v>1551</v>
      </c>
      <c r="U89" t="s">
        <v>2571</v>
      </c>
      <c r="V89" t="s">
        <v>2572</v>
      </c>
      <c r="Z89">
        <v>112.59572129999999</v>
      </c>
      <c r="AA89">
        <v>-8.0790009000000005</v>
      </c>
      <c r="AB89" t="s">
        <v>1554</v>
      </c>
      <c r="AC89" t="s">
        <v>229</v>
      </c>
      <c r="AL89" t="s">
        <v>217</v>
      </c>
      <c r="AM89" t="s">
        <v>2573</v>
      </c>
      <c r="AN89" t="s">
        <v>6</v>
      </c>
      <c r="AO89" s="57">
        <v>46152.517627314817</v>
      </c>
      <c r="AR89" t="s">
        <v>218</v>
      </c>
      <c r="AS89" t="s">
        <v>549</v>
      </c>
      <c r="AT89" t="s">
        <v>230</v>
      </c>
      <c r="AU89">
        <v>20261005</v>
      </c>
      <c r="AV89" t="s">
        <v>221</v>
      </c>
      <c r="AW89" t="s">
        <v>577</v>
      </c>
      <c r="AX89" t="s">
        <v>222</v>
      </c>
      <c r="BA89" s="57">
        <v>46300.291666666664</v>
      </c>
      <c r="BB89" t="s">
        <v>2573</v>
      </c>
      <c r="BC89">
        <v>2026</v>
      </c>
      <c r="BD89">
        <v>10</v>
      </c>
      <c r="BE89">
        <v>5</v>
      </c>
      <c r="BF89" s="6">
        <f t="shared" si="3"/>
        <v>46300</v>
      </c>
      <c r="BG89">
        <f t="shared" si="4"/>
        <v>-0.29166666666424135</v>
      </c>
      <c r="BH89" t="str">
        <f t="shared" si="5"/>
        <v>COMPLY</v>
      </c>
      <c r="BI89" t="str">
        <f>VLOOKUP(H89,Sheet2!$A$1:$B$270,2,FALSE)</f>
        <v>MALANG</v>
      </c>
    </row>
    <row r="90" spans="1:61">
      <c r="A90">
        <v>89</v>
      </c>
      <c r="B90">
        <v>1002624202</v>
      </c>
      <c r="C90">
        <v>3</v>
      </c>
      <c r="D90" t="s">
        <v>38</v>
      </c>
      <c r="E90">
        <v>5</v>
      </c>
      <c r="F90" t="s">
        <v>247</v>
      </c>
      <c r="G90" t="s">
        <v>91</v>
      </c>
      <c r="H90" t="s">
        <v>322</v>
      </c>
      <c r="I90" t="s">
        <v>212</v>
      </c>
      <c r="J90" t="s">
        <v>213</v>
      </c>
      <c r="K90" t="s">
        <v>149</v>
      </c>
      <c r="L90" t="s">
        <v>214</v>
      </c>
      <c r="M90" t="s">
        <v>76</v>
      </c>
      <c r="N90" t="s">
        <v>215</v>
      </c>
      <c r="O90" s="57">
        <v>46301.534432870372</v>
      </c>
      <c r="P90" s="57">
        <v>46301.802777777775</v>
      </c>
      <c r="Q90">
        <v>69405012</v>
      </c>
      <c r="S90">
        <v>152704231754</v>
      </c>
      <c r="T90" t="s">
        <v>3182</v>
      </c>
      <c r="U90" t="s">
        <v>3183</v>
      </c>
      <c r="V90" t="s">
        <v>3184</v>
      </c>
      <c r="Z90">
        <v>112.6162831</v>
      </c>
      <c r="AA90">
        <v>-8.0158863</v>
      </c>
      <c r="AB90" t="s">
        <v>3185</v>
      </c>
      <c r="AC90" t="s">
        <v>235</v>
      </c>
      <c r="AL90" t="s">
        <v>217</v>
      </c>
      <c r="AM90" t="s">
        <v>3186</v>
      </c>
      <c r="AN90" t="s">
        <v>6</v>
      </c>
      <c r="AO90" s="57">
        <v>46183.559259259258</v>
      </c>
      <c r="AP90" s="57">
        <v>46304.333333333336</v>
      </c>
      <c r="AQ90" t="s">
        <v>1497</v>
      </c>
      <c r="AR90" t="s">
        <v>218</v>
      </c>
      <c r="AS90" t="s">
        <v>549</v>
      </c>
      <c r="AT90" t="s">
        <v>230</v>
      </c>
      <c r="AU90">
        <v>20261006</v>
      </c>
      <c r="AV90" t="s">
        <v>221</v>
      </c>
      <c r="AW90" t="s">
        <v>875</v>
      </c>
      <c r="AX90" t="s">
        <v>222</v>
      </c>
      <c r="BA90" s="57">
        <v>46304.333333333336</v>
      </c>
      <c r="BB90" t="s">
        <v>3186</v>
      </c>
      <c r="BC90">
        <v>2026</v>
      </c>
      <c r="BD90">
        <v>10</v>
      </c>
      <c r="BE90">
        <v>6</v>
      </c>
      <c r="BF90" s="6">
        <f t="shared" si="3"/>
        <v>46301</v>
      </c>
      <c r="BG90">
        <f t="shared" si="4"/>
        <v>-3.3333333333357587</v>
      </c>
      <c r="BH90" t="str">
        <f t="shared" si="5"/>
        <v>COMPLY</v>
      </c>
      <c r="BI90" t="str">
        <f>VLOOKUP(H90,Sheet2!$A$1:$B$270,2,FALSE)</f>
        <v>MALANG</v>
      </c>
    </row>
    <row r="91" spans="1:61">
      <c r="A91">
        <v>90</v>
      </c>
      <c r="B91">
        <v>1002625759</v>
      </c>
      <c r="C91">
        <v>3</v>
      </c>
      <c r="D91" t="s">
        <v>38</v>
      </c>
      <c r="E91">
        <v>5</v>
      </c>
      <c r="F91" t="s">
        <v>247</v>
      </c>
      <c r="G91" t="s">
        <v>91</v>
      </c>
      <c r="H91" t="s">
        <v>322</v>
      </c>
      <c r="I91" t="s">
        <v>212</v>
      </c>
      <c r="J91" t="s">
        <v>213</v>
      </c>
      <c r="K91" t="s">
        <v>149</v>
      </c>
      <c r="L91" t="s">
        <v>214</v>
      </c>
      <c r="M91" t="s">
        <v>76</v>
      </c>
      <c r="N91" t="s">
        <v>215</v>
      </c>
      <c r="O91" s="57">
        <v>46302.463587962964</v>
      </c>
      <c r="P91" s="57">
        <v>46302.697280092594</v>
      </c>
      <c r="Q91">
        <v>69405666</v>
      </c>
      <c r="S91">
        <v>152704231572</v>
      </c>
      <c r="T91" t="s">
        <v>3806</v>
      </c>
      <c r="U91" t="s">
        <v>3807</v>
      </c>
      <c r="V91" t="s">
        <v>3808</v>
      </c>
      <c r="Z91">
        <v>112.617452256381</v>
      </c>
      <c r="AA91">
        <v>-8.0124278523145094</v>
      </c>
      <c r="AB91" t="s">
        <v>3809</v>
      </c>
      <c r="AC91" t="s">
        <v>216</v>
      </c>
      <c r="AL91" t="s">
        <v>217</v>
      </c>
      <c r="AM91" t="s">
        <v>3810</v>
      </c>
      <c r="AN91" t="s">
        <v>6</v>
      </c>
      <c r="AO91" s="57">
        <v>46213.475960648146</v>
      </c>
      <c r="AP91" s="57">
        <v>46305.333333333336</v>
      </c>
      <c r="AR91" t="s">
        <v>218</v>
      </c>
      <c r="AS91" t="s">
        <v>549</v>
      </c>
      <c r="AT91" t="s">
        <v>342</v>
      </c>
      <c r="AU91">
        <v>20261007</v>
      </c>
      <c r="AV91" t="s">
        <v>221</v>
      </c>
      <c r="AW91" t="s">
        <v>1904</v>
      </c>
      <c r="AX91" t="s">
        <v>222</v>
      </c>
      <c r="BA91" s="57">
        <v>46305.333333333336</v>
      </c>
      <c r="BB91" t="s">
        <v>3810</v>
      </c>
      <c r="BC91">
        <v>2026</v>
      </c>
      <c r="BD91">
        <v>10</v>
      </c>
      <c r="BE91">
        <v>7</v>
      </c>
      <c r="BF91" s="6">
        <f t="shared" si="3"/>
        <v>46302</v>
      </c>
      <c r="BG91">
        <f t="shared" si="4"/>
        <v>-3.3333333333357587</v>
      </c>
      <c r="BH91" t="str">
        <f t="shared" si="5"/>
        <v>COMPLY</v>
      </c>
      <c r="BI91" t="str">
        <f>VLOOKUP(H91,Sheet2!$A$1:$B$270,2,FALSE)</f>
        <v>MALANG</v>
      </c>
    </row>
    <row r="92" spans="1:61">
      <c r="A92">
        <v>91</v>
      </c>
      <c r="B92">
        <v>1002620164</v>
      </c>
      <c r="C92">
        <v>3</v>
      </c>
      <c r="D92" t="s">
        <v>38</v>
      </c>
      <c r="E92">
        <v>5</v>
      </c>
      <c r="F92" t="s">
        <v>247</v>
      </c>
      <c r="G92" t="s">
        <v>91</v>
      </c>
      <c r="H92" t="s">
        <v>396</v>
      </c>
      <c r="I92" t="s">
        <v>212</v>
      </c>
      <c r="J92" t="s">
        <v>213</v>
      </c>
      <c r="K92" t="s">
        <v>149</v>
      </c>
      <c r="M92" t="s">
        <v>1401</v>
      </c>
      <c r="N92" t="s">
        <v>215</v>
      </c>
      <c r="O92" s="57">
        <v>46297.630370370367</v>
      </c>
      <c r="P92" s="57">
        <v>46300.513483796298</v>
      </c>
      <c r="Q92">
        <v>69403224</v>
      </c>
      <c r="S92">
        <v>152718219151</v>
      </c>
      <c r="T92" t="s">
        <v>1551</v>
      </c>
      <c r="U92" t="s">
        <v>1552</v>
      </c>
      <c r="V92" t="s">
        <v>1553</v>
      </c>
      <c r="Z92">
        <v>112.60142070000001</v>
      </c>
      <c r="AA92">
        <v>-8.0872174999999995</v>
      </c>
      <c r="AB92" t="s">
        <v>1554</v>
      </c>
      <c r="AC92" t="s">
        <v>229</v>
      </c>
      <c r="AL92" t="s">
        <v>217</v>
      </c>
      <c r="AM92" t="s">
        <v>1555</v>
      </c>
      <c r="AN92" t="s">
        <v>6</v>
      </c>
      <c r="AO92" s="57">
        <v>46063.652951388889</v>
      </c>
      <c r="AP92" s="57">
        <v>46300.333333333336</v>
      </c>
      <c r="AQ92" t="s">
        <v>1497</v>
      </c>
      <c r="AR92" t="s">
        <v>14</v>
      </c>
      <c r="AS92" t="s">
        <v>91</v>
      </c>
      <c r="AT92" t="s">
        <v>230</v>
      </c>
      <c r="AV92" t="s">
        <v>2574</v>
      </c>
      <c r="AW92" t="s">
        <v>541</v>
      </c>
      <c r="AX92" t="s">
        <v>222</v>
      </c>
      <c r="BA92" s="57">
        <v>46300.333333333336</v>
      </c>
      <c r="BB92" t="s">
        <v>1555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MALANG</v>
      </c>
    </row>
    <row r="93" spans="1:61">
      <c r="A93">
        <v>92</v>
      </c>
      <c r="B93">
        <v>1002625126</v>
      </c>
      <c r="C93">
        <v>3</v>
      </c>
      <c r="D93" t="s">
        <v>38</v>
      </c>
      <c r="E93">
        <v>5</v>
      </c>
      <c r="F93" t="s">
        <v>247</v>
      </c>
      <c r="G93" t="s">
        <v>91</v>
      </c>
      <c r="H93" t="s">
        <v>396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46301.736504629633</v>
      </c>
      <c r="P93" s="57">
        <v>46302.635115740741</v>
      </c>
      <c r="Q93">
        <v>69405363</v>
      </c>
      <c r="R93" t="s">
        <v>3811</v>
      </c>
      <c r="S93">
        <v>-152718219210</v>
      </c>
      <c r="T93" t="s">
        <v>3187</v>
      </c>
      <c r="U93" t="s">
        <v>3188</v>
      </c>
      <c r="V93" t="s">
        <v>3189</v>
      </c>
      <c r="Z93">
        <v>112.594557255506</v>
      </c>
      <c r="AA93">
        <v>-8.1177102903544398</v>
      </c>
      <c r="AB93" t="s">
        <v>3190</v>
      </c>
      <c r="AC93" t="s">
        <v>216</v>
      </c>
      <c r="AL93" t="s">
        <v>217</v>
      </c>
      <c r="AM93" t="s">
        <v>3191</v>
      </c>
      <c r="AN93" t="s">
        <v>6</v>
      </c>
      <c r="AO93" s="57">
        <v>46183.746932870374</v>
      </c>
      <c r="AP93" s="57">
        <v>46302.625</v>
      </c>
      <c r="AR93" t="s">
        <v>218</v>
      </c>
      <c r="AS93" t="s">
        <v>91</v>
      </c>
      <c r="AT93" t="s">
        <v>230</v>
      </c>
      <c r="AU93">
        <v>20261007</v>
      </c>
      <c r="AV93" t="s">
        <v>221</v>
      </c>
      <c r="AW93" t="s">
        <v>880</v>
      </c>
      <c r="AX93" t="s">
        <v>222</v>
      </c>
      <c r="BA93" s="57">
        <v>46302.625</v>
      </c>
      <c r="BB93" t="s">
        <v>3191</v>
      </c>
      <c r="BC93">
        <v>2026</v>
      </c>
      <c r="BD93">
        <v>10</v>
      </c>
      <c r="BE93">
        <v>7</v>
      </c>
      <c r="BF93" s="6">
        <f t="shared" si="3"/>
        <v>46302</v>
      </c>
      <c r="BG93">
        <f t="shared" si="4"/>
        <v>-0.625</v>
      </c>
      <c r="BH93" t="str">
        <f t="shared" si="5"/>
        <v>COMPLY</v>
      </c>
      <c r="BI93" t="str">
        <f>VLOOKUP(H93,Sheet2!$A$1:$B$270,2,FALSE)</f>
        <v>MALANG</v>
      </c>
    </row>
    <row r="94" spans="1:61">
      <c r="A94">
        <v>93</v>
      </c>
      <c r="B94">
        <v>1002618464</v>
      </c>
      <c r="C94">
        <v>3</v>
      </c>
      <c r="D94" t="s">
        <v>38</v>
      </c>
      <c r="E94">
        <v>5</v>
      </c>
      <c r="F94" t="s">
        <v>247</v>
      </c>
      <c r="G94" t="s">
        <v>91</v>
      </c>
      <c r="H94" t="s">
        <v>386</v>
      </c>
      <c r="I94" t="s">
        <v>212</v>
      </c>
      <c r="J94" t="s">
        <v>213</v>
      </c>
      <c r="K94" t="s">
        <v>149</v>
      </c>
      <c r="L94" t="s">
        <v>214</v>
      </c>
      <c r="M94" t="s">
        <v>76</v>
      </c>
      <c r="N94" t="s">
        <v>215</v>
      </c>
      <c r="O94" s="57">
        <v>46296.661574074074</v>
      </c>
      <c r="P94" s="57">
        <v>46297.5468287037</v>
      </c>
      <c r="Q94">
        <v>69402562</v>
      </c>
      <c r="S94">
        <v>152703903703</v>
      </c>
      <c r="T94" t="s">
        <v>977</v>
      </c>
      <c r="U94" t="s">
        <v>978</v>
      </c>
      <c r="V94" t="s">
        <v>979</v>
      </c>
      <c r="Z94">
        <v>112.61766799999999</v>
      </c>
      <c r="AA94">
        <v>-7.9542149999999996</v>
      </c>
      <c r="AB94" t="s">
        <v>980</v>
      </c>
      <c r="AC94" t="s">
        <v>235</v>
      </c>
      <c r="AL94" t="s">
        <v>217</v>
      </c>
      <c r="AM94" t="s">
        <v>981</v>
      </c>
      <c r="AN94" t="s">
        <v>6</v>
      </c>
      <c r="AO94" s="57">
        <v>46032.694421296299</v>
      </c>
      <c r="AP94" s="57">
        <v>46297.625</v>
      </c>
      <c r="AR94" t="s">
        <v>218</v>
      </c>
      <c r="AS94" t="s">
        <v>549</v>
      </c>
      <c r="AT94" t="s">
        <v>230</v>
      </c>
      <c r="AU94">
        <v>20261002</v>
      </c>
      <c r="AV94" t="s">
        <v>221</v>
      </c>
      <c r="AW94" t="s">
        <v>876</v>
      </c>
      <c r="AX94" t="s">
        <v>222</v>
      </c>
      <c r="BA94" s="57">
        <v>46297.625</v>
      </c>
      <c r="BB94" t="s">
        <v>981</v>
      </c>
      <c r="BC94">
        <v>2026</v>
      </c>
      <c r="BD94">
        <v>10</v>
      </c>
      <c r="BE94">
        <v>2</v>
      </c>
      <c r="BF94" s="6">
        <f t="shared" si="3"/>
        <v>46297</v>
      </c>
      <c r="BG94">
        <f t="shared" si="4"/>
        <v>-0.625</v>
      </c>
      <c r="BH94" t="str">
        <f t="shared" si="5"/>
        <v>COMPLY</v>
      </c>
      <c r="BI94" t="str">
        <f>VLOOKUP(H94,Sheet2!$A$1:$B$270,2,FALSE)</f>
        <v>MALANG</v>
      </c>
    </row>
    <row r="95" spans="1:61">
      <c r="A95">
        <v>94</v>
      </c>
      <c r="B95">
        <v>1002616858</v>
      </c>
      <c r="C95">
        <v>3</v>
      </c>
      <c r="D95" t="s">
        <v>38</v>
      </c>
      <c r="E95">
        <v>5</v>
      </c>
      <c r="F95" t="s">
        <v>247</v>
      </c>
      <c r="G95" t="s">
        <v>91</v>
      </c>
      <c r="H95" t="s">
        <v>386</v>
      </c>
      <c r="I95" t="s">
        <v>212</v>
      </c>
      <c r="J95" t="s">
        <v>213</v>
      </c>
      <c r="K95" t="s">
        <v>149</v>
      </c>
      <c r="L95" t="s">
        <v>214</v>
      </c>
      <c r="M95" t="s">
        <v>76</v>
      </c>
      <c r="N95" t="s">
        <v>215</v>
      </c>
      <c r="O95" s="57">
        <v>46296.345613425925</v>
      </c>
      <c r="P95" s="57">
        <v>46296.652743055558</v>
      </c>
      <c r="Q95">
        <v>69402006</v>
      </c>
      <c r="S95">
        <v>152703256261</v>
      </c>
      <c r="T95" t="s">
        <v>982</v>
      </c>
      <c r="U95" t="s">
        <v>983</v>
      </c>
      <c r="V95" t="s">
        <v>984</v>
      </c>
      <c r="Z95">
        <v>112.583508686236</v>
      </c>
      <c r="AA95">
        <v>-7.9376766752176602</v>
      </c>
      <c r="AB95" t="s">
        <v>985</v>
      </c>
      <c r="AC95" t="s">
        <v>235</v>
      </c>
      <c r="AL95" t="s">
        <v>217</v>
      </c>
      <c r="AM95" t="s">
        <v>966</v>
      </c>
      <c r="AN95" t="s">
        <v>6</v>
      </c>
      <c r="AO95" s="57">
        <v>46032.351168981484</v>
      </c>
      <c r="AP95" s="57">
        <v>46297.333333333336</v>
      </c>
      <c r="AR95" t="s">
        <v>218</v>
      </c>
      <c r="AS95" t="s">
        <v>549</v>
      </c>
      <c r="AT95" t="s">
        <v>230</v>
      </c>
      <c r="AU95">
        <v>20261001</v>
      </c>
      <c r="AV95" t="s">
        <v>221</v>
      </c>
      <c r="AW95" t="s">
        <v>876</v>
      </c>
      <c r="AX95" t="s">
        <v>222</v>
      </c>
      <c r="BA95" s="57">
        <v>46297.333333333336</v>
      </c>
      <c r="BB95" t="s">
        <v>966</v>
      </c>
      <c r="BC95">
        <v>2026</v>
      </c>
      <c r="BD95">
        <v>10</v>
      </c>
      <c r="BE95">
        <v>1</v>
      </c>
      <c r="BF95" s="6">
        <f t="shared" si="3"/>
        <v>46296</v>
      </c>
      <c r="BG95">
        <f t="shared" si="4"/>
        <v>-1.3333333333357587</v>
      </c>
      <c r="BH95" t="str">
        <f t="shared" si="5"/>
        <v>COMPLY</v>
      </c>
      <c r="BI95" t="str">
        <f>VLOOKUP(H95,Sheet2!$A$1:$B$270,2,FALSE)</f>
        <v>MALANG</v>
      </c>
    </row>
    <row r="96" spans="1:61">
      <c r="A96">
        <v>95</v>
      </c>
      <c r="B96">
        <v>1002625161</v>
      </c>
      <c r="C96">
        <v>3</v>
      </c>
      <c r="D96" t="s">
        <v>38</v>
      </c>
      <c r="E96">
        <v>5</v>
      </c>
      <c r="F96" t="s">
        <v>247</v>
      </c>
      <c r="G96" t="s">
        <v>91</v>
      </c>
      <c r="H96" t="s">
        <v>386</v>
      </c>
      <c r="I96" t="s">
        <v>212</v>
      </c>
      <c r="J96" t="s">
        <v>213</v>
      </c>
      <c r="K96" t="s">
        <v>149</v>
      </c>
      <c r="L96" t="s">
        <v>214</v>
      </c>
      <c r="M96" t="s">
        <v>76</v>
      </c>
      <c r="N96" t="s">
        <v>215</v>
      </c>
      <c r="O96" s="57">
        <v>46301.761574074073</v>
      </c>
      <c r="P96" s="57">
        <v>46302.877280092594</v>
      </c>
      <c r="Q96">
        <v>69405377</v>
      </c>
      <c r="S96">
        <v>152703256776</v>
      </c>
      <c r="T96" t="s">
        <v>3192</v>
      </c>
      <c r="U96" t="s">
        <v>3193</v>
      </c>
      <c r="V96" t="s">
        <v>3194</v>
      </c>
      <c r="Z96">
        <v>112.6053481</v>
      </c>
      <c r="AA96">
        <v>-7.9567538000000004</v>
      </c>
      <c r="AB96" t="s">
        <v>3195</v>
      </c>
      <c r="AC96" t="s">
        <v>235</v>
      </c>
      <c r="AL96" t="s">
        <v>217</v>
      </c>
      <c r="AM96" t="s">
        <v>3196</v>
      </c>
      <c r="AN96" t="s">
        <v>6</v>
      </c>
      <c r="AO96" s="57">
        <v>46183.767627314817</v>
      </c>
      <c r="AP96" s="57">
        <v>46302.625</v>
      </c>
      <c r="AR96" t="s">
        <v>218</v>
      </c>
      <c r="AS96" t="s">
        <v>549</v>
      </c>
      <c r="AT96" t="s">
        <v>342</v>
      </c>
      <c r="AU96">
        <v>20261007</v>
      </c>
      <c r="AV96" t="s">
        <v>221</v>
      </c>
      <c r="AW96" t="s">
        <v>2955</v>
      </c>
      <c r="AX96" t="s">
        <v>222</v>
      </c>
      <c r="BA96" s="57">
        <v>46302.625</v>
      </c>
      <c r="BB96" t="s">
        <v>3196</v>
      </c>
      <c r="BC96">
        <v>2026</v>
      </c>
      <c r="BD96">
        <v>10</v>
      </c>
      <c r="BE96">
        <v>7</v>
      </c>
      <c r="BF96" s="6">
        <f t="shared" si="3"/>
        <v>46302</v>
      </c>
      <c r="BG96">
        <f t="shared" si="4"/>
        <v>-0.625</v>
      </c>
      <c r="BH96" t="str">
        <f t="shared" si="5"/>
        <v>COMPLY</v>
      </c>
      <c r="BI96" t="str">
        <f>VLOOKUP(H96,Sheet2!$A$1:$B$270,2,FALSE)</f>
        <v>MALANG</v>
      </c>
    </row>
    <row r="97" spans="1:61">
      <c r="A97">
        <v>96</v>
      </c>
      <c r="B97">
        <v>1002625673</v>
      </c>
      <c r="C97">
        <v>3</v>
      </c>
      <c r="D97" t="s">
        <v>38</v>
      </c>
      <c r="E97">
        <v>5</v>
      </c>
      <c r="F97" t="s">
        <v>247</v>
      </c>
      <c r="G97" t="s">
        <v>91</v>
      </c>
      <c r="H97" t="s">
        <v>386</v>
      </c>
      <c r="I97" t="s">
        <v>212</v>
      </c>
      <c r="J97" t="s">
        <v>213</v>
      </c>
      <c r="K97" t="s">
        <v>149</v>
      </c>
      <c r="L97" t="s">
        <v>214</v>
      </c>
      <c r="M97" t="s">
        <v>279</v>
      </c>
      <c r="N97" t="s">
        <v>215</v>
      </c>
      <c r="O97" s="57">
        <v>46302.444837962961</v>
      </c>
      <c r="P97" s="57">
        <v>46303.323449074072</v>
      </c>
      <c r="Q97">
        <v>69405599</v>
      </c>
      <c r="S97">
        <v>152703256838</v>
      </c>
      <c r="T97" t="s">
        <v>3812</v>
      </c>
      <c r="U97" t="s">
        <v>3813</v>
      </c>
      <c r="V97" t="s">
        <v>3814</v>
      </c>
      <c r="Z97">
        <v>112.608082751278</v>
      </c>
      <c r="AA97">
        <v>-7.9562248896160401</v>
      </c>
      <c r="AB97" t="s">
        <v>3815</v>
      </c>
      <c r="AC97" t="s">
        <v>235</v>
      </c>
      <c r="AL97" t="s">
        <v>217</v>
      </c>
      <c r="AM97" t="s">
        <v>3816</v>
      </c>
      <c r="AN97" t="s">
        <v>6</v>
      </c>
      <c r="AO97" s="57">
        <v>46213.455231481479</v>
      </c>
      <c r="AP97" s="57">
        <v>46303.333333333336</v>
      </c>
      <c r="AR97" t="s">
        <v>239</v>
      </c>
      <c r="AS97" t="s">
        <v>549</v>
      </c>
      <c r="AT97" t="s">
        <v>342</v>
      </c>
      <c r="AV97" t="s">
        <v>799</v>
      </c>
      <c r="AW97" t="s">
        <v>2955</v>
      </c>
      <c r="AX97" t="s">
        <v>222</v>
      </c>
      <c r="BA97" s="57">
        <v>46303.333333333336</v>
      </c>
      <c r="BB97" t="s">
        <v>3816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MALANG</v>
      </c>
    </row>
    <row r="98" spans="1:61">
      <c r="A98">
        <v>97</v>
      </c>
      <c r="B98">
        <v>1002625985</v>
      </c>
      <c r="C98">
        <v>3</v>
      </c>
      <c r="D98" t="s">
        <v>38</v>
      </c>
      <c r="E98">
        <v>5</v>
      </c>
      <c r="F98" t="s">
        <v>247</v>
      </c>
      <c r="G98" t="s">
        <v>91</v>
      </c>
      <c r="H98" t="s">
        <v>386</v>
      </c>
      <c r="I98" t="s">
        <v>212</v>
      </c>
      <c r="J98" t="s">
        <v>213</v>
      </c>
      <c r="K98" t="s">
        <v>149</v>
      </c>
      <c r="L98" t="s">
        <v>214</v>
      </c>
      <c r="M98" t="s">
        <v>238</v>
      </c>
      <c r="N98" t="s">
        <v>215</v>
      </c>
      <c r="O98" s="57">
        <v>46302.524710648147</v>
      </c>
      <c r="P98" s="57">
        <v>46302.526400462964</v>
      </c>
      <c r="Q98">
        <v>69405793</v>
      </c>
      <c r="S98">
        <v>152703256852</v>
      </c>
      <c r="T98" t="s">
        <v>3817</v>
      </c>
      <c r="U98" t="s">
        <v>3818</v>
      </c>
      <c r="V98" t="s">
        <v>3819</v>
      </c>
      <c r="Z98">
        <v>112.6040466</v>
      </c>
      <c r="AA98">
        <v>-7.9793556999999904</v>
      </c>
      <c r="AB98" t="s">
        <v>3820</v>
      </c>
      <c r="AC98" t="s">
        <v>216</v>
      </c>
      <c r="AL98" t="s">
        <v>217</v>
      </c>
      <c r="AM98" t="s">
        <v>3821</v>
      </c>
      <c r="AN98" t="s">
        <v>6</v>
      </c>
      <c r="AO98" s="57">
        <v>46213.538645833331</v>
      </c>
      <c r="AP98" s="57">
        <v>46303.458333333336</v>
      </c>
      <c r="AR98" t="s">
        <v>239</v>
      </c>
      <c r="AS98" t="s">
        <v>549</v>
      </c>
      <c r="AT98" t="s">
        <v>230</v>
      </c>
      <c r="AV98" t="s">
        <v>238</v>
      </c>
      <c r="AW98" t="s">
        <v>877</v>
      </c>
      <c r="AX98" t="s">
        <v>222</v>
      </c>
      <c r="BA98" s="57">
        <v>46303.458333333336</v>
      </c>
      <c r="BB98" t="s">
        <v>3821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MALANG</v>
      </c>
    </row>
    <row r="99" spans="1:61">
      <c r="A99">
        <v>98</v>
      </c>
      <c r="B99">
        <v>1002620775</v>
      </c>
      <c r="C99">
        <v>3</v>
      </c>
      <c r="D99" t="s">
        <v>38</v>
      </c>
      <c r="E99">
        <v>5</v>
      </c>
      <c r="F99" t="s">
        <v>247</v>
      </c>
      <c r="G99" t="s">
        <v>91</v>
      </c>
      <c r="H99" t="s">
        <v>401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46298.397615740738</v>
      </c>
      <c r="P99" s="57">
        <v>46299.777766203704</v>
      </c>
      <c r="Q99">
        <v>69403489</v>
      </c>
      <c r="S99">
        <v>152701239320</v>
      </c>
      <c r="T99" t="s">
        <v>1556</v>
      </c>
      <c r="U99" t="s">
        <v>1557</v>
      </c>
      <c r="V99" t="s">
        <v>1558</v>
      </c>
      <c r="Z99">
        <v>112.63304050000001</v>
      </c>
      <c r="AA99">
        <v>-7.9840022999999896</v>
      </c>
      <c r="AB99" t="s">
        <v>1559</v>
      </c>
      <c r="AC99" t="s">
        <v>235</v>
      </c>
      <c r="AL99" t="s">
        <v>217</v>
      </c>
      <c r="AM99" t="s">
        <v>1560</v>
      </c>
      <c r="AN99" t="s">
        <v>6</v>
      </c>
      <c r="AO99" s="57">
        <v>46091.40283564815</v>
      </c>
      <c r="AP99" s="57">
        <v>46299.333333333336</v>
      </c>
      <c r="AR99" t="s">
        <v>218</v>
      </c>
      <c r="AS99" t="s">
        <v>247</v>
      </c>
      <c r="AT99" t="s">
        <v>230</v>
      </c>
      <c r="AU99">
        <v>20261004</v>
      </c>
      <c r="AV99" t="s">
        <v>221</v>
      </c>
      <c r="AW99" t="s">
        <v>923</v>
      </c>
      <c r="AX99" t="s">
        <v>222</v>
      </c>
      <c r="BA99" s="57">
        <v>46299.333333333336</v>
      </c>
      <c r="BB99" t="s">
        <v>1560</v>
      </c>
      <c r="BC99">
        <v>2026</v>
      </c>
      <c r="BD99">
        <v>10</v>
      </c>
      <c r="BE99">
        <v>4</v>
      </c>
      <c r="BF99" s="6">
        <f t="shared" si="3"/>
        <v>46299</v>
      </c>
      <c r="BG99">
        <f t="shared" si="4"/>
        <v>-0.33333333333575865</v>
      </c>
      <c r="BH99" t="str">
        <f t="shared" si="5"/>
        <v>COMPLY</v>
      </c>
      <c r="BI99" t="str">
        <f>VLOOKUP(H99,Sheet2!$A$1:$B$270,2,FALSE)</f>
        <v>MALANG</v>
      </c>
    </row>
    <row r="100" spans="1:61">
      <c r="A100">
        <v>99</v>
      </c>
      <c r="B100">
        <v>1002620849</v>
      </c>
      <c r="C100">
        <v>3</v>
      </c>
      <c r="D100" t="s">
        <v>38</v>
      </c>
      <c r="E100">
        <v>5</v>
      </c>
      <c r="F100" t="s">
        <v>247</v>
      </c>
      <c r="G100" t="s">
        <v>91</v>
      </c>
      <c r="H100" t="s">
        <v>401</v>
      </c>
      <c r="I100" t="s">
        <v>212</v>
      </c>
      <c r="J100" t="s">
        <v>213</v>
      </c>
      <c r="K100" t="s">
        <v>149</v>
      </c>
      <c r="L100" t="s">
        <v>214</v>
      </c>
      <c r="M100" t="s">
        <v>76</v>
      </c>
      <c r="N100" t="s">
        <v>215</v>
      </c>
      <c r="O100" s="57">
        <v>46298.462256944447</v>
      </c>
      <c r="P100" s="57">
        <v>46298.691122685188</v>
      </c>
      <c r="Q100">
        <v>69403522</v>
      </c>
      <c r="S100">
        <v>152701239321</v>
      </c>
      <c r="T100" t="s">
        <v>1561</v>
      </c>
      <c r="U100" t="s">
        <v>1562</v>
      </c>
      <c r="V100" t="s">
        <v>1563</v>
      </c>
      <c r="Z100">
        <v>112.6352435</v>
      </c>
      <c r="AA100">
        <v>-7.9674364000000004</v>
      </c>
      <c r="AB100" t="s">
        <v>1564</v>
      </c>
      <c r="AC100" t="s">
        <v>216</v>
      </c>
      <c r="AL100" t="s">
        <v>217</v>
      </c>
      <c r="AM100" t="s">
        <v>1565</v>
      </c>
      <c r="AN100" t="s">
        <v>6</v>
      </c>
      <c r="AO100" s="57">
        <v>46091.465949074074</v>
      </c>
      <c r="AP100" s="57">
        <v>46299.333333333336</v>
      </c>
      <c r="AR100" t="s">
        <v>218</v>
      </c>
      <c r="AS100" t="s">
        <v>247</v>
      </c>
      <c r="AT100" t="s">
        <v>230</v>
      </c>
      <c r="AU100">
        <v>20261003</v>
      </c>
      <c r="AV100" t="s">
        <v>221</v>
      </c>
      <c r="AW100" t="s">
        <v>877</v>
      </c>
      <c r="AX100" t="s">
        <v>222</v>
      </c>
      <c r="BA100" s="57">
        <v>46299.333333333336</v>
      </c>
      <c r="BB100" t="s">
        <v>1565</v>
      </c>
      <c r="BC100">
        <v>2026</v>
      </c>
      <c r="BD100">
        <v>10</v>
      </c>
      <c r="BE100">
        <v>3</v>
      </c>
      <c r="BF100" s="6">
        <f t="shared" si="3"/>
        <v>46298</v>
      </c>
      <c r="BG100">
        <f t="shared" si="4"/>
        <v>-1.3333333333357587</v>
      </c>
      <c r="BH100" t="str">
        <f t="shared" si="5"/>
        <v>COMPLY</v>
      </c>
      <c r="BI100" t="str">
        <f>VLOOKUP(H100,Sheet2!$A$1:$B$270,2,FALSE)</f>
        <v>MALANG</v>
      </c>
    </row>
    <row r="101" spans="1:61">
      <c r="A101">
        <v>100</v>
      </c>
      <c r="B101">
        <v>1002626266</v>
      </c>
      <c r="C101">
        <v>3</v>
      </c>
      <c r="D101" t="s">
        <v>38</v>
      </c>
      <c r="E101">
        <v>5</v>
      </c>
      <c r="F101" t="s">
        <v>247</v>
      </c>
      <c r="G101" t="s">
        <v>91</v>
      </c>
      <c r="H101" t="s">
        <v>401</v>
      </c>
      <c r="I101" t="s">
        <v>212</v>
      </c>
      <c r="J101" t="s">
        <v>213</v>
      </c>
      <c r="K101" t="s">
        <v>149</v>
      </c>
      <c r="L101" t="s">
        <v>214</v>
      </c>
      <c r="M101" t="s">
        <v>238</v>
      </c>
      <c r="N101" t="s">
        <v>215</v>
      </c>
      <c r="O101" s="57">
        <v>46302.584432870368</v>
      </c>
      <c r="P101" s="57">
        <v>46302.586215277777</v>
      </c>
      <c r="Q101">
        <v>69405895</v>
      </c>
      <c r="S101">
        <v>152701239357</v>
      </c>
      <c r="T101" t="s">
        <v>3822</v>
      </c>
      <c r="U101" t="s">
        <v>3823</v>
      </c>
      <c r="V101" t="s">
        <v>3824</v>
      </c>
      <c r="Z101">
        <v>112.61679863853399</v>
      </c>
      <c r="AA101">
        <v>-7.99695085439207</v>
      </c>
      <c r="AB101" t="s">
        <v>3825</v>
      </c>
      <c r="AC101" t="s">
        <v>235</v>
      </c>
      <c r="AL101" t="s">
        <v>217</v>
      </c>
      <c r="AM101" t="s">
        <v>3826</v>
      </c>
      <c r="AN101" t="s">
        <v>6</v>
      </c>
      <c r="AO101" s="57">
        <v>46213.59065972222</v>
      </c>
      <c r="AP101" s="57">
        <v>46303.458333333336</v>
      </c>
      <c r="AR101" t="s">
        <v>239</v>
      </c>
      <c r="AS101" t="s">
        <v>247</v>
      </c>
      <c r="AT101" t="s">
        <v>220</v>
      </c>
      <c r="AV101" t="s">
        <v>238</v>
      </c>
      <c r="AW101" t="s">
        <v>1672</v>
      </c>
      <c r="AX101" t="s">
        <v>222</v>
      </c>
      <c r="BA101" s="57">
        <v>46303.458333333336</v>
      </c>
      <c r="BB101" t="s">
        <v>3826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MALANG</v>
      </c>
    </row>
    <row r="102" spans="1:61">
      <c r="A102">
        <v>101</v>
      </c>
      <c r="B102">
        <v>1002626083</v>
      </c>
      <c r="C102">
        <v>3</v>
      </c>
      <c r="D102" t="s">
        <v>38</v>
      </c>
      <c r="E102">
        <v>5</v>
      </c>
      <c r="F102" t="s">
        <v>247</v>
      </c>
      <c r="G102" t="s">
        <v>91</v>
      </c>
      <c r="H102" t="s">
        <v>515</v>
      </c>
      <c r="I102" t="s">
        <v>212</v>
      </c>
      <c r="J102" t="s">
        <v>213</v>
      </c>
      <c r="K102" t="s">
        <v>149</v>
      </c>
      <c r="L102" t="s">
        <v>214</v>
      </c>
      <c r="M102" t="s">
        <v>238</v>
      </c>
      <c r="N102" t="s">
        <v>215</v>
      </c>
      <c r="O102" s="57">
        <v>46302.551145833335</v>
      </c>
      <c r="P102" s="57">
        <v>46302.552858796298</v>
      </c>
      <c r="Q102">
        <v>69405846</v>
      </c>
      <c r="S102">
        <v>152705285097</v>
      </c>
      <c r="T102" t="s">
        <v>3827</v>
      </c>
      <c r="U102" t="s">
        <v>3828</v>
      </c>
      <c r="V102" t="s">
        <v>3829</v>
      </c>
      <c r="Z102">
        <v>112.658571717501</v>
      </c>
      <c r="AA102">
        <v>-7.9845998031973799</v>
      </c>
      <c r="AB102" t="s">
        <v>3830</v>
      </c>
      <c r="AC102" t="s">
        <v>235</v>
      </c>
      <c r="AL102" t="s">
        <v>217</v>
      </c>
      <c r="AM102" t="s">
        <v>3831</v>
      </c>
      <c r="AN102" t="s">
        <v>6</v>
      </c>
      <c r="AO102" s="57">
        <v>46213.559548611112</v>
      </c>
      <c r="AP102" s="57">
        <v>46303.458333333336</v>
      </c>
      <c r="AR102" t="s">
        <v>239</v>
      </c>
      <c r="AS102" t="s">
        <v>570</v>
      </c>
      <c r="AT102" t="s">
        <v>220</v>
      </c>
      <c r="AV102" t="s">
        <v>238</v>
      </c>
      <c r="AW102" t="s">
        <v>1672</v>
      </c>
      <c r="AX102" t="s">
        <v>222</v>
      </c>
      <c r="BA102" s="57">
        <v>46303.458333333336</v>
      </c>
      <c r="BB102" t="s">
        <v>3831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MALANG</v>
      </c>
    </row>
    <row r="103" spans="1:61">
      <c r="A103">
        <v>102</v>
      </c>
      <c r="B103">
        <v>1002620453</v>
      </c>
      <c r="C103">
        <v>3</v>
      </c>
      <c r="D103" t="s">
        <v>38</v>
      </c>
      <c r="E103">
        <v>5</v>
      </c>
      <c r="F103" t="s">
        <v>247</v>
      </c>
      <c r="G103" t="s">
        <v>87</v>
      </c>
      <c r="H103" t="s">
        <v>285</v>
      </c>
      <c r="I103" t="s">
        <v>212</v>
      </c>
      <c r="J103" t="s">
        <v>213</v>
      </c>
      <c r="K103" t="s">
        <v>149</v>
      </c>
      <c r="M103" t="s">
        <v>1401</v>
      </c>
      <c r="N103" t="s">
        <v>215</v>
      </c>
      <c r="O103" s="57">
        <v>46297.690891203703</v>
      </c>
      <c r="P103" s="57">
        <v>46301.56527777778</v>
      </c>
      <c r="Q103">
        <v>69403317</v>
      </c>
      <c r="S103">
        <v>152711247525</v>
      </c>
      <c r="T103" t="s">
        <v>1573</v>
      </c>
      <c r="U103" t="s">
        <v>1574</v>
      </c>
      <c r="V103" t="s">
        <v>1575</v>
      </c>
      <c r="Z103">
        <v>112.575734853744</v>
      </c>
      <c r="AA103">
        <v>-7.9262484614668196</v>
      </c>
      <c r="AB103" t="s">
        <v>1576</v>
      </c>
      <c r="AC103" t="s">
        <v>225</v>
      </c>
      <c r="AL103" t="s">
        <v>217</v>
      </c>
      <c r="AM103" t="s">
        <v>1577</v>
      </c>
      <c r="AN103" t="s">
        <v>6</v>
      </c>
      <c r="AO103" s="57">
        <v>46063.694699074076</v>
      </c>
      <c r="AP103" s="57">
        <v>46300.333333333336</v>
      </c>
      <c r="AQ103" t="s">
        <v>1497</v>
      </c>
      <c r="AR103" t="s">
        <v>14</v>
      </c>
      <c r="AS103" t="s">
        <v>1571</v>
      </c>
      <c r="AT103" t="s">
        <v>230</v>
      </c>
      <c r="AV103" t="s">
        <v>2575</v>
      </c>
      <c r="AW103" t="s">
        <v>540</v>
      </c>
      <c r="AX103" t="s">
        <v>222</v>
      </c>
      <c r="BA103" s="57">
        <v>46300.333333333336</v>
      </c>
      <c r="BB103" t="s">
        <v>1577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BATU</v>
      </c>
    </row>
    <row r="104" spans="1:61">
      <c r="A104">
        <v>103</v>
      </c>
      <c r="B104">
        <v>1002619473</v>
      </c>
      <c r="C104">
        <v>3</v>
      </c>
      <c r="D104" t="s">
        <v>38</v>
      </c>
      <c r="E104">
        <v>5</v>
      </c>
      <c r="F104" t="s">
        <v>247</v>
      </c>
      <c r="G104" t="s">
        <v>87</v>
      </c>
      <c r="H104" t="s">
        <v>285</v>
      </c>
      <c r="I104" t="s">
        <v>212</v>
      </c>
      <c r="J104" t="s">
        <v>213</v>
      </c>
      <c r="K104" t="s">
        <v>149</v>
      </c>
      <c r="M104" t="s">
        <v>76</v>
      </c>
      <c r="N104" t="s">
        <v>215</v>
      </c>
      <c r="O104" s="57">
        <v>46297.464525462965</v>
      </c>
      <c r="P104" s="57">
        <v>46297.542986111112</v>
      </c>
      <c r="Q104">
        <v>69400319</v>
      </c>
      <c r="S104">
        <v>152711247519</v>
      </c>
      <c r="T104" t="s">
        <v>1566</v>
      </c>
      <c r="U104" t="s">
        <v>1567</v>
      </c>
      <c r="V104" t="s">
        <v>1568</v>
      </c>
      <c r="Z104">
        <v>112.6099</v>
      </c>
      <c r="AA104">
        <v>-7.8974000000000002</v>
      </c>
      <c r="AB104" t="s">
        <v>1569</v>
      </c>
      <c r="AC104" t="s">
        <v>229</v>
      </c>
      <c r="AL104" t="s">
        <v>217</v>
      </c>
      <c r="AM104" t="s">
        <v>1570</v>
      </c>
      <c r="AN104" t="s">
        <v>6</v>
      </c>
      <c r="AO104" s="57">
        <v>46063.466053240743</v>
      </c>
      <c r="AR104" t="s">
        <v>218</v>
      </c>
      <c r="AS104" t="s">
        <v>1571</v>
      </c>
      <c r="AT104" t="s">
        <v>342</v>
      </c>
      <c r="AU104">
        <v>20261002</v>
      </c>
      <c r="AV104" t="s">
        <v>221</v>
      </c>
      <c r="AW104" t="s">
        <v>1572</v>
      </c>
      <c r="AX104" t="s">
        <v>222</v>
      </c>
      <c r="BA104" s="57">
        <v>46297.291666666664</v>
      </c>
      <c r="BB104" t="s">
        <v>1570</v>
      </c>
      <c r="BC104">
        <v>2026</v>
      </c>
      <c r="BD104">
        <v>10</v>
      </c>
      <c r="BE104">
        <v>2</v>
      </c>
      <c r="BF104" s="6">
        <f t="shared" si="3"/>
        <v>46297</v>
      </c>
      <c r="BG104">
        <f t="shared" si="4"/>
        <v>-0.29166666666424135</v>
      </c>
      <c r="BH104" t="str">
        <f t="shared" si="5"/>
        <v>COMPLY</v>
      </c>
      <c r="BI104" t="str">
        <f>VLOOKUP(H104,Sheet2!$A$1:$B$270,2,FALSE)</f>
        <v>BATU</v>
      </c>
    </row>
    <row r="105" spans="1:61">
      <c r="A105">
        <v>104</v>
      </c>
      <c r="B105">
        <v>1002624334</v>
      </c>
      <c r="C105">
        <v>3</v>
      </c>
      <c r="D105" t="s">
        <v>38</v>
      </c>
      <c r="E105">
        <v>5</v>
      </c>
      <c r="F105" t="s">
        <v>247</v>
      </c>
      <c r="G105" t="s">
        <v>87</v>
      </c>
      <c r="H105" t="s">
        <v>285</v>
      </c>
      <c r="I105" t="s">
        <v>212</v>
      </c>
      <c r="J105" t="s">
        <v>213</v>
      </c>
      <c r="K105" t="s">
        <v>149</v>
      </c>
      <c r="M105" t="s">
        <v>76</v>
      </c>
      <c r="N105" t="s">
        <v>215</v>
      </c>
      <c r="O105" s="57">
        <v>46301.565289351849</v>
      </c>
      <c r="P105" s="57">
        <v>46301.786886574075</v>
      </c>
      <c r="Q105">
        <v>69403317</v>
      </c>
      <c r="S105">
        <v>152711247775</v>
      </c>
      <c r="T105" t="s">
        <v>1573</v>
      </c>
      <c r="U105" t="s">
        <v>3197</v>
      </c>
      <c r="V105" t="s">
        <v>3198</v>
      </c>
      <c r="Z105">
        <v>112.5741404</v>
      </c>
      <c r="AA105">
        <v>-7.9267361000000003</v>
      </c>
      <c r="AB105" t="s">
        <v>1576</v>
      </c>
      <c r="AC105" t="s">
        <v>225</v>
      </c>
      <c r="AL105" t="s">
        <v>217</v>
      </c>
      <c r="AM105" t="s">
        <v>3199</v>
      </c>
      <c r="AN105" t="s">
        <v>6</v>
      </c>
      <c r="AO105" s="57">
        <v>46183.570092592592</v>
      </c>
      <c r="AR105" t="s">
        <v>218</v>
      </c>
      <c r="AS105" t="s">
        <v>1571</v>
      </c>
      <c r="AT105" t="s">
        <v>230</v>
      </c>
      <c r="AU105">
        <v>20261006</v>
      </c>
      <c r="AV105" t="s">
        <v>221</v>
      </c>
      <c r="AW105" t="s">
        <v>539</v>
      </c>
      <c r="AX105" t="s">
        <v>222</v>
      </c>
      <c r="BA105" s="57">
        <v>46301.291666666664</v>
      </c>
      <c r="BB105" t="s">
        <v>3199</v>
      </c>
      <c r="BC105">
        <v>2026</v>
      </c>
      <c r="BD105">
        <v>10</v>
      </c>
      <c r="BE105">
        <v>6</v>
      </c>
      <c r="BF105" s="6">
        <f t="shared" si="3"/>
        <v>46301</v>
      </c>
      <c r="BG105">
        <f t="shared" si="4"/>
        <v>-0.29166666666424135</v>
      </c>
      <c r="BH105" t="str">
        <f t="shared" si="5"/>
        <v>COMPLY</v>
      </c>
      <c r="BI105" t="str">
        <f>VLOOKUP(H105,Sheet2!$A$1:$B$270,2,FALSE)</f>
        <v>BATU</v>
      </c>
    </row>
    <row r="106" spans="1:61">
      <c r="A106">
        <v>105</v>
      </c>
      <c r="B106">
        <v>1002620672</v>
      </c>
      <c r="C106">
        <v>3</v>
      </c>
      <c r="D106" t="s">
        <v>38</v>
      </c>
      <c r="E106">
        <v>5</v>
      </c>
      <c r="F106" t="s">
        <v>247</v>
      </c>
      <c r="G106" t="s">
        <v>87</v>
      </c>
      <c r="H106" t="s">
        <v>438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46297.81150462963</v>
      </c>
      <c r="P106" s="57">
        <v>46299.740543981483</v>
      </c>
      <c r="Q106">
        <v>69403413</v>
      </c>
      <c r="S106">
        <v>152720204431</v>
      </c>
      <c r="T106" t="s">
        <v>1578</v>
      </c>
      <c r="U106" t="s">
        <v>1579</v>
      </c>
      <c r="V106" t="s">
        <v>1580</v>
      </c>
      <c r="Z106">
        <v>112.69858928231901</v>
      </c>
      <c r="AA106">
        <v>-7.8267674025097502</v>
      </c>
      <c r="AB106" t="s">
        <v>1581</v>
      </c>
      <c r="AC106" t="s">
        <v>235</v>
      </c>
      <c r="AL106" t="s">
        <v>217</v>
      </c>
      <c r="AM106" t="s">
        <v>1582</v>
      </c>
      <c r="AN106" t="s">
        <v>6</v>
      </c>
      <c r="AO106" s="57">
        <v>46063.819363425922</v>
      </c>
      <c r="AP106" s="57">
        <v>46299.333333333336</v>
      </c>
      <c r="AR106" t="s">
        <v>218</v>
      </c>
      <c r="AS106" t="s">
        <v>566</v>
      </c>
      <c r="AT106" t="s">
        <v>230</v>
      </c>
      <c r="AU106">
        <v>20261004</v>
      </c>
      <c r="AV106" t="s">
        <v>221</v>
      </c>
      <c r="AW106" t="s">
        <v>875</v>
      </c>
      <c r="AX106" t="s">
        <v>222</v>
      </c>
      <c r="BA106" s="57">
        <v>46299.333333333336</v>
      </c>
      <c r="BB106" t="s">
        <v>1582</v>
      </c>
      <c r="BC106">
        <v>2026</v>
      </c>
      <c r="BD106">
        <v>10</v>
      </c>
      <c r="BE106">
        <v>4</v>
      </c>
      <c r="BF106" s="6">
        <f t="shared" si="3"/>
        <v>46299</v>
      </c>
      <c r="BG106">
        <f t="shared" si="4"/>
        <v>-0.33333333333575865</v>
      </c>
      <c r="BH106" t="str">
        <f t="shared" si="5"/>
        <v>COMPLY</v>
      </c>
      <c r="BI106" t="str">
        <f>VLOOKUP(H106,Sheet2!$A$1:$B$270,2,FALSE)</f>
        <v>BATU</v>
      </c>
    </row>
    <row r="107" spans="1:61">
      <c r="A107">
        <v>106</v>
      </c>
      <c r="B107">
        <v>1002623173</v>
      </c>
      <c r="C107">
        <v>3</v>
      </c>
      <c r="D107" t="s">
        <v>38</v>
      </c>
      <c r="E107">
        <v>5</v>
      </c>
      <c r="F107" t="s">
        <v>247</v>
      </c>
      <c r="G107" t="s">
        <v>87</v>
      </c>
      <c r="H107" t="s">
        <v>438</v>
      </c>
      <c r="I107" t="s">
        <v>212</v>
      </c>
      <c r="J107" t="s">
        <v>213</v>
      </c>
      <c r="K107" t="s">
        <v>149</v>
      </c>
      <c r="L107" t="s">
        <v>214</v>
      </c>
      <c r="M107" t="s">
        <v>76</v>
      </c>
      <c r="N107" t="s">
        <v>215</v>
      </c>
      <c r="O107" s="57">
        <v>46300.701157407406</v>
      </c>
      <c r="P107" s="57">
        <v>46301.52511574074</v>
      </c>
      <c r="Q107">
        <v>69404580</v>
      </c>
      <c r="S107">
        <v>152720204437</v>
      </c>
      <c r="T107" t="s">
        <v>2576</v>
      </c>
      <c r="U107" t="s">
        <v>2577</v>
      </c>
      <c r="V107" t="s">
        <v>2578</v>
      </c>
      <c r="Z107">
        <v>112.71248431009801</v>
      </c>
      <c r="AA107">
        <v>-7.8497713977779799</v>
      </c>
      <c r="AB107" t="s">
        <v>2579</v>
      </c>
      <c r="AC107" t="s">
        <v>235</v>
      </c>
      <c r="AL107" t="s">
        <v>217</v>
      </c>
      <c r="AM107" t="s">
        <v>2580</v>
      </c>
      <c r="AN107" t="s">
        <v>6</v>
      </c>
      <c r="AO107" s="57">
        <v>46152.726238425923</v>
      </c>
      <c r="AP107" s="57">
        <v>46301.625</v>
      </c>
      <c r="AR107" t="s">
        <v>218</v>
      </c>
      <c r="AS107" t="s">
        <v>566</v>
      </c>
      <c r="AT107" t="s">
        <v>230</v>
      </c>
      <c r="AU107">
        <v>20261006</v>
      </c>
      <c r="AV107" t="s">
        <v>221</v>
      </c>
      <c r="AW107" t="s">
        <v>923</v>
      </c>
      <c r="AX107" t="s">
        <v>222</v>
      </c>
      <c r="BA107" s="57">
        <v>46301.625</v>
      </c>
      <c r="BB107" t="s">
        <v>2580</v>
      </c>
      <c r="BC107">
        <v>2026</v>
      </c>
      <c r="BD107">
        <v>10</v>
      </c>
      <c r="BE107">
        <v>6</v>
      </c>
      <c r="BF107" s="6">
        <f t="shared" si="3"/>
        <v>46301</v>
      </c>
      <c r="BG107">
        <f t="shared" si="4"/>
        <v>-0.625</v>
      </c>
      <c r="BH107" t="str">
        <f t="shared" si="5"/>
        <v>COMPLY</v>
      </c>
      <c r="BI107" t="str">
        <f>VLOOKUP(H107,Sheet2!$A$1:$B$270,2,FALSE)</f>
        <v>BATU</v>
      </c>
    </row>
    <row r="108" spans="1:61">
      <c r="A108">
        <v>107</v>
      </c>
      <c r="B108">
        <v>1002624419</v>
      </c>
      <c r="C108">
        <v>3</v>
      </c>
      <c r="D108" t="s">
        <v>38</v>
      </c>
      <c r="E108">
        <v>5</v>
      </c>
      <c r="F108" t="s">
        <v>247</v>
      </c>
      <c r="G108" t="s">
        <v>87</v>
      </c>
      <c r="H108" t="s">
        <v>418</v>
      </c>
      <c r="I108" t="s">
        <v>212</v>
      </c>
      <c r="J108" t="s">
        <v>213</v>
      </c>
      <c r="K108" t="s">
        <v>149</v>
      </c>
      <c r="M108" t="s">
        <v>1583</v>
      </c>
      <c r="N108" t="s">
        <v>215</v>
      </c>
      <c r="O108" s="57">
        <v>46301.578356481485</v>
      </c>
      <c r="P108" s="57">
        <v>46301.579212962963</v>
      </c>
      <c r="Q108">
        <v>69405083</v>
      </c>
      <c r="S108">
        <v>152721299063</v>
      </c>
      <c r="T108" t="s">
        <v>3200</v>
      </c>
      <c r="Z108">
        <v>112.68279790878201</v>
      </c>
      <c r="AA108">
        <v>-7.8768153214368199</v>
      </c>
      <c r="AB108" t="s">
        <v>3201</v>
      </c>
      <c r="AC108" t="s">
        <v>225</v>
      </c>
      <c r="AO108" s="57">
        <v>46183.601145833331</v>
      </c>
      <c r="AR108" t="s">
        <v>6</v>
      </c>
      <c r="AS108" t="s">
        <v>566</v>
      </c>
      <c r="AT108" t="s">
        <v>230</v>
      </c>
      <c r="AV108" t="s">
        <v>1586</v>
      </c>
      <c r="AW108" t="s">
        <v>540</v>
      </c>
      <c r="AX108" t="s">
        <v>222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BATU</v>
      </c>
    </row>
    <row r="109" spans="1:61">
      <c r="A109">
        <v>108</v>
      </c>
      <c r="B109">
        <v>1002623870</v>
      </c>
      <c r="C109">
        <v>3</v>
      </c>
      <c r="D109" t="s">
        <v>38</v>
      </c>
      <c r="E109">
        <v>5</v>
      </c>
      <c r="F109" t="s">
        <v>247</v>
      </c>
      <c r="G109" t="s">
        <v>87</v>
      </c>
      <c r="H109" t="s">
        <v>418</v>
      </c>
      <c r="I109" t="s">
        <v>212</v>
      </c>
      <c r="J109" t="s">
        <v>213</v>
      </c>
      <c r="K109" t="s">
        <v>149</v>
      </c>
      <c r="M109" t="s">
        <v>1627</v>
      </c>
      <c r="N109" t="s">
        <v>215</v>
      </c>
      <c r="O109" s="57">
        <v>46301.445798611108</v>
      </c>
      <c r="P109" s="57">
        <v>46301.625717592593</v>
      </c>
      <c r="Q109">
        <v>69404851</v>
      </c>
      <c r="S109">
        <v>152721299061</v>
      </c>
      <c r="T109" t="s">
        <v>3200</v>
      </c>
      <c r="U109" t="s">
        <v>3202</v>
      </c>
      <c r="Z109">
        <v>112.68282499999999</v>
      </c>
      <c r="AA109">
        <v>-7.8760870000000001</v>
      </c>
      <c r="AB109" t="s">
        <v>3203</v>
      </c>
      <c r="AC109" t="s">
        <v>225</v>
      </c>
      <c r="AO109" s="57">
        <v>46183.454942129632</v>
      </c>
      <c r="AR109" t="s">
        <v>12</v>
      </c>
      <c r="AS109" t="s">
        <v>566</v>
      </c>
      <c r="AT109" t="s">
        <v>230</v>
      </c>
      <c r="AV109" t="s">
        <v>3204</v>
      </c>
      <c r="AW109" t="s">
        <v>540</v>
      </c>
      <c r="AX109" t="s">
        <v>222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BATU</v>
      </c>
    </row>
    <row r="110" spans="1:61">
      <c r="A110">
        <v>109</v>
      </c>
      <c r="B110">
        <v>1002617199</v>
      </c>
      <c r="C110">
        <v>3</v>
      </c>
      <c r="D110" t="s">
        <v>38</v>
      </c>
      <c r="E110">
        <v>5</v>
      </c>
      <c r="F110" t="s">
        <v>247</v>
      </c>
      <c r="G110" t="s">
        <v>87</v>
      </c>
      <c r="H110" t="s">
        <v>423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46296.412326388891</v>
      </c>
      <c r="P110" s="57">
        <v>46296.629166666666</v>
      </c>
      <c r="Q110">
        <v>69402128</v>
      </c>
      <c r="S110">
        <v>152717206397</v>
      </c>
      <c r="T110" t="s">
        <v>986</v>
      </c>
      <c r="U110" t="s">
        <v>987</v>
      </c>
      <c r="V110" t="s">
        <v>988</v>
      </c>
      <c r="Z110">
        <v>112.7620486</v>
      </c>
      <c r="AA110">
        <v>-8.0064463999999997</v>
      </c>
      <c r="AB110" t="s">
        <v>989</v>
      </c>
      <c r="AC110" t="s">
        <v>283</v>
      </c>
      <c r="AL110" t="s">
        <v>217</v>
      </c>
      <c r="AM110" t="s">
        <v>990</v>
      </c>
      <c r="AN110" t="s">
        <v>6</v>
      </c>
      <c r="AO110" s="57">
        <v>46032.413738425923</v>
      </c>
      <c r="AP110" s="57">
        <v>46297.333333333336</v>
      </c>
      <c r="AR110" t="s">
        <v>218</v>
      </c>
      <c r="AS110" t="s">
        <v>566</v>
      </c>
      <c r="AT110" t="s">
        <v>230</v>
      </c>
      <c r="AU110">
        <v>20261001</v>
      </c>
      <c r="AV110" t="s">
        <v>221</v>
      </c>
      <c r="AW110" t="s">
        <v>540</v>
      </c>
      <c r="AX110" t="s">
        <v>222</v>
      </c>
      <c r="BA110" s="57">
        <v>46297.333333333336</v>
      </c>
      <c r="BB110" t="s">
        <v>990</v>
      </c>
      <c r="BC110">
        <v>2026</v>
      </c>
      <c r="BD110">
        <v>10</v>
      </c>
      <c r="BE110">
        <v>1</v>
      </c>
      <c r="BF110" s="6">
        <f t="shared" si="3"/>
        <v>46296</v>
      </c>
      <c r="BG110">
        <f t="shared" si="4"/>
        <v>-1.3333333333357587</v>
      </c>
      <c r="BH110" t="str">
        <f t="shared" si="5"/>
        <v>COMPLY</v>
      </c>
      <c r="BI110" t="str">
        <f>VLOOKUP(H110,Sheet2!$A$1:$B$270,2,FALSE)</f>
        <v>BATU</v>
      </c>
    </row>
    <row r="111" spans="1:61">
      <c r="A111">
        <v>110</v>
      </c>
      <c r="B111">
        <v>1002625749</v>
      </c>
      <c r="C111">
        <v>3</v>
      </c>
      <c r="D111" t="s">
        <v>38</v>
      </c>
      <c r="E111">
        <v>5</v>
      </c>
      <c r="F111" t="s">
        <v>247</v>
      </c>
      <c r="G111" t="s">
        <v>87</v>
      </c>
      <c r="H111" t="s">
        <v>352</v>
      </c>
      <c r="I111" t="s">
        <v>212</v>
      </c>
      <c r="J111" t="s">
        <v>213</v>
      </c>
      <c r="K111" t="s">
        <v>149</v>
      </c>
      <c r="L111" t="s">
        <v>214</v>
      </c>
      <c r="M111" t="s">
        <v>224</v>
      </c>
      <c r="N111" t="s">
        <v>215</v>
      </c>
      <c r="O111" s="57">
        <v>46302.46020833333</v>
      </c>
      <c r="P111" s="57">
        <v>46303.424837962964</v>
      </c>
      <c r="Q111">
        <v>69405642</v>
      </c>
      <c r="S111">
        <v>152707239494</v>
      </c>
      <c r="T111" t="s">
        <v>3832</v>
      </c>
      <c r="U111" t="s">
        <v>3833</v>
      </c>
      <c r="V111" t="s">
        <v>3834</v>
      </c>
      <c r="Z111">
        <v>112.561160168562</v>
      </c>
      <c r="AA111">
        <v>-7.8658375008197599</v>
      </c>
      <c r="AB111" t="s">
        <v>3835</v>
      </c>
      <c r="AC111" t="s">
        <v>235</v>
      </c>
      <c r="AL111" t="s">
        <v>217</v>
      </c>
      <c r="AM111" t="s">
        <v>3836</v>
      </c>
      <c r="AN111" t="s">
        <v>6</v>
      </c>
      <c r="AO111" s="57">
        <v>46213.475960648146</v>
      </c>
      <c r="AP111" s="57">
        <v>46303.333333333336</v>
      </c>
      <c r="AR111" t="s">
        <v>18</v>
      </c>
      <c r="AS111" t="s">
        <v>87</v>
      </c>
      <c r="AT111" t="s">
        <v>342</v>
      </c>
      <c r="AV111" t="s">
        <v>226</v>
      </c>
      <c r="AW111" t="s">
        <v>885</v>
      </c>
      <c r="AX111" t="s">
        <v>222</v>
      </c>
      <c r="BA111" s="57">
        <v>46303.333333333336</v>
      </c>
      <c r="BB111" t="s">
        <v>3836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BATU</v>
      </c>
    </row>
    <row r="112" spans="1:61">
      <c r="A112">
        <v>111</v>
      </c>
      <c r="B112">
        <v>1002619877</v>
      </c>
      <c r="C112">
        <v>3</v>
      </c>
      <c r="D112" t="s">
        <v>38</v>
      </c>
      <c r="E112">
        <v>5</v>
      </c>
      <c r="F112" t="s">
        <v>247</v>
      </c>
      <c r="G112" t="s">
        <v>87</v>
      </c>
      <c r="H112" t="s">
        <v>352</v>
      </c>
      <c r="I112" t="s">
        <v>212</v>
      </c>
      <c r="J112" t="s">
        <v>213</v>
      </c>
      <c r="K112" t="s">
        <v>149</v>
      </c>
      <c r="M112" t="s">
        <v>1583</v>
      </c>
      <c r="N112" t="s">
        <v>215</v>
      </c>
      <c r="O112" s="57">
        <v>46297.581550925926</v>
      </c>
      <c r="P112" s="57">
        <v>46297.582685185182</v>
      </c>
      <c r="Q112">
        <v>69403129</v>
      </c>
      <c r="S112">
        <v>152707239477</v>
      </c>
      <c r="T112" t="s">
        <v>1584</v>
      </c>
      <c r="Z112">
        <v>112.518196105957</v>
      </c>
      <c r="AA112">
        <v>-7.8968585074744402</v>
      </c>
      <c r="AB112" t="s">
        <v>1585</v>
      </c>
      <c r="AC112" t="s">
        <v>225</v>
      </c>
      <c r="AO112" s="57">
        <v>46063.61105324074</v>
      </c>
      <c r="AR112" t="s">
        <v>6</v>
      </c>
      <c r="AS112" t="s">
        <v>87</v>
      </c>
      <c r="AT112" t="s">
        <v>230</v>
      </c>
      <c r="AV112" t="s">
        <v>1586</v>
      </c>
      <c r="AW112" t="s">
        <v>1587</v>
      </c>
      <c r="AX112" t="s">
        <v>222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BATU</v>
      </c>
    </row>
    <row r="113" spans="1:61">
      <c r="A113">
        <v>112</v>
      </c>
      <c r="B113">
        <v>1002618310</v>
      </c>
      <c r="C113">
        <v>3</v>
      </c>
      <c r="D113" t="s">
        <v>38</v>
      </c>
      <c r="E113">
        <v>5</v>
      </c>
      <c r="F113" t="s">
        <v>247</v>
      </c>
      <c r="G113" t="s">
        <v>87</v>
      </c>
      <c r="H113" t="s">
        <v>248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46296.640486111108</v>
      </c>
      <c r="P113" s="57">
        <v>46296.736701388887</v>
      </c>
      <c r="Q113">
        <v>69399650</v>
      </c>
      <c r="S113">
        <v>152702232862</v>
      </c>
      <c r="T113" t="s">
        <v>916</v>
      </c>
      <c r="U113" t="s">
        <v>991</v>
      </c>
      <c r="V113" t="s">
        <v>992</v>
      </c>
      <c r="Z113">
        <v>112.6462487</v>
      </c>
      <c r="AA113">
        <v>-7.9537868999999999</v>
      </c>
      <c r="AB113" t="s">
        <v>917</v>
      </c>
      <c r="AC113" t="s">
        <v>229</v>
      </c>
      <c r="AL113" t="s">
        <v>217</v>
      </c>
      <c r="AM113" t="s">
        <v>993</v>
      </c>
      <c r="AN113" t="s">
        <v>6</v>
      </c>
      <c r="AO113" s="57">
        <v>46032.642337962963</v>
      </c>
      <c r="AR113" t="s">
        <v>218</v>
      </c>
      <c r="AS113" t="s">
        <v>845</v>
      </c>
      <c r="AT113" t="s">
        <v>230</v>
      </c>
      <c r="AU113">
        <v>20261001</v>
      </c>
      <c r="AV113" t="s">
        <v>221</v>
      </c>
      <c r="AW113" t="s">
        <v>541</v>
      </c>
      <c r="AX113" t="s">
        <v>222</v>
      </c>
      <c r="BA113" s="57">
        <v>46296.291666666664</v>
      </c>
      <c r="BB113" t="s">
        <v>993</v>
      </c>
      <c r="BC113">
        <v>2026</v>
      </c>
      <c r="BD113">
        <v>10</v>
      </c>
      <c r="BE113">
        <v>1</v>
      </c>
      <c r="BF113" s="6">
        <f t="shared" si="3"/>
        <v>46296</v>
      </c>
      <c r="BG113">
        <f t="shared" si="4"/>
        <v>-0.29166666666424135</v>
      </c>
      <c r="BH113" t="str">
        <f t="shared" si="5"/>
        <v>COMPLY</v>
      </c>
      <c r="BI113" t="str">
        <f>VLOOKUP(H113,Sheet2!$A$1:$B$270,2,FALSE)</f>
        <v>BATU</v>
      </c>
    </row>
    <row r="114" spans="1:61">
      <c r="A114">
        <v>113</v>
      </c>
      <c r="B114">
        <v>1002619594</v>
      </c>
      <c r="C114">
        <v>3</v>
      </c>
      <c r="D114" t="s">
        <v>38</v>
      </c>
      <c r="E114">
        <v>5</v>
      </c>
      <c r="F114" t="s">
        <v>247</v>
      </c>
      <c r="G114" t="s">
        <v>87</v>
      </c>
      <c r="H114" t="s">
        <v>248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46297.489386574074</v>
      </c>
      <c r="P114" s="57">
        <v>46297.828055555554</v>
      </c>
      <c r="Q114">
        <v>69396803</v>
      </c>
      <c r="S114">
        <v>152702232877</v>
      </c>
      <c r="T114" t="s">
        <v>1588</v>
      </c>
      <c r="U114" t="s">
        <v>1589</v>
      </c>
      <c r="V114" t="s">
        <v>1590</v>
      </c>
      <c r="Z114">
        <v>112.6561858</v>
      </c>
      <c r="AA114">
        <v>-7.9213461000000001</v>
      </c>
      <c r="AB114" t="s">
        <v>1591</v>
      </c>
      <c r="AC114" t="s">
        <v>216</v>
      </c>
      <c r="AL114" t="s">
        <v>217</v>
      </c>
      <c r="AM114" t="s">
        <v>1592</v>
      </c>
      <c r="AN114" t="s">
        <v>6</v>
      </c>
      <c r="AO114" s="57">
        <v>46063.507453703707</v>
      </c>
      <c r="AR114" t="s">
        <v>218</v>
      </c>
      <c r="AS114" t="s">
        <v>845</v>
      </c>
      <c r="AT114" t="s">
        <v>342</v>
      </c>
      <c r="AU114">
        <v>20261002</v>
      </c>
      <c r="AV114" t="s">
        <v>221</v>
      </c>
      <c r="AW114" t="s">
        <v>1593</v>
      </c>
      <c r="AX114" t="s">
        <v>222</v>
      </c>
      <c r="BA114" s="57">
        <v>46297.291666666664</v>
      </c>
      <c r="BB114" t="s">
        <v>1592</v>
      </c>
      <c r="BC114">
        <v>2026</v>
      </c>
      <c r="BD114">
        <v>10</v>
      </c>
      <c r="BE114">
        <v>2</v>
      </c>
      <c r="BF114" s="6">
        <f t="shared" si="3"/>
        <v>46297</v>
      </c>
      <c r="BG114">
        <f t="shared" si="4"/>
        <v>-0.29166666666424135</v>
      </c>
      <c r="BH114" t="str">
        <f t="shared" si="5"/>
        <v>COMPLY</v>
      </c>
      <c r="BI114" t="str">
        <f>VLOOKUP(H114,Sheet2!$A$1:$B$270,2,FALSE)</f>
        <v>BATU</v>
      </c>
    </row>
    <row r="115" spans="1:61">
      <c r="A115">
        <v>114</v>
      </c>
      <c r="B115">
        <v>1002620916</v>
      </c>
      <c r="C115">
        <v>3</v>
      </c>
      <c r="D115" t="s">
        <v>38</v>
      </c>
      <c r="E115">
        <v>5</v>
      </c>
      <c r="F115" t="s">
        <v>247</v>
      </c>
      <c r="G115" t="s">
        <v>87</v>
      </c>
      <c r="H115" t="s">
        <v>248</v>
      </c>
      <c r="I115" t="s">
        <v>212</v>
      </c>
      <c r="J115" t="s">
        <v>213</v>
      </c>
      <c r="K115" t="s">
        <v>149</v>
      </c>
      <c r="L115" t="s">
        <v>214</v>
      </c>
      <c r="M115" t="s">
        <v>76</v>
      </c>
      <c r="N115" t="s">
        <v>215</v>
      </c>
      <c r="O115" s="57">
        <v>46298.503599537034</v>
      </c>
      <c r="P115" s="57">
        <v>46299.322835648149</v>
      </c>
      <c r="Q115">
        <v>69403561</v>
      </c>
      <c r="S115">
        <v>152702248507</v>
      </c>
      <c r="T115" t="s">
        <v>1594</v>
      </c>
      <c r="U115" t="s">
        <v>1595</v>
      </c>
      <c r="V115" t="s">
        <v>1596</v>
      </c>
      <c r="Z115">
        <v>112.6179394</v>
      </c>
      <c r="AA115">
        <v>-7.9482950999999904</v>
      </c>
      <c r="AB115" t="s">
        <v>1597</v>
      </c>
      <c r="AC115" t="s">
        <v>235</v>
      </c>
      <c r="AL115" t="s">
        <v>217</v>
      </c>
      <c r="AM115" t="s">
        <v>1598</v>
      </c>
      <c r="AN115" t="s">
        <v>6</v>
      </c>
      <c r="AO115" s="57">
        <v>46091.517858796295</v>
      </c>
      <c r="AP115" s="57">
        <v>46299.458333333336</v>
      </c>
      <c r="AR115" t="s">
        <v>218</v>
      </c>
      <c r="AS115" t="s">
        <v>845</v>
      </c>
      <c r="AT115" t="s">
        <v>230</v>
      </c>
      <c r="AU115">
        <v>20261004</v>
      </c>
      <c r="AV115" t="s">
        <v>221</v>
      </c>
      <c r="AW115" t="s">
        <v>923</v>
      </c>
      <c r="AX115" t="s">
        <v>222</v>
      </c>
      <c r="BA115" s="57">
        <v>46299.458333333336</v>
      </c>
      <c r="BB115" t="s">
        <v>1598</v>
      </c>
      <c r="BC115">
        <v>2026</v>
      </c>
      <c r="BD115">
        <v>10</v>
      </c>
      <c r="BE115">
        <v>4</v>
      </c>
      <c r="BF115" s="6">
        <f t="shared" si="3"/>
        <v>46299</v>
      </c>
      <c r="BG115">
        <f t="shared" si="4"/>
        <v>-0.45833333333575865</v>
      </c>
      <c r="BH115" t="str">
        <f t="shared" si="5"/>
        <v>COMPLY</v>
      </c>
      <c r="BI115" t="str">
        <f>VLOOKUP(H115,Sheet2!$A$1:$B$270,2,FALSE)</f>
        <v>BATU</v>
      </c>
    </row>
    <row r="116" spans="1:61">
      <c r="A116">
        <v>115</v>
      </c>
      <c r="B116">
        <v>1002625771</v>
      </c>
      <c r="C116">
        <v>3</v>
      </c>
      <c r="D116" t="s">
        <v>38</v>
      </c>
      <c r="E116">
        <v>5</v>
      </c>
      <c r="F116" t="s">
        <v>247</v>
      </c>
      <c r="G116" t="s">
        <v>87</v>
      </c>
      <c r="H116" t="s">
        <v>248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46302.466446759259</v>
      </c>
      <c r="P116" s="57">
        <v>46302.732303240744</v>
      </c>
      <c r="Q116">
        <v>69405661</v>
      </c>
      <c r="S116">
        <v>152702232934</v>
      </c>
      <c r="T116" t="s">
        <v>3837</v>
      </c>
      <c r="U116" t="s">
        <v>3838</v>
      </c>
      <c r="V116" t="s">
        <v>3839</v>
      </c>
      <c r="Z116">
        <v>112.649908263366</v>
      </c>
      <c r="AA116">
        <v>-7.9127982323554704</v>
      </c>
      <c r="AB116" t="s">
        <v>3840</v>
      </c>
      <c r="AC116" t="s">
        <v>235</v>
      </c>
      <c r="AL116" t="s">
        <v>217</v>
      </c>
      <c r="AM116" t="s">
        <v>3841</v>
      </c>
      <c r="AN116" t="s">
        <v>6</v>
      </c>
      <c r="AO116" s="57">
        <v>46213.475960648146</v>
      </c>
      <c r="AP116" s="57">
        <v>46303.333333333336</v>
      </c>
      <c r="AR116" t="s">
        <v>218</v>
      </c>
      <c r="AS116" t="s">
        <v>845</v>
      </c>
      <c r="AT116" t="s">
        <v>220</v>
      </c>
      <c r="AU116">
        <v>20261007</v>
      </c>
      <c r="AV116" t="s">
        <v>221</v>
      </c>
      <c r="AW116" t="s">
        <v>869</v>
      </c>
      <c r="AX116" t="s">
        <v>222</v>
      </c>
      <c r="BA116" s="57">
        <v>46303.333333333336</v>
      </c>
      <c r="BB116" t="s">
        <v>3841</v>
      </c>
      <c r="BC116">
        <v>2026</v>
      </c>
      <c r="BD116">
        <v>10</v>
      </c>
      <c r="BE116">
        <v>7</v>
      </c>
      <c r="BF116" s="6">
        <f t="shared" si="3"/>
        <v>46302</v>
      </c>
      <c r="BG116">
        <f t="shared" si="4"/>
        <v>-1.3333333333357587</v>
      </c>
      <c r="BH116" t="str">
        <f t="shared" si="5"/>
        <v>COMPLY</v>
      </c>
      <c r="BI116" t="str">
        <f>VLOOKUP(H116,Sheet2!$A$1:$B$270,2,FALSE)</f>
        <v>BATU</v>
      </c>
    </row>
    <row r="117" spans="1:61">
      <c r="A117">
        <v>116</v>
      </c>
      <c r="B117">
        <v>1002625748</v>
      </c>
      <c r="C117">
        <v>3</v>
      </c>
      <c r="D117" t="s">
        <v>38</v>
      </c>
      <c r="E117">
        <v>5</v>
      </c>
      <c r="F117" t="s">
        <v>247</v>
      </c>
      <c r="G117" t="s">
        <v>87</v>
      </c>
      <c r="H117" t="s">
        <v>248</v>
      </c>
      <c r="I117" t="s">
        <v>212</v>
      </c>
      <c r="J117" t="s">
        <v>213</v>
      </c>
      <c r="K117" t="s">
        <v>149</v>
      </c>
      <c r="L117" t="s">
        <v>826</v>
      </c>
      <c r="M117" t="s">
        <v>279</v>
      </c>
      <c r="N117" t="s">
        <v>215</v>
      </c>
      <c r="O117" s="57">
        <v>46302.459502314814</v>
      </c>
      <c r="P117" s="57">
        <v>46303.32608796296</v>
      </c>
      <c r="Q117">
        <v>69405656</v>
      </c>
      <c r="R117">
        <v>3414391682</v>
      </c>
      <c r="S117">
        <v>152702232586</v>
      </c>
      <c r="T117" t="s">
        <v>3842</v>
      </c>
      <c r="U117" t="s">
        <v>3843</v>
      </c>
      <c r="V117" t="s">
        <v>3844</v>
      </c>
      <c r="Z117">
        <v>112.62810498476</v>
      </c>
      <c r="AA117">
        <v>-7.9093879938392497</v>
      </c>
      <c r="AB117" t="s">
        <v>3845</v>
      </c>
      <c r="AC117" t="s">
        <v>216</v>
      </c>
      <c r="AL117" t="s">
        <v>217</v>
      </c>
      <c r="AM117" t="s">
        <v>3846</v>
      </c>
      <c r="AN117" t="s">
        <v>6</v>
      </c>
      <c r="AO117" s="57">
        <v>46213.475960648146</v>
      </c>
      <c r="AP117" s="57">
        <v>46303.333333333336</v>
      </c>
      <c r="AR117" t="s">
        <v>239</v>
      </c>
      <c r="AS117" t="s">
        <v>845</v>
      </c>
      <c r="AT117" t="s">
        <v>230</v>
      </c>
      <c r="AV117" t="s">
        <v>799</v>
      </c>
      <c r="AW117" t="s">
        <v>3847</v>
      </c>
      <c r="AX117" t="s">
        <v>222</v>
      </c>
      <c r="BA117" s="57">
        <v>46303.333333333336</v>
      </c>
      <c r="BB117" t="s">
        <v>3846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BATU</v>
      </c>
    </row>
    <row r="118" spans="1:61">
      <c r="A118">
        <v>117</v>
      </c>
      <c r="B118">
        <v>1002620870</v>
      </c>
      <c r="C118">
        <v>3</v>
      </c>
      <c r="D118" t="s">
        <v>38</v>
      </c>
      <c r="E118">
        <v>5</v>
      </c>
      <c r="F118" t="s">
        <v>247</v>
      </c>
      <c r="G118" t="s">
        <v>87</v>
      </c>
      <c r="H118" t="s">
        <v>437</v>
      </c>
      <c r="I118" t="s">
        <v>212</v>
      </c>
      <c r="J118" t="s">
        <v>213</v>
      </c>
      <c r="K118" t="s">
        <v>149</v>
      </c>
      <c r="M118" t="s">
        <v>279</v>
      </c>
      <c r="N118" t="s">
        <v>563</v>
      </c>
      <c r="O118" s="57">
        <v>46298.476145833331</v>
      </c>
      <c r="P118" s="57">
        <v>46300.224872685183</v>
      </c>
      <c r="Q118">
        <v>69403484</v>
      </c>
      <c r="S118">
        <v>152710214293</v>
      </c>
      <c r="T118" t="s">
        <v>1599</v>
      </c>
      <c r="U118" t="s">
        <v>1600</v>
      </c>
      <c r="V118" t="s">
        <v>1601</v>
      </c>
      <c r="Z118">
        <v>112.68331019999999</v>
      </c>
      <c r="AA118">
        <v>-7.9638188000000003</v>
      </c>
      <c r="AB118" t="s">
        <v>1602</v>
      </c>
      <c r="AC118" t="s">
        <v>229</v>
      </c>
      <c r="AL118" t="s">
        <v>217</v>
      </c>
      <c r="AM118" t="s">
        <v>1603</v>
      </c>
      <c r="AN118" t="s">
        <v>6</v>
      </c>
      <c r="AO118" s="57">
        <v>46091.486087962963</v>
      </c>
      <c r="AP118" s="57">
        <v>46300.333333333336</v>
      </c>
      <c r="AR118" t="s">
        <v>239</v>
      </c>
      <c r="AS118" t="s">
        <v>566</v>
      </c>
      <c r="AT118" t="s">
        <v>230</v>
      </c>
      <c r="AV118" t="s">
        <v>799</v>
      </c>
      <c r="AW118" t="s">
        <v>540</v>
      </c>
      <c r="AX118" t="s">
        <v>222</v>
      </c>
      <c r="BA118" s="57">
        <v>46300.333333333336</v>
      </c>
      <c r="BB118" t="s">
        <v>1603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BATU</v>
      </c>
    </row>
    <row r="119" spans="1:61">
      <c r="A119">
        <v>118</v>
      </c>
      <c r="B119">
        <v>1002622541</v>
      </c>
      <c r="C119">
        <v>3</v>
      </c>
      <c r="D119" t="s">
        <v>38</v>
      </c>
      <c r="E119">
        <v>5</v>
      </c>
      <c r="F119" t="s">
        <v>90</v>
      </c>
      <c r="G119" t="s">
        <v>88</v>
      </c>
      <c r="H119" t="s">
        <v>341</v>
      </c>
      <c r="I119" t="s">
        <v>212</v>
      </c>
      <c r="J119" t="s">
        <v>213</v>
      </c>
      <c r="K119" t="s">
        <v>149</v>
      </c>
      <c r="L119" t="s">
        <v>214</v>
      </c>
      <c r="M119" t="s">
        <v>76</v>
      </c>
      <c r="N119" t="s">
        <v>215</v>
      </c>
      <c r="O119" s="57">
        <v>46300.581018518518</v>
      </c>
      <c r="P119" s="57">
        <v>46300.73883101852</v>
      </c>
      <c r="Q119">
        <v>69404406</v>
      </c>
      <c r="S119">
        <v>152736203849</v>
      </c>
      <c r="T119" t="s">
        <v>2581</v>
      </c>
      <c r="U119" t="s">
        <v>2582</v>
      </c>
      <c r="V119" t="s">
        <v>2583</v>
      </c>
      <c r="Z119">
        <v>112.057755</v>
      </c>
      <c r="AA119">
        <v>-8.0763940000000005</v>
      </c>
      <c r="AB119" t="s">
        <v>2584</v>
      </c>
      <c r="AC119" t="s">
        <v>235</v>
      </c>
      <c r="AL119" t="s">
        <v>217</v>
      </c>
      <c r="AM119" t="s">
        <v>2585</v>
      </c>
      <c r="AN119" t="s">
        <v>6</v>
      </c>
      <c r="AO119" s="57">
        <v>46152.601203703707</v>
      </c>
      <c r="AP119" s="57">
        <v>46301.458333333336</v>
      </c>
      <c r="AR119" t="s">
        <v>218</v>
      </c>
      <c r="AS119" t="s">
        <v>219</v>
      </c>
      <c r="AT119" t="s">
        <v>230</v>
      </c>
      <c r="AU119">
        <v>20261005</v>
      </c>
      <c r="AV119" t="s">
        <v>221</v>
      </c>
      <c r="AW119" t="s">
        <v>876</v>
      </c>
      <c r="AX119" t="s">
        <v>222</v>
      </c>
      <c r="BA119" s="57">
        <v>46301.458333333336</v>
      </c>
      <c r="BB119" t="s">
        <v>2585</v>
      </c>
      <c r="BC119">
        <v>2026</v>
      </c>
      <c r="BD119">
        <v>10</v>
      </c>
      <c r="BE119">
        <v>5</v>
      </c>
      <c r="BF119" s="6">
        <f t="shared" si="3"/>
        <v>46300</v>
      </c>
      <c r="BG119">
        <f t="shared" si="4"/>
        <v>-1.4583333333357587</v>
      </c>
      <c r="BH119" t="str">
        <f t="shared" si="5"/>
        <v>COMPLY</v>
      </c>
      <c r="BI119" t="str">
        <f>VLOOKUP(H119,Sheet2!$A$1:$B$270,2,FALSE)</f>
        <v>BLITAR</v>
      </c>
    </row>
    <row r="120" spans="1:61">
      <c r="A120">
        <v>119</v>
      </c>
      <c r="B120">
        <v>1002618740</v>
      </c>
      <c r="C120">
        <v>3</v>
      </c>
      <c r="D120" t="s">
        <v>38</v>
      </c>
      <c r="E120">
        <v>5</v>
      </c>
      <c r="F120" t="s">
        <v>90</v>
      </c>
      <c r="G120" t="s">
        <v>88</v>
      </c>
      <c r="H120" t="s">
        <v>453</v>
      </c>
      <c r="I120" t="s">
        <v>212</v>
      </c>
      <c r="J120" t="s">
        <v>213</v>
      </c>
      <c r="K120" t="s">
        <v>149</v>
      </c>
      <c r="L120" t="s">
        <v>214</v>
      </c>
      <c r="M120" t="s">
        <v>76</v>
      </c>
      <c r="N120" t="s">
        <v>215</v>
      </c>
      <c r="O120" s="57">
        <v>46296.732349537036</v>
      </c>
      <c r="P120" s="57">
        <v>46297.56758101852</v>
      </c>
      <c r="Q120">
        <v>69402633</v>
      </c>
      <c r="S120">
        <v>152737202990</v>
      </c>
      <c r="T120" t="s">
        <v>994</v>
      </c>
      <c r="U120" t="s">
        <v>995</v>
      </c>
      <c r="V120" t="s">
        <v>996</v>
      </c>
      <c r="Z120">
        <v>112.282687</v>
      </c>
      <c r="AA120">
        <v>-8.1238980000000005</v>
      </c>
      <c r="AB120" t="s">
        <v>997</v>
      </c>
      <c r="AC120" t="s">
        <v>235</v>
      </c>
      <c r="AL120" t="s">
        <v>217</v>
      </c>
      <c r="AM120" t="s">
        <v>998</v>
      </c>
      <c r="AN120" t="s">
        <v>6</v>
      </c>
      <c r="AO120" s="57">
        <v>46032.736354166664</v>
      </c>
      <c r="AP120" s="57">
        <v>46297.625</v>
      </c>
      <c r="AR120" t="s">
        <v>218</v>
      </c>
      <c r="AS120" t="s">
        <v>550</v>
      </c>
      <c r="AT120" t="s">
        <v>342</v>
      </c>
      <c r="AU120">
        <v>20261002</v>
      </c>
      <c r="AV120" t="s">
        <v>221</v>
      </c>
      <c r="AW120" t="s">
        <v>901</v>
      </c>
      <c r="AX120" t="s">
        <v>222</v>
      </c>
      <c r="BA120" s="57">
        <v>46297.625</v>
      </c>
      <c r="BB120" t="s">
        <v>998</v>
      </c>
      <c r="BC120">
        <v>2026</v>
      </c>
      <c r="BD120">
        <v>10</v>
      </c>
      <c r="BE120">
        <v>2</v>
      </c>
      <c r="BF120" s="6">
        <f t="shared" si="3"/>
        <v>46297</v>
      </c>
      <c r="BG120">
        <f t="shared" si="4"/>
        <v>-0.625</v>
      </c>
      <c r="BH120" t="str">
        <f t="shared" si="5"/>
        <v>COMPLY</v>
      </c>
      <c r="BI120" t="str">
        <f>VLOOKUP(H120,Sheet2!$A$1:$B$270,2,FALSE)</f>
        <v>BLITAR</v>
      </c>
    </row>
    <row r="121" spans="1:61">
      <c r="A121">
        <v>120</v>
      </c>
      <c r="B121">
        <v>1002624647</v>
      </c>
      <c r="C121">
        <v>3</v>
      </c>
      <c r="D121" t="s">
        <v>38</v>
      </c>
      <c r="E121">
        <v>5</v>
      </c>
      <c r="F121" t="s">
        <v>90</v>
      </c>
      <c r="G121" t="s">
        <v>88</v>
      </c>
      <c r="H121" t="s">
        <v>453</v>
      </c>
      <c r="I121" t="s">
        <v>212</v>
      </c>
      <c r="J121" t="s">
        <v>213</v>
      </c>
      <c r="K121" t="s">
        <v>149</v>
      </c>
      <c r="L121" t="s">
        <v>214</v>
      </c>
      <c r="M121" t="s">
        <v>76</v>
      </c>
      <c r="N121" t="s">
        <v>215</v>
      </c>
      <c r="O121" s="57">
        <v>46301.61990740741</v>
      </c>
      <c r="P121" s="57">
        <v>46301.787488425929</v>
      </c>
      <c r="Q121">
        <v>69405198</v>
      </c>
      <c r="S121">
        <v>152737203167</v>
      </c>
      <c r="T121" t="s">
        <v>3205</v>
      </c>
      <c r="U121" t="s">
        <v>3206</v>
      </c>
      <c r="V121" t="s">
        <v>3207</v>
      </c>
      <c r="Z121">
        <v>112.286918</v>
      </c>
      <c r="AA121">
        <v>-8.0895279999999996</v>
      </c>
      <c r="AB121" t="s">
        <v>3208</v>
      </c>
      <c r="AC121" t="s">
        <v>235</v>
      </c>
      <c r="AL121" t="s">
        <v>217</v>
      </c>
      <c r="AM121" t="s">
        <v>3209</v>
      </c>
      <c r="AN121" t="s">
        <v>6</v>
      </c>
      <c r="AO121" s="57">
        <v>46183.621979166666</v>
      </c>
      <c r="AP121" s="57">
        <v>46302.458333333336</v>
      </c>
      <c r="AR121" t="s">
        <v>218</v>
      </c>
      <c r="AS121" t="s">
        <v>550</v>
      </c>
      <c r="AT121" t="s">
        <v>342</v>
      </c>
      <c r="AU121">
        <v>20261006</v>
      </c>
      <c r="AV121" t="s">
        <v>221</v>
      </c>
      <c r="AW121" t="s">
        <v>3210</v>
      </c>
      <c r="AX121" t="s">
        <v>222</v>
      </c>
      <c r="BA121" s="57">
        <v>46302.458333333336</v>
      </c>
      <c r="BB121" t="s">
        <v>3209</v>
      </c>
      <c r="BC121">
        <v>2026</v>
      </c>
      <c r="BD121">
        <v>10</v>
      </c>
      <c r="BE121">
        <v>6</v>
      </c>
      <c r="BF121" s="6">
        <f t="shared" si="3"/>
        <v>46301</v>
      </c>
      <c r="BG121">
        <f t="shared" si="4"/>
        <v>-1.4583333333357587</v>
      </c>
      <c r="BH121" t="str">
        <f t="shared" si="5"/>
        <v>COMPLY</v>
      </c>
      <c r="BI121" t="str">
        <f>VLOOKUP(H121,Sheet2!$A$1:$B$270,2,FALSE)</f>
        <v>BLITAR</v>
      </c>
    </row>
    <row r="122" spans="1:61">
      <c r="A122">
        <v>121</v>
      </c>
      <c r="B122">
        <v>1002620821</v>
      </c>
      <c r="C122">
        <v>3</v>
      </c>
      <c r="D122" t="s">
        <v>38</v>
      </c>
      <c r="E122">
        <v>5</v>
      </c>
      <c r="F122" t="s">
        <v>90</v>
      </c>
      <c r="G122" t="s">
        <v>98</v>
      </c>
      <c r="H122" t="s">
        <v>506</v>
      </c>
      <c r="I122" t="s">
        <v>212</v>
      </c>
      <c r="J122" t="s">
        <v>213</v>
      </c>
      <c r="K122" t="s">
        <v>149</v>
      </c>
      <c r="L122" t="s">
        <v>214</v>
      </c>
      <c r="M122" t="s">
        <v>76</v>
      </c>
      <c r="N122" t="s">
        <v>215</v>
      </c>
      <c r="O122" s="57">
        <v>46298.434421296297</v>
      </c>
      <c r="P122" s="57">
        <v>46298.710335648146</v>
      </c>
      <c r="Q122">
        <v>69403511</v>
      </c>
      <c r="S122">
        <v>152637211616</v>
      </c>
      <c r="T122" t="s">
        <v>1604</v>
      </c>
      <c r="U122" t="s">
        <v>1605</v>
      </c>
      <c r="V122" t="s">
        <v>1606</v>
      </c>
      <c r="Z122">
        <v>111.991340853273</v>
      </c>
      <c r="AA122">
        <v>-8.1386068885492904</v>
      </c>
      <c r="AB122" t="s">
        <v>1607</v>
      </c>
      <c r="AC122" t="s">
        <v>216</v>
      </c>
      <c r="AL122" t="s">
        <v>217</v>
      </c>
      <c r="AM122" t="s">
        <v>1608</v>
      </c>
      <c r="AN122" t="s">
        <v>6</v>
      </c>
      <c r="AO122" s="57">
        <v>46091.444571759261</v>
      </c>
      <c r="AP122" s="57">
        <v>46299.333333333336</v>
      </c>
      <c r="AR122" t="s">
        <v>218</v>
      </c>
      <c r="AS122" t="s">
        <v>98</v>
      </c>
      <c r="AT122" t="s">
        <v>230</v>
      </c>
      <c r="AU122">
        <v>20261003</v>
      </c>
      <c r="AV122" t="s">
        <v>221</v>
      </c>
      <c r="AW122" t="s">
        <v>878</v>
      </c>
      <c r="AX122" t="s">
        <v>222</v>
      </c>
      <c r="BA122" s="57">
        <v>46299.333333333336</v>
      </c>
      <c r="BB122" t="s">
        <v>1608</v>
      </c>
      <c r="BC122">
        <v>2026</v>
      </c>
      <c r="BD122">
        <v>10</v>
      </c>
      <c r="BE122">
        <v>3</v>
      </c>
      <c r="BF122" s="6">
        <f t="shared" si="3"/>
        <v>46298</v>
      </c>
      <c r="BG122">
        <f t="shared" si="4"/>
        <v>-1.3333333333357587</v>
      </c>
      <c r="BH122" t="str">
        <f t="shared" si="5"/>
        <v>COMPLY</v>
      </c>
      <c r="BI122" t="str">
        <f>VLOOKUP(H122,Sheet2!$A$1:$B$270,2,FALSE)</f>
        <v>BLITAR</v>
      </c>
    </row>
    <row r="123" spans="1:61">
      <c r="A123">
        <v>122</v>
      </c>
      <c r="B123">
        <v>1002626571</v>
      </c>
      <c r="C123">
        <v>3</v>
      </c>
      <c r="D123" t="s">
        <v>38</v>
      </c>
      <c r="E123">
        <v>5</v>
      </c>
      <c r="F123" t="s">
        <v>90</v>
      </c>
      <c r="G123" t="s">
        <v>98</v>
      </c>
      <c r="H123" t="s">
        <v>506</v>
      </c>
      <c r="I123" t="s">
        <v>212</v>
      </c>
      <c r="J123" t="s">
        <v>213</v>
      </c>
      <c r="K123" t="s">
        <v>149</v>
      </c>
      <c r="L123" t="s">
        <v>214</v>
      </c>
      <c r="M123" t="s">
        <v>238</v>
      </c>
      <c r="N123" t="s">
        <v>215</v>
      </c>
      <c r="O123" s="57">
        <v>46302.645532407405</v>
      </c>
      <c r="P123" s="57">
        <v>46302.647233796299</v>
      </c>
      <c r="Q123">
        <v>69406011</v>
      </c>
      <c r="S123">
        <v>152637211619</v>
      </c>
      <c r="T123" t="s">
        <v>3848</v>
      </c>
      <c r="U123" t="s">
        <v>3849</v>
      </c>
      <c r="V123" t="s">
        <v>3850</v>
      </c>
      <c r="Z123">
        <v>112.058847</v>
      </c>
      <c r="AA123">
        <v>-8.1209959000000005</v>
      </c>
      <c r="AB123" t="s">
        <v>3851</v>
      </c>
      <c r="AC123" t="s">
        <v>235</v>
      </c>
      <c r="AL123" t="s">
        <v>217</v>
      </c>
      <c r="AM123" t="s">
        <v>3852</v>
      </c>
      <c r="AN123" t="s">
        <v>6</v>
      </c>
      <c r="AO123" s="57">
        <v>46213.66333333333</v>
      </c>
      <c r="AP123" s="57">
        <v>46303.625</v>
      </c>
      <c r="AR123" t="s">
        <v>239</v>
      </c>
      <c r="AS123" t="s">
        <v>98</v>
      </c>
      <c r="AT123" t="s">
        <v>342</v>
      </c>
      <c r="AV123" t="s">
        <v>238</v>
      </c>
      <c r="AW123" t="s">
        <v>1904</v>
      </c>
      <c r="AX123" t="s">
        <v>222</v>
      </c>
      <c r="BA123" s="57">
        <v>46303.625</v>
      </c>
      <c r="BB123" t="s">
        <v>3852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BLITAR</v>
      </c>
    </row>
    <row r="124" spans="1:61">
      <c r="A124">
        <v>123</v>
      </c>
      <c r="B124">
        <v>1002627130</v>
      </c>
      <c r="C124">
        <v>3</v>
      </c>
      <c r="D124" t="s">
        <v>38</v>
      </c>
      <c r="E124">
        <v>5</v>
      </c>
      <c r="F124" t="s">
        <v>90</v>
      </c>
      <c r="G124" t="s">
        <v>98</v>
      </c>
      <c r="H124" t="s">
        <v>506</v>
      </c>
      <c r="I124" t="s">
        <v>212</v>
      </c>
      <c r="J124" t="s">
        <v>213</v>
      </c>
      <c r="K124" t="s">
        <v>149</v>
      </c>
      <c r="L124" t="s">
        <v>214</v>
      </c>
      <c r="M124" t="s">
        <v>238</v>
      </c>
      <c r="N124" t="s">
        <v>215</v>
      </c>
      <c r="O124" s="57">
        <v>46303.372696759259</v>
      </c>
      <c r="P124" s="57">
        <v>46303.373622685183</v>
      </c>
      <c r="Q124">
        <v>69406224</v>
      </c>
      <c r="S124">
        <v>152637211986</v>
      </c>
      <c r="T124" t="s">
        <v>3853</v>
      </c>
      <c r="U124" t="s">
        <v>3854</v>
      </c>
      <c r="V124" t="s">
        <v>3855</v>
      </c>
      <c r="Z124">
        <v>112.0115211</v>
      </c>
      <c r="AA124">
        <v>-8.1042863999999994</v>
      </c>
      <c r="AB124" t="s">
        <v>3856</v>
      </c>
      <c r="AC124" t="s">
        <v>235</v>
      </c>
      <c r="AL124" t="s">
        <v>217</v>
      </c>
      <c r="AM124" t="s">
        <v>3857</v>
      </c>
      <c r="AN124" t="s">
        <v>6</v>
      </c>
      <c r="AO124" s="57">
        <v>46244.392905092594</v>
      </c>
      <c r="AP124" s="57">
        <v>46304.333333333336</v>
      </c>
      <c r="AR124" t="s">
        <v>239</v>
      </c>
      <c r="AS124" t="s">
        <v>98</v>
      </c>
      <c r="AT124" t="s">
        <v>342</v>
      </c>
      <c r="AV124" t="s">
        <v>238</v>
      </c>
      <c r="AW124" t="s">
        <v>2328</v>
      </c>
      <c r="AX124" t="s">
        <v>222</v>
      </c>
      <c r="BA124" s="57">
        <v>46304.333333333336</v>
      </c>
      <c r="BB124" t="s">
        <v>3857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BLITAR</v>
      </c>
    </row>
    <row r="125" spans="1:61">
      <c r="A125">
        <v>124</v>
      </c>
      <c r="B125">
        <v>1002621375</v>
      </c>
      <c r="C125">
        <v>3</v>
      </c>
      <c r="D125" t="s">
        <v>38</v>
      </c>
      <c r="E125">
        <v>5</v>
      </c>
      <c r="F125" t="s">
        <v>90</v>
      </c>
      <c r="G125" t="s">
        <v>98</v>
      </c>
      <c r="H125" t="s">
        <v>294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46299.54074074074</v>
      </c>
      <c r="P125" s="57">
        <v>46300.738981481481</v>
      </c>
      <c r="Q125">
        <v>69403892</v>
      </c>
      <c r="S125">
        <v>152606246698</v>
      </c>
      <c r="T125" t="s">
        <v>1614</v>
      </c>
      <c r="U125" t="s">
        <v>1615</v>
      </c>
      <c r="V125" t="s">
        <v>1616</v>
      </c>
      <c r="Z125">
        <v>111.93372298032</v>
      </c>
      <c r="AA125">
        <v>-8.0174769243447894</v>
      </c>
      <c r="AB125" t="s">
        <v>1617</v>
      </c>
      <c r="AC125" t="s">
        <v>216</v>
      </c>
      <c r="AL125" t="s">
        <v>217</v>
      </c>
      <c r="AM125" t="s">
        <v>1618</v>
      </c>
      <c r="AN125" t="s">
        <v>6</v>
      </c>
      <c r="AO125" s="57">
        <v>46122.549178240741</v>
      </c>
      <c r="AP125" s="57">
        <v>46300.458333333336</v>
      </c>
      <c r="AR125" t="s">
        <v>218</v>
      </c>
      <c r="AS125" t="s">
        <v>98</v>
      </c>
      <c r="AT125" t="s">
        <v>230</v>
      </c>
      <c r="AU125">
        <v>20261005</v>
      </c>
      <c r="AV125" t="s">
        <v>221</v>
      </c>
      <c r="AW125" t="s">
        <v>877</v>
      </c>
      <c r="AX125" t="s">
        <v>222</v>
      </c>
      <c r="BA125" s="57">
        <v>46300.458333333336</v>
      </c>
      <c r="BB125" t="s">
        <v>1618</v>
      </c>
      <c r="BC125">
        <v>2026</v>
      </c>
      <c r="BD125">
        <v>10</v>
      </c>
      <c r="BE125">
        <v>5</v>
      </c>
      <c r="BF125" s="6">
        <f t="shared" si="3"/>
        <v>46300</v>
      </c>
      <c r="BG125">
        <f t="shared" si="4"/>
        <v>-0.45833333333575865</v>
      </c>
      <c r="BH125" t="str">
        <f t="shared" si="5"/>
        <v>COMPLY</v>
      </c>
      <c r="BI125" t="str">
        <f>VLOOKUP(H125,Sheet2!$A$1:$B$270,2,FALSE)</f>
        <v>BLITAR</v>
      </c>
    </row>
    <row r="126" spans="1:61">
      <c r="A126">
        <v>125</v>
      </c>
      <c r="B126">
        <v>1002621302</v>
      </c>
      <c r="C126">
        <v>3</v>
      </c>
      <c r="D126" t="s">
        <v>38</v>
      </c>
      <c r="E126">
        <v>5</v>
      </c>
      <c r="F126" t="s">
        <v>90</v>
      </c>
      <c r="G126" t="s">
        <v>98</v>
      </c>
      <c r="H126" t="s">
        <v>294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46299.446296296293</v>
      </c>
      <c r="P126" s="57">
        <v>46300.677523148152</v>
      </c>
      <c r="Q126">
        <v>69403845</v>
      </c>
      <c r="S126">
        <v>152606246697</v>
      </c>
      <c r="T126" t="s">
        <v>1623</v>
      </c>
      <c r="U126" t="s">
        <v>1624</v>
      </c>
      <c r="V126" t="s">
        <v>2586</v>
      </c>
      <c r="Z126">
        <v>111.893053650856</v>
      </c>
      <c r="AA126">
        <v>-8.0677154444563897</v>
      </c>
      <c r="AB126" t="s">
        <v>1625</v>
      </c>
      <c r="AC126" t="s">
        <v>1626</v>
      </c>
      <c r="AL126" t="s">
        <v>217</v>
      </c>
      <c r="AM126" t="s">
        <v>2587</v>
      </c>
      <c r="AN126" t="s">
        <v>6</v>
      </c>
      <c r="AO126" s="57">
        <v>46122.454733796294</v>
      </c>
      <c r="AP126" s="57">
        <v>46301.333333333336</v>
      </c>
      <c r="AR126" t="s">
        <v>218</v>
      </c>
      <c r="AS126" t="s">
        <v>98</v>
      </c>
      <c r="AT126" t="s">
        <v>230</v>
      </c>
      <c r="AU126">
        <v>20261005</v>
      </c>
      <c r="AV126" t="s">
        <v>221</v>
      </c>
      <c r="AW126" t="s">
        <v>540</v>
      </c>
      <c r="AX126" t="s">
        <v>222</v>
      </c>
      <c r="BA126" s="57">
        <v>46301.333333333336</v>
      </c>
      <c r="BB126" t="s">
        <v>2587</v>
      </c>
      <c r="BC126">
        <v>2026</v>
      </c>
      <c r="BD126">
        <v>10</v>
      </c>
      <c r="BE126">
        <v>5</v>
      </c>
      <c r="BF126" s="6">
        <f t="shared" si="3"/>
        <v>46300</v>
      </c>
      <c r="BG126">
        <f t="shared" si="4"/>
        <v>-1.3333333333357587</v>
      </c>
      <c r="BH126" t="str">
        <f t="shared" si="5"/>
        <v>COMPLY</v>
      </c>
      <c r="BI126" t="str">
        <f>VLOOKUP(H126,Sheet2!$A$1:$B$270,2,FALSE)</f>
        <v>BLITAR</v>
      </c>
    </row>
    <row r="127" spans="1:61">
      <c r="A127">
        <v>126</v>
      </c>
      <c r="B127">
        <v>1002623923</v>
      </c>
      <c r="C127">
        <v>3</v>
      </c>
      <c r="D127" t="s">
        <v>38</v>
      </c>
      <c r="E127">
        <v>5</v>
      </c>
      <c r="F127" t="s">
        <v>90</v>
      </c>
      <c r="G127" t="s">
        <v>98</v>
      </c>
      <c r="H127" t="s">
        <v>294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46301.456006944441</v>
      </c>
      <c r="P127" s="57">
        <v>46302.570081018515</v>
      </c>
      <c r="Q127">
        <v>69404881</v>
      </c>
      <c r="S127">
        <v>152606246705</v>
      </c>
      <c r="T127" t="s">
        <v>3211</v>
      </c>
      <c r="U127" t="s">
        <v>3212</v>
      </c>
      <c r="V127" t="s">
        <v>3213</v>
      </c>
      <c r="Z127">
        <v>111.913242</v>
      </c>
      <c r="AA127">
        <v>-8.0642049999999994</v>
      </c>
      <c r="AB127" t="s">
        <v>3214</v>
      </c>
      <c r="AC127" t="s">
        <v>235</v>
      </c>
      <c r="AL127" t="s">
        <v>217</v>
      </c>
      <c r="AM127" t="s">
        <v>3215</v>
      </c>
      <c r="AN127" t="s">
        <v>6</v>
      </c>
      <c r="AO127" s="57">
        <v>46183.475752314815</v>
      </c>
      <c r="AP127" s="57">
        <v>46302.333333333336</v>
      </c>
      <c r="AR127" t="s">
        <v>218</v>
      </c>
      <c r="AS127" t="s">
        <v>98</v>
      </c>
      <c r="AT127" t="s">
        <v>230</v>
      </c>
      <c r="AU127">
        <v>20261007</v>
      </c>
      <c r="AV127" t="s">
        <v>221</v>
      </c>
      <c r="AW127" t="s">
        <v>877</v>
      </c>
      <c r="AX127" t="s">
        <v>222</v>
      </c>
      <c r="BA127" s="57">
        <v>46302.333333333336</v>
      </c>
      <c r="BB127" t="s">
        <v>3215</v>
      </c>
      <c r="BC127">
        <v>2026</v>
      </c>
      <c r="BD127">
        <v>10</v>
      </c>
      <c r="BE127">
        <v>7</v>
      </c>
      <c r="BF127" s="6">
        <f t="shared" si="3"/>
        <v>46302</v>
      </c>
      <c r="BG127">
        <f t="shared" si="4"/>
        <v>-0.33333333333575865</v>
      </c>
      <c r="BH127" t="str">
        <f t="shared" si="5"/>
        <v>COMPLY</v>
      </c>
      <c r="BI127" t="str">
        <f>VLOOKUP(H127,Sheet2!$A$1:$B$270,2,FALSE)</f>
        <v>BLITAR</v>
      </c>
    </row>
    <row r="128" spans="1:61">
      <c r="A128">
        <v>127</v>
      </c>
      <c r="B128">
        <v>1002620356</v>
      </c>
      <c r="C128">
        <v>3</v>
      </c>
      <c r="D128" t="s">
        <v>38</v>
      </c>
      <c r="E128">
        <v>5</v>
      </c>
      <c r="F128" t="s">
        <v>90</v>
      </c>
      <c r="G128" t="s">
        <v>98</v>
      </c>
      <c r="H128" t="s">
        <v>294</v>
      </c>
      <c r="I128" t="s">
        <v>212</v>
      </c>
      <c r="J128" t="s">
        <v>213</v>
      </c>
      <c r="K128" t="s">
        <v>149</v>
      </c>
      <c r="L128" t="s">
        <v>214</v>
      </c>
      <c r="M128" t="s">
        <v>279</v>
      </c>
      <c r="N128" t="s">
        <v>215</v>
      </c>
      <c r="O128" s="57">
        <v>46297.664293981485</v>
      </c>
      <c r="P128" s="57">
        <v>46298.224351851852</v>
      </c>
      <c r="Q128">
        <v>69403273</v>
      </c>
      <c r="S128">
        <v>152606246689</v>
      </c>
      <c r="T128" t="s">
        <v>1609</v>
      </c>
      <c r="U128" t="s">
        <v>1610</v>
      </c>
      <c r="V128" t="s">
        <v>1611</v>
      </c>
      <c r="Z128">
        <v>111.91484490000001</v>
      </c>
      <c r="AA128">
        <v>-8.0690539000000001</v>
      </c>
      <c r="AB128" t="s">
        <v>1612</v>
      </c>
      <c r="AC128" t="s">
        <v>849</v>
      </c>
      <c r="AL128" t="s">
        <v>217</v>
      </c>
      <c r="AM128" t="s">
        <v>1613</v>
      </c>
      <c r="AN128" t="s">
        <v>6</v>
      </c>
      <c r="AO128" s="57">
        <v>46063.673761574071</v>
      </c>
      <c r="AP128" s="57">
        <v>46298.625</v>
      </c>
      <c r="AR128" t="s">
        <v>239</v>
      </c>
      <c r="AS128" t="s">
        <v>98</v>
      </c>
      <c r="AT128" t="s">
        <v>220</v>
      </c>
      <c r="AV128" t="s">
        <v>799</v>
      </c>
      <c r="AW128" t="s">
        <v>869</v>
      </c>
      <c r="AX128" t="s">
        <v>222</v>
      </c>
      <c r="BA128" s="57">
        <v>46298.625</v>
      </c>
      <c r="BB128" t="s">
        <v>1613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str">
        <f>VLOOKUP(H128,Sheet2!$A$1:$B$270,2,FALSE)</f>
        <v>BLITAR</v>
      </c>
    </row>
    <row r="129" spans="1:61">
      <c r="A129">
        <v>128</v>
      </c>
      <c r="B129">
        <v>1002620919</v>
      </c>
      <c r="C129">
        <v>3</v>
      </c>
      <c r="D129" t="s">
        <v>38</v>
      </c>
      <c r="E129">
        <v>5</v>
      </c>
      <c r="F129" t="s">
        <v>90</v>
      </c>
      <c r="G129" t="s">
        <v>98</v>
      </c>
      <c r="H129" t="s">
        <v>294</v>
      </c>
      <c r="I129" t="s">
        <v>212</v>
      </c>
      <c r="J129" t="s">
        <v>213</v>
      </c>
      <c r="K129" t="s">
        <v>149</v>
      </c>
      <c r="M129" t="s">
        <v>1619</v>
      </c>
      <c r="N129" t="s">
        <v>215</v>
      </c>
      <c r="O129" s="57">
        <v>46298.508611111109</v>
      </c>
      <c r="P129" s="57">
        <v>46302.707106481481</v>
      </c>
      <c r="Q129">
        <v>69403543</v>
      </c>
      <c r="S129">
        <v>152606246690</v>
      </c>
      <c r="T129" t="s">
        <v>1620</v>
      </c>
      <c r="U129" t="s">
        <v>1621</v>
      </c>
      <c r="Z129">
        <v>111.892297493252</v>
      </c>
      <c r="AA129">
        <v>-8.0674503695408593</v>
      </c>
      <c r="AB129" t="s">
        <v>1622</v>
      </c>
      <c r="AC129" t="s">
        <v>229</v>
      </c>
      <c r="AO129" s="57">
        <v>46091.517858796295</v>
      </c>
      <c r="AR129" t="s">
        <v>5</v>
      </c>
      <c r="AS129" t="s">
        <v>98</v>
      </c>
      <c r="AT129" t="s">
        <v>230</v>
      </c>
      <c r="AV129" t="s">
        <v>3858</v>
      </c>
      <c r="AW129" t="s">
        <v>559</v>
      </c>
      <c r="AX129" t="s">
        <v>222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BLITAR</v>
      </c>
    </row>
    <row r="130" spans="1:61">
      <c r="A130">
        <v>129</v>
      </c>
      <c r="B130">
        <v>1002617286</v>
      </c>
      <c r="C130">
        <v>3</v>
      </c>
      <c r="D130" t="s">
        <v>38</v>
      </c>
      <c r="E130">
        <v>5</v>
      </c>
      <c r="F130" t="s">
        <v>90</v>
      </c>
      <c r="G130" t="s">
        <v>98</v>
      </c>
      <c r="H130" t="s">
        <v>294</v>
      </c>
      <c r="I130" t="s">
        <v>212</v>
      </c>
      <c r="J130" t="s">
        <v>213</v>
      </c>
      <c r="K130" t="s">
        <v>149</v>
      </c>
      <c r="L130" t="s">
        <v>214</v>
      </c>
      <c r="M130" t="s">
        <v>1627</v>
      </c>
      <c r="N130" t="s">
        <v>215</v>
      </c>
      <c r="O130" s="57">
        <v>46296.426168981481</v>
      </c>
      <c r="P130" s="57">
        <v>46298.957824074074</v>
      </c>
      <c r="Q130">
        <v>69402140</v>
      </c>
      <c r="S130">
        <v>152606246682</v>
      </c>
      <c r="T130" t="s">
        <v>999</v>
      </c>
      <c r="U130" t="s">
        <v>931</v>
      </c>
      <c r="V130" t="s">
        <v>1000</v>
      </c>
      <c r="Z130">
        <v>111.90527480095599</v>
      </c>
      <c r="AA130">
        <v>-8.0650980588810999</v>
      </c>
      <c r="AB130" t="s">
        <v>1001</v>
      </c>
      <c r="AC130" t="s">
        <v>216</v>
      </c>
      <c r="AL130" t="s">
        <v>217</v>
      </c>
      <c r="AM130" t="s">
        <v>1002</v>
      </c>
      <c r="AN130" t="s">
        <v>6</v>
      </c>
      <c r="AO130" s="57">
        <v>46032.434247685182</v>
      </c>
      <c r="AP130" s="57">
        <v>46297.333333333336</v>
      </c>
      <c r="AR130" t="s">
        <v>12</v>
      </c>
      <c r="AS130" t="s">
        <v>98</v>
      </c>
      <c r="AT130" t="s">
        <v>220</v>
      </c>
      <c r="AV130" t="s">
        <v>1628</v>
      </c>
      <c r="AW130" t="s">
        <v>869</v>
      </c>
      <c r="AX130" t="s">
        <v>222</v>
      </c>
      <c r="AZ130" t="s">
        <v>1628</v>
      </c>
      <c r="BA130" s="57">
        <v>46297.333333333336</v>
      </c>
      <c r="BB130" t="s">
        <v>1002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BLITAR</v>
      </c>
    </row>
    <row r="131" spans="1:61">
      <c r="A131">
        <v>130</v>
      </c>
      <c r="B131">
        <v>1002619658</v>
      </c>
      <c r="C131">
        <v>3</v>
      </c>
      <c r="D131" t="s">
        <v>38</v>
      </c>
      <c r="E131">
        <v>5</v>
      </c>
      <c r="F131" t="s">
        <v>90</v>
      </c>
      <c r="G131" t="s">
        <v>98</v>
      </c>
      <c r="H131" t="s">
        <v>294</v>
      </c>
      <c r="I131" t="s">
        <v>212</v>
      </c>
      <c r="J131" t="s">
        <v>213</v>
      </c>
      <c r="K131" t="s">
        <v>149</v>
      </c>
      <c r="M131" t="s">
        <v>1627</v>
      </c>
      <c r="N131" t="s">
        <v>215</v>
      </c>
      <c r="O131" s="57">
        <v>46297.51966435185</v>
      </c>
      <c r="P131" s="57">
        <v>46297.711157407408</v>
      </c>
      <c r="Q131">
        <v>69403019</v>
      </c>
      <c r="S131">
        <v>152606246517</v>
      </c>
      <c r="T131" t="s">
        <v>1629</v>
      </c>
      <c r="U131" t="s">
        <v>1630</v>
      </c>
      <c r="Z131">
        <v>111.894285678863</v>
      </c>
      <c r="AA131">
        <v>-8.0674879426031794</v>
      </c>
      <c r="AB131" t="s">
        <v>1631</v>
      </c>
      <c r="AC131" t="s">
        <v>229</v>
      </c>
      <c r="AO131" s="57">
        <v>46063.538553240738</v>
      </c>
      <c r="AR131" t="s">
        <v>1632</v>
      </c>
      <c r="AS131" t="s">
        <v>98</v>
      </c>
      <c r="AT131" t="s">
        <v>220</v>
      </c>
      <c r="AV131" t="s">
        <v>1633</v>
      </c>
      <c r="AW131" t="s">
        <v>540</v>
      </c>
      <c r="AX131" t="s">
        <v>222</v>
      </c>
      <c r="AZ131" t="s">
        <v>1633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BLITAR</v>
      </c>
    </row>
    <row r="132" spans="1:61">
      <c r="A132">
        <v>131</v>
      </c>
      <c r="B132">
        <v>1002619957</v>
      </c>
      <c r="C132">
        <v>3</v>
      </c>
      <c r="D132" t="s">
        <v>38</v>
      </c>
      <c r="E132">
        <v>5</v>
      </c>
      <c r="F132" t="s">
        <v>90</v>
      </c>
      <c r="G132" t="s">
        <v>88</v>
      </c>
      <c r="H132" t="s">
        <v>424</v>
      </c>
      <c r="I132" t="s">
        <v>212</v>
      </c>
      <c r="J132" t="s">
        <v>213</v>
      </c>
      <c r="K132" t="s">
        <v>149</v>
      </c>
      <c r="L132" t="s">
        <v>214</v>
      </c>
      <c r="M132" t="s">
        <v>76</v>
      </c>
      <c r="N132" t="s">
        <v>215</v>
      </c>
      <c r="O132" s="57">
        <v>46297.594895833332</v>
      </c>
      <c r="P132" s="57">
        <v>46298.601631944446</v>
      </c>
      <c r="Q132">
        <v>69403144</v>
      </c>
      <c r="S132">
        <v>152730235859</v>
      </c>
      <c r="T132" t="s">
        <v>1634</v>
      </c>
      <c r="U132" t="s">
        <v>1635</v>
      </c>
      <c r="V132" t="s">
        <v>1636</v>
      </c>
      <c r="Z132">
        <v>112.2589758</v>
      </c>
      <c r="AA132">
        <v>-8.1243128000000002</v>
      </c>
      <c r="AB132" t="s">
        <v>1637</v>
      </c>
      <c r="AC132" t="s">
        <v>235</v>
      </c>
      <c r="AL132" t="s">
        <v>217</v>
      </c>
      <c r="AM132" t="s">
        <v>1638</v>
      </c>
      <c r="AN132" t="s">
        <v>6</v>
      </c>
      <c r="AO132" s="57">
        <v>46063.61105324074</v>
      </c>
      <c r="AP132" s="57">
        <v>46298.458333333336</v>
      </c>
      <c r="AR132" t="s">
        <v>218</v>
      </c>
      <c r="AS132" t="s">
        <v>219</v>
      </c>
      <c r="AT132" t="s">
        <v>230</v>
      </c>
      <c r="AU132">
        <v>20261003</v>
      </c>
      <c r="AV132" t="s">
        <v>221</v>
      </c>
      <c r="AW132" t="s">
        <v>883</v>
      </c>
      <c r="AX132" t="s">
        <v>222</v>
      </c>
      <c r="BA132" s="57">
        <v>46298.458333333336</v>
      </c>
      <c r="BB132" t="s">
        <v>1638</v>
      </c>
      <c r="BC132">
        <v>2026</v>
      </c>
      <c r="BD132">
        <v>10</v>
      </c>
      <c r="BE132">
        <v>3</v>
      </c>
      <c r="BF132" s="6">
        <f t="shared" si="6"/>
        <v>46298</v>
      </c>
      <c r="BG132">
        <f t="shared" si="7"/>
        <v>-0.45833333333575865</v>
      </c>
      <c r="BH132" t="str">
        <f t="shared" si="8"/>
        <v>COMPLY</v>
      </c>
      <c r="BI132" t="str">
        <f>VLOOKUP(H132,Sheet2!$A$1:$B$270,2,FALSE)</f>
        <v>BLITAR</v>
      </c>
    </row>
    <row r="133" spans="1:61">
      <c r="A133">
        <v>132</v>
      </c>
      <c r="B133">
        <v>1002620520</v>
      </c>
      <c r="C133">
        <v>3</v>
      </c>
      <c r="D133" t="s">
        <v>38</v>
      </c>
      <c r="E133">
        <v>5</v>
      </c>
      <c r="F133" t="s">
        <v>90</v>
      </c>
      <c r="G133" t="s">
        <v>88</v>
      </c>
      <c r="H133" t="s">
        <v>424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46297.709479166668</v>
      </c>
      <c r="P133" s="57">
        <v>46298.813194444447</v>
      </c>
      <c r="Q133">
        <v>69403336</v>
      </c>
      <c r="S133">
        <v>152730235864</v>
      </c>
      <c r="T133" t="s">
        <v>1639</v>
      </c>
      <c r="U133" t="s">
        <v>1640</v>
      </c>
      <c r="V133" t="s">
        <v>1641</v>
      </c>
      <c r="Z133">
        <v>112.195503090279</v>
      </c>
      <c r="AA133">
        <v>-8.0827403309527295</v>
      </c>
      <c r="AB133" t="s">
        <v>1642</v>
      </c>
      <c r="AC133" t="s">
        <v>235</v>
      </c>
      <c r="AL133" t="s">
        <v>217</v>
      </c>
      <c r="AM133" t="s">
        <v>1643</v>
      </c>
      <c r="AN133" t="s">
        <v>6</v>
      </c>
      <c r="AO133" s="57">
        <v>46063.716145833336</v>
      </c>
      <c r="AP133" s="57">
        <v>46298.625</v>
      </c>
      <c r="AR133" t="s">
        <v>218</v>
      </c>
      <c r="AS133" t="s">
        <v>219</v>
      </c>
      <c r="AT133" t="s">
        <v>230</v>
      </c>
      <c r="AU133">
        <v>20261003</v>
      </c>
      <c r="AV133" t="s">
        <v>221</v>
      </c>
      <c r="AW133" t="s">
        <v>875</v>
      </c>
      <c r="AX133" t="s">
        <v>222</v>
      </c>
      <c r="BA133" s="57">
        <v>46298.625</v>
      </c>
      <c r="BB133" t="s">
        <v>1643</v>
      </c>
      <c r="BC133">
        <v>2026</v>
      </c>
      <c r="BD133">
        <v>10</v>
      </c>
      <c r="BE133">
        <v>3</v>
      </c>
      <c r="BF133" s="6">
        <f t="shared" si="6"/>
        <v>46298</v>
      </c>
      <c r="BG133">
        <f t="shared" si="7"/>
        <v>-0.625</v>
      </c>
      <c r="BH133" t="str">
        <f t="shared" si="8"/>
        <v>COMPLY</v>
      </c>
      <c r="BI133" t="str">
        <f>VLOOKUP(H133,Sheet2!$A$1:$B$270,2,FALSE)</f>
        <v>BLITAR</v>
      </c>
    </row>
    <row r="134" spans="1:61">
      <c r="A134">
        <v>133</v>
      </c>
      <c r="B134">
        <v>1002621598</v>
      </c>
      <c r="C134">
        <v>3</v>
      </c>
      <c r="D134" t="s">
        <v>38</v>
      </c>
      <c r="E134">
        <v>5</v>
      </c>
      <c r="F134" t="s">
        <v>90</v>
      </c>
      <c r="G134" t="s">
        <v>88</v>
      </c>
      <c r="H134" t="s">
        <v>424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46300.358101851853</v>
      </c>
      <c r="P134" s="57">
        <v>46301.688356481478</v>
      </c>
      <c r="Q134">
        <v>69404037</v>
      </c>
      <c r="S134">
        <v>152730235881</v>
      </c>
      <c r="T134" t="s">
        <v>2588</v>
      </c>
      <c r="U134" t="s">
        <v>2589</v>
      </c>
      <c r="V134" t="s">
        <v>2590</v>
      </c>
      <c r="Z134">
        <v>112.15760714823401</v>
      </c>
      <c r="AA134">
        <v>-8.10727050232002</v>
      </c>
      <c r="AB134" t="s">
        <v>2591</v>
      </c>
      <c r="AC134" t="s">
        <v>235</v>
      </c>
      <c r="AL134" t="s">
        <v>217</v>
      </c>
      <c r="AM134" t="s">
        <v>2592</v>
      </c>
      <c r="AN134" t="s">
        <v>6</v>
      </c>
      <c r="AO134" s="57">
        <v>46152.361574074072</v>
      </c>
      <c r="AP134" s="57">
        <v>46301.333333333336</v>
      </c>
      <c r="AR134" t="s">
        <v>218</v>
      </c>
      <c r="AS134" t="s">
        <v>219</v>
      </c>
      <c r="AT134" t="s">
        <v>342</v>
      </c>
      <c r="AU134">
        <v>20261006</v>
      </c>
      <c r="AV134" t="s">
        <v>221</v>
      </c>
      <c r="AW134" t="s">
        <v>2593</v>
      </c>
      <c r="AX134" t="s">
        <v>222</v>
      </c>
      <c r="BA134" s="57">
        <v>46301.333333333336</v>
      </c>
      <c r="BB134" t="s">
        <v>2592</v>
      </c>
      <c r="BC134">
        <v>2026</v>
      </c>
      <c r="BD134">
        <v>10</v>
      </c>
      <c r="BE134">
        <v>6</v>
      </c>
      <c r="BF134" s="6">
        <f t="shared" si="6"/>
        <v>46301</v>
      </c>
      <c r="BG134">
        <f t="shared" si="7"/>
        <v>-0.33333333333575865</v>
      </c>
      <c r="BH134" t="str">
        <f t="shared" si="8"/>
        <v>COMPLY</v>
      </c>
      <c r="BI134" t="str">
        <f>VLOOKUP(H134,Sheet2!$A$1:$B$270,2,FALSE)</f>
        <v>BLITAR</v>
      </c>
    </row>
    <row r="135" spans="1:61">
      <c r="A135">
        <v>134</v>
      </c>
      <c r="B135">
        <v>1002626689</v>
      </c>
      <c r="C135">
        <v>3</v>
      </c>
      <c r="D135" t="s">
        <v>59</v>
      </c>
      <c r="E135">
        <v>4</v>
      </c>
      <c r="F135" t="s">
        <v>241</v>
      </c>
      <c r="G135" t="s">
        <v>3859</v>
      </c>
      <c r="H135" t="s">
        <v>3860</v>
      </c>
      <c r="I135" t="s">
        <v>212</v>
      </c>
      <c r="J135" t="s">
        <v>213</v>
      </c>
      <c r="K135" t="s">
        <v>149</v>
      </c>
      <c r="L135" t="s">
        <v>214</v>
      </c>
      <c r="M135" t="s">
        <v>238</v>
      </c>
      <c r="N135" t="s">
        <v>215</v>
      </c>
      <c r="O135" s="57">
        <v>46302.667824074073</v>
      </c>
      <c r="P135" s="57">
        <v>46302.66951388889</v>
      </c>
      <c r="Q135">
        <v>69406051</v>
      </c>
      <c r="S135">
        <v>142141120376</v>
      </c>
      <c r="T135" t="s">
        <v>3861</v>
      </c>
      <c r="U135" t="s">
        <v>3862</v>
      </c>
      <c r="V135" t="s">
        <v>3863</v>
      </c>
      <c r="Z135">
        <v>109.67054</v>
      </c>
      <c r="AA135">
        <v>-7.6745599999999996</v>
      </c>
      <c r="AB135" t="s">
        <v>3864</v>
      </c>
      <c r="AC135" t="s">
        <v>235</v>
      </c>
      <c r="AL135" t="s">
        <v>217</v>
      </c>
      <c r="AM135" t="s">
        <v>3865</v>
      </c>
      <c r="AN135" t="s">
        <v>6</v>
      </c>
      <c r="AO135" s="57">
        <v>46213.67386574074</v>
      </c>
      <c r="AP135" s="57">
        <v>46303.625</v>
      </c>
      <c r="AR135" t="s">
        <v>239</v>
      </c>
      <c r="AS135" t="s">
        <v>219</v>
      </c>
      <c r="AT135" t="s">
        <v>230</v>
      </c>
      <c r="AV135" t="s">
        <v>238</v>
      </c>
      <c r="AW135" t="s">
        <v>877</v>
      </c>
      <c r="AX135" t="s">
        <v>222</v>
      </c>
      <c r="BA135" s="57">
        <v>46303.625</v>
      </c>
      <c r="BB135" t="s">
        <v>3865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e">
        <f>VLOOKUP(H135,Sheet2!$A$1:$B$270,2,FALSE)</f>
        <v>#N/A</v>
      </c>
    </row>
    <row r="136" spans="1:61">
      <c r="A136">
        <v>135</v>
      </c>
      <c r="B136">
        <v>1002623361</v>
      </c>
      <c r="C136">
        <v>3</v>
      </c>
      <c r="D136" t="s">
        <v>59</v>
      </c>
      <c r="E136">
        <v>4</v>
      </c>
      <c r="F136" t="s">
        <v>241</v>
      </c>
      <c r="G136" t="s">
        <v>3216</v>
      </c>
      <c r="H136" t="s">
        <v>3217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46301.310173611113</v>
      </c>
      <c r="P136" s="57">
        <v>46301.552870370368</v>
      </c>
      <c r="Q136">
        <v>69404657</v>
      </c>
      <c r="S136">
        <v>142138510638</v>
      </c>
      <c r="T136" t="s">
        <v>3218</v>
      </c>
      <c r="U136" t="s">
        <v>3219</v>
      </c>
      <c r="V136" t="s">
        <v>3220</v>
      </c>
      <c r="Z136">
        <v>110.12300380000001</v>
      </c>
      <c r="AA136">
        <v>-7.7518275999999897</v>
      </c>
      <c r="AB136" t="s">
        <v>3221</v>
      </c>
      <c r="AC136" t="s">
        <v>235</v>
      </c>
      <c r="AL136" t="s">
        <v>217</v>
      </c>
      <c r="AM136" t="s">
        <v>3222</v>
      </c>
      <c r="AN136" t="s">
        <v>6</v>
      </c>
      <c r="AO136" s="57">
        <v>46183.340474537035</v>
      </c>
      <c r="AP136" s="57">
        <v>46303.333333333336</v>
      </c>
      <c r="AR136" t="s">
        <v>218</v>
      </c>
      <c r="AS136" t="s">
        <v>219</v>
      </c>
      <c r="AT136" t="s">
        <v>230</v>
      </c>
      <c r="AU136">
        <v>20261006</v>
      </c>
      <c r="AV136" t="s">
        <v>221</v>
      </c>
      <c r="AW136" t="s">
        <v>2234</v>
      </c>
      <c r="AX136" t="s">
        <v>222</v>
      </c>
      <c r="BA136" s="57">
        <v>46303.333333333336</v>
      </c>
      <c r="BB136" t="s">
        <v>3222</v>
      </c>
      <c r="BC136">
        <v>2026</v>
      </c>
      <c r="BD136">
        <v>10</v>
      </c>
      <c r="BE136">
        <v>6</v>
      </c>
      <c r="BF136" s="6">
        <f t="shared" si="6"/>
        <v>46301</v>
      </c>
      <c r="BG136">
        <f t="shared" si="7"/>
        <v>-2.3333333333357587</v>
      </c>
      <c r="BH136" t="str">
        <f t="shared" si="8"/>
        <v>COMPLY</v>
      </c>
      <c r="BI136" t="e">
        <f>VLOOKUP(H136,Sheet2!$A$1:$B$270,2,FALSE)</f>
        <v>#N/A</v>
      </c>
    </row>
    <row r="137" spans="1:61">
      <c r="A137">
        <v>136</v>
      </c>
      <c r="B137">
        <v>1002623165</v>
      </c>
      <c r="C137">
        <v>3</v>
      </c>
      <c r="D137" t="s">
        <v>59</v>
      </c>
      <c r="E137">
        <v>4</v>
      </c>
      <c r="F137" t="s">
        <v>241</v>
      </c>
      <c r="G137" t="s">
        <v>241</v>
      </c>
      <c r="H137" t="s">
        <v>287</v>
      </c>
      <c r="I137" t="s">
        <v>212</v>
      </c>
      <c r="J137" t="s">
        <v>213</v>
      </c>
      <c r="K137" t="s">
        <v>149</v>
      </c>
      <c r="L137" t="s">
        <v>214</v>
      </c>
      <c r="M137" t="s">
        <v>224</v>
      </c>
      <c r="N137" t="s">
        <v>215</v>
      </c>
      <c r="O137" s="57">
        <v>46300.699016203704</v>
      </c>
      <c r="P137" s="57">
        <v>46301.638333333336</v>
      </c>
      <c r="Q137">
        <v>69404579</v>
      </c>
      <c r="S137">
        <v>146137148364</v>
      </c>
      <c r="T137" t="s">
        <v>2594</v>
      </c>
      <c r="U137" t="s">
        <v>2595</v>
      </c>
      <c r="V137" t="s">
        <v>2596</v>
      </c>
      <c r="Z137">
        <v>110.18037881659799</v>
      </c>
      <c r="AA137">
        <v>-7.4892017508885802</v>
      </c>
      <c r="AB137" t="s">
        <v>2597</v>
      </c>
      <c r="AC137" t="s">
        <v>235</v>
      </c>
      <c r="AL137" t="s">
        <v>217</v>
      </c>
      <c r="AM137" t="s">
        <v>2598</v>
      </c>
      <c r="AN137" t="s">
        <v>6</v>
      </c>
      <c r="AO137" s="57">
        <v>46152.726238425923</v>
      </c>
      <c r="AP137" s="57">
        <v>46302.333333333336</v>
      </c>
      <c r="AR137" t="s">
        <v>18</v>
      </c>
      <c r="AS137" t="s">
        <v>219</v>
      </c>
      <c r="AT137" t="s">
        <v>230</v>
      </c>
      <c r="AV137" t="s">
        <v>226</v>
      </c>
      <c r="AW137" t="s">
        <v>875</v>
      </c>
      <c r="AX137" t="s">
        <v>222</v>
      </c>
      <c r="BA137" s="57">
        <v>46302.333333333336</v>
      </c>
      <c r="BB137" t="s">
        <v>2598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e">
        <f>VLOOKUP(H137,Sheet2!$A$1:$B$270,2,FALSE)</f>
        <v>#N/A</v>
      </c>
    </row>
    <row r="138" spans="1:61">
      <c r="A138">
        <v>137</v>
      </c>
      <c r="B138">
        <v>1002623818</v>
      </c>
      <c r="C138">
        <v>3</v>
      </c>
      <c r="D138" t="s">
        <v>59</v>
      </c>
      <c r="E138">
        <v>4</v>
      </c>
      <c r="F138" t="s">
        <v>241</v>
      </c>
      <c r="G138" t="s">
        <v>241</v>
      </c>
      <c r="H138" t="s">
        <v>287</v>
      </c>
      <c r="I138" t="s">
        <v>212</v>
      </c>
      <c r="J138" t="s">
        <v>213</v>
      </c>
      <c r="K138" t="s">
        <v>149</v>
      </c>
      <c r="L138" t="s">
        <v>214</v>
      </c>
      <c r="M138" t="s">
        <v>224</v>
      </c>
      <c r="N138" t="s">
        <v>215</v>
      </c>
      <c r="O138" s="57">
        <v>46301.435115740744</v>
      </c>
      <c r="P138" s="57">
        <v>46303.337175925924</v>
      </c>
      <c r="Q138">
        <v>69404831</v>
      </c>
      <c r="S138">
        <v>146137148372</v>
      </c>
      <c r="T138" t="s">
        <v>3237</v>
      </c>
      <c r="U138" t="s">
        <v>3238</v>
      </c>
      <c r="V138" t="s">
        <v>3239</v>
      </c>
      <c r="Z138">
        <v>110.17979390000001</v>
      </c>
      <c r="AA138">
        <v>-7.4886838999999998</v>
      </c>
      <c r="AB138" t="s">
        <v>3240</v>
      </c>
      <c r="AC138" t="s">
        <v>235</v>
      </c>
      <c r="AL138" t="s">
        <v>217</v>
      </c>
      <c r="AM138" t="s">
        <v>3241</v>
      </c>
      <c r="AN138" t="s">
        <v>6</v>
      </c>
      <c r="AO138" s="57">
        <v>46183.444699074076</v>
      </c>
      <c r="AP138" s="57">
        <v>46303.333333333336</v>
      </c>
      <c r="AR138" t="s">
        <v>18</v>
      </c>
      <c r="AS138" t="s">
        <v>219</v>
      </c>
      <c r="AT138" t="s">
        <v>230</v>
      </c>
      <c r="AV138" t="s">
        <v>226</v>
      </c>
      <c r="AW138" t="s">
        <v>923</v>
      </c>
      <c r="AX138" t="s">
        <v>222</v>
      </c>
      <c r="BA138" s="57">
        <v>46303.333333333336</v>
      </c>
      <c r="BB138" t="s">
        <v>3241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e">
        <f>VLOOKUP(H138,Sheet2!$A$1:$B$270,2,FALSE)</f>
        <v>#N/A</v>
      </c>
    </row>
    <row r="139" spans="1:61">
      <c r="A139">
        <v>138</v>
      </c>
      <c r="B139">
        <v>1002623319</v>
      </c>
      <c r="C139">
        <v>3</v>
      </c>
      <c r="D139" t="s">
        <v>59</v>
      </c>
      <c r="E139">
        <v>4</v>
      </c>
      <c r="F139" t="s">
        <v>241</v>
      </c>
      <c r="G139" t="s">
        <v>241</v>
      </c>
      <c r="H139" t="s">
        <v>287</v>
      </c>
      <c r="I139" t="s">
        <v>212</v>
      </c>
      <c r="J139" t="s">
        <v>213</v>
      </c>
      <c r="K139" t="s">
        <v>149</v>
      </c>
      <c r="L139" t="s">
        <v>214</v>
      </c>
      <c r="M139" t="s">
        <v>839</v>
      </c>
      <c r="N139" t="s">
        <v>215</v>
      </c>
      <c r="O139" s="57">
        <v>46300.818831018521</v>
      </c>
      <c r="P139" s="57">
        <v>46303.336967592593</v>
      </c>
      <c r="Q139">
        <v>69404646</v>
      </c>
      <c r="S139">
        <v>146137148366</v>
      </c>
      <c r="T139" t="s">
        <v>2600</v>
      </c>
      <c r="U139" t="s">
        <v>2601</v>
      </c>
      <c r="V139" t="s">
        <v>2602</v>
      </c>
      <c r="Z139">
        <v>110.25817720000001</v>
      </c>
      <c r="AA139">
        <v>-7.3726548999999997</v>
      </c>
      <c r="AB139" t="s">
        <v>2603</v>
      </c>
      <c r="AC139" t="s">
        <v>235</v>
      </c>
      <c r="AL139" t="s">
        <v>217</v>
      </c>
      <c r="AM139" t="s">
        <v>2604</v>
      </c>
      <c r="AN139" t="s">
        <v>6</v>
      </c>
      <c r="AO139" s="57">
        <v>46152.819641203707</v>
      </c>
      <c r="AP139" s="57">
        <v>46303.333333333336</v>
      </c>
      <c r="AR139" t="s">
        <v>1433</v>
      </c>
      <c r="AS139" t="s">
        <v>219</v>
      </c>
      <c r="AT139" t="s">
        <v>230</v>
      </c>
      <c r="AV139" t="s">
        <v>3866</v>
      </c>
      <c r="AW139" t="s">
        <v>923</v>
      </c>
      <c r="AX139" t="s">
        <v>222</v>
      </c>
      <c r="BA139" s="57">
        <v>46303.333333333336</v>
      </c>
      <c r="BB139" t="s">
        <v>2604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e">
        <f>VLOOKUP(H139,Sheet2!$A$1:$B$270,2,FALSE)</f>
        <v>#N/A</v>
      </c>
    </row>
    <row r="140" spans="1:61">
      <c r="A140">
        <v>139</v>
      </c>
      <c r="B140">
        <v>1002617592</v>
      </c>
      <c r="C140">
        <v>3</v>
      </c>
      <c r="D140" t="s">
        <v>59</v>
      </c>
      <c r="E140">
        <v>4</v>
      </c>
      <c r="F140" t="s">
        <v>241</v>
      </c>
      <c r="G140" t="s">
        <v>241</v>
      </c>
      <c r="H140" t="s">
        <v>287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46296.476782407408</v>
      </c>
      <c r="P140" s="57">
        <v>46298.369155092594</v>
      </c>
      <c r="Q140">
        <v>69402247</v>
      </c>
      <c r="S140">
        <v>146137148326</v>
      </c>
      <c r="T140" t="s">
        <v>1003</v>
      </c>
      <c r="U140" t="s">
        <v>1644</v>
      </c>
      <c r="V140" t="s">
        <v>1004</v>
      </c>
      <c r="Z140">
        <v>110.25726611905201</v>
      </c>
      <c r="AA140">
        <v>-7.3721803621597299</v>
      </c>
      <c r="AB140" t="s">
        <v>1005</v>
      </c>
      <c r="AC140" t="s">
        <v>235</v>
      </c>
      <c r="AL140" t="s">
        <v>217</v>
      </c>
      <c r="AM140" t="s">
        <v>1006</v>
      </c>
      <c r="AN140" t="s">
        <v>6</v>
      </c>
      <c r="AO140" s="57">
        <v>46032.486342592594</v>
      </c>
      <c r="AP140" s="57">
        <v>46298.625</v>
      </c>
      <c r="AR140" t="s">
        <v>218</v>
      </c>
      <c r="AS140" t="s">
        <v>219</v>
      </c>
      <c r="AT140" t="s">
        <v>230</v>
      </c>
      <c r="AU140">
        <v>20261003</v>
      </c>
      <c r="AV140" t="s">
        <v>221</v>
      </c>
      <c r="AW140" t="s">
        <v>875</v>
      </c>
      <c r="AX140" t="s">
        <v>222</v>
      </c>
      <c r="BA140" s="57">
        <v>46298.625</v>
      </c>
      <c r="BB140" t="s">
        <v>1006</v>
      </c>
      <c r="BC140">
        <v>2026</v>
      </c>
      <c r="BD140">
        <v>10</v>
      </c>
      <c r="BE140">
        <v>3</v>
      </c>
      <c r="BF140" s="6">
        <f t="shared" si="6"/>
        <v>46298</v>
      </c>
      <c r="BG140">
        <f t="shared" si="7"/>
        <v>-0.625</v>
      </c>
      <c r="BH140" t="str">
        <f t="shared" si="8"/>
        <v>COMPLY</v>
      </c>
      <c r="BI140" t="e">
        <f>VLOOKUP(H140,Sheet2!$A$1:$B$270,2,FALSE)</f>
        <v>#N/A</v>
      </c>
    </row>
    <row r="141" spans="1:61">
      <c r="A141">
        <v>140</v>
      </c>
      <c r="B141">
        <v>1002619545</v>
      </c>
      <c r="C141">
        <v>3</v>
      </c>
      <c r="D141" t="s">
        <v>59</v>
      </c>
      <c r="E141">
        <v>4</v>
      </c>
      <c r="F141" t="s">
        <v>241</v>
      </c>
      <c r="G141" t="s">
        <v>241</v>
      </c>
      <c r="H141" t="s">
        <v>287</v>
      </c>
      <c r="I141" t="s">
        <v>212</v>
      </c>
      <c r="J141" t="s">
        <v>213</v>
      </c>
      <c r="K141" t="s">
        <v>149</v>
      </c>
      <c r="L141" t="s">
        <v>214</v>
      </c>
      <c r="M141" t="s">
        <v>76</v>
      </c>
      <c r="N141" t="s">
        <v>215</v>
      </c>
      <c r="O141" s="57">
        <v>46297.476087962961</v>
      </c>
      <c r="P141" s="57">
        <v>46300.377060185187</v>
      </c>
      <c r="Q141">
        <v>69402950</v>
      </c>
      <c r="S141">
        <v>146137148318</v>
      </c>
      <c r="T141" t="s">
        <v>1645</v>
      </c>
      <c r="U141" t="s">
        <v>1646</v>
      </c>
      <c r="V141" t="s">
        <v>1647</v>
      </c>
      <c r="Z141">
        <v>110.1687846</v>
      </c>
      <c r="AA141">
        <v>-7.5391551999999997</v>
      </c>
      <c r="AB141" t="s">
        <v>1648</v>
      </c>
      <c r="AC141" t="s">
        <v>235</v>
      </c>
      <c r="AL141" t="s">
        <v>217</v>
      </c>
      <c r="AM141" t="s">
        <v>1649</v>
      </c>
      <c r="AN141" t="s">
        <v>6</v>
      </c>
      <c r="AO141" s="57">
        <v>46063.486087962963</v>
      </c>
      <c r="AP141" s="57">
        <v>46299.625</v>
      </c>
      <c r="AR141" t="s">
        <v>218</v>
      </c>
      <c r="AS141" t="s">
        <v>219</v>
      </c>
      <c r="AT141" t="s">
        <v>230</v>
      </c>
      <c r="AU141">
        <v>20261005</v>
      </c>
      <c r="AV141" t="s">
        <v>221</v>
      </c>
      <c r="AW141" t="s">
        <v>881</v>
      </c>
      <c r="AX141" t="s">
        <v>222</v>
      </c>
      <c r="BA141" s="57">
        <v>46299.625</v>
      </c>
      <c r="BB141" t="s">
        <v>1649</v>
      </c>
      <c r="BC141">
        <v>2026</v>
      </c>
      <c r="BD141">
        <v>10</v>
      </c>
      <c r="BE141">
        <v>5</v>
      </c>
      <c r="BF141" s="6">
        <f t="shared" si="6"/>
        <v>46300</v>
      </c>
      <c r="BG141">
        <f t="shared" si="7"/>
        <v>0.375</v>
      </c>
      <c r="BH141" t="str">
        <f t="shared" si="8"/>
        <v>COMPLY</v>
      </c>
      <c r="BI141" t="e">
        <f>VLOOKUP(H141,Sheet2!$A$1:$B$270,2,FALSE)</f>
        <v>#N/A</v>
      </c>
    </row>
    <row r="142" spans="1:61">
      <c r="A142">
        <v>141</v>
      </c>
      <c r="B142">
        <v>1002620316</v>
      </c>
      <c r="C142">
        <v>3</v>
      </c>
      <c r="D142" t="s">
        <v>59</v>
      </c>
      <c r="E142">
        <v>4</v>
      </c>
      <c r="F142" t="s">
        <v>241</v>
      </c>
      <c r="G142" t="s">
        <v>241</v>
      </c>
      <c r="H142" t="s">
        <v>287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46297.655312499999</v>
      </c>
      <c r="P142" s="57">
        <v>46300.605127314811</v>
      </c>
      <c r="Q142">
        <v>69403267</v>
      </c>
      <c r="S142">
        <v>146137148354</v>
      </c>
      <c r="T142" t="s">
        <v>1650</v>
      </c>
      <c r="U142" t="s">
        <v>2599</v>
      </c>
      <c r="V142" t="s">
        <v>1651</v>
      </c>
      <c r="Z142">
        <v>110.294973</v>
      </c>
      <c r="AA142">
        <v>-7.453913</v>
      </c>
      <c r="AB142" t="s">
        <v>1652</v>
      </c>
      <c r="AC142" t="s">
        <v>235</v>
      </c>
      <c r="AL142" t="s">
        <v>217</v>
      </c>
      <c r="AM142" t="s">
        <v>1653</v>
      </c>
      <c r="AN142" t="s">
        <v>6</v>
      </c>
      <c r="AO142" s="57">
        <v>46063.663495370369</v>
      </c>
      <c r="AP142" s="57">
        <v>46300.625</v>
      </c>
      <c r="AR142" t="s">
        <v>218</v>
      </c>
      <c r="AS142" t="s">
        <v>219</v>
      </c>
      <c r="AT142" t="s">
        <v>230</v>
      </c>
      <c r="AU142">
        <v>20261005</v>
      </c>
      <c r="AV142" t="s">
        <v>221</v>
      </c>
      <c r="AW142" t="s">
        <v>880</v>
      </c>
      <c r="AX142" t="s">
        <v>222</v>
      </c>
      <c r="BA142" s="57">
        <v>46300.625</v>
      </c>
      <c r="BB142" t="s">
        <v>1653</v>
      </c>
      <c r="BC142">
        <v>2026</v>
      </c>
      <c r="BD142">
        <v>10</v>
      </c>
      <c r="BE142">
        <v>5</v>
      </c>
      <c r="BF142" s="6">
        <f t="shared" si="6"/>
        <v>46300</v>
      </c>
      <c r="BG142">
        <f t="shared" si="7"/>
        <v>-0.625</v>
      </c>
      <c r="BH142" t="str">
        <f t="shared" si="8"/>
        <v>COMPLY</v>
      </c>
      <c r="BI142" t="e">
        <f>VLOOKUP(H142,Sheet2!$A$1:$B$270,2,FALSE)</f>
        <v>#N/A</v>
      </c>
    </row>
    <row r="143" spans="1:61">
      <c r="A143">
        <v>142</v>
      </c>
      <c r="B143">
        <v>1002623325</v>
      </c>
      <c r="C143">
        <v>3</v>
      </c>
      <c r="D143" t="s">
        <v>59</v>
      </c>
      <c r="E143">
        <v>4</v>
      </c>
      <c r="F143" t="s">
        <v>241</v>
      </c>
      <c r="G143" t="s">
        <v>241</v>
      </c>
      <c r="H143" t="s">
        <v>287</v>
      </c>
      <c r="I143" t="s">
        <v>212</v>
      </c>
      <c r="J143" t="s">
        <v>213</v>
      </c>
      <c r="K143" t="s">
        <v>149</v>
      </c>
      <c r="L143" t="s">
        <v>214</v>
      </c>
      <c r="M143" t="s">
        <v>76</v>
      </c>
      <c r="N143" t="s">
        <v>215</v>
      </c>
      <c r="O143" s="57">
        <v>46300.819212962961</v>
      </c>
      <c r="P143" s="57">
        <v>46301.529409722221</v>
      </c>
      <c r="Q143">
        <v>69404646</v>
      </c>
      <c r="S143">
        <v>146137148366</v>
      </c>
      <c r="T143" t="s">
        <v>2600</v>
      </c>
      <c r="U143" t="s">
        <v>2601</v>
      </c>
      <c r="V143" t="s">
        <v>2602</v>
      </c>
      <c r="Z143">
        <v>110.25817720000001</v>
      </c>
      <c r="AA143">
        <v>-7.3726548999999997</v>
      </c>
      <c r="AB143" t="s">
        <v>2603</v>
      </c>
      <c r="AC143" t="s">
        <v>235</v>
      </c>
      <c r="AL143" t="s">
        <v>217</v>
      </c>
      <c r="AM143" t="s">
        <v>2604</v>
      </c>
      <c r="AN143" t="s">
        <v>6</v>
      </c>
      <c r="AO143" s="57">
        <v>46152.819641203707</v>
      </c>
      <c r="AP143" s="57">
        <v>46303.333333333336</v>
      </c>
      <c r="AR143" t="s">
        <v>218</v>
      </c>
      <c r="AS143" t="s">
        <v>219</v>
      </c>
      <c r="AT143" t="s">
        <v>230</v>
      </c>
      <c r="AU143">
        <v>20261006</v>
      </c>
      <c r="AV143" t="s">
        <v>221</v>
      </c>
      <c r="AW143" t="s">
        <v>923</v>
      </c>
      <c r="AX143" t="s">
        <v>222</v>
      </c>
      <c r="BA143" s="57">
        <v>46303.333333333336</v>
      </c>
      <c r="BB143" t="s">
        <v>2604</v>
      </c>
      <c r="BC143">
        <v>2026</v>
      </c>
      <c r="BD143">
        <v>10</v>
      </c>
      <c r="BE143">
        <v>6</v>
      </c>
      <c r="BF143" s="6">
        <f t="shared" si="6"/>
        <v>46301</v>
      </c>
      <c r="BG143">
        <f t="shared" si="7"/>
        <v>-2.3333333333357587</v>
      </c>
      <c r="BH143" t="str">
        <f t="shared" si="8"/>
        <v>COMPLY</v>
      </c>
      <c r="BI143" t="e">
        <f>VLOOKUP(H143,Sheet2!$A$1:$B$270,2,FALSE)</f>
        <v>#N/A</v>
      </c>
    </row>
    <row r="144" spans="1:61">
      <c r="A144">
        <v>143</v>
      </c>
      <c r="B144">
        <v>1002625186</v>
      </c>
      <c r="C144">
        <v>3</v>
      </c>
      <c r="D144" t="s">
        <v>59</v>
      </c>
      <c r="E144">
        <v>4</v>
      </c>
      <c r="F144" t="s">
        <v>241</v>
      </c>
      <c r="G144" t="s">
        <v>241</v>
      </c>
      <c r="H144" t="s">
        <v>287</v>
      </c>
      <c r="I144" t="s">
        <v>212</v>
      </c>
      <c r="J144" t="s">
        <v>213</v>
      </c>
      <c r="K144" t="s">
        <v>149</v>
      </c>
      <c r="L144" t="s">
        <v>214</v>
      </c>
      <c r="M144" t="s">
        <v>76</v>
      </c>
      <c r="N144" t="s">
        <v>215</v>
      </c>
      <c r="O144" s="57">
        <v>46301.793553240743</v>
      </c>
      <c r="P144" s="57">
        <v>46302.534212962964</v>
      </c>
      <c r="Q144">
        <v>69405397</v>
      </c>
      <c r="S144">
        <v>146137148389</v>
      </c>
      <c r="T144" t="s">
        <v>3223</v>
      </c>
      <c r="U144" t="s">
        <v>3224</v>
      </c>
      <c r="V144" t="s">
        <v>3225</v>
      </c>
      <c r="Z144">
        <v>110.26969561138201</v>
      </c>
      <c r="AA144">
        <v>-7.4568866252958701</v>
      </c>
      <c r="AB144" t="s">
        <v>3226</v>
      </c>
      <c r="AC144" t="s">
        <v>235</v>
      </c>
      <c r="AL144" t="s">
        <v>217</v>
      </c>
      <c r="AM144" t="s">
        <v>3227</v>
      </c>
      <c r="AN144" t="s">
        <v>6</v>
      </c>
      <c r="AO144" s="57">
        <v>46183.799340277779</v>
      </c>
      <c r="AP144" s="57">
        <v>46302.625</v>
      </c>
      <c r="AR144" t="s">
        <v>218</v>
      </c>
      <c r="AS144" t="s">
        <v>219</v>
      </c>
      <c r="AT144" t="s">
        <v>230</v>
      </c>
      <c r="AU144">
        <v>20261007</v>
      </c>
      <c r="AV144" t="s">
        <v>221</v>
      </c>
      <c r="AW144" t="s">
        <v>877</v>
      </c>
      <c r="AX144" t="s">
        <v>222</v>
      </c>
      <c r="BA144" s="57">
        <v>46302.625</v>
      </c>
      <c r="BB144" t="s">
        <v>3227</v>
      </c>
      <c r="BC144">
        <v>2026</v>
      </c>
      <c r="BD144">
        <v>10</v>
      </c>
      <c r="BE144">
        <v>7</v>
      </c>
      <c r="BF144" s="6">
        <f t="shared" si="6"/>
        <v>46302</v>
      </c>
      <c r="BG144">
        <f t="shared" si="7"/>
        <v>-0.625</v>
      </c>
      <c r="BH144" t="str">
        <f t="shared" si="8"/>
        <v>COMPLY</v>
      </c>
      <c r="BI144" t="e">
        <f>VLOOKUP(H144,Sheet2!$A$1:$B$270,2,FALSE)</f>
        <v>#N/A</v>
      </c>
    </row>
    <row r="145" spans="1:61">
      <c r="A145">
        <v>144</v>
      </c>
      <c r="B145">
        <v>1002623409</v>
      </c>
      <c r="C145">
        <v>3</v>
      </c>
      <c r="D145" t="s">
        <v>59</v>
      </c>
      <c r="E145">
        <v>4</v>
      </c>
      <c r="F145" t="s">
        <v>241</v>
      </c>
      <c r="G145" t="s">
        <v>241</v>
      </c>
      <c r="H145" t="s">
        <v>287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46301.35193287037</v>
      </c>
      <c r="P145" s="57">
        <v>46302.674479166664</v>
      </c>
      <c r="Q145">
        <v>69404680</v>
      </c>
      <c r="S145">
        <v>146137148367</v>
      </c>
      <c r="T145" t="s">
        <v>3228</v>
      </c>
      <c r="U145" t="s">
        <v>3229</v>
      </c>
      <c r="V145" t="s">
        <v>3230</v>
      </c>
      <c r="Z145">
        <v>110.21842599999999</v>
      </c>
      <c r="AA145">
        <v>-7.4423370000000002</v>
      </c>
      <c r="AB145" t="s">
        <v>3231</v>
      </c>
      <c r="AC145" t="s">
        <v>235</v>
      </c>
      <c r="AL145" t="s">
        <v>217</v>
      </c>
      <c r="AM145" t="s">
        <v>3232</v>
      </c>
      <c r="AN145" t="s">
        <v>6</v>
      </c>
      <c r="AO145" s="57">
        <v>46183.361655092594</v>
      </c>
      <c r="AP145" s="57">
        <v>46303.333333333336</v>
      </c>
      <c r="AR145" t="s">
        <v>218</v>
      </c>
      <c r="AS145" t="s">
        <v>219</v>
      </c>
      <c r="AT145" t="s">
        <v>230</v>
      </c>
      <c r="AU145">
        <v>20261007</v>
      </c>
      <c r="AV145" t="s">
        <v>221</v>
      </c>
      <c r="AW145" t="s">
        <v>881</v>
      </c>
      <c r="AX145" t="s">
        <v>222</v>
      </c>
      <c r="BA145" s="57">
        <v>46303.333333333336</v>
      </c>
      <c r="BB145" t="s">
        <v>3232</v>
      </c>
      <c r="BC145">
        <v>2026</v>
      </c>
      <c r="BD145">
        <v>10</v>
      </c>
      <c r="BE145">
        <v>7</v>
      </c>
      <c r="BF145" s="6">
        <f t="shared" si="6"/>
        <v>46302</v>
      </c>
      <c r="BG145">
        <f t="shared" si="7"/>
        <v>-1.3333333333357587</v>
      </c>
      <c r="BH145" t="str">
        <f t="shared" si="8"/>
        <v>COMPLY</v>
      </c>
      <c r="BI145" t="e">
        <f>VLOOKUP(H145,Sheet2!$A$1:$B$270,2,FALSE)</f>
        <v>#N/A</v>
      </c>
    </row>
    <row r="146" spans="1:61">
      <c r="A146">
        <v>145</v>
      </c>
      <c r="B146">
        <v>1002623555</v>
      </c>
      <c r="C146">
        <v>3</v>
      </c>
      <c r="D146" t="s">
        <v>59</v>
      </c>
      <c r="E146">
        <v>4</v>
      </c>
      <c r="F146" t="s">
        <v>241</v>
      </c>
      <c r="G146" t="s">
        <v>241</v>
      </c>
      <c r="H146" t="s">
        <v>287</v>
      </c>
      <c r="I146" t="s">
        <v>212</v>
      </c>
      <c r="J146" t="s">
        <v>213</v>
      </c>
      <c r="K146" t="s">
        <v>149</v>
      </c>
      <c r="L146" t="s">
        <v>214</v>
      </c>
      <c r="M146" t="s">
        <v>76</v>
      </c>
      <c r="N146" t="s">
        <v>215</v>
      </c>
      <c r="O146" s="57">
        <v>46301.385127314818</v>
      </c>
      <c r="P146" s="57">
        <v>46303.397962962961</v>
      </c>
      <c r="Q146">
        <v>69404729</v>
      </c>
      <c r="S146">
        <v>146137148369</v>
      </c>
      <c r="T146" t="s">
        <v>3233</v>
      </c>
      <c r="U146" t="s">
        <v>2595</v>
      </c>
      <c r="V146" t="s">
        <v>3234</v>
      </c>
      <c r="Z146">
        <v>110.17979390000001</v>
      </c>
      <c r="AA146">
        <v>-7.4886838999999998</v>
      </c>
      <c r="AB146" t="s">
        <v>3235</v>
      </c>
      <c r="AC146" t="s">
        <v>235</v>
      </c>
      <c r="AL146" t="s">
        <v>217</v>
      </c>
      <c r="AM146" t="s">
        <v>3236</v>
      </c>
      <c r="AN146" t="s">
        <v>6</v>
      </c>
      <c r="AO146" s="57">
        <v>46183.392407407409</v>
      </c>
      <c r="AP146" s="57">
        <v>46303.333333333336</v>
      </c>
      <c r="AR146" t="s">
        <v>218</v>
      </c>
      <c r="AS146" t="s">
        <v>219</v>
      </c>
      <c r="AT146" t="s">
        <v>230</v>
      </c>
      <c r="AU146">
        <v>20261008</v>
      </c>
      <c r="AV146" t="s">
        <v>221</v>
      </c>
      <c r="AW146" t="s">
        <v>875</v>
      </c>
      <c r="AX146" t="s">
        <v>222</v>
      </c>
      <c r="BA146" s="57">
        <v>46303.333333333336</v>
      </c>
      <c r="BB146" t="s">
        <v>3236</v>
      </c>
      <c r="BC146">
        <v>2026</v>
      </c>
      <c r="BD146">
        <v>10</v>
      </c>
      <c r="BE146">
        <v>8</v>
      </c>
      <c r="BF146" s="6">
        <f t="shared" si="6"/>
        <v>46303</v>
      </c>
      <c r="BG146">
        <f t="shared" si="7"/>
        <v>-0.33333333333575865</v>
      </c>
      <c r="BH146" t="str">
        <f t="shared" si="8"/>
        <v>COMPLY</v>
      </c>
      <c r="BI146" t="e">
        <f>VLOOKUP(H146,Sheet2!$A$1:$B$270,2,FALSE)</f>
        <v>#N/A</v>
      </c>
    </row>
    <row r="147" spans="1:61">
      <c r="A147">
        <v>146</v>
      </c>
      <c r="B147">
        <v>1002623514</v>
      </c>
      <c r="C147">
        <v>3</v>
      </c>
      <c r="D147" t="s">
        <v>59</v>
      </c>
      <c r="E147">
        <v>4</v>
      </c>
      <c r="F147" t="s">
        <v>241</v>
      </c>
      <c r="G147" t="s">
        <v>241</v>
      </c>
      <c r="H147" t="s">
        <v>287</v>
      </c>
      <c r="I147" t="s">
        <v>212</v>
      </c>
      <c r="J147" t="s">
        <v>213</v>
      </c>
      <c r="K147" t="s">
        <v>149</v>
      </c>
      <c r="L147" t="s">
        <v>214</v>
      </c>
      <c r="M147" t="s">
        <v>76</v>
      </c>
      <c r="N147" t="s">
        <v>215</v>
      </c>
      <c r="O147" s="57">
        <v>46301.378171296295</v>
      </c>
      <c r="P147" s="57">
        <v>46303.301898148151</v>
      </c>
      <c r="Q147">
        <v>69404702</v>
      </c>
      <c r="S147">
        <v>146137148368</v>
      </c>
      <c r="T147" t="s">
        <v>3242</v>
      </c>
      <c r="U147" t="s">
        <v>3243</v>
      </c>
      <c r="V147" t="s">
        <v>3244</v>
      </c>
      <c r="Z147">
        <v>110.31117190000001</v>
      </c>
      <c r="AA147">
        <v>-7.3703938999999998</v>
      </c>
      <c r="AB147" t="s">
        <v>3245</v>
      </c>
      <c r="AC147" t="s">
        <v>235</v>
      </c>
      <c r="AL147" t="s">
        <v>217</v>
      </c>
      <c r="AM147" t="s">
        <v>3246</v>
      </c>
      <c r="AN147" t="s">
        <v>6</v>
      </c>
      <c r="AO147" s="57">
        <v>46183.392407407409</v>
      </c>
      <c r="AP147" s="57">
        <v>46303.333333333336</v>
      </c>
      <c r="AR147" t="s">
        <v>218</v>
      </c>
      <c r="AS147" t="s">
        <v>219</v>
      </c>
      <c r="AT147" t="s">
        <v>230</v>
      </c>
      <c r="AU147">
        <v>20261008</v>
      </c>
      <c r="AV147" t="s">
        <v>221</v>
      </c>
      <c r="AW147" t="s">
        <v>877</v>
      </c>
      <c r="AX147" t="s">
        <v>222</v>
      </c>
      <c r="BA147" s="57">
        <v>46303.333333333336</v>
      </c>
      <c r="BB147" t="s">
        <v>3246</v>
      </c>
      <c r="BC147">
        <v>2026</v>
      </c>
      <c r="BD147">
        <v>10</v>
      </c>
      <c r="BE147">
        <v>8</v>
      </c>
      <c r="BF147" s="6">
        <f t="shared" si="6"/>
        <v>46303</v>
      </c>
      <c r="BG147">
        <f t="shared" si="7"/>
        <v>-0.33333333333575865</v>
      </c>
      <c r="BH147" t="str">
        <f t="shared" si="8"/>
        <v>COMPLY</v>
      </c>
      <c r="BI147" t="e">
        <f>VLOOKUP(H147,Sheet2!$A$1:$B$270,2,FALSE)</f>
        <v>#N/A</v>
      </c>
    </row>
    <row r="148" spans="1:61">
      <c r="A148">
        <v>147</v>
      </c>
      <c r="B148">
        <v>1002625468</v>
      </c>
      <c r="C148">
        <v>3</v>
      </c>
      <c r="D148" t="s">
        <v>59</v>
      </c>
      <c r="E148">
        <v>4</v>
      </c>
      <c r="F148" t="s">
        <v>241</v>
      </c>
      <c r="G148" t="s">
        <v>241</v>
      </c>
      <c r="H148" t="s">
        <v>287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46302.40179398148</v>
      </c>
      <c r="P148" s="57">
        <v>46302.560069444444</v>
      </c>
      <c r="Q148">
        <v>69405511</v>
      </c>
      <c r="S148">
        <v>146137148395</v>
      </c>
      <c r="T148" t="s">
        <v>3867</v>
      </c>
      <c r="U148" t="s">
        <v>3868</v>
      </c>
      <c r="V148" t="s">
        <v>3869</v>
      </c>
      <c r="Z148">
        <v>110.21995149999999</v>
      </c>
      <c r="AA148">
        <v>-7.4612498999999897</v>
      </c>
      <c r="AB148" t="s">
        <v>3870</v>
      </c>
      <c r="AC148" t="s">
        <v>235</v>
      </c>
      <c r="AL148" t="s">
        <v>217</v>
      </c>
      <c r="AM148" t="s">
        <v>3871</v>
      </c>
      <c r="AN148" t="s">
        <v>6</v>
      </c>
      <c r="AO148" s="57">
        <v>46213.402939814812</v>
      </c>
      <c r="AP148" s="57">
        <v>46303.625</v>
      </c>
      <c r="AR148" t="s">
        <v>218</v>
      </c>
      <c r="AS148" t="s">
        <v>219</v>
      </c>
      <c r="AT148" t="s">
        <v>230</v>
      </c>
      <c r="AU148">
        <v>20261007</v>
      </c>
      <c r="AV148" t="s">
        <v>221</v>
      </c>
      <c r="AW148" t="s">
        <v>877</v>
      </c>
      <c r="AX148" t="s">
        <v>222</v>
      </c>
      <c r="BA148" s="57">
        <v>46303.625</v>
      </c>
      <c r="BB148" t="s">
        <v>3871</v>
      </c>
      <c r="BC148">
        <v>2026</v>
      </c>
      <c r="BD148">
        <v>10</v>
      </c>
      <c r="BE148">
        <v>7</v>
      </c>
      <c r="BF148" s="6">
        <f t="shared" si="6"/>
        <v>46302</v>
      </c>
      <c r="BG148">
        <f t="shared" si="7"/>
        <v>-1.625</v>
      </c>
      <c r="BH148" t="str">
        <f t="shared" si="8"/>
        <v>COMPLY</v>
      </c>
      <c r="BI148" t="e">
        <f>VLOOKUP(H148,Sheet2!$A$1:$B$270,2,FALSE)</f>
        <v>#N/A</v>
      </c>
    </row>
    <row r="149" spans="1:61">
      <c r="A149">
        <v>148</v>
      </c>
      <c r="B149">
        <v>1002625567</v>
      </c>
      <c r="C149">
        <v>3</v>
      </c>
      <c r="D149" t="s">
        <v>59</v>
      </c>
      <c r="E149">
        <v>4</v>
      </c>
      <c r="F149" t="s">
        <v>241</v>
      </c>
      <c r="G149" t="s">
        <v>241</v>
      </c>
      <c r="H149" t="s">
        <v>287</v>
      </c>
      <c r="I149" t="s">
        <v>212</v>
      </c>
      <c r="J149" t="s">
        <v>213</v>
      </c>
      <c r="K149" t="s">
        <v>149</v>
      </c>
      <c r="L149" t="s">
        <v>214</v>
      </c>
      <c r="M149" t="s">
        <v>238</v>
      </c>
      <c r="N149" t="s">
        <v>215</v>
      </c>
      <c r="O149" s="57">
        <v>46302.426168981481</v>
      </c>
      <c r="P149" s="57">
        <v>46302.427870370368</v>
      </c>
      <c r="Q149">
        <v>69405555</v>
      </c>
      <c r="S149">
        <v>146137147850</v>
      </c>
      <c r="T149" t="s">
        <v>3872</v>
      </c>
      <c r="U149" t="s">
        <v>3873</v>
      </c>
      <c r="V149" t="s">
        <v>3874</v>
      </c>
      <c r="Z149">
        <v>110.27014250000001</v>
      </c>
      <c r="AA149">
        <v>-7.4568890000000003</v>
      </c>
      <c r="AB149" t="s">
        <v>3875</v>
      </c>
      <c r="AC149" t="s">
        <v>235</v>
      </c>
      <c r="AL149" t="s">
        <v>217</v>
      </c>
      <c r="AM149" t="s">
        <v>3852</v>
      </c>
      <c r="AN149" t="s">
        <v>6</v>
      </c>
      <c r="AO149" s="57">
        <v>46213.434340277781</v>
      </c>
      <c r="AP149" s="57">
        <v>46303.625</v>
      </c>
      <c r="AR149" t="s">
        <v>239</v>
      </c>
      <c r="AS149" t="s">
        <v>219</v>
      </c>
      <c r="AT149" t="s">
        <v>230</v>
      </c>
      <c r="AV149" t="s">
        <v>238</v>
      </c>
      <c r="AW149" t="s">
        <v>876</v>
      </c>
      <c r="AX149" t="s">
        <v>222</v>
      </c>
      <c r="BA149" s="57">
        <v>46303.625</v>
      </c>
      <c r="BB149" t="s">
        <v>3852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e">
        <f>VLOOKUP(H149,Sheet2!$A$1:$B$270,2,FALSE)</f>
        <v>#N/A</v>
      </c>
    </row>
    <row r="150" spans="1:61">
      <c r="A150">
        <v>149</v>
      </c>
      <c r="B150">
        <v>1002625778</v>
      </c>
      <c r="C150">
        <v>3</v>
      </c>
      <c r="D150" t="s">
        <v>59</v>
      </c>
      <c r="E150">
        <v>4</v>
      </c>
      <c r="F150" t="s">
        <v>241</v>
      </c>
      <c r="G150" t="s">
        <v>241</v>
      </c>
      <c r="H150" t="s">
        <v>287</v>
      </c>
      <c r="I150" t="s">
        <v>212</v>
      </c>
      <c r="J150" t="s">
        <v>213</v>
      </c>
      <c r="K150" t="s">
        <v>149</v>
      </c>
      <c r="L150" t="s">
        <v>214</v>
      </c>
      <c r="M150" t="s">
        <v>238</v>
      </c>
      <c r="N150" t="s">
        <v>215</v>
      </c>
      <c r="O150" s="57">
        <v>46302.468518518515</v>
      </c>
      <c r="P150" s="57">
        <v>46302.469513888886</v>
      </c>
      <c r="Q150">
        <v>69405685</v>
      </c>
      <c r="S150">
        <v>146137148391</v>
      </c>
      <c r="T150" t="s">
        <v>3876</v>
      </c>
      <c r="U150" t="s">
        <v>3877</v>
      </c>
      <c r="V150" t="s">
        <v>3878</v>
      </c>
      <c r="Z150">
        <v>110.215808506835</v>
      </c>
      <c r="AA150">
        <v>-7.48061104355887</v>
      </c>
      <c r="AB150" t="s">
        <v>3879</v>
      </c>
      <c r="AC150" t="s">
        <v>235</v>
      </c>
      <c r="AL150" t="s">
        <v>217</v>
      </c>
      <c r="AM150" t="s">
        <v>3880</v>
      </c>
      <c r="AN150" t="s">
        <v>6</v>
      </c>
      <c r="AO150" s="57">
        <v>46213.475960648146</v>
      </c>
      <c r="AP150" s="57">
        <v>46303.625</v>
      </c>
      <c r="AR150" t="s">
        <v>239</v>
      </c>
      <c r="AS150" t="s">
        <v>219</v>
      </c>
      <c r="AT150" t="s">
        <v>230</v>
      </c>
      <c r="AV150" t="s">
        <v>238</v>
      </c>
      <c r="AW150" t="s">
        <v>880</v>
      </c>
      <c r="AX150" t="s">
        <v>222</v>
      </c>
      <c r="BA150" s="57">
        <v>46303.625</v>
      </c>
      <c r="BB150" t="s">
        <v>3880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e">
        <f>VLOOKUP(H150,Sheet2!$A$1:$B$270,2,FALSE)</f>
        <v>#N/A</v>
      </c>
    </row>
    <row r="151" spans="1:61">
      <c r="A151">
        <v>150</v>
      </c>
      <c r="B151">
        <v>1002622346</v>
      </c>
      <c r="C151">
        <v>3</v>
      </c>
      <c r="D151" t="s">
        <v>59</v>
      </c>
      <c r="E151">
        <v>4</v>
      </c>
      <c r="F151" t="s">
        <v>241</v>
      </c>
      <c r="G151" t="s">
        <v>2605</v>
      </c>
      <c r="H151" t="s">
        <v>2606</v>
      </c>
      <c r="I151" t="s">
        <v>212</v>
      </c>
      <c r="J151" t="s">
        <v>213</v>
      </c>
      <c r="K151" t="s">
        <v>149</v>
      </c>
      <c r="L151" t="s">
        <v>214</v>
      </c>
      <c r="M151" t="s">
        <v>1401</v>
      </c>
      <c r="N151" t="s">
        <v>215</v>
      </c>
      <c r="O151" s="57">
        <v>46300.535185185188</v>
      </c>
      <c r="P151" s="57">
        <v>46302.489895833336</v>
      </c>
      <c r="Q151">
        <v>69404303</v>
      </c>
      <c r="S151">
        <v>142164113857</v>
      </c>
      <c r="T151" t="s">
        <v>2607</v>
      </c>
      <c r="U151" t="s">
        <v>2608</v>
      </c>
      <c r="V151" t="s">
        <v>2609</v>
      </c>
      <c r="Z151">
        <v>110.28723030753601</v>
      </c>
      <c r="AA151">
        <v>-7.5556823183226296</v>
      </c>
      <c r="AB151" t="s">
        <v>2610</v>
      </c>
      <c r="AC151" t="s">
        <v>235</v>
      </c>
      <c r="AL151" t="s">
        <v>217</v>
      </c>
      <c r="AM151" t="s">
        <v>2611</v>
      </c>
      <c r="AN151" t="s">
        <v>6</v>
      </c>
      <c r="AO151" s="57">
        <v>46152.569618055553</v>
      </c>
      <c r="AP151" s="57">
        <v>46301.458333333336</v>
      </c>
      <c r="AR151" t="s">
        <v>14</v>
      </c>
      <c r="AS151" t="s">
        <v>219</v>
      </c>
      <c r="AT151" t="s">
        <v>230</v>
      </c>
      <c r="AV151" t="s">
        <v>3247</v>
      </c>
      <c r="AW151" t="s">
        <v>875</v>
      </c>
      <c r="AX151" t="s">
        <v>222</v>
      </c>
      <c r="BA151" s="57">
        <v>46301.458333333336</v>
      </c>
      <c r="BB151" t="s">
        <v>2611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e">
        <f>VLOOKUP(H151,Sheet2!$A$1:$B$270,2,FALSE)</f>
        <v>#N/A</v>
      </c>
    </row>
    <row r="152" spans="1:61">
      <c r="A152">
        <v>151</v>
      </c>
      <c r="B152">
        <v>1002622437</v>
      </c>
      <c r="C152">
        <v>3</v>
      </c>
      <c r="D152" t="s">
        <v>59</v>
      </c>
      <c r="E152">
        <v>4</v>
      </c>
      <c r="F152" t="s">
        <v>241</v>
      </c>
      <c r="G152" t="s">
        <v>2605</v>
      </c>
      <c r="H152" t="s">
        <v>2606</v>
      </c>
      <c r="I152" t="s">
        <v>212</v>
      </c>
      <c r="J152" t="s">
        <v>213</v>
      </c>
      <c r="K152" t="s">
        <v>149</v>
      </c>
      <c r="L152" t="s">
        <v>214</v>
      </c>
      <c r="M152" t="s">
        <v>1401</v>
      </c>
      <c r="N152" t="s">
        <v>215</v>
      </c>
      <c r="O152" s="57">
        <v>46300.561574074076</v>
      </c>
      <c r="P152" s="57">
        <v>46302.604085648149</v>
      </c>
      <c r="Q152">
        <v>69404355</v>
      </c>
      <c r="S152">
        <v>142164113858</v>
      </c>
      <c r="T152" t="s">
        <v>2612</v>
      </c>
      <c r="U152" t="s">
        <v>2613</v>
      </c>
      <c r="V152" t="s">
        <v>2614</v>
      </c>
      <c r="Z152">
        <v>110.28514872802199</v>
      </c>
      <c r="AA152">
        <v>-7.55774688418132</v>
      </c>
      <c r="AB152" t="s">
        <v>2615</v>
      </c>
      <c r="AC152" t="s">
        <v>235</v>
      </c>
      <c r="AL152" t="s">
        <v>217</v>
      </c>
      <c r="AM152" t="s">
        <v>2616</v>
      </c>
      <c r="AN152" t="s">
        <v>6</v>
      </c>
      <c r="AO152" s="57">
        <v>46152.569618055553</v>
      </c>
      <c r="AP152" s="57">
        <v>46301.458333333336</v>
      </c>
      <c r="AQ152" t="s">
        <v>1497</v>
      </c>
      <c r="AR152" t="s">
        <v>14</v>
      </c>
      <c r="AS152" t="s">
        <v>219</v>
      </c>
      <c r="AT152" t="s">
        <v>230</v>
      </c>
      <c r="AV152" t="s">
        <v>3881</v>
      </c>
      <c r="AW152" t="s">
        <v>875</v>
      </c>
      <c r="AX152" t="s">
        <v>222</v>
      </c>
      <c r="BA152" s="57">
        <v>46301.458333333336</v>
      </c>
      <c r="BB152" t="s">
        <v>2616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e">
        <f>VLOOKUP(H152,Sheet2!$A$1:$B$270,2,FALSE)</f>
        <v>#N/A</v>
      </c>
    </row>
    <row r="153" spans="1:61">
      <c r="A153">
        <v>152</v>
      </c>
      <c r="B153">
        <v>1002625869</v>
      </c>
      <c r="C153">
        <v>3</v>
      </c>
      <c r="D153" t="s">
        <v>59</v>
      </c>
      <c r="E153">
        <v>4</v>
      </c>
      <c r="F153" t="s">
        <v>241</v>
      </c>
      <c r="G153" t="s">
        <v>2605</v>
      </c>
      <c r="H153" t="s">
        <v>2606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46302.489895833336</v>
      </c>
      <c r="P153" s="57">
        <v>46302.566793981481</v>
      </c>
      <c r="Q153">
        <v>69404303</v>
      </c>
      <c r="S153">
        <v>142164113868</v>
      </c>
      <c r="T153" t="s">
        <v>2607</v>
      </c>
      <c r="U153" t="s">
        <v>3882</v>
      </c>
      <c r="V153" t="s">
        <v>3883</v>
      </c>
      <c r="Z153">
        <v>110.28754000000001</v>
      </c>
      <c r="AA153">
        <v>-7.5549419999999996</v>
      </c>
      <c r="AB153" t="s">
        <v>2610</v>
      </c>
      <c r="AC153" t="s">
        <v>283</v>
      </c>
      <c r="AL153" t="s">
        <v>217</v>
      </c>
      <c r="AM153" t="s">
        <v>3884</v>
      </c>
      <c r="AN153" t="s">
        <v>6</v>
      </c>
      <c r="AO153" s="57">
        <v>46213.496678240743</v>
      </c>
      <c r="AR153" t="s">
        <v>218</v>
      </c>
      <c r="AS153" t="s">
        <v>219</v>
      </c>
      <c r="AT153" t="s">
        <v>230</v>
      </c>
      <c r="AU153">
        <v>20261007</v>
      </c>
      <c r="AV153" t="s">
        <v>221</v>
      </c>
      <c r="AW153" t="s">
        <v>3435</v>
      </c>
      <c r="AX153" t="s">
        <v>222</v>
      </c>
      <c r="BA153" s="57">
        <v>46302.291666666664</v>
      </c>
      <c r="BB153" t="s">
        <v>3884</v>
      </c>
      <c r="BC153">
        <v>2026</v>
      </c>
      <c r="BD153">
        <v>10</v>
      </c>
      <c r="BE153">
        <v>7</v>
      </c>
      <c r="BF153" s="6">
        <f t="shared" si="6"/>
        <v>46302</v>
      </c>
      <c r="BG153">
        <f t="shared" si="7"/>
        <v>-0.29166666666424135</v>
      </c>
      <c r="BH153" t="str">
        <f t="shared" si="8"/>
        <v>COMPLY</v>
      </c>
      <c r="BI153" t="e">
        <f>VLOOKUP(H153,Sheet2!$A$1:$B$270,2,FALSE)</f>
        <v>#N/A</v>
      </c>
    </row>
    <row r="154" spans="1:61">
      <c r="A154">
        <v>153</v>
      </c>
      <c r="B154">
        <v>1002626361</v>
      </c>
      <c r="C154">
        <v>3</v>
      </c>
      <c r="D154" t="s">
        <v>59</v>
      </c>
      <c r="E154">
        <v>4</v>
      </c>
      <c r="F154" t="s">
        <v>241</v>
      </c>
      <c r="G154" t="s">
        <v>2605</v>
      </c>
      <c r="H154" t="s">
        <v>2606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46302.604085648149</v>
      </c>
      <c r="P154" s="57">
        <v>46302.67292824074</v>
      </c>
      <c r="Q154">
        <v>69404355</v>
      </c>
      <c r="S154">
        <v>142164113871</v>
      </c>
      <c r="T154" t="s">
        <v>2612</v>
      </c>
      <c r="U154" t="s">
        <v>3885</v>
      </c>
      <c r="V154" t="s">
        <v>3886</v>
      </c>
      <c r="Z154">
        <v>110.28473700000001</v>
      </c>
      <c r="AA154">
        <v>-7.5586830999999997</v>
      </c>
      <c r="AB154" t="s">
        <v>2615</v>
      </c>
      <c r="AC154" t="s">
        <v>283</v>
      </c>
      <c r="AL154" t="s">
        <v>217</v>
      </c>
      <c r="AM154" t="s">
        <v>3887</v>
      </c>
      <c r="AN154" t="s">
        <v>6</v>
      </c>
      <c r="AO154" s="57">
        <v>46213.611087962963</v>
      </c>
      <c r="AR154" t="s">
        <v>218</v>
      </c>
      <c r="AS154" t="s">
        <v>219</v>
      </c>
      <c r="AT154" t="s">
        <v>230</v>
      </c>
      <c r="AU154">
        <v>20261007</v>
      </c>
      <c r="AV154" t="s">
        <v>221</v>
      </c>
      <c r="AW154" t="s">
        <v>540</v>
      </c>
      <c r="AX154" t="s">
        <v>222</v>
      </c>
      <c r="BA154" s="57">
        <v>46302.291666666664</v>
      </c>
      <c r="BB154" t="s">
        <v>3887</v>
      </c>
      <c r="BC154">
        <v>2026</v>
      </c>
      <c r="BD154">
        <v>10</v>
      </c>
      <c r="BE154">
        <v>7</v>
      </c>
      <c r="BF154" s="6">
        <f t="shared" si="6"/>
        <v>46302</v>
      </c>
      <c r="BG154">
        <f t="shared" si="7"/>
        <v>-0.29166666666424135</v>
      </c>
      <c r="BH154" t="str">
        <f t="shared" si="8"/>
        <v>COMPLY</v>
      </c>
      <c r="BI154" t="e">
        <f>VLOOKUP(H154,Sheet2!$A$1:$B$270,2,FALSE)</f>
        <v>#N/A</v>
      </c>
    </row>
    <row r="155" spans="1:61">
      <c r="A155">
        <v>154</v>
      </c>
      <c r="B155">
        <v>1002622657</v>
      </c>
      <c r="C155">
        <v>3</v>
      </c>
      <c r="D155" t="s">
        <v>59</v>
      </c>
      <c r="E155">
        <v>4</v>
      </c>
      <c r="F155" t="s">
        <v>241</v>
      </c>
      <c r="G155" t="s">
        <v>2617</v>
      </c>
      <c r="H155" t="s">
        <v>2618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46300.601145833331</v>
      </c>
      <c r="P155" s="57">
        <v>46301.509618055556</v>
      </c>
      <c r="Q155">
        <v>69404433</v>
      </c>
      <c r="S155">
        <v>141149113058</v>
      </c>
      <c r="T155" t="s">
        <v>2619</v>
      </c>
      <c r="U155" t="s">
        <v>2620</v>
      </c>
      <c r="V155" t="s">
        <v>2621</v>
      </c>
      <c r="Z155">
        <v>110.1303602</v>
      </c>
      <c r="AA155">
        <v>-7.2204921999999998</v>
      </c>
      <c r="AB155" t="s">
        <v>2622</v>
      </c>
      <c r="AC155" t="s">
        <v>235</v>
      </c>
      <c r="AL155" t="s">
        <v>217</v>
      </c>
      <c r="AM155" t="s">
        <v>2623</v>
      </c>
      <c r="AN155" t="s">
        <v>6</v>
      </c>
      <c r="AO155" s="57">
        <v>46152.611331018517</v>
      </c>
      <c r="AP155" s="57">
        <v>46301.458333333336</v>
      </c>
      <c r="AR155" t="s">
        <v>218</v>
      </c>
      <c r="AS155" t="s">
        <v>2624</v>
      </c>
      <c r="AT155" t="s">
        <v>230</v>
      </c>
      <c r="AU155">
        <v>20261006</v>
      </c>
      <c r="AV155" t="s">
        <v>221</v>
      </c>
      <c r="AW155" t="s">
        <v>883</v>
      </c>
      <c r="AX155" t="s">
        <v>222</v>
      </c>
      <c r="BA155" s="57">
        <v>46301.458333333336</v>
      </c>
      <c r="BB155" t="s">
        <v>2623</v>
      </c>
      <c r="BC155">
        <v>2026</v>
      </c>
      <c r="BD155">
        <v>10</v>
      </c>
      <c r="BE155">
        <v>6</v>
      </c>
      <c r="BF155" s="6">
        <f t="shared" si="6"/>
        <v>46301</v>
      </c>
      <c r="BG155">
        <f t="shared" si="7"/>
        <v>-0.45833333333575865</v>
      </c>
      <c r="BH155" t="str">
        <f t="shared" si="8"/>
        <v>COMPLY</v>
      </c>
      <c r="BI155" t="e">
        <f>VLOOKUP(H155,Sheet2!$A$1:$B$270,2,FALSE)</f>
        <v>#N/A</v>
      </c>
    </row>
    <row r="156" spans="1:61">
      <c r="A156">
        <v>155</v>
      </c>
      <c r="B156">
        <v>1002626819</v>
      </c>
      <c r="C156">
        <v>3</v>
      </c>
      <c r="D156" t="s">
        <v>59</v>
      </c>
      <c r="E156">
        <v>4</v>
      </c>
      <c r="F156" t="s">
        <v>241</v>
      </c>
      <c r="G156" t="s">
        <v>2617</v>
      </c>
      <c r="H156" t="s">
        <v>2618</v>
      </c>
      <c r="I156" t="s">
        <v>212</v>
      </c>
      <c r="J156" t="s">
        <v>213</v>
      </c>
      <c r="K156" t="s">
        <v>149</v>
      </c>
      <c r="L156" t="s">
        <v>214</v>
      </c>
      <c r="M156" t="s">
        <v>238</v>
      </c>
      <c r="N156" t="s">
        <v>215</v>
      </c>
      <c r="O156" s="57">
        <v>46302.702002314814</v>
      </c>
      <c r="P156" s="57">
        <v>46302.702789351853</v>
      </c>
      <c r="Q156">
        <v>69406096</v>
      </c>
      <c r="S156">
        <v>141149113062</v>
      </c>
      <c r="T156" t="s">
        <v>3888</v>
      </c>
      <c r="U156" t="s">
        <v>3889</v>
      </c>
      <c r="V156" t="s">
        <v>3890</v>
      </c>
      <c r="Z156">
        <v>110.08869610726801</v>
      </c>
      <c r="AA156">
        <v>-7.2683111610738402</v>
      </c>
      <c r="AB156" t="s">
        <v>3891</v>
      </c>
      <c r="AC156" t="s">
        <v>216</v>
      </c>
      <c r="AL156" t="s">
        <v>217</v>
      </c>
      <c r="AM156" t="s">
        <v>3892</v>
      </c>
      <c r="AN156" t="s">
        <v>6</v>
      </c>
      <c r="AO156" s="57">
        <v>46213.736238425925</v>
      </c>
      <c r="AP156" s="57">
        <v>46303.625</v>
      </c>
      <c r="AR156" t="s">
        <v>239</v>
      </c>
      <c r="AS156" t="s">
        <v>2624</v>
      </c>
      <c r="AT156" t="s">
        <v>230</v>
      </c>
      <c r="AV156" t="s">
        <v>238</v>
      </c>
      <c r="AW156" t="s">
        <v>883</v>
      </c>
      <c r="AX156" t="s">
        <v>222</v>
      </c>
      <c r="BA156" s="57">
        <v>46303.625</v>
      </c>
      <c r="BB156" t="s">
        <v>3892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e">
        <f>VLOOKUP(H156,Sheet2!$A$1:$B$270,2,FALSE)</f>
        <v>#N/A</v>
      </c>
    </row>
    <row r="157" spans="1:61">
      <c r="A157">
        <v>156</v>
      </c>
      <c r="B157">
        <v>1002625641</v>
      </c>
      <c r="C157">
        <v>3</v>
      </c>
      <c r="D157" t="s">
        <v>59</v>
      </c>
      <c r="E157">
        <v>4</v>
      </c>
      <c r="F157" t="s">
        <v>241</v>
      </c>
      <c r="G157" t="s">
        <v>2617</v>
      </c>
      <c r="H157" t="s">
        <v>3248</v>
      </c>
      <c r="I157" t="s">
        <v>212</v>
      </c>
      <c r="J157" t="s">
        <v>213</v>
      </c>
      <c r="K157" t="s">
        <v>149</v>
      </c>
      <c r="L157" t="s">
        <v>214</v>
      </c>
      <c r="M157" t="s">
        <v>839</v>
      </c>
      <c r="N157" t="s">
        <v>215</v>
      </c>
      <c r="O157" s="57">
        <v>46302.439282407409</v>
      </c>
      <c r="P157" s="57">
        <v>46303.379189814812</v>
      </c>
      <c r="Q157">
        <v>69405595</v>
      </c>
      <c r="S157">
        <v>141148109109</v>
      </c>
      <c r="T157" t="s">
        <v>3893</v>
      </c>
      <c r="U157" t="s">
        <v>3894</v>
      </c>
      <c r="V157" t="s">
        <v>3895</v>
      </c>
      <c r="Z157">
        <v>110.1719408</v>
      </c>
      <c r="AA157">
        <v>-7.3753261999999999</v>
      </c>
      <c r="AB157" t="s">
        <v>3896</v>
      </c>
      <c r="AC157" t="s">
        <v>235</v>
      </c>
      <c r="AL157" t="s">
        <v>217</v>
      </c>
      <c r="AM157" t="s">
        <v>3897</v>
      </c>
      <c r="AN157" t="s">
        <v>6</v>
      </c>
      <c r="AO157" s="57">
        <v>46213.444687499999</v>
      </c>
      <c r="AP157" s="57">
        <v>46303.333333333336</v>
      </c>
      <c r="AQ157" t="s">
        <v>841</v>
      </c>
      <c r="AR157" t="s">
        <v>840</v>
      </c>
      <c r="AS157" t="s">
        <v>219</v>
      </c>
      <c r="AT157" t="s">
        <v>230</v>
      </c>
      <c r="AV157" t="s">
        <v>3898</v>
      </c>
      <c r="AW157" t="s">
        <v>880</v>
      </c>
      <c r="AX157" t="s">
        <v>222</v>
      </c>
      <c r="BA157" s="57">
        <v>46303.333333333336</v>
      </c>
      <c r="BB157" t="s">
        <v>3897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e">
        <f>VLOOKUP(H157,Sheet2!$A$1:$B$270,2,FALSE)</f>
        <v>#N/A</v>
      </c>
    </row>
    <row r="158" spans="1:61">
      <c r="A158">
        <v>157</v>
      </c>
      <c r="B158">
        <v>1002623835</v>
      </c>
      <c r="C158">
        <v>3</v>
      </c>
      <c r="D158" t="s">
        <v>59</v>
      </c>
      <c r="E158">
        <v>4</v>
      </c>
      <c r="F158" t="s">
        <v>241</v>
      </c>
      <c r="G158" t="s">
        <v>2617</v>
      </c>
      <c r="H158" t="s">
        <v>3248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46301.437199074076</v>
      </c>
      <c r="P158" s="57">
        <v>46301.67695601852</v>
      </c>
      <c r="Q158">
        <v>69404819</v>
      </c>
      <c r="S158">
        <v>141148109105</v>
      </c>
      <c r="T158" t="s">
        <v>3249</v>
      </c>
      <c r="U158" t="s">
        <v>3250</v>
      </c>
      <c r="V158" t="s">
        <v>3251</v>
      </c>
      <c r="Z158">
        <v>110.1198543</v>
      </c>
      <c r="AA158">
        <v>-7.3364048000000004</v>
      </c>
      <c r="AB158" t="s">
        <v>3252</v>
      </c>
      <c r="AC158" t="s">
        <v>235</v>
      </c>
      <c r="AL158" t="s">
        <v>217</v>
      </c>
      <c r="AM158" t="s">
        <v>3215</v>
      </c>
      <c r="AN158" t="s">
        <v>6</v>
      </c>
      <c r="AO158" s="57">
        <v>46183.444699074076</v>
      </c>
      <c r="AP158" s="57">
        <v>46302.333333333336</v>
      </c>
      <c r="AR158" t="s">
        <v>218</v>
      </c>
      <c r="AS158" t="s">
        <v>219</v>
      </c>
      <c r="AT158" t="s">
        <v>230</v>
      </c>
      <c r="AU158">
        <v>20261006</v>
      </c>
      <c r="AV158" t="s">
        <v>221</v>
      </c>
      <c r="AW158" t="s">
        <v>883</v>
      </c>
      <c r="AX158" t="s">
        <v>222</v>
      </c>
      <c r="BA158" s="57">
        <v>46302.333333333336</v>
      </c>
      <c r="BB158" t="s">
        <v>3215</v>
      </c>
      <c r="BC158">
        <v>2026</v>
      </c>
      <c r="BD158">
        <v>10</v>
      </c>
      <c r="BE158">
        <v>6</v>
      </c>
      <c r="BF158" s="6">
        <f t="shared" si="6"/>
        <v>46301</v>
      </c>
      <c r="BG158">
        <f t="shared" si="7"/>
        <v>-1.3333333333357587</v>
      </c>
      <c r="BH158" t="str">
        <f t="shared" si="8"/>
        <v>COMPLY</v>
      </c>
      <c r="BI158" t="e">
        <f>VLOOKUP(H158,Sheet2!$A$1:$B$270,2,FALSE)</f>
        <v>#N/A</v>
      </c>
    </row>
    <row r="159" spans="1:61">
      <c r="A159">
        <v>158</v>
      </c>
      <c r="B159">
        <v>1002624681</v>
      </c>
      <c r="C159">
        <v>3</v>
      </c>
      <c r="D159" t="s">
        <v>38</v>
      </c>
      <c r="E159">
        <v>5</v>
      </c>
      <c r="F159" t="s">
        <v>90</v>
      </c>
      <c r="G159" t="s">
        <v>90</v>
      </c>
      <c r="H159" t="s">
        <v>468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46301.626851851855</v>
      </c>
      <c r="P159" s="57">
        <v>46302.683530092596</v>
      </c>
      <c r="Q159">
        <v>69405226</v>
      </c>
      <c r="S159">
        <v>152625208633</v>
      </c>
      <c r="T159" t="s">
        <v>3253</v>
      </c>
      <c r="U159" t="s">
        <v>3254</v>
      </c>
      <c r="V159" t="s">
        <v>3255</v>
      </c>
      <c r="Z159">
        <v>112.06143299999999</v>
      </c>
      <c r="AA159">
        <v>-7.7862422999999996</v>
      </c>
      <c r="AB159" t="s">
        <v>3256</v>
      </c>
      <c r="AC159" t="s">
        <v>235</v>
      </c>
      <c r="AL159" t="s">
        <v>217</v>
      </c>
      <c r="AM159" t="s">
        <v>3257</v>
      </c>
      <c r="AN159" t="s">
        <v>6</v>
      </c>
      <c r="AO159" s="57">
        <v>46183.642893518518</v>
      </c>
      <c r="AP159" s="57">
        <v>46302.458333333336</v>
      </c>
      <c r="AR159" t="s">
        <v>218</v>
      </c>
      <c r="AS159" t="s">
        <v>548</v>
      </c>
      <c r="AT159" t="s">
        <v>230</v>
      </c>
      <c r="AU159">
        <v>20261007</v>
      </c>
      <c r="AV159" t="s">
        <v>221</v>
      </c>
      <c r="AW159" t="s">
        <v>875</v>
      </c>
      <c r="AX159" t="s">
        <v>222</v>
      </c>
      <c r="BA159" s="57">
        <v>46302.458333333336</v>
      </c>
      <c r="BB159" t="s">
        <v>3257</v>
      </c>
      <c r="BC159">
        <v>2026</v>
      </c>
      <c r="BD159">
        <v>10</v>
      </c>
      <c r="BE159">
        <v>7</v>
      </c>
      <c r="BF159" s="6">
        <f t="shared" si="6"/>
        <v>46302</v>
      </c>
      <c r="BG159">
        <f t="shared" si="7"/>
        <v>-0.45833333333575865</v>
      </c>
      <c r="BH159" t="str">
        <f t="shared" si="8"/>
        <v>COMPLY</v>
      </c>
      <c r="BI159" t="str">
        <f>VLOOKUP(H159,Sheet2!$A$1:$B$270,2,FALSE)</f>
        <v>KEDIRI</v>
      </c>
    </row>
    <row r="160" spans="1:61">
      <c r="A160">
        <v>159</v>
      </c>
      <c r="B160">
        <v>1002626931</v>
      </c>
      <c r="C160">
        <v>3</v>
      </c>
      <c r="D160" t="s">
        <v>38</v>
      </c>
      <c r="E160">
        <v>5</v>
      </c>
      <c r="F160" t="s">
        <v>90</v>
      </c>
      <c r="G160" t="s">
        <v>90</v>
      </c>
      <c r="H160" t="s">
        <v>504</v>
      </c>
      <c r="I160" t="s">
        <v>212</v>
      </c>
      <c r="J160" t="s">
        <v>213</v>
      </c>
      <c r="K160" t="s">
        <v>149</v>
      </c>
      <c r="L160" t="s">
        <v>214</v>
      </c>
      <c r="M160" t="s">
        <v>238</v>
      </c>
      <c r="N160" t="s">
        <v>215</v>
      </c>
      <c r="O160" s="57">
        <v>46302.790729166663</v>
      </c>
      <c r="P160" s="57">
        <v>46302.79173611111</v>
      </c>
      <c r="Q160">
        <v>69406151</v>
      </c>
      <c r="S160">
        <v>152653205775</v>
      </c>
      <c r="T160" t="s">
        <v>3899</v>
      </c>
      <c r="U160" t="s">
        <v>3900</v>
      </c>
      <c r="V160" t="s">
        <v>3901</v>
      </c>
      <c r="Z160">
        <v>112.306107</v>
      </c>
      <c r="AA160">
        <v>-7.7764430000000004</v>
      </c>
      <c r="AB160" t="s">
        <v>3902</v>
      </c>
      <c r="AC160" t="s">
        <v>235</v>
      </c>
      <c r="AL160" t="s">
        <v>217</v>
      </c>
      <c r="AM160" t="s">
        <v>3903</v>
      </c>
      <c r="AN160" t="s">
        <v>6</v>
      </c>
      <c r="AO160" s="57">
        <v>46213.809178240743</v>
      </c>
      <c r="AP160" s="57">
        <v>46303.625</v>
      </c>
      <c r="AR160" t="s">
        <v>239</v>
      </c>
      <c r="AS160" t="s">
        <v>303</v>
      </c>
      <c r="AT160" t="s">
        <v>230</v>
      </c>
      <c r="AV160" t="s">
        <v>238</v>
      </c>
      <c r="AW160" t="s">
        <v>883</v>
      </c>
      <c r="AX160" t="s">
        <v>222</v>
      </c>
      <c r="BA160" s="57">
        <v>46303.625</v>
      </c>
      <c r="BB160" t="s">
        <v>3903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KEDIRI</v>
      </c>
    </row>
    <row r="161" spans="1:61">
      <c r="A161">
        <v>160</v>
      </c>
      <c r="B161">
        <v>1002624340</v>
      </c>
      <c r="C161">
        <v>3</v>
      </c>
      <c r="D161" t="s">
        <v>38</v>
      </c>
      <c r="E161">
        <v>5</v>
      </c>
      <c r="F161" t="s">
        <v>90</v>
      </c>
      <c r="G161" t="s">
        <v>90</v>
      </c>
      <c r="H161" t="s">
        <v>428</v>
      </c>
      <c r="I161" t="s">
        <v>212</v>
      </c>
      <c r="J161" t="s">
        <v>213</v>
      </c>
      <c r="K161" t="s">
        <v>149</v>
      </c>
      <c r="L161" t="s">
        <v>214</v>
      </c>
      <c r="M161" t="s">
        <v>76</v>
      </c>
      <c r="N161" t="s">
        <v>215</v>
      </c>
      <c r="O161" s="57">
        <v>46301.565671296295</v>
      </c>
      <c r="P161" s="57">
        <v>46302.484479166669</v>
      </c>
      <c r="Q161">
        <v>69405066</v>
      </c>
      <c r="S161">
        <v>152651208905</v>
      </c>
      <c r="T161" t="s">
        <v>3258</v>
      </c>
      <c r="U161" t="s">
        <v>3259</v>
      </c>
      <c r="V161" t="s">
        <v>3260</v>
      </c>
      <c r="Z161">
        <v>111.961273439877</v>
      </c>
      <c r="AA161">
        <v>-7.9157443618569197</v>
      </c>
      <c r="AB161" t="s">
        <v>3261</v>
      </c>
      <c r="AC161" t="s">
        <v>235</v>
      </c>
      <c r="AL161" t="s">
        <v>217</v>
      </c>
      <c r="AM161" t="s">
        <v>3262</v>
      </c>
      <c r="AN161" t="s">
        <v>6</v>
      </c>
      <c r="AO161" s="57">
        <v>46183.570092592592</v>
      </c>
      <c r="AP161" s="57">
        <v>46302.458333333336</v>
      </c>
      <c r="AR161" t="s">
        <v>218</v>
      </c>
      <c r="AS161" t="s">
        <v>548</v>
      </c>
      <c r="AT161" t="s">
        <v>230</v>
      </c>
      <c r="AU161">
        <v>20261007</v>
      </c>
      <c r="AV161" t="s">
        <v>221</v>
      </c>
      <c r="AW161" t="s">
        <v>879</v>
      </c>
      <c r="AX161" t="s">
        <v>222</v>
      </c>
      <c r="BA161" s="57">
        <v>46302.458333333336</v>
      </c>
      <c r="BB161" t="s">
        <v>3262</v>
      </c>
      <c r="BC161">
        <v>2026</v>
      </c>
      <c r="BD161">
        <v>10</v>
      </c>
      <c r="BE161">
        <v>7</v>
      </c>
      <c r="BF161" s="6">
        <f t="shared" si="6"/>
        <v>46302</v>
      </c>
      <c r="BG161">
        <f t="shared" si="7"/>
        <v>-0.45833333333575865</v>
      </c>
      <c r="BH161" t="str">
        <f t="shared" si="8"/>
        <v>COMPLY</v>
      </c>
      <c r="BI161" t="str">
        <f>VLOOKUP(H161,Sheet2!$A$1:$B$270,2,FALSE)</f>
        <v>KEDIRI</v>
      </c>
    </row>
    <row r="162" spans="1:61">
      <c r="A162">
        <v>161</v>
      </c>
      <c r="B162">
        <v>1002625119</v>
      </c>
      <c r="C162">
        <v>3</v>
      </c>
      <c r="D162" t="s">
        <v>38</v>
      </c>
      <c r="E162">
        <v>5</v>
      </c>
      <c r="F162" t="s">
        <v>90</v>
      </c>
      <c r="G162" t="s">
        <v>90</v>
      </c>
      <c r="H162" t="s">
        <v>428</v>
      </c>
      <c r="I162" t="s">
        <v>212</v>
      </c>
      <c r="J162" t="s">
        <v>213</v>
      </c>
      <c r="K162" t="s">
        <v>149</v>
      </c>
      <c r="L162" t="s">
        <v>214</v>
      </c>
      <c r="M162" t="s">
        <v>76</v>
      </c>
      <c r="N162" t="s">
        <v>215</v>
      </c>
      <c r="O162" s="57">
        <v>46301.733043981483</v>
      </c>
      <c r="P162" s="57">
        <v>46302.568229166667</v>
      </c>
      <c r="Q162">
        <v>69405361</v>
      </c>
      <c r="S162">
        <v>152651208907</v>
      </c>
      <c r="T162" t="s">
        <v>3263</v>
      </c>
      <c r="U162" t="s">
        <v>3264</v>
      </c>
      <c r="V162" t="s">
        <v>3265</v>
      </c>
      <c r="Z162">
        <v>111.951139</v>
      </c>
      <c r="AA162">
        <v>-7.9421350000000004</v>
      </c>
      <c r="AB162" t="s">
        <v>3266</v>
      </c>
      <c r="AC162" t="s">
        <v>235</v>
      </c>
      <c r="AL162" t="s">
        <v>217</v>
      </c>
      <c r="AM162" t="s">
        <v>3267</v>
      </c>
      <c r="AN162" t="s">
        <v>6</v>
      </c>
      <c r="AO162" s="57">
        <v>46183.736192129632</v>
      </c>
      <c r="AP162" s="57">
        <v>46302.625</v>
      </c>
      <c r="AR162" t="s">
        <v>218</v>
      </c>
      <c r="AS162" t="s">
        <v>548</v>
      </c>
      <c r="AT162" t="s">
        <v>230</v>
      </c>
      <c r="AU162">
        <v>20261007</v>
      </c>
      <c r="AV162" t="s">
        <v>221</v>
      </c>
      <c r="AW162" t="s">
        <v>876</v>
      </c>
      <c r="AX162" t="s">
        <v>222</v>
      </c>
      <c r="BA162" s="57">
        <v>46302.625</v>
      </c>
      <c r="BB162" t="s">
        <v>3267</v>
      </c>
      <c r="BC162">
        <v>2026</v>
      </c>
      <c r="BD162">
        <v>10</v>
      </c>
      <c r="BE162">
        <v>7</v>
      </c>
      <c r="BF162" s="6">
        <f t="shared" si="6"/>
        <v>46302</v>
      </c>
      <c r="BG162">
        <f t="shared" si="7"/>
        <v>-0.625</v>
      </c>
      <c r="BH162" t="str">
        <f t="shared" si="8"/>
        <v>COMPLY</v>
      </c>
      <c r="BI162" t="str">
        <f>VLOOKUP(H162,Sheet2!$A$1:$B$270,2,FALSE)</f>
        <v>KEDIRI</v>
      </c>
    </row>
    <row r="163" spans="1:61">
      <c r="A163">
        <v>162</v>
      </c>
      <c r="B163">
        <v>1002625835</v>
      </c>
      <c r="C163">
        <v>3</v>
      </c>
      <c r="D163" t="s">
        <v>38</v>
      </c>
      <c r="E163">
        <v>5</v>
      </c>
      <c r="F163" t="s">
        <v>90</v>
      </c>
      <c r="G163" t="s">
        <v>90</v>
      </c>
      <c r="H163" t="s">
        <v>344</v>
      </c>
      <c r="I163" t="s">
        <v>212</v>
      </c>
      <c r="J163" t="s">
        <v>213</v>
      </c>
      <c r="K163" t="s">
        <v>149</v>
      </c>
      <c r="L163" t="s">
        <v>214</v>
      </c>
      <c r="M163" t="s">
        <v>224</v>
      </c>
      <c r="N163" t="s">
        <v>215</v>
      </c>
      <c r="O163" s="57">
        <v>46302.483113425929</v>
      </c>
      <c r="P163" s="57">
        <v>46303.343449074076</v>
      </c>
      <c r="Q163">
        <v>69405710</v>
      </c>
      <c r="S163">
        <v>152639219555</v>
      </c>
      <c r="T163" t="s">
        <v>3904</v>
      </c>
      <c r="U163" t="s">
        <v>3905</v>
      </c>
      <c r="V163" t="s">
        <v>3906</v>
      </c>
      <c r="Z163">
        <v>112.18857910484</v>
      </c>
      <c r="AA163">
        <v>-7.8006771331940099</v>
      </c>
      <c r="AB163" t="s">
        <v>3907</v>
      </c>
      <c r="AC163" t="s">
        <v>216</v>
      </c>
      <c r="AL163" t="s">
        <v>217</v>
      </c>
      <c r="AM163" t="s">
        <v>3232</v>
      </c>
      <c r="AN163" t="s">
        <v>6</v>
      </c>
      <c r="AO163" s="57">
        <v>46213.486516203702</v>
      </c>
      <c r="AP163" s="57">
        <v>46303.333333333336</v>
      </c>
      <c r="AR163" t="s">
        <v>18</v>
      </c>
      <c r="AS163" t="s">
        <v>303</v>
      </c>
      <c r="AT163" t="s">
        <v>342</v>
      </c>
      <c r="AV163" t="s">
        <v>226</v>
      </c>
      <c r="AW163" t="s">
        <v>1701</v>
      </c>
      <c r="AX163" t="s">
        <v>222</v>
      </c>
      <c r="BA163" s="57">
        <v>46303.333333333336</v>
      </c>
      <c r="BB163" t="s">
        <v>3232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KEDIRI</v>
      </c>
    </row>
    <row r="164" spans="1:61">
      <c r="A164">
        <v>163</v>
      </c>
      <c r="B164">
        <v>1002618470</v>
      </c>
      <c r="C164">
        <v>3</v>
      </c>
      <c r="D164" t="s">
        <v>38</v>
      </c>
      <c r="E164">
        <v>5</v>
      </c>
      <c r="F164" t="s">
        <v>90</v>
      </c>
      <c r="G164" t="s">
        <v>90</v>
      </c>
      <c r="H164" t="s">
        <v>344</v>
      </c>
      <c r="I164" t="s">
        <v>212</v>
      </c>
      <c r="J164" t="s">
        <v>213</v>
      </c>
      <c r="K164" t="s">
        <v>149</v>
      </c>
      <c r="L164" t="s">
        <v>214</v>
      </c>
      <c r="M164" t="s">
        <v>76</v>
      </c>
      <c r="N164" t="s">
        <v>215</v>
      </c>
      <c r="O164" s="57">
        <v>46296.663645833331</v>
      </c>
      <c r="P164" s="57">
        <v>46298.410671296297</v>
      </c>
      <c r="Q164">
        <v>69402566</v>
      </c>
      <c r="S164">
        <v>152639219602</v>
      </c>
      <c r="T164" t="s">
        <v>1007</v>
      </c>
      <c r="U164" t="s">
        <v>1008</v>
      </c>
      <c r="V164" t="s">
        <v>1009</v>
      </c>
      <c r="Z164">
        <v>112.193374894559</v>
      </c>
      <c r="AA164">
        <v>-7.7675328725875801</v>
      </c>
      <c r="AB164" t="s">
        <v>1010</v>
      </c>
      <c r="AC164" t="s">
        <v>216</v>
      </c>
      <c r="AL164" t="s">
        <v>217</v>
      </c>
      <c r="AM164" t="s">
        <v>1011</v>
      </c>
      <c r="AN164" t="s">
        <v>6</v>
      </c>
      <c r="AO164" s="57">
        <v>46032.694421296299</v>
      </c>
      <c r="AP164" s="57">
        <v>46297.625</v>
      </c>
      <c r="AR164" t="s">
        <v>218</v>
      </c>
      <c r="AS164" t="s">
        <v>303</v>
      </c>
      <c r="AT164" t="s">
        <v>230</v>
      </c>
      <c r="AU164">
        <v>20261003</v>
      </c>
      <c r="AV164" t="s">
        <v>221</v>
      </c>
      <c r="AW164" t="s">
        <v>877</v>
      </c>
      <c r="AX164" t="s">
        <v>222</v>
      </c>
      <c r="BA164" s="57">
        <v>46297.625</v>
      </c>
      <c r="BB164" t="s">
        <v>1011</v>
      </c>
      <c r="BC164">
        <v>2026</v>
      </c>
      <c r="BD164">
        <v>10</v>
      </c>
      <c r="BE164">
        <v>3</v>
      </c>
      <c r="BF164" s="6">
        <f t="shared" si="6"/>
        <v>46298</v>
      </c>
      <c r="BG164">
        <f t="shared" si="7"/>
        <v>0.375</v>
      </c>
      <c r="BH164" t="str">
        <f t="shared" si="8"/>
        <v>COMPLY</v>
      </c>
      <c r="BI164" t="str">
        <f>VLOOKUP(H164,Sheet2!$A$1:$B$270,2,FALSE)</f>
        <v>KEDIRI</v>
      </c>
    </row>
    <row r="165" spans="1:61">
      <c r="A165">
        <v>164</v>
      </c>
      <c r="B165">
        <v>1002619511</v>
      </c>
      <c r="C165">
        <v>3</v>
      </c>
      <c r="D165" t="s">
        <v>38</v>
      </c>
      <c r="E165">
        <v>5</v>
      </c>
      <c r="F165" t="s">
        <v>90</v>
      </c>
      <c r="G165" t="s">
        <v>90</v>
      </c>
      <c r="H165" t="s">
        <v>344</v>
      </c>
      <c r="I165" t="s">
        <v>212</v>
      </c>
      <c r="J165" t="s">
        <v>213</v>
      </c>
      <c r="K165" t="s">
        <v>149</v>
      </c>
      <c r="M165" t="s">
        <v>76</v>
      </c>
      <c r="N165" t="s">
        <v>563</v>
      </c>
      <c r="O165" s="57">
        <v>46297.472858796296</v>
      </c>
      <c r="P165" s="57">
        <v>46302.418483796297</v>
      </c>
      <c r="Q165">
        <v>66525052</v>
      </c>
      <c r="S165">
        <v>152639219543</v>
      </c>
      <c r="T165" t="s">
        <v>1654</v>
      </c>
      <c r="U165" t="s">
        <v>1655</v>
      </c>
      <c r="V165" t="s">
        <v>2625</v>
      </c>
      <c r="Z165">
        <v>112.185666561126</v>
      </c>
      <c r="AA165">
        <v>-7.7646257818208504</v>
      </c>
      <c r="AB165" t="s">
        <v>1656</v>
      </c>
      <c r="AC165" t="s">
        <v>225</v>
      </c>
      <c r="AL165" t="s">
        <v>217</v>
      </c>
      <c r="AM165" t="s">
        <v>2626</v>
      </c>
      <c r="AN165" t="s">
        <v>6</v>
      </c>
      <c r="AO165" s="57">
        <v>46063.475972222222</v>
      </c>
      <c r="AP165" s="57">
        <v>46303.333333333336</v>
      </c>
      <c r="AR165" t="s">
        <v>218</v>
      </c>
      <c r="AS165" t="s">
        <v>303</v>
      </c>
      <c r="AT165" t="s">
        <v>230</v>
      </c>
      <c r="AU165">
        <v>20261007</v>
      </c>
      <c r="AV165" t="s">
        <v>221</v>
      </c>
      <c r="AW165" t="s">
        <v>540</v>
      </c>
      <c r="AX165" t="s">
        <v>222</v>
      </c>
      <c r="BA165" s="57">
        <v>46303.333333333336</v>
      </c>
      <c r="BB165" t="s">
        <v>2626</v>
      </c>
      <c r="BC165">
        <v>2026</v>
      </c>
      <c r="BD165">
        <v>10</v>
      </c>
      <c r="BE165">
        <v>7</v>
      </c>
      <c r="BF165" s="6">
        <f t="shared" si="6"/>
        <v>46302</v>
      </c>
      <c r="BG165">
        <f t="shared" si="7"/>
        <v>-1.3333333333357587</v>
      </c>
      <c r="BH165" t="str">
        <f t="shared" si="8"/>
        <v>COMPLY</v>
      </c>
      <c r="BI165" t="str">
        <f>VLOOKUP(H165,Sheet2!$A$1:$B$270,2,FALSE)</f>
        <v>KEDIRI</v>
      </c>
    </row>
    <row r="166" spans="1:61">
      <c r="A166">
        <v>165</v>
      </c>
      <c r="B166">
        <v>1002627152</v>
      </c>
      <c r="C166">
        <v>3</v>
      </c>
      <c r="D166" t="s">
        <v>38</v>
      </c>
      <c r="E166">
        <v>5</v>
      </c>
      <c r="F166" t="s">
        <v>90</v>
      </c>
      <c r="G166" t="s">
        <v>90</v>
      </c>
      <c r="H166" t="s">
        <v>344</v>
      </c>
      <c r="I166" t="s">
        <v>212</v>
      </c>
      <c r="J166" t="s">
        <v>213</v>
      </c>
      <c r="K166" t="s">
        <v>149</v>
      </c>
      <c r="L166" t="s">
        <v>214</v>
      </c>
      <c r="M166" t="s">
        <v>238</v>
      </c>
      <c r="N166" t="s">
        <v>215</v>
      </c>
      <c r="O166" s="57">
        <v>46303.378865740742</v>
      </c>
      <c r="P166" s="57">
        <v>46303.380636574075</v>
      </c>
      <c r="Q166">
        <v>69406249</v>
      </c>
      <c r="S166">
        <v>152639219620</v>
      </c>
      <c r="T166" t="s">
        <v>3908</v>
      </c>
      <c r="U166" t="s">
        <v>3909</v>
      </c>
      <c r="V166" t="s">
        <v>3910</v>
      </c>
      <c r="Z166">
        <v>112.205063</v>
      </c>
      <c r="AA166">
        <v>-7.7564169999999999</v>
      </c>
      <c r="AB166" t="s">
        <v>3911</v>
      </c>
      <c r="AC166" t="s">
        <v>235</v>
      </c>
      <c r="AL166" t="s">
        <v>217</v>
      </c>
      <c r="AM166" t="s">
        <v>3912</v>
      </c>
      <c r="AN166" t="s">
        <v>6</v>
      </c>
      <c r="AO166" s="57">
        <v>46244.392905092594</v>
      </c>
      <c r="AP166" s="57">
        <v>46304.333333333336</v>
      </c>
      <c r="AR166" t="s">
        <v>239</v>
      </c>
      <c r="AS166" t="s">
        <v>303</v>
      </c>
      <c r="AT166" t="s">
        <v>230</v>
      </c>
      <c r="AV166" t="s">
        <v>238</v>
      </c>
      <c r="AW166" t="s">
        <v>875</v>
      </c>
      <c r="AX166" t="s">
        <v>222</v>
      </c>
      <c r="BA166" s="57">
        <v>46304.333333333336</v>
      </c>
      <c r="BB166" t="s">
        <v>3912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KEDIRI</v>
      </c>
    </row>
    <row r="167" spans="1:61">
      <c r="A167">
        <v>166</v>
      </c>
      <c r="B167">
        <v>1002620876</v>
      </c>
      <c r="C167">
        <v>3</v>
      </c>
      <c r="D167" t="s">
        <v>38</v>
      </c>
      <c r="E167">
        <v>5</v>
      </c>
      <c r="F167" t="s">
        <v>90</v>
      </c>
      <c r="G167" t="s">
        <v>90</v>
      </c>
      <c r="H167" t="s">
        <v>302</v>
      </c>
      <c r="I167" t="s">
        <v>212</v>
      </c>
      <c r="J167" t="s">
        <v>213</v>
      </c>
      <c r="K167" t="s">
        <v>149</v>
      </c>
      <c r="L167" t="s">
        <v>214</v>
      </c>
      <c r="M167" t="s">
        <v>76</v>
      </c>
      <c r="N167" t="s">
        <v>215</v>
      </c>
      <c r="O167" s="57">
        <v>46298.480949074074</v>
      </c>
      <c r="P167" s="57">
        <v>46298.889687499999</v>
      </c>
      <c r="Q167">
        <v>69403548</v>
      </c>
      <c r="S167">
        <v>152650206851</v>
      </c>
      <c r="T167" t="s">
        <v>1662</v>
      </c>
      <c r="U167" t="s">
        <v>1663</v>
      </c>
      <c r="V167" t="s">
        <v>1664</v>
      </c>
      <c r="Z167">
        <v>112.15516479999999</v>
      </c>
      <c r="AA167">
        <v>-7.9300468999999998</v>
      </c>
      <c r="AB167" t="s">
        <v>1665</v>
      </c>
      <c r="AC167" t="s">
        <v>235</v>
      </c>
      <c r="AL167" t="s">
        <v>217</v>
      </c>
      <c r="AM167" t="s">
        <v>1666</v>
      </c>
      <c r="AN167" t="s">
        <v>6</v>
      </c>
      <c r="AO167" s="57">
        <v>46091.486087962963</v>
      </c>
      <c r="AP167" s="57">
        <v>46299.333333333336</v>
      </c>
      <c r="AR167" t="s">
        <v>218</v>
      </c>
      <c r="AS167" t="s">
        <v>303</v>
      </c>
      <c r="AT167" t="s">
        <v>230</v>
      </c>
      <c r="AU167">
        <v>20261003</v>
      </c>
      <c r="AV167" t="s">
        <v>221</v>
      </c>
      <c r="AW167" t="s">
        <v>876</v>
      </c>
      <c r="AX167" t="s">
        <v>222</v>
      </c>
      <c r="BA167" s="57">
        <v>46299.333333333336</v>
      </c>
      <c r="BB167" t="s">
        <v>1666</v>
      </c>
      <c r="BC167">
        <v>2026</v>
      </c>
      <c r="BD167">
        <v>10</v>
      </c>
      <c r="BE167">
        <v>3</v>
      </c>
      <c r="BF167" s="6">
        <f t="shared" si="6"/>
        <v>46298</v>
      </c>
      <c r="BG167">
        <f t="shared" si="7"/>
        <v>-1.3333333333357587</v>
      </c>
      <c r="BH167" t="str">
        <f t="shared" si="8"/>
        <v>COMPLY</v>
      </c>
      <c r="BI167" t="str">
        <f>VLOOKUP(H167,Sheet2!$A$1:$B$270,2,FALSE)</f>
        <v>KEDIRI</v>
      </c>
    </row>
    <row r="168" spans="1:61">
      <c r="A168">
        <v>167</v>
      </c>
      <c r="B168">
        <v>1002621267</v>
      </c>
      <c r="C168">
        <v>3</v>
      </c>
      <c r="D168" t="s">
        <v>38</v>
      </c>
      <c r="E168">
        <v>5</v>
      </c>
      <c r="F168" t="s">
        <v>90</v>
      </c>
      <c r="G168" t="s">
        <v>90</v>
      </c>
      <c r="H168" t="s">
        <v>302</v>
      </c>
      <c r="I168" t="s">
        <v>212</v>
      </c>
      <c r="J168" t="s">
        <v>213</v>
      </c>
      <c r="K168" t="s">
        <v>149</v>
      </c>
      <c r="L168" t="s">
        <v>214</v>
      </c>
      <c r="M168" t="s">
        <v>76</v>
      </c>
      <c r="N168" t="s">
        <v>215</v>
      </c>
      <c r="O168" s="57">
        <v>46299.397685185184</v>
      </c>
      <c r="P168" s="57">
        <v>46300.897650462961</v>
      </c>
      <c r="Q168">
        <v>69403814</v>
      </c>
      <c r="S168">
        <v>152650206852</v>
      </c>
      <c r="T168" t="s">
        <v>1657</v>
      </c>
      <c r="U168" t="s">
        <v>1658</v>
      </c>
      <c r="V168" t="s">
        <v>1659</v>
      </c>
      <c r="Z168">
        <v>112.133314103205</v>
      </c>
      <c r="AA168">
        <v>-7.9850021224439702</v>
      </c>
      <c r="AB168" t="s">
        <v>1660</v>
      </c>
      <c r="AC168" t="s">
        <v>235</v>
      </c>
      <c r="AL168" t="s">
        <v>217</v>
      </c>
      <c r="AM168" t="s">
        <v>1661</v>
      </c>
      <c r="AN168" t="s">
        <v>6</v>
      </c>
      <c r="AO168" s="57">
        <v>46122.402604166666</v>
      </c>
      <c r="AP168" s="57">
        <v>46300.333333333336</v>
      </c>
      <c r="AR168" t="s">
        <v>218</v>
      </c>
      <c r="AS168" t="s">
        <v>303</v>
      </c>
      <c r="AT168" t="s">
        <v>230</v>
      </c>
      <c r="AU168">
        <v>20261005</v>
      </c>
      <c r="AV168" t="s">
        <v>221</v>
      </c>
      <c r="AW168" t="s">
        <v>880</v>
      </c>
      <c r="AX168" t="s">
        <v>222</v>
      </c>
      <c r="BA168" s="57">
        <v>46300.333333333336</v>
      </c>
      <c r="BB168" t="s">
        <v>1661</v>
      </c>
      <c r="BC168">
        <v>2026</v>
      </c>
      <c r="BD168">
        <v>10</v>
      </c>
      <c r="BE168">
        <v>5</v>
      </c>
      <c r="BF168" s="6">
        <f t="shared" si="6"/>
        <v>46300</v>
      </c>
      <c r="BG168">
        <f t="shared" si="7"/>
        <v>-0.33333333333575865</v>
      </c>
      <c r="BH168" t="str">
        <f t="shared" si="8"/>
        <v>COMPLY</v>
      </c>
      <c r="BI168" t="str">
        <f>VLOOKUP(H168,Sheet2!$A$1:$B$270,2,FALSE)</f>
        <v>KEDIRI</v>
      </c>
    </row>
    <row r="169" spans="1:61">
      <c r="A169">
        <v>168</v>
      </c>
      <c r="B169">
        <v>1002620466</v>
      </c>
      <c r="C169">
        <v>3</v>
      </c>
      <c r="D169" t="s">
        <v>38</v>
      </c>
      <c r="E169">
        <v>5</v>
      </c>
      <c r="F169" t="s">
        <v>90</v>
      </c>
      <c r="G169" t="s">
        <v>93</v>
      </c>
      <c r="H169" t="s">
        <v>419</v>
      </c>
      <c r="I169" t="s">
        <v>212</v>
      </c>
      <c r="J169" t="s">
        <v>213</v>
      </c>
      <c r="K169" t="s">
        <v>149</v>
      </c>
      <c r="L169" t="s">
        <v>214</v>
      </c>
      <c r="M169" t="s">
        <v>76</v>
      </c>
      <c r="N169" t="s">
        <v>215</v>
      </c>
      <c r="O169" s="57">
        <v>46297.695590277777</v>
      </c>
      <c r="P169" s="57">
        <v>46298.627268518518</v>
      </c>
      <c r="Q169">
        <v>69403320</v>
      </c>
      <c r="S169">
        <v>152628205235</v>
      </c>
      <c r="T169" t="s">
        <v>1667</v>
      </c>
      <c r="U169" t="s">
        <v>1668</v>
      </c>
      <c r="V169" t="s">
        <v>1669</v>
      </c>
      <c r="Z169">
        <v>111.9531832</v>
      </c>
      <c r="AA169">
        <v>-7.5227737000000001</v>
      </c>
      <c r="AB169" t="s">
        <v>1670</v>
      </c>
      <c r="AC169" t="s">
        <v>216</v>
      </c>
      <c r="AL169" t="s">
        <v>217</v>
      </c>
      <c r="AM169" t="s">
        <v>1671</v>
      </c>
      <c r="AN169" t="s">
        <v>6</v>
      </c>
      <c r="AO169" s="57">
        <v>46063.705462962964</v>
      </c>
      <c r="AP169" s="57">
        <v>46298.625</v>
      </c>
      <c r="AR169" t="s">
        <v>218</v>
      </c>
      <c r="AS169" t="s">
        <v>569</v>
      </c>
      <c r="AT169" t="s">
        <v>220</v>
      </c>
      <c r="AU169">
        <v>20261003</v>
      </c>
      <c r="AV169" t="s">
        <v>221</v>
      </c>
      <c r="AW169" t="s">
        <v>1672</v>
      </c>
      <c r="AX169" t="s">
        <v>222</v>
      </c>
      <c r="BA169" s="57">
        <v>46298.625</v>
      </c>
      <c r="BB169" t="s">
        <v>1671</v>
      </c>
      <c r="BC169">
        <v>2026</v>
      </c>
      <c r="BD169">
        <v>10</v>
      </c>
      <c r="BE169">
        <v>3</v>
      </c>
      <c r="BF169" s="6">
        <f t="shared" si="6"/>
        <v>46298</v>
      </c>
      <c r="BG169">
        <f t="shared" si="7"/>
        <v>-0.625</v>
      </c>
      <c r="BH169" t="str">
        <f t="shared" si="8"/>
        <v>COMPLY</v>
      </c>
      <c r="BI169" t="str">
        <f>VLOOKUP(H169,Sheet2!$A$1:$B$270,2,FALSE)</f>
        <v>NGANJUK</v>
      </c>
    </row>
    <row r="170" spans="1:61">
      <c r="A170">
        <v>169</v>
      </c>
      <c r="B170">
        <v>1002619284</v>
      </c>
      <c r="C170">
        <v>3</v>
      </c>
      <c r="D170" t="s">
        <v>38</v>
      </c>
      <c r="E170">
        <v>5</v>
      </c>
      <c r="F170" t="s">
        <v>90</v>
      </c>
      <c r="G170" t="s">
        <v>93</v>
      </c>
      <c r="H170" t="s">
        <v>419</v>
      </c>
      <c r="I170" t="s">
        <v>212</v>
      </c>
      <c r="J170" t="s">
        <v>213</v>
      </c>
      <c r="K170" t="s">
        <v>149</v>
      </c>
      <c r="M170" t="s">
        <v>76</v>
      </c>
      <c r="N170" t="s">
        <v>215</v>
      </c>
      <c r="O170" s="57">
        <v>46297.428900462961</v>
      </c>
      <c r="P170" s="57">
        <v>46297.727083333331</v>
      </c>
      <c r="Q170">
        <v>69402853</v>
      </c>
      <c r="S170">
        <v>152628205053</v>
      </c>
      <c r="T170" t="s">
        <v>1673</v>
      </c>
      <c r="U170" t="s">
        <v>1674</v>
      </c>
      <c r="V170" t="s">
        <v>1675</v>
      </c>
      <c r="Z170">
        <v>111.9173729</v>
      </c>
      <c r="AA170">
        <v>-7.5365758999999999</v>
      </c>
      <c r="AB170" t="s">
        <v>1676</v>
      </c>
      <c r="AC170" t="s">
        <v>229</v>
      </c>
      <c r="AL170" t="s">
        <v>217</v>
      </c>
      <c r="AM170" t="s">
        <v>1677</v>
      </c>
      <c r="AN170" t="s">
        <v>6</v>
      </c>
      <c r="AO170" s="57">
        <v>46063.444386574076</v>
      </c>
      <c r="AP170" s="57">
        <v>46298.458333333336</v>
      </c>
      <c r="AR170" t="s">
        <v>218</v>
      </c>
      <c r="AS170" t="s">
        <v>569</v>
      </c>
      <c r="AT170" t="s">
        <v>230</v>
      </c>
      <c r="AU170">
        <v>20261002</v>
      </c>
      <c r="AV170" t="s">
        <v>221</v>
      </c>
      <c r="AW170" t="s">
        <v>540</v>
      </c>
      <c r="AX170" t="s">
        <v>222</v>
      </c>
      <c r="BA170" s="57">
        <v>46298.458333333336</v>
      </c>
      <c r="BB170" t="s">
        <v>1677</v>
      </c>
      <c r="BC170">
        <v>2026</v>
      </c>
      <c r="BD170">
        <v>10</v>
      </c>
      <c r="BE170">
        <v>2</v>
      </c>
      <c r="BF170" s="6">
        <f t="shared" si="6"/>
        <v>46297</v>
      </c>
      <c r="BG170">
        <f t="shared" si="7"/>
        <v>-1.4583333333357587</v>
      </c>
      <c r="BH170" t="str">
        <f t="shared" si="8"/>
        <v>COMPLY</v>
      </c>
      <c r="BI170" t="str">
        <f>VLOOKUP(H170,Sheet2!$A$1:$B$270,2,FALSE)</f>
        <v>NGANJUK</v>
      </c>
    </row>
    <row r="171" spans="1:61">
      <c r="A171">
        <v>170</v>
      </c>
      <c r="B171">
        <v>1002620773</v>
      </c>
      <c r="C171">
        <v>3</v>
      </c>
      <c r="D171" t="s">
        <v>38</v>
      </c>
      <c r="E171">
        <v>5</v>
      </c>
      <c r="F171" t="s">
        <v>90</v>
      </c>
      <c r="G171" t="s">
        <v>93</v>
      </c>
      <c r="H171" t="s">
        <v>379</v>
      </c>
      <c r="I171" t="s">
        <v>212</v>
      </c>
      <c r="J171" t="s">
        <v>213</v>
      </c>
      <c r="K171" t="s">
        <v>149</v>
      </c>
      <c r="L171" t="s">
        <v>826</v>
      </c>
      <c r="M171" t="s">
        <v>76</v>
      </c>
      <c r="N171" t="s">
        <v>215</v>
      </c>
      <c r="O171" s="57">
        <v>46298.396990740737</v>
      </c>
      <c r="P171" s="57">
        <v>46299.774386574078</v>
      </c>
      <c r="Q171">
        <v>69403488</v>
      </c>
      <c r="R171">
        <v>3582801011</v>
      </c>
      <c r="S171">
        <v>152615203756</v>
      </c>
      <c r="T171" t="s">
        <v>1678</v>
      </c>
      <c r="U171" t="s">
        <v>1679</v>
      </c>
      <c r="V171" t="s">
        <v>1680</v>
      </c>
      <c r="Z171">
        <v>112.1079771</v>
      </c>
      <c r="AA171">
        <v>-7.5900366999999997</v>
      </c>
      <c r="AB171" t="s">
        <v>1681</v>
      </c>
      <c r="AC171" t="s">
        <v>235</v>
      </c>
      <c r="AL171" t="s">
        <v>217</v>
      </c>
      <c r="AM171" t="s">
        <v>1682</v>
      </c>
      <c r="AN171" t="s">
        <v>6</v>
      </c>
      <c r="AO171" s="57">
        <v>46091.40283564815</v>
      </c>
      <c r="AP171" s="57">
        <v>46299.333333333336</v>
      </c>
      <c r="AR171" t="s">
        <v>218</v>
      </c>
      <c r="AS171" t="s">
        <v>569</v>
      </c>
      <c r="AT171" t="s">
        <v>230</v>
      </c>
      <c r="AU171">
        <v>20261004</v>
      </c>
      <c r="AV171" t="s">
        <v>221</v>
      </c>
      <c r="AW171" t="s">
        <v>1683</v>
      </c>
      <c r="AX171" t="s">
        <v>222</v>
      </c>
      <c r="BA171" s="57">
        <v>46299.333333333336</v>
      </c>
      <c r="BB171" t="s">
        <v>1682</v>
      </c>
      <c r="BC171">
        <v>2026</v>
      </c>
      <c r="BD171">
        <v>10</v>
      </c>
      <c r="BE171">
        <v>4</v>
      </c>
      <c r="BF171" s="6">
        <f t="shared" si="6"/>
        <v>46299</v>
      </c>
      <c r="BG171">
        <f t="shared" si="7"/>
        <v>-0.33333333333575865</v>
      </c>
      <c r="BH171" t="str">
        <f t="shared" si="8"/>
        <v>COMPLY</v>
      </c>
      <c r="BI171" t="str">
        <f>VLOOKUP(H171,Sheet2!$A$1:$B$270,2,FALSE)</f>
        <v>NGANJUK</v>
      </c>
    </row>
    <row r="172" spans="1:61">
      <c r="A172">
        <v>171</v>
      </c>
      <c r="B172">
        <v>1002620731</v>
      </c>
      <c r="C172">
        <v>3</v>
      </c>
      <c r="D172" t="s">
        <v>38</v>
      </c>
      <c r="E172">
        <v>5</v>
      </c>
      <c r="F172" t="s">
        <v>90</v>
      </c>
      <c r="G172" t="s">
        <v>93</v>
      </c>
      <c r="H172" t="s">
        <v>379</v>
      </c>
      <c r="I172" t="s">
        <v>212</v>
      </c>
      <c r="J172" t="s">
        <v>213</v>
      </c>
      <c r="K172" t="s">
        <v>149</v>
      </c>
      <c r="L172" t="s">
        <v>826</v>
      </c>
      <c r="M172" t="s">
        <v>76</v>
      </c>
      <c r="N172" t="s">
        <v>215</v>
      </c>
      <c r="O172" s="57">
        <v>46298.349062499998</v>
      </c>
      <c r="P172" s="57">
        <v>46299.771481481483</v>
      </c>
      <c r="Q172">
        <v>69403452</v>
      </c>
      <c r="R172">
        <v>3582801010</v>
      </c>
      <c r="S172">
        <v>152615203754</v>
      </c>
      <c r="T172" t="s">
        <v>1678</v>
      </c>
      <c r="U172" t="s">
        <v>1679</v>
      </c>
      <c r="V172" t="s">
        <v>1684</v>
      </c>
      <c r="Z172">
        <v>112.1079771</v>
      </c>
      <c r="AA172">
        <v>-7.5900366999999997</v>
      </c>
      <c r="AB172" t="s">
        <v>1685</v>
      </c>
      <c r="AC172" t="s">
        <v>235</v>
      </c>
      <c r="AL172" t="s">
        <v>217</v>
      </c>
      <c r="AM172" t="s">
        <v>1686</v>
      </c>
      <c r="AN172" t="s">
        <v>6</v>
      </c>
      <c r="AO172" s="57">
        <v>46091.350902777776</v>
      </c>
      <c r="AP172" s="57">
        <v>46299.333333333336</v>
      </c>
      <c r="AR172" t="s">
        <v>218</v>
      </c>
      <c r="AS172" t="s">
        <v>569</v>
      </c>
      <c r="AT172" t="s">
        <v>230</v>
      </c>
      <c r="AU172">
        <v>20261004</v>
      </c>
      <c r="AV172" t="s">
        <v>221</v>
      </c>
      <c r="AW172" t="s">
        <v>1683</v>
      </c>
      <c r="AX172" t="s">
        <v>222</v>
      </c>
      <c r="BA172" s="57">
        <v>46299.333333333336</v>
      </c>
      <c r="BB172" t="s">
        <v>1686</v>
      </c>
      <c r="BC172">
        <v>2026</v>
      </c>
      <c r="BD172">
        <v>10</v>
      </c>
      <c r="BE172">
        <v>4</v>
      </c>
      <c r="BF172" s="6">
        <f t="shared" si="6"/>
        <v>46299</v>
      </c>
      <c r="BG172">
        <f t="shared" si="7"/>
        <v>-0.33333333333575865</v>
      </c>
      <c r="BH172" t="str">
        <f t="shared" si="8"/>
        <v>COMPLY</v>
      </c>
      <c r="BI172" t="str">
        <f>VLOOKUP(H172,Sheet2!$A$1:$B$270,2,FALSE)</f>
        <v>NGANJUK</v>
      </c>
    </row>
    <row r="173" spans="1:61">
      <c r="A173">
        <v>172</v>
      </c>
      <c r="B173">
        <v>1002625548</v>
      </c>
      <c r="C173">
        <v>3</v>
      </c>
      <c r="D173" t="s">
        <v>38</v>
      </c>
      <c r="E173">
        <v>5</v>
      </c>
      <c r="F173" t="s">
        <v>90</v>
      </c>
      <c r="G173" t="s">
        <v>93</v>
      </c>
      <c r="H173" t="s">
        <v>295</v>
      </c>
      <c r="I173" t="s">
        <v>212</v>
      </c>
      <c r="J173" t="s">
        <v>213</v>
      </c>
      <c r="K173" t="s">
        <v>149</v>
      </c>
      <c r="L173" t="s">
        <v>214</v>
      </c>
      <c r="M173" t="s">
        <v>839</v>
      </c>
      <c r="N173" t="s">
        <v>215</v>
      </c>
      <c r="O173" s="57">
        <v>46302.421238425923</v>
      </c>
      <c r="P173" s="57">
        <v>46303.357743055552</v>
      </c>
      <c r="Q173">
        <v>69405550</v>
      </c>
      <c r="S173">
        <v>152611230101</v>
      </c>
      <c r="T173" t="s">
        <v>3913</v>
      </c>
      <c r="U173" t="s">
        <v>3914</v>
      </c>
      <c r="V173" t="s">
        <v>3915</v>
      </c>
      <c r="Z173">
        <v>111.8770469</v>
      </c>
      <c r="AA173">
        <v>-7.6033874999999904</v>
      </c>
      <c r="AB173" t="s">
        <v>3916</v>
      </c>
      <c r="AC173" t="s">
        <v>235</v>
      </c>
      <c r="AL173" t="s">
        <v>217</v>
      </c>
      <c r="AM173" t="s">
        <v>3917</v>
      </c>
      <c r="AN173" t="s">
        <v>6</v>
      </c>
      <c r="AO173" s="57">
        <v>46213.434340277781</v>
      </c>
      <c r="AP173" s="57">
        <v>46303.333333333336</v>
      </c>
      <c r="AQ173" t="s">
        <v>838</v>
      </c>
      <c r="AR173" t="s">
        <v>840</v>
      </c>
      <c r="AS173" t="s">
        <v>219</v>
      </c>
      <c r="AT173" t="s">
        <v>230</v>
      </c>
      <c r="AV173" t="s">
        <v>3918</v>
      </c>
      <c r="AW173" t="s">
        <v>877</v>
      </c>
      <c r="AX173" t="s">
        <v>222</v>
      </c>
      <c r="BA173" s="57">
        <v>46303.333333333336</v>
      </c>
      <c r="BB173" t="s">
        <v>3917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NGANJUK</v>
      </c>
    </row>
    <row r="174" spans="1:61">
      <c r="A174">
        <v>173</v>
      </c>
      <c r="B174">
        <v>1002625854</v>
      </c>
      <c r="C174">
        <v>3</v>
      </c>
      <c r="D174" t="s">
        <v>38</v>
      </c>
      <c r="E174">
        <v>5</v>
      </c>
      <c r="F174" t="s">
        <v>90</v>
      </c>
      <c r="G174" t="s">
        <v>93</v>
      </c>
      <c r="H174" t="s">
        <v>295</v>
      </c>
      <c r="I174" t="s">
        <v>212</v>
      </c>
      <c r="J174" t="s">
        <v>213</v>
      </c>
      <c r="K174" t="s">
        <v>149</v>
      </c>
      <c r="L174" t="s">
        <v>214</v>
      </c>
      <c r="M174" t="s">
        <v>76</v>
      </c>
      <c r="N174" t="s">
        <v>215</v>
      </c>
      <c r="O174" s="57">
        <v>46302.486504629633</v>
      </c>
      <c r="P174" s="57">
        <v>46302.56821759259</v>
      </c>
      <c r="Q174">
        <v>69405703</v>
      </c>
      <c r="S174">
        <v>152611229748</v>
      </c>
      <c r="T174" t="s">
        <v>3919</v>
      </c>
      <c r="U174" t="s">
        <v>3920</v>
      </c>
      <c r="V174" t="s">
        <v>3921</v>
      </c>
      <c r="Z174">
        <v>111.85866035521001</v>
      </c>
      <c r="AA174">
        <v>-7.6127137001330896</v>
      </c>
      <c r="AB174" t="s">
        <v>3922</v>
      </c>
      <c r="AC174" t="s">
        <v>216</v>
      </c>
      <c r="AL174" t="s">
        <v>217</v>
      </c>
      <c r="AM174" t="s">
        <v>3816</v>
      </c>
      <c r="AN174" t="s">
        <v>6</v>
      </c>
      <c r="AO174" s="57">
        <v>46213.496678240743</v>
      </c>
      <c r="AP174" s="57">
        <v>46303.333333333336</v>
      </c>
      <c r="AR174" t="s">
        <v>218</v>
      </c>
      <c r="AS174" t="s">
        <v>219</v>
      </c>
      <c r="AT174" t="s">
        <v>230</v>
      </c>
      <c r="AU174">
        <v>20261007</v>
      </c>
      <c r="AV174" t="s">
        <v>221</v>
      </c>
      <c r="AW174" t="s">
        <v>879</v>
      </c>
      <c r="AX174" t="s">
        <v>222</v>
      </c>
      <c r="BA174" s="57">
        <v>46303.333333333336</v>
      </c>
      <c r="BB174" t="s">
        <v>3816</v>
      </c>
      <c r="BC174">
        <v>2026</v>
      </c>
      <c r="BD174">
        <v>10</v>
      </c>
      <c r="BE174">
        <v>7</v>
      </c>
      <c r="BF174" s="6">
        <f t="shared" si="6"/>
        <v>46302</v>
      </c>
      <c r="BG174">
        <f t="shared" si="7"/>
        <v>-1.3333333333357587</v>
      </c>
      <c r="BH174" t="str">
        <f t="shared" si="8"/>
        <v>COMPLY</v>
      </c>
      <c r="BI174" t="str">
        <f>VLOOKUP(H174,Sheet2!$A$1:$B$270,2,FALSE)</f>
        <v>NGANJUK</v>
      </c>
    </row>
    <row r="175" spans="1:61">
      <c r="A175">
        <v>174</v>
      </c>
      <c r="B175">
        <v>1002625499</v>
      </c>
      <c r="C175">
        <v>3</v>
      </c>
      <c r="D175" t="s">
        <v>38</v>
      </c>
      <c r="E175">
        <v>5</v>
      </c>
      <c r="F175" t="s">
        <v>90</v>
      </c>
      <c r="G175" t="s">
        <v>93</v>
      </c>
      <c r="H175" t="s">
        <v>295</v>
      </c>
      <c r="I175" t="s">
        <v>212</v>
      </c>
      <c r="J175" t="s">
        <v>213</v>
      </c>
      <c r="K175" t="s">
        <v>149</v>
      </c>
      <c r="L175" t="s">
        <v>214</v>
      </c>
      <c r="M175" t="s">
        <v>76</v>
      </c>
      <c r="N175" t="s">
        <v>215</v>
      </c>
      <c r="O175" s="57">
        <v>46302.409490740742</v>
      </c>
      <c r="P175" s="57">
        <v>46302.572280092594</v>
      </c>
      <c r="Q175">
        <v>69405515</v>
      </c>
      <c r="S175">
        <v>152611230100</v>
      </c>
      <c r="T175" t="s">
        <v>3923</v>
      </c>
      <c r="U175" t="s">
        <v>3924</v>
      </c>
      <c r="V175" t="s">
        <v>3925</v>
      </c>
      <c r="Z175">
        <v>111.84880200000001</v>
      </c>
      <c r="AA175">
        <v>-7.5948880000000001</v>
      </c>
      <c r="AB175" t="s">
        <v>3926</v>
      </c>
      <c r="AC175" t="s">
        <v>235</v>
      </c>
      <c r="AL175" t="s">
        <v>217</v>
      </c>
      <c r="AM175" t="s">
        <v>3841</v>
      </c>
      <c r="AN175" t="s">
        <v>6</v>
      </c>
      <c r="AO175" s="57">
        <v>46213.413402777776</v>
      </c>
      <c r="AP175" s="57">
        <v>46303.333333333336</v>
      </c>
      <c r="AR175" t="s">
        <v>218</v>
      </c>
      <c r="AS175" t="s">
        <v>219</v>
      </c>
      <c r="AT175" t="s">
        <v>230</v>
      </c>
      <c r="AU175">
        <v>20261007</v>
      </c>
      <c r="AV175" t="s">
        <v>221</v>
      </c>
      <c r="AW175" t="s">
        <v>879</v>
      </c>
      <c r="AX175" t="s">
        <v>222</v>
      </c>
      <c r="BA175" s="57">
        <v>46303.333333333336</v>
      </c>
      <c r="BB175" t="s">
        <v>3841</v>
      </c>
      <c r="BC175">
        <v>2026</v>
      </c>
      <c r="BD175">
        <v>10</v>
      </c>
      <c r="BE175">
        <v>7</v>
      </c>
      <c r="BF175" s="6">
        <f t="shared" si="6"/>
        <v>46302</v>
      </c>
      <c r="BG175">
        <f t="shared" si="7"/>
        <v>-1.3333333333357587</v>
      </c>
      <c r="BH175" t="str">
        <f t="shared" si="8"/>
        <v>COMPLY</v>
      </c>
      <c r="BI175" t="str">
        <f>VLOOKUP(H175,Sheet2!$A$1:$B$270,2,FALSE)</f>
        <v>NGANJUK</v>
      </c>
    </row>
    <row r="176" spans="1:61">
      <c r="A176">
        <v>175</v>
      </c>
      <c r="B176">
        <v>1002625982</v>
      </c>
      <c r="C176">
        <v>3</v>
      </c>
      <c r="D176" t="s">
        <v>38</v>
      </c>
      <c r="E176">
        <v>5</v>
      </c>
      <c r="F176" t="s">
        <v>90</v>
      </c>
      <c r="G176" t="s">
        <v>93</v>
      </c>
      <c r="H176" t="s">
        <v>309</v>
      </c>
      <c r="I176" t="s">
        <v>212</v>
      </c>
      <c r="J176" t="s">
        <v>213</v>
      </c>
      <c r="K176" t="s">
        <v>149</v>
      </c>
      <c r="L176" t="s">
        <v>214</v>
      </c>
      <c r="M176" t="s">
        <v>542</v>
      </c>
      <c r="N176" t="s">
        <v>215</v>
      </c>
      <c r="O176" s="57">
        <v>46302.524074074077</v>
      </c>
      <c r="P176" s="57">
        <v>46302.652187500003</v>
      </c>
      <c r="Q176">
        <v>69405772</v>
      </c>
      <c r="S176">
        <v>152641203079</v>
      </c>
      <c r="T176" t="s">
        <v>1687</v>
      </c>
      <c r="U176" t="s">
        <v>1688</v>
      </c>
      <c r="V176" t="s">
        <v>3927</v>
      </c>
      <c r="Z176">
        <v>112.036624923348</v>
      </c>
      <c r="AA176">
        <v>-7.67720304799139</v>
      </c>
      <c r="AB176" t="s">
        <v>3928</v>
      </c>
      <c r="AC176" t="s">
        <v>216</v>
      </c>
      <c r="AL176" t="s">
        <v>217</v>
      </c>
      <c r="AM176" t="s">
        <v>3929</v>
      </c>
      <c r="AN176" t="s">
        <v>6</v>
      </c>
      <c r="AO176" s="57">
        <v>46213.538645833331</v>
      </c>
      <c r="AP176" s="57">
        <v>46303.458333333336</v>
      </c>
      <c r="AR176" t="s">
        <v>543</v>
      </c>
      <c r="AS176" t="s">
        <v>569</v>
      </c>
      <c r="AT176" t="s">
        <v>230</v>
      </c>
      <c r="AV176" t="s">
        <v>2643</v>
      </c>
      <c r="AW176" t="s">
        <v>879</v>
      </c>
      <c r="AX176" t="s">
        <v>222</v>
      </c>
      <c r="BA176" s="57">
        <v>46303.458333333336</v>
      </c>
      <c r="BB176" t="s">
        <v>3929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NGANJUK</v>
      </c>
    </row>
    <row r="177" spans="1:61">
      <c r="A177">
        <v>176</v>
      </c>
      <c r="B177">
        <v>1002626078</v>
      </c>
      <c r="C177">
        <v>3</v>
      </c>
      <c r="D177" t="s">
        <v>38</v>
      </c>
      <c r="E177">
        <v>5</v>
      </c>
      <c r="F177" t="s">
        <v>90</v>
      </c>
      <c r="G177" t="s">
        <v>93</v>
      </c>
      <c r="H177" t="s">
        <v>309</v>
      </c>
      <c r="I177" t="s">
        <v>212</v>
      </c>
      <c r="J177" t="s">
        <v>213</v>
      </c>
      <c r="K177" t="s">
        <v>149</v>
      </c>
      <c r="L177" t="s">
        <v>214</v>
      </c>
      <c r="M177" t="s">
        <v>542</v>
      </c>
      <c r="N177" t="s">
        <v>215</v>
      </c>
      <c r="O177" s="57">
        <v>46302.549722222226</v>
      </c>
      <c r="P177" s="57">
        <v>46302.652430555558</v>
      </c>
      <c r="Q177">
        <v>69405832</v>
      </c>
      <c r="S177">
        <v>152641203080</v>
      </c>
      <c r="T177" t="s">
        <v>1687</v>
      </c>
      <c r="U177" t="s">
        <v>1688</v>
      </c>
      <c r="V177" t="s">
        <v>3930</v>
      </c>
      <c r="Z177">
        <v>112.036624923348</v>
      </c>
      <c r="AA177">
        <v>-7.67720304799139</v>
      </c>
      <c r="AB177" t="s">
        <v>3931</v>
      </c>
      <c r="AC177" t="s">
        <v>216</v>
      </c>
      <c r="AL177" t="s">
        <v>217</v>
      </c>
      <c r="AM177" t="s">
        <v>3932</v>
      </c>
      <c r="AN177" t="s">
        <v>6</v>
      </c>
      <c r="AO177" s="57">
        <v>46213.559548611112</v>
      </c>
      <c r="AP177" s="57">
        <v>46303.458333333336</v>
      </c>
      <c r="AR177" t="s">
        <v>543</v>
      </c>
      <c r="AS177" t="s">
        <v>569</v>
      </c>
      <c r="AT177" t="s">
        <v>230</v>
      </c>
      <c r="AV177" t="s">
        <v>2643</v>
      </c>
      <c r="AW177" t="s">
        <v>879</v>
      </c>
      <c r="AX177" t="s">
        <v>222</v>
      </c>
      <c r="BA177" s="57">
        <v>46303.458333333336</v>
      </c>
      <c r="BB177" t="s">
        <v>3932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NGANJUK</v>
      </c>
    </row>
    <row r="178" spans="1:61">
      <c r="A178">
        <v>177</v>
      </c>
      <c r="B178">
        <v>1002619249</v>
      </c>
      <c r="C178">
        <v>3</v>
      </c>
      <c r="D178" t="s">
        <v>38</v>
      </c>
      <c r="E178">
        <v>5</v>
      </c>
      <c r="F178" t="s">
        <v>90</v>
      </c>
      <c r="G178" t="s">
        <v>93</v>
      </c>
      <c r="H178" t="s">
        <v>309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46297.420590277776</v>
      </c>
      <c r="P178" s="57">
        <v>46298.301863425928</v>
      </c>
      <c r="Q178">
        <v>69402840</v>
      </c>
      <c r="S178">
        <v>152641203077</v>
      </c>
      <c r="T178" t="s">
        <v>1692</v>
      </c>
      <c r="U178" t="s">
        <v>1693</v>
      </c>
      <c r="V178" t="s">
        <v>1694</v>
      </c>
      <c r="Z178">
        <v>112.058712</v>
      </c>
      <c r="AA178">
        <v>-7.6771010000000004</v>
      </c>
      <c r="AB178" t="s">
        <v>1695</v>
      </c>
      <c r="AC178" t="s">
        <v>235</v>
      </c>
      <c r="AL178" t="s">
        <v>217</v>
      </c>
      <c r="AM178" t="s">
        <v>1696</v>
      </c>
      <c r="AN178" t="s">
        <v>6</v>
      </c>
      <c r="AO178" s="57">
        <v>46063.42392361111</v>
      </c>
      <c r="AP178" s="57">
        <v>46298.333333333336</v>
      </c>
      <c r="AR178" t="s">
        <v>218</v>
      </c>
      <c r="AS178" t="s">
        <v>569</v>
      </c>
      <c r="AT178" t="s">
        <v>230</v>
      </c>
      <c r="AU178">
        <v>20261003</v>
      </c>
      <c r="AV178" t="s">
        <v>221</v>
      </c>
      <c r="AW178" t="s">
        <v>923</v>
      </c>
      <c r="AX178" t="s">
        <v>222</v>
      </c>
      <c r="BA178" s="57">
        <v>46298.333333333336</v>
      </c>
      <c r="BB178" t="s">
        <v>1696</v>
      </c>
      <c r="BC178">
        <v>2026</v>
      </c>
      <c r="BD178">
        <v>10</v>
      </c>
      <c r="BE178">
        <v>3</v>
      </c>
      <c r="BF178" s="6">
        <f t="shared" si="6"/>
        <v>46298</v>
      </c>
      <c r="BG178">
        <f t="shared" si="7"/>
        <v>-0.33333333333575865</v>
      </c>
      <c r="BH178" t="str">
        <f t="shared" si="8"/>
        <v>COMPLY</v>
      </c>
      <c r="BI178" t="str">
        <f>VLOOKUP(H178,Sheet2!$A$1:$B$270,2,FALSE)</f>
        <v>NGANJUK</v>
      </c>
    </row>
    <row r="179" spans="1:61">
      <c r="A179">
        <v>178</v>
      </c>
      <c r="B179">
        <v>1002623876</v>
      </c>
      <c r="C179">
        <v>3</v>
      </c>
      <c r="D179" t="s">
        <v>38</v>
      </c>
      <c r="E179">
        <v>5</v>
      </c>
      <c r="F179" t="s">
        <v>90</v>
      </c>
      <c r="G179" t="s">
        <v>93</v>
      </c>
      <c r="H179" t="s">
        <v>309</v>
      </c>
      <c r="I179" t="s">
        <v>212</v>
      </c>
      <c r="J179" t="s">
        <v>213</v>
      </c>
      <c r="K179" t="s">
        <v>149</v>
      </c>
      <c r="L179" t="s">
        <v>214</v>
      </c>
      <c r="M179" t="s">
        <v>2117</v>
      </c>
      <c r="N179" t="s">
        <v>215</v>
      </c>
      <c r="O179" s="57">
        <v>46301.446666666663</v>
      </c>
      <c r="P179" s="57">
        <v>46301.720856481479</v>
      </c>
      <c r="Q179">
        <v>69402815</v>
      </c>
      <c r="T179" t="s">
        <v>1687</v>
      </c>
      <c r="V179" t="s">
        <v>1689</v>
      </c>
      <c r="Z179">
        <v>112.03663</v>
      </c>
      <c r="AA179">
        <v>-7.6772179999999999</v>
      </c>
      <c r="AB179" t="s">
        <v>1690</v>
      </c>
      <c r="AC179" t="s">
        <v>216</v>
      </c>
      <c r="AL179" t="s">
        <v>217</v>
      </c>
      <c r="AM179" t="s">
        <v>1691</v>
      </c>
      <c r="AN179" t="s">
        <v>6</v>
      </c>
      <c r="AO179" s="57">
        <v>46183.454942129632</v>
      </c>
      <c r="AP179" s="57">
        <v>46298</v>
      </c>
      <c r="AR179" t="s">
        <v>543</v>
      </c>
      <c r="AS179" t="s">
        <v>569</v>
      </c>
      <c r="AT179" t="s">
        <v>230</v>
      </c>
      <c r="AV179" t="s">
        <v>2122</v>
      </c>
      <c r="AW179" t="s">
        <v>878</v>
      </c>
      <c r="AX179" t="s">
        <v>222</v>
      </c>
      <c r="BA179" s="57">
        <v>46298.333333333336</v>
      </c>
      <c r="BB179" t="s">
        <v>1691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NGANJUK</v>
      </c>
    </row>
    <row r="180" spans="1:61">
      <c r="A180">
        <v>179</v>
      </c>
      <c r="B180">
        <v>1002619175</v>
      </c>
      <c r="C180">
        <v>3</v>
      </c>
      <c r="D180" t="s">
        <v>38</v>
      </c>
      <c r="E180">
        <v>5</v>
      </c>
      <c r="F180" t="s">
        <v>90</v>
      </c>
      <c r="G180" t="s">
        <v>93</v>
      </c>
      <c r="H180" t="s">
        <v>309</v>
      </c>
      <c r="I180" t="s">
        <v>212</v>
      </c>
      <c r="J180" t="s">
        <v>213</v>
      </c>
      <c r="K180" t="s">
        <v>149</v>
      </c>
      <c r="L180" t="s">
        <v>214</v>
      </c>
      <c r="M180" t="s">
        <v>1921</v>
      </c>
      <c r="N180" t="s">
        <v>215</v>
      </c>
      <c r="O180" s="57">
        <v>46297.403935185182</v>
      </c>
      <c r="P180" s="57">
        <v>46301.447071759256</v>
      </c>
      <c r="Q180">
        <v>69402815</v>
      </c>
      <c r="S180">
        <v>152641203076</v>
      </c>
      <c r="T180" t="s">
        <v>1687</v>
      </c>
      <c r="U180" t="s">
        <v>1688</v>
      </c>
      <c r="V180" t="s">
        <v>1689</v>
      </c>
      <c r="Z180">
        <v>112.03662995249</v>
      </c>
      <c r="AA180">
        <v>-7.6772180001796597</v>
      </c>
      <c r="AB180" t="s">
        <v>1690</v>
      </c>
      <c r="AC180" t="s">
        <v>216</v>
      </c>
      <c r="AL180" t="s">
        <v>217</v>
      </c>
      <c r="AM180" t="s">
        <v>1691</v>
      </c>
      <c r="AN180" t="s">
        <v>6</v>
      </c>
      <c r="AO180" s="57">
        <v>46063.42392361111</v>
      </c>
      <c r="AP180" s="57">
        <v>46298.333333333336</v>
      </c>
      <c r="AQ180" t="s">
        <v>838</v>
      </c>
      <c r="AR180" t="s">
        <v>12</v>
      </c>
      <c r="AS180" t="s">
        <v>569</v>
      </c>
      <c r="AT180" t="s">
        <v>230</v>
      </c>
      <c r="AV180" t="s">
        <v>1628</v>
      </c>
      <c r="AW180" t="s">
        <v>878</v>
      </c>
      <c r="AX180" t="s">
        <v>222</v>
      </c>
      <c r="BA180" s="57">
        <v>46298.333333333336</v>
      </c>
      <c r="BB180" t="s">
        <v>1691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NGANJUK</v>
      </c>
    </row>
    <row r="181" spans="1:61">
      <c r="A181">
        <v>180</v>
      </c>
      <c r="B181">
        <v>1002622269</v>
      </c>
      <c r="C181">
        <v>3</v>
      </c>
      <c r="D181" t="s">
        <v>38</v>
      </c>
      <c r="E181">
        <v>5</v>
      </c>
      <c r="F181" t="s">
        <v>90</v>
      </c>
      <c r="G181" t="s">
        <v>90</v>
      </c>
      <c r="H181" t="s">
        <v>407</v>
      </c>
      <c r="I181" t="s">
        <v>212</v>
      </c>
      <c r="J181" t="s">
        <v>213</v>
      </c>
      <c r="K181" t="s">
        <v>149</v>
      </c>
      <c r="L181" t="s">
        <v>214</v>
      </c>
      <c r="M181" t="s">
        <v>224</v>
      </c>
      <c r="N181" t="s">
        <v>215</v>
      </c>
      <c r="O181" s="57">
        <v>46300.507349537038</v>
      </c>
      <c r="P181" s="57">
        <v>46301.479432870372</v>
      </c>
      <c r="Q181">
        <v>69404271</v>
      </c>
      <c r="S181">
        <v>152610241716</v>
      </c>
      <c r="T181" t="s">
        <v>2627</v>
      </c>
      <c r="U181" t="s">
        <v>2628</v>
      </c>
      <c r="V181" t="s">
        <v>2629</v>
      </c>
      <c r="Z181">
        <v>112.03561999999999</v>
      </c>
      <c r="AA181">
        <v>-7.8005719999999998</v>
      </c>
      <c r="AB181" t="s">
        <v>2630</v>
      </c>
      <c r="AC181" t="s">
        <v>235</v>
      </c>
      <c r="AL181" t="s">
        <v>217</v>
      </c>
      <c r="AM181" t="s">
        <v>2631</v>
      </c>
      <c r="AN181" t="s">
        <v>6</v>
      </c>
      <c r="AO181" s="57">
        <v>46152.517627314817</v>
      </c>
      <c r="AP181" s="57">
        <v>46301.458333333336</v>
      </c>
      <c r="AR181" t="s">
        <v>18</v>
      </c>
      <c r="AS181" t="s">
        <v>219</v>
      </c>
      <c r="AT181" t="s">
        <v>230</v>
      </c>
      <c r="AV181" t="s">
        <v>226</v>
      </c>
      <c r="AW181" t="s">
        <v>2632</v>
      </c>
      <c r="AX181" t="s">
        <v>222</v>
      </c>
      <c r="BA181" s="57">
        <v>46301.458333333336</v>
      </c>
      <c r="BB181" t="s">
        <v>2631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KEDIRI</v>
      </c>
    </row>
    <row r="182" spans="1:61">
      <c r="A182">
        <v>181</v>
      </c>
      <c r="B182">
        <v>1002620565</v>
      </c>
      <c r="C182">
        <v>3</v>
      </c>
      <c r="D182" t="s">
        <v>38</v>
      </c>
      <c r="E182">
        <v>5</v>
      </c>
      <c r="F182" t="s">
        <v>90</v>
      </c>
      <c r="G182" t="s">
        <v>90</v>
      </c>
      <c r="H182" t="s">
        <v>407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46297.722627314812</v>
      </c>
      <c r="P182" s="57">
        <v>46300.468298611115</v>
      </c>
      <c r="Q182">
        <v>69403370</v>
      </c>
      <c r="S182">
        <v>152610241692</v>
      </c>
      <c r="T182" t="s">
        <v>1697</v>
      </c>
      <c r="U182" t="s">
        <v>1698</v>
      </c>
      <c r="V182" t="s">
        <v>1699</v>
      </c>
      <c r="Z182">
        <v>112.051506</v>
      </c>
      <c r="AA182">
        <v>-7.7944100000000001</v>
      </c>
      <c r="AB182" t="s">
        <v>1700</v>
      </c>
      <c r="AC182" t="s">
        <v>235</v>
      </c>
      <c r="AL182" t="s">
        <v>217</v>
      </c>
      <c r="AM182" t="s">
        <v>1524</v>
      </c>
      <c r="AN182" t="s">
        <v>6</v>
      </c>
      <c r="AO182" s="57">
        <v>46063.736041666663</v>
      </c>
      <c r="AP182" s="57">
        <v>46298.625</v>
      </c>
      <c r="AR182" t="s">
        <v>218</v>
      </c>
      <c r="AS182" t="s">
        <v>219</v>
      </c>
      <c r="AT182" t="s">
        <v>342</v>
      </c>
      <c r="AU182">
        <v>20261005</v>
      </c>
      <c r="AV182" t="s">
        <v>221</v>
      </c>
      <c r="AW182" t="s">
        <v>1701</v>
      </c>
      <c r="AX182" t="s">
        <v>222</v>
      </c>
      <c r="BA182" s="57">
        <v>46298.625</v>
      </c>
      <c r="BB182" t="s">
        <v>1524</v>
      </c>
      <c r="BC182">
        <v>2026</v>
      </c>
      <c r="BD182">
        <v>10</v>
      </c>
      <c r="BE182">
        <v>5</v>
      </c>
      <c r="BF182" s="6">
        <f t="shared" si="6"/>
        <v>46300</v>
      </c>
      <c r="BG182">
        <f t="shared" si="7"/>
        <v>1.375</v>
      </c>
      <c r="BH182" t="str">
        <f t="shared" si="8"/>
        <v>NOT COMPLY</v>
      </c>
      <c r="BI182" t="str">
        <f>VLOOKUP(H182,Sheet2!$A$1:$B$270,2,FALSE)</f>
        <v>KEDIRI</v>
      </c>
    </row>
    <row r="183" spans="1:61">
      <c r="A183">
        <v>182</v>
      </c>
      <c r="B183">
        <v>1002623271</v>
      </c>
      <c r="C183">
        <v>3</v>
      </c>
      <c r="D183" t="s">
        <v>38</v>
      </c>
      <c r="E183">
        <v>5</v>
      </c>
      <c r="F183" t="s">
        <v>90</v>
      </c>
      <c r="G183" t="s">
        <v>90</v>
      </c>
      <c r="H183" t="s">
        <v>407</v>
      </c>
      <c r="I183" t="s">
        <v>212</v>
      </c>
      <c r="J183" t="s">
        <v>213</v>
      </c>
      <c r="K183" t="s">
        <v>149</v>
      </c>
      <c r="L183" t="s">
        <v>214</v>
      </c>
      <c r="M183" t="s">
        <v>76</v>
      </c>
      <c r="N183" t="s">
        <v>215</v>
      </c>
      <c r="O183" s="57">
        <v>46300.761504629627</v>
      </c>
      <c r="P183" s="57">
        <v>46301.721620370372</v>
      </c>
      <c r="Q183">
        <v>69404615</v>
      </c>
      <c r="S183">
        <v>152610241721</v>
      </c>
      <c r="T183" t="s">
        <v>2638</v>
      </c>
      <c r="U183" t="s">
        <v>2639</v>
      </c>
      <c r="V183" t="s">
        <v>2640</v>
      </c>
      <c r="Z183">
        <v>112.0278814</v>
      </c>
      <c r="AA183">
        <v>-7.8136985000000001</v>
      </c>
      <c r="AB183" t="s">
        <v>2641</v>
      </c>
      <c r="AC183" t="s">
        <v>235</v>
      </c>
      <c r="AL183" t="s">
        <v>217</v>
      </c>
      <c r="AM183" t="s">
        <v>2642</v>
      </c>
      <c r="AN183" t="s">
        <v>6</v>
      </c>
      <c r="AO183" s="57">
        <v>46152.767708333333</v>
      </c>
      <c r="AP183" s="57">
        <v>46301.625</v>
      </c>
      <c r="AR183" t="s">
        <v>218</v>
      </c>
      <c r="AS183" t="s">
        <v>219</v>
      </c>
      <c r="AT183" t="s">
        <v>230</v>
      </c>
      <c r="AU183">
        <v>20261006</v>
      </c>
      <c r="AV183" t="s">
        <v>221</v>
      </c>
      <c r="AW183" t="s">
        <v>877</v>
      </c>
      <c r="AX183" t="s">
        <v>222</v>
      </c>
      <c r="BA183" s="57">
        <v>46301.625</v>
      </c>
      <c r="BB183" t="s">
        <v>2642</v>
      </c>
      <c r="BC183">
        <v>2026</v>
      </c>
      <c r="BD183">
        <v>10</v>
      </c>
      <c r="BE183">
        <v>6</v>
      </c>
      <c r="BF183" s="6">
        <f t="shared" si="6"/>
        <v>46301</v>
      </c>
      <c r="BG183">
        <f t="shared" si="7"/>
        <v>-0.625</v>
      </c>
      <c r="BH183" t="str">
        <f t="shared" si="8"/>
        <v>COMPLY</v>
      </c>
      <c r="BI183" t="str">
        <f>VLOOKUP(H183,Sheet2!$A$1:$B$270,2,FALSE)</f>
        <v>KEDIRI</v>
      </c>
    </row>
    <row r="184" spans="1:61">
      <c r="A184">
        <v>183</v>
      </c>
      <c r="B184">
        <v>1002622152</v>
      </c>
      <c r="C184">
        <v>3</v>
      </c>
      <c r="D184" t="s">
        <v>38</v>
      </c>
      <c r="E184">
        <v>5</v>
      </c>
      <c r="F184" t="s">
        <v>90</v>
      </c>
      <c r="G184" t="s">
        <v>90</v>
      </c>
      <c r="H184" t="s">
        <v>407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46300.472673611112</v>
      </c>
      <c r="P184" s="57">
        <v>46300.84065972222</v>
      </c>
      <c r="Q184">
        <v>69404202</v>
      </c>
      <c r="S184">
        <v>152610241714</v>
      </c>
      <c r="T184" t="s">
        <v>2633</v>
      </c>
      <c r="U184" t="s">
        <v>2634</v>
      </c>
      <c r="V184" t="s">
        <v>2635</v>
      </c>
      <c r="Z184">
        <v>112.029148936271</v>
      </c>
      <c r="AA184">
        <v>-7.8403521618154004</v>
      </c>
      <c r="AB184" t="s">
        <v>2636</v>
      </c>
      <c r="AC184" t="s">
        <v>216</v>
      </c>
      <c r="AL184" t="s">
        <v>217</v>
      </c>
      <c r="AM184" t="s">
        <v>2637</v>
      </c>
      <c r="AN184" t="s">
        <v>6</v>
      </c>
      <c r="AO184" s="57">
        <v>46152.486157407409</v>
      </c>
      <c r="AP184" s="57">
        <v>46301.333333333336</v>
      </c>
      <c r="AR184" t="s">
        <v>218</v>
      </c>
      <c r="AS184" t="s">
        <v>219</v>
      </c>
      <c r="AT184" t="s">
        <v>230</v>
      </c>
      <c r="AU184">
        <v>20261005</v>
      </c>
      <c r="AV184" t="s">
        <v>221</v>
      </c>
      <c r="AW184" t="s">
        <v>876</v>
      </c>
      <c r="AX184" t="s">
        <v>222</v>
      </c>
      <c r="BA184" s="57">
        <v>46301.333333333336</v>
      </c>
      <c r="BB184" t="s">
        <v>2637</v>
      </c>
      <c r="BC184">
        <v>2026</v>
      </c>
      <c r="BD184">
        <v>10</v>
      </c>
      <c r="BE184">
        <v>5</v>
      </c>
      <c r="BF184" s="6">
        <f t="shared" si="6"/>
        <v>46300</v>
      </c>
      <c r="BG184">
        <f t="shared" si="7"/>
        <v>-1.3333333333357587</v>
      </c>
      <c r="BH184" t="str">
        <f t="shared" si="8"/>
        <v>COMPLY</v>
      </c>
      <c r="BI184" t="str">
        <f>VLOOKUP(H184,Sheet2!$A$1:$B$270,2,FALSE)</f>
        <v>KEDIRI</v>
      </c>
    </row>
    <row r="185" spans="1:61">
      <c r="A185">
        <v>184</v>
      </c>
      <c r="B185">
        <v>1002627026</v>
      </c>
      <c r="C185">
        <v>3</v>
      </c>
      <c r="D185" t="s">
        <v>38</v>
      </c>
      <c r="E185">
        <v>5</v>
      </c>
      <c r="F185" t="s">
        <v>90</v>
      </c>
      <c r="G185" t="s">
        <v>90</v>
      </c>
      <c r="H185" t="s">
        <v>407</v>
      </c>
      <c r="I185" t="s">
        <v>212</v>
      </c>
      <c r="J185" t="s">
        <v>213</v>
      </c>
      <c r="K185" t="s">
        <v>149</v>
      </c>
      <c r="L185" t="s">
        <v>214</v>
      </c>
      <c r="M185" t="s">
        <v>238</v>
      </c>
      <c r="N185" t="s">
        <v>215</v>
      </c>
      <c r="O185" s="57">
        <v>46303.347615740742</v>
      </c>
      <c r="P185" s="57">
        <v>46303.348622685182</v>
      </c>
      <c r="Q185">
        <v>69406195</v>
      </c>
      <c r="S185">
        <v>152610241732</v>
      </c>
      <c r="T185" t="s">
        <v>3933</v>
      </c>
      <c r="U185" t="s">
        <v>3934</v>
      </c>
      <c r="V185" t="s">
        <v>3935</v>
      </c>
      <c r="Z185">
        <v>112.02743100000001</v>
      </c>
      <c r="AA185">
        <v>-7.8129773</v>
      </c>
      <c r="AB185" t="s">
        <v>3936</v>
      </c>
      <c r="AC185" t="s">
        <v>235</v>
      </c>
      <c r="AL185" t="s">
        <v>217</v>
      </c>
      <c r="AM185" t="s">
        <v>3937</v>
      </c>
      <c r="AN185" t="s">
        <v>6</v>
      </c>
      <c r="AO185" s="57">
        <v>46244.351111111115</v>
      </c>
      <c r="AP185" s="57">
        <v>46304.333333333336</v>
      </c>
      <c r="AR185" t="s">
        <v>239</v>
      </c>
      <c r="AS185" t="s">
        <v>219</v>
      </c>
      <c r="AT185" t="s">
        <v>230</v>
      </c>
      <c r="AV185" t="s">
        <v>238</v>
      </c>
      <c r="AW185" t="s">
        <v>876</v>
      </c>
      <c r="AX185" t="s">
        <v>222</v>
      </c>
      <c r="BA185" s="57">
        <v>46304.333333333336</v>
      </c>
      <c r="BB185" t="s">
        <v>3937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KEDIRI</v>
      </c>
    </row>
    <row r="186" spans="1:61">
      <c r="A186">
        <v>185</v>
      </c>
      <c r="B186">
        <v>1002617351</v>
      </c>
      <c r="C186">
        <v>3</v>
      </c>
      <c r="D186" t="s">
        <v>38</v>
      </c>
      <c r="E186">
        <v>5</v>
      </c>
      <c r="F186" t="s">
        <v>90</v>
      </c>
      <c r="G186" t="s">
        <v>90</v>
      </c>
      <c r="H186" t="s">
        <v>447</v>
      </c>
      <c r="I186" t="s">
        <v>212</v>
      </c>
      <c r="J186" t="s">
        <v>213</v>
      </c>
      <c r="K186" t="s">
        <v>149</v>
      </c>
      <c r="L186" t="s">
        <v>214</v>
      </c>
      <c r="M186" t="s">
        <v>76</v>
      </c>
      <c r="N186" t="s">
        <v>215</v>
      </c>
      <c r="O186" s="57">
        <v>46296.437268518515</v>
      </c>
      <c r="P186" s="57">
        <v>46298.481307870374</v>
      </c>
      <c r="Q186">
        <v>69402173</v>
      </c>
      <c r="S186">
        <v>152640226074</v>
      </c>
      <c r="T186" t="s">
        <v>1012</v>
      </c>
      <c r="U186" t="s">
        <v>1013</v>
      </c>
      <c r="V186" t="s">
        <v>1014</v>
      </c>
      <c r="Z186">
        <v>112.003439962863</v>
      </c>
      <c r="AA186">
        <v>-7.8105309457460201</v>
      </c>
      <c r="AB186" t="s">
        <v>1015</v>
      </c>
      <c r="AC186" t="s">
        <v>216</v>
      </c>
      <c r="AL186" t="s">
        <v>217</v>
      </c>
      <c r="AM186" t="s">
        <v>1016</v>
      </c>
      <c r="AN186" t="s">
        <v>6</v>
      </c>
      <c r="AO186" s="57">
        <v>46032.444687499999</v>
      </c>
      <c r="AP186" s="57">
        <v>46297.458333333336</v>
      </c>
      <c r="AR186" t="s">
        <v>218</v>
      </c>
      <c r="AS186" t="s">
        <v>548</v>
      </c>
      <c r="AT186" t="s">
        <v>230</v>
      </c>
      <c r="AU186">
        <v>20261003</v>
      </c>
      <c r="AV186" t="s">
        <v>221</v>
      </c>
      <c r="AW186" t="s">
        <v>883</v>
      </c>
      <c r="AX186" t="s">
        <v>222</v>
      </c>
      <c r="BA186" s="57">
        <v>46297.458333333336</v>
      </c>
      <c r="BB186" t="s">
        <v>1016</v>
      </c>
      <c r="BC186">
        <v>2026</v>
      </c>
      <c r="BD186">
        <v>10</v>
      </c>
      <c r="BE186">
        <v>3</v>
      </c>
      <c r="BF186" s="6">
        <f t="shared" si="6"/>
        <v>46298</v>
      </c>
      <c r="BG186">
        <f t="shared" si="7"/>
        <v>0.54166666666424135</v>
      </c>
      <c r="BH186" t="str">
        <f t="shared" si="8"/>
        <v>COMPLY</v>
      </c>
      <c r="BI186" t="str">
        <f>VLOOKUP(H186,Sheet2!$A$1:$B$270,2,FALSE)</f>
        <v>KEDIRI</v>
      </c>
    </row>
    <row r="187" spans="1:61">
      <c r="A187">
        <v>186</v>
      </c>
      <c r="B187">
        <v>1002618759</v>
      </c>
      <c r="C187">
        <v>3</v>
      </c>
      <c r="D187" t="s">
        <v>38</v>
      </c>
      <c r="E187">
        <v>5</v>
      </c>
      <c r="F187" t="s">
        <v>90</v>
      </c>
      <c r="G187" t="s">
        <v>90</v>
      </c>
      <c r="H187" t="s">
        <v>447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46296.742754629631</v>
      </c>
      <c r="P187" s="57">
        <v>46297.758148148147</v>
      </c>
      <c r="Q187">
        <v>69402638</v>
      </c>
      <c r="S187">
        <v>152640226092</v>
      </c>
      <c r="T187" t="s">
        <v>892</v>
      </c>
      <c r="U187" t="s">
        <v>1022</v>
      </c>
      <c r="V187" t="s">
        <v>1023</v>
      </c>
      <c r="Z187">
        <v>111.953227</v>
      </c>
      <c r="AA187">
        <v>-7.7798449999999999</v>
      </c>
      <c r="AB187" t="s">
        <v>1024</v>
      </c>
      <c r="AC187" t="s">
        <v>235</v>
      </c>
      <c r="AL187" t="s">
        <v>217</v>
      </c>
      <c r="AM187" t="s">
        <v>1025</v>
      </c>
      <c r="AN187" t="s">
        <v>6</v>
      </c>
      <c r="AO187" s="57">
        <v>46032.746898148151</v>
      </c>
      <c r="AP187" s="57">
        <v>46297.625</v>
      </c>
      <c r="AR187" t="s">
        <v>218</v>
      </c>
      <c r="AS187" t="s">
        <v>548</v>
      </c>
      <c r="AT187" t="s">
        <v>230</v>
      </c>
      <c r="AU187">
        <v>20261002</v>
      </c>
      <c r="AV187" t="s">
        <v>221</v>
      </c>
      <c r="AW187" t="s">
        <v>879</v>
      </c>
      <c r="AX187" t="s">
        <v>222</v>
      </c>
      <c r="BA187" s="57">
        <v>46297.625</v>
      </c>
      <c r="BB187" t="s">
        <v>1025</v>
      </c>
      <c r="BC187">
        <v>2026</v>
      </c>
      <c r="BD187">
        <v>10</v>
      </c>
      <c r="BE187">
        <v>2</v>
      </c>
      <c r="BF187" s="6">
        <f t="shared" si="6"/>
        <v>46297</v>
      </c>
      <c r="BG187">
        <f t="shared" si="7"/>
        <v>-0.625</v>
      </c>
      <c r="BH187" t="str">
        <f t="shared" si="8"/>
        <v>COMPLY</v>
      </c>
      <c r="BI187" t="str">
        <f>VLOOKUP(H187,Sheet2!$A$1:$B$270,2,FALSE)</f>
        <v>KEDIRI</v>
      </c>
    </row>
    <row r="188" spans="1:61">
      <c r="A188">
        <v>187</v>
      </c>
      <c r="B188">
        <v>1002617644</v>
      </c>
      <c r="C188">
        <v>3</v>
      </c>
      <c r="D188" t="s">
        <v>38</v>
      </c>
      <c r="E188">
        <v>5</v>
      </c>
      <c r="F188" t="s">
        <v>90</v>
      </c>
      <c r="G188" t="s">
        <v>90</v>
      </c>
      <c r="H188" t="s">
        <v>447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46296.488587962966</v>
      </c>
      <c r="P188" s="57">
        <v>46296.727766203701</v>
      </c>
      <c r="Q188">
        <v>69402279</v>
      </c>
      <c r="S188">
        <v>152640226086</v>
      </c>
      <c r="T188" t="s">
        <v>1017</v>
      </c>
      <c r="U188" t="s">
        <v>1018</v>
      </c>
      <c r="V188" t="s">
        <v>1019</v>
      </c>
      <c r="Z188">
        <v>111.96737229999999</v>
      </c>
      <c r="AA188">
        <v>-7.7787601000000004</v>
      </c>
      <c r="AB188" t="s">
        <v>1020</v>
      </c>
      <c r="AC188" t="s">
        <v>235</v>
      </c>
      <c r="AL188" t="s">
        <v>217</v>
      </c>
      <c r="AM188" t="s">
        <v>1021</v>
      </c>
      <c r="AN188" t="s">
        <v>6</v>
      </c>
      <c r="AO188" s="57">
        <v>46032.517557870371</v>
      </c>
      <c r="AP188" s="57">
        <v>46297.333333333336</v>
      </c>
      <c r="AR188" t="s">
        <v>218</v>
      </c>
      <c r="AS188" t="s">
        <v>548</v>
      </c>
      <c r="AT188" t="s">
        <v>230</v>
      </c>
      <c r="AU188">
        <v>20261001</v>
      </c>
      <c r="AV188" t="s">
        <v>221</v>
      </c>
      <c r="AW188" t="s">
        <v>875</v>
      </c>
      <c r="AX188" t="s">
        <v>222</v>
      </c>
      <c r="BA188" s="57">
        <v>46297.333333333336</v>
      </c>
      <c r="BB188" t="s">
        <v>1021</v>
      </c>
      <c r="BC188">
        <v>2026</v>
      </c>
      <c r="BD188">
        <v>10</v>
      </c>
      <c r="BE188">
        <v>1</v>
      </c>
      <c r="BF188" s="6">
        <f t="shared" si="6"/>
        <v>46296</v>
      </c>
      <c r="BG188">
        <f t="shared" si="7"/>
        <v>-1.3333333333357587</v>
      </c>
      <c r="BH188" t="str">
        <f t="shared" si="8"/>
        <v>COMPLY</v>
      </c>
      <c r="BI188" t="str">
        <f>VLOOKUP(H188,Sheet2!$A$1:$B$270,2,FALSE)</f>
        <v>KEDIRI</v>
      </c>
    </row>
    <row r="189" spans="1:61">
      <c r="A189">
        <v>188</v>
      </c>
      <c r="B189">
        <v>1002619090</v>
      </c>
      <c r="C189">
        <v>3</v>
      </c>
      <c r="D189" t="s">
        <v>38</v>
      </c>
      <c r="E189">
        <v>5</v>
      </c>
      <c r="F189" t="s">
        <v>90</v>
      </c>
      <c r="G189" t="s">
        <v>90</v>
      </c>
      <c r="H189" t="s">
        <v>447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46297.38517361111</v>
      </c>
      <c r="P189" s="57">
        <v>46299.316064814811</v>
      </c>
      <c r="Q189">
        <v>69402769</v>
      </c>
      <c r="S189">
        <v>152640226094</v>
      </c>
      <c r="T189" t="s">
        <v>1702</v>
      </c>
      <c r="U189" t="s">
        <v>1703</v>
      </c>
      <c r="V189" t="s">
        <v>1704</v>
      </c>
      <c r="Z189">
        <v>111.97422098368401</v>
      </c>
      <c r="AA189">
        <v>-7.7470881335725297</v>
      </c>
      <c r="AB189" t="s">
        <v>1705</v>
      </c>
      <c r="AC189" t="s">
        <v>216</v>
      </c>
      <c r="AL189" t="s">
        <v>217</v>
      </c>
      <c r="AM189" t="s">
        <v>1706</v>
      </c>
      <c r="AN189" t="s">
        <v>6</v>
      </c>
      <c r="AO189" s="57">
        <v>46063.39334490741</v>
      </c>
      <c r="AP189" s="57">
        <v>46298.333333333336</v>
      </c>
      <c r="AR189" t="s">
        <v>218</v>
      </c>
      <c r="AS189" t="s">
        <v>548</v>
      </c>
      <c r="AT189" t="s">
        <v>230</v>
      </c>
      <c r="AU189">
        <v>20261004</v>
      </c>
      <c r="AV189" t="s">
        <v>221</v>
      </c>
      <c r="AW189" t="s">
        <v>876</v>
      </c>
      <c r="AX189" t="s">
        <v>222</v>
      </c>
      <c r="BA189" s="57">
        <v>46298.333333333336</v>
      </c>
      <c r="BB189" t="s">
        <v>1706</v>
      </c>
      <c r="BC189">
        <v>2026</v>
      </c>
      <c r="BD189">
        <v>10</v>
      </c>
      <c r="BE189">
        <v>4</v>
      </c>
      <c r="BF189" s="6">
        <f t="shared" si="6"/>
        <v>46299</v>
      </c>
      <c r="BG189">
        <f t="shared" si="7"/>
        <v>0.66666666666424135</v>
      </c>
      <c r="BH189" t="str">
        <f t="shared" si="8"/>
        <v>COMPLY</v>
      </c>
      <c r="BI189" t="str">
        <f>VLOOKUP(H189,Sheet2!$A$1:$B$270,2,FALSE)</f>
        <v>KEDIRI</v>
      </c>
    </row>
    <row r="190" spans="1:61">
      <c r="A190">
        <v>189</v>
      </c>
      <c r="B190">
        <v>1002620437</v>
      </c>
      <c r="C190">
        <v>3</v>
      </c>
      <c r="D190" t="s">
        <v>38</v>
      </c>
      <c r="E190">
        <v>5</v>
      </c>
      <c r="F190" t="s">
        <v>92</v>
      </c>
      <c r="G190" t="s">
        <v>92</v>
      </c>
      <c r="H190" t="s">
        <v>470</v>
      </c>
      <c r="I190" t="s">
        <v>212</v>
      </c>
      <c r="J190" t="s">
        <v>213</v>
      </c>
      <c r="K190" t="s">
        <v>149</v>
      </c>
      <c r="L190" t="s">
        <v>214</v>
      </c>
      <c r="M190" t="s">
        <v>542</v>
      </c>
      <c r="N190" t="s">
        <v>215</v>
      </c>
      <c r="O190" s="57">
        <v>46297.685196759259</v>
      </c>
      <c r="P190" s="57">
        <v>46300.423935185187</v>
      </c>
      <c r="Q190">
        <v>69403313</v>
      </c>
      <c r="S190">
        <v>152632207563</v>
      </c>
      <c r="T190" t="s">
        <v>1707</v>
      </c>
      <c r="U190" t="s">
        <v>1712</v>
      </c>
      <c r="V190" t="s">
        <v>1713</v>
      </c>
      <c r="Z190">
        <v>111.623577122125</v>
      </c>
      <c r="AA190">
        <v>-7.5690206238598003</v>
      </c>
      <c r="AB190" t="s">
        <v>1714</v>
      </c>
      <c r="AC190" t="s">
        <v>235</v>
      </c>
      <c r="AL190" t="s">
        <v>217</v>
      </c>
      <c r="AM190" t="s">
        <v>1420</v>
      </c>
      <c r="AN190" t="s">
        <v>6</v>
      </c>
      <c r="AO190" s="57">
        <v>46063.694699074076</v>
      </c>
      <c r="AP190" s="57">
        <v>46298.625</v>
      </c>
      <c r="AR190" t="s">
        <v>543</v>
      </c>
      <c r="AS190" t="s">
        <v>558</v>
      </c>
      <c r="AT190" t="s">
        <v>230</v>
      </c>
      <c r="AV190" t="s">
        <v>2643</v>
      </c>
      <c r="AW190" t="s">
        <v>875</v>
      </c>
      <c r="AX190" t="s">
        <v>222</v>
      </c>
      <c r="BA190" s="57">
        <v>46298.625</v>
      </c>
      <c r="BB190" t="s">
        <v>1420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str">
        <f>VLOOKUP(H190,Sheet2!$A$1:$B$270,2,FALSE)</f>
        <v>MADIUN</v>
      </c>
    </row>
    <row r="191" spans="1:61">
      <c r="A191">
        <v>190</v>
      </c>
      <c r="B191">
        <v>1002619234</v>
      </c>
      <c r="C191">
        <v>3</v>
      </c>
      <c r="D191" t="s">
        <v>38</v>
      </c>
      <c r="E191">
        <v>5</v>
      </c>
      <c r="F191" t="s">
        <v>92</v>
      </c>
      <c r="G191" t="s">
        <v>92</v>
      </c>
      <c r="H191" t="s">
        <v>470</v>
      </c>
      <c r="I191" t="s">
        <v>212</v>
      </c>
      <c r="J191" t="s">
        <v>213</v>
      </c>
      <c r="K191" t="s">
        <v>149</v>
      </c>
      <c r="L191" t="s">
        <v>214</v>
      </c>
      <c r="M191" t="s">
        <v>76</v>
      </c>
      <c r="N191" t="s">
        <v>215</v>
      </c>
      <c r="O191" s="57">
        <v>46297.417754629627</v>
      </c>
      <c r="P191" s="57">
        <v>46297.841435185182</v>
      </c>
      <c r="Q191">
        <v>69402832</v>
      </c>
      <c r="S191">
        <v>152632207016</v>
      </c>
      <c r="T191" t="s">
        <v>1707</v>
      </c>
      <c r="U191" t="s">
        <v>1708</v>
      </c>
      <c r="V191" t="s">
        <v>1709</v>
      </c>
      <c r="Z191">
        <v>111.617571</v>
      </c>
      <c r="AA191">
        <v>-7.5664610000000003</v>
      </c>
      <c r="AB191" t="s">
        <v>1710</v>
      </c>
      <c r="AC191" t="s">
        <v>235</v>
      </c>
      <c r="AL191" t="s">
        <v>217</v>
      </c>
      <c r="AM191" t="s">
        <v>1711</v>
      </c>
      <c r="AN191" t="s">
        <v>6</v>
      </c>
      <c r="AO191" s="57">
        <v>46063.42392361111</v>
      </c>
      <c r="AP191" s="57">
        <v>46298.333333333336</v>
      </c>
      <c r="AR191" t="s">
        <v>218</v>
      </c>
      <c r="AS191" t="s">
        <v>558</v>
      </c>
      <c r="AT191" t="s">
        <v>230</v>
      </c>
      <c r="AU191">
        <v>20261002</v>
      </c>
      <c r="AV191" t="s">
        <v>221</v>
      </c>
      <c r="AW191" t="s">
        <v>877</v>
      </c>
      <c r="AX191" t="s">
        <v>222</v>
      </c>
      <c r="BA191" s="57">
        <v>46298.333333333336</v>
      </c>
      <c r="BB191" t="s">
        <v>1711</v>
      </c>
      <c r="BC191">
        <v>2026</v>
      </c>
      <c r="BD191">
        <v>10</v>
      </c>
      <c r="BE191">
        <v>2</v>
      </c>
      <c r="BF191" s="6">
        <f t="shared" si="6"/>
        <v>46297</v>
      </c>
      <c r="BG191">
        <f t="shared" si="7"/>
        <v>-1.3333333333357587</v>
      </c>
      <c r="BH191" t="str">
        <f t="shared" si="8"/>
        <v>COMPLY</v>
      </c>
      <c r="BI191" t="str">
        <f>VLOOKUP(H191,Sheet2!$A$1:$B$270,2,FALSE)</f>
        <v>MADIUN</v>
      </c>
    </row>
    <row r="192" spans="1:61">
      <c r="A192">
        <v>191</v>
      </c>
      <c r="B192">
        <v>1002620505</v>
      </c>
      <c r="C192">
        <v>3</v>
      </c>
      <c r="D192" t="s">
        <v>38</v>
      </c>
      <c r="E192">
        <v>5</v>
      </c>
      <c r="F192" t="s">
        <v>92</v>
      </c>
      <c r="G192" t="s">
        <v>92</v>
      </c>
      <c r="H192" t="s">
        <v>301</v>
      </c>
      <c r="I192" t="s">
        <v>212</v>
      </c>
      <c r="J192" t="s">
        <v>213</v>
      </c>
      <c r="K192" t="s">
        <v>149</v>
      </c>
      <c r="M192" t="s">
        <v>76</v>
      </c>
      <c r="N192" t="s">
        <v>563</v>
      </c>
      <c r="O192" s="57">
        <v>46297.712476851855</v>
      </c>
      <c r="P192" s="57">
        <v>46299.687349537038</v>
      </c>
      <c r="Q192">
        <v>69383033</v>
      </c>
      <c r="S192">
        <v>152601215057</v>
      </c>
      <c r="T192" t="s">
        <v>1716</v>
      </c>
      <c r="U192" t="s">
        <v>1717</v>
      </c>
      <c r="V192" t="s">
        <v>1718</v>
      </c>
      <c r="Z192">
        <v>111.5468582</v>
      </c>
      <c r="AA192">
        <v>-7.6344409999999998</v>
      </c>
      <c r="AB192" t="s">
        <v>1719</v>
      </c>
      <c r="AC192" t="s">
        <v>284</v>
      </c>
      <c r="AL192" t="s">
        <v>217</v>
      </c>
      <c r="AM192" t="s">
        <v>1720</v>
      </c>
      <c r="AN192" t="s">
        <v>6</v>
      </c>
      <c r="AO192" s="57">
        <v>46063.716145833336</v>
      </c>
      <c r="AP192" s="57">
        <v>46299.333333333336</v>
      </c>
      <c r="AR192" t="s">
        <v>218</v>
      </c>
      <c r="AS192" t="s">
        <v>219</v>
      </c>
      <c r="AT192" t="s">
        <v>230</v>
      </c>
      <c r="AU192">
        <v>20261004</v>
      </c>
      <c r="AV192" t="s">
        <v>221</v>
      </c>
      <c r="AW192" t="s">
        <v>1721</v>
      </c>
      <c r="AX192" t="s">
        <v>222</v>
      </c>
      <c r="BA192" s="57">
        <v>46299.333333333336</v>
      </c>
      <c r="BB192" t="s">
        <v>1720</v>
      </c>
      <c r="BC192">
        <v>2026</v>
      </c>
      <c r="BD192">
        <v>10</v>
      </c>
      <c r="BE192">
        <v>4</v>
      </c>
      <c r="BF192" s="6">
        <f t="shared" si="6"/>
        <v>46299</v>
      </c>
      <c r="BG192">
        <f t="shared" si="7"/>
        <v>-0.33333333333575865</v>
      </c>
      <c r="BH192" t="str">
        <f t="shared" si="8"/>
        <v>COMPLY</v>
      </c>
      <c r="BI192" t="str">
        <f>VLOOKUP(H192,Sheet2!$A$1:$B$270,2,FALSE)</f>
        <v>MADIUN</v>
      </c>
    </row>
    <row r="193" spans="1:61">
      <c r="A193">
        <v>192</v>
      </c>
      <c r="B193">
        <v>1002617598</v>
      </c>
      <c r="C193">
        <v>3</v>
      </c>
      <c r="D193" t="s">
        <v>38</v>
      </c>
      <c r="E193">
        <v>5</v>
      </c>
      <c r="F193" t="s">
        <v>92</v>
      </c>
      <c r="G193" t="s">
        <v>94</v>
      </c>
      <c r="H193" t="s">
        <v>426</v>
      </c>
      <c r="I193" t="s">
        <v>212</v>
      </c>
      <c r="J193" t="s">
        <v>213</v>
      </c>
      <c r="K193" t="s">
        <v>149</v>
      </c>
      <c r="L193" t="s">
        <v>214</v>
      </c>
      <c r="M193" t="s">
        <v>76</v>
      </c>
      <c r="N193" t="s">
        <v>215</v>
      </c>
      <c r="O193" s="57">
        <v>46296.478229166663</v>
      </c>
      <c r="P193" s="57">
        <v>46296.650775462964</v>
      </c>
      <c r="Q193">
        <v>69402248</v>
      </c>
      <c r="S193">
        <v>152636207600</v>
      </c>
      <c r="T193" t="s">
        <v>1026</v>
      </c>
      <c r="U193" t="s">
        <v>1027</v>
      </c>
      <c r="V193" t="s">
        <v>1028</v>
      </c>
      <c r="Z193">
        <v>111.556056590195</v>
      </c>
      <c r="AA193">
        <v>-7.4355288236971404</v>
      </c>
      <c r="AB193" t="s">
        <v>1029</v>
      </c>
      <c r="AC193" t="s">
        <v>235</v>
      </c>
      <c r="AL193" t="s">
        <v>217</v>
      </c>
      <c r="AM193" t="s">
        <v>1030</v>
      </c>
      <c r="AN193" t="s">
        <v>6</v>
      </c>
      <c r="AO193" s="57">
        <v>46032.486342592594</v>
      </c>
      <c r="AP193" s="57">
        <v>46297.333333333336</v>
      </c>
      <c r="AR193" t="s">
        <v>218</v>
      </c>
      <c r="AS193" t="s">
        <v>219</v>
      </c>
      <c r="AT193" t="s">
        <v>230</v>
      </c>
      <c r="AU193">
        <v>20261001</v>
      </c>
      <c r="AV193" t="s">
        <v>221</v>
      </c>
      <c r="AW193" t="s">
        <v>879</v>
      </c>
      <c r="AX193" t="s">
        <v>222</v>
      </c>
      <c r="BA193" s="57">
        <v>46297.333333333336</v>
      </c>
      <c r="BB193" t="s">
        <v>1030</v>
      </c>
      <c r="BC193">
        <v>2026</v>
      </c>
      <c r="BD193">
        <v>10</v>
      </c>
      <c r="BE193">
        <v>1</v>
      </c>
      <c r="BF193" s="6">
        <f t="shared" si="6"/>
        <v>46296</v>
      </c>
      <c r="BG193">
        <f t="shared" si="7"/>
        <v>-1.3333333333357587</v>
      </c>
      <c r="BH193" t="str">
        <f t="shared" si="8"/>
        <v>COMPLY</v>
      </c>
      <c r="BI193" t="str">
        <f>VLOOKUP(H193,Sheet2!$A$1:$B$270,2,FALSE)</f>
        <v>MADIUN</v>
      </c>
    </row>
    <row r="194" spans="1:61">
      <c r="A194">
        <v>193</v>
      </c>
      <c r="B194">
        <v>1002622112</v>
      </c>
      <c r="C194">
        <v>3</v>
      </c>
      <c r="D194" t="s">
        <v>38</v>
      </c>
      <c r="E194">
        <v>5</v>
      </c>
      <c r="F194" t="s">
        <v>92</v>
      </c>
      <c r="G194" t="s">
        <v>94</v>
      </c>
      <c r="H194" t="s">
        <v>450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46300.46435185185</v>
      </c>
      <c r="P194" s="57">
        <v>46302.64570601852</v>
      </c>
      <c r="Q194">
        <v>69404217</v>
      </c>
      <c r="S194">
        <v>152605224924</v>
      </c>
      <c r="T194" t="s">
        <v>2644</v>
      </c>
      <c r="U194" t="s">
        <v>2645</v>
      </c>
      <c r="V194" t="s">
        <v>2646</v>
      </c>
      <c r="Z194">
        <v>111.443057</v>
      </c>
      <c r="AA194">
        <v>-7.410819</v>
      </c>
      <c r="AB194" t="s">
        <v>2647</v>
      </c>
      <c r="AC194" t="s">
        <v>235</v>
      </c>
      <c r="AL194" t="s">
        <v>217</v>
      </c>
      <c r="AM194" t="s">
        <v>2637</v>
      </c>
      <c r="AN194" t="s">
        <v>6</v>
      </c>
      <c r="AO194" s="57">
        <v>46152.486157407409</v>
      </c>
      <c r="AP194" s="57">
        <v>46301.333333333336</v>
      </c>
      <c r="AR194" t="s">
        <v>218</v>
      </c>
      <c r="AS194" t="s">
        <v>219</v>
      </c>
      <c r="AT194" t="s">
        <v>230</v>
      </c>
      <c r="AU194">
        <v>20261007</v>
      </c>
      <c r="AV194" t="s">
        <v>221</v>
      </c>
      <c r="AW194" t="s">
        <v>2632</v>
      </c>
      <c r="AX194" t="s">
        <v>222</v>
      </c>
      <c r="BA194" s="57">
        <v>46301.333333333336</v>
      </c>
      <c r="BB194" t="s">
        <v>2637</v>
      </c>
      <c r="BC194">
        <v>2026</v>
      </c>
      <c r="BD194">
        <v>10</v>
      </c>
      <c r="BE194">
        <v>7</v>
      </c>
      <c r="BF194" s="6">
        <f t="shared" ref="BF194:BF257" si="9">DATE(BC194,BD194,BE194)</f>
        <v>46302</v>
      </c>
      <c r="BG194">
        <f t="shared" ref="BG194:BG257" si="10">BF194-BA194</f>
        <v>0.66666666666424135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MADIUN</v>
      </c>
    </row>
    <row r="195" spans="1:61">
      <c r="A195">
        <v>194</v>
      </c>
      <c r="B195">
        <v>1002624139</v>
      </c>
      <c r="C195">
        <v>3</v>
      </c>
      <c r="D195" t="s">
        <v>38</v>
      </c>
      <c r="E195">
        <v>5</v>
      </c>
      <c r="F195" t="s">
        <v>92</v>
      </c>
      <c r="G195" t="s">
        <v>94</v>
      </c>
      <c r="H195" t="s">
        <v>464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46301.508032407408</v>
      </c>
      <c r="P195" s="57">
        <v>46302.481354166666</v>
      </c>
      <c r="Q195">
        <v>69404965</v>
      </c>
      <c r="S195">
        <v>152634206085</v>
      </c>
      <c r="T195" t="s">
        <v>3268</v>
      </c>
      <c r="U195" t="s">
        <v>3269</v>
      </c>
      <c r="V195" t="s">
        <v>3270</v>
      </c>
      <c r="Z195">
        <v>111.3023161</v>
      </c>
      <c r="AA195">
        <v>-7.4261039000000002</v>
      </c>
      <c r="AB195" t="s">
        <v>3271</v>
      </c>
      <c r="AC195" t="s">
        <v>235</v>
      </c>
      <c r="AL195" t="s">
        <v>217</v>
      </c>
      <c r="AM195" t="s">
        <v>3272</v>
      </c>
      <c r="AN195" t="s">
        <v>6</v>
      </c>
      <c r="AO195" s="57">
        <v>46183.517812500002</v>
      </c>
      <c r="AP195" s="57">
        <v>46302.458333333336</v>
      </c>
      <c r="AR195" t="s">
        <v>218</v>
      </c>
      <c r="AS195" t="s">
        <v>219</v>
      </c>
      <c r="AT195" t="s">
        <v>230</v>
      </c>
      <c r="AU195">
        <v>20261007</v>
      </c>
      <c r="AV195" t="s">
        <v>221</v>
      </c>
      <c r="AW195" t="s">
        <v>880</v>
      </c>
      <c r="AX195" t="s">
        <v>222</v>
      </c>
      <c r="BA195" s="57">
        <v>46302.458333333336</v>
      </c>
      <c r="BB195" t="s">
        <v>3272</v>
      </c>
      <c r="BC195">
        <v>2026</v>
      </c>
      <c r="BD195">
        <v>10</v>
      </c>
      <c r="BE195">
        <v>7</v>
      </c>
      <c r="BF195" s="6">
        <f t="shared" si="9"/>
        <v>46302</v>
      </c>
      <c r="BG195">
        <f t="shared" si="10"/>
        <v>-0.45833333333575865</v>
      </c>
      <c r="BH195" t="str">
        <f t="shared" si="11"/>
        <v>COMPLY</v>
      </c>
      <c r="BI195" t="str">
        <f>VLOOKUP(H195,Sheet2!$A$1:$B$270,2,FALSE)</f>
        <v>MADIUN</v>
      </c>
    </row>
    <row r="196" spans="1:61">
      <c r="A196">
        <v>195</v>
      </c>
      <c r="B196">
        <v>1002622334</v>
      </c>
      <c r="C196">
        <v>3</v>
      </c>
      <c r="D196" t="s">
        <v>38</v>
      </c>
      <c r="E196">
        <v>5</v>
      </c>
      <c r="F196" t="s">
        <v>92</v>
      </c>
      <c r="G196" t="s">
        <v>95</v>
      </c>
      <c r="H196" t="s">
        <v>351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46300.53025462963</v>
      </c>
      <c r="P196" s="57">
        <v>46301.60738425926</v>
      </c>
      <c r="Q196">
        <v>69404299</v>
      </c>
      <c r="S196">
        <v>152607221796</v>
      </c>
      <c r="T196" t="s">
        <v>2648</v>
      </c>
      <c r="U196" t="s">
        <v>2649</v>
      </c>
      <c r="V196" t="s">
        <v>2650</v>
      </c>
      <c r="Z196">
        <v>111.13085890000001</v>
      </c>
      <c r="AA196">
        <v>-8.1929371999999994</v>
      </c>
      <c r="AB196" t="s">
        <v>2651</v>
      </c>
      <c r="AC196" t="s">
        <v>235</v>
      </c>
      <c r="AL196" t="s">
        <v>217</v>
      </c>
      <c r="AM196" t="s">
        <v>2652</v>
      </c>
      <c r="AN196" t="s">
        <v>6</v>
      </c>
      <c r="AO196" s="57">
        <v>46152.569618055553</v>
      </c>
      <c r="AP196" s="57">
        <v>46301.458333333336</v>
      </c>
      <c r="AR196" t="s">
        <v>218</v>
      </c>
      <c r="AS196" t="s">
        <v>584</v>
      </c>
      <c r="AT196" t="s">
        <v>230</v>
      </c>
      <c r="AU196">
        <v>20261006</v>
      </c>
      <c r="AV196" t="s">
        <v>221</v>
      </c>
      <c r="AW196" t="s">
        <v>878</v>
      </c>
      <c r="AX196" t="s">
        <v>222</v>
      </c>
      <c r="BA196" s="57">
        <v>46301.458333333336</v>
      </c>
      <c r="BB196" t="s">
        <v>2652</v>
      </c>
      <c r="BC196">
        <v>2026</v>
      </c>
      <c r="BD196">
        <v>10</v>
      </c>
      <c r="BE196">
        <v>6</v>
      </c>
      <c r="BF196" s="6">
        <f t="shared" si="9"/>
        <v>46301</v>
      </c>
      <c r="BG196">
        <f t="shared" si="10"/>
        <v>-0.45833333333575865</v>
      </c>
      <c r="BH196" t="str">
        <f t="shared" si="11"/>
        <v>COMPLY</v>
      </c>
      <c r="BI196" t="str">
        <f>VLOOKUP(H196,Sheet2!$A$1:$B$270,2,FALSE)</f>
        <v>PONOROGO</v>
      </c>
    </row>
    <row r="197" spans="1:61">
      <c r="A197">
        <v>196</v>
      </c>
      <c r="B197">
        <v>1002624856</v>
      </c>
      <c r="C197">
        <v>3</v>
      </c>
      <c r="D197" t="s">
        <v>38</v>
      </c>
      <c r="E197">
        <v>5</v>
      </c>
      <c r="F197" t="s">
        <v>92</v>
      </c>
      <c r="G197" t="s">
        <v>95</v>
      </c>
      <c r="H197" t="s">
        <v>243</v>
      </c>
      <c r="I197" t="s">
        <v>212</v>
      </c>
      <c r="J197" t="s">
        <v>213</v>
      </c>
      <c r="K197" t="s">
        <v>149</v>
      </c>
      <c r="L197" t="s">
        <v>826</v>
      </c>
      <c r="M197" t="s">
        <v>224</v>
      </c>
      <c r="N197" t="s">
        <v>215</v>
      </c>
      <c r="O197" s="57">
        <v>46301.659490740742</v>
      </c>
      <c r="P197" s="57">
        <v>46302.641435185185</v>
      </c>
      <c r="Q197">
        <v>69405289</v>
      </c>
      <c r="R197">
        <v>3526609049</v>
      </c>
      <c r="S197">
        <v>152604231193</v>
      </c>
      <c r="T197" t="s">
        <v>3278</v>
      </c>
      <c r="U197" t="s">
        <v>3279</v>
      </c>
      <c r="V197" t="s">
        <v>3280</v>
      </c>
      <c r="Z197">
        <v>111.47938190000001</v>
      </c>
      <c r="AA197">
        <v>-7.8423977000000002</v>
      </c>
      <c r="AB197" t="s">
        <v>3281</v>
      </c>
      <c r="AC197" t="s">
        <v>235</v>
      </c>
      <c r="AL197" t="s">
        <v>217</v>
      </c>
      <c r="AM197" t="s">
        <v>3282</v>
      </c>
      <c r="AN197" t="s">
        <v>6</v>
      </c>
      <c r="AO197" s="57">
        <v>46183.663668981484</v>
      </c>
      <c r="AP197" s="57">
        <v>46302.625</v>
      </c>
      <c r="AR197" t="s">
        <v>18</v>
      </c>
      <c r="AS197" t="s">
        <v>852</v>
      </c>
      <c r="AT197" t="s">
        <v>230</v>
      </c>
      <c r="AV197" t="s">
        <v>226</v>
      </c>
      <c r="AW197" t="s">
        <v>868</v>
      </c>
      <c r="AX197" t="s">
        <v>222</v>
      </c>
      <c r="BA197" s="57">
        <v>46302.625</v>
      </c>
      <c r="BB197" t="s">
        <v>3282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PONOROGO</v>
      </c>
    </row>
    <row r="198" spans="1:61">
      <c r="A198">
        <v>197</v>
      </c>
      <c r="B198">
        <v>1002626682</v>
      </c>
      <c r="C198">
        <v>3</v>
      </c>
      <c r="D198" t="s">
        <v>38</v>
      </c>
      <c r="E198">
        <v>5</v>
      </c>
      <c r="F198" t="s">
        <v>92</v>
      </c>
      <c r="G198" t="s">
        <v>95</v>
      </c>
      <c r="H198" t="s">
        <v>243</v>
      </c>
      <c r="I198" t="s">
        <v>212</v>
      </c>
      <c r="J198" t="s">
        <v>213</v>
      </c>
      <c r="K198" t="s">
        <v>149</v>
      </c>
      <c r="L198" t="s">
        <v>214</v>
      </c>
      <c r="M198" t="s">
        <v>224</v>
      </c>
      <c r="N198" t="s">
        <v>215</v>
      </c>
      <c r="O198" s="57">
        <v>46302.665682870371</v>
      </c>
      <c r="P198" s="57">
        <v>46303.415578703702</v>
      </c>
      <c r="Q198">
        <v>69406049</v>
      </c>
      <c r="S198">
        <v>152604231205</v>
      </c>
      <c r="T198" t="s">
        <v>3938</v>
      </c>
      <c r="U198" t="s">
        <v>3939</v>
      </c>
      <c r="V198" t="s">
        <v>3940</v>
      </c>
      <c r="Z198">
        <v>111.49595720000001</v>
      </c>
      <c r="AA198">
        <v>-7.9192720999999997</v>
      </c>
      <c r="AB198" t="s">
        <v>3941</v>
      </c>
      <c r="AC198" t="s">
        <v>235</v>
      </c>
      <c r="AL198" t="s">
        <v>217</v>
      </c>
      <c r="AM198" t="s">
        <v>3942</v>
      </c>
      <c r="AN198" t="s">
        <v>6</v>
      </c>
      <c r="AO198" s="57">
        <v>46213.67386574074</v>
      </c>
      <c r="AP198" s="57">
        <v>46303.625</v>
      </c>
      <c r="AR198" t="s">
        <v>18</v>
      </c>
      <c r="AS198" t="s">
        <v>852</v>
      </c>
      <c r="AT198" t="s">
        <v>230</v>
      </c>
      <c r="AV198" t="s">
        <v>226</v>
      </c>
      <c r="AW198" t="s">
        <v>875</v>
      </c>
      <c r="AX198" t="s">
        <v>222</v>
      </c>
      <c r="BA198" s="57">
        <v>46303.625</v>
      </c>
      <c r="BB198" t="s">
        <v>3942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PONOROGO</v>
      </c>
    </row>
    <row r="199" spans="1:61">
      <c r="A199">
        <v>198</v>
      </c>
      <c r="B199">
        <v>1002625595</v>
      </c>
      <c r="C199">
        <v>3</v>
      </c>
      <c r="D199" t="s">
        <v>38</v>
      </c>
      <c r="E199">
        <v>5</v>
      </c>
      <c r="F199" t="s">
        <v>92</v>
      </c>
      <c r="G199" t="s">
        <v>95</v>
      </c>
      <c r="H199" t="s">
        <v>243</v>
      </c>
      <c r="I199" t="s">
        <v>212</v>
      </c>
      <c r="J199" t="s">
        <v>213</v>
      </c>
      <c r="K199" t="s">
        <v>149</v>
      </c>
      <c r="L199" t="s">
        <v>214</v>
      </c>
      <c r="M199" t="s">
        <v>224</v>
      </c>
      <c r="N199" t="s">
        <v>215</v>
      </c>
      <c r="O199" s="57">
        <v>46302.431018518517</v>
      </c>
      <c r="P199" s="57">
        <v>46303.337326388886</v>
      </c>
      <c r="Q199">
        <v>69405561</v>
      </c>
      <c r="S199">
        <v>152604231196</v>
      </c>
      <c r="T199" t="s">
        <v>3943</v>
      </c>
      <c r="U199" t="s">
        <v>3944</v>
      </c>
      <c r="V199" t="s">
        <v>3945</v>
      </c>
      <c r="Z199">
        <v>111.461555</v>
      </c>
      <c r="AA199">
        <v>-7.8856710000000003</v>
      </c>
      <c r="AB199" t="s">
        <v>3946</v>
      </c>
      <c r="AC199" t="s">
        <v>235</v>
      </c>
      <c r="AL199" t="s">
        <v>217</v>
      </c>
      <c r="AM199" t="s">
        <v>3947</v>
      </c>
      <c r="AN199" t="s">
        <v>6</v>
      </c>
      <c r="AO199" s="57">
        <v>46213.434340277781</v>
      </c>
      <c r="AP199" s="57">
        <v>46303.333333333336</v>
      </c>
      <c r="AR199" t="s">
        <v>18</v>
      </c>
      <c r="AS199" t="s">
        <v>852</v>
      </c>
      <c r="AT199" t="s">
        <v>230</v>
      </c>
      <c r="AV199" t="s">
        <v>226</v>
      </c>
      <c r="AW199" t="s">
        <v>880</v>
      </c>
      <c r="AX199" t="s">
        <v>222</v>
      </c>
      <c r="BA199" s="57">
        <v>46303.333333333336</v>
      </c>
      <c r="BB199" t="s">
        <v>3947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PONOROGO</v>
      </c>
    </row>
    <row r="200" spans="1:61">
      <c r="A200">
        <v>199</v>
      </c>
      <c r="B200">
        <v>1002618105</v>
      </c>
      <c r="C200">
        <v>3</v>
      </c>
      <c r="D200" t="s">
        <v>38</v>
      </c>
      <c r="E200">
        <v>5</v>
      </c>
      <c r="F200" t="s">
        <v>92</v>
      </c>
      <c r="G200" t="s">
        <v>95</v>
      </c>
      <c r="H200" t="s">
        <v>243</v>
      </c>
      <c r="I200" t="s">
        <v>212</v>
      </c>
      <c r="J200" t="s">
        <v>213</v>
      </c>
      <c r="K200" t="s">
        <v>149</v>
      </c>
      <c r="M200" t="s">
        <v>76</v>
      </c>
      <c r="N200" t="s">
        <v>215</v>
      </c>
      <c r="O200" s="57">
        <v>46296.603483796294</v>
      </c>
      <c r="P200" s="57">
        <v>46296.9221875</v>
      </c>
      <c r="Q200">
        <v>69401937</v>
      </c>
      <c r="S200">
        <v>152604231180</v>
      </c>
      <c r="T200" t="s">
        <v>933</v>
      </c>
      <c r="U200" t="s">
        <v>1031</v>
      </c>
      <c r="V200" t="s">
        <v>1032</v>
      </c>
      <c r="Z200">
        <v>111.510003</v>
      </c>
      <c r="AA200">
        <v>-7.9310419999999997</v>
      </c>
      <c r="AB200" t="s">
        <v>934</v>
      </c>
      <c r="AC200" t="s">
        <v>216</v>
      </c>
      <c r="AL200" t="s">
        <v>217</v>
      </c>
      <c r="AM200" t="s">
        <v>1033</v>
      </c>
      <c r="AN200" t="s">
        <v>6</v>
      </c>
      <c r="AO200" s="57">
        <v>46032.611296296294</v>
      </c>
      <c r="AR200" t="s">
        <v>218</v>
      </c>
      <c r="AS200" t="s">
        <v>852</v>
      </c>
      <c r="AT200" t="s">
        <v>230</v>
      </c>
      <c r="AU200">
        <v>20261001</v>
      </c>
      <c r="AV200" t="s">
        <v>221</v>
      </c>
      <c r="AW200" t="s">
        <v>540</v>
      </c>
      <c r="AX200" t="s">
        <v>222</v>
      </c>
      <c r="BA200" s="57">
        <v>46296.291666666664</v>
      </c>
      <c r="BB200" t="s">
        <v>1033</v>
      </c>
      <c r="BC200">
        <v>2026</v>
      </c>
      <c r="BD200">
        <v>10</v>
      </c>
      <c r="BE200">
        <v>1</v>
      </c>
      <c r="BF200" s="6">
        <f t="shared" si="9"/>
        <v>46296</v>
      </c>
      <c r="BG200">
        <f t="shared" si="10"/>
        <v>-0.29166666666424135</v>
      </c>
      <c r="BH200" t="str">
        <f t="shared" si="11"/>
        <v>COMPLY</v>
      </c>
      <c r="BI200" t="str">
        <f>VLOOKUP(H200,Sheet2!$A$1:$B$270,2,FALSE)</f>
        <v>PONOROGO</v>
      </c>
    </row>
    <row r="201" spans="1:61">
      <c r="A201">
        <v>200</v>
      </c>
      <c r="B201">
        <v>1002619458</v>
      </c>
      <c r="C201">
        <v>3</v>
      </c>
      <c r="D201" t="s">
        <v>38</v>
      </c>
      <c r="E201">
        <v>5</v>
      </c>
      <c r="F201" t="s">
        <v>92</v>
      </c>
      <c r="G201" t="s">
        <v>95</v>
      </c>
      <c r="H201" t="s">
        <v>243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46297.459421296298</v>
      </c>
      <c r="P201" s="57">
        <v>46299.686041666668</v>
      </c>
      <c r="Q201">
        <v>69402915</v>
      </c>
      <c r="S201">
        <v>152604231181</v>
      </c>
      <c r="T201" t="s">
        <v>1727</v>
      </c>
      <c r="U201" t="s">
        <v>1728</v>
      </c>
      <c r="V201" t="s">
        <v>1729</v>
      </c>
      <c r="Z201">
        <v>111.469336</v>
      </c>
      <c r="AA201">
        <v>-7.7819950000000002</v>
      </c>
      <c r="AB201" t="s">
        <v>1730</v>
      </c>
      <c r="AC201" t="s">
        <v>235</v>
      </c>
      <c r="AL201" t="s">
        <v>217</v>
      </c>
      <c r="AM201" t="s">
        <v>1731</v>
      </c>
      <c r="AN201" t="s">
        <v>6</v>
      </c>
      <c r="AO201" s="57">
        <v>46063.466053240743</v>
      </c>
      <c r="AP201" s="57">
        <v>46298.333333333336</v>
      </c>
      <c r="AR201" t="s">
        <v>218</v>
      </c>
      <c r="AS201" t="s">
        <v>852</v>
      </c>
      <c r="AT201" t="s">
        <v>230</v>
      </c>
      <c r="AU201">
        <v>20261004</v>
      </c>
      <c r="AV201" t="s">
        <v>221</v>
      </c>
      <c r="AW201" t="s">
        <v>878</v>
      </c>
      <c r="AX201" t="s">
        <v>222</v>
      </c>
      <c r="BA201" s="57">
        <v>46298.333333333336</v>
      </c>
      <c r="BB201" t="s">
        <v>1731</v>
      </c>
      <c r="BC201">
        <v>2026</v>
      </c>
      <c r="BD201">
        <v>10</v>
      </c>
      <c r="BE201">
        <v>4</v>
      </c>
      <c r="BF201" s="6">
        <f t="shared" si="9"/>
        <v>46299</v>
      </c>
      <c r="BG201">
        <f t="shared" si="10"/>
        <v>0.66666666666424135</v>
      </c>
      <c r="BH201" t="str">
        <f t="shared" si="11"/>
        <v>COMPLY</v>
      </c>
      <c r="BI201" t="str">
        <f>VLOOKUP(H201,Sheet2!$A$1:$B$270,2,FALSE)</f>
        <v>PONOROGO</v>
      </c>
    </row>
    <row r="202" spans="1:61">
      <c r="A202">
        <v>201</v>
      </c>
      <c r="B202">
        <v>1002620977</v>
      </c>
      <c r="C202">
        <v>3</v>
      </c>
      <c r="D202" t="s">
        <v>38</v>
      </c>
      <c r="E202">
        <v>5</v>
      </c>
      <c r="F202" t="s">
        <v>92</v>
      </c>
      <c r="G202" t="s">
        <v>95</v>
      </c>
      <c r="H202" t="s">
        <v>243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46298.551145833335</v>
      </c>
      <c r="P202" s="57">
        <v>46298.759293981479</v>
      </c>
      <c r="Q202">
        <v>69403610</v>
      </c>
      <c r="S202">
        <v>152604231106</v>
      </c>
      <c r="T202" t="s">
        <v>1732</v>
      </c>
      <c r="U202" t="s">
        <v>1733</v>
      </c>
      <c r="V202" t="s">
        <v>1734</v>
      </c>
      <c r="Z202">
        <v>111.46788060665099</v>
      </c>
      <c r="AA202">
        <v>-7.87055295521583</v>
      </c>
      <c r="AB202" t="s">
        <v>1735</v>
      </c>
      <c r="AC202" t="s">
        <v>235</v>
      </c>
      <c r="AL202" t="s">
        <v>217</v>
      </c>
      <c r="AM202" t="s">
        <v>1469</v>
      </c>
      <c r="AN202" t="s">
        <v>6</v>
      </c>
      <c r="AO202" s="57">
        <v>46091.559224537035</v>
      </c>
      <c r="AP202" s="57">
        <v>46299.458333333336</v>
      </c>
      <c r="AR202" t="s">
        <v>218</v>
      </c>
      <c r="AS202" t="s">
        <v>852</v>
      </c>
      <c r="AT202" t="s">
        <v>230</v>
      </c>
      <c r="AU202">
        <v>20261003</v>
      </c>
      <c r="AV202" t="s">
        <v>221</v>
      </c>
      <c r="AW202" t="s">
        <v>877</v>
      </c>
      <c r="AX202" t="s">
        <v>222</v>
      </c>
      <c r="BA202" s="57">
        <v>46299.458333333336</v>
      </c>
      <c r="BB202" t="s">
        <v>1469</v>
      </c>
      <c r="BC202">
        <v>2026</v>
      </c>
      <c r="BD202">
        <v>10</v>
      </c>
      <c r="BE202">
        <v>3</v>
      </c>
      <c r="BF202" s="6">
        <f t="shared" si="9"/>
        <v>46298</v>
      </c>
      <c r="BG202">
        <f t="shared" si="10"/>
        <v>-1.4583333333357587</v>
      </c>
      <c r="BH202" t="str">
        <f t="shared" si="11"/>
        <v>COMPLY</v>
      </c>
      <c r="BI202" t="str">
        <f>VLOOKUP(H202,Sheet2!$A$1:$B$270,2,FALSE)</f>
        <v>PONOROGO</v>
      </c>
    </row>
    <row r="203" spans="1:61">
      <c r="A203">
        <v>202</v>
      </c>
      <c r="B203">
        <v>1002623692</v>
      </c>
      <c r="C203">
        <v>3</v>
      </c>
      <c r="D203" t="s">
        <v>38</v>
      </c>
      <c r="E203">
        <v>5</v>
      </c>
      <c r="F203" t="s">
        <v>92</v>
      </c>
      <c r="G203" t="s">
        <v>95</v>
      </c>
      <c r="H203" t="s">
        <v>243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46301.414340277777</v>
      </c>
      <c r="P203" s="57">
        <v>46301.695428240739</v>
      </c>
      <c r="Q203">
        <v>69404759</v>
      </c>
      <c r="S203">
        <v>152604231194</v>
      </c>
      <c r="T203" t="s">
        <v>3273</v>
      </c>
      <c r="U203" t="s">
        <v>3274</v>
      </c>
      <c r="V203" t="s">
        <v>3275</v>
      </c>
      <c r="Z203">
        <v>111.4918371</v>
      </c>
      <c r="AA203">
        <v>-7.9021201999999997</v>
      </c>
      <c r="AB203" t="s">
        <v>3276</v>
      </c>
      <c r="AC203" t="s">
        <v>235</v>
      </c>
      <c r="AL203" t="s">
        <v>217</v>
      </c>
      <c r="AM203" t="s">
        <v>3277</v>
      </c>
      <c r="AN203" t="s">
        <v>6</v>
      </c>
      <c r="AO203" s="57">
        <v>46183.424027777779</v>
      </c>
      <c r="AP203" s="57">
        <v>46302.458333333336</v>
      </c>
      <c r="AR203" t="s">
        <v>218</v>
      </c>
      <c r="AS203" t="s">
        <v>852</v>
      </c>
      <c r="AT203" t="s">
        <v>230</v>
      </c>
      <c r="AU203">
        <v>20261006</v>
      </c>
      <c r="AV203" t="s">
        <v>221</v>
      </c>
      <c r="AW203" t="s">
        <v>880</v>
      </c>
      <c r="AX203" t="s">
        <v>222</v>
      </c>
      <c r="BA203" s="57">
        <v>46302.458333333336</v>
      </c>
      <c r="BB203" t="s">
        <v>3277</v>
      </c>
      <c r="BC203">
        <v>2026</v>
      </c>
      <c r="BD203">
        <v>10</v>
      </c>
      <c r="BE203">
        <v>6</v>
      </c>
      <c r="BF203" s="6">
        <f t="shared" si="9"/>
        <v>46301</v>
      </c>
      <c r="BG203">
        <f t="shared" si="10"/>
        <v>-1.4583333333357587</v>
      </c>
      <c r="BH203" t="str">
        <f t="shared" si="11"/>
        <v>COMPLY</v>
      </c>
      <c r="BI203" t="str">
        <f>VLOOKUP(H203,Sheet2!$A$1:$B$270,2,FALSE)</f>
        <v>PONOROGO</v>
      </c>
    </row>
    <row r="204" spans="1:61">
      <c r="A204">
        <v>203</v>
      </c>
      <c r="B204">
        <v>1002625921</v>
      </c>
      <c r="C204">
        <v>3</v>
      </c>
      <c r="D204" t="s">
        <v>38</v>
      </c>
      <c r="E204">
        <v>5</v>
      </c>
      <c r="F204" t="s">
        <v>92</v>
      </c>
      <c r="G204" t="s">
        <v>95</v>
      </c>
      <c r="H204" t="s">
        <v>243</v>
      </c>
      <c r="I204" t="s">
        <v>212</v>
      </c>
      <c r="J204" t="s">
        <v>213</v>
      </c>
      <c r="K204" t="s">
        <v>149</v>
      </c>
      <c r="L204" t="s">
        <v>214</v>
      </c>
      <c r="M204" t="s">
        <v>76</v>
      </c>
      <c r="N204" t="s">
        <v>215</v>
      </c>
      <c r="O204" s="57">
        <v>46302.501886574071</v>
      </c>
      <c r="P204" s="57">
        <v>46302.73537037037</v>
      </c>
      <c r="Q204">
        <v>69405737</v>
      </c>
      <c r="S204">
        <v>152604231202</v>
      </c>
      <c r="T204" t="s">
        <v>3948</v>
      </c>
      <c r="U204" t="s">
        <v>3949</v>
      </c>
      <c r="V204" t="s">
        <v>3950</v>
      </c>
      <c r="Z204">
        <v>111.509821039983</v>
      </c>
      <c r="AA204">
        <v>-7.8035498504611898</v>
      </c>
      <c r="AB204" t="s">
        <v>3951</v>
      </c>
      <c r="AC204" t="s">
        <v>216</v>
      </c>
      <c r="AL204" t="s">
        <v>217</v>
      </c>
      <c r="AM204" t="s">
        <v>3952</v>
      </c>
      <c r="AN204" t="s">
        <v>6</v>
      </c>
      <c r="AO204" s="57">
        <v>46213.507164351853</v>
      </c>
      <c r="AP204" s="57">
        <v>46303.333333333336</v>
      </c>
      <c r="AR204" t="s">
        <v>218</v>
      </c>
      <c r="AS204" t="s">
        <v>852</v>
      </c>
      <c r="AT204" t="s">
        <v>342</v>
      </c>
      <c r="AU204">
        <v>20261007</v>
      </c>
      <c r="AV204" t="s">
        <v>221</v>
      </c>
      <c r="AW204" t="s">
        <v>3953</v>
      </c>
      <c r="AX204" t="s">
        <v>222</v>
      </c>
      <c r="BA204" s="57">
        <v>46303.333333333336</v>
      </c>
      <c r="BB204" t="s">
        <v>3952</v>
      </c>
      <c r="BC204">
        <v>2026</v>
      </c>
      <c r="BD204">
        <v>10</v>
      </c>
      <c r="BE204">
        <v>7</v>
      </c>
      <c r="BF204" s="6">
        <f t="shared" si="9"/>
        <v>46302</v>
      </c>
      <c r="BG204">
        <f t="shared" si="10"/>
        <v>-1.3333333333357587</v>
      </c>
      <c r="BH204" t="str">
        <f t="shared" si="11"/>
        <v>COMPLY</v>
      </c>
      <c r="BI204" t="str">
        <f>VLOOKUP(H204,Sheet2!$A$1:$B$270,2,FALSE)</f>
        <v>PONOROGO</v>
      </c>
    </row>
    <row r="205" spans="1:61">
      <c r="A205">
        <v>204</v>
      </c>
      <c r="B205">
        <v>1002626146</v>
      </c>
      <c r="C205">
        <v>3</v>
      </c>
      <c r="D205" t="s">
        <v>38</v>
      </c>
      <c r="E205">
        <v>5</v>
      </c>
      <c r="F205" t="s">
        <v>92</v>
      </c>
      <c r="G205" t="s">
        <v>95</v>
      </c>
      <c r="H205" t="s">
        <v>243</v>
      </c>
      <c r="I205" t="s">
        <v>212</v>
      </c>
      <c r="J205" t="s">
        <v>213</v>
      </c>
      <c r="K205" t="s">
        <v>149</v>
      </c>
      <c r="L205" t="s">
        <v>214</v>
      </c>
      <c r="M205" t="s">
        <v>76</v>
      </c>
      <c r="N205" t="s">
        <v>215</v>
      </c>
      <c r="O205" s="57">
        <v>46302.563587962963</v>
      </c>
      <c r="P205" s="57">
        <v>46302.87263888889</v>
      </c>
      <c r="Q205">
        <v>69405868</v>
      </c>
      <c r="S205">
        <v>152604231199</v>
      </c>
      <c r="T205" t="s">
        <v>1722</v>
      </c>
      <c r="U205" t="s">
        <v>1723</v>
      </c>
      <c r="V205" t="s">
        <v>3954</v>
      </c>
      <c r="Z205">
        <v>111.450885</v>
      </c>
      <c r="AA205">
        <v>-7.9281430000000004</v>
      </c>
      <c r="AB205" t="s">
        <v>3955</v>
      </c>
      <c r="AC205" t="s">
        <v>235</v>
      </c>
      <c r="AL205" t="s">
        <v>217</v>
      </c>
      <c r="AM205" t="s">
        <v>3956</v>
      </c>
      <c r="AN205" t="s">
        <v>6</v>
      </c>
      <c r="AO205" s="57">
        <v>46213.56962962963</v>
      </c>
      <c r="AP205" s="57">
        <v>46303.458333333336</v>
      </c>
      <c r="AR205" t="s">
        <v>218</v>
      </c>
      <c r="AS205" t="s">
        <v>852</v>
      </c>
      <c r="AT205" t="s">
        <v>342</v>
      </c>
      <c r="AU205">
        <v>20261007</v>
      </c>
      <c r="AV205" t="s">
        <v>221</v>
      </c>
      <c r="AW205" t="s">
        <v>1904</v>
      </c>
      <c r="AX205" t="s">
        <v>222</v>
      </c>
      <c r="BA205" s="57">
        <v>46303.458333333336</v>
      </c>
      <c r="BB205" t="s">
        <v>3956</v>
      </c>
      <c r="BC205">
        <v>2026</v>
      </c>
      <c r="BD205">
        <v>10</v>
      </c>
      <c r="BE205">
        <v>7</v>
      </c>
      <c r="BF205" s="6">
        <f t="shared" si="9"/>
        <v>46302</v>
      </c>
      <c r="BG205">
        <f t="shared" si="10"/>
        <v>-1.4583333333357587</v>
      </c>
      <c r="BH205" t="str">
        <f t="shared" si="11"/>
        <v>COMPLY</v>
      </c>
      <c r="BI205" t="str">
        <f>VLOOKUP(H205,Sheet2!$A$1:$B$270,2,FALSE)</f>
        <v>PONOROGO</v>
      </c>
    </row>
    <row r="206" spans="1:61">
      <c r="A206">
        <v>205</v>
      </c>
      <c r="B206">
        <v>1002626064</v>
      </c>
      <c r="C206">
        <v>3</v>
      </c>
      <c r="D206" t="s">
        <v>38</v>
      </c>
      <c r="E206">
        <v>5</v>
      </c>
      <c r="F206" t="s">
        <v>92</v>
      </c>
      <c r="G206" t="s">
        <v>95</v>
      </c>
      <c r="H206" t="s">
        <v>243</v>
      </c>
      <c r="I206" t="s">
        <v>212</v>
      </c>
      <c r="J206" t="s">
        <v>213</v>
      </c>
      <c r="K206" t="s">
        <v>149</v>
      </c>
      <c r="L206" t="s">
        <v>214</v>
      </c>
      <c r="M206" t="s">
        <v>76</v>
      </c>
      <c r="N206" t="s">
        <v>215</v>
      </c>
      <c r="O206" s="57">
        <v>46302.5469212963</v>
      </c>
      <c r="P206" s="57">
        <v>46302.762627314813</v>
      </c>
      <c r="Q206">
        <v>69405817</v>
      </c>
      <c r="S206">
        <v>152604231112</v>
      </c>
      <c r="T206" t="s">
        <v>3948</v>
      </c>
      <c r="U206" t="s">
        <v>3949</v>
      </c>
      <c r="V206" t="s">
        <v>3957</v>
      </c>
      <c r="Z206">
        <v>111.50673759713401</v>
      </c>
      <c r="AA206">
        <v>-7.8026371637867102</v>
      </c>
      <c r="AB206" t="s">
        <v>3958</v>
      </c>
      <c r="AC206" t="s">
        <v>216</v>
      </c>
      <c r="AL206" t="s">
        <v>217</v>
      </c>
      <c r="AM206" t="s">
        <v>3821</v>
      </c>
      <c r="AN206" t="s">
        <v>6</v>
      </c>
      <c r="AO206" s="57">
        <v>46213.549027777779</v>
      </c>
      <c r="AP206" s="57">
        <v>46303.458333333336</v>
      </c>
      <c r="AR206" t="s">
        <v>218</v>
      </c>
      <c r="AS206" t="s">
        <v>852</v>
      </c>
      <c r="AT206" t="s">
        <v>342</v>
      </c>
      <c r="AU206">
        <v>20261007</v>
      </c>
      <c r="AV206" t="s">
        <v>221</v>
      </c>
      <c r="AW206" t="s">
        <v>1904</v>
      </c>
      <c r="AX206" t="s">
        <v>222</v>
      </c>
      <c r="BA206" s="57">
        <v>46303.458333333336</v>
      </c>
      <c r="BB206" t="s">
        <v>3821</v>
      </c>
      <c r="BC206">
        <v>2026</v>
      </c>
      <c r="BD206">
        <v>10</v>
      </c>
      <c r="BE206">
        <v>7</v>
      </c>
      <c r="BF206" s="6">
        <f t="shared" si="9"/>
        <v>46302</v>
      </c>
      <c r="BG206">
        <f>BF206-BA206</f>
        <v>-1.4583333333357587</v>
      </c>
      <c r="BH206" t="str">
        <f t="shared" si="11"/>
        <v>COMPLY</v>
      </c>
      <c r="BI206" t="str">
        <f>VLOOKUP(H206,Sheet2!$A$1:$B$270,2,FALSE)</f>
        <v>PONOROGO</v>
      </c>
    </row>
    <row r="207" spans="1:61">
      <c r="A207">
        <v>206</v>
      </c>
      <c r="B207">
        <v>1002625356</v>
      </c>
      <c r="C207">
        <v>3</v>
      </c>
      <c r="D207" t="s">
        <v>38</v>
      </c>
      <c r="E207">
        <v>5</v>
      </c>
      <c r="F207" t="s">
        <v>92</v>
      </c>
      <c r="G207" t="s">
        <v>95</v>
      </c>
      <c r="H207" t="s">
        <v>243</v>
      </c>
      <c r="I207" t="s">
        <v>212</v>
      </c>
      <c r="J207" t="s">
        <v>213</v>
      </c>
      <c r="K207" t="s">
        <v>149</v>
      </c>
      <c r="L207" t="s">
        <v>214</v>
      </c>
      <c r="M207" t="s">
        <v>2117</v>
      </c>
      <c r="N207" t="s">
        <v>215</v>
      </c>
      <c r="O207" s="57">
        <v>46302.376550925925</v>
      </c>
      <c r="P207" s="57">
        <v>46302.550023148149</v>
      </c>
      <c r="Q207">
        <v>69403259</v>
      </c>
      <c r="T207" t="s">
        <v>1722</v>
      </c>
      <c r="V207" t="s">
        <v>1724</v>
      </c>
      <c r="Z207">
        <v>111.450863</v>
      </c>
      <c r="AA207">
        <v>-7.9282899999999996</v>
      </c>
      <c r="AB207" t="s">
        <v>1725</v>
      </c>
      <c r="AC207" t="s">
        <v>235</v>
      </c>
      <c r="AL207" t="s">
        <v>217</v>
      </c>
      <c r="AM207" t="s">
        <v>1726</v>
      </c>
      <c r="AN207" t="s">
        <v>6</v>
      </c>
      <c r="AO207" s="57">
        <v>46213.392731481479</v>
      </c>
      <c r="AP207" s="57">
        <v>46300</v>
      </c>
      <c r="AR207" t="s">
        <v>543</v>
      </c>
      <c r="AS207" t="s">
        <v>852</v>
      </c>
      <c r="AT207" t="s">
        <v>230</v>
      </c>
      <c r="AV207" t="s">
        <v>2122</v>
      </c>
      <c r="AW207" t="s">
        <v>880</v>
      </c>
      <c r="AX207" t="s">
        <v>222</v>
      </c>
      <c r="BA207" s="57">
        <v>46300.333333333336</v>
      </c>
      <c r="BB207" t="s">
        <v>1726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PONOROGO</v>
      </c>
    </row>
    <row r="208" spans="1:61">
      <c r="A208">
        <v>207</v>
      </c>
      <c r="B208">
        <v>1002620259</v>
      </c>
      <c r="C208">
        <v>3</v>
      </c>
      <c r="D208" t="s">
        <v>38</v>
      </c>
      <c r="E208">
        <v>5</v>
      </c>
      <c r="F208" t="s">
        <v>92</v>
      </c>
      <c r="G208" t="s">
        <v>95</v>
      </c>
      <c r="H208" t="s">
        <v>243</v>
      </c>
      <c r="I208" t="s">
        <v>212</v>
      </c>
      <c r="J208" t="s">
        <v>213</v>
      </c>
      <c r="K208" t="s">
        <v>149</v>
      </c>
      <c r="L208" t="s">
        <v>214</v>
      </c>
      <c r="M208" t="s">
        <v>1921</v>
      </c>
      <c r="N208" t="s">
        <v>215</v>
      </c>
      <c r="O208" s="57">
        <v>46297.643506944441</v>
      </c>
      <c r="P208" s="57">
        <v>46302.377002314817</v>
      </c>
      <c r="Q208">
        <v>69403259</v>
      </c>
      <c r="S208">
        <v>152604231185</v>
      </c>
      <c r="T208" t="s">
        <v>1722</v>
      </c>
      <c r="U208" t="s">
        <v>1723</v>
      </c>
      <c r="V208" t="s">
        <v>1724</v>
      </c>
      <c r="Z208">
        <v>111.450999</v>
      </c>
      <c r="AA208">
        <v>-7.928026</v>
      </c>
      <c r="AB208" t="s">
        <v>1725</v>
      </c>
      <c r="AC208" t="s">
        <v>235</v>
      </c>
      <c r="AL208" t="s">
        <v>217</v>
      </c>
      <c r="AM208" t="s">
        <v>1726</v>
      </c>
      <c r="AN208" t="s">
        <v>6</v>
      </c>
      <c r="AO208" s="57">
        <v>46063.652951388889</v>
      </c>
      <c r="AP208" s="57">
        <v>46300.333333333336</v>
      </c>
      <c r="AQ208" t="s">
        <v>838</v>
      </c>
      <c r="AR208" t="s">
        <v>12</v>
      </c>
      <c r="AS208" t="s">
        <v>852</v>
      </c>
      <c r="AT208" t="s">
        <v>230</v>
      </c>
      <c r="AV208" t="s">
        <v>1628</v>
      </c>
      <c r="AW208" t="s">
        <v>880</v>
      </c>
      <c r="AX208" t="s">
        <v>222</v>
      </c>
      <c r="BA208" s="57">
        <v>46300.333333333336</v>
      </c>
      <c r="BB208" t="s">
        <v>1726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PONOROGO</v>
      </c>
    </row>
    <row r="209" spans="1:61">
      <c r="A209">
        <v>208</v>
      </c>
      <c r="B209">
        <v>1002619524</v>
      </c>
      <c r="C209">
        <v>3</v>
      </c>
      <c r="D209" t="s">
        <v>38</v>
      </c>
      <c r="E209">
        <v>5</v>
      </c>
      <c r="F209" t="s">
        <v>90</v>
      </c>
      <c r="G209" t="s">
        <v>96</v>
      </c>
      <c r="H209" t="s">
        <v>282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46297.472615740742</v>
      </c>
      <c r="P209" s="57">
        <v>46297.561319444445</v>
      </c>
      <c r="Q209">
        <v>69402945</v>
      </c>
      <c r="S209">
        <v>152608207578</v>
      </c>
      <c r="T209" t="s">
        <v>1737</v>
      </c>
      <c r="U209" t="s">
        <v>1738</v>
      </c>
      <c r="V209" t="s">
        <v>1739</v>
      </c>
      <c r="Z209">
        <v>111.680812386136</v>
      </c>
      <c r="AA209">
        <v>-8.0544064244476008</v>
      </c>
      <c r="AB209" t="s">
        <v>1740</v>
      </c>
      <c r="AC209" t="s">
        <v>235</v>
      </c>
      <c r="AL209" t="s">
        <v>217</v>
      </c>
      <c r="AM209" t="s">
        <v>1741</v>
      </c>
      <c r="AN209" t="s">
        <v>6</v>
      </c>
      <c r="AO209" s="57">
        <v>46063.475972222222</v>
      </c>
      <c r="AP209" s="57">
        <v>46298.333333333336</v>
      </c>
      <c r="AR209" t="s">
        <v>218</v>
      </c>
      <c r="AS209" t="s">
        <v>96</v>
      </c>
      <c r="AT209" t="s">
        <v>230</v>
      </c>
      <c r="AU209">
        <v>20261002</v>
      </c>
      <c r="AV209" t="s">
        <v>221</v>
      </c>
      <c r="AW209" t="s">
        <v>883</v>
      </c>
      <c r="AX209" t="s">
        <v>222</v>
      </c>
      <c r="BA209" s="57">
        <v>46298.333333333336</v>
      </c>
      <c r="BB209" t="s">
        <v>1741</v>
      </c>
      <c r="BC209">
        <v>2026</v>
      </c>
      <c r="BD209">
        <v>10</v>
      </c>
      <c r="BE209">
        <v>2</v>
      </c>
      <c r="BF209" s="6">
        <f t="shared" si="9"/>
        <v>46297</v>
      </c>
      <c r="BG209">
        <f t="shared" si="10"/>
        <v>-1.3333333333357587</v>
      </c>
      <c r="BH209" t="str">
        <f t="shared" si="11"/>
        <v>COMPLY</v>
      </c>
      <c r="BI209" t="str">
        <f>VLOOKUP(H209,Sheet2!$A$1:$B$270,2,FALSE)</f>
        <v>PONOROGO</v>
      </c>
    </row>
    <row r="210" spans="1:61">
      <c r="A210">
        <v>209</v>
      </c>
      <c r="B210">
        <v>1002621009</v>
      </c>
      <c r="C210">
        <v>3</v>
      </c>
      <c r="D210" t="s">
        <v>38</v>
      </c>
      <c r="E210">
        <v>5</v>
      </c>
      <c r="F210" t="s">
        <v>90</v>
      </c>
      <c r="G210" t="s">
        <v>96</v>
      </c>
      <c r="H210" t="s">
        <v>282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46298.574074074073</v>
      </c>
      <c r="P210" s="57">
        <v>46299.477696759262</v>
      </c>
      <c r="Q210">
        <v>69403628</v>
      </c>
      <c r="S210">
        <v>152608207758</v>
      </c>
      <c r="T210" t="s">
        <v>1742</v>
      </c>
      <c r="U210" t="s">
        <v>1743</v>
      </c>
      <c r="V210" t="s">
        <v>1744</v>
      </c>
      <c r="Z210">
        <v>111.702847480773</v>
      </c>
      <c r="AA210">
        <v>-8.1169431193209505</v>
      </c>
      <c r="AB210" t="s">
        <v>1745</v>
      </c>
      <c r="AC210" t="s">
        <v>235</v>
      </c>
      <c r="AL210" t="s">
        <v>217</v>
      </c>
      <c r="AM210" t="s">
        <v>1746</v>
      </c>
      <c r="AN210" t="s">
        <v>6</v>
      </c>
      <c r="AO210" s="57">
        <v>46091.580358796295</v>
      </c>
      <c r="AP210" s="57">
        <v>46299.458333333336</v>
      </c>
      <c r="AR210" t="s">
        <v>218</v>
      </c>
      <c r="AS210" t="s">
        <v>96</v>
      </c>
      <c r="AT210" t="s">
        <v>230</v>
      </c>
      <c r="AU210">
        <v>20261004</v>
      </c>
      <c r="AV210" t="s">
        <v>221</v>
      </c>
      <c r="AW210" t="s">
        <v>883</v>
      </c>
      <c r="AX210" t="s">
        <v>222</v>
      </c>
      <c r="BA210" s="57">
        <v>46299.458333333336</v>
      </c>
      <c r="BB210" t="s">
        <v>1746</v>
      </c>
      <c r="BC210">
        <v>2026</v>
      </c>
      <c r="BD210">
        <v>10</v>
      </c>
      <c r="BE210">
        <v>4</v>
      </c>
      <c r="BF210" s="6">
        <f t="shared" si="9"/>
        <v>46299</v>
      </c>
      <c r="BG210">
        <f t="shared" si="10"/>
        <v>-0.45833333333575865</v>
      </c>
      <c r="BH210" t="str">
        <f t="shared" si="11"/>
        <v>COMPLY</v>
      </c>
      <c r="BI210" t="str">
        <f>VLOOKUP(H210,Sheet2!$A$1:$B$270,2,FALSE)</f>
        <v>PONOROGO</v>
      </c>
    </row>
    <row r="211" spans="1:61">
      <c r="A211">
        <v>210</v>
      </c>
      <c r="B211">
        <v>1002624715</v>
      </c>
      <c r="C211">
        <v>3</v>
      </c>
      <c r="D211" t="s">
        <v>38</v>
      </c>
      <c r="E211">
        <v>5</v>
      </c>
      <c r="F211" t="s">
        <v>90</v>
      </c>
      <c r="G211" t="s">
        <v>96</v>
      </c>
      <c r="H211" t="s">
        <v>282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46301.633055555554</v>
      </c>
      <c r="P211" s="57">
        <v>46302.692986111113</v>
      </c>
      <c r="Q211">
        <v>69405212</v>
      </c>
      <c r="S211">
        <v>152608207762</v>
      </c>
      <c r="T211" t="s">
        <v>3283</v>
      </c>
      <c r="U211" t="s">
        <v>3284</v>
      </c>
      <c r="V211" t="s">
        <v>3285</v>
      </c>
      <c r="Z211">
        <v>111.68538505807101</v>
      </c>
      <c r="AA211">
        <v>-8.0560423877890202</v>
      </c>
      <c r="AB211" t="s">
        <v>3286</v>
      </c>
      <c r="AC211" t="s">
        <v>235</v>
      </c>
      <c r="AL211" t="s">
        <v>217</v>
      </c>
      <c r="AM211" t="s">
        <v>3287</v>
      </c>
      <c r="AN211" t="s">
        <v>6</v>
      </c>
      <c r="AO211" s="57">
        <v>46183.642893518518</v>
      </c>
      <c r="AP211" s="57">
        <v>46302.625</v>
      </c>
      <c r="AR211" t="s">
        <v>218</v>
      </c>
      <c r="AS211" t="s">
        <v>96</v>
      </c>
      <c r="AT211" t="s">
        <v>342</v>
      </c>
      <c r="AU211">
        <v>20261007</v>
      </c>
      <c r="AV211" t="s">
        <v>221</v>
      </c>
      <c r="AW211" t="s">
        <v>854</v>
      </c>
      <c r="AX211" t="s">
        <v>222</v>
      </c>
      <c r="BA211" s="57">
        <v>46302.625</v>
      </c>
      <c r="BB211" t="s">
        <v>3287</v>
      </c>
      <c r="BC211">
        <v>2026</v>
      </c>
      <c r="BD211">
        <v>10</v>
      </c>
      <c r="BE211">
        <v>7</v>
      </c>
      <c r="BF211" s="6">
        <f t="shared" si="9"/>
        <v>46302</v>
      </c>
      <c r="BG211">
        <f t="shared" si="10"/>
        <v>-0.625</v>
      </c>
      <c r="BH211" t="str">
        <f t="shared" si="11"/>
        <v>COMPLY</v>
      </c>
      <c r="BI211" t="str">
        <f>VLOOKUP(H211,Sheet2!$A$1:$B$270,2,FALSE)</f>
        <v>PONOROGO</v>
      </c>
    </row>
    <row r="212" spans="1:61">
      <c r="A212">
        <v>211</v>
      </c>
      <c r="B212">
        <v>1002627037</v>
      </c>
      <c r="C212">
        <v>3</v>
      </c>
      <c r="D212" t="s">
        <v>38</v>
      </c>
      <c r="E212">
        <v>5</v>
      </c>
      <c r="F212" t="s">
        <v>90</v>
      </c>
      <c r="G212" t="s">
        <v>96</v>
      </c>
      <c r="H212" t="s">
        <v>282</v>
      </c>
      <c r="I212" t="s">
        <v>212</v>
      </c>
      <c r="J212" t="s">
        <v>213</v>
      </c>
      <c r="K212" t="s">
        <v>149</v>
      </c>
      <c r="L212" t="s">
        <v>214</v>
      </c>
      <c r="M212" t="s">
        <v>238</v>
      </c>
      <c r="N212" t="s">
        <v>215</v>
      </c>
      <c r="O212" s="57">
        <v>46303.351099537038</v>
      </c>
      <c r="P212" s="57">
        <v>46303.352789351855</v>
      </c>
      <c r="Q212">
        <v>69406198</v>
      </c>
      <c r="S212">
        <v>152608208117</v>
      </c>
      <c r="T212" t="s">
        <v>3959</v>
      </c>
      <c r="U212" t="s">
        <v>3960</v>
      </c>
      <c r="V212" t="s">
        <v>3961</v>
      </c>
      <c r="Z212">
        <v>111.7098003</v>
      </c>
      <c r="AA212">
        <v>-7.9373844999999896</v>
      </c>
      <c r="AB212" t="s">
        <v>3962</v>
      </c>
      <c r="AC212" t="s">
        <v>235</v>
      </c>
      <c r="AL212" t="s">
        <v>217</v>
      </c>
      <c r="AM212" t="s">
        <v>3963</v>
      </c>
      <c r="AN212" t="s">
        <v>6</v>
      </c>
      <c r="AO212" s="57">
        <v>46244.361608796295</v>
      </c>
      <c r="AP212" s="57">
        <v>46304.333333333336</v>
      </c>
      <c r="AR212" t="s">
        <v>239</v>
      </c>
      <c r="AS212" t="s">
        <v>96</v>
      </c>
      <c r="AT212" t="s">
        <v>220</v>
      </c>
      <c r="AV212" t="s">
        <v>238</v>
      </c>
      <c r="AW212" t="s">
        <v>3964</v>
      </c>
      <c r="AX212" t="s">
        <v>222</v>
      </c>
      <c r="BA212" s="57">
        <v>46304.333333333336</v>
      </c>
      <c r="BB212" t="s">
        <v>3963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PONOROGO</v>
      </c>
    </row>
    <row r="213" spans="1:61">
      <c r="A213">
        <v>212</v>
      </c>
      <c r="B213">
        <v>1002627038</v>
      </c>
      <c r="C213">
        <v>3</v>
      </c>
      <c r="D213" t="s">
        <v>38</v>
      </c>
      <c r="E213">
        <v>5</v>
      </c>
      <c r="F213" t="s">
        <v>90</v>
      </c>
      <c r="G213" t="s">
        <v>96</v>
      </c>
      <c r="H213" t="s">
        <v>282</v>
      </c>
      <c r="I213" t="s">
        <v>212</v>
      </c>
      <c r="J213" t="s">
        <v>213</v>
      </c>
      <c r="K213" t="s">
        <v>149</v>
      </c>
      <c r="L213" t="s">
        <v>214</v>
      </c>
      <c r="M213" t="s">
        <v>238</v>
      </c>
      <c r="N213" t="s">
        <v>215</v>
      </c>
      <c r="O213" s="57">
        <v>46303.351157407407</v>
      </c>
      <c r="P213" s="57">
        <v>46303.352847222224</v>
      </c>
      <c r="Q213">
        <v>69406211</v>
      </c>
      <c r="S213">
        <v>152608208116</v>
      </c>
      <c r="T213" t="s">
        <v>3959</v>
      </c>
      <c r="U213" t="s">
        <v>3960</v>
      </c>
      <c r="V213" t="s">
        <v>3965</v>
      </c>
      <c r="Z213">
        <v>111.7098003</v>
      </c>
      <c r="AA213">
        <v>-7.9373844999999896</v>
      </c>
      <c r="AB213" t="s">
        <v>3966</v>
      </c>
      <c r="AC213" t="s">
        <v>235</v>
      </c>
      <c r="AL213" t="s">
        <v>217</v>
      </c>
      <c r="AM213" t="s">
        <v>3963</v>
      </c>
      <c r="AN213" t="s">
        <v>6</v>
      </c>
      <c r="AO213" s="57">
        <v>46244.361608796295</v>
      </c>
      <c r="AP213" s="57">
        <v>46304.333333333336</v>
      </c>
      <c r="AR213" t="s">
        <v>239</v>
      </c>
      <c r="AS213" t="s">
        <v>96</v>
      </c>
      <c r="AT213" t="s">
        <v>220</v>
      </c>
      <c r="AV213" t="s">
        <v>238</v>
      </c>
      <c r="AW213" t="s">
        <v>3964</v>
      </c>
      <c r="AX213" t="s">
        <v>222</v>
      </c>
      <c r="BA213" s="57">
        <v>46304.333333333336</v>
      </c>
      <c r="BB213" t="s">
        <v>3963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PONOROGO</v>
      </c>
    </row>
    <row r="214" spans="1:61">
      <c r="A214">
        <v>213</v>
      </c>
      <c r="B214">
        <v>1002619854</v>
      </c>
      <c r="C214">
        <v>3</v>
      </c>
      <c r="D214" t="s">
        <v>59</v>
      </c>
      <c r="E214">
        <v>4</v>
      </c>
      <c r="F214" t="s">
        <v>544</v>
      </c>
      <c r="G214" t="s">
        <v>798</v>
      </c>
      <c r="H214" t="s">
        <v>1747</v>
      </c>
      <c r="I214" t="s">
        <v>212</v>
      </c>
      <c r="J214" t="s">
        <v>213</v>
      </c>
      <c r="K214" t="s">
        <v>149</v>
      </c>
      <c r="M214" t="s">
        <v>1401</v>
      </c>
      <c r="N214" t="s">
        <v>563</v>
      </c>
      <c r="O214" s="57">
        <v>46297.578182870369</v>
      </c>
      <c r="P214" s="57">
        <v>46302.480474537035</v>
      </c>
      <c r="Q214">
        <v>66525052</v>
      </c>
      <c r="S214">
        <v>146143118636</v>
      </c>
      <c r="T214" t="s">
        <v>1654</v>
      </c>
      <c r="U214" t="s">
        <v>1748</v>
      </c>
      <c r="V214" t="s">
        <v>2653</v>
      </c>
      <c r="Z214">
        <v>110.153590112724</v>
      </c>
      <c r="AA214">
        <v>-7.86491983620071</v>
      </c>
      <c r="AB214" t="s">
        <v>1749</v>
      </c>
      <c r="AC214" t="s">
        <v>225</v>
      </c>
      <c r="AL214" t="s">
        <v>217</v>
      </c>
      <c r="AM214" t="s">
        <v>2654</v>
      </c>
      <c r="AN214" t="s">
        <v>6</v>
      </c>
      <c r="AO214" s="57">
        <v>46063.580127314817</v>
      </c>
      <c r="AP214" s="57">
        <v>46301.458333333336</v>
      </c>
      <c r="AR214" t="s">
        <v>14</v>
      </c>
      <c r="AS214" t="s">
        <v>1750</v>
      </c>
      <c r="AT214" t="s">
        <v>230</v>
      </c>
      <c r="AV214" t="s">
        <v>3288</v>
      </c>
      <c r="AW214" t="s">
        <v>1751</v>
      </c>
      <c r="AX214" t="s">
        <v>222</v>
      </c>
      <c r="BA214" s="57">
        <v>46301.458333333336</v>
      </c>
      <c r="BB214" t="s">
        <v>2654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:61">
      <c r="A215">
        <v>214</v>
      </c>
      <c r="B215">
        <v>1002625822</v>
      </c>
      <c r="C215">
        <v>3</v>
      </c>
      <c r="D215" t="s">
        <v>59</v>
      </c>
      <c r="E215">
        <v>4</v>
      </c>
      <c r="F215" t="s">
        <v>544</v>
      </c>
      <c r="G215" t="s">
        <v>798</v>
      </c>
      <c r="H215" t="s">
        <v>1747</v>
      </c>
      <c r="I215" t="s">
        <v>212</v>
      </c>
      <c r="J215" t="s">
        <v>213</v>
      </c>
      <c r="K215" t="s">
        <v>149</v>
      </c>
      <c r="M215" t="s">
        <v>76</v>
      </c>
      <c r="N215" t="s">
        <v>563</v>
      </c>
      <c r="O215" s="57">
        <v>46302.480486111112</v>
      </c>
      <c r="P215" s="57">
        <v>46302.515196759261</v>
      </c>
      <c r="Q215">
        <v>66525052</v>
      </c>
      <c r="S215">
        <v>146143118656</v>
      </c>
      <c r="T215" t="s">
        <v>1654</v>
      </c>
      <c r="U215" t="s">
        <v>3967</v>
      </c>
      <c r="V215" t="s">
        <v>3968</v>
      </c>
      <c r="Z215">
        <v>110.15910700000001</v>
      </c>
      <c r="AA215">
        <v>-7.8656689999999996</v>
      </c>
      <c r="AB215" t="s">
        <v>1749</v>
      </c>
      <c r="AC215" t="s">
        <v>225</v>
      </c>
      <c r="AL215" t="s">
        <v>217</v>
      </c>
      <c r="AM215" t="s">
        <v>3969</v>
      </c>
      <c r="AN215" t="s">
        <v>6</v>
      </c>
      <c r="AO215" s="57">
        <v>46213.486516203702</v>
      </c>
      <c r="AR215" t="s">
        <v>218</v>
      </c>
      <c r="AS215" t="s">
        <v>1750</v>
      </c>
      <c r="AT215" t="s">
        <v>230</v>
      </c>
      <c r="AU215">
        <v>20261007</v>
      </c>
      <c r="AV215" t="s">
        <v>221</v>
      </c>
      <c r="AW215" t="s">
        <v>540</v>
      </c>
      <c r="AX215" t="s">
        <v>222</v>
      </c>
      <c r="BA215" s="57">
        <v>46302.291666666664</v>
      </c>
      <c r="BB215" t="s">
        <v>3969</v>
      </c>
      <c r="BC215">
        <v>2026</v>
      </c>
      <c r="BD215">
        <v>10</v>
      </c>
      <c r="BE215">
        <v>7</v>
      </c>
      <c r="BF215" s="6">
        <f t="shared" si="9"/>
        <v>46302</v>
      </c>
      <c r="BG215">
        <f t="shared" si="10"/>
        <v>-0.29166666666424135</v>
      </c>
      <c r="BH215" t="str">
        <f t="shared" si="11"/>
        <v>COMPLY</v>
      </c>
      <c r="BI215" t="e">
        <f>VLOOKUP(H215,Sheet2!$A$1:$B$270,2,FALSE)</f>
        <v>#N/A</v>
      </c>
    </row>
    <row r="216" spans="1:61">
      <c r="A216">
        <v>215</v>
      </c>
      <c r="B216">
        <v>1002620574</v>
      </c>
      <c r="C216">
        <v>3</v>
      </c>
      <c r="D216" t="s">
        <v>59</v>
      </c>
      <c r="E216">
        <v>4</v>
      </c>
      <c r="F216" t="s">
        <v>544</v>
      </c>
      <c r="G216" t="s">
        <v>1752</v>
      </c>
      <c r="H216" t="s">
        <v>1753</v>
      </c>
      <c r="I216" t="s">
        <v>212</v>
      </c>
      <c r="J216" t="s">
        <v>213</v>
      </c>
      <c r="K216" t="s">
        <v>149</v>
      </c>
      <c r="M216" t="s">
        <v>76</v>
      </c>
      <c r="N216" t="s">
        <v>215</v>
      </c>
      <c r="O216" s="57">
        <v>46297.726284722223</v>
      </c>
      <c r="P216" s="57">
        <v>46298.252743055556</v>
      </c>
      <c r="Q216">
        <v>69400821</v>
      </c>
      <c r="S216">
        <v>143135115350</v>
      </c>
      <c r="T216" t="s">
        <v>890</v>
      </c>
      <c r="U216" t="s">
        <v>1754</v>
      </c>
      <c r="V216" t="s">
        <v>1755</v>
      </c>
      <c r="Z216">
        <v>110.524376</v>
      </c>
      <c r="AA216">
        <v>-7.8376840000000003</v>
      </c>
      <c r="AB216" t="s">
        <v>891</v>
      </c>
      <c r="AC216" t="s">
        <v>567</v>
      </c>
      <c r="AL216" t="s">
        <v>217</v>
      </c>
      <c r="AM216" t="s">
        <v>1756</v>
      </c>
      <c r="AN216" t="s">
        <v>6</v>
      </c>
      <c r="AO216" s="57">
        <v>46063.736041666663</v>
      </c>
      <c r="AR216" t="s">
        <v>218</v>
      </c>
      <c r="AS216" t="s">
        <v>1757</v>
      </c>
      <c r="AT216" t="s">
        <v>230</v>
      </c>
      <c r="AU216">
        <v>20261003</v>
      </c>
      <c r="AV216" t="s">
        <v>221</v>
      </c>
      <c r="AW216" t="s">
        <v>861</v>
      </c>
      <c r="AX216" t="s">
        <v>222</v>
      </c>
      <c r="BA216" s="57">
        <v>46297.291666666664</v>
      </c>
      <c r="BB216" t="s">
        <v>1756</v>
      </c>
      <c r="BC216">
        <v>2026</v>
      </c>
      <c r="BD216">
        <v>10</v>
      </c>
      <c r="BE216">
        <v>3</v>
      </c>
      <c r="BF216" s="6">
        <f t="shared" si="9"/>
        <v>46298</v>
      </c>
      <c r="BG216">
        <f t="shared" si="10"/>
        <v>0.70833333333575865</v>
      </c>
      <c r="BH216" t="str">
        <f t="shared" si="11"/>
        <v>COMPLY</v>
      </c>
      <c r="BI216" t="e">
        <f>VLOOKUP(H216,Sheet2!$A$1:$B$270,2,FALSE)</f>
        <v>#N/A</v>
      </c>
    </row>
    <row r="217" spans="1:61">
      <c r="A217">
        <v>216</v>
      </c>
      <c r="B217">
        <v>1002621285</v>
      </c>
      <c r="C217">
        <v>3</v>
      </c>
      <c r="D217" t="s">
        <v>59</v>
      </c>
      <c r="E217">
        <v>4</v>
      </c>
      <c r="F217" t="s">
        <v>544</v>
      </c>
      <c r="G217" t="s">
        <v>1752</v>
      </c>
      <c r="H217" t="s">
        <v>1753</v>
      </c>
      <c r="I217" t="s">
        <v>212</v>
      </c>
      <c r="J217" t="s">
        <v>213</v>
      </c>
      <c r="K217" t="s">
        <v>149</v>
      </c>
      <c r="M217" t="s">
        <v>76</v>
      </c>
      <c r="N217" t="s">
        <v>215</v>
      </c>
      <c r="O217" s="57">
        <v>46299.421793981484</v>
      </c>
      <c r="P217" s="57">
        <v>46301.581990740742</v>
      </c>
      <c r="Q217">
        <v>69403797</v>
      </c>
      <c r="S217">
        <v>143135115344</v>
      </c>
      <c r="T217" t="s">
        <v>1758</v>
      </c>
      <c r="U217" t="s">
        <v>1759</v>
      </c>
      <c r="V217" t="s">
        <v>1760</v>
      </c>
      <c r="Z217">
        <v>110.4004151</v>
      </c>
      <c r="AA217">
        <v>-7.9175348999999997</v>
      </c>
      <c r="AB217" t="s">
        <v>1761</v>
      </c>
      <c r="AC217" t="s">
        <v>283</v>
      </c>
      <c r="AL217" t="s">
        <v>217</v>
      </c>
      <c r="AM217" t="s">
        <v>1762</v>
      </c>
      <c r="AN217" t="s">
        <v>6</v>
      </c>
      <c r="AO217" s="57">
        <v>46122.423935185187</v>
      </c>
      <c r="AP217" s="57">
        <v>46301.333333333336</v>
      </c>
      <c r="AR217" t="s">
        <v>218</v>
      </c>
      <c r="AS217" t="s">
        <v>1757</v>
      </c>
      <c r="AT217" t="s">
        <v>230</v>
      </c>
      <c r="AU217">
        <v>20261006</v>
      </c>
      <c r="AV217" t="s">
        <v>221</v>
      </c>
      <c r="AW217" t="s">
        <v>540</v>
      </c>
      <c r="AX217" t="s">
        <v>222</v>
      </c>
      <c r="BA217" s="57">
        <v>46301.333333333336</v>
      </c>
      <c r="BB217" t="s">
        <v>1762</v>
      </c>
      <c r="BC217">
        <v>2026</v>
      </c>
      <c r="BD217">
        <v>10</v>
      </c>
      <c r="BE217">
        <v>6</v>
      </c>
      <c r="BF217" s="6">
        <f t="shared" si="9"/>
        <v>46301</v>
      </c>
      <c r="BG217">
        <f t="shared" si="10"/>
        <v>-0.33333333333575865</v>
      </c>
      <c r="BH217" t="str">
        <f t="shared" si="11"/>
        <v>COMPLY</v>
      </c>
      <c r="BI217" t="e">
        <f>VLOOKUP(H217,Sheet2!$A$1:$B$270,2,FALSE)</f>
        <v>#N/A</v>
      </c>
    </row>
    <row r="218" spans="1:61">
      <c r="A218">
        <v>217</v>
      </c>
      <c r="B218">
        <v>1002622512</v>
      </c>
      <c r="C218">
        <v>3</v>
      </c>
      <c r="D218" t="s">
        <v>59</v>
      </c>
      <c r="E218">
        <v>4</v>
      </c>
      <c r="F218" t="s">
        <v>544</v>
      </c>
      <c r="G218" t="s">
        <v>1752</v>
      </c>
      <c r="H218" t="s">
        <v>1753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46300.576782407406</v>
      </c>
      <c r="P218" s="57">
        <v>46302.50209490741</v>
      </c>
      <c r="Q218">
        <v>69404377</v>
      </c>
      <c r="S218">
        <v>143135115365</v>
      </c>
      <c r="T218" t="s">
        <v>2655</v>
      </c>
      <c r="U218" t="s">
        <v>2656</v>
      </c>
      <c r="V218" t="s">
        <v>2657</v>
      </c>
      <c r="Z218">
        <v>110.4888337</v>
      </c>
      <c r="AA218">
        <v>-8.0526675000000001</v>
      </c>
      <c r="AB218" t="s">
        <v>2658</v>
      </c>
      <c r="AC218" t="s">
        <v>235</v>
      </c>
      <c r="AL218" t="s">
        <v>217</v>
      </c>
      <c r="AM218" t="s">
        <v>2659</v>
      </c>
      <c r="AN218" t="s">
        <v>6</v>
      </c>
      <c r="AO218" s="57">
        <v>46152.601203703707</v>
      </c>
      <c r="AP218" s="57">
        <v>46302.333333333336</v>
      </c>
      <c r="AR218" t="s">
        <v>218</v>
      </c>
      <c r="AS218" t="s">
        <v>1757</v>
      </c>
      <c r="AT218" t="s">
        <v>230</v>
      </c>
      <c r="AU218">
        <v>20261007</v>
      </c>
      <c r="AV218" t="s">
        <v>221</v>
      </c>
      <c r="AW218" t="s">
        <v>880</v>
      </c>
      <c r="AX218" t="s">
        <v>222</v>
      </c>
      <c r="BA218" s="57">
        <v>46302.333333333336</v>
      </c>
      <c r="BB218" t="s">
        <v>2659</v>
      </c>
      <c r="BC218">
        <v>2026</v>
      </c>
      <c r="BD218">
        <v>10</v>
      </c>
      <c r="BE218">
        <v>7</v>
      </c>
      <c r="BF218" s="6">
        <f t="shared" si="9"/>
        <v>46302</v>
      </c>
      <c r="BG218">
        <f t="shared" si="10"/>
        <v>-0.33333333333575865</v>
      </c>
      <c r="BH218" t="str">
        <f t="shared" si="11"/>
        <v>COMPLY</v>
      </c>
      <c r="BI218" t="e">
        <f>VLOOKUP(H218,Sheet2!$A$1:$B$270,2,FALSE)</f>
        <v>#N/A</v>
      </c>
    </row>
    <row r="219" spans="1:61">
      <c r="A219">
        <v>218</v>
      </c>
      <c r="B219">
        <v>1002625674</v>
      </c>
      <c r="C219">
        <v>3</v>
      </c>
      <c r="D219" t="s">
        <v>59</v>
      </c>
      <c r="E219">
        <v>4</v>
      </c>
      <c r="F219" t="s">
        <v>544</v>
      </c>
      <c r="G219" t="s">
        <v>823</v>
      </c>
      <c r="H219" t="s">
        <v>3970</v>
      </c>
      <c r="I219" t="s">
        <v>212</v>
      </c>
      <c r="J219" t="s">
        <v>213</v>
      </c>
      <c r="K219" t="s">
        <v>149</v>
      </c>
      <c r="L219" t="s">
        <v>214</v>
      </c>
      <c r="M219" t="s">
        <v>224</v>
      </c>
      <c r="N219" t="s">
        <v>215</v>
      </c>
      <c r="O219" s="57">
        <v>46302.445532407408</v>
      </c>
      <c r="P219" s="57">
        <v>46303.343958333331</v>
      </c>
      <c r="Q219">
        <v>69405615</v>
      </c>
      <c r="S219">
        <v>146133133488</v>
      </c>
      <c r="T219" t="s">
        <v>3971</v>
      </c>
      <c r="U219" t="s">
        <v>3972</v>
      </c>
      <c r="V219" t="s">
        <v>3973</v>
      </c>
      <c r="Z219">
        <v>110.3443351</v>
      </c>
      <c r="AA219">
        <v>-7.6803337999999997</v>
      </c>
      <c r="AB219" t="s">
        <v>3974</v>
      </c>
      <c r="AC219" t="s">
        <v>235</v>
      </c>
      <c r="AL219" t="s">
        <v>217</v>
      </c>
      <c r="AM219" t="s">
        <v>3947</v>
      </c>
      <c r="AN219" t="s">
        <v>6</v>
      </c>
      <c r="AO219" s="57">
        <v>46213.455231481479</v>
      </c>
      <c r="AP219" s="57">
        <v>46303.333333333336</v>
      </c>
      <c r="AR219" t="s">
        <v>18</v>
      </c>
      <c r="AS219" t="s">
        <v>219</v>
      </c>
      <c r="AT219" t="s">
        <v>230</v>
      </c>
      <c r="AV219" t="s">
        <v>226</v>
      </c>
      <c r="AW219" t="s">
        <v>880</v>
      </c>
      <c r="AX219" t="s">
        <v>222</v>
      </c>
      <c r="BA219" s="57">
        <v>46303.333333333336</v>
      </c>
      <c r="BB219" t="s">
        <v>3947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e">
        <f>VLOOKUP(H219,Sheet2!$A$1:$B$270,2,FALSE)</f>
        <v>#N/A</v>
      </c>
    </row>
    <row r="220" spans="1:61">
      <c r="A220">
        <v>219</v>
      </c>
      <c r="B220">
        <v>1002627008</v>
      </c>
      <c r="C220">
        <v>3</v>
      </c>
      <c r="D220" t="s">
        <v>59</v>
      </c>
      <c r="E220">
        <v>4</v>
      </c>
      <c r="F220" t="s">
        <v>544</v>
      </c>
      <c r="G220" t="s">
        <v>823</v>
      </c>
      <c r="H220" t="s">
        <v>3970</v>
      </c>
      <c r="I220" t="s">
        <v>212</v>
      </c>
      <c r="J220" t="s">
        <v>213</v>
      </c>
      <c r="K220" t="s">
        <v>149</v>
      </c>
      <c r="L220" t="s">
        <v>214</v>
      </c>
      <c r="M220" t="s">
        <v>238</v>
      </c>
      <c r="N220" t="s">
        <v>215</v>
      </c>
      <c r="O220" s="57">
        <v>46303.341365740744</v>
      </c>
      <c r="P220" s="57">
        <v>46303.343078703707</v>
      </c>
      <c r="Q220">
        <v>69406207</v>
      </c>
      <c r="S220">
        <v>146133133493</v>
      </c>
      <c r="T220" t="s">
        <v>3975</v>
      </c>
      <c r="U220" t="s">
        <v>3976</v>
      </c>
      <c r="V220" t="s">
        <v>3977</v>
      </c>
      <c r="Z220">
        <v>110.322317</v>
      </c>
      <c r="AA220">
        <v>-7.7415589999999996</v>
      </c>
      <c r="AB220" t="s">
        <v>3978</v>
      </c>
      <c r="AC220" t="s">
        <v>235</v>
      </c>
      <c r="AL220" t="s">
        <v>217</v>
      </c>
      <c r="AM220" t="s">
        <v>3912</v>
      </c>
      <c r="AN220" t="s">
        <v>6</v>
      </c>
      <c r="AO220" s="57">
        <v>46244.351111111115</v>
      </c>
      <c r="AP220" s="57">
        <v>46304.333333333336</v>
      </c>
      <c r="AR220" t="s">
        <v>239</v>
      </c>
      <c r="AS220" t="s">
        <v>219</v>
      </c>
      <c r="AT220" t="s">
        <v>230</v>
      </c>
      <c r="AV220" t="s">
        <v>238</v>
      </c>
      <c r="AW220" t="s">
        <v>880</v>
      </c>
      <c r="AX220" t="s">
        <v>222</v>
      </c>
      <c r="BA220" s="57">
        <v>46304.333333333336</v>
      </c>
      <c r="BB220" t="s">
        <v>3912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e">
        <f>VLOOKUP(H220,Sheet2!$A$1:$B$270,2,FALSE)</f>
        <v>#N/A</v>
      </c>
    </row>
    <row r="221" spans="1:61">
      <c r="A221">
        <v>220</v>
      </c>
      <c r="B221">
        <v>1002619790</v>
      </c>
      <c r="C221">
        <v>3</v>
      </c>
      <c r="D221" t="s">
        <v>59</v>
      </c>
      <c r="E221">
        <v>4</v>
      </c>
      <c r="F221" t="s">
        <v>544</v>
      </c>
      <c r="G221" t="s">
        <v>564</v>
      </c>
      <c r="H221" t="s">
        <v>1763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46297.561574074076</v>
      </c>
      <c r="P221" s="57">
        <v>46298.494745370372</v>
      </c>
      <c r="Q221">
        <v>69403066</v>
      </c>
      <c r="S221">
        <v>146130139241</v>
      </c>
      <c r="T221" t="s">
        <v>1764</v>
      </c>
      <c r="U221" t="s">
        <v>1771</v>
      </c>
      <c r="V221" t="s">
        <v>1772</v>
      </c>
      <c r="Z221">
        <v>110.4014473</v>
      </c>
      <c r="AA221">
        <v>-7.7561092</v>
      </c>
      <c r="AB221" t="s">
        <v>1773</v>
      </c>
      <c r="AC221" t="s">
        <v>235</v>
      </c>
      <c r="AL221" t="s">
        <v>217</v>
      </c>
      <c r="AM221" t="s">
        <v>1774</v>
      </c>
      <c r="AN221" t="s">
        <v>6</v>
      </c>
      <c r="AO221" s="57">
        <v>46063.569363425922</v>
      </c>
      <c r="AP221" s="57">
        <v>46298.458333333336</v>
      </c>
      <c r="AR221" t="s">
        <v>218</v>
      </c>
      <c r="AS221" t="s">
        <v>1769</v>
      </c>
      <c r="AT221" t="s">
        <v>230</v>
      </c>
      <c r="AU221">
        <v>20261003</v>
      </c>
      <c r="AV221" t="s">
        <v>221</v>
      </c>
      <c r="AW221" t="s">
        <v>1770</v>
      </c>
      <c r="AX221" t="s">
        <v>222</v>
      </c>
      <c r="BA221" s="57">
        <v>46298.458333333336</v>
      </c>
      <c r="BB221" t="s">
        <v>1774</v>
      </c>
      <c r="BC221">
        <v>2026</v>
      </c>
      <c r="BD221">
        <v>10</v>
      </c>
      <c r="BE221">
        <v>3</v>
      </c>
      <c r="BF221" s="6">
        <f t="shared" si="9"/>
        <v>46298</v>
      </c>
      <c r="BG221">
        <f t="shared" si="10"/>
        <v>-0.45833333333575865</v>
      </c>
      <c r="BH221" t="str">
        <f t="shared" si="11"/>
        <v>COMPLY</v>
      </c>
      <c r="BI221" t="e">
        <f>VLOOKUP(H221,Sheet2!$A$1:$B$270,2,FALSE)</f>
        <v>#N/A</v>
      </c>
    </row>
    <row r="222" spans="1:61">
      <c r="A222">
        <v>221</v>
      </c>
      <c r="B222">
        <v>1002619746</v>
      </c>
      <c r="C222">
        <v>3</v>
      </c>
      <c r="D222" t="s">
        <v>59</v>
      </c>
      <c r="E222">
        <v>4</v>
      </c>
      <c r="F222" t="s">
        <v>544</v>
      </c>
      <c r="G222" t="s">
        <v>564</v>
      </c>
      <c r="H222" t="s">
        <v>1763</v>
      </c>
      <c r="I222" t="s">
        <v>212</v>
      </c>
      <c r="J222" t="s">
        <v>213</v>
      </c>
      <c r="K222" t="s">
        <v>149</v>
      </c>
      <c r="M222" t="s">
        <v>76</v>
      </c>
      <c r="N222" t="s">
        <v>563</v>
      </c>
      <c r="O222" s="57">
        <v>46297.553981481484</v>
      </c>
      <c r="P222" s="57">
        <v>46301.590914351851</v>
      </c>
      <c r="Q222">
        <v>66525052</v>
      </c>
      <c r="S222">
        <v>146130139224</v>
      </c>
      <c r="T222" t="s">
        <v>1654</v>
      </c>
      <c r="U222" t="s">
        <v>1775</v>
      </c>
      <c r="V222" t="s">
        <v>2660</v>
      </c>
      <c r="Z222">
        <v>110.359377637005</v>
      </c>
      <c r="AA222">
        <v>-7.8487890590002802</v>
      </c>
      <c r="AB222" t="s">
        <v>1656</v>
      </c>
      <c r="AC222" t="s">
        <v>225</v>
      </c>
      <c r="AL222" t="s">
        <v>217</v>
      </c>
      <c r="AM222" t="s">
        <v>2661</v>
      </c>
      <c r="AN222" t="s">
        <v>6</v>
      </c>
      <c r="AO222" s="57">
        <v>46063.559317129628</v>
      </c>
      <c r="AP222" s="57">
        <v>46301.458333333336</v>
      </c>
      <c r="AR222" t="s">
        <v>218</v>
      </c>
      <c r="AS222" t="s">
        <v>1769</v>
      </c>
      <c r="AT222" t="s">
        <v>230</v>
      </c>
      <c r="AU222">
        <v>20261006</v>
      </c>
      <c r="AV222" t="s">
        <v>221</v>
      </c>
      <c r="AW222" t="s">
        <v>540</v>
      </c>
      <c r="AX222" t="s">
        <v>222</v>
      </c>
      <c r="BA222" s="57">
        <v>46301.458333333336</v>
      </c>
      <c r="BB222" t="s">
        <v>2661</v>
      </c>
      <c r="BC222">
        <v>2026</v>
      </c>
      <c r="BD222">
        <v>10</v>
      </c>
      <c r="BE222">
        <v>6</v>
      </c>
      <c r="BF222" s="6">
        <f t="shared" si="9"/>
        <v>46301</v>
      </c>
      <c r="BG222">
        <f t="shared" si="10"/>
        <v>-0.45833333333575865</v>
      </c>
      <c r="BH222" t="str">
        <f t="shared" si="11"/>
        <v>COMPLY</v>
      </c>
      <c r="BI222" t="e">
        <f>VLOOKUP(H222,Sheet2!$A$1:$B$270,2,FALSE)</f>
        <v>#N/A</v>
      </c>
    </row>
    <row r="223" spans="1:61">
      <c r="A223">
        <v>222</v>
      </c>
      <c r="B223">
        <v>1002625624</v>
      </c>
      <c r="C223">
        <v>3</v>
      </c>
      <c r="D223" t="s">
        <v>59</v>
      </c>
      <c r="E223">
        <v>4</v>
      </c>
      <c r="F223" t="s">
        <v>544</v>
      </c>
      <c r="G223" t="s">
        <v>564</v>
      </c>
      <c r="H223" t="s">
        <v>1763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46302.436574074076</v>
      </c>
      <c r="P223" s="57">
        <v>46302.693564814814</v>
      </c>
      <c r="Q223">
        <v>69405589</v>
      </c>
      <c r="S223">
        <v>146130139311</v>
      </c>
      <c r="T223" t="s">
        <v>3979</v>
      </c>
      <c r="U223" t="s">
        <v>3980</v>
      </c>
      <c r="V223" t="s">
        <v>3981</v>
      </c>
      <c r="Z223">
        <v>110.385324</v>
      </c>
      <c r="AA223">
        <v>-7.7345306000000003</v>
      </c>
      <c r="AB223" t="s">
        <v>3982</v>
      </c>
      <c r="AC223" t="s">
        <v>235</v>
      </c>
      <c r="AL223" t="s">
        <v>217</v>
      </c>
      <c r="AM223" t="s">
        <v>3947</v>
      </c>
      <c r="AN223" t="s">
        <v>6</v>
      </c>
      <c r="AO223" s="57">
        <v>46213.444687499999</v>
      </c>
      <c r="AP223" s="57">
        <v>46303.333333333336</v>
      </c>
      <c r="AR223" t="s">
        <v>218</v>
      </c>
      <c r="AS223" t="s">
        <v>1769</v>
      </c>
      <c r="AT223" t="s">
        <v>230</v>
      </c>
      <c r="AU223">
        <v>20261007</v>
      </c>
      <c r="AV223" t="s">
        <v>221</v>
      </c>
      <c r="AW223" t="s">
        <v>3983</v>
      </c>
      <c r="AX223" t="s">
        <v>222</v>
      </c>
      <c r="BA223" s="57">
        <v>46303.333333333336</v>
      </c>
      <c r="BB223" t="s">
        <v>3947</v>
      </c>
      <c r="BC223">
        <v>2026</v>
      </c>
      <c r="BD223">
        <v>10</v>
      </c>
      <c r="BE223">
        <v>7</v>
      </c>
      <c r="BF223" s="6">
        <f t="shared" si="9"/>
        <v>46302</v>
      </c>
      <c r="BG223">
        <f t="shared" si="10"/>
        <v>-1.3333333333357587</v>
      </c>
      <c r="BH223" t="str">
        <f t="shared" si="11"/>
        <v>COMPLY</v>
      </c>
      <c r="BI223" t="e">
        <f>VLOOKUP(H223,Sheet2!$A$1:$B$270,2,FALSE)</f>
        <v>#N/A</v>
      </c>
    </row>
    <row r="224" spans="1:61">
      <c r="A224">
        <v>223</v>
      </c>
      <c r="B224">
        <v>1002619607</v>
      </c>
      <c r="C224">
        <v>3</v>
      </c>
      <c r="D224" t="s">
        <v>59</v>
      </c>
      <c r="E224">
        <v>4</v>
      </c>
      <c r="F224" t="s">
        <v>544</v>
      </c>
      <c r="G224" t="s">
        <v>564</v>
      </c>
      <c r="H224" t="s">
        <v>1763</v>
      </c>
      <c r="I224" t="s">
        <v>212</v>
      </c>
      <c r="J224" t="s">
        <v>213</v>
      </c>
      <c r="K224" t="s">
        <v>149</v>
      </c>
      <c r="L224" t="s">
        <v>214</v>
      </c>
      <c r="M224" t="s">
        <v>1921</v>
      </c>
      <c r="N224" t="s">
        <v>215</v>
      </c>
      <c r="O224" s="57">
        <v>46297.490682870368</v>
      </c>
      <c r="P224" s="57">
        <v>46300.459965277776</v>
      </c>
      <c r="Q224">
        <v>69402988</v>
      </c>
      <c r="S224">
        <v>146130139222</v>
      </c>
      <c r="T224" t="s">
        <v>1764</v>
      </c>
      <c r="U224" t="s">
        <v>1765</v>
      </c>
      <c r="V224" t="s">
        <v>1766</v>
      </c>
      <c r="Z224">
        <v>110.4014988</v>
      </c>
      <c r="AA224">
        <v>-7.7561086000000001</v>
      </c>
      <c r="AB224" t="s">
        <v>1767</v>
      </c>
      <c r="AC224" t="s">
        <v>235</v>
      </c>
      <c r="AL224" t="s">
        <v>217</v>
      </c>
      <c r="AM224" t="s">
        <v>1768</v>
      </c>
      <c r="AN224" t="s">
        <v>6</v>
      </c>
      <c r="AO224" s="57">
        <v>46063.507453703707</v>
      </c>
      <c r="AP224" s="57">
        <v>46298.458333333336</v>
      </c>
      <c r="AQ224" t="s">
        <v>841</v>
      </c>
      <c r="AR224" t="s">
        <v>12</v>
      </c>
      <c r="AS224" t="s">
        <v>1769</v>
      </c>
      <c r="AT224" t="s">
        <v>230</v>
      </c>
      <c r="AV224" t="s">
        <v>1628</v>
      </c>
      <c r="AW224" t="s">
        <v>1770</v>
      </c>
      <c r="AX224" t="s">
        <v>222</v>
      </c>
      <c r="BA224" s="57">
        <v>46298.458333333336</v>
      </c>
      <c r="BB224" t="s">
        <v>1768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e">
        <f>VLOOKUP(H224,Sheet2!$A$1:$B$270,2,FALSE)</f>
        <v>#N/A</v>
      </c>
    </row>
    <row r="225" spans="1:61">
      <c r="A225">
        <v>224</v>
      </c>
      <c r="B225">
        <v>1002621010</v>
      </c>
      <c r="C225">
        <v>3</v>
      </c>
      <c r="D225" t="s">
        <v>59</v>
      </c>
      <c r="E225">
        <v>4</v>
      </c>
      <c r="F225" t="s">
        <v>544</v>
      </c>
      <c r="G225" t="s">
        <v>564</v>
      </c>
      <c r="H225" t="s">
        <v>804</v>
      </c>
      <c r="I225" t="s">
        <v>212</v>
      </c>
      <c r="J225" t="s">
        <v>213</v>
      </c>
      <c r="K225" t="s">
        <v>149</v>
      </c>
      <c r="L225" t="s">
        <v>214</v>
      </c>
      <c r="M225" t="s">
        <v>1401</v>
      </c>
      <c r="N225" t="s">
        <v>215</v>
      </c>
      <c r="O225" s="57">
        <v>46298.57471064815</v>
      </c>
      <c r="P225" s="57">
        <v>46300.477384259262</v>
      </c>
      <c r="Q225">
        <v>69403630</v>
      </c>
      <c r="S225">
        <v>146113147714</v>
      </c>
      <c r="T225" t="s">
        <v>1776</v>
      </c>
      <c r="U225" t="s">
        <v>1777</v>
      </c>
      <c r="V225" t="s">
        <v>1778</v>
      </c>
      <c r="Z225">
        <v>110.36532459999999</v>
      </c>
      <c r="AA225">
        <v>-7.7608699999999997</v>
      </c>
      <c r="AB225" t="s">
        <v>1779</v>
      </c>
      <c r="AC225" t="s">
        <v>235</v>
      </c>
      <c r="AL225" t="s">
        <v>217</v>
      </c>
      <c r="AM225" t="s">
        <v>1780</v>
      </c>
      <c r="AN225" t="s">
        <v>6</v>
      </c>
      <c r="AO225" s="57">
        <v>46091.580358796295</v>
      </c>
      <c r="AP225" s="57">
        <v>46299.458333333336</v>
      </c>
      <c r="AR225" t="s">
        <v>14</v>
      </c>
      <c r="AS225" t="s">
        <v>219</v>
      </c>
      <c r="AT225" t="s">
        <v>230</v>
      </c>
      <c r="AV225" t="s">
        <v>2662</v>
      </c>
      <c r="AW225" t="s">
        <v>880</v>
      </c>
      <c r="AX225" t="s">
        <v>222</v>
      </c>
      <c r="BA225" s="57">
        <v>46299.458333333336</v>
      </c>
      <c r="BB225" t="s">
        <v>1780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:61">
      <c r="A226">
        <v>225</v>
      </c>
      <c r="B226">
        <v>1002617775</v>
      </c>
      <c r="C226">
        <v>3</v>
      </c>
      <c r="D226" t="s">
        <v>59</v>
      </c>
      <c r="E226">
        <v>4</v>
      </c>
      <c r="F226" t="s">
        <v>544</v>
      </c>
      <c r="G226" t="s">
        <v>564</v>
      </c>
      <c r="H226" t="s">
        <v>804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46296.539918981478</v>
      </c>
      <c r="P226" s="57">
        <v>46296.659224537034</v>
      </c>
      <c r="Q226">
        <v>69400815</v>
      </c>
      <c r="S226">
        <v>143113104149</v>
      </c>
      <c r="T226" t="s">
        <v>890</v>
      </c>
      <c r="U226" t="s">
        <v>1034</v>
      </c>
      <c r="V226" t="s">
        <v>1035</v>
      </c>
      <c r="Z226">
        <v>110.3636611</v>
      </c>
      <c r="AA226">
        <v>-7.7659193999999996</v>
      </c>
      <c r="AB226" t="s">
        <v>891</v>
      </c>
      <c r="AC226" t="s">
        <v>567</v>
      </c>
      <c r="AL226" t="s">
        <v>217</v>
      </c>
      <c r="AM226" t="s">
        <v>1036</v>
      </c>
      <c r="AN226" t="s">
        <v>6</v>
      </c>
      <c r="AO226" s="57">
        <v>46032.559305555558</v>
      </c>
      <c r="AR226" t="s">
        <v>218</v>
      </c>
      <c r="AS226" t="s">
        <v>219</v>
      </c>
      <c r="AT226" t="s">
        <v>230</v>
      </c>
      <c r="AU226">
        <v>20261001</v>
      </c>
      <c r="AV226" t="s">
        <v>221</v>
      </c>
      <c r="AW226" t="s">
        <v>539</v>
      </c>
      <c r="AX226" t="s">
        <v>222</v>
      </c>
      <c r="BA226" s="57">
        <v>46296.291666666664</v>
      </c>
      <c r="BB226" t="s">
        <v>1036</v>
      </c>
      <c r="BC226">
        <v>2026</v>
      </c>
      <c r="BD226">
        <v>10</v>
      </c>
      <c r="BE226">
        <v>1</v>
      </c>
      <c r="BF226" s="6">
        <f t="shared" si="9"/>
        <v>46296</v>
      </c>
      <c r="BG226">
        <f t="shared" si="10"/>
        <v>-0.29166666666424135</v>
      </c>
      <c r="BH226" t="str">
        <f t="shared" si="11"/>
        <v>COMPLY</v>
      </c>
      <c r="BI226" t="e">
        <f>VLOOKUP(H226,Sheet2!$A$1:$B$270,2,FALSE)</f>
        <v>#N/A</v>
      </c>
    </row>
    <row r="227" spans="1:61">
      <c r="A227">
        <v>226</v>
      </c>
      <c r="B227">
        <v>1002620627</v>
      </c>
      <c r="C227">
        <v>3</v>
      </c>
      <c r="D227" t="s">
        <v>59</v>
      </c>
      <c r="E227">
        <v>4</v>
      </c>
      <c r="F227" t="s">
        <v>544</v>
      </c>
      <c r="G227" t="s">
        <v>564</v>
      </c>
      <c r="H227" t="s">
        <v>804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46297.759432870371</v>
      </c>
      <c r="P227" s="57">
        <v>46299.291527777779</v>
      </c>
      <c r="Q227">
        <v>69403389</v>
      </c>
      <c r="S227">
        <v>146113147717</v>
      </c>
      <c r="T227" t="s">
        <v>1781</v>
      </c>
      <c r="U227" t="s">
        <v>1782</v>
      </c>
      <c r="V227" t="s">
        <v>1783</v>
      </c>
      <c r="Z227">
        <v>110.372945528836</v>
      </c>
      <c r="AA227">
        <v>-7.7803581842852303</v>
      </c>
      <c r="AB227" t="s">
        <v>1784</v>
      </c>
      <c r="AC227" t="s">
        <v>235</v>
      </c>
      <c r="AL227" t="s">
        <v>217</v>
      </c>
      <c r="AM227" t="s">
        <v>1785</v>
      </c>
      <c r="AN227" t="s">
        <v>6</v>
      </c>
      <c r="AO227" s="57">
        <v>46063.767569444448</v>
      </c>
      <c r="AP227" s="57">
        <v>46298.625</v>
      </c>
      <c r="AR227" t="s">
        <v>218</v>
      </c>
      <c r="AS227" t="s">
        <v>219</v>
      </c>
      <c r="AT227" t="s">
        <v>230</v>
      </c>
      <c r="AU227">
        <v>20261004</v>
      </c>
      <c r="AV227" t="s">
        <v>221</v>
      </c>
      <c r="AW227" t="s">
        <v>877</v>
      </c>
      <c r="AX227" t="s">
        <v>222</v>
      </c>
      <c r="BA227" s="57">
        <v>46298.625</v>
      </c>
      <c r="BB227" t="s">
        <v>1785</v>
      </c>
      <c r="BC227">
        <v>2026</v>
      </c>
      <c r="BD227">
        <v>10</v>
      </c>
      <c r="BE227">
        <v>4</v>
      </c>
      <c r="BF227" s="6">
        <f t="shared" si="9"/>
        <v>46299</v>
      </c>
      <c r="BG227">
        <f t="shared" si="10"/>
        <v>0.375</v>
      </c>
      <c r="BH227" t="str">
        <f t="shared" si="11"/>
        <v>COMPLY</v>
      </c>
      <c r="BI227" t="e">
        <f>VLOOKUP(H227,Sheet2!$A$1:$B$270,2,FALSE)</f>
        <v>#N/A</v>
      </c>
    </row>
    <row r="228" spans="1:61">
      <c r="A228">
        <v>227</v>
      </c>
      <c r="B228">
        <v>1002622168</v>
      </c>
      <c r="C228">
        <v>3</v>
      </c>
      <c r="D228" t="s">
        <v>59</v>
      </c>
      <c r="E228">
        <v>4</v>
      </c>
      <c r="F228" t="s">
        <v>544</v>
      </c>
      <c r="G228" t="s">
        <v>564</v>
      </c>
      <c r="H228" t="s">
        <v>804</v>
      </c>
      <c r="I228" t="s">
        <v>212</v>
      </c>
      <c r="J228" t="s">
        <v>213</v>
      </c>
      <c r="K228" t="s">
        <v>149</v>
      </c>
      <c r="M228" t="s">
        <v>76</v>
      </c>
      <c r="N228" t="s">
        <v>215</v>
      </c>
      <c r="O228" s="57">
        <v>46300.477384259262</v>
      </c>
      <c r="P228" s="57">
        <v>46300.65315972222</v>
      </c>
      <c r="Q228">
        <v>69403630</v>
      </c>
      <c r="S228">
        <v>146113147730</v>
      </c>
      <c r="T228" t="s">
        <v>1776</v>
      </c>
      <c r="U228" t="s">
        <v>2663</v>
      </c>
      <c r="V228" t="s">
        <v>2664</v>
      </c>
      <c r="Z228">
        <v>110.365796769173</v>
      </c>
      <c r="AA228">
        <v>-7.7612480389433003</v>
      </c>
      <c r="AB228" t="s">
        <v>1779</v>
      </c>
      <c r="AC228" t="s">
        <v>283</v>
      </c>
      <c r="AL228" t="s">
        <v>217</v>
      </c>
      <c r="AM228" t="s">
        <v>2665</v>
      </c>
      <c r="AN228" t="s">
        <v>6</v>
      </c>
      <c r="AO228" s="57">
        <v>46152.486157407409</v>
      </c>
      <c r="AR228" t="s">
        <v>218</v>
      </c>
      <c r="AS228" t="s">
        <v>219</v>
      </c>
      <c r="AT228" t="s">
        <v>230</v>
      </c>
      <c r="AU228">
        <v>20261005</v>
      </c>
      <c r="AV228" t="s">
        <v>221</v>
      </c>
      <c r="AW228" t="s">
        <v>1987</v>
      </c>
      <c r="AX228" t="s">
        <v>222</v>
      </c>
      <c r="BA228" s="57">
        <v>46300.291666666664</v>
      </c>
      <c r="BB228" t="s">
        <v>2665</v>
      </c>
      <c r="BC228">
        <v>2026</v>
      </c>
      <c r="BD228">
        <v>10</v>
      </c>
      <c r="BE228">
        <v>5</v>
      </c>
      <c r="BF228" s="6">
        <f t="shared" si="9"/>
        <v>46300</v>
      </c>
      <c r="BG228">
        <f t="shared" si="10"/>
        <v>-0.29166666666424135</v>
      </c>
      <c r="BH228" t="str">
        <f t="shared" si="11"/>
        <v>COMPLY</v>
      </c>
      <c r="BI228" t="e">
        <f>VLOOKUP(H228,Sheet2!$A$1:$B$270,2,FALSE)</f>
        <v>#N/A</v>
      </c>
    </row>
    <row r="229" spans="1:61">
      <c r="A229">
        <v>228</v>
      </c>
      <c r="B229">
        <v>1002623543</v>
      </c>
      <c r="C229">
        <v>3</v>
      </c>
      <c r="D229" t="s">
        <v>59</v>
      </c>
      <c r="E229">
        <v>4</v>
      </c>
      <c r="F229" t="s">
        <v>544</v>
      </c>
      <c r="G229" t="s">
        <v>564</v>
      </c>
      <c r="H229" t="s">
        <v>804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46301.383356481485</v>
      </c>
      <c r="P229" s="57">
        <v>46302.629930555559</v>
      </c>
      <c r="Q229">
        <v>69404725</v>
      </c>
      <c r="S229">
        <v>146113147780</v>
      </c>
      <c r="T229" t="s">
        <v>3289</v>
      </c>
      <c r="U229" t="s">
        <v>3984</v>
      </c>
      <c r="V229" t="s">
        <v>3290</v>
      </c>
      <c r="Z229">
        <v>110.38149660000001</v>
      </c>
      <c r="AA229">
        <v>-7.7583415999999996</v>
      </c>
      <c r="AB229" t="s">
        <v>3291</v>
      </c>
      <c r="AC229" t="s">
        <v>225</v>
      </c>
      <c r="AL229" t="s">
        <v>217</v>
      </c>
      <c r="AM229" t="s">
        <v>3292</v>
      </c>
      <c r="AN229" t="s">
        <v>6</v>
      </c>
      <c r="AO229" s="57">
        <v>46183.392407407409</v>
      </c>
      <c r="AP229" s="57">
        <v>46303.333333333336</v>
      </c>
      <c r="AR229" t="s">
        <v>218</v>
      </c>
      <c r="AS229" t="s">
        <v>219</v>
      </c>
      <c r="AT229" t="s">
        <v>230</v>
      </c>
      <c r="AU229">
        <v>20261007</v>
      </c>
      <c r="AV229" t="s">
        <v>221</v>
      </c>
      <c r="AW229" t="s">
        <v>540</v>
      </c>
      <c r="AX229" t="s">
        <v>222</v>
      </c>
      <c r="BA229" s="57">
        <v>46303.333333333336</v>
      </c>
      <c r="BB229" t="s">
        <v>3292</v>
      </c>
      <c r="BC229">
        <v>2026</v>
      </c>
      <c r="BD229">
        <v>10</v>
      </c>
      <c r="BE229">
        <v>7</v>
      </c>
      <c r="BF229" s="6">
        <f t="shared" si="9"/>
        <v>46302</v>
      </c>
      <c r="BG229">
        <f t="shared" si="10"/>
        <v>-1.3333333333357587</v>
      </c>
      <c r="BH229" t="str">
        <f t="shared" si="11"/>
        <v>COMPLY</v>
      </c>
      <c r="BI229" t="e">
        <f>VLOOKUP(H229,Sheet2!$A$1:$B$270,2,FALSE)</f>
        <v>#N/A</v>
      </c>
    </row>
    <row r="230" spans="1:61">
      <c r="A230">
        <v>229</v>
      </c>
      <c r="B230">
        <v>1002626628</v>
      </c>
      <c r="C230">
        <v>3</v>
      </c>
      <c r="D230" t="s">
        <v>59</v>
      </c>
      <c r="E230">
        <v>4</v>
      </c>
      <c r="F230" t="s">
        <v>544</v>
      </c>
      <c r="G230" t="s">
        <v>564</v>
      </c>
      <c r="H230" t="s">
        <v>804</v>
      </c>
      <c r="I230" t="s">
        <v>212</v>
      </c>
      <c r="J230" t="s">
        <v>213</v>
      </c>
      <c r="K230" t="s">
        <v>149</v>
      </c>
      <c r="L230" t="s">
        <v>826</v>
      </c>
      <c r="M230" t="s">
        <v>238</v>
      </c>
      <c r="N230" t="s">
        <v>215</v>
      </c>
      <c r="O230" s="57">
        <v>46302.655972222223</v>
      </c>
      <c r="P230" s="57">
        <v>46302.656956018516</v>
      </c>
      <c r="Q230">
        <v>69406025</v>
      </c>
      <c r="R230">
        <v>2745059176</v>
      </c>
      <c r="S230">
        <v>146113147791</v>
      </c>
      <c r="T230" t="s">
        <v>1923</v>
      </c>
      <c r="U230" t="s">
        <v>3985</v>
      </c>
      <c r="V230" t="s">
        <v>3986</v>
      </c>
      <c r="Z230">
        <v>110.3616208</v>
      </c>
      <c r="AA230">
        <v>-7.7663930999999904</v>
      </c>
      <c r="AB230" t="s">
        <v>3987</v>
      </c>
      <c r="AC230" t="s">
        <v>235</v>
      </c>
      <c r="AL230" t="s">
        <v>217</v>
      </c>
      <c r="AM230" t="s">
        <v>3988</v>
      </c>
      <c r="AN230" t="s">
        <v>6</v>
      </c>
      <c r="AO230" s="57">
        <v>46213.66333333333</v>
      </c>
      <c r="AP230" s="57">
        <v>46305.333333333336</v>
      </c>
      <c r="AR230" t="s">
        <v>239</v>
      </c>
      <c r="AS230" t="s">
        <v>219</v>
      </c>
      <c r="AT230" t="s">
        <v>230</v>
      </c>
      <c r="AV230" t="s">
        <v>238</v>
      </c>
      <c r="AW230" t="s">
        <v>3989</v>
      </c>
      <c r="AX230" t="s">
        <v>222</v>
      </c>
      <c r="BA230" s="57">
        <v>46305.333333333336</v>
      </c>
      <c r="BB230" t="s">
        <v>3988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e">
        <f>VLOOKUP(H230,Sheet2!$A$1:$B$270,2,FALSE)</f>
        <v>#N/A</v>
      </c>
    </row>
    <row r="231" spans="1:61">
      <c r="A231">
        <v>230</v>
      </c>
      <c r="B231">
        <v>1002618747</v>
      </c>
      <c r="C231">
        <v>3</v>
      </c>
      <c r="D231" t="s">
        <v>59</v>
      </c>
      <c r="E231">
        <v>4</v>
      </c>
      <c r="F231" t="s">
        <v>544</v>
      </c>
      <c r="G231" t="s">
        <v>798</v>
      </c>
      <c r="H231" t="s">
        <v>801</v>
      </c>
      <c r="I231" t="s">
        <v>212</v>
      </c>
      <c r="J231" t="s">
        <v>213</v>
      </c>
      <c r="K231" t="s">
        <v>149</v>
      </c>
      <c r="L231" t="s">
        <v>214</v>
      </c>
      <c r="M231" t="s">
        <v>76</v>
      </c>
      <c r="N231" t="s">
        <v>215</v>
      </c>
      <c r="O231" s="57">
        <v>46296.735115740739</v>
      </c>
      <c r="P231" s="57">
        <v>46297.495671296296</v>
      </c>
      <c r="Q231">
        <v>69402653</v>
      </c>
      <c r="S231">
        <v>146129129175</v>
      </c>
      <c r="T231" t="s">
        <v>1037</v>
      </c>
      <c r="U231" t="s">
        <v>1038</v>
      </c>
      <c r="V231" t="s">
        <v>1039</v>
      </c>
      <c r="Z231">
        <v>110.388488</v>
      </c>
      <c r="AA231">
        <v>-7.8944103999999999</v>
      </c>
      <c r="AB231" t="s">
        <v>1040</v>
      </c>
      <c r="AC231" t="s">
        <v>235</v>
      </c>
      <c r="AL231" t="s">
        <v>217</v>
      </c>
      <c r="AM231" t="s">
        <v>1041</v>
      </c>
      <c r="AN231" t="s">
        <v>6</v>
      </c>
      <c r="AO231" s="57">
        <v>46032.736354166664</v>
      </c>
      <c r="AP231" s="57">
        <v>46298.333333333336</v>
      </c>
      <c r="AR231" t="s">
        <v>218</v>
      </c>
      <c r="AS231" t="s">
        <v>219</v>
      </c>
      <c r="AT231" t="s">
        <v>230</v>
      </c>
      <c r="AU231">
        <v>20261002</v>
      </c>
      <c r="AV231" t="s">
        <v>221</v>
      </c>
      <c r="AW231" t="s">
        <v>881</v>
      </c>
      <c r="AX231" t="s">
        <v>222</v>
      </c>
      <c r="BA231" s="57">
        <v>46298.333333333336</v>
      </c>
      <c r="BB231" t="s">
        <v>1041</v>
      </c>
      <c r="BC231">
        <v>2026</v>
      </c>
      <c r="BD231">
        <v>10</v>
      </c>
      <c r="BE231">
        <v>2</v>
      </c>
      <c r="BF231" s="6">
        <f t="shared" si="9"/>
        <v>46297</v>
      </c>
      <c r="BG231">
        <f t="shared" si="10"/>
        <v>-1.3333333333357587</v>
      </c>
      <c r="BH231" t="str">
        <f t="shared" si="11"/>
        <v>COMPLY</v>
      </c>
      <c r="BI231" t="e">
        <f>VLOOKUP(H231,Sheet2!$A$1:$B$270,2,FALSE)</f>
        <v>#N/A</v>
      </c>
    </row>
    <row r="232" spans="1:61">
      <c r="A232">
        <v>231</v>
      </c>
      <c r="B232">
        <v>1002623279</v>
      </c>
      <c r="C232">
        <v>3</v>
      </c>
      <c r="D232" t="s">
        <v>59</v>
      </c>
      <c r="E232">
        <v>4</v>
      </c>
      <c r="F232" t="s">
        <v>544</v>
      </c>
      <c r="G232" t="s">
        <v>798</v>
      </c>
      <c r="H232" t="s">
        <v>801</v>
      </c>
      <c r="I232" t="s">
        <v>212</v>
      </c>
      <c r="J232" t="s">
        <v>213</v>
      </c>
      <c r="K232" t="s">
        <v>149</v>
      </c>
      <c r="L232" t="s">
        <v>214</v>
      </c>
      <c r="M232" t="s">
        <v>76</v>
      </c>
      <c r="N232" t="s">
        <v>215</v>
      </c>
      <c r="O232" s="57">
        <v>46300.767777777779</v>
      </c>
      <c r="P232" s="57">
        <v>46301.581250000003</v>
      </c>
      <c r="Q232">
        <v>69404619</v>
      </c>
      <c r="S232">
        <v>146129129212</v>
      </c>
      <c r="T232" t="s">
        <v>2666</v>
      </c>
      <c r="U232" t="s">
        <v>2667</v>
      </c>
      <c r="V232" t="s">
        <v>2668</v>
      </c>
      <c r="Z232">
        <v>110.2965112</v>
      </c>
      <c r="AA232">
        <v>-7.8891610999999999</v>
      </c>
      <c r="AB232" t="s">
        <v>2669</v>
      </c>
      <c r="AC232" t="s">
        <v>235</v>
      </c>
      <c r="AL232" t="s">
        <v>217</v>
      </c>
      <c r="AM232" t="s">
        <v>2670</v>
      </c>
      <c r="AN232" t="s">
        <v>6</v>
      </c>
      <c r="AO232" s="57">
        <v>46152.778229166666</v>
      </c>
      <c r="AP232" s="57">
        <v>46302.333333333336</v>
      </c>
      <c r="AR232" t="s">
        <v>218</v>
      </c>
      <c r="AS232" t="s">
        <v>219</v>
      </c>
      <c r="AT232" t="s">
        <v>230</v>
      </c>
      <c r="AU232">
        <v>20261006</v>
      </c>
      <c r="AV232" t="s">
        <v>221</v>
      </c>
      <c r="AW232" t="s">
        <v>879</v>
      </c>
      <c r="AX232" t="s">
        <v>222</v>
      </c>
      <c r="BA232" s="57">
        <v>46302.333333333336</v>
      </c>
      <c r="BB232" t="s">
        <v>2670</v>
      </c>
      <c r="BC232">
        <v>2026</v>
      </c>
      <c r="BD232">
        <v>10</v>
      </c>
      <c r="BE232">
        <v>6</v>
      </c>
      <c r="BF232" s="6">
        <f t="shared" si="9"/>
        <v>46301</v>
      </c>
      <c r="BG232">
        <f t="shared" si="10"/>
        <v>-1.3333333333357587</v>
      </c>
      <c r="BH232" t="str">
        <f t="shared" si="11"/>
        <v>COMPLY</v>
      </c>
      <c r="BI232" t="e">
        <f>VLOOKUP(H232,Sheet2!$A$1:$B$270,2,FALSE)</f>
        <v>#N/A</v>
      </c>
    </row>
    <row r="233" spans="1:61">
      <c r="A233">
        <v>232</v>
      </c>
      <c r="B233">
        <v>1002625042</v>
      </c>
      <c r="C233">
        <v>3</v>
      </c>
      <c r="D233" t="s">
        <v>59</v>
      </c>
      <c r="E233">
        <v>4</v>
      </c>
      <c r="F233" t="s">
        <v>544</v>
      </c>
      <c r="G233" t="s">
        <v>798</v>
      </c>
      <c r="H233" t="s">
        <v>801</v>
      </c>
      <c r="I233" t="s">
        <v>212</v>
      </c>
      <c r="J233" t="s">
        <v>213</v>
      </c>
      <c r="K233" t="s">
        <v>149</v>
      </c>
      <c r="L233" t="s">
        <v>214</v>
      </c>
      <c r="M233" t="s">
        <v>76</v>
      </c>
      <c r="N233" t="s">
        <v>215</v>
      </c>
      <c r="O233" s="57">
        <v>46301.701099537036</v>
      </c>
      <c r="P233" s="57">
        <v>46302.615752314814</v>
      </c>
      <c r="Q233">
        <v>69405347</v>
      </c>
      <c r="S233">
        <v>146129129223</v>
      </c>
      <c r="T233" t="s">
        <v>3293</v>
      </c>
      <c r="U233" t="s">
        <v>2667</v>
      </c>
      <c r="V233" t="s">
        <v>3294</v>
      </c>
      <c r="Z233">
        <v>110.2965112</v>
      </c>
      <c r="AA233">
        <v>-7.8891610999999999</v>
      </c>
      <c r="AB233" t="s">
        <v>3295</v>
      </c>
      <c r="AC233" t="s">
        <v>235</v>
      </c>
      <c r="AL233" t="s">
        <v>217</v>
      </c>
      <c r="AM233" t="s">
        <v>3160</v>
      </c>
      <c r="AN233" t="s">
        <v>6</v>
      </c>
      <c r="AO233" s="57">
        <v>46183.705092592594</v>
      </c>
      <c r="AP233" s="57">
        <v>46302.625</v>
      </c>
      <c r="AR233" t="s">
        <v>218</v>
      </c>
      <c r="AS233" t="s">
        <v>219</v>
      </c>
      <c r="AT233" t="s">
        <v>230</v>
      </c>
      <c r="AU233">
        <v>20261007</v>
      </c>
      <c r="AV233" t="s">
        <v>221</v>
      </c>
      <c r="AW233" t="s">
        <v>879</v>
      </c>
      <c r="AX233" t="s">
        <v>222</v>
      </c>
      <c r="BA233" s="57">
        <v>46302.625</v>
      </c>
      <c r="BB233" t="s">
        <v>3160</v>
      </c>
      <c r="BC233">
        <v>2026</v>
      </c>
      <c r="BD233">
        <v>10</v>
      </c>
      <c r="BE233">
        <v>7</v>
      </c>
      <c r="BF233" s="6">
        <f t="shared" si="9"/>
        <v>46302</v>
      </c>
      <c r="BG233">
        <f t="shared" si="10"/>
        <v>-0.625</v>
      </c>
      <c r="BH233" t="str">
        <f t="shared" si="11"/>
        <v>COMPLY</v>
      </c>
      <c r="BI233" t="e">
        <f>VLOOKUP(H233,Sheet2!$A$1:$B$270,2,FALSE)</f>
        <v>#N/A</v>
      </c>
    </row>
    <row r="234" spans="1:61">
      <c r="A234">
        <v>233</v>
      </c>
      <c r="B234">
        <v>1002625247</v>
      </c>
      <c r="C234">
        <v>3</v>
      </c>
      <c r="D234" t="s">
        <v>59</v>
      </c>
      <c r="E234">
        <v>4</v>
      </c>
      <c r="F234" t="s">
        <v>544</v>
      </c>
      <c r="G234" t="s">
        <v>798</v>
      </c>
      <c r="H234" t="s">
        <v>801</v>
      </c>
      <c r="I234" t="s">
        <v>212</v>
      </c>
      <c r="J234" t="s">
        <v>213</v>
      </c>
      <c r="K234" t="s">
        <v>149</v>
      </c>
      <c r="L234" t="s">
        <v>214</v>
      </c>
      <c r="M234" t="s">
        <v>76</v>
      </c>
      <c r="N234" t="s">
        <v>215</v>
      </c>
      <c r="O234" s="57">
        <v>46302.312268518515</v>
      </c>
      <c r="P234" s="57">
        <v>46302.684918981482</v>
      </c>
      <c r="Q234">
        <v>69405419</v>
      </c>
      <c r="S234">
        <v>146129129227</v>
      </c>
      <c r="T234" t="s">
        <v>3990</v>
      </c>
      <c r="U234" t="s">
        <v>2667</v>
      </c>
      <c r="V234" t="s">
        <v>3991</v>
      </c>
      <c r="Z234">
        <v>110.2965112</v>
      </c>
      <c r="AA234">
        <v>-7.8891610999999999</v>
      </c>
      <c r="AB234" t="s">
        <v>3992</v>
      </c>
      <c r="AC234" t="s">
        <v>235</v>
      </c>
      <c r="AL234" t="s">
        <v>217</v>
      </c>
      <c r="AM234" t="s">
        <v>3805</v>
      </c>
      <c r="AN234" t="s">
        <v>6</v>
      </c>
      <c r="AO234" s="57">
        <v>46213.319502314815</v>
      </c>
      <c r="AP234" s="57">
        <v>46303.458333333336</v>
      </c>
      <c r="AR234" t="s">
        <v>218</v>
      </c>
      <c r="AS234" t="s">
        <v>219</v>
      </c>
      <c r="AT234" t="s">
        <v>230</v>
      </c>
      <c r="AU234">
        <v>20261007</v>
      </c>
      <c r="AV234" t="s">
        <v>221</v>
      </c>
      <c r="AW234" t="s">
        <v>879</v>
      </c>
      <c r="AX234" t="s">
        <v>222</v>
      </c>
      <c r="BA234" s="57">
        <v>46303.458333333336</v>
      </c>
      <c r="BB234" t="s">
        <v>3805</v>
      </c>
      <c r="BC234">
        <v>2026</v>
      </c>
      <c r="BD234">
        <v>10</v>
      </c>
      <c r="BE234">
        <v>7</v>
      </c>
      <c r="BF234" s="6">
        <f t="shared" si="9"/>
        <v>46302</v>
      </c>
      <c r="BG234">
        <f t="shared" si="10"/>
        <v>-1.4583333333357587</v>
      </c>
      <c r="BH234" t="str">
        <f t="shared" si="11"/>
        <v>COMPLY</v>
      </c>
      <c r="BI234" t="e">
        <f>VLOOKUP(H234,Sheet2!$A$1:$B$270,2,FALSE)</f>
        <v>#N/A</v>
      </c>
    </row>
    <row r="235" spans="1:61">
      <c r="A235">
        <v>234</v>
      </c>
      <c r="B235">
        <v>1002626005</v>
      </c>
      <c r="C235">
        <v>3</v>
      </c>
      <c r="D235" t="s">
        <v>59</v>
      </c>
      <c r="E235">
        <v>4</v>
      </c>
      <c r="F235" t="s">
        <v>544</v>
      </c>
      <c r="G235" t="s">
        <v>798</v>
      </c>
      <c r="H235" t="s">
        <v>801</v>
      </c>
      <c r="I235" t="s">
        <v>212</v>
      </c>
      <c r="J235" t="s">
        <v>213</v>
      </c>
      <c r="K235" t="s">
        <v>149</v>
      </c>
      <c r="L235" t="s">
        <v>214</v>
      </c>
      <c r="M235" t="s">
        <v>238</v>
      </c>
      <c r="N235" t="s">
        <v>215</v>
      </c>
      <c r="O235" s="57">
        <v>46302.531018518515</v>
      </c>
      <c r="P235" s="57">
        <v>46302.532048611109</v>
      </c>
      <c r="Q235">
        <v>69405784</v>
      </c>
      <c r="S235">
        <v>146129129230</v>
      </c>
      <c r="T235" t="s">
        <v>3993</v>
      </c>
      <c r="U235" t="s">
        <v>3994</v>
      </c>
      <c r="V235" t="s">
        <v>3995</v>
      </c>
      <c r="Z235">
        <v>110.3523733</v>
      </c>
      <c r="AA235">
        <v>-7.8519937999999998</v>
      </c>
      <c r="AB235" t="s">
        <v>3996</v>
      </c>
      <c r="AC235" t="s">
        <v>235</v>
      </c>
      <c r="AL235" t="s">
        <v>217</v>
      </c>
      <c r="AM235" t="s">
        <v>3997</v>
      </c>
      <c r="AN235" t="s">
        <v>6</v>
      </c>
      <c r="AO235" s="57">
        <v>46213.538645833331</v>
      </c>
      <c r="AP235" s="57">
        <v>46303.458333333336</v>
      </c>
      <c r="AR235" t="s">
        <v>239</v>
      </c>
      <c r="AS235" t="s">
        <v>219</v>
      </c>
      <c r="AT235" t="s">
        <v>230</v>
      </c>
      <c r="AV235" t="s">
        <v>238</v>
      </c>
      <c r="AW235" t="s">
        <v>875</v>
      </c>
      <c r="AX235" t="s">
        <v>222</v>
      </c>
      <c r="BA235" s="57">
        <v>46303.458333333336</v>
      </c>
      <c r="BB235" t="s">
        <v>3997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e">
        <f>VLOOKUP(H235,Sheet2!$A$1:$B$270,2,FALSE)</f>
        <v>#N/A</v>
      </c>
    </row>
    <row r="236" spans="1:61">
      <c r="A236">
        <v>235</v>
      </c>
      <c r="B236">
        <v>1002627187</v>
      </c>
      <c r="C236">
        <v>3</v>
      </c>
      <c r="D236" t="s">
        <v>59</v>
      </c>
      <c r="E236">
        <v>4</v>
      </c>
      <c r="F236" t="s">
        <v>544</v>
      </c>
      <c r="G236" t="s">
        <v>798</v>
      </c>
      <c r="H236" t="s">
        <v>801</v>
      </c>
      <c r="I236" t="s">
        <v>212</v>
      </c>
      <c r="J236" t="s">
        <v>213</v>
      </c>
      <c r="K236" t="s">
        <v>149</v>
      </c>
      <c r="M236" t="s">
        <v>3149</v>
      </c>
      <c r="N236" t="s">
        <v>563</v>
      </c>
      <c r="O236" s="57">
        <v>46303.38853009259</v>
      </c>
      <c r="P236" s="57">
        <v>46303.390486111108</v>
      </c>
      <c r="Q236">
        <v>69406243</v>
      </c>
      <c r="S236">
        <v>146129129240</v>
      </c>
      <c r="T236" t="s">
        <v>2671</v>
      </c>
      <c r="U236" t="s">
        <v>3998</v>
      </c>
      <c r="Z236">
        <v>110.344260328915</v>
      </c>
      <c r="AA236">
        <v>-7.84632883934266</v>
      </c>
      <c r="AB236" t="s">
        <v>2673</v>
      </c>
      <c r="AC236" t="s">
        <v>225</v>
      </c>
      <c r="AO236" s="57">
        <v>46244.392905092594</v>
      </c>
      <c r="AR236" t="s">
        <v>325</v>
      </c>
      <c r="AS236" t="s">
        <v>219</v>
      </c>
      <c r="AT236" t="s">
        <v>230</v>
      </c>
      <c r="AV236" t="s">
        <v>3150</v>
      </c>
      <c r="AW236" t="s">
        <v>3999</v>
      </c>
      <c r="AX236" t="s">
        <v>222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e">
        <f>VLOOKUP(H236,Sheet2!$A$1:$B$270,2,FALSE)</f>
        <v>#N/A</v>
      </c>
    </row>
    <row r="237" spans="1:61">
      <c r="A237">
        <v>236</v>
      </c>
      <c r="B237">
        <v>1002623004</v>
      </c>
      <c r="C237">
        <v>3</v>
      </c>
      <c r="D237" t="s">
        <v>59</v>
      </c>
      <c r="E237">
        <v>4</v>
      </c>
      <c r="F237" t="s">
        <v>544</v>
      </c>
      <c r="G237" t="s">
        <v>798</v>
      </c>
      <c r="H237" t="s">
        <v>801</v>
      </c>
      <c r="I237" t="s">
        <v>212</v>
      </c>
      <c r="J237" t="s">
        <v>213</v>
      </c>
      <c r="K237" t="s">
        <v>149</v>
      </c>
      <c r="M237" t="s">
        <v>1627</v>
      </c>
      <c r="N237" t="s">
        <v>563</v>
      </c>
      <c r="O237" s="57">
        <v>46300.666168981479</v>
      </c>
      <c r="P237" s="57">
        <v>46300.726956018516</v>
      </c>
      <c r="Q237">
        <v>69404541</v>
      </c>
      <c r="S237">
        <v>146129129203</v>
      </c>
      <c r="T237" t="s">
        <v>2671</v>
      </c>
      <c r="U237" t="s">
        <v>2672</v>
      </c>
      <c r="Z237">
        <v>110.3443769</v>
      </c>
      <c r="AA237">
        <v>-7.8467229999999999</v>
      </c>
      <c r="AB237" t="s">
        <v>2673</v>
      </c>
      <c r="AC237" t="s">
        <v>225</v>
      </c>
      <c r="AO237" s="57">
        <v>46152.684560185182</v>
      </c>
      <c r="AR237" t="s">
        <v>1632</v>
      </c>
      <c r="AS237" t="s">
        <v>219</v>
      </c>
      <c r="AT237" t="s">
        <v>230</v>
      </c>
      <c r="AV237" t="s">
        <v>2674</v>
      </c>
      <c r="AW237" t="s">
        <v>2675</v>
      </c>
      <c r="AX237" t="s">
        <v>222</v>
      </c>
      <c r="AZ237" t="s">
        <v>2674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e">
        <f>VLOOKUP(H237,Sheet2!$A$1:$B$270,2,FALSE)</f>
        <v>#N/A</v>
      </c>
    </row>
    <row r="238" spans="1:61">
      <c r="A238">
        <v>237</v>
      </c>
      <c r="B238">
        <v>1002617109</v>
      </c>
      <c r="C238">
        <v>3</v>
      </c>
      <c r="D238" t="s">
        <v>59</v>
      </c>
      <c r="E238">
        <v>4</v>
      </c>
      <c r="F238" t="s">
        <v>544</v>
      </c>
      <c r="G238" t="s">
        <v>823</v>
      </c>
      <c r="H238" t="s">
        <v>824</v>
      </c>
      <c r="I238" t="s">
        <v>212</v>
      </c>
      <c r="J238" t="s">
        <v>213</v>
      </c>
      <c r="K238" t="s">
        <v>149</v>
      </c>
      <c r="L238" t="s">
        <v>214</v>
      </c>
      <c r="M238" t="s">
        <v>76</v>
      </c>
      <c r="N238" t="s">
        <v>215</v>
      </c>
      <c r="O238" s="57">
        <v>46296.399062500001</v>
      </c>
      <c r="P238" s="57">
        <v>46297.600300925929</v>
      </c>
      <c r="Q238">
        <v>69402094</v>
      </c>
      <c r="S238">
        <v>146136130327</v>
      </c>
      <c r="T238" t="s">
        <v>1042</v>
      </c>
      <c r="U238" t="s">
        <v>1043</v>
      </c>
      <c r="V238" t="s">
        <v>1044</v>
      </c>
      <c r="Z238">
        <v>110.2913688</v>
      </c>
      <c r="AA238">
        <v>-7.7564986999999999</v>
      </c>
      <c r="AB238" t="s">
        <v>1045</v>
      </c>
      <c r="AC238" t="s">
        <v>235</v>
      </c>
      <c r="AL238" t="s">
        <v>217</v>
      </c>
      <c r="AM238" t="s">
        <v>1046</v>
      </c>
      <c r="AN238" t="s">
        <v>6</v>
      </c>
      <c r="AO238" s="57">
        <v>46032.413738425923</v>
      </c>
      <c r="AP238" s="57">
        <v>46297.333333333336</v>
      </c>
      <c r="AR238" t="s">
        <v>218</v>
      </c>
      <c r="AS238" t="s">
        <v>219</v>
      </c>
      <c r="AT238" t="s">
        <v>230</v>
      </c>
      <c r="AU238">
        <v>20261002</v>
      </c>
      <c r="AV238" t="s">
        <v>221</v>
      </c>
      <c r="AW238" t="s">
        <v>875</v>
      </c>
      <c r="AX238" t="s">
        <v>222</v>
      </c>
      <c r="BA238" s="57">
        <v>46297.333333333336</v>
      </c>
      <c r="BB238" t="s">
        <v>1046</v>
      </c>
      <c r="BC238">
        <v>2026</v>
      </c>
      <c r="BD238">
        <v>10</v>
      </c>
      <c r="BE238">
        <v>2</v>
      </c>
      <c r="BF238" s="6">
        <f t="shared" si="9"/>
        <v>46297</v>
      </c>
      <c r="BG238">
        <f t="shared" si="10"/>
        <v>-0.33333333333575865</v>
      </c>
      <c r="BH238" t="str">
        <f t="shared" si="11"/>
        <v>COMPLY</v>
      </c>
      <c r="BI238" t="e">
        <f>VLOOKUP(H238,Sheet2!$A$1:$B$270,2,FALSE)</f>
        <v>#N/A</v>
      </c>
    </row>
    <row r="239" spans="1:61">
      <c r="A239">
        <v>238</v>
      </c>
      <c r="B239">
        <v>1002621359</v>
      </c>
      <c r="C239">
        <v>3</v>
      </c>
      <c r="D239" t="s">
        <v>59</v>
      </c>
      <c r="E239">
        <v>4</v>
      </c>
      <c r="F239" t="s">
        <v>544</v>
      </c>
      <c r="G239" t="s">
        <v>823</v>
      </c>
      <c r="H239" t="s">
        <v>824</v>
      </c>
      <c r="I239" t="s">
        <v>212</v>
      </c>
      <c r="J239" t="s">
        <v>213</v>
      </c>
      <c r="K239" t="s">
        <v>149</v>
      </c>
      <c r="L239" t="s">
        <v>214</v>
      </c>
      <c r="M239" t="s">
        <v>76</v>
      </c>
      <c r="N239" t="s">
        <v>215</v>
      </c>
      <c r="O239" s="57">
        <v>46299.520601851851</v>
      </c>
      <c r="P239" s="57">
        <v>46300.623576388891</v>
      </c>
      <c r="Q239">
        <v>69403875</v>
      </c>
      <c r="S239">
        <v>146136130628</v>
      </c>
      <c r="T239" t="s">
        <v>1786</v>
      </c>
      <c r="U239" t="s">
        <v>1787</v>
      </c>
      <c r="V239" t="s">
        <v>1788</v>
      </c>
      <c r="Z239">
        <v>110.273017</v>
      </c>
      <c r="AA239">
        <v>-7.7166509999999997</v>
      </c>
      <c r="AB239" t="s">
        <v>1789</v>
      </c>
      <c r="AC239" t="s">
        <v>235</v>
      </c>
      <c r="AL239" t="s">
        <v>217</v>
      </c>
      <c r="AM239" t="s">
        <v>1790</v>
      </c>
      <c r="AN239" t="s">
        <v>6</v>
      </c>
      <c r="AO239" s="57">
        <v>46122.528171296297</v>
      </c>
      <c r="AP239" s="57">
        <v>46300.458333333336</v>
      </c>
      <c r="AR239" t="s">
        <v>218</v>
      </c>
      <c r="AS239" t="s">
        <v>219</v>
      </c>
      <c r="AT239" t="s">
        <v>230</v>
      </c>
      <c r="AU239">
        <v>20261005</v>
      </c>
      <c r="AV239" t="s">
        <v>221</v>
      </c>
      <c r="AW239" t="s">
        <v>877</v>
      </c>
      <c r="AX239" t="s">
        <v>222</v>
      </c>
      <c r="BA239" s="57">
        <v>46300.458333333336</v>
      </c>
      <c r="BB239" t="s">
        <v>1790</v>
      </c>
      <c r="BC239">
        <v>2026</v>
      </c>
      <c r="BD239">
        <v>10</v>
      </c>
      <c r="BE239">
        <v>5</v>
      </c>
      <c r="BF239" s="6">
        <f t="shared" si="9"/>
        <v>46300</v>
      </c>
      <c r="BG239">
        <f t="shared" si="10"/>
        <v>-0.45833333333575865</v>
      </c>
      <c r="BH239" t="str">
        <f t="shared" si="11"/>
        <v>COMPLY</v>
      </c>
      <c r="BI239" t="e">
        <f>VLOOKUP(H239,Sheet2!$A$1:$B$270,2,FALSE)</f>
        <v>#N/A</v>
      </c>
    </row>
    <row r="240" spans="1:61">
      <c r="A240">
        <v>239</v>
      </c>
      <c r="B240">
        <v>1002625534</v>
      </c>
      <c r="C240">
        <v>3</v>
      </c>
      <c r="D240" t="s">
        <v>59</v>
      </c>
      <c r="E240">
        <v>4</v>
      </c>
      <c r="F240" t="s">
        <v>544</v>
      </c>
      <c r="G240" t="s">
        <v>823</v>
      </c>
      <c r="H240" t="s">
        <v>824</v>
      </c>
      <c r="I240" t="s">
        <v>212</v>
      </c>
      <c r="J240" t="s">
        <v>213</v>
      </c>
      <c r="K240" t="s">
        <v>149</v>
      </c>
      <c r="M240" t="s">
        <v>238</v>
      </c>
      <c r="N240" t="s">
        <v>215</v>
      </c>
      <c r="O240" s="57">
        <v>46302.418819444443</v>
      </c>
      <c r="P240" s="57">
        <v>46302.573680555557</v>
      </c>
      <c r="Q240">
        <v>69405547</v>
      </c>
      <c r="S240">
        <v>146136130650</v>
      </c>
      <c r="T240" t="s">
        <v>4000</v>
      </c>
      <c r="U240" t="s">
        <v>4001</v>
      </c>
      <c r="V240" t="s">
        <v>4002</v>
      </c>
      <c r="Z240">
        <v>110.3190778</v>
      </c>
      <c r="AA240">
        <v>-7.8015078999999998</v>
      </c>
      <c r="AB240" t="s">
        <v>4003</v>
      </c>
      <c r="AC240" t="s">
        <v>283</v>
      </c>
      <c r="AL240" t="s">
        <v>217</v>
      </c>
      <c r="AM240" t="s">
        <v>4004</v>
      </c>
      <c r="AN240" t="s">
        <v>6</v>
      </c>
      <c r="AO240" s="57">
        <v>46213.434340277781</v>
      </c>
      <c r="AP240" s="57">
        <v>46304.625</v>
      </c>
      <c r="AR240" t="s">
        <v>239</v>
      </c>
      <c r="AS240" t="s">
        <v>219</v>
      </c>
      <c r="AT240" t="s">
        <v>230</v>
      </c>
      <c r="AV240" t="s">
        <v>238</v>
      </c>
      <c r="AW240" t="s">
        <v>1987</v>
      </c>
      <c r="AX240" t="s">
        <v>222</v>
      </c>
      <c r="BA240" s="57">
        <v>46304.625</v>
      </c>
      <c r="BB240" t="s">
        <v>4004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e">
        <f>VLOOKUP(H240,Sheet2!$A$1:$B$270,2,FALSE)</f>
        <v>#N/A</v>
      </c>
    </row>
    <row r="241" spans="1:61">
      <c r="A241">
        <v>240</v>
      </c>
      <c r="B241">
        <v>1002624669</v>
      </c>
      <c r="C241">
        <v>3</v>
      </c>
      <c r="D241" t="s">
        <v>59</v>
      </c>
      <c r="E241">
        <v>4</v>
      </c>
      <c r="F241" t="s">
        <v>544</v>
      </c>
      <c r="G241" t="s">
        <v>564</v>
      </c>
      <c r="H241" t="s">
        <v>3296</v>
      </c>
      <c r="I241" t="s">
        <v>212</v>
      </c>
      <c r="J241" t="s">
        <v>213</v>
      </c>
      <c r="K241" t="s">
        <v>149</v>
      </c>
      <c r="L241" t="s">
        <v>214</v>
      </c>
      <c r="M241" t="s">
        <v>279</v>
      </c>
      <c r="N241" t="s">
        <v>215</v>
      </c>
      <c r="O241" s="57">
        <v>46301.624062499999</v>
      </c>
      <c r="P241" s="57">
        <v>46302.436122685183</v>
      </c>
      <c r="Q241">
        <v>69405225</v>
      </c>
      <c r="S241">
        <v>143132123971</v>
      </c>
      <c r="T241" t="s">
        <v>3297</v>
      </c>
      <c r="U241" t="s">
        <v>3298</v>
      </c>
      <c r="V241" t="s">
        <v>3299</v>
      </c>
      <c r="Z241">
        <v>110.4926066</v>
      </c>
      <c r="AA241">
        <v>-7.8392400000000002</v>
      </c>
      <c r="AB241" t="s">
        <v>3300</v>
      </c>
      <c r="AC241" t="s">
        <v>235</v>
      </c>
      <c r="AL241" t="s">
        <v>217</v>
      </c>
      <c r="AM241" t="s">
        <v>3301</v>
      </c>
      <c r="AN241" t="s">
        <v>6</v>
      </c>
      <c r="AO241" s="57">
        <v>46183.642893518518</v>
      </c>
      <c r="AP241" s="57">
        <v>46304.333333333336</v>
      </c>
      <c r="AR241" t="s">
        <v>239</v>
      </c>
      <c r="AS241" t="s">
        <v>3302</v>
      </c>
      <c r="AT241" t="s">
        <v>230</v>
      </c>
      <c r="AV241" t="s">
        <v>3303</v>
      </c>
      <c r="AW241" t="s">
        <v>878</v>
      </c>
      <c r="AX241" t="s">
        <v>222</v>
      </c>
      <c r="BA241" s="57">
        <v>46304.333333333336</v>
      </c>
      <c r="BB241" t="s">
        <v>3301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e">
        <f>VLOOKUP(H241,Sheet2!$A$1:$B$270,2,FALSE)</f>
        <v>#N/A</v>
      </c>
    </row>
    <row r="242" spans="1:61">
      <c r="A242">
        <v>241</v>
      </c>
      <c r="B242">
        <v>1002627319</v>
      </c>
      <c r="C242">
        <v>3</v>
      </c>
      <c r="D242" t="s">
        <v>59</v>
      </c>
      <c r="E242">
        <v>4</v>
      </c>
      <c r="F242" t="s">
        <v>544</v>
      </c>
      <c r="G242" t="s">
        <v>564</v>
      </c>
      <c r="H242" t="s">
        <v>3296</v>
      </c>
      <c r="I242" t="s">
        <v>212</v>
      </c>
      <c r="J242" t="s">
        <v>213</v>
      </c>
      <c r="K242" t="s">
        <v>149</v>
      </c>
      <c r="M242" t="s">
        <v>4005</v>
      </c>
      <c r="N242" t="s">
        <v>215</v>
      </c>
      <c r="O242" s="57">
        <v>46303.417673611111</v>
      </c>
      <c r="P242" s="57">
        <v>46303.427870370368</v>
      </c>
      <c r="Q242">
        <v>69406325</v>
      </c>
      <c r="S242">
        <v>143132123755</v>
      </c>
      <c r="T242" t="s">
        <v>4006</v>
      </c>
      <c r="U242" t="s">
        <v>4007</v>
      </c>
      <c r="Z242">
        <v>110.396060236034</v>
      </c>
      <c r="AA242">
        <v>-7.8355294604836896</v>
      </c>
      <c r="AB242" t="s">
        <v>4008</v>
      </c>
      <c r="AC242" t="s">
        <v>283</v>
      </c>
      <c r="AO242" s="57">
        <v>46244.435104166667</v>
      </c>
      <c r="AR242" t="s">
        <v>5</v>
      </c>
      <c r="AS242" t="s">
        <v>3302</v>
      </c>
      <c r="AT242" t="s">
        <v>230</v>
      </c>
      <c r="AV242" t="s">
        <v>4005</v>
      </c>
      <c r="AW242" t="s">
        <v>540</v>
      </c>
      <c r="AX242" t="s">
        <v>222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e">
        <f>VLOOKUP(H242,Sheet2!$A$1:$B$270,2,FALSE)</f>
        <v>#N/A</v>
      </c>
    </row>
    <row r="243" spans="1:61">
      <c r="A243">
        <v>242</v>
      </c>
      <c r="B243">
        <v>1002620787</v>
      </c>
      <c r="C243">
        <v>3</v>
      </c>
      <c r="D243" t="s">
        <v>59</v>
      </c>
      <c r="E243">
        <v>4</v>
      </c>
      <c r="F243" t="s">
        <v>544</v>
      </c>
      <c r="G243" t="s">
        <v>564</v>
      </c>
      <c r="H243" t="s">
        <v>1791</v>
      </c>
      <c r="I243" t="s">
        <v>212</v>
      </c>
      <c r="J243" t="s">
        <v>213</v>
      </c>
      <c r="K243" t="s">
        <v>149</v>
      </c>
      <c r="L243" t="s">
        <v>214</v>
      </c>
      <c r="M243" t="s">
        <v>1401</v>
      </c>
      <c r="N243" t="s">
        <v>215</v>
      </c>
      <c r="O243" s="57">
        <v>46298.405277777776</v>
      </c>
      <c r="P243" s="57">
        <v>46299.588090277779</v>
      </c>
      <c r="Q243">
        <v>69403494</v>
      </c>
      <c r="S243">
        <v>141114228736</v>
      </c>
      <c r="T243" t="s">
        <v>1792</v>
      </c>
      <c r="U243" t="s">
        <v>1793</v>
      </c>
      <c r="V243" t="s">
        <v>1794</v>
      </c>
      <c r="Z243">
        <v>110.39032</v>
      </c>
      <c r="AA243">
        <v>-7.8497149999999998</v>
      </c>
      <c r="AB243" t="s">
        <v>1795</v>
      </c>
      <c r="AC243" t="s">
        <v>235</v>
      </c>
      <c r="AL243" t="s">
        <v>217</v>
      </c>
      <c r="AM243" t="s">
        <v>1608</v>
      </c>
      <c r="AN243" t="s">
        <v>6</v>
      </c>
      <c r="AO243" s="57">
        <v>46091.413935185185</v>
      </c>
      <c r="AP243" s="57">
        <v>46299.333333333336</v>
      </c>
      <c r="AQ243" t="s">
        <v>838</v>
      </c>
      <c r="AR243" t="s">
        <v>14</v>
      </c>
      <c r="AS243" t="s">
        <v>219</v>
      </c>
      <c r="AT243" t="s">
        <v>230</v>
      </c>
      <c r="AV243" t="s">
        <v>1796</v>
      </c>
      <c r="AW243" t="s">
        <v>880</v>
      </c>
      <c r="AX243" t="s">
        <v>222</v>
      </c>
      <c r="BA243" s="57">
        <v>46299.333333333336</v>
      </c>
      <c r="BB243" t="s">
        <v>1608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e">
        <f>VLOOKUP(H243,Sheet2!$A$1:$B$270,2,FALSE)</f>
        <v>#N/A</v>
      </c>
    </row>
    <row r="244" spans="1:61">
      <c r="A244">
        <v>243</v>
      </c>
      <c r="B244">
        <v>1002618870</v>
      </c>
      <c r="C244">
        <v>3</v>
      </c>
      <c r="D244" t="s">
        <v>59</v>
      </c>
      <c r="E244">
        <v>4</v>
      </c>
      <c r="F244" t="s">
        <v>544</v>
      </c>
      <c r="G244" t="s">
        <v>564</v>
      </c>
      <c r="H244" t="s">
        <v>1791</v>
      </c>
      <c r="I244" t="s">
        <v>212</v>
      </c>
      <c r="J244" t="s">
        <v>213</v>
      </c>
      <c r="K244" t="s">
        <v>149</v>
      </c>
      <c r="L244" t="s">
        <v>214</v>
      </c>
      <c r="M244" t="s">
        <v>836</v>
      </c>
      <c r="N244" t="s">
        <v>215</v>
      </c>
      <c r="O244" s="57">
        <v>46297.301851851851</v>
      </c>
      <c r="P244" s="57">
        <v>46302.451608796298</v>
      </c>
      <c r="Q244">
        <v>69402695</v>
      </c>
      <c r="S244">
        <v>141114228709</v>
      </c>
      <c r="T244" t="s">
        <v>1109</v>
      </c>
      <c r="U244" t="s">
        <v>1797</v>
      </c>
      <c r="V244" t="s">
        <v>1798</v>
      </c>
      <c r="Z244">
        <v>110.367363</v>
      </c>
      <c r="AA244">
        <v>-7.8350629999999999</v>
      </c>
      <c r="AB244" t="s">
        <v>1799</v>
      </c>
      <c r="AC244" t="s">
        <v>235</v>
      </c>
      <c r="AL244" t="s">
        <v>217</v>
      </c>
      <c r="AM244" t="s">
        <v>1800</v>
      </c>
      <c r="AN244" t="s">
        <v>6</v>
      </c>
      <c r="AO244" s="57">
        <v>46063.319722222222</v>
      </c>
      <c r="AP244" s="57">
        <v>46300.333333333336</v>
      </c>
      <c r="AQ244" t="s">
        <v>841</v>
      </c>
      <c r="AR244" t="s">
        <v>14</v>
      </c>
      <c r="AS244" t="s">
        <v>219</v>
      </c>
      <c r="AT244" t="s">
        <v>230</v>
      </c>
      <c r="AV244" t="s">
        <v>837</v>
      </c>
      <c r="AW244" t="s">
        <v>877</v>
      </c>
      <c r="AX244" t="s">
        <v>222</v>
      </c>
      <c r="BA244" s="57">
        <v>46300.333333333336</v>
      </c>
      <c r="BB244" t="s">
        <v>1800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e">
        <f>VLOOKUP(H244,Sheet2!$A$1:$B$270,2,FALSE)</f>
        <v>#N/A</v>
      </c>
    </row>
    <row r="245" spans="1:61">
      <c r="A245">
        <v>244</v>
      </c>
      <c r="B245">
        <v>1002620237</v>
      </c>
      <c r="C245">
        <v>3</v>
      </c>
      <c r="D245" t="s">
        <v>59</v>
      </c>
      <c r="E245">
        <v>4</v>
      </c>
      <c r="F245" t="s">
        <v>544</v>
      </c>
      <c r="G245" t="s">
        <v>564</v>
      </c>
      <c r="H245" t="s">
        <v>1791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46297.640740740739</v>
      </c>
      <c r="P245" s="57">
        <v>46299.38009259259</v>
      </c>
      <c r="Q245">
        <v>69403257</v>
      </c>
      <c r="S245">
        <v>141114228725</v>
      </c>
      <c r="T245" t="s">
        <v>1801</v>
      </c>
      <c r="U245" t="s">
        <v>1802</v>
      </c>
      <c r="V245" t="s">
        <v>1803</v>
      </c>
      <c r="Z245">
        <v>110.3393294</v>
      </c>
      <c r="AA245">
        <v>-7.8040548000000003</v>
      </c>
      <c r="AB245" t="s">
        <v>1804</v>
      </c>
      <c r="AC245" t="s">
        <v>235</v>
      </c>
      <c r="AL245" t="s">
        <v>217</v>
      </c>
      <c r="AM245" t="s">
        <v>1805</v>
      </c>
      <c r="AN245" t="s">
        <v>6</v>
      </c>
      <c r="AO245" s="57">
        <v>46063.652951388889</v>
      </c>
      <c r="AP245" s="57">
        <v>46298.625</v>
      </c>
      <c r="AR245" t="s">
        <v>218</v>
      </c>
      <c r="AS245" t="s">
        <v>219</v>
      </c>
      <c r="AT245" t="s">
        <v>230</v>
      </c>
      <c r="AU245">
        <v>20261004</v>
      </c>
      <c r="AV245" t="s">
        <v>221</v>
      </c>
      <c r="AW245" t="s">
        <v>880</v>
      </c>
      <c r="AX245" t="s">
        <v>222</v>
      </c>
      <c r="BA245" s="57">
        <v>46298.625</v>
      </c>
      <c r="BB245" t="s">
        <v>1805</v>
      </c>
      <c r="BC245">
        <v>2026</v>
      </c>
      <c r="BD245">
        <v>10</v>
      </c>
      <c r="BE245">
        <v>4</v>
      </c>
      <c r="BF245" s="6">
        <f t="shared" si="9"/>
        <v>46299</v>
      </c>
      <c r="BG245">
        <f t="shared" si="10"/>
        <v>0.375</v>
      </c>
      <c r="BH245" t="str">
        <f t="shared" si="11"/>
        <v>COMPLY</v>
      </c>
      <c r="BI245" t="e">
        <f>VLOOKUP(H245,Sheet2!$A$1:$B$270,2,FALSE)</f>
        <v>#N/A</v>
      </c>
    </row>
    <row r="246" spans="1:61">
      <c r="A246">
        <v>245</v>
      </c>
      <c r="B246">
        <v>1002621413</v>
      </c>
      <c r="C246">
        <v>3</v>
      </c>
      <c r="D246" t="s">
        <v>59</v>
      </c>
      <c r="E246">
        <v>4</v>
      </c>
      <c r="F246" t="s">
        <v>544</v>
      </c>
      <c r="G246" t="s">
        <v>564</v>
      </c>
      <c r="H246" t="s">
        <v>1791</v>
      </c>
      <c r="I246" t="s">
        <v>212</v>
      </c>
      <c r="J246" t="s">
        <v>213</v>
      </c>
      <c r="K246" t="s">
        <v>149</v>
      </c>
      <c r="M246" t="s">
        <v>76</v>
      </c>
      <c r="N246" t="s">
        <v>215</v>
      </c>
      <c r="O246" s="57">
        <v>46299.588090277779</v>
      </c>
      <c r="P246" s="57">
        <v>46299.635277777779</v>
      </c>
      <c r="Q246">
        <v>69403494</v>
      </c>
      <c r="S246">
        <v>141114228754</v>
      </c>
      <c r="T246" t="s">
        <v>1792</v>
      </c>
      <c r="U246" t="s">
        <v>1806</v>
      </c>
      <c r="V246" t="s">
        <v>1807</v>
      </c>
      <c r="Z246">
        <v>110.390576304908</v>
      </c>
      <c r="AA246">
        <v>-7.8499844072432996</v>
      </c>
      <c r="AB246" t="s">
        <v>1795</v>
      </c>
      <c r="AC246" t="s">
        <v>283</v>
      </c>
      <c r="AL246" t="s">
        <v>217</v>
      </c>
      <c r="AM246" t="s">
        <v>1808</v>
      </c>
      <c r="AN246" t="s">
        <v>6</v>
      </c>
      <c r="AO246" s="57">
        <v>46122.590717592589</v>
      </c>
      <c r="AR246" t="s">
        <v>218</v>
      </c>
      <c r="AS246" t="s">
        <v>219</v>
      </c>
      <c r="AT246" t="s">
        <v>230</v>
      </c>
      <c r="AU246">
        <v>20261004</v>
      </c>
      <c r="AV246" t="s">
        <v>221</v>
      </c>
      <c r="AW246" t="s">
        <v>1809</v>
      </c>
      <c r="AX246" t="s">
        <v>222</v>
      </c>
      <c r="BA246" s="57">
        <v>46299.291666666664</v>
      </c>
      <c r="BB246" t="s">
        <v>1808</v>
      </c>
      <c r="BC246">
        <v>2026</v>
      </c>
      <c r="BD246">
        <v>10</v>
      </c>
      <c r="BE246">
        <v>4</v>
      </c>
      <c r="BF246" s="6">
        <f t="shared" si="9"/>
        <v>46299</v>
      </c>
      <c r="BG246">
        <f t="shared" si="10"/>
        <v>-0.29166666666424135</v>
      </c>
      <c r="BH246" t="str">
        <f t="shared" si="11"/>
        <v>COMPLY</v>
      </c>
      <c r="BI246" t="e">
        <f>VLOOKUP(H246,Sheet2!$A$1:$B$270,2,FALSE)</f>
        <v>#N/A</v>
      </c>
    </row>
    <row r="247" spans="1:61">
      <c r="A247">
        <v>246</v>
      </c>
      <c r="B247">
        <v>1002619759</v>
      </c>
      <c r="C247">
        <v>3</v>
      </c>
      <c r="D247" t="s">
        <v>59</v>
      </c>
      <c r="E247">
        <v>4</v>
      </c>
      <c r="F247" t="s">
        <v>544</v>
      </c>
      <c r="G247" t="s">
        <v>564</v>
      </c>
      <c r="H247" t="s">
        <v>1791</v>
      </c>
      <c r="I247" t="s">
        <v>212</v>
      </c>
      <c r="J247" t="s">
        <v>213</v>
      </c>
      <c r="K247" t="s">
        <v>149</v>
      </c>
      <c r="M247" t="s">
        <v>279</v>
      </c>
      <c r="N247" t="s">
        <v>563</v>
      </c>
      <c r="O247" s="57">
        <v>46297.55773148148</v>
      </c>
      <c r="P247" s="57">
        <v>46301.613680555558</v>
      </c>
      <c r="Q247">
        <v>66525052</v>
      </c>
      <c r="S247">
        <v>141114228716</v>
      </c>
      <c r="T247" t="s">
        <v>1654</v>
      </c>
      <c r="U247" t="s">
        <v>1810</v>
      </c>
      <c r="V247" t="s">
        <v>2676</v>
      </c>
      <c r="Z247">
        <v>110.3846544</v>
      </c>
      <c r="AA247">
        <v>-7.7162696999999998</v>
      </c>
      <c r="AB247" t="s">
        <v>1811</v>
      </c>
      <c r="AC247" t="s">
        <v>225</v>
      </c>
      <c r="AL247" t="s">
        <v>217</v>
      </c>
      <c r="AM247" t="s">
        <v>2677</v>
      </c>
      <c r="AN247" t="s">
        <v>6</v>
      </c>
      <c r="AO247" s="57">
        <v>46063.559317129628</v>
      </c>
      <c r="AP247" s="57">
        <v>46302.333333333336</v>
      </c>
      <c r="AR247" t="s">
        <v>239</v>
      </c>
      <c r="AS247" t="s">
        <v>219</v>
      </c>
      <c r="AT247" t="s">
        <v>230</v>
      </c>
      <c r="AV247" t="s">
        <v>1715</v>
      </c>
      <c r="AW247" t="s">
        <v>1475</v>
      </c>
      <c r="AX247" t="s">
        <v>222</v>
      </c>
      <c r="BA247" s="57">
        <v>46302.333333333336</v>
      </c>
      <c r="BB247" t="s">
        <v>2677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e">
        <f>VLOOKUP(H247,Sheet2!$A$1:$B$270,2,FALSE)</f>
        <v>#N/A</v>
      </c>
    </row>
    <row r="248" spans="1:61">
      <c r="A248">
        <v>247</v>
      </c>
      <c r="B248">
        <v>1002622415</v>
      </c>
      <c r="C248">
        <v>3</v>
      </c>
      <c r="D248" t="s">
        <v>55</v>
      </c>
      <c r="E248">
        <v>5</v>
      </c>
      <c r="F248" t="s">
        <v>227</v>
      </c>
      <c r="G248" t="s">
        <v>121</v>
      </c>
      <c r="H248" t="s">
        <v>480</v>
      </c>
      <c r="I248" t="s">
        <v>212</v>
      </c>
      <c r="J248" t="s">
        <v>213</v>
      </c>
      <c r="K248" t="s">
        <v>149</v>
      </c>
      <c r="M248" t="s">
        <v>279</v>
      </c>
      <c r="N248" t="s">
        <v>215</v>
      </c>
      <c r="O248" s="57">
        <v>46300.55909722222</v>
      </c>
      <c r="P248" s="57">
        <v>46301.415891203702</v>
      </c>
      <c r="Q248">
        <v>69404338</v>
      </c>
      <c r="S248">
        <v>152439202415</v>
      </c>
      <c r="T248" t="s">
        <v>2678</v>
      </c>
      <c r="U248" t="s">
        <v>2679</v>
      </c>
      <c r="V248" t="s">
        <v>2680</v>
      </c>
      <c r="Z248">
        <v>112.906099</v>
      </c>
      <c r="AA248">
        <v>-6.8949543999999996</v>
      </c>
      <c r="AB248" t="s">
        <v>2681</v>
      </c>
      <c r="AC248" t="s">
        <v>284</v>
      </c>
      <c r="AL248" t="s">
        <v>217</v>
      </c>
      <c r="AM248" t="s">
        <v>2682</v>
      </c>
      <c r="AN248" t="s">
        <v>6</v>
      </c>
      <c r="AO248" s="57">
        <v>46152.569618055553</v>
      </c>
      <c r="AP248" s="57">
        <v>46301.458333333336</v>
      </c>
      <c r="AR248" t="s">
        <v>239</v>
      </c>
      <c r="AS248" t="s">
        <v>219</v>
      </c>
      <c r="AT248" t="s">
        <v>230</v>
      </c>
      <c r="AV248" t="s">
        <v>799</v>
      </c>
      <c r="AW248" t="s">
        <v>540</v>
      </c>
      <c r="AX248" t="s">
        <v>222</v>
      </c>
      <c r="BA248" s="57">
        <v>46301.458333333336</v>
      </c>
      <c r="BB248" t="s">
        <v>2682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str">
        <f>VLOOKUP(H248,Sheet2!$A$1:$B$270,2,FALSE)</f>
        <v>MADURA</v>
      </c>
    </row>
    <row r="249" spans="1:61">
      <c r="A249">
        <v>248</v>
      </c>
      <c r="B249">
        <v>1002619519</v>
      </c>
      <c r="C249">
        <v>3</v>
      </c>
      <c r="D249" t="s">
        <v>55</v>
      </c>
      <c r="E249">
        <v>5</v>
      </c>
      <c r="F249" t="s">
        <v>227</v>
      </c>
      <c r="G249" t="s">
        <v>121</v>
      </c>
      <c r="H249" t="s">
        <v>375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46297.470543981479</v>
      </c>
      <c r="P249" s="57">
        <v>46298.723553240743</v>
      </c>
      <c r="Q249">
        <v>69402942</v>
      </c>
      <c r="S249">
        <v>152435910665</v>
      </c>
      <c r="T249" t="s">
        <v>1812</v>
      </c>
      <c r="U249" t="s">
        <v>1813</v>
      </c>
      <c r="V249" t="s">
        <v>1814</v>
      </c>
      <c r="Z249">
        <v>112.7520674</v>
      </c>
      <c r="AA249">
        <v>-7.0912961000000001</v>
      </c>
      <c r="AB249" t="s">
        <v>1815</v>
      </c>
      <c r="AC249" t="s">
        <v>216</v>
      </c>
      <c r="AL249" t="s">
        <v>217</v>
      </c>
      <c r="AM249" t="s">
        <v>1816</v>
      </c>
      <c r="AN249" t="s">
        <v>6</v>
      </c>
      <c r="AO249" s="57">
        <v>46063.475972222222</v>
      </c>
      <c r="AP249" s="57">
        <v>46298.333333333336</v>
      </c>
      <c r="AR249" t="s">
        <v>218</v>
      </c>
      <c r="AS249" t="s">
        <v>219</v>
      </c>
      <c r="AT249" t="s">
        <v>220</v>
      </c>
      <c r="AU249">
        <v>20261003</v>
      </c>
      <c r="AV249" t="s">
        <v>221</v>
      </c>
      <c r="AW249" t="s">
        <v>1817</v>
      </c>
      <c r="AX249" t="s">
        <v>222</v>
      </c>
      <c r="BA249" s="57">
        <v>46298.333333333336</v>
      </c>
      <c r="BB249" t="s">
        <v>1816</v>
      </c>
      <c r="BC249">
        <v>2026</v>
      </c>
      <c r="BD249">
        <v>10</v>
      </c>
      <c r="BE249">
        <v>3</v>
      </c>
      <c r="BF249" s="6">
        <f t="shared" si="9"/>
        <v>46298</v>
      </c>
      <c r="BG249">
        <f t="shared" si="10"/>
        <v>-0.33333333333575865</v>
      </c>
      <c r="BH249" t="str">
        <f t="shared" si="11"/>
        <v>COMPLY</v>
      </c>
      <c r="BI249" t="str">
        <f>VLOOKUP(H249,Sheet2!$A$1:$B$270,2,FALSE)</f>
        <v>MADURA</v>
      </c>
    </row>
    <row r="250" spans="1:61">
      <c r="A250">
        <v>249</v>
      </c>
      <c r="B250">
        <v>1002625032</v>
      </c>
      <c r="C250">
        <v>3</v>
      </c>
      <c r="D250" t="s">
        <v>55</v>
      </c>
      <c r="E250">
        <v>5</v>
      </c>
      <c r="F250" t="s">
        <v>227</v>
      </c>
      <c r="G250" t="s">
        <v>121</v>
      </c>
      <c r="H250" t="s">
        <v>375</v>
      </c>
      <c r="I250" t="s">
        <v>212</v>
      </c>
      <c r="J250" t="s">
        <v>213</v>
      </c>
      <c r="K250" t="s">
        <v>149</v>
      </c>
      <c r="M250" t="s">
        <v>279</v>
      </c>
      <c r="N250" t="s">
        <v>215</v>
      </c>
      <c r="O250" s="57">
        <v>46301.699884259258</v>
      </c>
      <c r="P250" s="57">
        <v>46303.405613425923</v>
      </c>
      <c r="Q250">
        <v>69405319</v>
      </c>
      <c r="S250">
        <v>152435910707</v>
      </c>
      <c r="T250" t="s">
        <v>3304</v>
      </c>
      <c r="U250" t="s">
        <v>3305</v>
      </c>
      <c r="V250" t="s">
        <v>3306</v>
      </c>
      <c r="Z250">
        <v>112.798074689283</v>
      </c>
      <c r="AA250">
        <v>-7.0598232391478897</v>
      </c>
      <c r="AB250" t="s">
        <v>3307</v>
      </c>
      <c r="AC250" t="s">
        <v>229</v>
      </c>
      <c r="AL250" t="s">
        <v>217</v>
      </c>
      <c r="AM250" t="s">
        <v>3308</v>
      </c>
      <c r="AN250" t="s">
        <v>6</v>
      </c>
      <c r="AO250" s="57">
        <v>46183.705092592594</v>
      </c>
      <c r="AP250" s="57">
        <v>46303.458333333336</v>
      </c>
      <c r="AR250" t="s">
        <v>239</v>
      </c>
      <c r="AS250" t="s">
        <v>219</v>
      </c>
      <c r="AT250" t="s">
        <v>230</v>
      </c>
      <c r="AV250" t="s">
        <v>799</v>
      </c>
      <c r="AW250" t="s">
        <v>539</v>
      </c>
      <c r="AX250" t="s">
        <v>222</v>
      </c>
      <c r="BA250" s="57">
        <v>46303.458333333336</v>
      </c>
      <c r="BB250" t="s">
        <v>3308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str">
        <f>VLOOKUP(H250,Sheet2!$A$1:$B$270,2,FALSE)</f>
        <v>MADURA</v>
      </c>
    </row>
    <row r="251" spans="1:61">
      <c r="A251">
        <v>250</v>
      </c>
      <c r="B251">
        <v>1002621239</v>
      </c>
      <c r="C251">
        <v>3</v>
      </c>
      <c r="D251" t="s">
        <v>55</v>
      </c>
      <c r="E251">
        <v>5</v>
      </c>
      <c r="F251" t="s">
        <v>227</v>
      </c>
      <c r="G251" t="s">
        <v>121</v>
      </c>
      <c r="H251" t="s">
        <v>324</v>
      </c>
      <c r="I251" t="s">
        <v>212</v>
      </c>
      <c r="J251" t="s">
        <v>213</v>
      </c>
      <c r="K251" t="s">
        <v>149</v>
      </c>
      <c r="L251" t="s">
        <v>214</v>
      </c>
      <c r="M251" t="s">
        <v>839</v>
      </c>
      <c r="N251" t="s">
        <v>215</v>
      </c>
      <c r="O251" s="57">
        <v>46299.353182870371</v>
      </c>
      <c r="P251" s="57">
        <v>46300.672002314815</v>
      </c>
      <c r="Q251">
        <v>69403764</v>
      </c>
      <c r="S251">
        <v>152459201650</v>
      </c>
      <c r="T251" t="s">
        <v>1818</v>
      </c>
      <c r="U251" t="s">
        <v>1819</v>
      </c>
      <c r="V251" t="s">
        <v>1820</v>
      </c>
      <c r="Z251">
        <v>113.100963011384</v>
      </c>
      <c r="AA251">
        <v>-7.0686880701344297</v>
      </c>
      <c r="AB251" t="s">
        <v>1821</v>
      </c>
      <c r="AC251" t="s">
        <v>216</v>
      </c>
      <c r="AL251" t="s">
        <v>217</v>
      </c>
      <c r="AM251" t="s">
        <v>1822</v>
      </c>
      <c r="AN251" t="s">
        <v>6</v>
      </c>
      <c r="AO251" s="57">
        <v>46122.36136574074</v>
      </c>
      <c r="AP251" s="57">
        <v>46300.333333333336</v>
      </c>
      <c r="AQ251" t="s">
        <v>841</v>
      </c>
      <c r="AR251" t="s">
        <v>840</v>
      </c>
      <c r="AS251" t="s">
        <v>219</v>
      </c>
      <c r="AT251" t="s">
        <v>220</v>
      </c>
      <c r="AV251" t="s">
        <v>2683</v>
      </c>
      <c r="AW251" t="s">
        <v>833</v>
      </c>
      <c r="AX251" t="s">
        <v>222</v>
      </c>
      <c r="BA251" s="57">
        <v>46300.333333333336</v>
      </c>
      <c r="BB251" t="s">
        <v>1822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MADURA</v>
      </c>
    </row>
    <row r="252" spans="1:61">
      <c r="A252">
        <v>251</v>
      </c>
      <c r="B252">
        <v>1002620621</v>
      </c>
      <c r="C252">
        <v>3</v>
      </c>
      <c r="D252" t="s">
        <v>55</v>
      </c>
      <c r="E252">
        <v>5</v>
      </c>
      <c r="F252" t="s">
        <v>227</v>
      </c>
      <c r="G252" t="s">
        <v>121</v>
      </c>
      <c r="H252" t="s">
        <v>442</v>
      </c>
      <c r="I252" t="s">
        <v>212</v>
      </c>
      <c r="J252" t="s">
        <v>213</v>
      </c>
      <c r="K252" t="s">
        <v>149</v>
      </c>
      <c r="M252" t="s">
        <v>1401</v>
      </c>
      <c r="N252" t="s">
        <v>215</v>
      </c>
      <c r="O252" s="57">
        <v>46297.754895833335</v>
      </c>
      <c r="P252" s="57">
        <v>46300.630011574074</v>
      </c>
      <c r="Q252">
        <v>69403384</v>
      </c>
      <c r="S252">
        <v>152436205726</v>
      </c>
      <c r="T252" t="s">
        <v>1828</v>
      </c>
      <c r="U252" t="s">
        <v>1829</v>
      </c>
      <c r="V252" t="s">
        <v>1830</v>
      </c>
      <c r="Z252">
        <v>112.8932922</v>
      </c>
      <c r="AA252">
        <v>-7.1542700000000004</v>
      </c>
      <c r="AB252" t="s">
        <v>1831</v>
      </c>
      <c r="AC252" t="s">
        <v>229</v>
      </c>
      <c r="AL252" t="s">
        <v>217</v>
      </c>
      <c r="AM252" t="s">
        <v>1832</v>
      </c>
      <c r="AN252" t="s">
        <v>6</v>
      </c>
      <c r="AO252" s="57">
        <v>46063.757476851853</v>
      </c>
      <c r="AP252" s="57">
        <v>46299.458333333336</v>
      </c>
      <c r="AR252" t="s">
        <v>14</v>
      </c>
      <c r="AS252" t="s">
        <v>219</v>
      </c>
      <c r="AT252" t="s">
        <v>220</v>
      </c>
      <c r="AV252" t="s">
        <v>2684</v>
      </c>
      <c r="AW252" t="s">
        <v>1833</v>
      </c>
      <c r="AX252" t="s">
        <v>222</v>
      </c>
      <c r="BA252" s="57">
        <v>46299.458333333336</v>
      </c>
      <c r="BB252" t="s">
        <v>1832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MADURA</v>
      </c>
    </row>
    <row r="253" spans="1:61">
      <c r="A253">
        <v>252</v>
      </c>
      <c r="B253">
        <v>1002620451</v>
      </c>
      <c r="C253">
        <v>3</v>
      </c>
      <c r="D253" t="s">
        <v>55</v>
      </c>
      <c r="E253">
        <v>5</v>
      </c>
      <c r="F253" t="s">
        <v>227</v>
      </c>
      <c r="G253" t="s">
        <v>121</v>
      </c>
      <c r="H253" t="s">
        <v>442</v>
      </c>
      <c r="I253" t="s">
        <v>212</v>
      </c>
      <c r="J253" t="s">
        <v>213</v>
      </c>
      <c r="K253" t="s">
        <v>149</v>
      </c>
      <c r="M253" t="s">
        <v>76</v>
      </c>
      <c r="N253" t="s">
        <v>215</v>
      </c>
      <c r="O253" s="57">
        <v>46297.690555555557</v>
      </c>
      <c r="P253" s="57">
        <v>46300.755798611113</v>
      </c>
      <c r="Q253">
        <v>69403303</v>
      </c>
      <c r="S253">
        <v>152436205724</v>
      </c>
      <c r="T253" t="s">
        <v>1823</v>
      </c>
      <c r="U253" t="s">
        <v>1824</v>
      </c>
      <c r="V253" t="s">
        <v>1825</v>
      </c>
      <c r="Z253">
        <v>112.721456166957</v>
      </c>
      <c r="AA253">
        <v>-7.1255792169147698</v>
      </c>
      <c r="AB253" t="s">
        <v>1826</v>
      </c>
      <c r="AC253" t="s">
        <v>229</v>
      </c>
      <c r="AL253" t="s">
        <v>217</v>
      </c>
      <c r="AM253" t="s">
        <v>1827</v>
      </c>
      <c r="AN253" t="s">
        <v>6</v>
      </c>
      <c r="AO253" s="57">
        <v>46063.694699074076</v>
      </c>
      <c r="AP253" s="57">
        <v>46300.333333333336</v>
      </c>
      <c r="AR253" t="s">
        <v>218</v>
      </c>
      <c r="AS253" t="s">
        <v>219</v>
      </c>
      <c r="AT253" t="s">
        <v>230</v>
      </c>
      <c r="AU253">
        <v>20261005</v>
      </c>
      <c r="AV253" t="s">
        <v>221</v>
      </c>
      <c r="AW253" t="s">
        <v>540</v>
      </c>
      <c r="AX253" t="s">
        <v>222</v>
      </c>
      <c r="BA253" s="57">
        <v>46300.333333333336</v>
      </c>
      <c r="BB253" t="s">
        <v>1827</v>
      </c>
      <c r="BC253">
        <v>2026</v>
      </c>
      <c r="BD253">
        <v>10</v>
      </c>
      <c r="BE253">
        <v>5</v>
      </c>
      <c r="BF253" s="6">
        <f t="shared" si="9"/>
        <v>46300</v>
      </c>
      <c r="BG253">
        <f t="shared" si="10"/>
        <v>-0.33333333333575865</v>
      </c>
      <c r="BH253" t="str">
        <f t="shared" si="11"/>
        <v>COMPLY</v>
      </c>
      <c r="BI253" t="str">
        <f>VLOOKUP(H253,Sheet2!$A$1:$B$270,2,FALSE)</f>
        <v>MADURA</v>
      </c>
    </row>
    <row r="254" spans="1:61">
      <c r="A254">
        <v>253</v>
      </c>
      <c r="B254">
        <v>1002622783</v>
      </c>
      <c r="C254">
        <v>3</v>
      </c>
      <c r="D254" t="s">
        <v>55</v>
      </c>
      <c r="E254">
        <v>5</v>
      </c>
      <c r="F254" t="s">
        <v>227</v>
      </c>
      <c r="G254" t="s">
        <v>121</v>
      </c>
      <c r="H254" t="s">
        <v>442</v>
      </c>
      <c r="I254" t="s">
        <v>212</v>
      </c>
      <c r="J254" t="s">
        <v>213</v>
      </c>
      <c r="K254" t="s">
        <v>149</v>
      </c>
      <c r="M254" t="s">
        <v>76</v>
      </c>
      <c r="N254" t="s">
        <v>215</v>
      </c>
      <c r="O254" s="57">
        <v>46300.630023148151</v>
      </c>
      <c r="P254" s="57">
        <v>46300.756030092591</v>
      </c>
      <c r="Q254">
        <v>69403384</v>
      </c>
      <c r="S254">
        <v>152436205811</v>
      </c>
      <c r="T254" t="s">
        <v>1828</v>
      </c>
      <c r="U254" t="s">
        <v>2685</v>
      </c>
      <c r="V254" t="s">
        <v>2686</v>
      </c>
      <c r="Z254">
        <v>112.891474557712</v>
      </c>
      <c r="AA254">
        <v>-7.1536113354964499</v>
      </c>
      <c r="AB254" t="s">
        <v>1831</v>
      </c>
      <c r="AC254" t="s">
        <v>229</v>
      </c>
      <c r="AL254" t="s">
        <v>217</v>
      </c>
      <c r="AM254" t="s">
        <v>2687</v>
      </c>
      <c r="AN254" t="s">
        <v>6</v>
      </c>
      <c r="AO254" s="57">
        <v>46152.632743055554</v>
      </c>
      <c r="AR254" t="s">
        <v>218</v>
      </c>
      <c r="AS254" t="s">
        <v>219</v>
      </c>
      <c r="AT254" t="s">
        <v>220</v>
      </c>
      <c r="AU254">
        <v>20261005</v>
      </c>
      <c r="AV254" t="s">
        <v>221</v>
      </c>
      <c r="AW254" t="s">
        <v>576</v>
      </c>
      <c r="AX254" t="s">
        <v>222</v>
      </c>
      <c r="BA254" s="57">
        <v>46300.291666666664</v>
      </c>
      <c r="BB254" t="s">
        <v>2687</v>
      </c>
      <c r="BC254">
        <v>2026</v>
      </c>
      <c r="BD254">
        <v>10</v>
      </c>
      <c r="BE254">
        <v>5</v>
      </c>
      <c r="BF254" s="6">
        <f t="shared" si="9"/>
        <v>46300</v>
      </c>
      <c r="BG254">
        <f t="shared" si="10"/>
        <v>-0.29166666666424135</v>
      </c>
      <c r="BH254" t="str">
        <f t="shared" si="11"/>
        <v>COMPLY</v>
      </c>
      <c r="BI254" t="str">
        <f>VLOOKUP(H254,Sheet2!$A$1:$B$270,2,FALSE)</f>
        <v>MADURA</v>
      </c>
    </row>
    <row r="255" spans="1:61">
      <c r="A255">
        <v>254</v>
      </c>
      <c r="B255">
        <v>1002623690</v>
      </c>
      <c r="C255">
        <v>3</v>
      </c>
      <c r="D255" t="s">
        <v>55</v>
      </c>
      <c r="E255">
        <v>5</v>
      </c>
      <c r="F255" t="s">
        <v>227</v>
      </c>
      <c r="G255" t="s">
        <v>121</v>
      </c>
      <c r="H255" t="s">
        <v>442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46301.413599537038</v>
      </c>
      <c r="P255" s="57">
        <v>46301.68787037037</v>
      </c>
      <c r="Q255">
        <v>69404757</v>
      </c>
      <c r="S255">
        <v>152436205813</v>
      </c>
      <c r="T255" t="s">
        <v>3309</v>
      </c>
      <c r="U255" t="s">
        <v>3310</v>
      </c>
      <c r="V255" t="s">
        <v>3311</v>
      </c>
      <c r="Z255">
        <v>112.7200565</v>
      </c>
      <c r="AA255">
        <v>-7.1267005999999897</v>
      </c>
      <c r="AB255" t="s">
        <v>3312</v>
      </c>
      <c r="AC255" t="s">
        <v>235</v>
      </c>
      <c r="AL255" t="s">
        <v>217</v>
      </c>
      <c r="AM255" t="s">
        <v>3313</v>
      </c>
      <c r="AN255" t="s">
        <v>6</v>
      </c>
      <c r="AO255" s="57">
        <v>46183.424027777779</v>
      </c>
      <c r="AP255" s="57">
        <v>46302.333333333336</v>
      </c>
      <c r="AR255" t="s">
        <v>218</v>
      </c>
      <c r="AS255" t="s">
        <v>219</v>
      </c>
      <c r="AT255" t="s">
        <v>230</v>
      </c>
      <c r="AU255">
        <v>20261006</v>
      </c>
      <c r="AV255" t="s">
        <v>221</v>
      </c>
      <c r="AW255" t="s">
        <v>882</v>
      </c>
      <c r="AX255" t="s">
        <v>222</v>
      </c>
      <c r="BA255" s="57">
        <v>46302.333333333336</v>
      </c>
      <c r="BB255" t="s">
        <v>3313</v>
      </c>
      <c r="BC255">
        <v>2026</v>
      </c>
      <c r="BD255">
        <v>10</v>
      </c>
      <c r="BE255">
        <v>6</v>
      </c>
      <c r="BF255" s="6">
        <f t="shared" si="9"/>
        <v>46301</v>
      </c>
      <c r="BG255">
        <f t="shared" si="10"/>
        <v>-1.3333333333357587</v>
      </c>
      <c r="BH255" t="str">
        <f t="shared" si="11"/>
        <v>COMPLY</v>
      </c>
      <c r="BI255" t="str">
        <f>VLOOKUP(H255,Sheet2!$A$1:$B$270,2,FALSE)</f>
        <v>MADURA</v>
      </c>
    </row>
    <row r="256" spans="1:61">
      <c r="A256">
        <v>255</v>
      </c>
      <c r="B256">
        <v>1002627263</v>
      </c>
      <c r="C256">
        <v>3</v>
      </c>
      <c r="D256" t="s">
        <v>55</v>
      </c>
      <c r="E256">
        <v>5</v>
      </c>
      <c r="F256" t="s">
        <v>227</v>
      </c>
      <c r="G256" t="s">
        <v>121</v>
      </c>
      <c r="H256" t="s">
        <v>435</v>
      </c>
      <c r="I256" t="s">
        <v>212</v>
      </c>
      <c r="J256" t="s">
        <v>213</v>
      </c>
      <c r="K256" t="s">
        <v>149</v>
      </c>
      <c r="L256" t="s">
        <v>214</v>
      </c>
      <c r="M256" t="s">
        <v>238</v>
      </c>
      <c r="N256" t="s">
        <v>215</v>
      </c>
      <c r="O256" s="57">
        <v>46303.403171296297</v>
      </c>
      <c r="P256" s="57">
        <v>46303.404513888891</v>
      </c>
      <c r="Q256">
        <v>69406289</v>
      </c>
      <c r="S256">
        <v>152438209044</v>
      </c>
      <c r="T256" t="s">
        <v>4009</v>
      </c>
      <c r="U256" t="s">
        <v>4010</v>
      </c>
      <c r="V256" t="s">
        <v>4011</v>
      </c>
      <c r="Z256">
        <v>113.334747701883</v>
      </c>
      <c r="AA256">
        <v>-7.0517742082461101</v>
      </c>
      <c r="AB256" t="s">
        <v>4012</v>
      </c>
      <c r="AC256" t="s">
        <v>216</v>
      </c>
      <c r="AL256" t="s">
        <v>217</v>
      </c>
      <c r="AM256" t="s">
        <v>4013</v>
      </c>
      <c r="AN256" t="s">
        <v>6</v>
      </c>
      <c r="AO256" s="57">
        <v>46244.413414351853</v>
      </c>
      <c r="AP256" s="57">
        <v>46304.333333333336</v>
      </c>
      <c r="AR256" t="s">
        <v>239</v>
      </c>
      <c r="AS256" t="s">
        <v>219</v>
      </c>
      <c r="AT256" t="s">
        <v>230</v>
      </c>
      <c r="AV256" t="s">
        <v>238</v>
      </c>
      <c r="AW256" t="s">
        <v>876</v>
      </c>
      <c r="AX256" t="s">
        <v>222</v>
      </c>
      <c r="BA256" s="57">
        <v>46304.333333333336</v>
      </c>
      <c r="BB256" t="s">
        <v>4013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MADURA</v>
      </c>
    </row>
    <row r="257" spans="1:61">
      <c r="A257">
        <v>256</v>
      </c>
      <c r="B257">
        <v>1002621763</v>
      </c>
      <c r="C257">
        <v>3</v>
      </c>
      <c r="D257" t="s">
        <v>55</v>
      </c>
      <c r="E257">
        <v>5</v>
      </c>
      <c r="F257" t="s">
        <v>227</v>
      </c>
      <c r="G257" t="s">
        <v>121</v>
      </c>
      <c r="H257" t="s">
        <v>332</v>
      </c>
      <c r="I257" t="s">
        <v>212</v>
      </c>
      <c r="J257" t="s">
        <v>213</v>
      </c>
      <c r="K257" t="s">
        <v>149</v>
      </c>
      <c r="M257" t="s">
        <v>76</v>
      </c>
      <c r="N257" t="s">
        <v>215</v>
      </c>
      <c r="O257" s="57">
        <v>46300.401192129626</v>
      </c>
      <c r="P257" s="57">
        <v>46301.614340277774</v>
      </c>
      <c r="Q257">
        <v>69404064</v>
      </c>
      <c r="S257">
        <v>152434914046</v>
      </c>
      <c r="T257" t="s">
        <v>2688</v>
      </c>
      <c r="U257" t="s">
        <v>2689</v>
      </c>
      <c r="V257" t="s">
        <v>2690</v>
      </c>
      <c r="Z257">
        <v>113.2519231</v>
      </c>
      <c r="AA257">
        <v>-7.1953864999999997</v>
      </c>
      <c r="AB257" t="s">
        <v>2691</v>
      </c>
      <c r="AC257" t="s">
        <v>229</v>
      </c>
      <c r="AL257" t="s">
        <v>217</v>
      </c>
      <c r="AM257" t="s">
        <v>2692</v>
      </c>
      <c r="AN257" t="s">
        <v>6</v>
      </c>
      <c r="AO257" s="57">
        <v>46152.40284722222</v>
      </c>
      <c r="AP257" s="57">
        <v>46301.333333333336</v>
      </c>
      <c r="AR257" t="s">
        <v>218</v>
      </c>
      <c r="AS257" t="s">
        <v>333</v>
      </c>
      <c r="AT257" t="s">
        <v>230</v>
      </c>
      <c r="AU257">
        <v>20261006</v>
      </c>
      <c r="AV257" t="s">
        <v>221</v>
      </c>
      <c r="AW257" t="s">
        <v>577</v>
      </c>
      <c r="AX257" t="s">
        <v>222</v>
      </c>
      <c r="BA257" s="57">
        <v>46301.333333333336</v>
      </c>
      <c r="BB257" t="s">
        <v>2692</v>
      </c>
      <c r="BC257">
        <v>2026</v>
      </c>
      <c r="BD257">
        <v>10</v>
      </c>
      <c r="BE257">
        <v>6</v>
      </c>
      <c r="BF257" s="6">
        <f t="shared" si="9"/>
        <v>46301</v>
      </c>
      <c r="BG257">
        <f t="shared" si="10"/>
        <v>-0.33333333333575865</v>
      </c>
      <c r="BH257" t="str">
        <f t="shared" si="11"/>
        <v>COMPLY</v>
      </c>
      <c r="BI257" t="str">
        <f>VLOOKUP(H257,Sheet2!$A$1:$B$270,2,FALSE)</f>
        <v>MADURA</v>
      </c>
    </row>
    <row r="258" spans="1:61">
      <c r="A258">
        <v>257</v>
      </c>
      <c r="B258">
        <v>1002619611</v>
      </c>
      <c r="C258">
        <v>3</v>
      </c>
      <c r="D258" t="s">
        <v>55</v>
      </c>
      <c r="E258">
        <v>5</v>
      </c>
      <c r="F258" t="s">
        <v>227</v>
      </c>
      <c r="G258" t="s">
        <v>127</v>
      </c>
      <c r="H258" t="s">
        <v>228</v>
      </c>
      <c r="I258" t="s">
        <v>212</v>
      </c>
      <c r="J258" t="s">
        <v>213</v>
      </c>
      <c r="K258" t="s">
        <v>149</v>
      </c>
      <c r="L258" t="s">
        <v>214</v>
      </c>
      <c r="M258" t="s">
        <v>1401</v>
      </c>
      <c r="N258" t="s">
        <v>215</v>
      </c>
      <c r="O258" s="57">
        <v>46297.491423611114</v>
      </c>
      <c r="P258" s="57">
        <v>46301.496388888889</v>
      </c>
      <c r="Q258">
        <v>69402992</v>
      </c>
      <c r="S258">
        <v>152426929016</v>
      </c>
      <c r="T258" t="s">
        <v>1844</v>
      </c>
      <c r="U258" t="s">
        <v>1845</v>
      </c>
      <c r="V258" t="s">
        <v>1846</v>
      </c>
      <c r="Z258">
        <v>113.4595856</v>
      </c>
      <c r="AA258">
        <v>-7.1504399000000003</v>
      </c>
      <c r="AB258" t="s">
        <v>1847</v>
      </c>
      <c r="AC258" t="s">
        <v>216</v>
      </c>
      <c r="AL258" t="s">
        <v>217</v>
      </c>
      <c r="AM258" t="s">
        <v>1848</v>
      </c>
      <c r="AN258" t="s">
        <v>6</v>
      </c>
      <c r="AO258" s="57">
        <v>46063.507453703707</v>
      </c>
      <c r="AP258" s="57">
        <v>46298.333333333336</v>
      </c>
      <c r="AR258" t="s">
        <v>14</v>
      </c>
      <c r="AS258" t="s">
        <v>127</v>
      </c>
      <c r="AT258" t="s">
        <v>220</v>
      </c>
      <c r="AV258" t="s">
        <v>2693</v>
      </c>
      <c r="AW258" t="s">
        <v>1481</v>
      </c>
      <c r="AX258" t="s">
        <v>222</v>
      </c>
      <c r="BA258" s="57">
        <v>46298.333333333336</v>
      </c>
      <c r="BB258" t="s">
        <v>1848</v>
      </c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str">
        <f>VLOOKUP(H258,Sheet2!$A$1:$B$270,2,FALSE)</f>
        <v>MADURA</v>
      </c>
    </row>
    <row r="259" spans="1:61">
      <c r="A259">
        <v>258</v>
      </c>
      <c r="B259">
        <v>1002619236</v>
      </c>
      <c r="C259">
        <v>3</v>
      </c>
      <c r="D259" t="s">
        <v>55</v>
      </c>
      <c r="E259">
        <v>5</v>
      </c>
      <c r="F259" t="s">
        <v>227</v>
      </c>
      <c r="G259" t="s">
        <v>127</v>
      </c>
      <c r="H259" t="s">
        <v>228</v>
      </c>
      <c r="I259" t="s">
        <v>212</v>
      </c>
      <c r="J259" t="s">
        <v>213</v>
      </c>
      <c r="K259" t="s">
        <v>149</v>
      </c>
      <c r="L259" t="s">
        <v>214</v>
      </c>
      <c r="M259" t="s">
        <v>1401</v>
      </c>
      <c r="N259" t="s">
        <v>215</v>
      </c>
      <c r="O259" s="57">
        <v>46297.417824074073</v>
      </c>
      <c r="P259" s="57">
        <v>46300.583437499998</v>
      </c>
      <c r="Q259">
        <v>69402830</v>
      </c>
      <c r="S259">
        <v>152426929011</v>
      </c>
      <c r="T259" t="s">
        <v>1849</v>
      </c>
      <c r="U259" t="s">
        <v>1835</v>
      </c>
      <c r="V259" t="s">
        <v>1850</v>
      </c>
      <c r="Z259">
        <v>113.512112125754</v>
      </c>
      <c r="AA259">
        <v>-7.0988139258168896</v>
      </c>
      <c r="AB259" t="s">
        <v>1851</v>
      </c>
      <c r="AC259" t="s">
        <v>216</v>
      </c>
      <c r="AL259" t="s">
        <v>217</v>
      </c>
      <c r="AM259" t="s">
        <v>1852</v>
      </c>
      <c r="AN259" t="s">
        <v>6</v>
      </c>
      <c r="AO259" s="57">
        <v>46063.42392361111</v>
      </c>
      <c r="AP259" s="57">
        <v>46298.333333333336</v>
      </c>
      <c r="AQ259" t="s">
        <v>841</v>
      </c>
      <c r="AR259" t="s">
        <v>14</v>
      </c>
      <c r="AS259" t="s">
        <v>127</v>
      </c>
      <c r="AT259" t="s">
        <v>230</v>
      </c>
      <c r="AV259" t="s">
        <v>2694</v>
      </c>
      <c r="AW259" t="s">
        <v>1853</v>
      </c>
      <c r="AX259" t="s">
        <v>222</v>
      </c>
      <c r="BA259" s="57">
        <v>46298.333333333336</v>
      </c>
      <c r="BB259" t="s">
        <v>1852</v>
      </c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str">
        <f>VLOOKUP(H259,Sheet2!$A$1:$B$270,2,FALSE)</f>
        <v>MADURA</v>
      </c>
    </row>
    <row r="260" spans="1:61">
      <c r="A260">
        <v>259</v>
      </c>
      <c r="B260">
        <v>1002620828</v>
      </c>
      <c r="C260">
        <v>3</v>
      </c>
      <c r="D260" t="s">
        <v>55</v>
      </c>
      <c r="E260">
        <v>5</v>
      </c>
      <c r="F260" t="s">
        <v>227</v>
      </c>
      <c r="G260" t="s">
        <v>127</v>
      </c>
      <c r="H260" t="s">
        <v>228</v>
      </c>
      <c r="I260" t="s">
        <v>212</v>
      </c>
      <c r="J260" t="s">
        <v>213</v>
      </c>
      <c r="K260" t="s">
        <v>149</v>
      </c>
      <c r="L260" t="s">
        <v>214</v>
      </c>
      <c r="M260" t="s">
        <v>1401</v>
      </c>
      <c r="N260" t="s">
        <v>215</v>
      </c>
      <c r="O260" s="57">
        <v>46298.438680555555</v>
      </c>
      <c r="P260" s="57">
        <v>46300.795659722222</v>
      </c>
      <c r="Q260">
        <v>69403515</v>
      </c>
      <c r="S260">
        <v>152426929025</v>
      </c>
      <c r="T260" t="s">
        <v>1854</v>
      </c>
      <c r="U260" t="s">
        <v>1855</v>
      </c>
      <c r="V260" t="s">
        <v>1856</v>
      </c>
      <c r="Z260">
        <v>113.48979439999999</v>
      </c>
      <c r="AA260">
        <v>-7.0546943000000004</v>
      </c>
      <c r="AB260" t="s">
        <v>1857</v>
      </c>
      <c r="AC260" t="s">
        <v>216</v>
      </c>
      <c r="AL260" t="s">
        <v>217</v>
      </c>
      <c r="AM260" t="s">
        <v>1608</v>
      </c>
      <c r="AN260" t="s">
        <v>6</v>
      </c>
      <c r="AO260" s="57">
        <v>46091.444571759261</v>
      </c>
      <c r="AP260" s="57">
        <v>46299.333333333336</v>
      </c>
      <c r="AR260" t="s">
        <v>14</v>
      </c>
      <c r="AS260" t="s">
        <v>127</v>
      </c>
      <c r="AT260" t="s">
        <v>220</v>
      </c>
      <c r="AV260" t="s">
        <v>2695</v>
      </c>
      <c r="AW260" t="s">
        <v>1481</v>
      </c>
      <c r="AX260" t="s">
        <v>222</v>
      </c>
      <c r="BA260" s="57">
        <v>46299.333333333336</v>
      </c>
      <c r="BB260" t="s">
        <v>1608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str">
        <f>VLOOKUP(H260,Sheet2!$A$1:$B$270,2,FALSE)</f>
        <v>MADURA</v>
      </c>
    </row>
    <row r="261" spans="1:61">
      <c r="A261">
        <v>260</v>
      </c>
      <c r="B261">
        <v>1002621257</v>
      </c>
      <c r="C261">
        <v>3</v>
      </c>
      <c r="D261" t="s">
        <v>55</v>
      </c>
      <c r="E261">
        <v>5</v>
      </c>
      <c r="F261" t="s">
        <v>227</v>
      </c>
      <c r="G261" t="s">
        <v>127</v>
      </c>
      <c r="H261" t="s">
        <v>228</v>
      </c>
      <c r="I261" t="s">
        <v>212</v>
      </c>
      <c r="J261" t="s">
        <v>213</v>
      </c>
      <c r="K261" t="s">
        <v>149</v>
      </c>
      <c r="L261" t="s">
        <v>214</v>
      </c>
      <c r="M261" t="s">
        <v>836</v>
      </c>
      <c r="N261" t="s">
        <v>215</v>
      </c>
      <c r="O261" s="57">
        <v>46299.388599537036</v>
      </c>
      <c r="P261" s="57">
        <v>46300.417638888888</v>
      </c>
      <c r="Q261">
        <v>69403810</v>
      </c>
      <c r="S261">
        <v>152426929035</v>
      </c>
      <c r="T261" t="s">
        <v>1834</v>
      </c>
      <c r="U261" t="s">
        <v>1835</v>
      </c>
      <c r="V261" t="s">
        <v>1836</v>
      </c>
      <c r="Z261">
        <v>113.5122076</v>
      </c>
      <c r="AA261">
        <v>-7.0985389999999997</v>
      </c>
      <c r="AB261" t="s">
        <v>1837</v>
      </c>
      <c r="AC261" t="s">
        <v>216</v>
      </c>
      <c r="AL261" t="s">
        <v>217</v>
      </c>
      <c r="AM261" t="s">
        <v>1838</v>
      </c>
      <c r="AN261" t="s">
        <v>6</v>
      </c>
      <c r="AO261" s="57">
        <v>46122.392488425925</v>
      </c>
      <c r="AP261" s="57">
        <v>46300.333333333336</v>
      </c>
      <c r="AQ261" t="s">
        <v>841</v>
      </c>
      <c r="AR261" t="s">
        <v>14</v>
      </c>
      <c r="AS261" t="s">
        <v>127</v>
      </c>
      <c r="AT261" t="s">
        <v>220</v>
      </c>
      <c r="AV261" t="s">
        <v>837</v>
      </c>
      <c r="AW261" t="s">
        <v>1481</v>
      </c>
      <c r="AX261" t="s">
        <v>222</v>
      </c>
      <c r="BA261" s="57">
        <v>46300.333333333336</v>
      </c>
      <c r="BB261" t="s">
        <v>1838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MADURA</v>
      </c>
    </row>
    <row r="262" spans="1:61">
      <c r="A262">
        <v>261</v>
      </c>
      <c r="B262">
        <v>1002617805</v>
      </c>
      <c r="C262">
        <v>3</v>
      </c>
      <c r="D262" t="s">
        <v>55</v>
      </c>
      <c r="E262">
        <v>5</v>
      </c>
      <c r="F262" t="s">
        <v>227</v>
      </c>
      <c r="G262" t="s">
        <v>127</v>
      </c>
      <c r="H262" t="s">
        <v>228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46296.549062500002</v>
      </c>
      <c r="P262" s="57">
        <v>46296.781111111108</v>
      </c>
      <c r="Q262">
        <v>69402337</v>
      </c>
      <c r="S262">
        <v>152426927954</v>
      </c>
      <c r="T262" t="s">
        <v>1047</v>
      </c>
      <c r="U262" t="s">
        <v>1048</v>
      </c>
      <c r="V262" t="s">
        <v>1049</v>
      </c>
      <c r="Z262">
        <v>113.49644410000001</v>
      </c>
      <c r="AA262">
        <v>-7.1762366000000002</v>
      </c>
      <c r="AB262" t="s">
        <v>1050</v>
      </c>
      <c r="AC262" t="s">
        <v>216</v>
      </c>
      <c r="AL262" t="s">
        <v>217</v>
      </c>
      <c r="AM262" t="s">
        <v>1051</v>
      </c>
      <c r="AN262" t="s">
        <v>6</v>
      </c>
      <c r="AO262" s="57">
        <v>46032.559305555558</v>
      </c>
      <c r="AP262" s="57">
        <v>46297.458333333336</v>
      </c>
      <c r="AR262" t="s">
        <v>218</v>
      </c>
      <c r="AS262" t="s">
        <v>127</v>
      </c>
      <c r="AT262" t="s">
        <v>220</v>
      </c>
      <c r="AU262">
        <v>20261001</v>
      </c>
      <c r="AV262" t="s">
        <v>221</v>
      </c>
      <c r="AW262" t="s">
        <v>874</v>
      </c>
      <c r="AX262" t="s">
        <v>222</v>
      </c>
      <c r="BA262" s="57">
        <v>46297.458333333336</v>
      </c>
      <c r="BB262" t="s">
        <v>1051</v>
      </c>
      <c r="BC262">
        <v>2026</v>
      </c>
      <c r="BD262">
        <v>10</v>
      </c>
      <c r="BE262">
        <v>1</v>
      </c>
      <c r="BF262" s="6">
        <f t="shared" si="12"/>
        <v>46296</v>
      </c>
      <c r="BG262">
        <f t="shared" si="13"/>
        <v>-1.4583333333357587</v>
      </c>
      <c r="BH262" t="str">
        <f t="shared" si="14"/>
        <v>COMPLY</v>
      </c>
      <c r="BI262" t="str">
        <f>VLOOKUP(H262,Sheet2!$A$1:$B$270,2,FALSE)</f>
        <v>MADURA</v>
      </c>
    </row>
    <row r="263" spans="1:61">
      <c r="A263">
        <v>262</v>
      </c>
      <c r="B263">
        <v>1002618796</v>
      </c>
      <c r="C263">
        <v>3</v>
      </c>
      <c r="D263" t="s">
        <v>55</v>
      </c>
      <c r="E263">
        <v>5</v>
      </c>
      <c r="F263" t="s">
        <v>227</v>
      </c>
      <c r="G263" t="s">
        <v>127</v>
      </c>
      <c r="H263" t="s">
        <v>228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46296.77684027778</v>
      </c>
      <c r="P263" s="57">
        <v>46297.622916666667</v>
      </c>
      <c r="Q263">
        <v>69402671</v>
      </c>
      <c r="S263">
        <v>152426929004</v>
      </c>
      <c r="T263" t="s">
        <v>911</v>
      </c>
      <c r="U263" t="s">
        <v>1052</v>
      </c>
      <c r="V263" t="s">
        <v>1053</v>
      </c>
      <c r="Z263">
        <v>113.49806908518001</v>
      </c>
      <c r="AA263">
        <v>-7.2094180077046204</v>
      </c>
      <c r="AB263" t="s">
        <v>1054</v>
      </c>
      <c r="AC263" t="s">
        <v>216</v>
      </c>
      <c r="AL263" t="s">
        <v>217</v>
      </c>
      <c r="AM263" t="s">
        <v>1055</v>
      </c>
      <c r="AN263" t="s">
        <v>6</v>
      </c>
      <c r="AO263" s="57">
        <v>46032.777997685182</v>
      </c>
      <c r="AP263" s="57">
        <v>46297.625</v>
      </c>
      <c r="AR263" t="s">
        <v>218</v>
      </c>
      <c r="AS263" t="s">
        <v>127</v>
      </c>
      <c r="AT263" t="s">
        <v>220</v>
      </c>
      <c r="AU263">
        <v>20261002</v>
      </c>
      <c r="AV263" t="s">
        <v>221</v>
      </c>
      <c r="AW263" t="s">
        <v>833</v>
      </c>
      <c r="AX263" t="s">
        <v>222</v>
      </c>
      <c r="BA263" s="57">
        <v>46297.625</v>
      </c>
      <c r="BB263" t="s">
        <v>1055</v>
      </c>
      <c r="BC263">
        <v>2026</v>
      </c>
      <c r="BD263">
        <v>10</v>
      </c>
      <c r="BE263">
        <v>2</v>
      </c>
      <c r="BF263" s="6">
        <f t="shared" si="12"/>
        <v>46297</v>
      </c>
      <c r="BG263">
        <f t="shared" si="13"/>
        <v>-0.625</v>
      </c>
      <c r="BH263" t="str">
        <f t="shared" si="14"/>
        <v>COMPLY</v>
      </c>
      <c r="BI263" t="str">
        <f>VLOOKUP(H263,Sheet2!$A$1:$B$270,2,FALSE)</f>
        <v>MADURA</v>
      </c>
    </row>
    <row r="264" spans="1:61">
      <c r="A264">
        <v>263</v>
      </c>
      <c r="B264">
        <v>1002619245</v>
      </c>
      <c r="C264">
        <v>3</v>
      </c>
      <c r="D264" t="s">
        <v>55</v>
      </c>
      <c r="E264">
        <v>5</v>
      </c>
      <c r="F264" t="s">
        <v>227</v>
      </c>
      <c r="G264" t="s">
        <v>127</v>
      </c>
      <c r="H264" t="s">
        <v>228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46297.419907407406</v>
      </c>
      <c r="P264" s="57">
        <v>46297.788761574076</v>
      </c>
      <c r="Q264">
        <v>69402839</v>
      </c>
      <c r="S264">
        <v>152426929012</v>
      </c>
      <c r="T264" t="s">
        <v>1839</v>
      </c>
      <c r="U264" t="s">
        <v>1840</v>
      </c>
      <c r="V264" t="s">
        <v>1841</v>
      </c>
      <c r="Z264">
        <v>113.5561798</v>
      </c>
      <c r="AA264">
        <v>-7.1313855999999998</v>
      </c>
      <c r="AB264" t="s">
        <v>1842</v>
      </c>
      <c r="AC264" t="s">
        <v>216</v>
      </c>
      <c r="AL264" t="s">
        <v>217</v>
      </c>
      <c r="AM264" t="s">
        <v>1843</v>
      </c>
      <c r="AN264" t="s">
        <v>6</v>
      </c>
      <c r="AO264" s="57">
        <v>46063.42392361111</v>
      </c>
      <c r="AP264" s="57">
        <v>46298.333333333336</v>
      </c>
      <c r="AR264" t="s">
        <v>218</v>
      </c>
      <c r="AS264" t="s">
        <v>127</v>
      </c>
      <c r="AT264" t="s">
        <v>220</v>
      </c>
      <c r="AU264">
        <v>20261002</v>
      </c>
      <c r="AV264" t="s">
        <v>221</v>
      </c>
      <c r="AW264" t="s">
        <v>833</v>
      </c>
      <c r="AX264" t="s">
        <v>222</v>
      </c>
      <c r="BA264" s="57">
        <v>46298.333333333336</v>
      </c>
      <c r="BB264" t="s">
        <v>1843</v>
      </c>
      <c r="BC264">
        <v>2026</v>
      </c>
      <c r="BD264">
        <v>10</v>
      </c>
      <c r="BE264">
        <v>2</v>
      </c>
      <c r="BF264" s="6">
        <f t="shared" si="12"/>
        <v>46297</v>
      </c>
      <c r="BG264">
        <f t="shared" si="13"/>
        <v>-1.3333333333357587</v>
      </c>
      <c r="BH264" t="str">
        <f t="shared" si="14"/>
        <v>COMPLY</v>
      </c>
      <c r="BI264" t="str">
        <f>VLOOKUP(H264,Sheet2!$A$1:$B$270,2,FALSE)</f>
        <v>MADURA</v>
      </c>
    </row>
    <row r="265" spans="1:61">
      <c r="A265">
        <v>264</v>
      </c>
      <c r="B265">
        <v>1002622548</v>
      </c>
      <c r="C265">
        <v>3</v>
      </c>
      <c r="D265" t="s">
        <v>55</v>
      </c>
      <c r="E265">
        <v>5</v>
      </c>
      <c r="F265" t="s">
        <v>227</v>
      </c>
      <c r="G265" t="s">
        <v>127</v>
      </c>
      <c r="H265" t="s">
        <v>228</v>
      </c>
      <c r="I265" t="s">
        <v>212</v>
      </c>
      <c r="J265" t="s">
        <v>213</v>
      </c>
      <c r="K265" t="s">
        <v>149</v>
      </c>
      <c r="M265" t="s">
        <v>76</v>
      </c>
      <c r="N265" t="s">
        <v>215</v>
      </c>
      <c r="O265" s="57">
        <v>46300.583449074074</v>
      </c>
      <c r="P265" s="57">
        <v>46300.6562962963</v>
      </c>
      <c r="Q265">
        <v>69402830</v>
      </c>
      <c r="S265">
        <v>152426929046</v>
      </c>
      <c r="T265" t="s">
        <v>1849</v>
      </c>
      <c r="U265" t="s">
        <v>2696</v>
      </c>
      <c r="V265" t="s">
        <v>2697</v>
      </c>
      <c r="Z265">
        <v>113.511814148215</v>
      </c>
      <c r="AA265">
        <v>-7.0988542199014297</v>
      </c>
      <c r="AB265" t="s">
        <v>1851</v>
      </c>
      <c r="AC265" t="s">
        <v>216</v>
      </c>
      <c r="AL265" t="s">
        <v>217</v>
      </c>
      <c r="AM265" t="s">
        <v>2698</v>
      </c>
      <c r="AN265" t="s">
        <v>6</v>
      </c>
      <c r="AO265" s="57">
        <v>46152.601203703707</v>
      </c>
      <c r="AR265" t="s">
        <v>218</v>
      </c>
      <c r="AS265" t="s">
        <v>127</v>
      </c>
      <c r="AT265" t="s">
        <v>230</v>
      </c>
      <c r="AU265">
        <v>20261005</v>
      </c>
      <c r="AV265" t="s">
        <v>221</v>
      </c>
      <c r="AW265" t="s">
        <v>2699</v>
      </c>
      <c r="AX265" t="s">
        <v>222</v>
      </c>
      <c r="BA265" s="57">
        <v>46300.291666666664</v>
      </c>
      <c r="BB265" t="s">
        <v>2698</v>
      </c>
      <c r="BC265">
        <v>2026</v>
      </c>
      <c r="BD265">
        <v>10</v>
      </c>
      <c r="BE265">
        <v>5</v>
      </c>
      <c r="BF265" s="6">
        <f t="shared" si="12"/>
        <v>46300</v>
      </c>
      <c r="BG265">
        <f t="shared" si="13"/>
        <v>-0.29166666666424135</v>
      </c>
      <c r="BH265" t="str">
        <f t="shared" si="14"/>
        <v>COMPLY</v>
      </c>
      <c r="BI265" t="str">
        <f>VLOOKUP(H265,Sheet2!$A$1:$B$270,2,FALSE)</f>
        <v>MADURA</v>
      </c>
    </row>
    <row r="266" spans="1:61">
      <c r="A266">
        <v>265</v>
      </c>
      <c r="B266">
        <v>1002623299</v>
      </c>
      <c r="C266">
        <v>3</v>
      </c>
      <c r="D266" t="s">
        <v>55</v>
      </c>
      <c r="E266">
        <v>5</v>
      </c>
      <c r="F266" t="s">
        <v>227</v>
      </c>
      <c r="G266" t="s">
        <v>127</v>
      </c>
      <c r="H266" t="s">
        <v>228</v>
      </c>
      <c r="I266" t="s">
        <v>212</v>
      </c>
      <c r="J266" t="s">
        <v>213</v>
      </c>
      <c r="K266" t="s">
        <v>149</v>
      </c>
      <c r="M266" t="s">
        <v>76</v>
      </c>
      <c r="N266" t="s">
        <v>215</v>
      </c>
      <c r="O266" s="57">
        <v>46300.795659722222</v>
      </c>
      <c r="P266" s="57">
        <v>46300.889351851853</v>
      </c>
      <c r="Q266">
        <v>69403515</v>
      </c>
      <c r="S266">
        <v>152426929054</v>
      </c>
      <c r="T266" t="s">
        <v>1854</v>
      </c>
      <c r="U266" t="s">
        <v>2700</v>
      </c>
      <c r="V266" t="s">
        <v>2701</v>
      </c>
      <c r="Z266">
        <v>113.489784403176</v>
      </c>
      <c r="AA266">
        <v>-7.0534656918604997</v>
      </c>
      <c r="AB266" t="s">
        <v>1857</v>
      </c>
      <c r="AC266" t="s">
        <v>216</v>
      </c>
      <c r="AL266" t="s">
        <v>217</v>
      </c>
      <c r="AM266" t="s">
        <v>1808</v>
      </c>
      <c r="AN266" t="s">
        <v>6</v>
      </c>
      <c r="AO266" s="57">
        <v>46152.809282407405</v>
      </c>
      <c r="AR266" t="s">
        <v>218</v>
      </c>
      <c r="AS266" t="s">
        <v>127</v>
      </c>
      <c r="AT266" t="s">
        <v>220</v>
      </c>
      <c r="AU266">
        <v>20261005</v>
      </c>
      <c r="AV266" t="s">
        <v>221</v>
      </c>
      <c r="AW266" t="s">
        <v>2702</v>
      </c>
      <c r="AX266" t="s">
        <v>222</v>
      </c>
      <c r="BA266" s="57">
        <v>46300.291666666664</v>
      </c>
      <c r="BB266" t="s">
        <v>1808</v>
      </c>
      <c r="BC266">
        <v>2026</v>
      </c>
      <c r="BD266">
        <v>10</v>
      </c>
      <c r="BE266">
        <v>5</v>
      </c>
      <c r="BF266" s="6">
        <f t="shared" si="12"/>
        <v>46300</v>
      </c>
      <c r="BG266">
        <f t="shared" si="13"/>
        <v>-0.29166666666424135</v>
      </c>
      <c r="BH266" t="str">
        <f t="shared" si="14"/>
        <v>COMPLY</v>
      </c>
      <c r="BI266" t="str">
        <f>VLOOKUP(H266,Sheet2!$A$1:$B$270,2,FALSE)</f>
        <v>MADURA</v>
      </c>
    </row>
    <row r="267" spans="1:61">
      <c r="A267">
        <v>266</v>
      </c>
      <c r="B267">
        <v>1002624082</v>
      </c>
      <c r="C267">
        <v>3</v>
      </c>
      <c r="D267" t="s">
        <v>55</v>
      </c>
      <c r="E267">
        <v>5</v>
      </c>
      <c r="F267" t="s">
        <v>227</v>
      </c>
      <c r="G267" t="s">
        <v>127</v>
      </c>
      <c r="H267" t="s">
        <v>228</v>
      </c>
      <c r="I267" t="s">
        <v>212</v>
      </c>
      <c r="J267" t="s">
        <v>213</v>
      </c>
      <c r="K267" t="s">
        <v>149</v>
      </c>
      <c r="M267" t="s">
        <v>76</v>
      </c>
      <c r="N267" t="s">
        <v>215</v>
      </c>
      <c r="O267" s="57">
        <v>46301.496400462966</v>
      </c>
      <c r="P267" s="57">
        <v>46301.568020833336</v>
      </c>
      <c r="Q267">
        <v>69402992</v>
      </c>
      <c r="S267">
        <v>152426929064</v>
      </c>
      <c r="T267" t="s">
        <v>1844</v>
      </c>
      <c r="U267" t="s">
        <v>3314</v>
      </c>
      <c r="V267" t="s">
        <v>3315</v>
      </c>
      <c r="Z267">
        <v>113.478144303219</v>
      </c>
      <c r="AA267">
        <v>-7.0797667469769499</v>
      </c>
      <c r="AB267" t="s">
        <v>1847</v>
      </c>
      <c r="AC267" t="s">
        <v>216</v>
      </c>
      <c r="AL267" t="s">
        <v>217</v>
      </c>
      <c r="AM267" t="s">
        <v>3316</v>
      </c>
      <c r="AN267" t="s">
        <v>6</v>
      </c>
      <c r="AO267" s="57">
        <v>46183.517812500002</v>
      </c>
      <c r="AR267" t="s">
        <v>218</v>
      </c>
      <c r="AS267" t="s">
        <v>127</v>
      </c>
      <c r="AT267" t="s">
        <v>220</v>
      </c>
      <c r="AU267">
        <v>20261006</v>
      </c>
      <c r="AV267" t="s">
        <v>221</v>
      </c>
      <c r="AW267" t="s">
        <v>540</v>
      </c>
      <c r="AX267" t="s">
        <v>222</v>
      </c>
      <c r="BA267" s="57">
        <v>46301.291666666664</v>
      </c>
      <c r="BB267" t="s">
        <v>3316</v>
      </c>
      <c r="BC267">
        <v>2026</v>
      </c>
      <c r="BD267">
        <v>10</v>
      </c>
      <c r="BE267">
        <v>6</v>
      </c>
      <c r="BF267" s="6">
        <f t="shared" si="12"/>
        <v>46301</v>
      </c>
      <c r="BG267">
        <f t="shared" si="13"/>
        <v>-0.29166666666424135</v>
      </c>
      <c r="BH267" t="str">
        <f t="shared" si="14"/>
        <v>COMPLY</v>
      </c>
      <c r="BI267" t="str">
        <f>VLOOKUP(H267,Sheet2!$A$1:$B$270,2,FALSE)</f>
        <v>MADURA</v>
      </c>
    </row>
    <row r="268" spans="1:61">
      <c r="A268">
        <v>267</v>
      </c>
      <c r="B268">
        <v>1002626919</v>
      </c>
      <c r="C268">
        <v>3</v>
      </c>
      <c r="D268" t="s">
        <v>55</v>
      </c>
      <c r="E268">
        <v>5</v>
      </c>
      <c r="F268" t="s">
        <v>227</v>
      </c>
      <c r="G268" t="s">
        <v>127</v>
      </c>
      <c r="H268" t="s">
        <v>228</v>
      </c>
      <c r="I268" t="s">
        <v>212</v>
      </c>
      <c r="J268" t="s">
        <v>213</v>
      </c>
      <c r="K268" t="s">
        <v>149</v>
      </c>
      <c r="L268" t="s">
        <v>214</v>
      </c>
      <c r="M268" t="s">
        <v>238</v>
      </c>
      <c r="N268" t="s">
        <v>215</v>
      </c>
      <c r="O268" s="57">
        <v>46302.767812500002</v>
      </c>
      <c r="P268" s="57">
        <v>46302.769479166665</v>
      </c>
      <c r="Q268">
        <v>69406167</v>
      </c>
      <c r="S268">
        <v>152426929083</v>
      </c>
      <c r="T268" t="s">
        <v>4014</v>
      </c>
      <c r="U268" t="s">
        <v>4015</v>
      </c>
      <c r="V268" t="s">
        <v>4016</v>
      </c>
      <c r="Z268">
        <v>113.402395024895</v>
      </c>
      <c r="AA268">
        <v>-7.1207201019845101</v>
      </c>
      <c r="AB268" t="s">
        <v>4017</v>
      </c>
      <c r="AC268" t="s">
        <v>216</v>
      </c>
      <c r="AL268" t="s">
        <v>217</v>
      </c>
      <c r="AM268" t="s">
        <v>4018</v>
      </c>
      <c r="AN268" t="s">
        <v>6</v>
      </c>
      <c r="AO268" s="57">
        <v>46213.778194444443</v>
      </c>
      <c r="AP268" s="57">
        <v>46304.333333333336</v>
      </c>
      <c r="AR268" t="s">
        <v>239</v>
      </c>
      <c r="AS268" t="s">
        <v>127</v>
      </c>
      <c r="AT268" t="s">
        <v>220</v>
      </c>
      <c r="AV268" t="s">
        <v>238</v>
      </c>
      <c r="AW268" t="s">
        <v>4019</v>
      </c>
      <c r="AX268" t="s">
        <v>222</v>
      </c>
      <c r="BA268" s="57">
        <v>46304.333333333336</v>
      </c>
      <c r="BB268" t="s">
        <v>4018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str">
        <f>VLOOKUP(H268,Sheet2!$A$1:$B$270,2,FALSE)</f>
        <v>MADURA</v>
      </c>
    </row>
    <row r="269" spans="1:61">
      <c r="A269">
        <v>268</v>
      </c>
      <c r="B269">
        <v>1002617619</v>
      </c>
      <c r="C269">
        <v>3</v>
      </c>
      <c r="D269" t="s">
        <v>55</v>
      </c>
      <c r="E269">
        <v>5</v>
      </c>
      <c r="F269" t="s">
        <v>227</v>
      </c>
      <c r="G269" t="s">
        <v>127</v>
      </c>
      <c r="H269" t="s">
        <v>354</v>
      </c>
      <c r="I269" t="s">
        <v>212</v>
      </c>
      <c r="J269" t="s">
        <v>213</v>
      </c>
      <c r="K269" t="s">
        <v>149</v>
      </c>
      <c r="M269" t="s">
        <v>836</v>
      </c>
      <c r="N269" t="s">
        <v>215</v>
      </c>
      <c r="O269" s="57">
        <v>46296.483969907407</v>
      </c>
      <c r="P269" s="57">
        <v>46303.412673611114</v>
      </c>
      <c r="Q269">
        <v>69402269</v>
      </c>
      <c r="S269">
        <v>152454200101</v>
      </c>
      <c r="T269" t="s">
        <v>1056</v>
      </c>
      <c r="U269" t="s">
        <v>1057</v>
      </c>
      <c r="V269" t="s">
        <v>1058</v>
      </c>
      <c r="Z269">
        <v>115.2862231</v>
      </c>
      <c r="AA269">
        <v>-6.8636872000000002</v>
      </c>
      <c r="AB269" t="s">
        <v>1059</v>
      </c>
      <c r="AC269" t="s">
        <v>229</v>
      </c>
      <c r="AL269" t="s">
        <v>217</v>
      </c>
      <c r="AM269" t="s">
        <v>1060</v>
      </c>
      <c r="AN269" t="s">
        <v>6</v>
      </c>
      <c r="AO269" s="57">
        <v>46032.486342592594</v>
      </c>
      <c r="AP269" s="57">
        <v>46297.458333333336</v>
      </c>
      <c r="AQ269" t="s">
        <v>838</v>
      </c>
      <c r="AR269" t="s">
        <v>14</v>
      </c>
      <c r="AS269" t="s">
        <v>219</v>
      </c>
      <c r="AT269" t="s">
        <v>230</v>
      </c>
      <c r="AV269" t="s">
        <v>837</v>
      </c>
      <c r="AW269" t="s">
        <v>540</v>
      </c>
      <c r="AX269" t="s">
        <v>222</v>
      </c>
      <c r="BA269" s="57">
        <v>46297.458333333336</v>
      </c>
      <c r="BB269" t="s">
        <v>1060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str">
        <f>VLOOKUP(H269,Sheet2!$A$1:$B$270,2,FALSE)</f>
        <v>MADURA</v>
      </c>
    </row>
    <row r="270" spans="1:61">
      <c r="A270">
        <v>269</v>
      </c>
      <c r="B270">
        <v>1002621759</v>
      </c>
      <c r="C270">
        <v>3</v>
      </c>
      <c r="D270" t="s">
        <v>55</v>
      </c>
      <c r="E270">
        <v>5</v>
      </c>
      <c r="F270" t="s">
        <v>227</v>
      </c>
      <c r="G270" t="s">
        <v>127</v>
      </c>
      <c r="H270" t="s">
        <v>354</v>
      </c>
      <c r="I270" t="s">
        <v>212</v>
      </c>
      <c r="J270" t="s">
        <v>213</v>
      </c>
      <c r="K270" t="s">
        <v>149</v>
      </c>
      <c r="M270" t="s">
        <v>279</v>
      </c>
      <c r="N270" t="s">
        <v>563</v>
      </c>
      <c r="O270" s="57">
        <v>46300.399965277778</v>
      </c>
      <c r="P270" s="57">
        <v>46302.532800925925</v>
      </c>
      <c r="Q270">
        <v>69404060</v>
      </c>
      <c r="S270">
        <v>152454200104</v>
      </c>
      <c r="T270" t="s">
        <v>3317</v>
      </c>
      <c r="U270" t="s">
        <v>2703</v>
      </c>
      <c r="V270" t="s">
        <v>3318</v>
      </c>
      <c r="Z270">
        <v>115.3229334</v>
      </c>
      <c r="AA270">
        <v>-6.8511921999999998</v>
      </c>
      <c r="AB270" t="s">
        <v>2704</v>
      </c>
      <c r="AC270" t="s">
        <v>229</v>
      </c>
      <c r="AL270" t="s">
        <v>217</v>
      </c>
      <c r="AM270" t="s">
        <v>3319</v>
      </c>
      <c r="AN270" t="s">
        <v>6</v>
      </c>
      <c r="AO270" s="57">
        <v>46152.40284722222</v>
      </c>
      <c r="AP270" s="57">
        <v>46302.625</v>
      </c>
      <c r="AR270" t="s">
        <v>239</v>
      </c>
      <c r="AS270" t="s">
        <v>219</v>
      </c>
      <c r="AT270" t="s">
        <v>230</v>
      </c>
      <c r="AV270" t="s">
        <v>3320</v>
      </c>
      <c r="AW270" t="s">
        <v>540</v>
      </c>
      <c r="AX270" t="s">
        <v>222</v>
      </c>
      <c r="BA270" s="57">
        <v>46302.625</v>
      </c>
      <c r="BB270" t="s">
        <v>3319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MADURA</v>
      </c>
    </row>
    <row r="271" spans="1:61">
      <c r="A271">
        <v>270</v>
      </c>
      <c r="B271">
        <v>1002626914</v>
      </c>
      <c r="C271">
        <v>3</v>
      </c>
      <c r="D271" t="s">
        <v>55</v>
      </c>
      <c r="E271">
        <v>5</v>
      </c>
      <c r="F271" t="s">
        <v>227</v>
      </c>
      <c r="G271" t="s">
        <v>127</v>
      </c>
      <c r="H271" t="s">
        <v>362</v>
      </c>
      <c r="I271" t="s">
        <v>212</v>
      </c>
      <c r="J271" t="s">
        <v>213</v>
      </c>
      <c r="K271" t="s">
        <v>149</v>
      </c>
      <c r="L271" t="s">
        <v>214</v>
      </c>
      <c r="M271" t="s">
        <v>238</v>
      </c>
      <c r="N271" t="s">
        <v>215</v>
      </c>
      <c r="O271" s="57">
        <v>46302.763599537036</v>
      </c>
      <c r="P271" s="57">
        <v>46302.765347222223</v>
      </c>
      <c r="Q271">
        <v>69406165</v>
      </c>
      <c r="S271">
        <v>152430202966</v>
      </c>
      <c r="T271" t="s">
        <v>4020</v>
      </c>
      <c r="U271" t="s">
        <v>4021</v>
      </c>
      <c r="V271" t="s">
        <v>4022</v>
      </c>
      <c r="Z271">
        <v>114.096624478697</v>
      </c>
      <c r="AA271">
        <v>-6.9761256100408202</v>
      </c>
      <c r="AB271" t="s">
        <v>4023</v>
      </c>
      <c r="AC271" t="s">
        <v>216</v>
      </c>
      <c r="AL271" t="s">
        <v>217</v>
      </c>
      <c r="AM271" t="s">
        <v>4024</v>
      </c>
      <c r="AN271" t="s">
        <v>6</v>
      </c>
      <c r="AO271" s="57">
        <v>46213.767291666663</v>
      </c>
      <c r="AP271" s="57">
        <v>46303.625</v>
      </c>
      <c r="AR271" t="s">
        <v>239</v>
      </c>
      <c r="AS271" t="s">
        <v>219</v>
      </c>
      <c r="AT271" t="s">
        <v>220</v>
      </c>
      <c r="AV271" t="s">
        <v>238</v>
      </c>
      <c r="AW271" t="s">
        <v>1817</v>
      </c>
      <c r="AX271" t="s">
        <v>222</v>
      </c>
      <c r="BA271" s="57">
        <v>46303.625</v>
      </c>
      <c r="BB271" t="s">
        <v>4024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MADURA</v>
      </c>
    </row>
    <row r="272" spans="1:61">
      <c r="A272">
        <v>271</v>
      </c>
      <c r="B272">
        <v>1002619024</v>
      </c>
      <c r="C272">
        <v>3</v>
      </c>
      <c r="D272" t="s">
        <v>55</v>
      </c>
      <c r="E272">
        <v>5</v>
      </c>
      <c r="F272" t="s">
        <v>227</v>
      </c>
      <c r="G272" t="s">
        <v>127</v>
      </c>
      <c r="H272" t="s">
        <v>321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46297.37060185185</v>
      </c>
      <c r="P272" s="57">
        <v>46298.511331018519</v>
      </c>
      <c r="Q272">
        <v>69402745</v>
      </c>
      <c r="S272">
        <v>152431232853</v>
      </c>
      <c r="T272" t="s">
        <v>1858</v>
      </c>
      <c r="U272" t="s">
        <v>1859</v>
      </c>
      <c r="V272" t="s">
        <v>1860</v>
      </c>
      <c r="Z272">
        <v>113.80601350217999</v>
      </c>
      <c r="AA272">
        <v>-7.1264812619946403</v>
      </c>
      <c r="AB272" t="s">
        <v>1861</v>
      </c>
      <c r="AC272" t="s">
        <v>216</v>
      </c>
      <c r="AL272" t="s">
        <v>217</v>
      </c>
      <c r="AM272" t="s">
        <v>1862</v>
      </c>
      <c r="AN272" t="s">
        <v>6</v>
      </c>
      <c r="AO272" s="57">
        <v>46063.39334490741</v>
      </c>
      <c r="AP272" s="57">
        <v>46298.333333333336</v>
      </c>
      <c r="AR272" t="s">
        <v>218</v>
      </c>
      <c r="AS272" t="s">
        <v>219</v>
      </c>
      <c r="AT272" t="s">
        <v>230</v>
      </c>
      <c r="AU272">
        <v>20261003</v>
      </c>
      <c r="AV272" t="s">
        <v>221</v>
      </c>
      <c r="AW272" t="s">
        <v>877</v>
      </c>
      <c r="AX272" t="s">
        <v>222</v>
      </c>
      <c r="BA272" s="57">
        <v>46298.333333333336</v>
      </c>
      <c r="BB272" t="s">
        <v>1862</v>
      </c>
      <c r="BC272">
        <v>2026</v>
      </c>
      <c r="BD272">
        <v>10</v>
      </c>
      <c r="BE272">
        <v>3</v>
      </c>
      <c r="BF272" s="6">
        <f t="shared" si="12"/>
        <v>46298</v>
      </c>
      <c r="BG272">
        <f t="shared" si="13"/>
        <v>-0.33333333333575865</v>
      </c>
      <c r="BH272" t="str">
        <f t="shared" si="14"/>
        <v>COMPLY</v>
      </c>
      <c r="BI272" t="str">
        <f>VLOOKUP(H272,Sheet2!$A$1:$B$270,2,FALSE)</f>
        <v>MADURA</v>
      </c>
    </row>
    <row r="273" spans="1:61">
      <c r="A273">
        <v>272</v>
      </c>
      <c r="B273">
        <v>1002622590</v>
      </c>
      <c r="C273">
        <v>3</v>
      </c>
      <c r="D273" t="s">
        <v>55</v>
      </c>
      <c r="E273">
        <v>5</v>
      </c>
      <c r="F273" t="s">
        <v>227</v>
      </c>
      <c r="G273" t="s">
        <v>127</v>
      </c>
      <c r="H273" t="s">
        <v>321</v>
      </c>
      <c r="I273" t="s">
        <v>212</v>
      </c>
      <c r="J273" t="s">
        <v>213</v>
      </c>
      <c r="K273" t="s">
        <v>149</v>
      </c>
      <c r="M273" t="s">
        <v>76</v>
      </c>
      <c r="N273" t="s">
        <v>215</v>
      </c>
      <c r="O273" s="57">
        <v>46300.58898148148</v>
      </c>
      <c r="P273" s="57">
        <v>46301.571782407409</v>
      </c>
      <c r="Q273">
        <v>69404390</v>
      </c>
      <c r="S273">
        <v>152431232881</v>
      </c>
      <c r="T273" t="s">
        <v>2710</v>
      </c>
      <c r="U273" t="s">
        <v>2711</v>
      </c>
      <c r="V273" t="s">
        <v>2712</v>
      </c>
      <c r="Z273">
        <v>113.7852426</v>
      </c>
      <c r="AA273">
        <v>-7.0273963999999998</v>
      </c>
      <c r="AB273" t="s">
        <v>2713</v>
      </c>
      <c r="AC273" t="s">
        <v>229</v>
      </c>
      <c r="AL273" t="s">
        <v>217</v>
      </c>
      <c r="AM273" t="s">
        <v>2714</v>
      </c>
      <c r="AN273" t="s">
        <v>6</v>
      </c>
      <c r="AO273" s="57">
        <v>46152.601203703707</v>
      </c>
      <c r="AP273" s="57">
        <v>46302.333333333336</v>
      </c>
      <c r="AR273" t="s">
        <v>218</v>
      </c>
      <c r="AS273" t="s">
        <v>219</v>
      </c>
      <c r="AT273" t="s">
        <v>230</v>
      </c>
      <c r="AU273">
        <v>20261006</v>
      </c>
      <c r="AV273" t="s">
        <v>221</v>
      </c>
      <c r="AW273" t="s">
        <v>2447</v>
      </c>
      <c r="AX273" t="s">
        <v>222</v>
      </c>
      <c r="BA273" s="57">
        <v>46302.333333333336</v>
      </c>
      <c r="BB273" t="s">
        <v>2714</v>
      </c>
      <c r="BC273">
        <v>2026</v>
      </c>
      <c r="BD273">
        <v>10</v>
      </c>
      <c r="BE273">
        <v>6</v>
      </c>
      <c r="BF273" s="6">
        <f t="shared" si="12"/>
        <v>46301</v>
      </c>
      <c r="BG273">
        <f t="shared" si="13"/>
        <v>-1.3333333333357587</v>
      </c>
      <c r="BH273" t="str">
        <f t="shared" si="14"/>
        <v>COMPLY</v>
      </c>
      <c r="BI273" t="str">
        <f>VLOOKUP(H273,Sheet2!$A$1:$B$270,2,FALSE)</f>
        <v>MADURA</v>
      </c>
    </row>
    <row r="274" spans="1:61">
      <c r="A274">
        <v>273</v>
      </c>
      <c r="B274">
        <v>1002622182</v>
      </c>
      <c r="C274">
        <v>3</v>
      </c>
      <c r="D274" t="s">
        <v>55</v>
      </c>
      <c r="E274">
        <v>5</v>
      </c>
      <c r="F274" t="s">
        <v>227</v>
      </c>
      <c r="G274" t="s">
        <v>127</v>
      </c>
      <c r="H274" t="s">
        <v>321</v>
      </c>
      <c r="I274" t="s">
        <v>212</v>
      </c>
      <c r="J274" t="s">
        <v>213</v>
      </c>
      <c r="K274" t="s">
        <v>149</v>
      </c>
      <c r="M274" t="s">
        <v>76</v>
      </c>
      <c r="N274" t="s">
        <v>215</v>
      </c>
      <c r="O274" s="57">
        <v>46300.484988425924</v>
      </c>
      <c r="P274" s="57">
        <v>46301.689513888887</v>
      </c>
      <c r="Q274">
        <v>69404201</v>
      </c>
      <c r="S274">
        <v>152431232880</v>
      </c>
      <c r="T274" t="s">
        <v>2705</v>
      </c>
      <c r="U274" t="s">
        <v>2706</v>
      </c>
      <c r="V274" t="s">
        <v>2707</v>
      </c>
      <c r="Z274">
        <v>113.8036498</v>
      </c>
      <c r="AA274">
        <v>-7.0245932</v>
      </c>
      <c r="AB274" t="s">
        <v>2708</v>
      </c>
      <c r="AC274" t="s">
        <v>229</v>
      </c>
      <c r="AL274" t="s">
        <v>217</v>
      </c>
      <c r="AM274" t="s">
        <v>2709</v>
      </c>
      <c r="AN274" t="s">
        <v>6</v>
      </c>
      <c r="AO274" s="57">
        <v>46152.486157407409</v>
      </c>
      <c r="AP274" s="57">
        <v>46301.625</v>
      </c>
      <c r="AR274" t="s">
        <v>218</v>
      </c>
      <c r="AS274" t="s">
        <v>219</v>
      </c>
      <c r="AT274" t="s">
        <v>230</v>
      </c>
      <c r="AU274">
        <v>20261006</v>
      </c>
      <c r="AV274" t="s">
        <v>221</v>
      </c>
      <c r="AW274" t="s">
        <v>541</v>
      </c>
      <c r="AX274" t="s">
        <v>222</v>
      </c>
      <c r="BA274" s="57">
        <v>46301.625</v>
      </c>
      <c r="BB274" t="s">
        <v>2709</v>
      </c>
      <c r="BC274">
        <v>2026</v>
      </c>
      <c r="BD274">
        <v>10</v>
      </c>
      <c r="BE274">
        <v>6</v>
      </c>
      <c r="BF274" s="6">
        <f t="shared" si="12"/>
        <v>46301</v>
      </c>
      <c r="BG274">
        <f t="shared" si="13"/>
        <v>-0.625</v>
      </c>
      <c r="BH274" t="str">
        <f t="shared" si="14"/>
        <v>COMPLY</v>
      </c>
      <c r="BI274" t="str">
        <f>VLOOKUP(H274,Sheet2!$A$1:$B$270,2,FALSE)</f>
        <v>MADURA</v>
      </c>
    </row>
    <row r="275" spans="1:61">
      <c r="A275">
        <v>274</v>
      </c>
      <c r="B275">
        <v>1002625190</v>
      </c>
      <c r="C275">
        <v>3</v>
      </c>
      <c r="D275" t="s">
        <v>55</v>
      </c>
      <c r="E275">
        <v>5</v>
      </c>
      <c r="F275" t="s">
        <v>227</v>
      </c>
      <c r="G275" t="s">
        <v>127</v>
      </c>
      <c r="H275" t="s">
        <v>321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46301.796319444446</v>
      </c>
      <c r="P275" s="57">
        <v>46302.557546296295</v>
      </c>
      <c r="Q275">
        <v>69405407</v>
      </c>
      <c r="S275">
        <v>152431232897</v>
      </c>
      <c r="T275" t="s">
        <v>3321</v>
      </c>
      <c r="U275" t="s">
        <v>3322</v>
      </c>
      <c r="V275" t="s">
        <v>3323</v>
      </c>
      <c r="Z275">
        <v>113.804313987493</v>
      </c>
      <c r="AA275">
        <v>-6.96813415891953</v>
      </c>
      <c r="AB275" t="s">
        <v>3324</v>
      </c>
      <c r="AC275" t="s">
        <v>216</v>
      </c>
      <c r="AL275" t="s">
        <v>217</v>
      </c>
      <c r="AM275" t="s">
        <v>3325</v>
      </c>
      <c r="AN275" t="s">
        <v>6</v>
      </c>
      <c r="AO275" s="57">
        <v>46183.799340277779</v>
      </c>
      <c r="AP275" s="57">
        <v>46303.333333333336</v>
      </c>
      <c r="AR275" t="s">
        <v>218</v>
      </c>
      <c r="AS275" t="s">
        <v>219</v>
      </c>
      <c r="AT275" t="s">
        <v>220</v>
      </c>
      <c r="AU275">
        <v>20261007</v>
      </c>
      <c r="AV275" t="s">
        <v>221</v>
      </c>
      <c r="AW275" t="s">
        <v>833</v>
      </c>
      <c r="AX275" t="s">
        <v>222</v>
      </c>
      <c r="BA275" s="57">
        <v>46303.333333333336</v>
      </c>
      <c r="BB275" t="s">
        <v>3325</v>
      </c>
      <c r="BC275">
        <v>2026</v>
      </c>
      <c r="BD275">
        <v>10</v>
      </c>
      <c r="BE275">
        <v>7</v>
      </c>
      <c r="BF275" s="6">
        <f t="shared" si="12"/>
        <v>46302</v>
      </c>
      <c r="BG275">
        <f t="shared" si="13"/>
        <v>-1.3333333333357587</v>
      </c>
      <c r="BH275" t="str">
        <f t="shared" si="14"/>
        <v>COMPLY</v>
      </c>
      <c r="BI275" t="str">
        <f>VLOOKUP(H275,Sheet2!$A$1:$B$270,2,FALSE)</f>
        <v>MADURA</v>
      </c>
    </row>
    <row r="276" spans="1:61">
      <c r="A276">
        <v>275</v>
      </c>
      <c r="B276">
        <v>1002623950</v>
      </c>
      <c r="C276">
        <v>3</v>
      </c>
      <c r="D276" t="s">
        <v>55</v>
      </c>
      <c r="E276">
        <v>5</v>
      </c>
      <c r="F276" t="s">
        <v>227</v>
      </c>
      <c r="G276" t="s">
        <v>127</v>
      </c>
      <c r="H276" t="s">
        <v>321</v>
      </c>
      <c r="I276" t="s">
        <v>212</v>
      </c>
      <c r="J276" t="s">
        <v>213</v>
      </c>
      <c r="K276" t="s">
        <v>149</v>
      </c>
      <c r="M276" t="s">
        <v>76</v>
      </c>
      <c r="N276" t="s">
        <v>215</v>
      </c>
      <c r="O276" s="57">
        <v>46301.462847222225</v>
      </c>
      <c r="P276" s="57">
        <v>46301.642280092594</v>
      </c>
      <c r="Q276">
        <v>69404884</v>
      </c>
      <c r="S276">
        <v>152431232564</v>
      </c>
      <c r="T276" t="s">
        <v>3326</v>
      </c>
      <c r="U276" t="s">
        <v>3327</v>
      </c>
      <c r="V276" t="s">
        <v>3328</v>
      </c>
      <c r="Z276">
        <v>113.8662492</v>
      </c>
      <c r="AA276">
        <v>-7.0003580999999997</v>
      </c>
      <c r="AB276" t="s">
        <v>3329</v>
      </c>
      <c r="AC276" t="s">
        <v>229</v>
      </c>
      <c r="AL276" t="s">
        <v>217</v>
      </c>
      <c r="AM276" t="s">
        <v>3330</v>
      </c>
      <c r="AN276" t="s">
        <v>6</v>
      </c>
      <c r="AO276" s="57">
        <v>46183.475752314815</v>
      </c>
      <c r="AP276" s="57">
        <v>46302.458333333336</v>
      </c>
      <c r="AR276" t="s">
        <v>218</v>
      </c>
      <c r="AS276" t="s">
        <v>219</v>
      </c>
      <c r="AT276" t="s">
        <v>230</v>
      </c>
      <c r="AU276">
        <v>20261006</v>
      </c>
      <c r="AV276" t="s">
        <v>221</v>
      </c>
      <c r="AW276" t="s">
        <v>539</v>
      </c>
      <c r="AX276" t="s">
        <v>222</v>
      </c>
      <c r="BA276" s="57">
        <v>46302.458333333336</v>
      </c>
      <c r="BB276" t="s">
        <v>3330</v>
      </c>
      <c r="BC276">
        <v>2026</v>
      </c>
      <c r="BD276">
        <v>10</v>
      </c>
      <c r="BE276">
        <v>6</v>
      </c>
      <c r="BF276" s="6">
        <f t="shared" si="12"/>
        <v>46301</v>
      </c>
      <c r="BG276">
        <f t="shared" si="13"/>
        <v>-1.4583333333357587</v>
      </c>
      <c r="BH276" t="str">
        <f t="shared" si="14"/>
        <v>COMPLY</v>
      </c>
      <c r="BI276" t="str">
        <f>VLOOKUP(H276,Sheet2!$A$1:$B$270,2,FALSE)</f>
        <v>MADURA</v>
      </c>
    </row>
    <row r="277" spans="1:61">
      <c r="A277">
        <v>276</v>
      </c>
      <c r="B277">
        <v>1002625188</v>
      </c>
      <c r="C277">
        <v>3</v>
      </c>
      <c r="D277" t="s">
        <v>55</v>
      </c>
      <c r="E277">
        <v>5</v>
      </c>
      <c r="F277" t="s">
        <v>227</v>
      </c>
      <c r="G277" t="s">
        <v>127</v>
      </c>
      <c r="H277" t="s">
        <v>321</v>
      </c>
      <c r="I277" t="s">
        <v>212</v>
      </c>
      <c r="J277" t="s">
        <v>213</v>
      </c>
      <c r="K277" t="s">
        <v>149</v>
      </c>
      <c r="L277" t="s">
        <v>214</v>
      </c>
      <c r="M277" t="s">
        <v>279</v>
      </c>
      <c r="N277" t="s">
        <v>215</v>
      </c>
      <c r="O277" s="57">
        <v>46301.796493055554</v>
      </c>
      <c r="P277" s="57">
        <v>46302.463321759256</v>
      </c>
      <c r="Q277">
        <v>69405407</v>
      </c>
      <c r="S277">
        <v>152431232897</v>
      </c>
      <c r="T277" t="s">
        <v>3321</v>
      </c>
      <c r="U277" t="s">
        <v>3322</v>
      </c>
      <c r="V277" t="s">
        <v>3323</v>
      </c>
      <c r="Z277">
        <v>113.804313987493</v>
      </c>
      <c r="AA277">
        <v>-6.96813415891953</v>
      </c>
      <c r="AB277" t="s">
        <v>3324</v>
      </c>
      <c r="AC277" t="s">
        <v>216</v>
      </c>
      <c r="AL277" t="s">
        <v>217</v>
      </c>
      <c r="AM277" t="s">
        <v>3325</v>
      </c>
      <c r="AN277" t="s">
        <v>6</v>
      </c>
      <c r="AO277" s="57">
        <v>46183.799340277779</v>
      </c>
      <c r="AP277" s="57">
        <v>46303.333333333336</v>
      </c>
      <c r="AR277" t="s">
        <v>239</v>
      </c>
      <c r="AS277" t="s">
        <v>219</v>
      </c>
      <c r="AT277" t="s">
        <v>220</v>
      </c>
      <c r="AV277" t="s">
        <v>3303</v>
      </c>
      <c r="AW277" t="s">
        <v>833</v>
      </c>
      <c r="AX277" t="s">
        <v>222</v>
      </c>
      <c r="BA277" s="57">
        <v>46303.333333333336</v>
      </c>
      <c r="BB277" t="s">
        <v>3325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str">
        <f>VLOOKUP(H277,Sheet2!$A$1:$B$270,2,FALSE)</f>
        <v>MADURA</v>
      </c>
    </row>
    <row r="278" spans="1:61">
      <c r="A278">
        <v>277</v>
      </c>
      <c r="B278">
        <v>1002626855</v>
      </c>
      <c r="C278">
        <v>3</v>
      </c>
      <c r="D278" t="s">
        <v>55</v>
      </c>
      <c r="E278">
        <v>5</v>
      </c>
      <c r="F278" t="s">
        <v>227</v>
      </c>
      <c r="G278" t="s">
        <v>127</v>
      </c>
      <c r="H278" t="s">
        <v>321</v>
      </c>
      <c r="I278" t="s">
        <v>212</v>
      </c>
      <c r="J278" t="s">
        <v>213</v>
      </c>
      <c r="K278" t="s">
        <v>149</v>
      </c>
      <c r="M278" t="s">
        <v>238</v>
      </c>
      <c r="N278" t="s">
        <v>215</v>
      </c>
      <c r="O278" s="57">
        <v>46302.716087962966</v>
      </c>
      <c r="P278" s="57">
        <v>46303.394525462965</v>
      </c>
      <c r="Q278">
        <v>69406125</v>
      </c>
      <c r="S278">
        <v>152431232905</v>
      </c>
      <c r="T278" t="s">
        <v>4025</v>
      </c>
      <c r="U278" t="s">
        <v>4026</v>
      </c>
      <c r="V278" t="s">
        <v>4027</v>
      </c>
      <c r="Z278">
        <v>113.8698826</v>
      </c>
      <c r="AA278">
        <v>-7.0007025000000001</v>
      </c>
      <c r="AB278" t="s">
        <v>4028</v>
      </c>
      <c r="AC278" t="s">
        <v>284</v>
      </c>
      <c r="AL278" t="s">
        <v>217</v>
      </c>
      <c r="AM278" t="s">
        <v>4029</v>
      </c>
      <c r="AN278" t="s">
        <v>6</v>
      </c>
      <c r="AO278" s="57">
        <v>46213.736238425925</v>
      </c>
      <c r="AP278" s="57">
        <v>46306.333333333336</v>
      </c>
      <c r="AR278" t="s">
        <v>239</v>
      </c>
      <c r="AS278" t="s">
        <v>219</v>
      </c>
      <c r="AT278" t="s">
        <v>230</v>
      </c>
      <c r="AV278" t="s">
        <v>238</v>
      </c>
      <c r="AW278" t="s">
        <v>541</v>
      </c>
      <c r="AX278" t="s">
        <v>222</v>
      </c>
      <c r="BA278" s="57">
        <v>46306.333333333336</v>
      </c>
      <c r="BB278" t="s">
        <v>4029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MADURA</v>
      </c>
    </row>
    <row r="279" spans="1:61">
      <c r="A279">
        <v>278</v>
      </c>
      <c r="B279">
        <v>1002617733</v>
      </c>
      <c r="C279">
        <v>3</v>
      </c>
      <c r="D279" t="s">
        <v>55</v>
      </c>
      <c r="E279">
        <v>5</v>
      </c>
      <c r="F279" t="s">
        <v>260</v>
      </c>
      <c r="G279" t="s">
        <v>123</v>
      </c>
      <c r="H279" t="s">
        <v>286</v>
      </c>
      <c r="I279" t="s">
        <v>212</v>
      </c>
      <c r="J279" t="s">
        <v>213</v>
      </c>
      <c r="K279" t="s">
        <v>149</v>
      </c>
      <c r="L279" t="s">
        <v>214</v>
      </c>
      <c r="M279" t="s">
        <v>836</v>
      </c>
      <c r="N279" t="s">
        <v>215</v>
      </c>
      <c r="O279" s="57">
        <v>46296.521979166668</v>
      </c>
      <c r="P279" s="57">
        <v>46303.407650462963</v>
      </c>
      <c r="Q279">
        <v>69402300</v>
      </c>
      <c r="S279">
        <v>152401227868</v>
      </c>
      <c r="T279" t="s">
        <v>1061</v>
      </c>
      <c r="U279" t="s">
        <v>1062</v>
      </c>
      <c r="V279" t="s">
        <v>1063</v>
      </c>
      <c r="Z279">
        <v>112.702551</v>
      </c>
      <c r="AA279">
        <v>-7.229495</v>
      </c>
      <c r="AB279" t="s">
        <v>1064</v>
      </c>
      <c r="AC279" t="s">
        <v>235</v>
      </c>
      <c r="AL279" t="s">
        <v>217</v>
      </c>
      <c r="AM279" t="s">
        <v>1065</v>
      </c>
      <c r="AN279" t="s">
        <v>6</v>
      </c>
      <c r="AO279" s="57">
        <v>46032.559305555558</v>
      </c>
      <c r="AP279" s="57">
        <v>46297.458333333336</v>
      </c>
      <c r="AQ279" t="s">
        <v>838</v>
      </c>
      <c r="AR279" t="s">
        <v>14</v>
      </c>
      <c r="AS279" t="s">
        <v>270</v>
      </c>
      <c r="AT279" t="s">
        <v>230</v>
      </c>
      <c r="AV279" t="s">
        <v>837</v>
      </c>
      <c r="AW279" t="s">
        <v>875</v>
      </c>
      <c r="AX279" t="s">
        <v>222</v>
      </c>
      <c r="BA279" s="57">
        <v>46297.458333333336</v>
      </c>
      <c r="BB279" t="s">
        <v>1065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SURABAYA UTARA</v>
      </c>
    </row>
    <row r="280" spans="1:61">
      <c r="A280">
        <v>279</v>
      </c>
      <c r="B280">
        <v>1002618449</v>
      </c>
      <c r="C280">
        <v>3</v>
      </c>
      <c r="D280" t="s">
        <v>55</v>
      </c>
      <c r="E280">
        <v>5</v>
      </c>
      <c r="F280" t="s">
        <v>260</v>
      </c>
      <c r="G280" t="s">
        <v>123</v>
      </c>
      <c r="H280" t="s">
        <v>286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46296.660115740742</v>
      </c>
      <c r="P280" s="57">
        <v>46297.727210648147</v>
      </c>
      <c r="Q280">
        <v>69402539</v>
      </c>
      <c r="S280">
        <v>152401227873</v>
      </c>
      <c r="T280" t="s">
        <v>1066</v>
      </c>
      <c r="U280" t="s">
        <v>828</v>
      </c>
      <c r="V280" t="s">
        <v>1067</v>
      </c>
      <c r="Z280">
        <v>112.7438654</v>
      </c>
      <c r="AA280">
        <v>-7.2420342</v>
      </c>
      <c r="AB280" t="s">
        <v>1068</v>
      </c>
      <c r="AC280" t="s">
        <v>235</v>
      </c>
      <c r="AL280" t="s">
        <v>217</v>
      </c>
      <c r="AM280" t="s">
        <v>1069</v>
      </c>
      <c r="AN280" t="s">
        <v>6</v>
      </c>
      <c r="AO280" s="57">
        <v>46032.694421296299</v>
      </c>
      <c r="AP280" s="57">
        <v>46297.625</v>
      </c>
      <c r="AR280" t="s">
        <v>218</v>
      </c>
      <c r="AS280" t="s">
        <v>270</v>
      </c>
      <c r="AT280" t="s">
        <v>230</v>
      </c>
      <c r="AU280">
        <v>20261002</v>
      </c>
      <c r="AV280" t="s">
        <v>221</v>
      </c>
      <c r="AW280" t="s">
        <v>877</v>
      </c>
      <c r="AX280" t="s">
        <v>222</v>
      </c>
      <c r="BA280" s="57">
        <v>46297.625</v>
      </c>
      <c r="BB280" t="s">
        <v>1069</v>
      </c>
      <c r="BC280">
        <v>2026</v>
      </c>
      <c r="BD280">
        <v>10</v>
      </c>
      <c r="BE280">
        <v>2</v>
      </c>
      <c r="BF280" s="6">
        <f t="shared" si="12"/>
        <v>46297</v>
      </c>
      <c r="BG280">
        <f t="shared" si="13"/>
        <v>-0.625</v>
      </c>
      <c r="BH280" t="str">
        <f t="shared" si="14"/>
        <v>COMPLY</v>
      </c>
      <c r="BI280" t="str">
        <f>VLOOKUP(H280,Sheet2!$A$1:$B$270,2,FALSE)</f>
        <v>SURABAYA UTARA</v>
      </c>
    </row>
    <row r="281" spans="1:61">
      <c r="A281">
        <v>280</v>
      </c>
      <c r="B281">
        <v>1002619781</v>
      </c>
      <c r="C281">
        <v>3</v>
      </c>
      <c r="D281" t="s">
        <v>55</v>
      </c>
      <c r="E281">
        <v>5</v>
      </c>
      <c r="F281" t="s">
        <v>260</v>
      </c>
      <c r="G281" t="s">
        <v>123</v>
      </c>
      <c r="H281" t="s">
        <v>286</v>
      </c>
      <c r="I281" t="s">
        <v>212</v>
      </c>
      <c r="J281" t="s">
        <v>213</v>
      </c>
      <c r="K281" t="s">
        <v>149</v>
      </c>
      <c r="M281" t="s">
        <v>76</v>
      </c>
      <c r="N281" t="s">
        <v>215</v>
      </c>
      <c r="O281" s="57">
        <v>46297.561828703707</v>
      </c>
      <c r="P281" s="57">
        <v>46297.707488425927</v>
      </c>
      <c r="Q281">
        <v>69401978</v>
      </c>
      <c r="S281">
        <v>152401227893</v>
      </c>
      <c r="T281" t="s">
        <v>1091</v>
      </c>
      <c r="U281" t="s">
        <v>1863</v>
      </c>
      <c r="V281" t="s">
        <v>1864</v>
      </c>
      <c r="Z281">
        <v>112.73858971</v>
      </c>
      <c r="AA281">
        <v>-7.244665125</v>
      </c>
      <c r="AB281" t="s">
        <v>1094</v>
      </c>
      <c r="AC281" t="s">
        <v>229</v>
      </c>
      <c r="AL281" t="s">
        <v>217</v>
      </c>
      <c r="AM281" t="s">
        <v>1865</v>
      </c>
      <c r="AN281" t="s">
        <v>6</v>
      </c>
      <c r="AO281" s="57">
        <v>46063.569363425922</v>
      </c>
      <c r="AR281" t="s">
        <v>218</v>
      </c>
      <c r="AS281" t="s">
        <v>270</v>
      </c>
      <c r="AT281" t="s">
        <v>342</v>
      </c>
      <c r="AU281">
        <v>20261002</v>
      </c>
      <c r="AV281" t="s">
        <v>221</v>
      </c>
      <c r="AW281" t="s">
        <v>559</v>
      </c>
      <c r="AX281" t="s">
        <v>222</v>
      </c>
      <c r="BA281" s="57">
        <v>46297.291666666664</v>
      </c>
      <c r="BB281" t="s">
        <v>1865</v>
      </c>
      <c r="BC281">
        <v>2026</v>
      </c>
      <c r="BD281">
        <v>10</v>
      </c>
      <c r="BE281">
        <v>2</v>
      </c>
      <c r="BF281" s="6">
        <f t="shared" si="12"/>
        <v>46297</v>
      </c>
      <c r="BG281">
        <f t="shared" si="13"/>
        <v>-0.29166666666424135</v>
      </c>
      <c r="BH281" t="str">
        <f t="shared" si="14"/>
        <v>COMPLY</v>
      </c>
      <c r="BI281" t="str">
        <f>VLOOKUP(H281,Sheet2!$A$1:$B$270,2,FALSE)</f>
        <v>SURABAYA UTARA</v>
      </c>
    </row>
    <row r="282" spans="1:61">
      <c r="A282">
        <v>281</v>
      </c>
      <c r="B282">
        <v>1002620485</v>
      </c>
      <c r="C282">
        <v>3</v>
      </c>
      <c r="D282" t="s">
        <v>55</v>
      </c>
      <c r="E282">
        <v>5</v>
      </c>
      <c r="F282" t="s">
        <v>260</v>
      </c>
      <c r="G282" t="s">
        <v>123</v>
      </c>
      <c r="H282" t="s">
        <v>286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46297.701851851853</v>
      </c>
      <c r="P282" s="57">
        <v>46298.634456018517</v>
      </c>
      <c r="Q282">
        <v>69403321</v>
      </c>
      <c r="S282">
        <v>152401227903</v>
      </c>
      <c r="T282" t="s">
        <v>1866</v>
      </c>
      <c r="U282" t="s">
        <v>1867</v>
      </c>
      <c r="V282" t="s">
        <v>1868</v>
      </c>
      <c r="Z282">
        <v>112.7438654</v>
      </c>
      <c r="AA282">
        <v>-7.2420342</v>
      </c>
      <c r="AB282" t="s">
        <v>1869</v>
      </c>
      <c r="AC282" t="s">
        <v>235</v>
      </c>
      <c r="AL282" t="s">
        <v>217</v>
      </c>
      <c r="AM282" t="s">
        <v>1420</v>
      </c>
      <c r="AN282" t="s">
        <v>6</v>
      </c>
      <c r="AO282" s="57">
        <v>46063.705462962964</v>
      </c>
      <c r="AP282" s="57">
        <v>46298.625</v>
      </c>
      <c r="AR282" t="s">
        <v>218</v>
      </c>
      <c r="AS282" t="s">
        <v>270</v>
      </c>
      <c r="AT282" t="s">
        <v>230</v>
      </c>
      <c r="AU282">
        <v>20261003</v>
      </c>
      <c r="AV282" t="s">
        <v>221</v>
      </c>
      <c r="AW282" t="s">
        <v>877</v>
      </c>
      <c r="AX282" t="s">
        <v>222</v>
      </c>
      <c r="BA282" s="57">
        <v>46298.625</v>
      </c>
      <c r="BB282" t="s">
        <v>1420</v>
      </c>
      <c r="BC282">
        <v>2026</v>
      </c>
      <c r="BD282">
        <v>10</v>
      </c>
      <c r="BE282">
        <v>3</v>
      </c>
      <c r="BF282" s="6">
        <f t="shared" si="12"/>
        <v>46298</v>
      </c>
      <c r="BG282">
        <f t="shared" si="13"/>
        <v>-0.625</v>
      </c>
      <c r="BH282" t="str">
        <f t="shared" si="14"/>
        <v>COMPLY</v>
      </c>
      <c r="BI282" t="str">
        <f>VLOOKUP(H282,Sheet2!$A$1:$B$270,2,FALSE)</f>
        <v>SURABAYA UTARA</v>
      </c>
    </row>
    <row r="283" spans="1:61">
      <c r="A283">
        <v>282</v>
      </c>
      <c r="B283">
        <v>1002622550</v>
      </c>
      <c r="C283">
        <v>3</v>
      </c>
      <c r="D283" t="s">
        <v>55</v>
      </c>
      <c r="E283">
        <v>5</v>
      </c>
      <c r="F283" t="s">
        <v>260</v>
      </c>
      <c r="G283" t="s">
        <v>123</v>
      </c>
      <c r="H283" t="s">
        <v>286</v>
      </c>
      <c r="I283" t="s">
        <v>212</v>
      </c>
      <c r="J283" t="s">
        <v>213</v>
      </c>
      <c r="K283" t="s">
        <v>149</v>
      </c>
      <c r="L283" t="s">
        <v>826</v>
      </c>
      <c r="M283" t="s">
        <v>76</v>
      </c>
      <c r="N283" t="s">
        <v>215</v>
      </c>
      <c r="O283" s="57">
        <v>46300.583043981482</v>
      </c>
      <c r="P283" s="57">
        <v>46301.569305555553</v>
      </c>
      <c r="Q283">
        <v>69404386</v>
      </c>
      <c r="R283">
        <v>3135967129</v>
      </c>
      <c r="S283">
        <v>152401227930</v>
      </c>
      <c r="T283" t="s">
        <v>2715</v>
      </c>
      <c r="U283" t="s">
        <v>2716</v>
      </c>
      <c r="V283" t="s">
        <v>2717</v>
      </c>
      <c r="Z283">
        <v>112.736028</v>
      </c>
      <c r="AA283">
        <v>-7.2327149999999998</v>
      </c>
      <c r="AB283" t="s">
        <v>2718</v>
      </c>
      <c r="AC283" t="s">
        <v>235</v>
      </c>
      <c r="AL283" t="s">
        <v>217</v>
      </c>
      <c r="AM283" t="s">
        <v>2719</v>
      </c>
      <c r="AN283" t="s">
        <v>6</v>
      </c>
      <c r="AO283" s="57">
        <v>46152.601203703707</v>
      </c>
      <c r="AP283" s="57">
        <v>46301.458333333336</v>
      </c>
      <c r="AR283" t="s">
        <v>218</v>
      </c>
      <c r="AS283" t="s">
        <v>270</v>
      </c>
      <c r="AT283" t="s">
        <v>230</v>
      </c>
      <c r="AU283">
        <v>20261006</v>
      </c>
      <c r="AV283" t="s">
        <v>221</v>
      </c>
      <c r="AW283" t="s">
        <v>868</v>
      </c>
      <c r="AX283" t="s">
        <v>222</v>
      </c>
      <c r="BA283" s="57">
        <v>46301.458333333336</v>
      </c>
      <c r="BB283" t="s">
        <v>2719</v>
      </c>
      <c r="BC283">
        <v>2026</v>
      </c>
      <c r="BD283">
        <v>10</v>
      </c>
      <c r="BE283">
        <v>6</v>
      </c>
      <c r="BF283" s="6">
        <f t="shared" si="12"/>
        <v>46301</v>
      </c>
      <c r="BG283">
        <f t="shared" si="13"/>
        <v>-0.45833333333575865</v>
      </c>
      <c r="BH283" t="str">
        <f t="shared" si="14"/>
        <v>COMPLY</v>
      </c>
      <c r="BI283" t="str">
        <f>VLOOKUP(H283,Sheet2!$A$1:$B$270,2,FALSE)</f>
        <v>SURABAYA UTARA</v>
      </c>
    </row>
    <row r="284" spans="1:61">
      <c r="A284">
        <v>283</v>
      </c>
      <c r="B284">
        <v>1002618774</v>
      </c>
      <c r="C284">
        <v>3</v>
      </c>
      <c r="D284" t="s">
        <v>55</v>
      </c>
      <c r="E284">
        <v>5</v>
      </c>
      <c r="F284" t="s">
        <v>260</v>
      </c>
      <c r="G284" t="s">
        <v>123</v>
      </c>
      <c r="H284" t="s">
        <v>266</v>
      </c>
      <c r="I284" t="s">
        <v>212</v>
      </c>
      <c r="J284" t="s">
        <v>213</v>
      </c>
      <c r="K284" t="s">
        <v>149</v>
      </c>
      <c r="L284" t="s">
        <v>214</v>
      </c>
      <c r="M284" t="s">
        <v>76</v>
      </c>
      <c r="N284" t="s">
        <v>215</v>
      </c>
      <c r="O284" s="57">
        <v>46296.751157407409</v>
      </c>
      <c r="P284" s="57">
        <v>46297.547523148147</v>
      </c>
      <c r="Q284">
        <v>69402640</v>
      </c>
      <c r="S284">
        <v>152407282544</v>
      </c>
      <c r="T284" t="s">
        <v>1070</v>
      </c>
      <c r="U284" t="s">
        <v>1071</v>
      </c>
      <c r="V284" t="s">
        <v>1072</v>
      </c>
      <c r="Z284">
        <v>112.7890769</v>
      </c>
      <c r="AA284">
        <v>-7.2549155000000001</v>
      </c>
      <c r="AB284" t="s">
        <v>1073</v>
      </c>
      <c r="AC284" t="s">
        <v>216</v>
      </c>
      <c r="AL284" t="s">
        <v>217</v>
      </c>
      <c r="AM284" t="s">
        <v>1074</v>
      </c>
      <c r="AN284" t="s">
        <v>6</v>
      </c>
      <c r="AO284" s="57">
        <v>46032.757141203707</v>
      </c>
      <c r="AP284" s="57">
        <v>46297.625</v>
      </c>
      <c r="AR284" t="s">
        <v>218</v>
      </c>
      <c r="AS284" t="s">
        <v>123</v>
      </c>
      <c r="AT284" t="s">
        <v>230</v>
      </c>
      <c r="AU284">
        <v>20261002</v>
      </c>
      <c r="AV284" t="s">
        <v>221</v>
      </c>
      <c r="AW284" t="s">
        <v>877</v>
      </c>
      <c r="AX284" t="s">
        <v>222</v>
      </c>
      <c r="BA284" s="57">
        <v>46297.625</v>
      </c>
      <c r="BB284" t="s">
        <v>1074</v>
      </c>
      <c r="BC284">
        <v>2026</v>
      </c>
      <c r="BD284">
        <v>10</v>
      </c>
      <c r="BE284">
        <v>2</v>
      </c>
      <c r="BF284" s="6">
        <f t="shared" si="12"/>
        <v>46297</v>
      </c>
      <c r="BG284">
        <f t="shared" si="13"/>
        <v>-0.625</v>
      </c>
      <c r="BH284" t="str">
        <f t="shared" si="14"/>
        <v>COMPLY</v>
      </c>
      <c r="BI284" t="str">
        <f>VLOOKUP(H284,Sheet2!$A$1:$B$270,2,FALSE)</f>
        <v>SURABAYA UTARA</v>
      </c>
    </row>
    <row r="285" spans="1:61">
      <c r="A285">
        <v>284</v>
      </c>
      <c r="B285">
        <v>1002620760</v>
      </c>
      <c r="C285">
        <v>3</v>
      </c>
      <c r="D285" t="s">
        <v>55</v>
      </c>
      <c r="E285">
        <v>5</v>
      </c>
      <c r="F285" t="s">
        <v>260</v>
      </c>
      <c r="G285" t="s">
        <v>123</v>
      </c>
      <c r="H285" t="s">
        <v>383</v>
      </c>
      <c r="I285" t="s">
        <v>212</v>
      </c>
      <c r="J285" t="s">
        <v>213</v>
      </c>
      <c r="K285" t="s">
        <v>149</v>
      </c>
      <c r="L285" t="s">
        <v>214</v>
      </c>
      <c r="M285" t="s">
        <v>1401</v>
      </c>
      <c r="N285" t="s">
        <v>215</v>
      </c>
      <c r="O285" s="57">
        <v>46298.387233796297</v>
      </c>
      <c r="P285" s="57">
        <v>46300.761516203704</v>
      </c>
      <c r="Q285">
        <v>69403463</v>
      </c>
      <c r="S285">
        <v>152404215732</v>
      </c>
      <c r="T285" t="s">
        <v>1875</v>
      </c>
      <c r="U285" t="s">
        <v>1876</v>
      </c>
      <c r="V285" t="s">
        <v>1877</v>
      </c>
      <c r="Z285">
        <v>112.7471017</v>
      </c>
      <c r="AA285">
        <v>-7.2423491999999996</v>
      </c>
      <c r="AB285" t="s">
        <v>1878</v>
      </c>
      <c r="AC285" t="s">
        <v>235</v>
      </c>
      <c r="AL285" t="s">
        <v>217</v>
      </c>
      <c r="AM285" t="s">
        <v>1879</v>
      </c>
      <c r="AN285" t="s">
        <v>6</v>
      </c>
      <c r="AO285" s="57">
        <v>46091.392974537041</v>
      </c>
      <c r="AP285" s="57">
        <v>46299.416666666664</v>
      </c>
      <c r="AQ285" t="s">
        <v>2720</v>
      </c>
      <c r="AR285" t="s">
        <v>14</v>
      </c>
      <c r="AS285" t="s">
        <v>535</v>
      </c>
      <c r="AT285" t="s">
        <v>230</v>
      </c>
      <c r="AV285" t="s">
        <v>2721</v>
      </c>
      <c r="AW285" t="s">
        <v>880</v>
      </c>
      <c r="AX285" t="s">
        <v>222</v>
      </c>
      <c r="BA285" s="57">
        <v>46299.416666666664</v>
      </c>
      <c r="BB285" t="s">
        <v>1879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str">
        <f>VLOOKUP(H285,Sheet2!$A$1:$B$270,2,FALSE)</f>
        <v>SURABAYA UTARA</v>
      </c>
    </row>
    <row r="286" spans="1:61">
      <c r="A286">
        <v>285</v>
      </c>
      <c r="B286">
        <v>1002621211</v>
      </c>
      <c r="C286">
        <v>3</v>
      </c>
      <c r="D286" t="s">
        <v>55</v>
      </c>
      <c r="E286">
        <v>5</v>
      </c>
      <c r="F286" t="s">
        <v>260</v>
      </c>
      <c r="G286" t="s">
        <v>123</v>
      </c>
      <c r="H286" t="s">
        <v>383</v>
      </c>
      <c r="I286" t="s">
        <v>212</v>
      </c>
      <c r="J286" t="s">
        <v>213</v>
      </c>
      <c r="K286" t="s">
        <v>149</v>
      </c>
      <c r="M286" t="s">
        <v>76</v>
      </c>
      <c r="N286" t="s">
        <v>215</v>
      </c>
      <c r="O286" s="57">
        <v>46298.820428240739</v>
      </c>
      <c r="P286" s="57">
        <v>46298.892604166664</v>
      </c>
      <c r="Q286">
        <v>69401333</v>
      </c>
      <c r="S286">
        <v>152404215795</v>
      </c>
      <c r="T286" t="s">
        <v>1870</v>
      </c>
      <c r="U286" t="s">
        <v>1871</v>
      </c>
      <c r="V286" t="s">
        <v>1872</v>
      </c>
      <c r="Z286">
        <v>112.74388253688799</v>
      </c>
      <c r="AA286">
        <v>-7.2366479042795504</v>
      </c>
      <c r="AB286" t="s">
        <v>1873</v>
      </c>
      <c r="AC286" t="s">
        <v>216</v>
      </c>
      <c r="AL286" t="s">
        <v>217</v>
      </c>
      <c r="AM286" t="s">
        <v>1874</v>
      </c>
      <c r="AN286" t="s">
        <v>6</v>
      </c>
      <c r="AO286" s="57">
        <v>46091.830150462964</v>
      </c>
      <c r="AR286" t="s">
        <v>218</v>
      </c>
      <c r="AS286" t="s">
        <v>535</v>
      </c>
      <c r="AT286" t="s">
        <v>342</v>
      </c>
      <c r="AU286">
        <v>20261003</v>
      </c>
      <c r="AV286" t="s">
        <v>221</v>
      </c>
      <c r="AW286" t="s">
        <v>540</v>
      </c>
      <c r="AX286" t="s">
        <v>222</v>
      </c>
      <c r="BA286" s="57">
        <v>46298.291666666664</v>
      </c>
      <c r="BB286" t="s">
        <v>1874</v>
      </c>
      <c r="BC286">
        <v>2026</v>
      </c>
      <c r="BD286">
        <v>10</v>
      </c>
      <c r="BE286">
        <v>3</v>
      </c>
      <c r="BF286" s="6">
        <f t="shared" si="12"/>
        <v>46298</v>
      </c>
      <c r="BG286">
        <f t="shared" si="13"/>
        <v>-0.29166666666424135</v>
      </c>
      <c r="BH286" t="str">
        <f t="shared" si="14"/>
        <v>COMPLY</v>
      </c>
      <c r="BI286" t="str">
        <f>VLOOKUP(H286,Sheet2!$A$1:$B$270,2,FALSE)</f>
        <v>SURABAYA UTARA</v>
      </c>
    </row>
    <row r="287" spans="1:61">
      <c r="A287">
        <v>286</v>
      </c>
      <c r="B287">
        <v>1002621336</v>
      </c>
      <c r="C287">
        <v>3</v>
      </c>
      <c r="D287" t="s">
        <v>55</v>
      </c>
      <c r="E287">
        <v>5</v>
      </c>
      <c r="F287" t="s">
        <v>260</v>
      </c>
      <c r="G287" t="s">
        <v>123</v>
      </c>
      <c r="H287" t="s">
        <v>383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46299.485127314816</v>
      </c>
      <c r="P287" s="57">
        <v>46300.682118055556</v>
      </c>
      <c r="Q287">
        <v>69403852</v>
      </c>
      <c r="S287">
        <v>152404215825</v>
      </c>
      <c r="T287" t="s">
        <v>1880</v>
      </c>
      <c r="U287" t="s">
        <v>1876</v>
      </c>
      <c r="V287" t="s">
        <v>1881</v>
      </c>
      <c r="Z287">
        <v>112.7471017</v>
      </c>
      <c r="AA287">
        <v>-7.2423491999999996</v>
      </c>
      <c r="AB287" t="s">
        <v>1882</v>
      </c>
      <c r="AC287" t="s">
        <v>235</v>
      </c>
      <c r="AL287" t="s">
        <v>217</v>
      </c>
      <c r="AM287" t="s">
        <v>1883</v>
      </c>
      <c r="AN287" t="s">
        <v>6</v>
      </c>
      <c r="AO287" s="57">
        <v>46122.48609953704</v>
      </c>
      <c r="AP287" s="57">
        <v>46300.416666666664</v>
      </c>
      <c r="AR287" t="s">
        <v>218</v>
      </c>
      <c r="AS287" t="s">
        <v>535</v>
      </c>
      <c r="AT287" t="s">
        <v>230</v>
      </c>
      <c r="AU287">
        <v>20261005</v>
      </c>
      <c r="AV287" t="s">
        <v>221</v>
      </c>
      <c r="AW287" t="s">
        <v>880</v>
      </c>
      <c r="AX287" t="s">
        <v>222</v>
      </c>
      <c r="BA287" s="57">
        <v>46300.416666666664</v>
      </c>
      <c r="BB287" t="s">
        <v>1883</v>
      </c>
      <c r="BC287">
        <v>2026</v>
      </c>
      <c r="BD287">
        <v>10</v>
      </c>
      <c r="BE287">
        <v>5</v>
      </c>
      <c r="BF287" s="6">
        <f t="shared" si="12"/>
        <v>46300</v>
      </c>
      <c r="BG287">
        <f t="shared" si="13"/>
        <v>-0.41666666666424135</v>
      </c>
      <c r="BH287" t="str">
        <f t="shared" si="14"/>
        <v>COMPLY</v>
      </c>
      <c r="BI287" t="str">
        <f>VLOOKUP(H287,Sheet2!$A$1:$B$270,2,FALSE)</f>
        <v>SURABAYA UTARA</v>
      </c>
    </row>
    <row r="288" spans="1:61">
      <c r="A288">
        <v>287</v>
      </c>
      <c r="B288">
        <v>1002623269</v>
      </c>
      <c r="C288">
        <v>3</v>
      </c>
      <c r="D288" t="s">
        <v>55</v>
      </c>
      <c r="E288">
        <v>5</v>
      </c>
      <c r="F288" t="s">
        <v>260</v>
      </c>
      <c r="G288" t="s">
        <v>123</v>
      </c>
      <c r="H288" t="s">
        <v>383</v>
      </c>
      <c r="I288" t="s">
        <v>212</v>
      </c>
      <c r="J288" t="s">
        <v>213</v>
      </c>
      <c r="K288" t="s">
        <v>149</v>
      </c>
      <c r="M288" t="s">
        <v>76</v>
      </c>
      <c r="N288" t="s">
        <v>215</v>
      </c>
      <c r="O288" s="57">
        <v>46300.76152777778</v>
      </c>
      <c r="P288" s="57">
        <v>46300.830995370372</v>
      </c>
      <c r="Q288">
        <v>69403463</v>
      </c>
      <c r="S288">
        <v>152404215912</v>
      </c>
      <c r="T288" t="s">
        <v>1875</v>
      </c>
      <c r="U288" t="s">
        <v>2722</v>
      </c>
      <c r="V288" t="s">
        <v>2723</v>
      </c>
      <c r="Z288">
        <v>112.74655955999999</v>
      </c>
      <c r="AA288">
        <v>-7.2403930000000001</v>
      </c>
      <c r="AB288" t="s">
        <v>1878</v>
      </c>
      <c r="AC288" t="s">
        <v>229</v>
      </c>
      <c r="AL288" t="s">
        <v>217</v>
      </c>
      <c r="AM288" t="s">
        <v>2724</v>
      </c>
      <c r="AN288" t="s">
        <v>6</v>
      </c>
      <c r="AO288" s="57">
        <v>46152.767708333333</v>
      </c>
      <c r="AR288" t="s">
        <v>218</v>
      </c>
      <c r="AS288" t="s">
        <v>535</v>
      </c>
      <c r="AT288" t="s">
        <v>230</v>
      </c>
      <c r="AU288">
        <v>20261005</v>
      </c>
      <c r="AV288" t="s">
        <v>221</v>
      </c>
      <c r="AW288" t="s">
        <v>540</v>
      </c>
      <c r="AX288" t="s">
        <v>222</v>
      </c>
      <c r="BA288" s="57">
        <v>46300.291666666664</v>
      </c>
      <c r="BB288" t="s">
        <v>2724</v>
      </c>
      <c r="BC288">
        <v>2026</v>
      </c>
      <c r="BD288">
        <v>10</v>
      </c>
      <c r="BE288">
        <v>5</v>
      </c>
      <c r="BF288" s="6">
        <f t="shared" si="12"/>
        <v>46300</v>
      </c>
      <c r="BG288">
        <f t="shared" si="13"/>
        <v>-0.29166666666424135</v>
      </c>
      <c r="BH288" t="str">
        <f t="shared" si="14"/>
        <v>COMPLY</v>
      </c>
      <c r="BI288" t="str">
        <f>VLOOKUP(H288,Sheet2!$A$1:$B$270,2,FALSE)</f>
        <v>SURABAYA UTARA</v>
      </c>
    </row>
    <row r="289" spans="1:61">
      <c r="A289">
        <v>288</v>
      </c>
      <c r="B289">
        <v>1002617724</v>
      </c>
      <c r="C289">
        <v>3</v>
      </c>
      <c r="D289" t="s">
        <v>55</v>
      </c>
      <c r="E289">
        <v>5</v>
      </c>
      <c r="F289" t="s">
        <v>305</v>
      </c>
      <c r="G289" t="s">
        <v>124</v>
      </c>
      <c r="H289" t="s">
        <v>327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46296.517824074072</v>
      </c>
      <c r="P289" s="57">
        <v>46296.739386574074</v>
      </c>
      <c r="Q289">
        <v>69402297</v>
      </c>
      <c r="S289">
        <v>152306253477</v>
      </c>
      <c r="T289" t="s">
        <v>1075</v>
      </c>
      <c r="U289" t="s">
        <v>1076</v>
      </c>
      <c r="V289" t="s">
        <v>1077</v>
      </c>
      <c r="Z289">
        <v>112.71421218835999</v>
      </c>
      <c r="AA289">
        <v>-7.3092286293536404</v>
      </c>
      <c r="AB289" t="s">
        <v>1078</v>
      </c>
      <c r="AC289" t="s">
        <v>849</v>
      </c>
      <c r="AL289" t="s">
        <v>217</v>
      </c>
      <c r="AM289" t="s">
        <v>1079</v>
      </c>
      <c r="AN289" t="s">
        <v>6</v>
      </c>
      <c r="AO289" s="57">
        <v>46032.559305555558</v>
      </c>
      <c r="AP289" s="57">
        <v>46297.458333333336</v>
      </c>
      <c r="AR289" t="s">
        <v>218</v>
      </c>
      <c r="AS289" t="s">
        <v>816</v>
      </c>
      <c r="AT289" t="s">
        <v>230</v>
      </c>
      <c r="AU289">
        <v>20261001</v>
      </c>
      <c r="AV289" t="s">
        <v>221</v>
      </c>
      <c r="AW289" t="s">
        <v>880</v>
      </c>
      <c r="AX289" t="s">
        <v>222</v>
      </c>
      <c r="BA289" s="57">
        <v>46297.458333333336</v>
      </c>
      <c r="BB289" t="s">
        <v>1079</v>
      </c>
      <c r="BC289">
        <v>2026</v>
      </c>
      <c r="BD289">
        <v>10</v>
      </c>
      <c r="BE289">
        <v>1</v>
      </c>
      <c r="BF289" s="6">
        <f t="shared" si="12"/>
        <v>46296</v>
      </c>
      <c r="BG289">
        <f t="shared" si="13"/>
        <v>-1.4583333333357587</v>
      </c>
      <c r="BH289" t="str">
        <f t="shared" si="14"/>
        <v>COMPLY</v>
      </c>
      <c r="BI289" t="str">
        <f>VLOOKUP(H289,Sheet2!$A$1:$B$270,2,FALSE)</f>
        <v>SURABAYA SELATAN</v>
      </c>
    </row>
    <row r="290" spans="1:61">
      <c r="A290">
        <v>289</v>
      </c>
      <c r="B290">
        <v>1002618255</v>
      </c>
      <c r="C290">
        <v>3</v>
      </c>
      <c r="D290" t="s">
        <v>55</v>
      </c>
      <c r="E290">
        <v>5</v>
      </c>
      <c r="F290" t="s">
        <v>305</v>
      </c>
      <c r="G290" t="s">
        <v>124</v>
      </c>
      <c r="H290" t="s">
        <v>327</v>
      </c>
      <c r="I290" t="s">
        <v>212</v>
      </c>
      <c r="J290" t="s">
        <v>213</v>
      </c>
      <c r="K290" t="s">
        <v>149</v>
      </c>
      <c r="M290" t="s">
        <v>76</v>
      </c>
      <c r="N290" t="s">
        <v>215</v>
      </c>
      <c r="O290" s="57">
        <v>46296.630937499998</v>
      </c>
      <c r="P290" s="57">
        <v>46297.815462962964</v>
      </c>
      <c r="Q290">
        <v>69402505</v>
      </c>
      <c r="S290">
        <v>152306253141</v>
      </c>
      <c r="T290" t="s">
        <v>1080</v>
      </c>
      <c r="U290" t="s">
        <v>1081</v>
      </c>
      <c r="V290" t="s">
        <v>1082</v>
      </c>
      <c r="Z290">
        <v>112.73451573690301</v>
      </c>
      <c r="AA290">
        <v>-7.3086894955617998</v>
      </c>
      <c r="AB290" t="s">
        <v>1083</v>
      </c>
      <c r="AC290" t="s">
        <v>284</v>
      </c>
      <c r="AL290" t="s">
        <v>217</v>
      </c>
      <c r="AM290" t="s">
        <v>1084</v>
      </c>
      <c r="AN290" t="s">
        <v>6</v>
      </c>
      <c r="AO290" s="57">
        <v>46032.632627314815</v>
      </c>
      <c r="AP290" s="57">
        <v>46297.625</v>
      </c>
      <c r="AR290" t="s">
        <v>218</v>
      </c>
      <c r="AS290" t="s">
        <v>816</v>
      </c>
      <c r="AT290" t="s">
        <v>230</v>
      </c>
      <c r="AU290">
        <v>20261002</v>
      </c>
      <c r="AV290" t="s">
        <v>221</v>
      </c>
      <c r="AW290" t="s">
        <v>859</v>
      </c>
      <c r="AX290" t="s">
        <v>222</v>
      </c>
      <c r="BA290" s="57">
        <v>46297.625</v>
      </c>
      <c r="BB290" t="s">
        <v>1084</v>
      </c>
      <c r="BC290">
        <v>2026</v>
      </c>
      <c r="BD290">
        <v>10</v>
      </c>
      <c r="BE290">
        <v>2</v>
      </c>
      <c r="BF290" s="6">
        <f t="shared" si="12"/>
        <v>46297</v>
      </c>
      <c r="BG290">
        <f t="shared" si="13"/>
        <v>-0.625</v>
      </c>
      <c r="BH290" t="str">
        <f t="shared" si="14"/>
        <v>COMPLY</v>
      </c>
      <c r="BI290" t="str">
        <f>VLOOKUP(H290,Sheet2!$A$1:$B$270,2,FALSE)</f>
        <v>SURABAYA SELATAN</v>
      </c>
    </row>
    <row r="291" spans="1:61">
      <c r="A291">
        <v>290</v>
      </c>
      <c r="B291">
        <v>1002620955</v>
      </c>
      <c r="C291">
        <v>3</v>
      </c>
      <c r="D291" t="s">
        <v>55</v>
      </c>
      <c r="E291">
        <v>5</v>
      </c>
      <c r="F291" t="s">
        <v>305</v>
      </c>
      <c r="G291" t="s">
        <v>124</v>
      </c>
      <c r="H291" t="s">
        <v>327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46298.54074074074</v>
      </c>
      <c r="P291" s="57">
        <v>46298.713645833333</v>
      </c>
      <c r="Q291">
        <v>69403579</v>
      </c>
      <c r="S291">
        <v>152306253486</v>
      </c>
      <c r="T291" t="s">
        <v>1884</v>
      </c>
      <c r="U291" t="s">
        <v>1885</v>
      </c>
      <c r="V291" t="s">
        <v>1886</v>
      </c>
      <c r="Z291">
        <v>112.72749349999999</v>
      </c>
      <c r="AA291">
        <v>-7.3453318999999997</v>
      </c>
      <c r="AB291" t="s">
        <v>1887</v>
      </c>
      <c r="AC291" t="s">
        <v>235</v>
      </c>
      <c r="AL291" t="s">
        <v>217</v>
      </c>
      <c r="AM291" t="s">
        <v>1888</v>
      </c>
      <c r="AN291" t="s">
        <v>6</v>
      </c>
      <c r="AO291" s="57">
        <v>46091.549074074072</v>
      </c>
      <c r="AP291" s="57">
        <v>46300.333333333336</v>
      </c>
      <c r="AR291" t="s">
        <v>218</v>
      </c>
      <c r="AS291" t="s">
        <v>816</v>
      </c>
      <c r="AT291" t="s">
        <v>230</v>
      </c>
      <c r="AU291">
        <v>20261003</v>
      </c>
      <c r="AV291" t="s">
        <v>221</v>
      </c>
      <c r="AW291" t="s">
        <v>880</v>
      </c>
      <c r="AX291" t="s">
        <v>222</v>
      </c>
      <c r="BA291" s="57">
        <v>46300.333333333336</v>
      </c>
      <c r="BB291" t="s">
        <v>1888</v>
      </c>
      <c r="BC291">
        <v>2026</v>
      </c>
      <c r="BD291">
        <v>10</v>
      </c>
      <c r="BE291">
        <v>3</v>
      </c>
      <c r="BF291" s="6">
        <f t="shared" si="12"/>
        <v>46298</v>
      </c>
      <c r="BG291">
        <f t="shared" si="13"/>
        <v>-2.3333333333357587</v>
      </c>
      <c r="BH291" t="str">
        <f t="shared" si="14"/>
        <v>COMPLY</v>
      </c>
      <c r="BI291" t="str">
        <f>VLOOKUP(H291,Sheet2!$A$1:$B$270,2,FALSE)</f>
        <v>SURABAYA SELATAN</v>
      </c>
    </row>
    <row r="292" spans="1:61">
      <c r="A292">
        <v>291</v>
      </c>
      <c r="B292">
        <v>1002625658</v>
      </c>
      <c r="C292">
        <v>3</v>
      </c>
      <c r="D292" t="s">
        <v>55</v>
      </c>
      <c r="E292">
        <v>5</v>
      </c>
      <c r="F292" t="s">
        <v>305</v>
      </c>
      <c r="G292" t="s">
        <v>124</v>
      </c>
      <c r="H292" t="s">
        <v>327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46302.442812499998</v>
      </c>
      <c r="P292" s="57">
        <v>46302.81040509259</v>
      </c>
      <c r="Q292">
        <v>69405606</v>
      </c>
      <c r="S292">
        <v>152306253517</v>
      </c>
      <c r="T292" t="s">
        <v>4030</v>
      </c>
      <c r="U292" t="s">
        <v>4031</v>
      </c>
      <c r="V292" t="s">
        <v>4032</v>
      </c>
      <c r="Z292">
        <v>112.72782479999999</v>
      </c>
      <c r="AA292">
        <v>-7.3437809999999999</v>
      </c>
      <c r="AB292" t="s">
        <v>4033</v>
      </c>
      <c r="AC292" t="s">
        <v>235</v>
      </c>
      <c r="AL292" t="s">
        <v>217</v>
      </c>
      <c r="AM292" t="s">
        <v>3816</v>
      </c>
      <c r="AN292" t="s">
        <v>6</v>
      </c>
      <c r="AO292" s="57">
        <v>46213.444687499999</v>
      </c>
      <c r="AP292" s="57">
        <v>46303.333333333336</v>
      </c>
      <c r="AR292" t="s">
        <v>218</v>
      </c>
      <c r="AS292" t="s">
        <v>816</v>
      </c>
      <c r="AT292" t="s">
        <v>230</v>
      </c>
      <c r="AU292">
        <v>20261007</v>
      </c>
      <c r="AV292" t="s">
        <v>221</v>
      </c>
      <c r="AW292" t="s">
        <v>236</v>
      </c>
      <c r="AX292" t="s">
        <v>222</v>
      </c>
      <c r="BA292" s="57">
        <v>46303.333333333336</v>
      </c>
      <c r="BB292" t="s">
        <v>3816</v>
      </c>
      <c r="BC292">
        <v>2026</v>
      </c>
      <c r="BD292">
        <v>10</v>
      </c>
      <c r="BE292">
        <v>7</v>
      </c>
      <c r="BF292" s="6">
        <f t="shared" si="12"/>
        <v>46302</v>
      </c>
      <c r="BG292">
        <f t="shared" si="13"/>
        <v>-1.3333333333357587</v>
      </c>
      <c r="BH292" t="str">
        <f t="shared" si="14"/>
        <v>COMPLY</v>
      </c>
      <c r="BI292" t="str">
        <f>VLOOKUP(H292,Sheet2!$A$1:$B$270,2,FALSE)</f>
        <v>SURABAYA SELATAN</v>
      </c>
    </row>
    <row r="293" spans="1:61">
      <c r="A293">
        <v>292</v>
      </c>
      <c r="B293">
        <v>1002626779</v>
      </c>
      <c r="C293">
        <v>3</v>
      </c>
      <c r="D293" t="s">
        <v>55</v>
      </c>
      <c r="E293">
        <v>5</v>
      </c>
      <c r="F293" t="s">
        <v>305</v>
      </c>
      <c r="G293" t="s">
        <v>124</v>
      </c>
      <c r="H293" t="s">
        <v>327</v>
      </c>
      <c r="I293" t="s">
        <v>212</v>
      </c>
      <c r="J293" t="s">
        <v>213</v>
      </c>
      <c r="K293" t="s">
        <v>149</v>
      </c>
      <c r="M293" t="s">
        <v>1627</v>
      </c>
      <c r="N293" t="s">
        <v>563</v>
      </c>
      <c r="O293" s="57">
        <v>46302.692256944443</v>
      </c>
      <c r="P293" s="57">
        <v>46303.400717592594</v>
      </c>
      <c r="Q293">
        <v>69406087</v>
      </c>
      <c r="S293">
        <v>152306253524</v>
      </c>
      <c r="T293" t="s">
        <v>4034</v>
      </c>
      <c r="U293" t="s">
        <v>4035</v>
      </c>
      <c r="Z293">
        <v>106.831312179565</v>
      </c>
      <c r="AA293">
        <v>-6.1795102580773298</v>
      </c>
      <c r="AB293" t="s">
        <v>4036</v>
      </c>
      <c r="AC293" t="s">
        <v>283</v>
      </c>
      <c r="AO293" s="57">
        <v>46213.694965277777</v>
      </c>
      <c r="AR293" t="s">
        <v>1632</v>
      </c>
      <c r="AS293" t="s">
        <v>816</v>
      </c>
      <c r="AT293" t="s">
        <v>220</v>
      </c>
      <c r="AV293" t="s">
        <v>4037</v>
      </c>
      <c r="AW293" t="s">
        <v>540</v>
      </c>
      <c r="AX293" t="s">
        <v>222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SURABAYA SELATAN</v>
      </c>
    </row>
    <row r="294" spans="1:61">
      <c r="A294">
        <v>293</v>
      </c>
      <c r="B294">
        <v>1002621810</v>
      </c>
      <c r="C294">
        <v>3</v>
      </c>
      <c r="D294" t="s">
        <v>55</v>
      </c>
      <c r="E294">
        <v>5</v>
      </c>
      <c r="F294" t="s">
        <v>260</v>
      </c>
      <c r="G294" t="s">
        <v>128</v>
      </c>
      <c r="H294" t="s">
        <v>350</v>
      </c>
      <c r="I294" t="s">
        <v>212</v>
      </c>
      <c r="J294" t="s">
        <v>213</v>
      </c>
      <c r="K294" t="s">
        <v>149</v>
      </c>
      <c r="L294" t="s">
        <v>214</v>
      </c>
      <c r="M294" t="s">
        <v>836</v>
      </c>
      <c r="N294" t="s">
        <v>215</v>
      </c>
      <c r="O294" s="57">
        <v>46300.408043981479</v>
      </c>
      <c r="P294" s="57">
        <v>46303.408912037034</v>
      </c>
      <c r="Q294">
        <v>69404100</v>
      </c>
      <c r="S294">
        <v>152412249642</v>
      </c>
      <c r="T294" t="s">
        <v>2725</v>
      </c>
      <c r="U294" t="s">
        <v>2726</v>
      </c>
      <c r="V294" t="s">
        <v>2727</v>
      </c>
      <c r="Z294">
        <v>112.65539</v>
      </c>
      <c r="AA294">
        <v>-7.2978959999999997</v>
      </c>
      <c r="AB294" t="s">
        <v>2728</v>
      </c>
      <c r="AC294" t="s">
        <v>235</v>
      </c>
      <c r="AL294" t="s">
        <v>217</v>
      </c>
      <c r="AM294" t="s">
        <v>2729</v>
      </c>
      <c r="AN294" t="s">
        <v>6</v>
      </c>
      <c r="AO294" s="57">
        <v>46152.444537037038</v>
      </c>
      <c r="AP294" s="57">
        <v>46301.625</v>
      </c>
      <c r="AQ294" t="s">
        <v>841</v>
      </c>
      <c r="AR294" t="s">
        <v>14</v>
      </c>
      <c r="AS294" t="s">
        <v>573</v>
      </c>
      <c r="AT294" t="s">
        <v>230</v>
      </c>
      <c r="AV294" t="s">
        <v>837</v>
      </c>
      <c r="AW294" t="s">
        <v>2730</v>
      </c>
      <c r="AX294" t="s">
        <v>222</v>
      </c>
      <c r="BA294" s="57">
        <v>46301.625</v>
      </c>
      <c r="BB294" t="s">
        <v>2729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SURABAYA UTARA</v>
      </c>
    </row>
    <row r="295" spans="1:61">
      <c r="A295">
        <v>294</v>
      </c>
      <c r="B295">
        <v>1002620353</v>
      </c>
      <c r="C295">
        <v>3</v>
      </c>
      <c r="D295" t="s">
        <v>55</v>
      </c>
      <c r="E295">
        <v>5</v>
      </c>
      <c r="F295" t="s">
        <v>260</v>
      </c>
      <c r="G295" t="s">
        <v>128</v>
      </c>
      <c r="H295" t="s">
        <v>350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46297.663657407407</v>
      </c>
      <c r="P295" s="57">
        <v>46298.485358796293</v>
      </c>
      <c r="Q295">
        <v>69403272</v>
      </c>
      <c r="S295">
        <v>152412249599</v>
      </c>
      <c r="T295" t="s">
        <v>1889</v>
      </c>
      <c r="U295" t="s">
        <v>1890</v>
      </c>
      <c r="V295" t="s">
        <v>1891</v>
      </c>
      <c r="Z295">
        <v>112.6537841</v>
      </c>
      <c r="AA295">
        <v>-7.2527160999999998</v>
      </c>
      <c r="AB295" t="s">
        <v>1892</v>
      </c>
      <c r="AC295" t="s">
        <v>235</v>
      </c>
      <c r="AL295" t="s">
        <v>217</v>
      </c>
      <c r="AM295" t="s">
        <v>1893</v>
      </c>
      <c r="AN295" t="s">
        <v>6</v>
      </c>
      <c r="AO295" s="57">
        <v>46063.673761574071</v>
      </c>
      <c r="AP295" s="57">
        <v>46299.458333333336</v>
      </c>
      <c r="AR295" t="s">
        <v>218</v>
      </c>
      <c r="AS295" t="s">
        <v>573</v>
      </c>
      <c r="AT295" t="s">
        <v>230</v>
      </c>
      <c r="AU295">
        <v>20261003</v>
      </c>
      <c r="AV295" t="s">
        <v>221</v>
      </c>
      <c r="AW295" t="s">
        <v>881</v>
      </c>
      <c r="AX295" t="s">
        <v>222</v>
      </c>
      <c r="BA295" s="57">
        <v>46299.458333333336</v>
      </c>
      <c r="BB295" t="s">
        <v>1893</v>
      </c>
      <c r="BC295">
        <v>2026</v>
      </c>
      <c r="BD295">
        <v>10</v>
      </c>
      <c r="BE295">
        <v>3</v>
      </c>
      <c r="BF295" s="6">
        <f t="shared" si="12"/>
        <v>46298</v>
      </c>
      <c r="BG295">
        <f t="shared" si="13"/>
        <v>-1.4583333333357587</v>
      </c>
      <c r="BH295" t="str">
        <f t="shared" si="14"/>
        <v>COMPLY</v>
      </c>
      <c r="BI295" t="str">
        <f>VLOOKUP(H295,Sheet2!$A$1:$B$270,2,FALSE)</f>
        <v>SURABAYA UTARA</v>
      </c>
    </row>
    <row r="296" spans="1:61">
      <c r="A296">
        <v>295</v>
      </c>
      <c r="B296">
        <v>1002626700</v>
      </c>
      <c r="C296">
        <v>3</v>
      </c>
      <c r="D296" t="s">
        <v>55</v>
      </c>
      <c r="E296">
        <v>5</v>
      </c>
      <c r="F296" t="s">
        <v>260</v>
      </c>
      <c r="G296" t="s">
        <v>128</v>
      </c>
      <c r="H296" t="s">
        <v>350</v>
      </c>
      <c r="I296" t="s">
        <v>212</v>
      </c>
      <c r="J296" t="s">
        <v>213</v>
      </c>
      <c r="K296" t="s">
        <v>149</v>
      </c>
      <c r="M296" t="s">
        <v>76</v>
      </c>
      <c r="N296" t="s">
        <v>215</v>
      </c>
      <c r="O296" s="57">
        <v>46302.6715625</v>
      </c>
      <c r="P296" s="57">
        <v>46302.807083333333</v>
      </c>
      <c r="Q296">
        <v>69404395</v>
      </c>
      <c r="R296">
        <v>3135922434</v>
      </c>
      <c r="S296">
        <v>152412249685</v>
      </c>
      <c r="T296" t="s">
        <v>2739</v>
      </c>
      <c r="U296" t="s">
        <v>4038</v>
      </c>
      <c r="V296" t="s">
        <v>4039</v>
      </c>
      <c r="Z296">
        <v>112.67160863403601</v>
      </c>
      <c r="AA296">
        <v>-7.2562442884802003</v>
      </c>
      <c r="AB296" t="s">
        <v>2742</v>
      </c>
      <c r="AC296" t="s">
        <v>229</v>
      </c>
      <c r="AL296" t="s">
        <v>217</v>
      </c>
      <c r="AM296" t="s">
        <v>4040</v>
      </c>
      <c r="AN296" t="s">
        <v>6</v>
      </c>
      <c r="AO296" s="57">
        <v>46213.67386574074</v>
      </c>
      <c r="AR296" t="s">
        <v>218</v>
      </c>
      <c r="AS296" t="s">
        <v>573</v>
      </c>
      <c r="AT296" t="s">
        <v>230</v>
      </c>
      <c r="AU296">
        <v>20261007</v>
      </c>
      <c r="AV296" t="s">
        <v>221</v>
      </c>
      <c r="AW296" t="s">
        <v>1587</v>
      </c>
      <c r="AX296" t="s">
        <v>222</v>
      </c>
      <c r="BA296" s="57">
        <v>46302.291666666664</v>
      </c>
      <c r="BB296" t="s">
        <v>4040</v>
      </c>
      <c r="BC296">
        <v>2026</v>
      </c>
      <c r="BD296">
        <v>10</v>
      </c>
      <c r="BE296">
        <v>7</v>
      </c>
      <c r="BF296" s="6">
        <f t="shared" si="12"/>
        <v>46302</v>
      </c>
      <c r="BG296">
        <f t="shared" si="13"/>
        <v>-0.29166666666424135</v>
      </c>
      <c r="BH296" t="str">
        <f t="shared" si="14"/>
        <v>COMPLY</v>
      </c>
      <c r="BI296" t="str">
        <f>VLOOKUP(H296,Sheet2!$A$1:$B$270,2,FALSE)</f>
        <v>SURABAYA UTARA</v>
      </c>
    </row>
    <row r="297" spans="1:61">
      <c r="A297">
        <v>296</v>
      </c>
      <c r="B297">
        <v>1002626728</v>
      </c>
      <c r="C297">
        <v>3</v>
      </c>
      <c r="D297" t="s">
        <v>55</v>
      </c>
      <c r="E297">
        <v>5</v>
      </c>
      <c r="F297" t="s">
        <v>260</v>
      </c>
      <c r="G297" t="s">
        <v>128</v>
      </c>
      <c r="H297" t="s">
        <v>350</v>
      </c>
      <c r="I297" t="s">
        <v>212</v>
      </c>
      <c r="J297" t="s">
        <v>213</v>
      </c>
      <c r="K297" t="s">
        <v>149</v>
      </c>
      <c r="M297" t="s">
        <v>76</v>
      </c>
      <c r="N297" t="s">
        <v>215</v>
      </c>
      <c r="O297" s="57">
        <v>46302.679155092592</v>
      </c>
      <c r="P297" s="57">
        <v>46302.807662037034</v>
      </c>
      <c r="Q297">
        <v>69404407</v>
      </c>
      <c r="S297">
        <v>152412249686</v>
      </c>
      <c r="T297" t="s">
        <v>2739</v>
      </c>
      <c r="U297" t="s">
        <v>4038</v>
      </c>
      <c r="V297" t="s">
        <v>4041</v>
      </c>
      <c r="Z297">
        <v>112.67160863403601</v>
      </c>
      <c r="AA297">
        <v>-7.2562442884802003</v>
      </c>
      <c r="AB297" t="s">
        <v>2745</v>
      </c>
      <c r="AC297" t="s">
        <v>229</v>
      </c>
      <c r="AL297" t="s">
        <v>217</v>
      </c>
      <c r="AM297" t="s">
        <v>4042</v>
      </c>
      <c r="AN297" t="s">
        <v>6</v>
      </c>
      <c r="AO297" s="57">
        <v>46213.68409722222</v>
      </c>
      <c r="AR297" t="s">
        <v>218</v>
      </c>
      <c r="AS297" t="s">
        <v>573</v>
      </c>
      <c r="AT297" t="s">
        <v>230</v>
      </c>
      <c r="AU297">
        <v>20261007</v>
      </c>
      <c r="AV297" t="s">
        <v>221</v>
      </c>
      <c r="AW297" t="s">
        <v>851</v>
      </c>
      <c r="AX297" t="s">
        <v>222</v>
      </c>
      <c r="BA297" s="57">
        <v>46302.291666666664</v>
      </c>
      <c r="BB297" t="s">
        <v>4042</v>
      </c>
      <c r="BC297">
        <v>2026</v>
      </c>
      <c r="BD297">
        <v>10</v>
      </c>
      <c r="BE297">
        <v>7</v>
      </c>
      <c r="BF297" s="6">
        <f t="shared" si="12"/>
        <v>46302</v>
      </c>
      <c r="BG297">
        <f t="shared" si="13"/>
        <v>-0.29166666666424135</v>
      </c>
      <c r="BH297" t="str">
        <f t="shared" si="14"/>
        <v>COMPLY</v>
      </c>
      <c r="BI297" t="str">
        <f>VLOOKUP(H297,Sheet2!$A$1:$B$270,2,FALSE)</f>
        <v>SURABAYA UTARA</v>
      </c>
    </row>
    <row r="298" spans="1:61">
      <c r="A298">
        <v>297</v>
      </c>
      <c r="B298">
        <v>1002626289</v>
      </c>
      <c r="C298">
        <v>3</v>
      </c>
      <c r="D298" t="s">
        <v>55</v>
      </c>
      <c r="E298">
        <v>5</v>
      </c>
      <c r="F298" t="s">
        <v>260</v>
      </c>
      <c r="G298" t="s">
        <v>128</v>
      </c>
      <c r="H298" t="s">
        <v>350</v>
      </c>
      <c r="I298" t="s">
        <v>212</v>
      </c>
      <c r="J298" t="s">
        <v>213</v>
      </c>
      <c r="K298" t="s">
        <v>149</v>
      </c>
      <c r="L298" t="s">
        <v>214</v>
      </c>
      <c r="M298" t="s">
        <v>279</v>
      </c>
      <c r="N298" t="s">
        <v>215</v>
      </c>
      <c r="O298" s="57">
        <v>46302.588599537034</v>
      </c>
      <c r="P298" s="57">
        <v>46303.406458333331</v>
      </c>
      <c r="Q298">
        <v>69405914</v>
      </c>
      <c r="S298">
        <v>152412249682</v>
      </c>
      <c r="T298" t="s">
        <v>4043</v>
      </c>
      <c r="U298" t="s">
        <v>4044</v>
      </c>
      <c r="V298" t="s">
        <v>4045</v>
      </c>
      <c r="Z298">
        <v>112.6268692</v>
      </c>
      <c r="AA298">
        <v>-7.2395955000000001</v>
      </c>
      <c r="AB298" t="s">
        <v>4046</v>
      </c>
      <c r="AC298" t="s">
        <v>216</v>
      </c>
      <c r="AL298" t="s">
        <v>217</v>
      </c>
      <c r="AM298" t="s">
        <v>4047</v>
      </c>
      <c r="AN298" t="s">
        <v>6</v>
      </c>
      <c r="AO298" s="57">
        <v>46213.59065972222</v>
      </c>
      <c r="AP298" s="57">
        <v>46303.458333333336</v>
      </c>
      <c r="AR298" t="s">
        <v>239</v>
      </c>
      <c r="AS298" t="s">
        <v>573</v>
      </c>
      <c r="AT298" t="s">
        <v>342</v>
      </c>
      <c r="AV298" t="s">
        <v>799</v>
      </c>
      <c r="AW298" t="s">
        <v>1904</v>
      </c>
      <c r="AX298" t="s">
        <v>222</v>
      </c>
      <c r="BA298" s="57">
        <v>46303.458333333336</v>
      </c>
      <c r="BB298" t="s">
        <v>4047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SURABAYA UTARA</v>
      </c>
    </row>
    <row r="299" spans="1:61">
      <c r="A299">
        <v>298</v>
      </c>
      <c r="B299">
        <v>1002617848</v>
      </c>
      <c r="C299">
        <v>3</v>
      </c>
      <c r="D299" t="s">
        <v>55</v>
      </c>
      <c r="E299">
        <v>5</v>
      </c>
      <c r="F299" t="s">
        <v>260</v>
      </c>
      <c r="G299" t="s">
        <v>128</v>
      </c>
      <c r="H299" t="s">
        <v>449</v>
      </c>
      <c r="I299" t="s">
        <v>212</v>
      </c>
      <c r="J299" t="s">
        <v>213</v>
      </c>
      <c r="K299" t="s">
        <v>149</v>
      </c>
      <c r="M299" t="s">
        <v>76</v>
      </c>
      <c r="N299" t="s">
        <v>563</v>
      </c>
      <c r="O299" s="57">
        <v>46296.561018518521</v>
      </c>
      <c r="P299" s="57">
        <v>46296.656342592592</v>
      </c>
      <c r="Q299">
        <v>69005969</v>
      </c>
      <c r="S299">
        <v>152415235112</v>
      </c>
      <c r="T299" t="s">
        <v>918</v>
      </c>
      <c r="U299" t="s">
        <v>1085</v>
      </c>
      <c r="V299" t="s">
        <v>1086</v>
      </c>
      <c r="Z299">
        <v>112.70686032241601</v>
      </c>
      <c r="AA299">
        <v>-7.33200050681699</v>
      </c>
      <c r="AB299" t="s">
        <v>935</v>
      </c>
      <c r="AC299" t="s">
        <v>225</v>
      </c>
      <c r="AL299" t="s">
        <v>217</v>
      </c>
      <c r="AM299" t="s">
        <v>919</v>
      </c>
      <c r="AN299" t="s">
        <v>6</v>
      </c>
      <c r="AO299" s="57">
        <v>46032.569884259261</v>
      </c>
      <c r="AR299" t="s">
        <v>218</v>
      </c>
      <c r="AS299" t="s">
        <v>578</v>
      </c>
      <c r="AT299" t="s">
        <v>230</v>
      </c>
      <c r="AU299">
        <v>20261001</v>
      </c>
      <c r="AV299" t="s">
        <v>221</v>
      </c>
      <c r="AW299" t="s">
        <v>942</v>
      </c>
      <c r="AX299" t="s">
        <v>222</v>
      </c>
      <c r="BA299" s="57">
        <v>46296.291666666664</v>
      </c>
      <c r="BB299" t="s">
        <v>919</v>
      </c>
      <c r="BC299">
        <v>2026</v>
      </c>
      <c r="BD299">
        <v>10</v>
      </c>
      <c r="BE299">
        <v>1</v>
      </c>
      <c r="BF299" s="6">
        <f t="shared" si="12"/>
        <v>46296</v>
      </c>
      <c r="BG299">
        <f t="shared" si="13"/>
        <v>-0.29166666666424135</v>
      </c>
      <c r="BH299" t="str">
        <f t="shared" si="14"/>
        <v>COMPLY</v>
      </c>
      <c r="BI299" t="str">
        <f>VLOOKUP(H299,Sheet2!$A$1:$B$270,2,FALSE)</f>
        <v>SURABAYA UTARA</v>
      </c>
    </row>
    <row r="300" spans="1:61">
      <c r="A300">
        <v>299</v>
      </c>
      <c r="B300">
        <v>1002619480</v>
      </c>
      <c r="C300">
        <v>3</v>
      </c>
      <c r="D300" t="s">
        <v>55</v>
      </c>
      <c r="E300">
        <v>5</v>
      </c>
      <c r="F300" t="s">
        <v>260</v>
      </c>
      <c r="G300" t="s">
        <v>128</v>
      </c>
      <c r="H300" t="s">
        <v>400</v>
      </c>
      <c r="I300" t="s">
        <v>212</v>
      </c>
      <c r="J300" t="s">
        <v>213</v>
      </c>
      <c r="K300" t="s">
        <v>149</v>
      </c>
      <c r="L300" t="s">
        <v>214</v>
      </c>
      <c r="M300" t="s">
        <v>1401</v>
      </c>
      <c r="N300" t="s">
        <v>215</v>
      </c>
      <c r="O300" s="57">
        <v>46297.46429398148</v>
      </c>
      <c r="P300" s="57">
        <v>46300.654282407406</v>
      </c>
      <c r="Q300">
        <v>69402929</v>
      </c>
      <c r="S300">
        <v>152424212061</v>
      </c>
      <c r="T300" t="s">
        <v>1899</v>
      </c>
      <c r="U300" t="s">
        <v>1900</v>
      </c>
      <c r="V300" t="s">
        <v>1901</v>
      </c>
      <c r="Z300">
        <v>112.694453448057</v>
      </c>
      <c r="AA300">
        <v>-7.3141615691990003</v>
      </c>
      <c r="AB300" t="s">
        <v>1902</v>
      </c>
      <c r="AC300" t="s">
        <v>216</v>
      </c>
      <c r="AL300" t="s">
        <v>217</v>
      </c>
      <c r="AM300" t="s">
        <v>1903</v>
      </c>
      <c r="AN300" t="s">
        <v>6</v>
      </c>
      <c r="AO300" s="57">
        <v>46063.466053240743</v>
      </c>
      <c r="AP300" s="57">
        <v>46300.333333333336</v>
      </c>
      <c r="AQ300" t="s">
        <v>841</v>
      </c>
      <c r="AR300" t="s">
        <v>14</v>
      </c>
      <c r="AS300" t="s">
        <v>128</v>
      </c>
      <c r="AT300" t="s">
        <v>342</v>
      </c>
      <c r="AV300" t="s">
        <v>2731</v>
      </c>
      <c r="AW300" t="s">
        <v>1904</v>
      </c>
      <c r="AX300" t="s">
        <v>222</v>
      </c>
      <c r="BA300" s="57">
        <v>46300.333333333336</v>
      </c>
      <c r="BB300" t="s">
        <v>1903</v>
      </c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str">
        <f>VLOOKUP(H300,Sheet2!$A$1:$B$270,2,FALSE)</f>
        <v>SURABAYA UTARA</v>
      </c>
    </row>
    <row r="301" spans="1:61">
      <c r="A301">
        <v>300</v>
      </c>
      <c r="B301">
        <v>1002619479</v>
      </c>
      <c r="C301">
        <v>3</v>
      </c>
      <c r="D301" t="s">
        <v>55</v>
      </c>
      <c r="E301">
        <v>5</v>
      </c>
      <c r="F301" t="s">
        <v>260</v>
      </c>
      <c r="G301" t="s">
        <v>128</v>
      </c>
      <c r="H301" t="s">
        <v>400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46297.463645833333</v>
      </c>
      <c r="P301" s="57">
        <v>46297.88590277778</v>
      </c>
      <c r="Q301">
        <v>69402927</v>
      </c>
      <c r="S301">
        <v>152424211930</v>
      </c>
      <c r="T301" t="s">
        <v>1894</v>
      </c>
      <c r="U301" t="s">
        <v>1895</v>
      </c>
      <c r="V301" t="s">
        <v>1896</v>
      </c>
      <c r="Z301">
        <v>112.6677682</v>
      </c>
      <c r="AA301">
        <v>-7.3056636999999904</v>
      </c>
      <c r="AB301" t="s">
        <v>1897</v>
      </c>
      <c r="AC301" t="s">
        <v>235</v>
      </c>
      <c r="AL301" t="s">
        <v>217</v>
      </c>
      <c r="AM301" t="s">
        <v>1898</v>
      </c>
      <c r="AN301" t="s">
        <v>6</v>
      </c>
      <c r="AO301" s="57">
        <v>46063.466053240743</v>
      </c>
      <c r="AP301" s="57">
        <v>46299.458333333336</v>
      </c>
      <c r="AR301" t="s">
        <v>218</v>
      </c>
      <c r="AS301" t="s">
        <v>128</v>
      </c>
      <c r="AT301" t="s">
        <v>230</v>
      </c>
      <c r="AU301">
        <v>20261002</v>
      </c>
      <c r="AV301" t="s">
        <v>221</v>
      </c>
      <c r="AW301" t="s">
        <v>883</v>
      </c>
      <c r="AX301" t="s">
        <v>222</v>
      </c>
      <c r="BA301" s="57">
        <v>46299.458333333336</v>
      </c>
      <c r="BB301" t="s">
        <v>1898</v>
      </c>
      <c r="BC301">
        <v>2026</v>
      </c>
      <c r="BD301">
        <v>10</v>
      </c>
      <c r="BE301">
        <v>2</v>
      </c>
      <c r="BF301" s="6">
        <f t="shared" si="12"/>
        <v>46297</v>
      </c>
      <c r="BG301">
        <f t="shared" si="13"/>
        <v>-2.4583333333357587</v>
      </c>
      <c r="BH301" t="str">
        <f t="shared" si="14"/>
        <v>COMPLY</v>
      </c>
      <c r="BI301" t="str">
        <f>VLOOKUP(H301,Sheet2!$A$1:$B$270,2,FALSE)</f>
        <v>SURABAYA UTARA</v>
      </c>
    </row>
    <row r="302" spans="1:61">
      <c r="A302">
        <v>301</v>
      </c>
      <c r="B302">
        <v>1002622919</v>
      </c>
      <c r="C302">
        <v>3</v>
      </c>
      <c r="D302" t="s">
        <v>55</v>
      </c>
      <c r="E302">
        <v>5</v>
      </c>
      <c r="F302" t="s">
        <v>260</v>
      </c>
      <c r="G302" t="s">
        <v>128</v>
      </c>
      <c r="H302" t="s">
        <v>400</v>
      </c>
      <c r="I302" t="s">
        <v>212</v>
      </c>
      <c r="J302" t="s">
        <v>213</v>
      </c>
      <c r="K302" t="s">
        <v>149</v>
      </c>
      <c r="M302" t="s">
        <v>76</v>
      </c>
      <c r="N302" t="s">
        <v>215</v>
      </c>
      <c r="O302" s="57">
        <v>46300.654282407406</v>
      </c>
      <c r="P302" s="57">
        <v>46300.724722222221</v>
      </c>
      <c r="Q302">
        <v>69402929</v>
      </c>
      <c r="S302">
        <v>152424212472</v>
      </c>
      <c r="T302" t="s">
        <v>1899</v>
      </c>
      <c r="U302" t="s">
        <v>2732</v>
      </c>
      <c r="V302" t="s">
        <v>2733</v>
      </c>
      <c r="Z302">
        <v>112.694814162349</v>
      </c>
      <c r="AA302">
        <v>-7.3144176310756297</v>
      </c>
      <c r="AB302" t="s">
        <v>1902</v>
      </c>
      <c r="AC302" t="s">
        <v>216</v>
      </c>
      <c r="AL302" t="s">
        <v>217</v>
      </c>
      <c r="AM302" t="s">
        <v>2734</v>
      </c>
      <c r="AN302" t="s">
        <v>6</v>
      </c>
      <c r="AO302" s="57">
        <v>46152.684560185182</v>
      </c>
      <c r="AR302" t="s">
        <v>218</v>
      </c>
      <c r="AS302" t="s">
        <v>128</v>
      </c>
      <c r="AT302" t="s">
        <v>342</v>
      </c>
      <c r="AU302">
        <v>20261005</v>
      </c>
      <c r="AV302" t="s">
        <v>221</v>
      </c>
      <c r="AW302" t="s">
        <v>540</v>
      </c>
      <c r="AX302" t="s">
        <v>222</v>
      </c>
      <c r="BA302" s="57">
        <v>46300.291666666664</v>
      </c>
      <c r="BB302" t="s">
        <v>2734</v>
      </c>
      <c r="BC302">
        <v>2026</v>
      </c>
      <c r="BD302">
        <v>10</v>
      </c>
      <c r="BE302">
        <v>5</v>
      </c>
      <c r="BF302" s="6">
        <f t="shared" si="12"/>
        <v>46300</v>
      </c>
      <c r="BG302">
        <f t="shared" si="13"/>
        <v>-0.29166666666424135</v>
      </c>
      <c r="BH302" t="str">
        <f t="shared" si="14"/>
        <v>COMPLY</v>
      </c>
      <c r="BI302" t="str">
        <f>VLOOKUP(H302,Sheet2!$A$1:$B$270,2,FALSE)</f>
        <v>SURABAYA UTARA</v>
      </c>
    </row>
    <row r="303" spans="1:61">
      <c r="A303">
        <v>302</v>
      </c>
      <c r="B303">
        <v>1002625196</v>
      </c>
      <c r="C303">
        <v>3</v>
      </c>
      <c r="D303" t="s">
        <v>55</v>
      </c>
      <c r="E303">
        <v>5</v>
      </c>
      <c r="F303" t="s">
        <v>260</v>
      </c>
      <c r="G303" t="s">
        <v>128</v>
      </c>
      <c r="H303" t="s">
        <v>400</v>
      </c>
      <c r="I303" t="s">
        <v>212</v>
      </c>
      <c r="J303" t="s">
        <v>213</v>
      </c>
      <c r="K303" t="s">
        <v>149</v>
      </c>
      <c r="L303" t="s">
        <v>826</v>
      </c>
      <c r="M303" t="s">
        <v>238</v>
      </c>
      <c r="N303" t="s">
        <v>215</v>
      </c>
      <c r="O303" s="57">
        <v>46301.803946759261</v>
      </c>
      <c r="P303" s="57">
        <v>46301.805844907409</v>
      </c>
      <c r="Q303">
        <v>69405409</v>
      </c>
      <c r="R303">
        <v>3135970354</v>
      </c>
      <c r="S303">
        <v>152424213325</v>
      </c>
      <c r="T303" t="s">
        <v>3331</v>
      </c>
      <c r="U303" t="s">
        <v>3332</v>
      </c>
      <c r="V303" t="s">
        <v>3333</v>
      </c>
      <c r="Z303">
        <v>112.700524</v>
      </c>
      <c r="AA303">
        <v>-7.3086000000000002</v>
      </c>
      <c r="AB303" t="s">
        <v>3334</v>
      </c>
      <c r="AC303" t="s">
        <v>235</v>
      </c>
      <c r="AL303" t="s">
        <v>217</v>
      </c>
      <c r="AM303" t="s">
        <v>3335</v>
      </c>
      <c r="AN303" t="s">
        <v>6</v>
      </c>
      <c r="AO303" s="57">
        <v>46183.809340277781</v>
      </c>
      <c r="AP303" s="57">
        <v>46304.458333333336</v>
      </c>
      <c r="AR303" t="s">
        <v>239</v>
      </c>
      <c r="AS303" t="s">
        <v>128</v>
      </c>
      <c r="AT303" t="s">
        <v>230</v>
      </c>
      <c r="AV303" t="s">
        <v>238</v>
      </c>
      <c r="AW303" t="s">
        <v>3336</v>
      </c>
      <c r="AX303" t="s">
        <v>222</v>
      </c>
      <c r="BA303" s="57">
        <v>46304.458333333336</v>
      </c>
      <c r="BB303" t="s">
        <v>3335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SURABAYA UTARA</v>
      </c>
    </row>
    <row r="304" spans="1:61">
      <c r="A304">
        <v>303</v>
      </c>
      <c r="B304">
        <v>1002621074</v>
      </c>
      <c r="C304">
        <v>3</v>
      </c>
      <c r="D304" t="s">
        <v>55</v>
      </c>
      <c r="E304">
        <v>5</v>
      </c>
      <c r="F304" t="s">
        <v>260</v>
      </c>
      <c r="G304" t="s">
        <v>128</v>
      </c>
      <c r="H304" t="s">
        <v>374</v>
      </c>
      <c r="I304" t="s">
        <v>212</v>
      </c>
      <c r="J304" t="s">
        <v>213</v>
      </c>
      <c r="K304" t="s">
        <v>149</v>
      </c>
      <c r="L304" t="s">
        <v>214</v>
      </c>
      <c r="M304" t="s">
        <v>1401</v>
      </c>
      <c r="N304" t="s">
        <v>215</v>
      </c>
      <c r="O304" s="57">
        <v>46298.634479166663</v>
      </c>
      <c r="P304" s="57">
        <v>46300.588576388887</v>
      </c>
      <c r="Q304">
        <v>69403662</v>
      </c>
      <c r="S304">
        <v>152409278523</v>
      </c>
      <c r="T304" t="s">
        <v>1905</v>
      </c>
      <c r="U304" t="s">
        <v>1906</v>
      </c>
      <c r="V304" t="s">
        <v>1907</v>
      </c>
      <c r="Z304">
        <v>112.6935625</v>
      </c>
      <c r="AA304">
        <v>-7.2840625000000001</v>
      </c>
      <c r="AB304" t="s">
        <v>1908</v>
      </c>
      <c r="AC304" t="s">
        <v>849</v>
      </c>
      <c r="AL304" t="s">
        <v>217</v>
      </c>
      <c r="AM304" t="s">
        <v>1909</v>
      </c>
      <c r="AN304" t="s">
        <v>6</v>
      </c>
      <c r="AO304" s="57">
        <v>46091.642442129632</v>
      </c>
      <c r="AP304" s="57">
        <v>46299.625</v>
      </c>
      <c r="AR304" t="s">
        <v>14</v>
      </c>
      <c r="AS304" t="s">
        <v>128</v>
      </c>
      <c r="AT304" t="s">
        <v>230</v>
      </c>
      <c r="AV304" t="s">
        <v>2735</v>
      </c>
      <c r="AW304" t="s">
        <v>883</v>
      </c>
      <c r="AX304" t="s">
        <v>222</v>
      </c>
      <c r="BA304" s="57">
        <v>46299.625</v>
      </c>
      <c r="BB304" t="s">
        <v>1909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str">
        <f>VLOOKUP(H304,Sheet2!$A$1:$B$270,2,FALSE)</f>
        <v>SURABAYA UTARA</v>
      </c>
    </row>
    <row r="305" spans="1:61">
      <c r="A305">
        <v>304</v>
      </c>
      <c r="B305">
        <v>1002622586</v>
      </c>
      <c r="C305">
        <v>3</v>
      </c>
      <c r="D305" t="s">
        <v>55</v>
      </c>
      <c r="E305">
        <v>5</v>
      </c>
      <c r="F305" t="s">
        <v>260</v>
      </c>
      <c r="G305" t="s">
        <v>128</v>
      </c>
      <c r="H305" t="s">
        <v>374</v>
      </c>
      <c r="I305" t="s">
        <v>212</v>
      </c>
      <c r="J305" t="s">
        <v>213</v>
      </c>
      <c r="K305" t="s">
        <v>149</v>
      </c>
      <c r="M305" t="s">
        <v>76</v>
      </c>
      <c r="N305" t="s">
        <v>215</v>
      </c>
      <c r="O305" s="57">
        <v>46300.588587962964</v>
      </c>
      <c r="P305" s="57">
        <v>46300.82230324074</v>
      </c>
      <c r="Q305">
        <v>69403662</v>
      </c>
      <c r="S305">
        <v>152409278803</v>
      </c>
      <c r="T305" t="s">
        <v>1905</v>
      </c>
      <c r="U305" t="s">
        <v>2736</v>
      </c>
      <c r="V305" t="s">
        <v>2737</v>
      </c>
      <c r="Z305">
        <v>112.69338936607799</v>
      </c>
      <c r="AA305">
        <v>-7.2839923217568803</v>
      </c>
      <c r="AB305" t="s">
        <v>1908</v>
      </c>
      <c r="AC305" t="s">
        <v>229</v>
      </c>
      <c r="AL305" t="s">
        <v>217</v>
      </c>
      <c r="AM305" t="s">
        <v>2738</v>
      </c>
      <c r="AN305" t="s">
        <v>6</v>
      </c>
      <c r="AO305" s="57">
        <v>46152.601203703707</v>
      </c>
      <c r="AR305" t="s">
        <v>218</v>
      </c>
      <c r="AS305" t="s">
        <v>128</v>
      </c>
      <c r="AT305" t="s">
        <v>230</v>
      </c>
      <c r="AU305">
        <v>20261005</v>
      </c>
      <c r="AV305" t="s">
        <v>221</v>
      </c>
      <c r="AW305" t="s">
        <v>541</v>
      </c>
      <c r="AX305" t="s">
        <v>222</v>
      </c>
      <c r="BA305" s="57">
        <v>46300.291666666664</v>
      </c>
      <c r="BB305" t="s">
        <v>2738</v>
      </c>
      <c r="BC305">
        <v>2026</v>
      </c>
      <c r="BD305">
        <v>10</v>
      </c>
      <c r="BE305">
        <v>5</v>
      </c>
      <c r="BF305" s="6">
        <f t="shared" si="12"/>
        <v>46300</v>
      </c>
      <c r="BG305">
        <f t="shared" si="13"/>
        <v>-0.29166666666424135</v>
      </c>
      <c r="BH305" t="str">
        <f t="shared" si="14"/>
        <v>COMPLY</v>
      </c>
      <c r="BI305" t="str">
        <f>VLOOKUP(H305,Sheet2!$A$1:$B$270,2,FALSE)</f>
        <v>SURABAYA UTARA</v>
      </c>
    </row>
    <row r="306" spans="1:61">
      <c r="A306">
        <v>305</v>
      </c>
      <c r="B306">
        <v>1002624131</v>
      </c>
      <c r="C306">
        <v>3</v>
      </c>
      <c r="D306" t="s">
        <v>55</v>
      </c>
      <c r="E306">
        <v>5</v>
      </c>
      <c r="F306" t="s">
        <v>260</v>
      </c>
      <c r="G306" t="s">
        <v>128</v>
      </c>
      <c r="H306" t="s">
        <v>374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46301.505277777775</v>
      </c>
      <c r="P306" s="57">
        <v>46301.780185185184</v>
      </c>
      <c r="Q306">
        <v>69404943</v>
      </c>
      <c r="S306">
        <v>152409278811</v>
      </c>
      <c r="T306" t="s">
        <v>3337</v>
      </c>
      <c r="U306" t="s">
        <v>3338</v>
      </c>
      <c r="V306" t="s">
        <v>3339</v>
      </c>
      <c r="Z306">
        <v>112.7052291</v>
      </c>
      <c r="AA306">
        <v>-7.2742830999999999</v>
      </c>
      <c r="AB306" t="s">
        <v>3340</v>
      </c>
      <c r="AC306" t="s">
        <v>235</v>
      </c>
      <c r="AL306" t="s">
        <v>217</v>
      </c>
      <c r="AM306" t="s">
        <v>3341</v>
      </c>
      <c r="AN306" t="s">
        <v>6</v>
      </c>
      <c r="AO306" s="57">
        <v>46183.517812500002</v>
      </c>
      <c r="AP306" s="57">
        <v>46302.458333333336</v>
      </c>
      <c r="AR306" t="s">
        <v>218</v>
      </c>
      <c r="AS306" t="s">
        <v>128</v>
      </c>
      <c r="AT306" t="s">
        <v>230</v>
      </c>
      <c r="AU306">
        <v>20261006</v>
      </c>
      <c r="AV306" t="s">
        <v>221</v>
      </c>
      <c r="AW306" t="s">
        <v>880</v>
      </c>
      <c r="AX306" t="s">
        <v>222</v>
      </c>
      <c r="BA306" s="57">
        <v>46302.458333333336</v>
      </c>
      <c r="BB306" t="s">
        <v>3341</v>
      </c>
      <c r="BC306">
        <v>2026</v>
      </c>
      <c r="BD306">
        <v>10</v>
      </c>
      <c r="BE306">
        <v>6</v>
      </c>
      <c r="BF306" s="6">
        <f t="shared" si="12"/>
        <v>46301</v>
      </c>
      <c r="BG306">
        <f t="shared" si="13"/>
        <v>-1.4583333333357587</v>
      </c>
      <c r="BH306" t="str">
        <f t="shared" si="14"/>
        <v>COMPLY</v>
      </c>
      <c r="BI306" t="str">
        <f>VLOOKUP(H306,Sheet2!$A$1:$B$270,2,FALSE)</f>
        <v>SURABAYA UTARA</v>
      </c>
    </row>
    <row r="307" spans="1:61">
      <c r="A307">
        <v>306</v>
      </c>
      <c r="B307">
        <v>1002626378</v>
      </c>
      <c r="C307">
        <v>3</v>
      </c>
      <c r="D307" t="s">
        <v>55</v>
      </c>
      <c r="E307">
        <v>5</v>
      </c>
      <c r="F307" t="s">
        <v>260</v>
      </c>
      <c r="G307" t="s">
        <v>128</v>
      </c>
      <c r="H307" t="s">
        <v>374</v>
      </c>
      <c r="I307" t="s">
        <v>212</v>
      </c>
      <c r="J307" t="s">
        <v>213</v>
      </c>
      <c r="K307" t="s">
        <v>149</v>
      </c>
      <c r="M307" t="s">
        <v>76</v>
      </c>
      <c r="N307" t="s">
        <v>215</v>
      </c>
      <c r="O307" s="57">
        <v>46302.606388888889</v>
      </c>
      <c r="P307" s="57">
        <v>46302.672511574077</v>
      </c>
      <c r="Q307">
        <v>69404958</v>
      </c>
      <c r="S307">
        <v>152409278825</v>
      </c>
      <c r="T307" t="s">
        <v>3337</v>
      </c>
      <c r="U307" t="s">
        <v>4048</v>
      </c>
      <c r="V307" t="s">
        <v>4049</v>
      </c>
      <c r="Z307">
        <v>112.6949</v>
      </c>
      <c r="AA307">
        <v>-7.2626999999999997</v>
      </c>
      <c r="AB307" t="s">
        <v>3353</v>
      </c>
      <c r="AC307" t="s">
        <v>229</v>
      </c>
      <c r="AL307" t="s">
        <v>217</v>
      </c>
      <c r="AM307" t="s">
        <v>4050</v>
      </c>
      <c r="AN307" t="s">
        <v>6</v>
      </c>
      <c r="AO307" s="57">
        <v>46213.611087962963</v>
      </c>
      <c r="AR307" t="s">
        <v>218</v>
      </c>
      <c r="AS307" t="s">
        <v>128</v>
      </c>
      <c r="AT307" t="s">
        <v>230</v>
      </c>
      <c r="AU307">
        <v>20261007</v>
      </c>
      <c r="AV307" t="s">
        <v>221</v>
      </c>
      <c r="AW307" t="s">
        <v>2447</v>
      </c>
      <c r="AX307" t="s">
        <v>222</v>
      </c>
      <c r="BA307" s="57">
        <v>46302.291666666664</v>
      </c>
      <c r="BB307" t="s">
        <v>4050</v>
      </c>
      <c r="BC307">
        <v>2026</v>
      </c>
      <c r="BD307">
        <v>10</v>
      </c>
      <c r="BE307">
        <v>7</v>
      </c>
      <c r="BF307" s="6">
        <f t="shared" si="12"/>
        <v>46302</v>
      </c>
      <c r="BG307">
        <f t="shared" si="13"/>
        <v>-0.29166666666424135</v>
      </c>
      <c r="BH307" t="str">
        <f t="shared" si="14"/>
        <v>COMPLY</v>
      </c>
      <c r="BI307" t="str">
        <f>VLOOKUP(H307,Sheet2!$A$1:$B$270,2,FALSE)</f>
        <v>SURABAYA UTARA</v>
      </c>
    </row>
    <row r="308" spans="1:61">
      <c r="A308">
        <v>307</v>
      </c>
      <c r="B308">
        <v>1002620590</v>
      </c>
      <c r="C308">
        <v>3</v>
      </c>
      <c r="D308" t="s">
        <v>55</v>
      </c>
      <c r="E308">
        <v>5</v>
      </c>
      <c r="F308" t="s">
        <v>305</v>
      </c>
      <c r="G308" t="s">
        <v>128</v>
      </c>
      <c r="H308" t="s">
        <v>416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46297.735173611109</v>
      </c>
      <c r="P308" s="57">
        <v>46298.52134259259</v>
      </c>
      <c r="Q308">
        <v>69403359</v>
      </c>
      <c r="S308">
        <v>152301272666</v>
      </c>
      <c r="T308" t="s">
        <v>1910</v>
      </c>
      <c r="U308" t="s">
        <v>1911</v>
      </c>
      <c r="V308" t="s">
        <v>1912</v>
      </c>
      <c r="Z308">
        <v>112.71367600000001</v>
      </c>
      <c r="AA308">
        <v>-7.2886765999999996</v>
      </c>
      <c r="AB308" t="s">
        <v>1913</v>
      </c>
      <c r="AC308" t="s">
        <v>235</v>
      </c>
      <c r="AL308" t="s">
        <v>217</v>
      </c>
      <c r="AM308" t="s">
        <v>1914</v>
      </c>
      <c r="AN308" t="s">
        <v>6</v>
      </c>
      <c r="AO308" s="57">
        <v>46063.736041666663</v>
      </c>
      <c r="AP308" s="57">
        <v>46298.625</v>
      </c>
      <c r="AR308" t="s">
        <v>218</v>
      </c>
      <c r="AS308" t="s">
        <v>1915</v>
      </c>
      <c r="AT308" t="s">
        <v>230</v>
      </c>
      <c r="AU308">
        <v>20261003</v>
      </c>
      <c r="AV308" t="s">
        <v>221</v>
      </c>
      <c r="AW308" t="s">
        <v>883</v>
      </c>
      <c r="AX308" t="s">
        <v>222</v>
      </c>
      <c r="BA308" s="57">
        <v>46298.625</v>
      </c>
      <c r="BB308" t="s">
        <v>1914</v>
      </c>
      <c r="BC308">
        <v>2026</v>
      </c>
      <c r="BD308">
        <v>10</v>
      </c>
      <c r="BE308">
        <v>3</v>
      </c>
      <c r="BF308" s="6">
        <f t="shared" si="12"/>
        <v>46298</v>
      </c>
      <c r="BG308">
        <f t="shared" si="13"/>
        <v>-0.625</v>
      </c>
      <c r="BH308" t="str">
        <f t="shared" si="14"/>
        <v>COMPLY</v>
      </c>
      <c r="BI308" t="str">
        <f>VLOOKUP(H308,Sheet2!$A$1:$B$270,2,FALSE)</f>
        <v>SURABAYA UTARA</v>
      </c>
    </row>
    <row r="309" spans="1:61">
      <c r="A309">
        <v>308</v>
      </c>
      <c r="B309">
        <v>1002624137</v>
      </c>
      <c r="C309">
        <v>3</v>
      </c>
      <c r="D309" t="s">
        <v>55</v>
      </c>
      <c r="E309">
        <v>5</v>
      </c>
      <c r="F309" t="s">
        <v>305</v>
      </c>
      <c r="G309" t="s">
        <v>128</v>
      </c>
      <c r="H309" t="s">
        <v>416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46301.507395833331</v>
      </c>
      <c r="P309" s="57">
        <v>46302.55704861111</v>
      </c>
      <c r="Q309">
        <v>69404944</v>
      </c>
      <c r="S309">
        <v>152301272855</v>
      </c>
      <c r="T309" t="s">
        <v>3337</v>
      </c>
      <c r="U309" t="s">
        <v>3342</v>
      </c>
      <c r="V309" t="s">
        <v>3343</v>
      </c>
      <c r="Z309">
        <v>112.71006250000001</v>
      </c>
      <c r="AA309">
        <v>-7.2940624999999999</v>
      </c>
      <c r="AB309" t="s">
        <v>3344</v>
      </c>
      <c r="AC309" t="s">
        <v>235</v>
      </c>
      <c r="AL309" t="s">
        <v>217</v>
      </c>
      <c r="AM309" t="s">
        <v>3345</v>
      </c>
      <c r="AN309" t="s">
        <v>6</v>
      </c>
      <c r="AO309" s="57">
        <v>46183.517812500002</v>
      </c>
      <c r="AP309" s="57">
        <v>46302.458333333336</v>
      </c>
      <c r="AR309" t="s">
        <v>218</v>
      </c>
      <c r="AS309" t="s">
        <v>1915</v>
      </c>
      <c r="AT309" t="s">
        <v>230</v>
      </c>
      <c r="AU309">
        <v>20261007</v>
      </c>
      <c r="AV309" t="s">
        <v>221</v>
      </c>
      <c r="AW309" t="s">
        <v>880</v>
      </c>
      <c r="AX309" t="s">
        <v>222</v>
      </c>
      <c r="BA309" s="57">
        <v>46302.458333333336</v>
      </c>
      <c r="BB309" t="s">
        <v>3345</v>
      </c>
      <c r="BC309">
        <v>2026</v>
      </c>
      <c r="BD309">
        <v>10</v>
      </c>
      <c r="BE309">
        <v>7</v>
      </c>
      <c r="BF309" s="6">
        <f t="shared" si="12"/>
        <v>46302</v>
      </c>
      <c r="BG309">
        <f t="shared" si="13"/>
        <v>-0.45833333333575865</v>
      </c>
      <c r="BH309" t="str">
        <f t="shared" si="14"/>
        <v>COMPLY</v>
      </c>
      <c r="BI309" t="str">
        <f>VLOOKUP(H309,Sheet2!$A$1:$B$270,2,FALSE)</f>
        <v>SURABAYA UTARA</v>
      </c>
    </row>
    <row r="310" spans="1:61">
      <c r="A310">
        <v>309</v>
      </c>
      <c r="B310">
        <v>1002624625</v>
      </c>
      <c r="C310">
        <v>3</v>
      </c>
      <c r="D310" t="s">
        <v>55</v>
      </c>
      <c r="E310">
        <v>5</v>
      </c>
      <c r="F310" t="s">
        <v>305</v>
      </c>
      <c r="G310" t="s">
        <v>126</v>
      </c>
      <c r="H310" t="s">
        <v>306</v>
      </c>
      <c r="I310" t="s">
        <v>212</v>
      </c>
      <c r="J310" t="s">
        <v>213</v>
      </c>
      <c r="K310" t="s">
        <v>149</v>
      </c>
      <c r="M310" t="s">
        <v>76</v>
      </c>
      <c r="N310" t="s">
        <v>215</v>
      </c>
      <c r="O310" s="57">
        <v>46301.616643518515</v>
      </c>
      <c r="P310" s="57">
        <v>46301.662685185183</v>
      </c>
      <c r="Q310">
        <v>69398904</v>
      </c>
      <c r="S310">
        <v>152320246616</v>
      </c>
      <c r="T310" t="s">
        <v>3346</v>
      </c>
      <c r="U310" t="s">
        <v>3347</v>
      </c>
      <c r="V310" t="s">
        <v>3348</v>
      </c>
      <c r="Z310">
        <v>112.76</v>
      </c>
      <c r="AA310">
        <v>-7.2850000000000001</v>
      </c>
      <c r="AB310" t="s">
        <v>3349</v>
      </c>
      <c r="AC310" t="s">
        <v>229</v>
      </c>
      <c r="AL310" t="s">
        <v>217</v>
      </c>
      <c r="AM310" t="s">
        <v>3350</v>
      </c>
      <c r="AN310" t="s">
        <v>6</v>
      </c>
      <c r="AO310" s="57">
        <v>46183.621979166666</v>
      </c>
      <c r="AR310" t="s">
        <v>218</v>
      </c>
      <c r="AS310" t="s">
        <v>1915</v>
      </c>
      <c r="AT310" t="s">
        <v>230</v>
      </c>
      <c r="AU310">
        <v>20261006</v>
      </c>
      <c r="AV310" t="s">
        <v>221</v>
      </c>
      <c r="AW310" t="s">
        <v>540</v>
      </c>
      <c r="AX310" t="s">
        <v>222</v>
      </c>
      <c r="BA310" s="57">
        <v>46301.291666666664</v>
      </c>
      <c r="BB310" t="s">
        <v>3350</v>
      </c>
      <c r="BC310">
        <v>2026</v>
      </c>
      <c r="BD310">
        <v>10</v>
      </c>
      <c r="BE310">
        <v>6</v>
      </c>
      <c r="BF310" s="6">
        <f t="shared" si="12"/>
        <v>46301</v>
      </c>
      <c r="BG310">
        <f t="shared" si="13"/>
        <v>-0.29166666666424135</v>
      </c>
      <c r="BH310" t="str">
        <f t="shared" si="14"/>
        <v>COMPLY</v>
      </c>
      <c r="BI310" t="str">
        <f>VLOOKUP(H310,Sheet2!$A$1:$B$270,2,FALSE)</f>
        <v>SURABAYA SELATAN</v>
      </c>
    </row>
    <row r="311" spans="1:61">
      <c r="A311">
        <v>310</v>
      </c>
      <c r="B311">
        <v>1002622595</v>
      </c>
      <c r="C311">
        <v>3</v>
      </c>
      <c r="D311" t="s">
        <v>55</v>
      </c>
      <c r="E311">
        <v>5</v>
      </c>
      <c r="F311" t="s">
        <v>260</v>
      </c>
      <c r="G311" t="s">
        <v>128</v>
      </c>
      <c r="H311" t="s">
        <v>269</v>
      </c>
      <c r="I311" t="s">
        <v>212</v>
      </c>
      <c r="J311" t="s">
        <v>213</v>
      </c>
      <c r="K311" t="s">
        <v>149</v>
      </c>
      <c r="L311" t="s">
        <v>826</v>
      </c>
      <c r="M311" t="s">
        <v>1401</v>
      </c>
      <c r="N311" t="s">
        <v>215</v>
      </c>
      <c r="O311" s="57">
        <v>46300.588645833333</v>
      </c>
      <c r="P311" s="57">
        <v>46302.6715625</v>
      </c>
      <c r="Q311">
        <v>69404395</v>
      </c>
      <c r="R311">
        <v>3135924134</v>
      </c>
      <c r="S311">
        <v>152418251271</v>
      </c>
      <c r="T311" t="s">
        <v>2739</v>
      </c>
      <c r="U311" t="s">
        <v>2740</v>
      </c>
      <c r="V311" t="s">
        <v>2741</v>
      </c>
      <c r="Z311">
        <v>112.671926</v>
      </c>
      <c r="AA311">
        <v>-7.2563069999999996</v>
      </c>
      <c r="AB311" t="s">
        <v>2742</v>
      </c>
      <c r="AC311" t="s">
        <v>235</v>
      </c>
      <c r="AL311" t="s">
        <v>217</v>
      </c>
      <c r="AM311" t="s">
        <v>2743</v>
      </c>
      <c r="AN311" t="s">
        <v>6</v>
      </c>
      <c r="AO311" s="57">
        <v>46152.601203703707</v>
      </c>
      <c r="AP311" s="57">
        <v>46301.625</v>
      </c>
      <c r="AR311" t="s">
        <v>14</v>
      </c>
      <c r="AS311" t="s">
        <v>270</v>
      </c>
      <c r="AT311" t="s">
        <v>230</v>
      </c>
      <c r="AV311" t="s">
        <v>4051</v>
      </c>
      <c r="AW311" t="s">
        <v>868</v>
      </c>
      <c r="AX311" t="s">
        <v>222</v>
      </c>
      <c r="BA311" s="57">
        <v>46301.625</v>
      </c>
      <c r="BB311" t="s">
        <v>2743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str">
        <f>VLOOKUP(H311,Sheet2!$A$1:$B$270,2,FALSE)</f>
        <v>SURABAYA UTARA</v>
      </c>
    </row>
    <row r="312" spans="1:61">
      <c r="A312">
        <v>311</v>
      </c>
      <c r="B312">
        <v>1002622546</v>
      </c>
      <c r="C312">
        <v>3</v>
      </c>
      <c r="D312" t="s">
        <v>55</v>
      </c>
      <c r="E312">
        <v>5</v>
      </c>
      <c r="F312" t="s">
        <v>260</v>
      </c>
      <c r="G312" t="s">
        <v>128</v>
      </c>
      <c r="H312" t="s">
        <v>269</v>
      </c>
      <c r="I312" t="s">
        <v>212</v>
      </c>
      <c r="J312" t="s">
        <v>213</v>
      </c>
      <c r="K312" t="s">
        <v>149</v>
      </c>
      <c r="L312" t="s">
        <v>214</v>
      </c>
      <c r="M312" t="s">
        <v>1401</v>
      </c>
      <c r="N312" t="s">
        <v>215</v>
      </c>
      <c r="O312" s="57">
        <v>46300.582407407404</v>
      </c>
      <c r="P312" s="57">
        <v>46302.679143518515</v>
      </c>
      <c r="Q312">
        <v>69404407</v>
      </c>
      <c r="S312">
        <v>152418904752</v>
      </c>
      <c r="T312" t="s">
        <v>2739</v>
      </c>
      <c r="U312" t="s">
        <v>2740</v>
      </c>
      <c r="V312" t="s">
        <v>2744</v>
      </c>
      <c r="Z312">
        <v>112.671926</v>
      </c>
      <c r="AA312">
        <v>-7.2563069999999996</v>
      </c>
      <c r="AB312" t="s">
        <v>2745</v>
      </c>
      <c r="AC312" t="s">
        <v>235</v>
      </c>
      <c r="AL312" t="s">
        <v>217</v>
      </c>
      <c r="AM312" t="s">
        <v>2746</v>
      </c>
      <c r="AN312" t="s">
        <v>6</v>
      </c>
      <c r="AO312" s="57">
        <v>46152.601203703707</v>
      </c>
      <c r="AP312" s="57">
        <v>46301.625</v>
      </c>
      <c r="AR312" t="s">
        <v>14</v>
      </c>
      <c r="AS312" t="s">
        <v>270</v>
      </c>
      <c r="AT312" t="s">
        <v>230</v>
      </c>
      <c r="AV312" t="s">
        <v>4052</v>
      </c>
      <c r="AW312" t="s">
        <v>879</v>
      </c>
      <c r="AX312" t="s">
        <v>222</v>
      </c>
      <c r="BA312" s="57">
        <v>46301.625</v>
      </c>
      <c r="BB312" t="s">
        <v>2746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str">
        <f>VLOOKUP(H312,Sheet2!$A$1:$B$270,2,FALSE)</f>
        <v>SURABAYA UTARA</v>
      </c>
    </row>
    <row r="313" spans="1:61">
      <c r="A313">
        <v>312</v>
      </c>
      <c r="B313">
        <v>1002624121</v>
      </c>
      <c r="C313">
        <v>3</v>
      </c>
      <c r="D313" t="s">
        <v>55</v>
      </c>
      <c r="E313">
        <v>5</v>
      </c>
      <c r="F313" t="s">
        <v>260</v>
      </c>
      <c r="G313" t="s">
        <v>128</v>
      </c>
      <c r="H313" t="s">
        <v>269</v>
      </c>
      <c r="I313" t="s">
        <v>212</v>
      </c>
      <c r="J313" t="s">
        <v>213</v>
      </c>
      <c r="K313" t="s">
        <v>149</v>
      </c>
      <c r="L313" t="s">
        <v>214</v>
      </c>
      <c r="M313" t="s">
        <v>1401</v>
      </c>
      <c r="N313" t="s">
        <v>215</v>
      </c>
      <c r="O313" s="57">
        <v>46301.501099537039</v>
      </c>
      <c r="P313" s="57">
        <v>46302.606377314813</v>
      </c>
      <c r="Q313">
        <v>69404958</v>
      </c>
      <c r="S313">
        <v>152418251446</v>
      </c>
      <c r="T313" t="s">
        <v>3337</v>
      </c>
      <c r="U313" t="s">
        <v>3351</v>
      </c>
      <c r="V313" t="s">
        <v>3352</v>
      </c>
      <c r="Z313">
        <v>112.6944362</v>
      </c>
      <c r="AA313">
        <v>-7.2624921999999996</v>
      </c>
      <c r="AB313" t="s">
        <v>3353</v>
      </c>
      <c r="AC313" t="s">
        <v>235</v>
      </c>
      <c r="AL313" t="s">
        <v>217</v>
      </c>
      <c r="AM313" t="s">
        <v>3354</v>
      </c>
      <c r="AN313" t="s">
        <v>6</v>
      </c>
      <c r="AO313" s="57">
        <v>46183.517812500002</v>
      </c>
      <c r="AP313" s="57">
        <v>46303.333333333336</v>
      </c>
      <c r="AR313" t="s">
        <v>14</v>
      </c>
      <c r="AS313" t="s">
        <v>270</v>
      </c>
      <c r="AT313" t="s">
        <v>230</v>
      </c>
      <c r="AV313" t="s">
        <v>4053</v>
      </c>
      <c r="AW313" t="s">
        <v>880</v>
      </c>
      <c r="AX313" t="s">
        <v>222</v>
      </c>
      <c r="BA313" s="57">
        <v>46303.333333333336</v>
      </c>
      <c r="BB313" t="s">
        <v>3354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SURABAYA UTARA</v>
      </c>
    </row>
    <row r="314" spans="1:61">
      <c r="A314">
        <v>313</v>
      </c>
      <c r="B314">
        <v>1002619653</v>
      </c>
      <c r="C314">
        <v>3</v>
      </c>
      <c r="D314" t="s">
        <v>55</v>
      </c>
      <c r="E314">
        <v>5</v>
      </c>
      <c r="F314" t="s">
        <v>260</v>
      </c>
      <c r="G314" t="s">
        <v>128</v>
      </c>
      <c r="H314" t="s">
        <v>269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46297.517812500002</v>
      </c>
      <c r="P314" s="57">
        <v>46298.754282407404</v>
      </c>
      <c r="Q314">
        <v>69403003</v>
      </c>
      <c r="S314">
        <v>152418250917</v>
      </c>
      <c r="T314" t="s">
        <v>1916</v>
      </c>
      <c r="U314" t="s">
        <v>1917</v>
      </c>
      <c r="V314" t="s">
        <v>1918</v>
      </c>
      <c r="Z314">
        <v>112.693361</v>
      </c>
      <c r="AA314">
        <v>-7.255833</v>
      </c>
      <c r="AB314" t="s">
        <v>1919</v>
      </c>
      <c r="AC314" t="s">
        <v>235</v>
      </c>
      <c r="AL314" t="s">
        <v>217</v>
      </c>
      <c r="AM314" t="s">
        <v>1920</v>
      </c>
      <c r="AN314" t="s">
        <v>6</v>
      </c>
      <c r="AO314" s="57">
        <v>46063.538553240738</v>
      </c>
      <c r="AP314" s="57">
        <v>46299.458333333336</v>
      </c>
      <c r="AR314" t="s">
        <v>218</v>
      </c>
      <c r="AS314" t="s">
        <v>270</v>
      </c>
      <c r="AT314" t="s">
        <v>230</v>
      </c>
      <c r="AU314">
        <v>20261003</v>
      </c>
      <c r="AV314" t="s">
        <v>221</v>
      </c>
      <c r="AW314" t="s">
        <v>875</v>
      </c>
      <c r="AX314" t="s">
        <v>222</v>
      </c>
      <c r="BA314" s="57">
        <v>46299.458333333336</v>
      </c>
      <c r="BB314" t="s">
        <v>1920</v>
      </c>
      <c r="BC314">
        <v>2026</v>
      </c>
      <c r="BD314">
        <v>10</v>
      </c>
      <c r="BE314">
        <v>3</v>
      </c>
      <c r="BF314" s="6">
        <f t="shared" si="12"/>
        <v>46298</v>
      </c>
      <c r="BG314">
        <f t="shared" si="13"/>
        <v>-1.4583333333357587</v>
      </c>
      <c r="BH314" t="str">
        <f t="shared" si="14"/>
        <v>COMPLY</v>
      </c>
      <c r="BI314" t="str">
        <f>VLOOKUP(H314,Sheet2!$A$1:$B$270,2,FALSE)</f>
        <v>SURABAYA UTARA</v>
      </c>
    </row>
    <row r="315" spans="1:61">
      <c r="A315">
        <v>314</v>
      </c>
      <c r="B315">
        <v>1002625509</v>
      </c>
      <c r="C315">
        <v>3</v>
      </c>
      <c r="D315" t="s">
        <v>55</v>
      </c>
      <c r="E315">
        <v>5</v>
      </c>
      <c r="F315" t="s">
        <v>260</v>
      </c>
      <c r="G315" t="s">
        <v>128</v>
      </c>
      <c r="H315" t="s">
        <v>269</v>
      </c>
      <c r="I315" t="s">
        <v>212</v>
      </c>
      <c r="J315" t="s">
        <v>213</v>
      </c>
      <c r="K315" t="s">
        <v>149</v>
      </c>
      <c r="L315" t="s">
        <v>214</v>
      </c>
      <c r="M315" t="s">
        <v>279</v>
      </c>
      <c r="N315" t="s">
        <v>215</v>
      </c>
      <c r="O315" s="57">
        <v>46302.411585648151</v>
      </c>
      <c r="P315" s="57">
        <v>46303.409247685187</v>
      </c>
      <c r="Q315">
        <v>69405525</v>
      </c>
      <c r="S315">
        <v>152418251622</v>
      </c>
      <c r="T315" t="s">
        <v>4054</v>
      </c>
      <c r="U315" t="s">
        <v>4055</v>
      </c>
      <c r="V315" t="s">
        <v>4056</v>
      </c>
      <c r="Z315">
        <v>112.6633009</v>
      </c>
      <c r="AA315">
        <v>-7.2300964999999904</v>
      </c>
      <c r="AB315" t="s">
        <v>4057</v>
      </c>
      <c r="AC315" t="s">
        <v>235</v>
      </c>
      <c r="AL315" t="s">
        <v>217</v>
      </c>
      <c r="AM315" t="s">
        <v>4058</v>
      </c>
      <c r="AN315" t="s">
        <v>6</v>
      </c>
      <c r="AO315" s="57">
        <v>46213.413402777776</v>
      </c>
      <c r="AP315" s="57">
        <v>46306.333333333336</v>
      </c>
      <c r="AR315" t="s">
        <v>239</v>
      </c>
      <c r="AS315" t="s">
        <v>270</v>
      </c>
      <c r="AT315" t="s">
        <v>342</v>
      </c>
      <c r="AV315" t="s">
        <v>3355</v>
      </c>
      <c r="AW315" t="s">
        <v>4059</v>
      </c>
      <c r="AX315" t="s">
        <v>222</v>
      </c>
      <c r="BA315" s="57">
        <v>46306.333333333336</v>
      </c>
      <c r="BB315" t="s">
        <v>4058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str">
        <f>VLOOKUP(H315,Sheet2!$A$1:$B$270,2,FALSE)</f>
        <v>SURABAYA UTARA</v>
      </c>
    </row>
    <row r="316" spans="1:61">
      <c r="A316">
        <v>315</v>
      </c>
      <c r="B316">
        <v>1002616819</v>
      </c>
      <c r="C316">
        <v>3</v>
      </c>
      <c r="D316" t="s">
        <v>55</v>
      </c>
      <c r="E316">
        <v>5</v>
      </c>
      <c r="F316" t="s">
        <v>260</v>
      </c>
      <c r="G316" t="s">
        <v>126</v>
      </c>
      <c r="H316" t="s">
        <v>261</v>
      </c>
      <c r="I316" t="s">
        <v>212</v>
      </c>
      <c r="J316" t="s">
        <v>213</v>
      </c>
      <c r="K316" t="s">
        <v>149</v>
      </c>
      <c r="L316" t="s">
        <v>214</v>
      </c>
      <c r="M316" t="s">
        <v>1401</v>
      </c>
      <c r="N316" t="s">
        <v>215</v>
      </c>
      <c r="O316" s="57">
        <v>46296.303865740738</v>
      </c>
      <c r="P316" s="57">
        <v>46297.56181712963</v>
      </c>
      <c r="Q316">
        <v>69401978</v>
      </c>
      <c r="S316">
        <v>152413168350</v>
      </c>
      <c r="T316" t="s">
        <v>1091</v>
      </c>
      <c r="U316" t="s">
        <v>1092</v>
      </c>
      <c r="V316" t="s">
        <v>1093</v>
      </c>
      <c r="Z316">
        <v>112.7381486</v>
      </c>
      <c r="AA316">
        <v>-7.2487031999999996</v>
      </c>
      <c r="AB316" t="s">
        <v>1094</v>
      </c>
      <c r="AC316" t="s">
        <v>235</v>
      </c>
      <c r="AL316" t="s">
        <v>217</v>
      </c>
      <c r="AM316" t="s">
        <v>1095</v>
      </c>
      <c r="AN316" t="s">
        <v>6</v>
      </c>
      <c r="AO316" s="57">
        <v>46032.319768518515</v>
      </c>
      <c r="AP316" s="57">
        <v>46297.333333333336</v>
      </c>
      <c r="AQ316" t="s">
        <v>841</v>
      </c>
      <c r="AR316" t="s">
        <v>14</v>
      </c>
      <c r="AS316" t="s">
        <v>561</v>
      </c>
      <c r="AT316" t="s">
        <v>342</v>
      </c>
      <c r="AV316" t="s">
        <v>1922</v>
      </c>
      <c r="AW316" t="s">
        <v>885</v>
      </c>
      <c r="AX316" t="s">
        <v>222</v>
      </c>
      <c r="BA316" s="57">
        <v>46297.333333333336</v>
      </c>
      <c r="BB316" t="s">
        <v>1095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SURABAYA SELATAN</v>
      </c>
    </row>
    <row r="317" spans="1:61">
      <c r="A317">
        <v>316</v>
      </c>
      <c r="B317">
        <v>1002618729</v>
      </c>
      <c r="C317">
        <v>3</v>
      </c>
      <c r="D317" t="s">
        <v>55</v>
      </c>
      <c r="E317">
        <v>5</v>
      </c>
      <c r="F317" t="s">
        <v>260</v>
      </c>
      <c r="G317" t="s">
        <v>126</v>
      </c>
      <c r="H317" t="s">
        <v>261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46296.728171296294</v>
      </c>
      <c r="P317" s="57">
        <v>46297.583483796298</v>
      </c>
      <c r="Q317">
        <v>69402647</v>
      </c>
      <c r="S317">
        <v>152413167912</v>
      </c>
      <c r="T317" t="s">
        <v>1087</v>
      </c>
      <c r="U317" t="s">
        <v>912</v>
      </c>
      <c r="V317" t="s">
        <v>1088</v>
      </c>
      <c r="Z317">
        <v>112.7226948</v>
      </c>
      <c r="AA317">
        <v>-7.2545115999999998</v>
      </c>
      <c r="AB317" t="s">
        <v>1089</v>
      </c>
      <c r="AC317" t="s">
        <v>216</v>
      </c>
      <c r="AL317" t="s">
        <v>217</v>
      </c>
      <c r="AM317" t="s">
        <v>1090</v>
      </c>
      <c r="AN317" t="s">
        <v>6</v>
      </c>
      <c r="AO317" s="57">
        <v>46032.736354166664</v>
      </c>
      <c r="AP317" s="57">
        <v>46298.625</v>
      </c>
      <c r="AR317" t="s">
        <v>218</v>
      </c>
      <c r="AS317" t="s">
        <v>561</v>
      </c>
      <c r="AT317" t="s">
        <v>230</v>
      </c>
      <c r="AU317">
        <v>20261002</v>
      </c>
      <c r="AV317" t="s">
        <v>221</v>
      </c>
      <c r="AW317" t="s">
        <v>877</v>
      </c>
      <c r="AX317" t="s">
        <v>222</v>
      </c>
      <c r="BA317" s="57">
        <v>46298.625</v>
      </c>
      <c r="BB317" t="s">
        <v>1090</v>
      </c>
      <c r="BC317">
        <v>2026</v>
      </c>
      <c r="BD317">
        <v>10</v>
      </c>
      <c r="BE317">
        <v>2</v>
      </c>
      <c r="BF317" s="6">
        <f t="shared" si="12"/>
        <v>46297</v>
      </c>
      <c r="BG317">
        <f t="shared" si="13"/>
        <v>-1.625</v>
      </c>
      <c r="BH317" t="str">
        <f t="shared" si="14"/>
        <v>COMPLY</v>
      </c>
      <c r="BI317" t="str">
        <f>VLOOKUP(H317,Sheet2!$A$1:$B$270,2,FALSE)</f>
        <v>SURABAYA SELATAN</v>
      </c>
    </row>
    <row r="318" spans="1:61">
      <c r="A318">
        <v>317</v>
      </c>
      <c r="B318">
        <v>1002618465</v>
      </c>
      <c r="C318">
        <v>3</v>
      </c>
      <c r="D318" t="s">
        <v>55</v>
      </c>
      <c r="E318">
        <v>5</v>
      </c>
      <c r="F318" t="s">
        <v>260</v>
      </c>
      <c r="G318" t="s">
        <v>126</v>
      </c>
      <c r="H318" t="s">
        <v>261</v>
      </c>
      <c r="I318" t="s">
        <v>212</v>
      </c>
      <c r="J318" t="s">
        <v>213</v>
      </c>
      <c r="K318" t="s">
        <v>149</v>
      </c>
      <c r="L318" t="s">
        <v>826</v>
      </c>
      <c r="M318" t="s">
        <v>76</v>
      </c>
      <c r="N318" t="s">
        <v>215</v>
      </c>
      <c r="O318" s="57">
        <v>46296.661574074074</v>
      </c>
      <c r="P318" s="57">
        <v>46298.485358796293</v>
      </c>
      <c r="Q318">
        <v>69402542</v>
      </c>
      <c r="R318">
        <v>3135979326</v>
      </c>
      <c r="S318">
        <v>152413168369</v>
      </c>
      <c r="T318" t="s">
        <v>1096</v>
      </c>
      <c r="U318" t="s">
        <v>1097</v>
      </c>
      <c r="V318" t="s">
        <v>1098</v>
      </c>
      <c r="Z318">
        <v>112.7425585</v>
      </c>
      <c r="AA318">
        <v>-7.2719299999999896</v>
      </c>
      <c r="AB318" t="s">
        <v>1099</v>
      </c>
      <c r="AC318" t="s">
        <v>235</v>
      </c>
      <c r="AL318" t="s">
        <v>217</v>
      </c>
      <c r="AM318" t="s">
        <v>1100</v>
      </c>
      <c r="AN318" t="s">
        <v>6</v>
      </c>
      <c r="AO318" s="57">
        <v>46032.694421296299</v>
      </c>
      <c r="AP318" s="57">
        <v>46298.625</v>
      </c>
      <c r="AR318" t="s">
        <v>218</v>
      </c>
      <c r="AS318" t="s">
        <v>561</v>
      </c>
      <c r="AT318" t="s">
        <v>230</v>
      </c>
      <c r="AU318">
        <v>20261003</v>
      </c>
      <c r="AV318" t="s">
        <v>221</v>
      </c>
      <c r="AW318" t="s">
        <v>868</v>
      </c>
      <c r="AX318" t="s">
        <v>222</v>
      </c>
      <c r="BA318" s="57">
        <v>46298.625</v>
      </c>
      <c r="BB318" t="s">
        <v>1100</v>
      </c>
      <c r="BC318">
        <v>2026</v>
      </c>
      <c r="BD318">
        <v>10</v>
      </c>
      <c r="BE318">
        <v>3</v>
      </c>
      <c r="BF318" s="6">
        <f t="shared" si="12"/>
        <v>46298</v>
      </c>
      <c r="BG318">
        <f t="shared" si="13"/>
        <v>-0.625</v>
      </c>
      <c r="BH318" t="str">
        <f t="shared" si="14"/>
        <v>COMPLY</v>
      </c>
      <c r="BI318" t="str">
        <f>VLOOKUP(H318,Sheet2!$A$1:$B$270,2,FALSE)</f>
        <v>SURABAYA SELATAN</v>
      </c>
    </row>
    <row r="319" spans="1:61">
      <c r="A319">
        <v>318</v>
      </c>
      <c r="B319">
        <v>1002619627</v>
      </c>
      <c r="C319">
        <v>3</v>
      </c>
      <c r="D319" t="s">
        <v>55</v>
      </c>
      <c r="E319">
        <v>5</v>
      </c>
      <c r="F319" t="s">
        <v>260</v>
      </c>
      <c r="G319" t="s">
        <v>126</v>
      </c>
      <c r="H319" t="s">
        <v>261</v>
      </c>
      <c r="I319" t="s">
        <v>212</v>
      </c>
      <c r="J319" t="s">
        <v>213</v>
      </c>
      <c r="K319" t="s">
        <v>149</v>
      </c>
      <c r="L319" t="s">
        <v>826</v>
      </c>
      <c r="M319" t="s">
        <v>76</v>
      </c>
      <c r="N319" t="s">
        <v>215</v>
      </c>
      <c r="O319" s="57">
        <v>46297.496921296297</v>
      </c>
      <c r="P319" s="57">
        <v>46298.771458333336</v>
      </c>
      <c r="Q319">
        <v>69402996</v>
      </c>
      <c r="R319">
        <v>3135979339</v>
      </c>
      <c r="S319">
        <v>152413168384</v>
      </c>
      <c r="T319" t="s">
        <v>1923</v>
      </c>
      <c r="U319" t="s">
        <v>1924</v>
      </c>
      <c r="V319" t="s">
        <v>1925</v>
      </c>
      <c r="Z319">
        <v>112.74776079999999</v>
      </c>
      <c r="AA319">
        <v>-7.265269</v>
      </c>
      <c r="AB319" t="s">
        <v>1926</v>
      </c>
      <c r="AC319" t="s">
        <v>235</v>
      </c>
      <c r="AL319" t="s">
        <v>217</v>
      </c>
      <c r="AM319" t="s">
        <v>1513</v>
      </c>
      <c r="AN319" t="s">
        <v>6</v>
      </c>
      <c r="AO319" s="57">
        <v>46063.507453703707</v>
      </c>
      <c r="AP319" s="57">
        <v>46298.458333333336</v>
      </c>
      <c r="AR319" t="s">
        <v>218</v>
      </c>
      <c r="AS319" t="s">
        <v>561</v>
      </c>
      <c r="AT319" t="s">
        <v>230</v>
      </c>
      <c r="AU319">
        <v>20261003</v>
      </c>
      <c r="AV319" t="s">
        <v>221</v>
      </c>
      <c r="AW319" t="s">
        <v>1927</v>
      </c>
      <c r="AX319" t="s">
        <v>222</v>
      </c>
      <c r="BA319" s="57">
        <v>46298.458333333336</v>
      </c>
      <c r="BB319" t="s">
        <v>1513</v>
      </c>
      <c r="BC319">
        <v>2026</v>
      </c>
      <c r="BD319">
        <v>10</v>
      </c>
      <c r="BE319">
        <v>3</v>
      </c>
      <c r="BF319" s="6">
        <f t="shared" si="12"/>
        <v>46298</v>
      </c>
      <c r="BG319">
        <f t="shared" si="13"/>
        <v>-0.45833333333575865</v>
      </c>
      <c r="BH319" t="str">
        <f t="shared" si="14"/>
        <v>COMPLY</v>
      </c>
      <c r="BI319" t="str">
        <f>VLOOKUP(H319,Sheet2!$A$1:$B$270,2,FALSE)</f>
        <v>SURABAYA SELATAN</v>
      </c>
    </row>
    <row r="320" spans="1:61">
      <c r="A320">
        <v>319</v>
      </c>
      <c r="B320">
        <v>1002620233</v>
      </c>
      <c r="C320">
        <v>3</v>
      </c>
      <c r="D320" t="s">
        <v>55</v>
      </c>
      <c r="E320">
        <v>5</v>
      </c>
      <c r="F320" t="s">
        <v>260</v>
      </c>
      <c r="G320" t="s">
        <v>126</v>
      </c>
      <c r="H320" t="s">
        <v>261</v>
      </c>
      <c r="I320" t="s">
        <v>212</v>
      </c>
      <c r="J320" t="s">
        <v>213</v>
      </c>
      <c r="K320" t="s">
        <v>149</v>
      </c>
      <c r="M320" t="s">
        <v>76</v>
      </c>
      <c r="N320" t="s">
        <v>215</v>
      </c>
      <c r="O320" s="57">
        <v>46297.641423611109</v>
      </c>
      <c r="P320" s="57">
        <v>46297.769050925926</v>
      </c>
      <c r="Q320">
        <v>69395233</v>
      </c>
      <c r="S320">
        <v>152413168387</v>
      </c>
      <c r="T320" t="s">
        <v>1928</v>
      </c>
      <c r="U320" t="s">
        <v>1929</v>
      </c>
      <c r="V320" t="s">
        <v>1930</v>
      </c>
      <c r="Z320">
        <v>112.747718085744</v>
      </c>
      <c r="AA320">
        <v>-7.2627766292953</v>
      </c>
      <c r="AB320" t="s">
        <v>1931</v>
      </c>
      <c r="AC320" t="s">
        <v>229</v>
      </c>
      <c r="AL320" t="s">
        <v>217</v>
      </c>
      <c r="AM320" t="s">
        <v>1932</v>
      </c>
      <c r="AN320" t="s">
        <v>6</v>
      </c>
      <c r="AO320" s="57">
        <v>46063.652951388889</v>
      </c>
      <c r="AR320" t="s">
        <v>218</v>
      </c>
      <c r="AS320" t="s">
        <v>561</v>
      </c>
      <c r="AT320" t="s">
        <v>230</v>
      </c>
      <c r="AU320">
        <v>20261002</v>
      </c>
      <c r="AV320" t="s">
        <v>221</v>
      </c>
      <c r="AW320" t="s">
        <v>539</v>
      </c>
      <c r="AX320" t="s">
        <v>222</v>
      </c>
      <c r="BA320" s="57">
        <v>46297.291666666664</v>
      </c>
      <c r="BB320" t="s">
        <v>1932</v>
      </c>
      <c r="BC320">
        <v>2026</v>
      </c>
      <c r="BD320">
        <v>10</v>
      </c>
      <c r="BE320">
        <v>2</v>
      </c>
      <c r="BF320" s="6">
        <f t="shared" si="12"/>
        <v>46297</v>
      </c>
      <c r="BG320">
        <f t="shared" si="13"/>
        <v>-0.29166666666424135</v>
      </c>
      <c r="BH320" t="str">
        <f t="shared" si="14"/>
        <v>COMPLY</v>
      </c>
      <c r="BI320" t="str">
        <f>VLOOKUP(H320,Sheet2!$A$1:$B$270,2,FALSE)</f>
        <v>SURABAYA SELATAN</v>
      </c>
    </row>
    <row r="321" spans="1:61">
      <c r="A321">
        <v>320</v>
      </c>
      <c r="B321">
        <v>1002621148</v>
      </c>
      <c r="C321">
        <v>3</v>
      </c>
      <c r="D321" t="s">
        <v>55</v>
      </c>
      <c r="E321">
        <v>5</v>
      </c>
      <c r="F321" t="s">
        <v>260</v>
      </c>
      <c r="G321" t="s">
        <v>126</v>
      </c>
      <c r="H321" t="s">
        <v>261</v>
      </c>
      <c r="I321" t="s">
        <v>212</v>
      </c>
      <c r="J321" t="s">
        <v>213</v>
      </c>
      <c r="K321" t="s">
        <v>149</v>
      </c>
      <c r="M321" t="s">
        <v>76</v>
      </c>
      <c r="N321" t="s">
        <v>215</v>
      </c>
      <c r="O321" s="57">
        <v>46298.71130787037</v>
      </c>
      <c r="P321" s="57">
        <v>46298.848541666666</v>
      </c>
      <c r="Q321">
        <v>69401938</v>
      </c>
      <c r="S321">
        <v>152413167953</v>
      </c>
      <c r="T321" t="s">
        <v>1933</v>
      </c>
      <c r="U321" t="s">
        <v>1934</v>
      </c>
      <c r="V321" t="s">
        <v>1935</v>
      </c>
      <c r="Z321">
        <v>112.74822399999999</v>
      </c>
      <c r="AA321">
        <v>-7.2646689999999996</v>
      </c>
      <c r="AB321" t="s">
        <v>1936</v>
      </c>
      <c r="AC321" t="s">
        <v>229</v>
      </c>
      <c r="AL321" t="s">
        <v>217</v>
      </c>
      <c r="AM321" t="s">
        <v>1937</v>
      </c>
      <c r="AN321" t="s">
        <v>6</v>
      </c>
      <c r="AO321" s="57">
        <v>46091.726053240738</v>
      </c>
      <c r="AR321" t="s">
        <v>218</v>
      </c>
      <c r="AS321" t="s">
        <v>561</v>
      </c>
      <c r="AT321" t="s">
        <v>230</v>
      </c>
      <c r="AU321">
        <v>20261003</v>
      </c>
      <c r="AV321" t="s">
        <v>221</v>
      </c>
      <c r="AW321" t="s">
        <v>540</v>
      </c>
      <c r="AX321" t="s">
        <v>222</v>
      </c>
      <c r="BA321" s="57">
        <v>46298.291666666664</v>
      </c>
      <c r="BB321" t="s">
        <v>1937</v>
      </c>
      <c r="BC321">
        <v>2026</v>
      </c>
      <c r="BD321">
        <v>10</v>
      </c>
      <c r="BE321">
        <v>3</v>
      </c>
      <c r="BF321" s="6">
        <f t="shared" si="12"/>
        <v>46298</v>
      </c>
      <c r="BG321">
        <f t="shared" si="13"/>
        <v>-0.29166666666424135</v>
      </c>
      <c r="BH321" t="str">
        <f t="shared" si="14"/>
        <v>COMPLY</v>
      </c>
      <c r="BI321" t="str">
        <f>VLOOKUP(H321,Sheet2!$A$1:$B$270,2,FALSE)</f>
        <v>SURABAYA SELATAN</v>
      </c>
    </row>
    <row r="322" spans="1:61">
      <c r="A322">
        <v>321</v>
      </c>
      <c r="B322">
        <v>1002621509</v>
      </c>
      <c r="C322">
        <v>3</v>
      </c>
      <c r="D322" t="s">
        <v>55</v>
      </c>
      <c r="E322">
        <v>5</v>
      </c>
      <c r="F322" t="s">
        <v>260</v>
      </c>
      <c r="G322" t="s">
        <v>126</v>
      </c>
      <c r="H322" t="s">
        <v>261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46299.782407407409</v>
      </c>
      <c r="P322" s="57">
        <v>46301.682557870372</v>
      </c>
      <c r="Q322">
        <v>69403981</v>
      </c>
      <c r="S322">
        <v>152413168417</v>
      </c>
      <c r="T322" t="s">
        <v>1938</v>
      </c>
      <c r="U322" t="s">
        <v>1939</v>
      </c>
      <c r="V322" t="s">
        <v>1940</v>
      </c>
      <c r="Z322">
        <v>112.7462754</v>
      </c>
      <c r="AA322">
        <v>-7.2643184999999999</v>
      </c>
      <c r="AB322" t="s">
        <v>1941</v>
      </c>
      <c r="AC322" t="s">
        <v>235</v>
      </c>
      <c r="AL322" t="s">
        <v>217</v>
      </c>
      <c r="AM322" t="s">
        <v>1942</v>
      </c>
      <c r="AN322" t="s">
        <v>6</v>
      </c>
      <c r="AO322" s="57">
        <v>46122.788148148145</v>
      </c>
      <c r="AP322" s="57">
        <v>46301.333333333336</v>
      </c>
      <c r="AR322" t="s">
        <v>218</v>
      </c>
      <c r="AS322" t="s">
        <v>561</v>
      </c>
      <c r="AT322" t="s">
        <v>230</v>
      </c>
      <c r="AU322">
        <v>20261006</v>
      </c>
      <c r="AV322" t="s">
        <v>221</v>
      </c>
      <c r="AW322" t="s">
        <v>879</v>
      </c>
      <c r="AX322" t="s">
        <v>222</v>
      </c>
      <c r="BA322" s="57">
        <v>46301.333333333336</v>
      </c>
      <c r="BB322" t="s">
        <v>1942</v>
      </c>
      <c r="BC322">
        <v>2026</v>
      </c>
      <c r="BD322">
        <v>10</v>
      </c>
      <c r="BE322">
        <v>6</v>
      </c>
      <c r="BF322" s="6">
        <f t="shared" ref="BF322:BF385" si="15">DATE(BC322,BD322,BE322)</f>
        <v>46301</v>
      </c>
      <c r="BG322">
        <f t="shared" ref="BG322:BG385" si="16">BF322-BA322</f>
        <v>-0.33333333333575865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SURABAYA SELATAN</v>
      </c>
    </row>
    <row r="323" spans="1:61">
      <c r="A323">
        <v>322</v>
      </c>
      <c r="B323">
        <v>1002621695</v>
      </c>
      <c r="C323">
        <v>3</v>
      </c>
      <c r="D323" t="s">
        <v>55</v>
      </c>
      <c r="E323">
        <v>5</v>
      </c>
      <c r="F323" t="s">
        <v>260</v>
      </c>
      <c r="G323" t="s">
        <v>126</v>
      </c>
      <c r="H323" t="s">
        <v>261</v>
      </c>
      <c r="I323" t="s">
        <v>212</v>
      </c>
      <c r="J323" t="s">
        <v>213</v>
      </c>
      <c r="K323" t="s">
        <v>149</v>
      </c>
      <c r="M323" t="s">
        <v>76</v>
      </c>
      <c r="N323" t="s">
        <v>215</v>
      </c>
      <c r="O323" s="57">
        <v>46300.38422453704</v>
      </c>
      <c r="P323" s="57">
        <v>46300.421944444446</v>
      </c>
      <c r="Q323">
        <v>69399915</v>
      </c>
      <c r="R323">
        <v>3135979324</v>
      </c>
      <c r="S323">
        <v>152413168426</v>
      </c>
      <c r="T323" t="s">
        <v>2747</v>
      </c>
      <c r="U323" t="s">
        <v>2748</v>
      </c>
      <c r="V323" t="s">
        <v>2749</v>
      </c>
      <c r="Z323">
        <v>112.748825</v>
      </c>
      <c r="AA323">
        <v>-7.2652169999999998</v>
      </c>
      <c r="AB323" t="s">
        <v>2750</v>
      </c>
      <c r="AC323" t="s">
        <v>284</v>
      </c>
      <c r="AL323" t="s">
        <v>217</v>
      </c>
      <c r="AM323" t="s">
        <v>2751</v>
      </c>
      <c r="AN323" t="s">
        <v>6</v>
      </c>
      <c r="AO323" s="57">
        <v>46152.392511574071</v>
      </c>
      <c r="AR323" t="s">
        <v>218</v>
      </c>
      <c r="AS323" t="s">
        <v>561</v>
      </c>
      <c r="AT323" t="s">
        <v>230</v>
      </c>
      <c r="AU323">
        <v>20261005</v>
      </c>
      <c r="AV323" t="s">
        <v>221</v>
      </c>
      <c r="AW323" t="s">
        <v>1587</v>
      </c>
      <c r="AX323" t="s">
        <v>222</v>
      </c>
      <c r="BA323" s="57">
        <v>46300.291666666664</v>
      </c>
      <c r="BB323" t="s">
        <v>2751</v>
      </c>
      <c r="BC323">
        <v>2026</v>
      </c>
      <c r="BD323">
        <v>10</v>
      </c>
      <c r="BE323">
        <v>5</v>
      </c>
      <c r="BF323" s="6">
        <f t="shared" si="15"/>
        <v>46300</v>
      </c>
      <c r="BG323">
        <f t="shared" si="16"/>
        <v>-0.29166666666424135</v>
      </c>
      <c r="BH323" t="str">
        <f t="shared" si="17"/>
        <v>COMPLY</v>
      </c>
      <c r="BI323" t="str">
        <f>VLOOKUP(H323,Sheet2!$A$1:$B$270,2,FALSE)</f>
        <v>SURABAYA SELATAN</v>
      </c>
    </row>
    <row r="324" spans="1:61">
      <c r="A324">
        <v>323</v>
      </c>
      <c r="B324">
        <v>1002625298</v>
      </c>
      <c r="C324">
        <v>3</v>
      </c>
      <c r="D324" t="s">
        <v>55</v>
      </c>
      <c r="E324">
        <v>5</v>
      </c>
      <c r="F324" t="s">
        <v>260</v>
      </c>
      <c r="G324" t="s">
        <v>126</v>
      </c>
      <c r="H324" t="s">
        <v>261</v>
      </c>
      <c r="I324" t="s">
        <v>212</v>
      </c>
      <c r="J324" t="s">
        <v>213</v>
      </c>
      <c r="K324" t="s">
        <v>149</v>
      </c>
      <c r="M324" t="s">
        <v>238</v>
      </c>
      <c r="N324" t="s">
        <v>215</v>
      </c>
      <c r="O324" s="57">
        <v>46302.356261574074</v>
      </c>
      <c r="P324" s="57">
        <v>46302.609837962962</v>
      </c>
      <c r="Q324">
        <v>69405451</v>
      </c>
      <c r="S324">
        <v>152413168460</v>
      </c>
      <c r="T324" t="s">
        <v>4060</v>
      </c>
      <c r="U324" t="s">
        <v>4061</v>
      </c>
      <c r="V324" t="s">
        <v>4062</v>
      </c>
      <c r="Z324">
        <v>112.74216269999999</v>
      </c>
      <c r="AA324">
        <v>-7.2430228000000003</v>
      </c>
      <c r="AB324" t="s">
        <v>4063</v>
      </c>
      <c r="AC324" t="s">
        <v>225</v>
      </c>
      <c r="AL324" t="s">
        <v>217</v>
      </c>
      <c r="AM324" t="s">
        <v>4064</v>
      </c>
      <c r="AN324" t="s">
        <v>6</v>
      </c>
      <c r="AO324" s="57">
        <v>46213.392731481479</v>
      </c>
      <c r="AP324" s="57">
        <v>46305.333333333336</v>
      </c>
      <c r="AR324" t="s">
        <v>239</v>
      </c>
      <c r="AS324" t="s">
        <v>561</v>
      </c>
      <c r="AT324" t="s">
        <v>230</v>
      </c>
      <c r="AV324" t="s">
        <v>238</v>
      </c>
      <c r="AW324" t="s">
        <v>540</v>
      </c>
      <c r="AX324" t="s">
        <v>222</v>
      </c>
      <c r="BA324" s="57">
        <v>46305.333333333336</v>
      </c>
      <c r="BB324" t="s">
        <v>4064</v>
      </c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str">
        <f>VLOOKUP(H324,Sheet2!$A$1:$B$270,2,FALSE)</f>
        <v>SURABAYA SELATAN</v>
      </c>
    </row>
    <row r="325" spans="1:61">
      <c r="A325">
        <v>324</v>
      </c>
      <c r="B325">
        <v>1002621155</v>
      </c>
      <c r="C325">
        <v>3</v>
      </c>
      <c r="D325" t="s">
        <v>55</v>
      </c>
      <c r="E325">
        <v>5</v>
      </c>
      <c r="F325" t="s">
        <v>305</v>
      </c>
      <c r="G325" t="s">
        <v>126</v>
      </c>
      <c r="H325" t="s">
        <v>353</v>
      </c>
      <c r="I325" t="s">
        <v>212</v>
      </c>
      <c r="J325" t="s">
        <v>213</v>
      </c>
      <c r="K325" t="s">
        <v>149</v>
      </c>
      <c r="L325" t="s">
        <v>214</v>
      </c>
      <c r="M325" t="s">
        <v>1401</v>
      </c>
      <c r="N325" t="s">
        <v>215</v>
      </c>
      <c r="O325" s="57">
        <v>46298.722071759257</v>
      </c>
      <c r="P325" s="57">
        <v>46301.805775462963</v>
      </c>
      <c r="Q325">
        <v>69403746</v>
      </c>
      <c r="S325">
        <v>152310256174</v>
      </c>
      <c r="T325" t="s">
        <v>1943</v>
      </c>
      <c r="U325" t="s">
        <v>1944</v>
      </c>
      <c r="V325" t="s">
        <v>1945</v>
      </c>
      <c r="Z325">
        <v>112.7790768</v>
      </c>
      <c r="AA325">
        <v>-7.3275152999999902</v>
      </c>
      <c r="AB325" t="s">
        <v>1946</v>
      </c>
      <c r="AC325" t="s">
        <v>235</v>
      </c>
      <c r="AL325" t="s">
        <v>217</v>
      </c>
      <c r="AM325" t="s">
        <v>1947</v>
      </c>
      <c r="AN325" t="s">
        <v>6</v>
      </c>
      <c r="AO325" s="57">
        <v>46091.726053240738</v>
      </c>
      <c r="AP325" s="57">
        <v>46300.333333333336</v>
      </c>
      <c r="AQ325" t="s">
        <v>841</v>
      </c>
      <c r="AR325" t="s">
        <v>14</v>
      </c>
      <c r="AS325" t="s">
        <v>583</v>
      </c>
      <c r="AT325" t="s">
        <v>230</v>
      </c>
      <c r="AV325" t="s">
        <v>3356</v>
      </c>
      <c r="AW325" t="s">
        <v>923</v>
      </c>
      <c r="AX325" t="s">
        <v>222</v>
      </c>
      <c r="BA325" s="57">
        <v>46300.333333333336</v>
      </c>
      <c r="BB325" t="s">
        <v>1947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SURABAYA SELATAN</v>
      </c>
    </row>
    <row r="326" spans="1:61">
      <c r="A326">
        <v>325</v>
      </c>
      <c r="B326">
        <v>1002625135</v>
      </c>
      <c r="C326">
        <v>3</v>
      </c>
      <c r="D326" t="s">
        <v>55</v>
      </c>
      <c r="E326">
        <v>5</v>
      </c>
      <c r="F326" t="s">
        <v>305</v>
      </c>
      <c r="G326" t="s">
        <v>126</v>
      </c>
      <c r="H326" t="s">
        <v>353</v>
      </c>
      <c r="I326" t="s">
        <v>212</v>
      </c>
      <c r="J326" t="s">
        <v>213</v>
      </c>
      <c r="K326" t="s">
        <v>149</v>
      </c>
      <c r="M326" t="s">
        <v>836</v>
      </c>
      <c r="N326" t="s">
        <v>215</v>
      </c>
      <c r="O326" s="57">
        <v>46301.742835648147</v>
      </c>
      <c r="P326" s="57">
        <v>46301.797337962962</v>
      </c>
      <c r="Q326">
        <v>69403746</v>
      </c>
      <c r="S326">
        <v>152310256222</v>
      </c>
      <c r="T326" t="s">
        <v>1943</v>
      </c>
      <c r="U326" t="s">
        <v>3357</v>
      </c>
      <c r="V326" t="s">
        <v>3358</v>
      </c>
      <c r="Z326">
        <v>112.7791</v>
      </c>
      <c r="AA326">
        <v>-7.3284000000000002</v>
      </c>
      <c r="AB326" t="s">
        <v>1946</v>
      </c>
      <c r="AC326" t="s">
        <v>229</v>
      </c>
      <c r="AL326" t="s">
        <v>217</v>
      </c>
      <c r="AM326" t="s">
        <v>3359</v>
      </c>
      <c r="AN326" t="s">
        <v>6</v>
      </c>
      <c r="AO326" s="57">
        <v>46183.746932870374</v>
      </c>
      <c r="AR326" t="s">
        <v>14</v>
      </c>
      <c r="AS326" t="s">
        <v>583</v>
      </c>
      <c r="AT326" t="s">
        <v>230</v>
      </c>
      <c r="AV326" t="s">
        <v>837</v>
      </c>
      <c r="AW326" t="s">
        <v>540</v>
      </c>
      <c r="AX326" t="s">
        <v>222</v>
      </c>
      <c r="BA326" s="57">
        <v>46301.291666666664</v>
      </c>
      <c r="BB326" t="s">
        <v>3359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str">
        <f>VLOOKUP(H326,Sheet2!$A$1:$B$270,2,FALSE)</f>
        <v>SURABAYA SELATAN</v>
      </c>
    </row>
    <row r="327" spans="1:61">
      <c r="A327">
        <v>326</v>
      </c>
      <c r="B327">
        <v>1002622792</v>
      </c>
      <c r="C327">
        <v>3</v>
      </c>
      <c r="D327" t="s">
        <v>55</v>
      </c>
      <c r="E327">
        <v>5</v>
      </c>
      <c r="F327" t="s">
        <v>305</v>
      </c>
      <c r="G327" t="s">
        <v>126</v>
      </c>
      <c r="H327" t="s">
        <v>353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46300.630335648151</v>
      </c>
      <c r="P327" s="57">
        <v>46301.801412037035</v>
      </c>
      <c r="Q327">
        <v>69404461</v>
      </c>
      <c r="S327">
        <v>152310256201</v>
      </c>
      <c r="T327" t="s">
        <v>2752</v>
      </c>
      <c r="U327" t="s">
        <v>2753</v>
      </c>
      <c r="V327" t="s">
        <v>2754</v>
      </c>
      <c r="Z327">
        <v>112.781352328693</v>
      </c>
      <c r="AA327">
        <v>-7.3138486213142597</v>
      </c>
      <c r="AB327" t="s">
        <v>2755</v>
      </c>
      <c r="AC327" t="s">
        <v>235</v>
      </c>
      <c r="AL327" t="s">
        <v>217</v>
      </c>
      <c r="AM327" t="s">
        <v>2756</v>
      </c>
      <c r="AN327" t="s">
        <v>6</v>
      </c>
      <c r="AO327" s="57">
        <v>46152.632743055554</v>
      </c>
      <c r="AP327" s="57">
        <v>46301.625</v>
      </c>
      <c r="AR327" t="s">
        <v>218</v>
      </c>
      <c r="AS327" t="s">
        <v>583</v>
      </c>
      <c r="AT327" t="s">
        <v>230</v>
      </c>
      <c r="AU327">
        <v>20261006</v>
      </c>
      <c r="AV327" t="s">
        <v>221</v>
      </c>
      <c r="AW327" t="s">
        <v>875</v>
      </c>
      <c r="AX327" t="s">
        <v>222</v>
      </c>
      <c r="BA327" s="57">
        <v>46301.625</v>
      </c>
      <c r="BB327" t="s">
        <v>2756</v>
      </c>
      <c r="BC327">
        <v>2026</v>
      </c>
      <c r="BD327">
        <v>10</v>
      </c>
      <c r="BE327">
        <v>6</v>
      </c>
      <c r="BF327" s="6">
        <f t="shared" si="15"/>
        <v>46301</v>
      </c>
      <c r="BG327">
        <f t="shared" si="16"/>
        <v>-0.625</v>
      </c>
      <c r="BH327" t="str">
        <f t="shared" si="17"/>
        <v>COMPLY</v>
      </c>
      <c r="BI327" t="str">
        <f>VLOOKUP(H327,Sheet2!$A$1:$B$270,2,FALSE)</f>
        <v>SURABAYA SELATAN</v>
      </c>
    </row>
    <row r="328" spans="1:61">
      <c r="A328">
        <v>327</v>
      </c>
      <c r="B328">
        <v>1002625200</v>
      </c>
      <c r="C328">
        <v>3</v>
      </c>
      <c r="D328" t="s">
        <v>55</v>
      </c>
      <c r="E328">
        <v>5</v>
      </c>
      <c r="F328" t="s">
        <v>305</v>
      </c>
      <c r="G328" t="s">
        <v>126</v>
      </c>
      <c r="H328" t="s">
        <v>353</v>
      </c>
      <c r="I328" t="s">
        <v>212</v>
      </c>
      <c r="J328" t="s">
        <v>213</v>
      </c>
      <c r="K328" t="s">
        <v>149</v>
      </c>
      <c r="M328" t="s">
        <v>76</v>
      </c>
      <c r="N328" t="s">
        <v>215</v>
      </c>
      <c r="O328" s="57">
        <v>46301.805787037039</v>
      </c>
      <c r="P328" s="57">
        <v>46301.872094907405</v>
      </c>
      <c r="Q328">
        <v>69403746</v>
      </c>
      <c r="S328">
        <v>152310256223</v>
      </c>
      <c r="T328" t="s">
        <v>1943</v>
      </c>
      <c r="U328" t="s">
        <v>3357</v>
      </c>
      <c r="V328" t="s">
        <v>3360</v>
      </c>
      <c r="Z328">
        <v>112.7791</v>
      </c>
      <c r="AA328">
        <v>-7.3284000000000002</v>
      </c>
      <c r="AB328" t="s">
        <v>1946</v>
      </c>
      <c r="AC328" t="s">
        <v>229</v>
      </c>
      <c r="AL328" t="s">
        <v>217</v>
      </c>
      <c r="AM328" t="s">
        <v>3359</v>
      </c>
      <c r="AN328" t="s">
        <v>6</v>
      </c>
      <c r="AO328" s="57">
        <v>46183.809340277781</v>
      </c>
      <c r="AR328" t="s">
        <v>218</v>
      </c>
      <c r="AS328" t="s">
        <v>583</v>
      </c>
      <c r="AT328" t="s">
        <v>230</v>
      </c>
      <c r="AU328">
        <v>20261006</v>
      </c>
      <c r="AV328" t="s">
        <v>221</v>
      </c>
      <c r="AW328" t="s">
        <v>577</v>
      </c>
      <c r="AX328" t="s">
        <v>222</v>
      </c>
      <c r="BA328" s="57">
        <v>46301.291666666664</v>
      </c>
      <c r="BB328" t="s">
        <v>3359</v>
      </c>
      <c r="BC328">
        <v>2026</v>
      </c>
      <c r="BD328">
        <v>10</v>
      </c>
      <c r="BE328">
        <v>6</v>
      </c>
      <c r="BF328" s="6">
        <f t="shared" si="15"/>
        <v>46301</v>
      </c>
      <c r="BG328">
        <f t="shared" si="16"/>
        <v>-0.29166666666424135</v>
      </c>
      <c r="BH328" t="str">
        <f t="shared" si="17"/>
        <v>COMPLY</v>
      </c>
      <c r="BI328" t="str">
        <f>VLOOKUP(H328,Sheet2!$A$1:$B$270,2,FALSE)</f>
        <v>SURABAYA SELATAN</v>
      </c>
    </row>
    <row r="329" spans="1:61">
      <c r="A329">
        <v>328</v>
      </c>
      <c r="B329">
        <v>1002621157</v>
      </c>
      <c r="C329">
        <v>3</v>
      </c>
      <c r="D329" t="s">
        <v>55</v>
      </c>
      <c r="E329">
        <v>5</v>
      </c>
      <c r="F329" t="s">
        <v>305</v>
      </c>
      <c r="G329" t="s">
        <v>126</v>
      </c>
      <c r="H329" t="s">
        <v>353</v>
      </c>
      <c r="I329" t="s">
        <v>212</v>
      </c>
      <c r="J329" t="s">
        <v>213</v>
      </c>
      <c r="K329" t="s">
        <v>149</v>
      </c>
      <c r="L329" t="s">
        <v>214</v>
      </c>
      <c r="M329" t="s">
        <v>1921</v>
      </c>
      <c r="N329" t="s">
        <v>215</v>
      </c>
      <c r="O329" s="57">
        <v>46298.721979166665</v>
      </c>
      <c r="P329" s="57">
        <v>46301.790497685186</v>
      </c>
      <c r="Q329">
        <v>69403746</v>
      </c>
      <c r="S329">
        <v>152310256174</v>
      </c>
      <c r="T329" t="s">
        <v>1943</v>
      </c>
      <c r="U329" t="s">
        <v>1944</v>
      </c>
      <c r="V329" t="s">
        <v>1945</v>
      </c>
      <c r="Z329">
        <v>112.7790768</v>
      </c>
      <c r="AA329">
        <v>-7.3275152999999902</v>
      </c>
      <c r="AB329" t="s">
        <v>1946</v>
      </c>
      <c r="AC329" t="s">
        <v>235</v>
      </c>
      <c r="AL329" t="s">
        <v>217</v>
      </c>
      <c r="AM329" t="s">
        <v>1947</v>
      </c>
      <c r="AN329" t="s">
        <v>6</v>
      </c>
      <c r="AO329" s="57">
        <v>46091.726053240738</v>
      </c>
      <c r="AP329" s="57">
        <v>46300.333333333336</v>
      </c>
      <c r="AQ329" t="s">
        <v>841</v>
      </c>
      <c r="AR329" t="s">
        <v>12</v>
      </c>
      <c r="AS329" t="s">
        <v>583</v>
      </c>
      <c r="AT329" t="s">
        <v>230</v>
      </c>
      <c r="AV329" t="s">
        <v>1628</v>
      </c>
      <c r="AW329" t="s">
        <v>923</v>
      </c>
      <c r="AX329" t="s">
        <v>222</v>
      </c>
      <c r="BA329" s="57">
        <v>46300.333333333336</v>
      </c>
      <c r="BB329" t="s">
        <v>1947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str">
        <f>VLOOKUP(H329,Sheet2!$A$1:$B$270,2,FALSE)</f>
        <v>SURABAYA SELATAN</v>
      </c>
    </row>
    <row r="330" spans="1:61">
      <c r="A330">
        <v>329</v>
      </c>
      <c r="B330">
        <v>1002618123</v>
      </c>
      <c r="C330">
        <v>3</v>
      </c>
      <c r="D330" t="s">
        <v>55</v>
      </c>
      <c r="E330">
        <v>5</v>
      </c>
      <c r="F330" t="s">
        <v>305</v>
      </c>
      <c r="G330" t="s">
        <v>126</v>
      </c>
      <c r="H330" t="s">
        <v>370</v>
      </c>
      <c r="I330" t="s">
        <v>212</v>
      </c>
      <c r="J330" t="s">
        <v>213</v>
      </c>
      <c r="K330" t="s">
        <v>149</v>
      </c>
      <c r="M330" t="s">
        <v>76</v>
      </c>
      <c r="N330" t="s">
        <v>215</v>
      </c>
      <c r="O330" s="57">
        <v>46296.606527777774</v>
      </c>
      <c r="P330" s="57">
        <v>46297.817430555559</v>
      </c>
      <c r="Q330">
        <v>69402439</v>
      </c>
      <c r="S330">
        <v>152303244298</v>
      </c>
      <c r="T330" t="s">
        <v>1101</v>
      </c>
      <c r="U330" t="s">
        <v>1102</v>
      </c>
      <c r="V330" t="s">
        <v>1103</v>
      </c>
      <c r="Z330">
        <v>112.780497</v>
      </c>
      <c r="AA330">
        <v>-7.2836188000000002</v>
      </c>
      <c r="AB330" t="s">
        <v>1104</v>
      </c>
      <c r="AC330" t="s">
        <v>229</v>
      </c>
      <c r="AL330" t="s">
        <v>217</v>
      </c>
      <c r="AM330" t="s">
        <v>1105</v>
      </c>
      <c r="AN330" t="s">
        <v>6</v>
      </c>
      <c r="AO330" s="57">
        <v>46032.611296296294</v>
      </c>
      <c r="AP330" s="57">
        <v>46298.333333333336</v>
      </c>
      <c r="AR330" t="s">
        <v>218</v>
      </c>
      <c r="AS330" t="s">
        <v>126</v>
      </c>
      <c r="AT330" t="s">
        <v>230</v>
      </c>
      <c r="AU330">
        <v>20261002</v>
      </c>
      <c r="AV330" t="s">
        <v>221</v>
      </c>
      <c r="AW330" t="s">
        <v>540</v>
      </c>
      <c r="AX330" t="s">
        <v>222</v>
      </c>
      <c r="BA330" s="57">
        <v>46298.333333333336</v>
      </c>
      <c r="BB330" t="s">
        <v>1105</v>
      </c>
      <c r="BC330">
        <v>2026</v>
      </c>
      <c r="BD330">
        <v>10</v>
      </c>
      <c r="BE330">
        <v>2</v>
      </c>
      <c r="BF330" s="6">
        <f t="shared" si="15"/>
        <v>46297</v>
      </c>
      <c r="BG330">
        <f t="shared" si="16"/>
        <v>-1.3333333333357587</v>
      </c>
      <c r="BH330" t="str">
        <f t="shared" si="17"/>
        <v>COMPLY</v>
      </c>
      <c r="BI330" t="str">
        <f>VLOOKUP(H330,Sheet2!$A$1:$B$270,2,FALSE)</f>
        <v>SURABAYA SELATAN</v>
      </c>
    </row>
    <row r="331" spans="1:61">
      <c r="A331">
        <v>330</v>
      </c>
      <c r="B331">
        <v>1002618719</v>
      </c>
      <c r="C331">
        <v>3</v>
      </c>
      <c r="D331" t="s">
        <v>55</v>
      </c>
      <c r="E331">
        <v>5</v>
      </c>
      <c r="F331" t="s">
        <v>305</v>
      </c>
      <c r="G331" t="s">
        <v>126</v>
      </c>
      <c r="H331" t="s">
        <v>370</v>
      </c>
      <c r="I331" t="s">
        <v>212</v>
      </c>
      <c r="J331" t="s">
        <v>213</v>
      </c>
      <c r="K331" t="s">
        <v>149</v>
      </c>
      <c r="M331" t="s">
        <v>76</v>
      </c>
      <c r="N331" t="s">
        <v>215</v>
      </c>
      <c r="O331" s="57">
        <v>46296.725347222222</v>
      </c>
      <c r="P331" s="57">
        <v>46297.798263888886</v>
      </c>
      <c r="Q331">
        <v>69402645</v>
      </c>
      <c r="S331">
        <v>152303245581</v>
      </c>
      <c r="T331" t="s">
        <v>1101</v>
      </c>
      <c r="U331" t="s">
        <v>1106</v>
      </c>
      <c r="V331" t="s">
        <v>1107</v>
      </c>
      <c r="Z331">
        <v>112.780497</v>
      </c>
      <c r="AA331">
        <v>-7.2836188000000002</v>
      </c>
      <c r="AB331" t="s">
        <v>1104</v>
      </c>
      <c r="AC331" t="s">
        <v>229</v>
      </c>
      <c r="AL331" t="s">
        <v>217</v>
      </c>
      <c r="AM331" t="s">
        <v>1108</v>
      </c>
      <c r="AN331" t="s">
        <v>6</v>
      </c>
      <c r="AO331" s="57">
        <v>46032.726099537038</v>
      </c>
      <c r="AP331" s="57">
        <v>46299.333333333336</v>
      </c>
      <c r="AR331" t="s">
        <v>218</v>
      </c>
      <c r="AS331" t="s">
        <v>126</v>
      </c>
      <c r="AT331" t="s">
        <v>230</v>
      </c>
      <c r="AU331">
        <v>20261002</v>
      </c>
      <c r="AV331" t="s">
        <v>221</v>
      </c>
      <c r="AW331" t="s">
        <v>541</v>
      </c>
      <c r="AX331" t="s">
        <v>222</v>
      </c>
      <c r="BA331" s="57">
        <v>46299.333333333336</v>
      </c>
      <c r="BB331" t="s">
        <v>1108</v>
      </c>
      <c r="BC331">
        <v>2026</v>
      </c>
      <c r="BD331">
        <v>10</v>
      </c>
      <c r="BE331">
        <v>2</v>
      </c>
      <c r="BF331" s="6">
        <f t="shared" si="15"/>
        <v>46297</v>
      </c>
      <c r="BG331">
        <f t="shared" si="16"/>
        <v>-2.3333333333357587</v>
      </c>
      <c r="BH331" t="str">
        <f t="shared" si="17"/>
        <v>COMPLY</v>
      </c>
      <c r="BI331" t="str">
        <f>VLOOKUP(H331,Sheet2!$A$1:$B$270,2,FALSE)</f>
        <v>SURABAYA SELATAN</v>
      </c>
    </row>
    <row r="332" spans="1:61">
      <c r="A332">
        <v>331</v>
      </c>
      <c r="B332">
        <v>1002620434</v>
      </c>
      <c r="C332">
        <v>3</v>
      </c>
      <c r="D332" t="s">
        <v>55</v>
      </c>
      <c r="E332">
        <v>5</v>
      </c>
      <c r="F332" t="s">
        <v>305</v>
      </c>
      <c r="G332" t="s">
        <v>126</v>
      </c>
      <c r="H332" t="s">
        <v>370</v>
      </c>
      <c r="I332" t="s">
        <v>212</v>
      </c>
      <c r="J332" t="s">
        <v>213</v>
      </c>
      <c r="K332" t="s">
        <v>149</v>
      </c>
      <c r="M332" t="s">
        <v>76</v>
      </c>
      <c r="N332" t="s">
        <v>215</v>
      </c>
      <c r="O332" s="57">
        <v>46297.686249999999</v>
      </c>
      <c r="P332" s="57">
        <v>46297.763854166667</v>
      </c>
      <c r="Q332">
        <v>69400564</v>
      </c>
      <c r="S332">
        <v>152303245782</v>
      </c>
      <c r="T332" t="s">
        <v>1948</v>
      </c>
      <c r="U332" t="s">
        <v>1949</v>
      </c>
      <c r="V332" t="s">
        <v>1950</v>
      </c>
      <c r="Z332">
        <v>112.7825653</v>
      </c>
      <c r="AA332">
        <v>-7.2943269519999996</v>
      </c>
      <c r="AB332" t="s">
        <v>1951</v>
      </c>
      <c r="AC332" t="s">
        <v>216</v>
      </c>
      <c r="AL332" t="s">
        <v>217</v>
      </c>
      <c r="AM332" t="s">
        <v>1952</v>
      </c>
      <c r="AN332" t="s">
        <v>6</v>
      </c>
      <c r="AO332" s="57">
        <v>46063.694699074076</v>
      </c>
      <c r="AR332" t="s">
        <v>218</v>
      </c>
      <c r="AS332" t="s">
        <v>126</v>
      </c>
      <c r="AT332" t="s">
        <v>230</v>
      </c>
      <c r="AU332">
        <v>20261002</v>
      </c>
      <c r="AV332" t="s">
        <v>221</v>
      </c>
      <c r="AW332" t="s">
        <v>540</v>
      </c>
      <c r="AX332" t="s">
        <v>222</v>
      </c>
      <c r="BA332" s="57">
        <v>46297.291666666664</v>
      </c>
      <c r="BB332" t="s">
        <v>1952</v>
      </c>
      <c r="BC332">
        <v>2026</v>
      </c>
      <c r="BD332">
        <v>10</v>
      </c>
      <c r="BE332">
        <v>2</v>
      </c>
      <c r="BF332" s="6">
        <f t="shared" si="15"/>
        <v>46297</v>
      </c>
      <c r="BG332">
        <f t="shared" si="16"/>
        <v>-0.29166666666424135</v>
      </c>
      <c r="BH332" t="str">
        <f t="shared" si="17"/>
        <v>COMPLY</v>
      </c>
      <c r="BI332" t="str">
        <f>VLOOKUP(H332,Sheet2!$A$1:$B$270,2,FALSE)</f>
        <v>SURABAYA SELATAN</v>
      </c>
    </row>
    <row r="333" spans="1:61">
      <c r="A333">
        <v>332</v>
      </c>
      <c r="B333">
        <v>1002620872</v>
      </c>
      <c r="C333">
        <v>3</v>
      </c>
      <c r="D333" t="s">
        <v>55</v>
      </c>
      <c r="E333">
        <v>5</v>
      </c>
      <c r="F333" t="s">
        <v>305</v>
      </c>
      <c r="G333" t="s">
        <v>126</v>
      </c>
      <c r="H333" t="s">
        <v>370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46298.478182870371</v>
      </c>
      <c r="P333" s="57">
        <v>46298.787222222221</v>
      </c>
      <c r="Q333">
        <v>69403546</v>
      </c>
      <c r="S333">
        <v>152303245938</v>
      </c>
      <c r="T333" t="s">
        <v>1953</v>
      </c>
      <c r="U333" t="s">
        <v>1954</v>
      </c>
      <c r="V333" t="s">
        <v>1955</v>
      </c>
      <c r="Z333">
        <v>112.781138</v>
      </c>
      <c r="AA333">
        <v>-7.3057619999999996</v>
      </c>
      <c r="AB333" t="s">
        <v>1956</v>
      </c>
      <c r="AC333" t="s">
        <v>235</v>
      </c>
      <c r="AL333" t="s">
        <v>217</v>
      </c>
      <c r="AM333" t="s">
        <v>1666</v>
      </c>
      <c r="AN333" t="s">
        <v>6</v>
      </c>
      <c r="AO333" s="57">
        <v>46091.486087962963</v>
      </c>
      <c r="AP333" s="57">
        <v>46299.333333333336</v>
      </c>
      <c r="AR333" t="s">
        <v>218</v>
      </c>
      <c r="AS333" t="s">
        <v>126</v>
      </c>
      <c r="AT333" t="s">
        <v>230</v>
      </c>
      <c r="AU333">
        <v>20261003</v>
      </c>
      <c r="AV333" t="s">
        <v>221</v>
      </c>
      <c r="AW333" t="s">
        <v>877</v>
      </c>
      <c r="AX333" t="s">
        <v>222</v>
      </c>
      <c r="BA333" s="57">
        <v>46299.333333333336</v>
      </c>
      <c r="BB333" t="s">
        <v>1666</v>
      </c>
      <c r="BC333">
        <v>2026</v>
      </c>
      <c r="BD333">
        <v>10</v>
      </c>
      <c r="BE333">
        <v>3</v>
      </c>
      <c r="BF333" s="6">
        <f t="shared" si="15"/>
        <v>46298</v>
      </c>
      <c r="BG333">
        <f t="shared" si="16"/>
        <v>-1.3333333333357587</v>
      </c>
      <c r="BH333" t="str">
        <f t="shared" si="17"/>
        <v>COMPLY</v>
      </c>
      <c r="BI333" t="str">
        <f>VLOOKUP(H333,Sheet2!$A$1:$B$270,2,FALSE)</f>
        <v>SURABAYA SELATAN</v>
      </c>
    </row>
    <row r="334" spans="1:61">
      <c r="A334">
        <v>333</v>
      </c>
      <c r="B334">
        <v>1002620834</v>
      </c>
      <c r="C334">
        <v>3</v>
      </c>
      <c r="D334" t="s">
        <v>55</v>
      </c>
      <c r="E334">
        <v>5</v>
      </c>
      <c r="F334" t="s">
        <v>305</v>
      </c>
      <c r="G334" t="s">
        <v>126</v>
      </c>
      <c r="H334" t="s">
        <v>370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46298.442824074074</v>
      </c>
      <c r="P334" s="57">
        <v>46299.700659722221</v>
      </c>
      <c r="Q334">
        <v>69403518</v>
      </c>
      <c r="S334">
        <v>152303243536</v>
      </c>
      <c r="T334" t="s">
        <v>1957</v>
      </c>
      <c r="U334" t="s">
        <v>1958</v>
      </c>
      <c r="V334" t="s">
        <v>1959</v>
      </c>
      <c r="Z334">
        <v>112.796211</v>
      </c>
      <c r="AA334">
        <v>-7.2906975999999997</v>
      </c>
      <c r="AB334" t="s">
        <v>1960</v>
      </c>
      <c r="AC334" t="s">
        <v>216</v>
      </c>
      <c r="AL334" t="s">
        <v>217</v>
      </c>
      <c r="AM334" t="s">
        <v>1608</v>
      </c>
      <c r="AN334" t="s">
        <v>6</v>
      </c>
      <c r="AO334" s="57">
        <v>46091.444571759261</v>
      </c>
      <c r="AP334" s="57">
        <v>46299.333333333336</v>
      </c>
      <c r="AR334" t="s">
        <v>218</v>
      </c>
      <c r="AS334" t="s">
        <v>126</v>
      </c>
      <c r="AT334" t="s">
        <v>342</v>
      </c>
      <c r="AU334">
        <v>20261004</v>
      </c>
      <c r="AV334" t="s">
        <v>221</v>
      </c>
      <c r="AW334" t="s">
        <v>1904</v>
      </c>
      <c r="AX334" t="s">
        <v>222</v>
      </c>
      <c r="BA334" s="57">
        <v>46299.333333333336</v>
      </c>
      <c r="BB334" t="s">
        <v>1608</v>
      </c>
      <c r="BC334">
        <v>2026</v>
      </c>
      <c r="BD334">
        <v>10</v>
      </c>
      <c r="BE334">
        <v>4</v>
      </c>
      <c r="BF334" s="6">
        <f t="shared" si="15"/>
        <v>46299</v>
      </c>
      <c r="BG334">
        <f t="shared" si="16"/>
        <v>-0.33333333333575865</v>
      </c>
      <c r="BH334" t="str">
        <f t="shared" si="17"/>
        <v>COMPLY</v>
      </c>
      <c r="BI334" t="str">
        <f>VLOOKUP(H334,Sheet2!$A$1:$B$270,2,FALSE)</f>
        <v>SURABAYA SELATAN</v>
      </c>
    </row>
    <row r="335" spans="1:61">
      <c r="A335">
        <v>334</v>
      </c>
      <c r="B335">
        <v>1002622326</v>
      </c>
      <c r="C335">
        <v>3</v>
      </c>
      <c r="D335" t="s">
        <v>55</v>
      </c>
      <c r="E335">
        <v>5</v>
      </c>
      <c r="F335" t="s">
        <v>305</v>
      </c>
      <c r="G335" t="s">
        <v>126</v>
      </c>
      <c r="H335" t="s">
        <v>370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46300.52685185185</v>
      </c>
      <c r="P335" s="57">
        <v>46301.573831018519</v>
      </c>
      <c r="Q335">
        <v>69404305</v>
      </c>
      <c r="S335">
        <v>152303244071</v>
      </c>
      <c r="T335" t="s">
        <v>2757</v>
      </c>
      <c r="U335" t="s">
        <v>2758</v>
      </c>
      <c r="V335" t="s">
        <v>2759</v>
      </c>
      <c r="Z335">
        <v>112.809578</v>
      </c>
      <c r="AA335">
        <v>-7.2617880000000001</v>
      </c>
      <c r="AB335" t="s">
        <v>2760</v>
      </c>
      <c r="AC335" t="s">
        <v>235</v>
      </c>
      <c r="AL335" t="s">
        <v>217</v>
      </c>
      <c r="AM335" t="s">
        <v>2761</v>
      </c>
      <c r="AN335" t="s">
        <v>6</v>
      </c>
      <c r="AO335" s="57">
        <v>46152.569618055553</v>
      </c>
      <c r="AP335" s="57">
        <v>46301.458333333336</v>
      </c>
      <c r="AR335" t="s">
        <v>218</v>
      </c>
      <c r="AS335" t="s">
        <v>126</v>
      </c>
      <c r="AT335" t="s">
        <v>230</v>
      </c>
      <c r="AU335">
        <v>20261006</v>
      </c>
      <c r="AV335" t="s">
        <v>221</v>
      </c>
      <c r="AW335" t="s">
        <v>879</v>
      </c>
      <c r="AX335" t="s">
        <v>222</v>
      </c>
      <c r="BA335" s="57">
        <v>46301.458333333336</v>
      </c>
      <c r="BB335" t="s">
        <v>2761</v>
      </c>
      <c r="BC335">
        <v>2026</v>
      </c>
      <c r="BD335">
        <v>10</v>
      </c>
      <c r="BE335">
        <v>6</v>
      </c>
      <c r="BF335" s="6">
        <f t="shared" si="15"/>
        <v>46301</v>
      </c>
      <c r="BG335">
        <f t="shared" si="16"/>
        <v>-0.45833333333575865</v>
      </c>
      <c r="BH335" t="str">
        <f t="shared" si="17"/>
        <v>COMPLY</v>
      </c>
      <c r="BI335" t="str">
        <f>VLOOKUP(H335,Sheet2!$A$1:$B$270,2,FALSE)</f>
        <v>SURABAYA SELATAN</v>
      </c>
    </row>
    <row r="336" spans="1:61">
      <c r="A336">
        <v>335</v>
      </c>
      <c r="B336">
        <v>1002622325</v>
      </c>
      <c r="C336">
        <v>3</v>
      </c>
      <c r="D336" t="s">
        <v>55</v>
      </c>
      <c r="E336">
        <v>5</v>
      </c>
      <c r="F336" t="s">
        <v>305</v>
      </c>
      <c r="G336" t="s">
        <v>126</v>
      </c>
      <c r="H336" t="s">
        <v>370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46300.52679398148</v>
      </c>
      <c r="P336" s="57">
        <v>46301.602048611108</v>
      </c>
      <c r="Q336">
        <v>69404284</v>
      </c>
      <c r="S336">
        <v>152303244070</v>
      </c>
      <c r="T336" t="s">
        <v>2762</v>
      </c>
      <c r="U336" t="s">
        <v>2758</v>
      </c>
      <c r="V336" t="s">
        <v>2763</v>
      </c>
      <c r="Z336">
        <v>112.809578</v>
      </c>
      <c r="AA336">
        <v>-7.2617880000000001</v>
      </c>
      <c r="AB336" t="s">
        <v>2764</v>
      </c>
      <c r="AC336" t="s">
        <v>235</v>
      </c>
      <c r="AL336" t="s">
        <v>217</v>
      </c>
      <c r="AM336" t="s">
        <v>2761</v>
      </c>
      <c r="AN336" t="s">
        <v>6</v>
      </c>
      <c r="AO336" s="57">
        <v>46152.569618055553</v>
      </c>
      <c r="AP336" s="57">
        <v>46301.458333333336</v>
      </c>
      <c r="AR336" t="s">
        <v>218</v>
      </c>
      <c r="AS336" t="s">
        <v>126</v>
      </c>
      <c r="AT336" t="s">
        <v>230</v>
      </c>
      <c r="AU336">
        <v>20261006</v>
      </c>
      <c r="AV336" t="s">
        <v>221</v>
      </c>
      <c r="AW336" t="s">
        <v>879</v>
      </c>
      <c r="AX336" t="s">
        <v>222</v>
      </c>
      <c r="BA336" s="57">
        <v>46301.458333333336</v>
      </c>
      <c r="BB336" t="s">
        <v>2761</v>
      </c>
      <c r="BC336">
        <v>2026</v>
      </c>
      <c r="BD336">
        <v>10</v>
      </c>
      <c r="BE336">
        <v>6</v>
      </c>
      <c r="BF336" s="6">
        <f t="shared" si="15"/>
        <v>46301</v>
      </c>
      <c r="BG336">
        <f t="shared" si="16"/>
        <v>-0.45833333333575865</v>
      </c>
      <c r="BH336" t="str">
        <f t="shared" si="17"/>
        <v>COMPLY</v>
      </c>
      <c r="BI336" t="str">
        <f>VLOOKUP(H336,Sheet2!$A$1:$B$270,2,FALSE)</f>
        <v>SURABAYA SELATAN</v>
      </c>
    </row>
    <row r="337" spans="1:61">
      <c r="A337">
        <v>336</v>
      </c>
      <c r="B337">
        <v>1002625053</v>
      </c>
      <c r="C337">
        <v>3</v>
      </c>
      <c r="D337" t="s">
        <v>55</v>
      </c>
      <c r="E337">
        <v>5</v>
      </c>
      <c r="F337" t="s">
        <v>305</v>
      </c>
      <c r="G337" t="s">
        <v>126</v>
      </c>
      <c r="H337" t="s">
        <v>370</v>
      </c>
      <c r="I337" t="s">
        <v>212</v>
      </c>
      <c r="J337" t="s">
        <v>213</v>
      </c>
      <c r="K337" t="s">
        <v>149</v>
      </c>
      <c r="L337" t="s">
        <v>214</v>
      </c>
      <c r="M337" t="s">
        <v>279</v>
      </c>
      <c r="N337" t="s">
        <v>215</v>
      </c>
      <c r="O337" s="57">
        <v>46301.703229166669</v>
      </c>
      <c r="P337" s="57">
        <v>46303.404895833337</v>
      </c>
      <c r="Q337">
        <v>69405349</v>
      </c>
      <c r="S337">
        <v>152303240673</v>
      </c>
      <c r="T337" t="s">
        <v>3361</v>
      </c>
      <c r="U337" t="s">
        <v>3362</v>
      </c>
      <c r="V337" t="s">
        <v>3363</v>
      </c>
      <c r="Z337">
        <v>112.771637029945</v>
      </c>
      <c r="AA337">
        <v>-7.2886098467285496</v>
      </c>
      <c r="AB337" t="s">
        <v>3364</v>
      </c>
      <c r="AC337" t="s">
        <v>216</v>
      </c>
      <c r="AL337" t="s">
        <v>217</v>
      </c>
      <c r="AM337" t="s">
        <v>3365</v>
      </c>
      <c r="AN337" t="s">
        <v>6</v>
      </c>
      <c r="AO337" s="57">
        <v>46183.705092592594</v>
      </c>
      <c r="AP337" s="57">
        <v>46303.458333333336</v>
      </c>
      <c r="AR337" t="s">
        <v>239</v>
      </c>
      <c r="AS337" t="s">
        <v>126</v>
      </c>
      <c r="AT337" t="s">
        <v>230</v>
      </c>
      <c r="AV337" t="s">
        <v>799</v>
      </c>
      <c r="AW337" t="s">
        <v>879</v>
      </c>
      <c r="AX337" t="s">
        <v>222</v>
      </c>
      <c r="BA337" s="57">
        <v>46303.458333333336</v>
      </c>
      <c r="BB337" t="s">
        <v>3365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str">
        <f>VLOOKUP(H337,Sheet2!$A$1:$B$270,2,FALSE)</f>
        <v>SURABAYA SELATAN</v>
      </c>
    </row>
    <row r="338" spans="1:61">
      <c r="A338">
        <v>337</v>
      </c>
      <c r="B338">
        <v>1002621494</v>
      </c>
      <c r="C338">
        <v>3</v>
      </c>
      <c r="D338" t="s">
        <v>55</v>
      </c>
      <c r="E338">
        <v>5</v>
      </c>
      <c r="F338" t="s">
        <v>305</v>
      </c>
      <c r="G338" t="s">
        <v>124</v>
      </c>
      <c r="H338" t="s">
        <v>307</v>
      </c>
      <c r="I338" t="s">
        <v>212</v>
      </c>
      <c r="J338" t="s">
        <v>213</v>
      </c>
      <c r="K338" t="s">
        <v>149</v>
      </c>
      <c r="M338" t="s">
        <v>1401</v>
      </c>
      <c r="N338" t="s">
        <v>215</v>
      </c>
      <c r="O338" s="57">
        <v>46299.708287037036</v>
      </c>
      <c r="P338" s="57">
        <v>46301.676261574074</v>
      </c>
      <c r="Q338">
        <v>69403975</v>
      </c>
      <c r="S338">
        <v>152308243249</v>
      </c>
      <c r="T338" t="s">
        <v>1961</v>
      </c>
      <c r="U338" t="s">
        <v>1962</v>
      </c>
      <c r="V338" t="s">
        <v>1963</v>
      </c>
      <c r="Z338">
        <v>112.7612716</v>
      </c>
      <c r="AA338">
        <v>-7.3070893999999997</v>
      </c>
      <c r="AB338" t="s">
        <v>1964</v>
      </c>
      <c r="AC338" t="s">
        <v>229</v>
      </c>
      <c r="AL338" t="s">
        <v>217</v>
      </c>
      <c r="AM338" t="s">
        <v>1965</v>
      </c>
      <c r="AN338" t="s">
        <v>6</v>
      </c>
      <c r="AO338" s="57">
        <v>46122.725798611114</v>
      </c>
      <c r="AP338" s="57">
        <v>46300.625</v>
      </c>
      <c r="AR338" t="s">
        <v>14</v>
      </c>
      <c r="AS338" t="s">
        <v>581</v>
      </c>
      <c r="AT338" t="s">
        <v>1966</v>
      </c>
      <c r="AV338" t="s">
        <v>3366</v>
      </c>
      <c r="AW338" t="s">
        <v>1967</v>
      </c>
      <c r="AX338" t="s">
        <v>222</v>
      </c>
      <c r="BA338" s="57">
        <v>46300.625</v>
      </c>
      <c r="BB338" t="s">
        <v>1965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str">
        <f>VLOOKUP(H338,Sheet2!$A$1:$B$270,2,FALSE)</f>
        <v>SURABAYA SELATAN</v>
      </c>
    </row>
    <row r="339" spans="1:61">
      <c r="A339">
        <v>338</v>
      </c>
      <c r="B339">
        <v>1002618820</v>
      </c>
      <c r="C339">
        <v>3</v>
      </c>
      <c r="D339" t="s">
        <v>55</v>
      </c>
      <c r="E339">
        <v>5</v>
      </c>
      <c r="F339" t="s">
        <v>305</v>
      </c>
      <c r="G339" t="s">
        <v>124</v>
      </c>
      <c r="H339" t="s">
        <v>307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46296.817812499998</v>
      </c>
      <c r="P339" s="57">
        <v>46298.589918981481</v>
      </c>
      <c r="Q339">
        <v>69402688</v>
      </c>
      <c r="S339">
        <v>152308243565</v>
      </c>
      <c r="T339" t="s">
        <v>1109</v>
      </c>
      <c r="U339" t="s">
        <v>1110</v>
      </c>
      <c r="V339" t="s">
        <v>1111</v>
      </c>
      <c r="Z339">
        <v>112.755453586578</v>
      </c>
      <c r="AA339">
        <v>-7.3179974751349901</v>
      </c>
      <c r="AB339" t="s">
        <v>1112</v>
      </c>
      <c r="AC339" t="s">
        <v>235</v>
      </c>
      <c r="AL339" t="s">
        <v>217</v>
      </c>
      <c r="AM339" t="s">
        <v>1113</v>
      </c>
      <c r="AN339" t="s">
        <v>6</v>
      </c>
      <c r="AO339" s="57">
        <v>46032.819814814815</v>
      </c>
      <c r="AP339" s="57">
        <v>46298.333333333336</v>
      </c>
      <c r="AR339" t="s">
        <v>218</v>
      </c>
      <c r="AS339" t="s">
        <v>581</v>
      </c>
      <c r="AT339" t="s">
        <v>230</v>
      </c>
      <c r="AU339">
        <v>20261003</v>
      </c>
      <c r="AV339" t="s">
        <v>221</v>
      </c>
      <c r="AW339" t="s">
        <v>877</v>
      </c>
      <c r="AX339" t="s">
        <v>222</v>
      </c>
      <c r="BA339" s="57">
        <v>46298.333333333336</v>
      </c>
      <c r="BB339" t="s">
        <v>1113</v>
      </c>
      <c r="BC339">
        <v>2026</v>
      </c>
      <c r="BD339">
        <v>10</v>
      </c>
      <c r="BE339">
        <v>3</v>
      </c>
      <c r="BF339" s="6">
        <f t="shared" si="15"/>
        <v>46298</v>
      </c>
      <c r="BG339">
        <f t="shared" si="16"/>
        <v>-0.33333333333575865</v>
      </c>
      <c r="BH339" t="str">
        <f t="shared" si="17"/>
        <v>COMPLY</v>
      </c>
      <c r="BI339" t="str">
        <f>VLOOKUP(H339,Sheet2!$A$1:$B$270,2,FALSE)</f>
        <v>SURABAYA SELATAN</v>
      </c>
    </row>
    <row r="340" spans="1:61">
      <c r="A340">
        <v>339</v>
      </c>
      <c r="B340">
        <v>1002624935</v>
      </c>
      <c r="C340">
        <v>3</v>
      </c>
      <c r="D340" t="s">
        <v>55</v>
      </c>
      <c r="E340">
        <v>5</v>
      </c>
      <c r="F340" t="s">
        <v>305</v>
      </c>
      <c r="G340" t="s">
        <v>124</v>
      </c>
      <c r="H340" t="s">
        <v>307</v>
      </c>
      <c r="I340" t="s">
        <v>212</v>
      </c>
      <c r="J340" t="s">
        <v>213</v>
      </c>
      <c r="K340" t="s">
        <v>149</v>
      </c>
      <c r="M340" t="s">
        <v>76</v>
      </c>
      <c r="N340" t="s">
        <v>215</v>
      </c>
      <c r="O340" s="57">
        <v>46301.676261574074</v>
      </c>
      <c r="P340" s="57">
        <v>46301.750277777777</v>
      </c>
      <c r="Q340">
        <v>69403975</v>
      </c>
      <c r="S340">
        <v>152308243614</v>
      </c>
      <c r="T340" t="s">
        <v>1961</v>
      </c>
      <c r="U340" t="s">
        <v>1962</v>
      </c>
      <c r="V340" t="s">
        <v>3367</v>
      </c>
      <c r="Z340">
        <v>112.761</v>
      </c>
      <c r="AA340">
        <v>-7.3064</v>
      </c>
      <c r="AB340" t="s">
        <v>1964</v>
      </c>
      <c r="AC340" t="s">
        <v>229</v>
      </c>
      <c r="AL340" t="s">
        <v>217</v>
      </c>
      <c r="AM340" t="s">
        <v>3368</v>
      </c>
      <c r="AN340" t="s">
        <v>6</v>
      </c>
      <c r="AO340" s="57">
        <v>46183.694976851853</v>
      </c>
      <c r="AR340" t="s">
        <v>218</v>
      </c>
      <c r="AS340" t="s">
        <v>581</v>
      </c>
      <c r="AT340" t="s">
        <v>1966</v>
      </c>
      <c r="AU340">
        <v>20261006</v>
      </c>
      <c r="AV340" t="s">
        <v>221</v>
      </c>
      <c r="AW340" t="s">
        <v>1967</v>
      </c>
      <c r="AX340" t="s">
        <v>222</v>
      </c>
      <c r="BA340" s="57">
        <v>46301.291666666664</v>
      </c>
      <c r="BB340" t="s">
        <v>3368</v>
      </c>
      <c r="BC340">
        <v>2026</v>
      </c>
      <c r="BD340">
        <v>10</v>
      </c>
      <c r="BE340">
        <v>6</v>
      </c>
      <c r="BF340" s="6">
        <f t="shared" si="15"/>
        <v>46301</v>
      </c>
      <c r="BG340">
        <f t="shared" si="16"/>
        <v>-0.29166666666424135</v>
      </c>
      <c r="BH340" t="str">
        <f t="shared" si="17"/>
        <v>COMPLY</v>
      </c>
      <c r="BI340" t="str">
        <f>VLOOKUP(H340,Sheet2!$A$1:$B$270,2,FALSE)</f>
        <v>SURABAYA SELATAN</v>
      </c>
    </row>
    <row r="341" spans="1:61">
      <c r="A341">
        <v>340</v>
      </c>
      <c r="B341">
        <v>1002621618</v>
      </c>
      <c r="C341">
        <v>3</v>
      </c>
      <c r="D341" t="s">
        <v>55</v>
      </c>
      <c r="E341">
        <v>5</v>
      </c>
      <c r="F341" t="s">
        <v>305</v>
      </c>
      <c r="G341" t="s">
        <v>124</v>
      </c>
      <c r="H341" t="s">
        <v>307</v>
      </c>
      <c r="I341" t="s">
        <v>212</v>
      </c>
      <c r="J341" t="s">
        <v>213</v>
      </c>
      <c r="K341" t="s">
        <v>149</v>
      </c>
      <c r="M341" t="s">
        <v>238</v>
      </c>
      <c r="N341" t="s">
        <v>215</v>
      </c>
      <c r="O341" s="57">
        <v>46300.365393518521</v>
      </c>
      <c r="P341" s="57">
        <v>46300.67224537037</v>
      </c>
      <c r="Q341">
        <v>69404040</v>
      </c>
      <c r="S341">
        <v>152308243593</v>
      </c>
      <c r="T341" t="s">
        <v>2765</v>
      </c>
      <c r="U341" t="s">
        <v>2766</v>
      </c>
      <c r="V341" t="s">
        <v>2767</v>
      </c>
      <c r="Z341">
        <v>112.7420724</v>
      </c>
      <c r="AA341">
        <v>-7.3060653999999996</v>
      </c>
      <c r="AB341" t="s">
        <v>2768</v>
      </c>
      <c r="AC341" t="s">
        <v>229</v>
      </c>
      <c r="AL341" t="s">
        <v>217</v>
      </c>
      <c r="AM341" t="s">
        <v>2769</v>
      </c>
      <c r="AN341" t="s">
        <v>6</v>
      </c>
      <c r="AO341" s="57">
        <v>46152.371782407405</v>
      </c>
      <c r="AP341" s="57">
        <v>46305.458333333336</v>
      </c>
      <c r="AR341" t="s">
        <v>239</v>
      </c>
      <c r="AS341" t="s">
        <v>581</v>
      </c>
      <c r="AT341" t="s">
        <v>1966</v>
      </c>
      <c r="AV341" t="s">
        <v>238</v>
      </c>
      <c r="AW341" t="s">
        <v>2699</v>
      </c>
      <c r="AX341" t="s">
        <v>222</v>
      </c>
      <c r="BA341" s="57">
        <v>46305.458333333336</v>
      </c>
      <c r="BB341" t="s">
        <v>2769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SURABAYA SELATAN</v>
      </c>
    </row>
    <row r="342" spans="1:61">
      <c r="A342">
        <v>341</v>
      </c>
      <c r="B342">
        <v>1002620934</v>
      </c>
      <c r="C342">
        <v>3</v>
      </c>
      <c r="D342" t="s">
        <v>51</v>
      </c>
      <c r="E342">
        <v>4</v>
      </c>
      <c r="F342" t="s">
        <v>234</v>
      </c>
      <c r="G342" t="s">
        <v>1968</v>
      </c>
      <c r="H342" t="s">
        <v>1969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46298.520532407405</v>
      </c>
      <c r="P342" s="57">
        <v>46300.689189814817</v>
      </c>
      <c r="Q342">
        <v>69403570</v>
      </c>
      <c r="S342">
        <v>143592107359</v>
      </c>
      <c r="T342" t="s">
        <v>1970</v>
      </c>
      <c r="U342" t="s">
        <v>1971</v>
      </c>
      <c r="V342" t="s">
        <v>1972</v>
      </c>
      <c r="Z342">
        <v>110.7244029</v>
      </c>
      <c r="AA342">
        <v>-7.6536429999999998</v>
      </c>
      <c r="AB342" t="s">
        <v>1973</v>
      </c>
      <c r="AC342" t="s">
        <v>235</v>
      </c>
      <c r="AL342" t="s">
        <v>217</v>
      </c>
      <c r="AM342" t="s">
        <v>1598</v>
      </c>
      <c r="AN342" t="s">
        <v>6</v>
      </c>
      <c r="AO342" s="57">
        <v>46091.527916666666</v>
      </c>
      <c r="AP342" s="57">
        <v>46299.458333333336</v>
      </c>
      <c r="AR342" t="s">
        <v>218</v>
      </c>
      <c r="AS342" t="s">
        <v>1974</v>
      </c>
      <c r="AT342" t="s">
        <v>230</v>
      </c>
      <c r="AU342">
        <v>20261005</v>
      </c>
      <c r="AV342" t="s">
        <v>221</v>
      </c>
      <c r="AW342" t="s">
        <v>877</v>
      </c>
      <c r="AX342" t="s">
        <v>222</v>
      </c>
      <c r="BA342" s="57">
        <v>46299.458333333336</v>
      </c>
      <c r="BB342" t="s">
        <v>1598</v>
      </c>
      <c r="BC342">
        <v>2026</v>
      </c>
      <c r="BD342">
        <v>10</v>
      </c>
      <c r="BE342">
        <v>5</v>
      </c>
      <c r="BF342" s="6">
        <f t="shared" si="15"/>
        <v>46300</v>
      </c>
      <c r="BG342">
        <f t="shared" si="16"/>
        <v>0.54166666666424135</v>
      </c>
      <c r="BH342" t="str">
        <f t="shared" si="17"/>
        <v>COMPLY</v>
      </c>
      <c r="BI342" t="e">
        <f>VLOOKUP(H342,Sheet2!$A$1:$B$270,2,FALSE)</f>
        <v>#N/A</v>
      </c>
    </row>
    <row r="343" spans="1:61">
      <c r="A343">
        <v>342</v>
      </c>
      <c r="B343">
        <v>1002626053</v>
      </c>
      <c r="C343">
        <v>3</v>
      </c>
      <c r="D343" t="s">
        <v>51</v>
      </c>
      <c r="E343">
        <v>4</v>
      </c>
      <c r="F343" t="s">
        <v>234</v>
      </c>
      <c r="G343" t="s">
        <v>1968</v>
      </c>
      <c r="H343" t="s">
        <v>1969</v>
      </c>
      <c r="I343" t="s">
        <v>212</v>
      </c>
      <c r="J343" t="s">
        <v>213</v>
      </c>
      <c r="K343" t="s">
        <v>149</v>
      </c>
      <c r="L343" t="s">
        <v>214</v>
      </c>
      <c r="M343" t="s">
        <v>238</v>
      </c>
      <c r="N343" t="s">
        <v>215</v>
      </c>
      <c r="O343" s="57">
        <v>46302.544849537036</v>
      </c>
      <c r="P343" s="57">
        <v>46302.545914351853</v>
      </c>
      <c r="Q343">
        <v>69405828</v>
      </c>
      <c r="S343">
        <v>143592109534</v>
      </c>
      <c r="T343" t="s">
        <v>4065</v>
      </c>
      <c r="U343" t="s">
        <v>4066</v>
      </c>
      <c r="V343" t="s">
        <v>4067</v>
      </c>
      <c r="Z343">
        <v>110.6873363</v>
      </c>
      <c r="AA343">
        <v>-7.6715363999999902</v>
      </c>
      <c r="AB343" t="s">
        <v>4068</v>
      </c>
      <c r="AC343" t="s">
        <v>235</v>
      </c>
      <c r="AL343" t="s">
        <v>217</v>
      </c>
      <c r="AM343" t="s">
        <v>4069</v>
      </c>
      <c r="AN343" t="s">
        <v>6</v>
      </c>
      <c r="AO343" s="57">
        <v>46213.549027777779</v>
      </c>
      <c r="AP343" s="57">
        <v>46303.458333333336</v>
      </c>
      <c r="AR343" t="s">
        <v>239</v>
      </c>
      <c r="AS343" t="s">
        <v>1974</v>
      </c>
      <c r="AT343" t="s">
        <v>230</v>
      </c>
      <c r="AV343" t="s">
        <v>238</v>
      </c>
      <c r="AW343" t="s">
        <v>876</v>
      </c>
      <c r="AX343" t="s">
        <v>222</v>
      </c>
      <c r="BA343" s="57">
        <v>46303.458333333336</v>
      </c>
      <c r="BB343" t="s">
        <v>4069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:61">
      <c r="A344">
        <v>343</v>
      </c>
      <c r="B344">
        <v>1002622370</v>
      </c>
      <c r="C344">
        <v>3</v>
      </c>
      <c r="D344" t="s">
        <v>51</v>
      </c>
      <c r="E344">
        <v>4</v>
      </c>
      <c r="F344" t="s">
        <v>234</v>
      </c>
      <c r="G344" t="s">
        <v>1968</v>
      </c>
      <c r="H344" t="s">
        <v>2770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46300.544895833336</v>
      </c>
      <c r="P344" s="57">
        <v>46301.684641203705</v>
      </c>
      <c r="Q344">
        <v>69404314</v>
      </c>
      <c r="S344">
        <v>146550124548</v>
      </c>
      <c r="T344" t="s">
        <v>2771</v>
      </c>
      <c r="U344" t="s">
        <v>2772</v>
      </c>
      <c r="V344" t="s">
        <v>2773</v>
      </c>
      <c r="Z344">
        <v>110.60453769999999</v>
      </c>
      <c r="AA344">
        <v>-7.6957678999999999</v>
      </c>
      <c r="AB344" t="s">
        <v>2774</v>
      </c>
      <c r="AC344" t="s">
        <v>235</v>
      </c>
      <c r="AL344" t="s">
        <v>217</v>
      </c>
      <c r="AM344" t="s">
        <v>2775</v>
      </c>
      <c r="AN344" t="s">
        <v>6</v>
      </c>
      <c r="AO344" s="57">
        <v>46152.569618055553</v>
      </c>
      <c r="AP344" s="57">
        <v>46301.625</v>
      </c>
      <c r="AR344" t="s">
        <v>218</v>
      </c>
      <c r="AS344" t="s">
        <v>219</v>
      </c>
      <c r="AT344" t="s">
        <v>230</v>
      </c>
      <c r="AU344">
        <v>20261006</v>
      </c>
      <c r="AV344" t="s">
        <v>221</v>
      </c>
      <c r="AW344" t="s">
        <v>877</v>
      </c>
      <c r="AX344" t="s">
        <v>222</v>
      </c>
      <c r="BA344" s="57">
        <v>46301.625</v>
      </c>
      <c r="BB344" t="s">
        <v>2775</v>
      </c>
      <c r="BC344">
        <v>2026</v>
      </c>
      <c r="BD344">
        <v>10</v>
      </c>
      <c r="BE344">
        <v>6</v>
      </c>
      <c r="BF344" s="6">
        <f t="shared" si="15"/>
        <v>46301</v>
      </c>
      <c r="BG344">
        <f t="shared" si="16"/>
        <v>-0.625</v>
      </c>
      <c r="BH344" t="str">
        <f t="shared" si="17"/>
        <v>COMPLY</v>
      </c>
      <c r="BI344" t="e">
        <f>VLOOKUP(H344,Sheet2!$A$1:$B$270,2,FALSE)</f>
        <v>#N/A</v>
      </c>
    </row>
    <row r="345" spans="1:61">
      <c r="A345">
        <v>344</v>
      </c>
      <c r="B345">
        <v>1002622303</v>
      </c>
      <c r="C345">
        <v>3</v>
      </c>
      <c r="D345" t="s">
        <v>51</v>
      </c>
      <c r="E345">
        <v>4</v>
      </c>
      <c r="F345" t="s">
        <v>234</v>
      </c>
      <c r="G345" t="s">
        <v>1968</v>
      </c>
      <c r="H345" t="s">
        <v>2770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46300.518472222226</v>
      </c>
      <c r="P345" s="57">
        <v>46301.782048611109</v>
      </c>
      <c r="Q345">
        <v>69404290</v>
      </c>
      <c r="S345">
        <v>146550124547</v>
      </c>
      <c r="T345" t="s">
        <v>2776</v>
      </c>
      <c r="U345" t="s">
        <v>2772</v>
      </c>
      <c r="V345" t="s">
        <v>2777</v>
      </c>
      <c r="Z345">
        <v>110.60453769999999</v>
      </c>
      <c r="AA345">
        <v>-7.6957678999999999</v>
      </c>
      <c r="AB345" t="s">
        <v>2778</v>
      </c>
      <c r="AC345" t="s">
        <v>235</v>
      </c>
      <c r="AL345" t="s">
        <v>217</v>
      </c>
      <c r="AM345" t="s">
        <v>2779</v>
      </c>
      <c r="AN345" t="s">
        <v>6</v>
      </c>
      <c r="AO345" s="57">
        <v>46152.569618055553</v>
      </c>
      <c r="AP345" s="57">
        <v>46301.625</v>
      </c>
      <c r="AR345" t="s">
        <v>218</v>
      </c>
      <c r="AS345" t="s">
        <v>219</v>
      </c>
      <c r="AT345" t="s">
        <v>230</v>
      </c>
      <c r="AU345">
        <v>20261006</v>
      </c>
      <c r="AV345" t="s">
        <v>221</v>
      </c>
      <c r="AW345" t="s">
        <v>879</v>
      </c>
      <c r="AX345" t="s">
        <v>222</v>
      </c>
      <c r="BA345" s="57">
        <v>46301.625</v>
      </c>
      <c r="BB345" t="s">
        <v>2779</v>
      </c>
      <c r="BC345">
        <v>2026</v>
      </c>
      <c r="BD345">
        <v>10</v>
      </c>
      <c r="BE345">
        <v>6</v>
      </c>
      <c r="BF345" s="6">
        <f t="shared" si="15"/>
        <v>46301</v>
      </c>
      <c r="BG345">
        <f t="shared" si="16"/>
        <v>-0.625</v>
      </c>
      <c r="BH345" t="str">
        <f t="shared" si="17"/>
        <v>COMPLY</v>
      </c>
      <c r="BI345" t="e">
        <f>VLOOKUP(H345,Sheet2!$A$1:$B$270,2,FALSE)</f>
        <v>#N/A</v>
      </c>
    </row>
    <row r="346" spans="1:61">
      <c r="A346">
        <v>345</v>
      </c>
      <c r="B346">
        <v>1002623454</v>
      </c>
      <c r="C346">
        <v>3</v>
      </c>
      <c r="D346" t="s">
        <v>51</v>
      </c>
      <c r="E346">
        <v>4</v>
      </c>
      <c r="F346" t="s">
        <v>234</v>
      </c>
      <c r="G346" t="s">
        <v>1968</v>
      </c>
      <c r="H346" t="s">
        <v>3369</v>
      </c>
      <c r="I346" t="s">
        <v>212</v>
      </c>
      <c r="J346" t="s">
        <v>213</v>
      </c>
      <c r="K346" t="s">
        <v>149</v>
      </c>
      <c r="L346" t="s">
        <v>826</v>
      </c>
      <c r="M346" t="s">
        <v>76</v>
      </c>
      <c r="N346" t="s">
        <v>215</v>
      </c>
      <c r="O346" s="57">
        <v>46301.364351851851</v>
      </c>
      <c r="P346" s="57">
        <v>46302.696180555555</v>
      </c>
      <c r="Q346">
        <v>69404692</v>
      </c>
      <c r="R346">
        <v>2725602014</v>
      </c>
      <c r="S346">
        <v>142510106344</v>
      </c>
      <c r="T346" t="s">
        <v>3370</v>
      </c>
      <c r="U346" t="s">
        <v>3371</v>
      </c>
      <c r="V346" t="s">
        <v>3372</v>
      </c>
      <c r="Z346">
        <v>110.693296</v>
      </c>
      <c r="AA346">
        <v>-7.6862120000000003</v>
      </c>
      <c r="AB346" t="s">
        <v>3373</v>
      </c>
      <c r="AC346" t="s">
        <v>235</v>
      </c>
      <c r="AL346" t="s">
        <v>217</v>
      </c>
      <c r="AM346" t="s">
        <v>3374</v>
      </c>
      <c r="AN346" t="s">
        <v>6</v>
      </c>
      <c r="AO346" s="57">
        <v>46183.392407407409</v>
      </c>
      <c r="AP346" s="57">
        <v>46302.333333333336</v>
      </c>
      <c r="AR346" t="s">
        <v>218</v>
      </c>
      <c r="AS346" t="s">
        <v>219</v>
      </c>
      <c r="AT346" t="s">
        <v>230</v>
      </c>
      <c r="AU346">
        <v>20261007</v>
      </c>
      <c r="AV346" t="s">
        <v>221</v>
      </c>
      <c r="AW346" t="s">
        <v>868</v>
      </c>
      <c r="AX346" t="s">
        <v>222</v>
      </c>
      <c r="BA346" s="57">
        <v>46302.333333333336</v>
      </c>
      <c r="BB346" t="s">
        <v>3374</v>
      </c>
      <c r="BC346">
        <v>2026</v>
      </c>
      <c r="BD346">
        <v>10</v>
      </c>
      <c r="BE346">
        <v>7</v>
      </c>
      <c r="BF346" s="6">
        <f t="shared" si="15"/>
        <v>46302</v>
      </c>
      <c r="BG346">
        <f t="shared" si="16"/>
        <v>-0.33333333333575865</v>
      </c>
      <c r="BH346" t="str">
        <f t="shared" si="17"/>
        <v>COMPLY</v>
      </c>
      <c r="BI346" t="e">
        <f>VLOOKUP(H346,Sheet2!$A$1:$B$270,2,FALSE)</f>
        <v>#N/A</v>
      </c>
    </row>
    <row r="347" spans="1:61">
      <c r="A347">
        <v>346</v>
      </c>
      <c r="B347">
        <v>1002626004</v>
      </c>
      <c r="C347">
        <v>3</v>
      </c>
      <c r="D347" t="s">
        <v>51</v>
      </c>
      <c r="E347">
        <v>4</v>
      </c>
      <c r="F347" t="s">
        <v>234</v>
      </c>
      <c r="G347" t="s">
        <v>1968</v>
      </c>
      <c r="H347" t="s">
        <v>3369</v>
      </c>
      <c r="I347" t="s">
        <v>212</v>
      </c>
      <c r="J347" t="s">
        <v>213</v>
      </c>
      <c r="K347" t="s">
        <v>149</v>
      </c>
      <c r="L347" t="s">
        <v>214</v>
      </c>
      <c r="M347" t="s">
        <v>238</v>
      </c>
      <c r="N347" t="s">
        <v>215</v>
      </c>
      <c r="O347" s="57">
        <v>46302.530949074076</v>
      </c>
      <c r="P347" s="57">
        <v>46302.531967592593</v>
      </c>
      <c r="Q347">
        <v>69405782</v>
      </c>
      <c r="S347">
        <v>142510106349</v>
      </c>
      <c r="T347" t="s">
        <v>4070</v>
      </c>
      <c r="U347" t="s">
        <v>4071</v>
      </c>
      <c r="V347" t="s">
        <v>4072</v>
      </c>
      <c r="Z347">
        <v>110.6894794</v>
      </c>
      <c r="AA347">
        <v>-7.6730748999999996</v>
      </c>
      <c r="AB347" t="s">
        <v>4073</v>
      </c>
      <c r="AC347" t="s">
        <v>235</v>
      </c>
      <c r="AL347" t="s">
        <v>217</v>
      </c>
      <c r="AM347" t="s">
        <v>4074</v>
      </c>
      <c r="AN347" t="s">
        <v>6</v>
      </c>
      <c r="AO347" s="57">
        <v>46213.538645833331</v>
      </c>
      <c r="AP347" s="57">
        <v>46303.458333333336</v>
      </c>
      <c r="AR347" t="s">
        <v>239</v>
      </c>
      <c r="AS347" t="s">
        <v>219</v>
      </c>
      <c r="AT347" t="s">
        <v>230</v>
      </c>
      <c r="AV347" t="s">
        <v>238</v>
      </c>
      <c r="AW347" t="s">
        <v>875</v>
      </c>
      <c r="AX347" t="s">
        <v>222</v>
      </c>
      <c r="BA347" s="57">
        <v>46303.458333333336</v>
      </c>
      <c r="BB347" t="s">
        <v>4074</v>
      </c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e">
        <f>VLOOKUP(H347,Sheet2!$A$1:$B$270,2,FALSE)</f>
        <v>#N/A</v>
      </c>
    </row>
    <row r="348" spans="1:61">
      <c r="A348">
        <v>347</v>
      </c>
      <c r="B348">
        <v>1002623782</v>
      </c>
      <c r="C348">
        <v>3</v>
      </c>
      <c r="D348" t="s">
        <v>51</v>
      </c>
      <c r="E348">
        <v>4</v>
      </c>
      <c r="F348" t="s">
        <v>234</v>
      </c>
      <c r="G348" t="s">
        <v>552</v>
      </c>
      <c r="H348" t="s">
        <v>3375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46301.430266203701</v>
      </c>
      <c r="P348" s="57">
        <v>46302.707083333335</v>
      </c>
      <c r="Q348">
        <v>69404806</v>
      </c>
      <c r="S348">
        <v>146528600024</v>
      </c>
      <c r="T348" t="s">
        <v>3376</v>
      </c>
      <c r="U348" t="s">
        <v>3377</v>
      </c>
      <c r="V348" t="s">
        <v>3378</v>
      </c>
      <c r="Z348">
        <v>110.7388572</v>
      </c>
      <c r="AA348">
        <v>-7.5853248999999998</v>
      </c>
      <c r="AB348" t="s">
        <v>3379</v>
      </c>
      <c r="AC348" t="s">
        <v>849</v>
      </c>
      <c r="AL348" t="s">
        <v>217</v>
      </c>
      <c r="AM348" t="s">
        <v>3172</v>
      </c>
      <c r="AN348" t="s">
        <v>6</v>
      </c>
      <c r="AO348" s="57">
        <v>46183.433946759258</v>
      </c>
      <c r="AP348" s="57">
        <v>46302.333333333336</v>
      </c>
      <c r="AR348" t="s">
        <v>218</v>
      </c>
      <c r="AS348" t="s">
        <v>3380</v>
      </c>
      <c r="AT348" t="s">
        <v>230</v>
      </c>
      <c r="AU348">
        <v>20261007</v>
      </c>
      <c r="AV348" t="s">
        <v>221</v>
      </c>
      <c r="AW348" t="s">
        <v>878</v>
      </c>
      <c r="AX348" t="s">
        <v>222</v>
      </c>
      <c r="BA348" s="57">
        <v>46302.333333333336</v>
      </c>
      <c r="BB348" t="s">
        <v>3172</v>
      </c>
      <c r="BC348">
        <v>2026</v>
      </c>
      <c r="BD348">
        <v>10</v>
      </c>
      <c r="BE348">
        <v>7</v>
      </c>
      <c r="BF348" s="6">
        <f t="shared" si="15"/>
        <v>46302</v>
      </c>
      <c r="BG348">
        <f t="shared" si="16"/>
        <v>-0.33333333333575865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1002618761</v>
      </c>
      <c r="C349">
        <v>3</v>
      </c>
      <c r="D349" t="s">
        <v>51</v>
      </c>
      <c r="E349">
        <v>4</v>
      </c>
      <c r="F349" t="s">
        <v>268</v>
      </c>
      <c r="G349" t="s">
        <v>830</v>
      </c>
      <c r="H349" t="s">
        <v>831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46296.742812500001</v>
      </c>
      <c r="P349" s="57">
        <v>46298.684421296297</v>
      </c>
      <c r="Q349">
        <v>69402661</v>
      </c>
      <c r="S349">
        <v>141569116032</v>
      </c>
      <c r="T349" t="s">
        <v>1119</v>
      </c>
      <c r="U349" t="s">
        <v>1120</v>
      </c>
      <c r="V349" t="s">
        <v>1121</v>
      </c>
      <c r="Z349">
        <v>111.415111</v>
      </c>
      <c r="AA349">
        <v>-6.96875</v>
      </c>
      <c r="AB349" t="s">
        <v>1122</v>
      </c>
      <c r="AC349" t="s">
        <v>235</v>
      </c>
      <c r="AL349" t="s">
        <v>217</v>
      </c>
      <c r="AM349" t="s">
        <v>1123</v>
      </c>
      <c r="AN349" t="s">
        <v>6</v>
      </c>
      <c r="AO349" s="57">
        <v>46032.746898148151</v>
      </c>
      <c r="AP349" s="57">
        <v>46297.625</v>
      </c>
      <c r="AR349" t="s">
        <v>218</v>
      </c>
      <c r="AS349" t="s">
        <v>219</v>
      </c>
      <c r="AT349" t="s">
        <v>230</v>
      </c>
      <c r="AU349">
        <v>20261003</v>
      </c>
      <c r="AV349" t="s">
        <v>221</v>
      </c>
      <c r="AW349" t="s">
        <v>877</v>
      </c>
      <c r="AX349" t="s">
        <v>222</v>
      </c>
      <c r="BA349" s="57">
        <v>46297.625</v>
      </c>
      <c r="BB349" t="s">
        <v>1123</v>
      </c>
      <c r="BC349">
        <v>2026</v>
      </c>
      <c r="BD349">
        <v>10</v>
      </c>
      <c r="BE349">
        <v>3</v>
      </c>
      <c r="BF349" s="6">
        <f t="shared" si="15"/>
        <v>46298</v>
      </c>
      <c r="BG349">
        <f t="shared" si="16"/>
        <v>0.375</v>
      </c>
      <c r="BH349" t="str">
        <f t="shared" si="17"/>
        <v>COMPLY</v>
      </c>
      <c r="BI349" t="e">
        <f>VLOOKUP(H349,Sheet2!$A$1:$B$270,2,FALSE)</f>
        <v>#N/A</v>
      </c>
    </row>
    <row r="350" spans="1:61">
      <c r="A350">
        <v>349</v>
      </c>
      <c r="B350">
        <v>1002617446</v>
      </c>
      <c r="C350">
        <v>3</v>
      </c>
      <c r="D350" t="s">
        <v>51</v>
      </c>
      <c r="E350">
        <v>4</v>
      </c>
      <c r="F350" t="s">
        <v>268</v>
      </c>
      <c r="G350" t="s">
        <v>830</v>
      </c>
      <c r="H350" t="s">
        <v>831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46296.449756944443</v>
      </c>
      <c r="P350" s="57">
        <v>46297.576631944445</v>
      </c>
      <c r="Q350">
        <v>69402204</v>
      </c>
      <c r="S350">
        <v>141569116024</v>
      </c>
      <c r="T350" t="s">
        <v>1114</v>
      </c>
      <c r="U350" t="s">
        <v>1115</v>
      </c>
      <c r="V350" t="s">
        <v>1116</v>
      </c>
      <c r="Z350">
        <v>111.4356827</v>
      </c>
      <c r="AA350">
        <v>-6.9676187000000001</v>
      </c>
      <c r="AB350" t="s">
        <v>1117</v>
      </c>
      <c r="AC350" t="s">
        <v>235</v>
      </c>
      <c r="AL350" t="s">
        <v>217</v>
      </c>
      <c r="AM350" t="s">
        <v>1118</v>
      </c>
      <c r="AN350" t="s">
        <v>6</v>
      </c>
      <c r="AO350" s="57">
        <v>46032.486342592594</v>
      </c>
      <c r="AP350" s="57">
        <v>46297.333333333336</v>
      </c>
      <c r="AR350" t="s">
        <v>218</v>
      </c>
      <c r="AS350" t="s">
        <v>219</v>
      </c>
      <c r="AT350" t="s">
        <v>230</v>
      </c>
      <c r="AU350">
        <v>20261002</v>
      </c>
      <c r="AV350" t="s">
        <v>221</v>
      </c>
      <c r="AW350" t="s">
        <v>236</v>
      </c>
      <c r="AX350" t="s">
        <v>222</v>
      </c>
      <c r="BA350" s="57">
        <v>46297.333333333336</v>
      </c>
      <c r="BB350" t="s">
        <v>1118</v>
      </c>
      <c r="BC350">
        <v>2026</v>
      </c>
      <c r="BD350">
        <v>10</v>
      </c>
      <c r="BE350">
        <v>2</v>
      </c>
      <c r="BF350" s="6">
        <f t="shared" si="15"/>
        <v>46297</v>
      </c>
      <c r="BG350">
        <f t="shared" si="16"/>
        <v>-0.33333333333575865</v>
      </c>
      <c r="BH350" t="str">
        <f t="shared" si="17"/>
        <v>COMPLY</v>
      </c>
      <c r="BI350" t="e">
        <f>VLOOKUP(H350,Sheet2!$A$1:$B$270,2,FALSE)</f>
        <v>#N/A</v>
      </c>
    </row>
    <row r="351" spans="1:61">
      <c r="A351">
        <v>350</v>
      </c>
      <c r="B351">
        <v>1002621472</v>
      </c>
      <c r="C351">
        <v>3</v>
      </c>
      <c r="D351" t="s">
        <v>51</v>
      </c>
      <c r="E351">
        <v>4</v>
      </c>
      <c r="F351" t="s">
        <v>268</v>
      </c>
      <c r="G351" t="s">
        <v>830</v>
      </c>
      <c r="H351" t="s">
        <v>831</v>
      </c>
      <c r="I351" t="s">
        <v>212</v>
      </c>
      <c r="J351" t="s">
        <v>213</v>
      </c>
      <c r="K351" t="s">
        <v>149</v>
      </c>
      <c r="L351" t="s">
        <v>214</v>
      </c>
      <c r="M351" t="s">
        <v>1921</v>
      </c>
      <c r="N351" t="s">
        <v>215</v>
      </c>
      <c r="O351" s="57">
        <v>46299.665682870371</v>
      </c>
      <c r="P351" s="57">
        <v>46300.67827546296</v>
      </c>
      <c r="Q351">
        <v>69403968</v>
      </c>
      <c r="S351">
        <v>141569116042</v>
      </c>
      <c r="T351" t="s">
        <v>1975</v>
      </c>
      <c r="U351" t="s">
        <v>1976</v>
      </c>
      <c r="V351" t="s">
        <v>1977</v>
      </c>
      <c r="Z351">
        <v>111.4062969</v>
      </c>
      <c r="AA351">
        <v>-6.9794874999999896</v>
      </c>
      <c r="AB351" t="s">
        <v>1978</v>
      </c>
      <c r="AC351" t="s">
        <v>235</v>
      </c>
      <c r="AL351" t="s">
        <v>217</v>
      </c>
      <c r="AM351" t="s">
        <v>1979</v>
      </c>
      <c r="AN351" t="s">
        <v>6</v>
      </c>
      <c r="AO351" s="57">
        <v>46122.674062500002</v>
      </c>
      <c r="AP351" s="57">
        <v>46300.625</v>
      </c>
      <c r="AQ351" t="s">
        <v>841</v>
      </c>
      <c r="AR351" t="s">
        <v>12</v>
      </c>
      <c r="AS351" t="s">
        <v>219</v>
      </c>
      <c r="AT351" t="s">
        <v>230</v>
      </c>
      <c r="AV351" t="s">
        <v>1628</v>
      </c>
      <c r="AW351" t="s">
        <v>877</v>
      </c>
      <c r="AX351" t="s">
        <v>222</v>
      </c>
      <c r="BA351" s="57">
        <v>46300.625</v>
      </c>
      <c r="BB351" t="s">
        <v>1979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:61">
      <c r="A352">
        <v>351</v>
      </c>
      <c r="B352">
        <v>1002625202</v>
      </c>
      <c r="C352">
        <v>3</v>
      </c>
      <c r="D352" t="s">
        <v>51</v>
      </c>
      <c r="E352">
        <v>4</v>
      </c>
      <c r="F352" t="s">
        <v>268</v>
      </c>
      <c r="G352" t="s">
        <v>830</v>
      </c>
      <c r="H352" t="s">
        <v>1980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46301.807337962964</v>
      </c>
      <c r="P352" s="57">
        <v>46302.578865740739</v>
      </c>
      <c r="Q352">
        <v>69405411</v>
      </c>
      <c r="S352">
        <v>142552107903</v>
      </c>
      <c r="T352" t="s">
        <v>3381</v>
      </c>
      <c r="U352" t="s">
        <v>3382</v>
      </c>
      <c r="V352" t="s">
        <v>3383</v>
      </c>
      <c r="Z352">
        <v>111.57086099999999</v>
      </c>
      <c r="AA352">
        <v>-7.1124219999999996</v>
      </c>
      <c r="AB352" t="s">
        <v>3384</v>
      </c>
      <c r="AC352" t="s">
        <v>235</v>
      </c>
      <c r="AL352" t="s">
        <v>217</v>
      </c>
      <c r="AM352" t="s">
        <v>3385</v>
      </c>
      <c r="AN352" t="s">
        <v>6</v>
      </c>
      <c r="AO352" s="57">
        <v>46183.809340277781</v>
      </c>
      <c r="AP352" s="57">
        <v>46303.333333333336</v>
      </c>
      <c r="AR352" t="s">
        <v>218</v>
      </c>
      <c r="AS352" t="s">
        <v>1986</v>
      </c>
      <c r="AT352" t="s">
        <v>230</v>
      </c>
      <c r="AU352">
        <v>20261007</v>
      </c>
      <c r="AV352" t="s">
        <v>221</v>
      </c>
      <c r="AW352" t="s">
        <v>882</v>
      </c>
      <c r="AX352" t="s">
        <v>222</v>
      </c>
      <c r="BA352" s="57">
        <v>46303.333333333336</v>
      </c>
      <c r="BB352" t="s">
        <v>3385</v>
      </c>
      <c r="BC352">
        <v>2026</v>
      </c>
      <c r="BD352">
        <v>10</v>
      </c>
      <c r="BE352">
        <v>7</v>
      </c>
      <c r="BF352" s="6">
        <f t="shared" si="15"/>
        <v>46302</v>
      </c>
      <c r="BG352">
        <f t="shared" si="16"/>
        <v>-1.3333333333357587</v>
      </c>
      <c r="BH352" t="str">
        <f t="shared" si="17"/>
        <v>COMPLY</v>
      </c>
      <c r="BI352" t="e">
        <f>VLOOKUP(H352,Sheet2!$A$1:$B$270,2,FALSE)</f>
        <v>#N/A</v>
      </c>
    </row>
    <row r="353" spans="1:61">
      <c r="A353">
        <v>352</v>
      </c>
      <c r="B353">
        <v>1002619966</v>
      </c>
      <c r="C353">
        <v>3</v>
      </c>
      <c r="D353" t="s">
        <v>51</v>
      </c>
      <c r="E353">
        <v>4</v>
      </c>
      <c r="F353" t="s">
        <v>268</v>
      </c>
      <c r="G353" t="s">
        <v>830</v>
      </c>
      <c r="H353" t="s">
        <v>1980</v>
      </c>
      <c r="I353" t="s">
        <v>212</v>
      </c>
      <c r="J353" t="s">
        <v>213</v>
      </c>
      <c r="K353" t="s">
        <v>149</v>
      </c>
      <c r="M353" t="s">
        <v>1627</v>
      </c>
      <c r="N353" t="s">
        <v>215</v>
      </c>
      <c r="O353" s="57">
        <v>46297.597511574073</v>
      </c>
      <c r="P353" s="57">
        <v>46297.635995370372</v>
      </c>
      <c r="Q353">
        <v>69403149</v>
      </c>
      <c r="S353">
        <v>142552107893</v>
      </c>
      <c r="T353" t="s">
        <v>1981</v>
      </c>
      <c r="U353" t="s">
        <v>1982</v>
      </c>
      <c r="Z353">
        <v>111.57115810000001</v>
      </c>
      <c r="AA353">
        <v>-7.1108092000000003</v>
      </c>
      <c r="AB353" t="s">
        <v>1988</v>
      </c>
      <c r="AC353" t="s">
        <v>283</v>
      </c>
      <c r="AO353" s="57">
        <v>46063.61105324074</v>
      </c>
      <c r="AR353" t="s">
        <v>1632</v>
      </c>
      <c r="AS353" t="s">
        <v>1986</v>
      </c>
      <c r="AT353" t="s">
        <v>230</v>
      </c>
      <c r="AV353" t="s">
        <v>1989</v>
      </c>
      <c r="AW353" t="s">
        <v>540</v>
      </c>
      <c r="AX353" t="s">
        <v>222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:61">
      <c r="A354">
        <v>353</v>
      </c>
      <c r="B354">
        <v>1002620263</v>
      </c>
      <c r="C354">
        <v>3</v>
      </c>
      <c r="D354" t="s">
        <v>51</v>
      </c>
      <c r="E354">
        <v>4</v>
      </c>
      <c r="F354" t="s">
        <v>268</v>
      </c>
      <c r="G354" t="s">
        <v>830</v>
      </c>
      <c r="H354" t="s">
        <v>1980</v>
      </c>
      <c r="I354" t="s">
        <v>212</v>
      </c>
      <c r="J354" t="s">
        <v>213</v>
      </c>
      <c r="K354" t="s">
        <v>149</v>
      </c>
      <c r="M354" t="s">
        <v>1921</v>
      </c>
      <c r="N354" t="s">
        <v>215</v>
      </c>
      <c r="O354" s="57">
        <v>46297.645277777781</v>
      </c>
      <c r="P354" s="57">
        <v>46300.67560185185</v>
      </c>
      <c r="Q354">
        <v>69403235</v>
      </c>
      <c r="S354">
        <v>142552107894</v>
      </c>
      <c r="T354" t="s">
        <v>1981</v>
      </c>
      <c r="U354" t="s">
        <v>1982</v>
      </c>
      <c r="V354" t="s">
        <v>1983</v>
      </c>
      <c r="Z354">
        <v>111.57115810000001</v>
      </c>
      <c r="AA354">
        <v>-7.1108092000000003</v>
      </c>
      <c r="AB354" t="s">
        <v>1984</v>
      </c>
      <c r="AC354" t="s">
        <v>283</v>
      </c>
      <c r="AL354" t="s">
        <v>217</v>
      </c>
      <c r="AM354" t="s">
        <v>1985</v>
      </c>
      <c r="AN354" t="s">
        <v>6</v>
      </c>
      <c r="AO354" s="57">
        <v>46063.652951388889</v>
      </c>
      <c r="AP354" s="57">
        <v>46299.458333333336</v>
      </c>
      <c r="AQ354" t="s">
        <v>841</v>
      </c>
      <c r="AR354" t="s">
        <v>12</v>
      </c>
      <c r="AS354" t="s">
        <v>1986</v>
      </c>
      <c r="AT354" t="s">
        <v>230</v>
      </c>
      <c r="AV354" t="s">
        <v>1628</v>
      </c>
      <c r="AW354" t="s">
        <v>1987</v>
      </c>
      <c r="AX354" t="s">
        <v>222</v>
      </c>
      <c r="BA354" s="57">
        <v>46299.458333333336</v>
      </c>
      <c r="BB354" t="s">
        <v>1985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:61">
      <c r="A355">
        <v>354</v>
      </c>
      <c r="B355">
        <v>1002625896</v>
      </c>
      <c r="C355">
        <v>3</v>
      </c>
      <c r="D355" t="s">
        <v>51</v>
      </c>
      <c r="E355">
        <v>4</v>
      </c>
      <c r="F355" t="s">
        <v>268</v>
      </c>
      <c r="G355" t="s">
        <v>830</v>
      </c>
      <c r="H355" t="s">
        <v>4075</v>
      </c>
      <c r="I355" t="s">
        <v>212</v>
      </c>
      <c r="J355" t="s">
        <v>213</v>
      </c>
      <c r="K355" t="s">
        <v>149</v>
      </c>
      <c r="L355" t="s">
        <v>214</v>
      </c>
      <c r="M355" t="s">
        <v>224</v>
      </c>
      <c r="N355" t="s">
        <v>215</v>
      </c>
      <c r="O355" s="57">
        <v>46302.494837962964</v>
      </c>
      <c r="P355" s="57">
        <v>46303.341087962966</v>
      </c>
      <c r="Q355">
        <v>69405732</v>
      </c>
      <c r="S355">
        <v>142519105289</v>
      </c>
      <c r="T355" t="s">
        <v>4076</v>
      </c>
      <c r="U355" t="s">
        <v>4077</v>
      </c>
      <c r="V355" t="s">
        <v>4078</v>
      </c>
      <c r="Z355">
        <v>111.2401205</v>
      </c>
      <c r="AA355">
        <v>-7.0551518999999896</v>
      </c>
      <c r="AB355" t="s">
        <v>4079</v>
      </c>
      <c r="AC355" t="s">
        <v>235</v>
      </c>
      <c r="AL355" t="s">
        <v>217</v>
      </c>
      <c r="AM355" t="s">
        <v>4080</v>
      </c>
      <c r="AN355" t="s">
        <v>6</v>
      </c>
      <c r="AO355" s="57">
        <v>46213.496678240743</v>
      </c>
      <c r="AP355" s="57">
        <v>46303.333333333336</v>
      </c>
      <c r="AR355" t="s">
        <v>18</v>
      </c>
      <c r="AS355" t="s">
        <v>219</v>
      </c>
      <c r="AT355" t="s">
        <v>230</v>
      </c>
      <c r="AV355" t="s">
        <v>226</v>
      </c>
      <c r="AW355" t="s">
        <v>882</v>
      </c>
      <c r="AX355" t="s">
        <v>222</v>
      </c>
      <c r="BA355" s="57">
        <v>46303.333333333336</v>
      </c>
      <c r="BB355" t="s">
        <v>4080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:61">
      <c r="A356">
        <v>355</v>
      </c>
      <c r="B356">
        <v>1002625586</v>
      </c>
      <c r="C356">
        <v>3</v>
      </c>
      <c r="D356" t="s">
        <v>51</v>
      </c>
      <c r="E356">
        <v>4</v>
      </c>
      <c r="F356" t="s">
        <v>268</v>
      </c>
      <c r="G356" t="s">
        <v>830</v>
      </c>
      <c r="H356" t="s">
        <v>4081</v>
      </c>
      <c r="I356" t="s">
        <v>212</v>
      </c>
      <c r="J356" t="s">
        <v>213</v>
      </c>
      <c r="K356" t="s">
        <v>149</v>
      </c>
      <c r="L356" t="s">
        <v>214</v>
      </c>
      <c r="M356" t="s">
        <v>224</v>
      </c>
      <c r="N356" t="s">
        <v>215</v>
      </c>
      <c r="O356" s="57">
        <v>46302.428877314815</v>
      </c>
      <c r="P356" s="57">
        <v>46303.337384259263</v>
      </c>
      <c r="Q356">
        <v>69405559</v>
      </c>
      <c r="S356">
        <v>142512103134</v>
      </c>
      <c r="T356" t="s">
        <v>4082</v>
      </c>
      <c r="U356" t="s">
        <v>4083</v>
      </c>
      <c r="V356" t="s">
        <v>4084</v>
      </c>
      <c r="Z356">
        <v>111.38305690668599</v>
      </c>
      <c r="AA356">
        <v>-7.2043537324090003</v>
      </c>
      <c r="AB356" t="s">
        <v>4085</v>
      </c>
      <c r="AC356" t="s">
        <v>235</v>
      </c>
      <c r="AL356" t="s">
        <v>217</v>
      </c>
      <c r="AM356" t="s">
        <v>4086</v>
      </c>
      <c r="AN356" t="s">
        <v>6</v>
      </c>
      <c r="AO356" s="57">
        <v>46213.434340277781</v>
      </c>
      <c r="AP356" s="57">
        <v>46303.333333333336</v>
      </c>
      <c r="AR356" t="s">
        <v>18</v>
      </c>
      <c r="AS356" t="s">
        <v>1986</v>
      </c>
      <c r="AT356" t="s">
        <v>230</v>
      </c>
      <c r="AV356" t="s">
        <v>226</v>
      </c>
      <c r="AW356" t="s">
        <v>923</v>
      </c>
      <c r="AX356" t="s">
        <v>222</v>
      </c>
      <c r="BA356" s="57">
        <v>46303.333333333336</v>
      </c>
      <c r="BB356" t="s">
        <v>4086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:61">
      <c r="A357">
        <v>356</v>
      </c>
      <c r="B357">
        <v>1002626864</v>
      </c>
      <c r="C357">
        <v>3</v>
      </c>
      <c r="D357" t="s">
        <v>51</v>
      </c>
      <c r="E357">
        <v>4</v>
      </c>
      <c r="F357" t="s">
        <v>268</v>
      </c>
      <c r="G357" t="s">
        <v>545</v>
      </c>
      <c r="H357" t="s">
        <v>1990</v>
      </c>
      <c r="I357" t="s">
        <v>212</v>
      </c>
      <c r="J357" t="s">
        <v>213</v>
      </c>
      <c r="K357" t="s">
        <v>149</v>
      </c>
      <c r="L357" t="s">
        <v>214</v>
      </c>
      <c r="M357" t="s">
        <v>238</v>
      </c>
      <c r="N357" t="s">
        <v>215</v>
      </c>
      <c r="O357" s="57">
        <v>46302.721921296295</v>
      </c>
      <c r="P357" s="57">
        <v>46302.723622685182</v>
      </c>
      <c r="Q357">
        <v>69406128</v>
      </c>
      <c r="S357">
        <v>142521103440</v>
      </c>
      <c r="T357" t="s">
        <v>1991</v>
      </c>
      <c r="U357" t="s">
        <v>1992</v>
      </c>
      <c r="V357" t="s">
        <v>4087</v>
      </c>
      <c r="Z357">
        <v>110.778138</v>
      </c>
      <c r="AA357">
        <v>-7.024762</v>
      </c>
      <c r="AB357" t="s">
        <v>4088</v>
      </c>
      <c r="AC357" t="s">
        <v>235</v>
      </c>
      <c r="AL357" t="s">
        <v>217</v>
      </c>
      <c r="AM357" t="s">
        <v>4089</v>
      </c>
      <c r="AN357" t="s">
        <v>6</v>
      </c>
      <c r="AO357" s="57">
        <v>46213.736238425925</v>
      </c>
      <c r="AP357" s="57">
        <v>46303.625</v>
      </c>
      <c r="AR357" t="s">
        <v>239</v>
      </c>
      <c r="AS357" t="s">
        <v>1996</v>
      </c>
      <c r="AT357" t="s">
        <v>230</v>
      </c>
      <c r="AV357" t="s">
        <v>238</v>
      </c>
      <c r="AW357" t="s">
        <v>877</v>
      </c>
      <c r="AX357" t="s">
        <v>222</v>
      </c>
      <c r="BA357" s="57">
        <v>46303.625</v>
      </c>
      <c r="BB357" t="s">
        <v>4089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e">
        <f>VLOOKUP(H357,Sheet2!$A$1:$B$270,2,FALSE)</f>
        <v>#N/A</v>
      </c>
    </row>
    <row r="358" spans="1:61">
      <c r="A358">
        <v>357</v>
      </c>
      <c r="B358">
        <v>1002620740</v>
      </c>
      <c r="C358">
        <v>3</v>
      </c>
      <c r="D358" t="s">
        <v>51</v>
      </c>
      <c r="E358">
        <v>4</v>
      </c>
      <c r="F358" t="s">
        <v>268</v>
      </c>
      <c r="G358" t="s">
        <v>545</v>
      </c>
      <c r="H358" t="s">
        <v>1990</v>
      </c>
      <c r="I358" t="s">
        <v>212</v>
      </c>
      <c r="J358" t="s">
        <v>213</v>
      </c>
      <c r="K358" t="s">
        <v>149</v>
      </c>
      <c r="L358" t="s">
        <v>214</v>
      </c>
      <c r="M358" t="s">
        <v>1921</v>
      </c>
      <c r="N358" t="s">
        <v>215</v>
      </c>
      <c r="O358" s="57">
        <v>46298.358043981483</v>
      </c>
      <c r="P358" s="57">
        <v>46301.399305555555</v>
      </c>
      <c r="Q358">
        <v>69403439</v>
      </c>
      <c r="S358">
        <v>142521103463</v>
      </c>
      <c r="T358" t="s">
        <v>1991</v>
      </c>
      <c r="U358" t="s">
        <v>1992</v>
      </c>
      <c r="V358" t="s">
        <v>1993</v>
      </c>
      <c r="Z358">
        <v>110.778127</v>
      </c>
      <c r="AA358">
        <v>-7.0247109999999999</v>
      </c>
      <c r="AB358" t="s">
        <v>1994</v>
      </c>
      <c r="AC358" t="s">
        <v>235</v>
      </c>
      <c r="AL358" t="s">
        <v>217</v>
      </c>
      <c r="AM358" t="s">
        <v>1995</v>
      </c>
      <c r="AN358" t="s">
        <v>6</v>
      </c>
      <c r="AO358" s="57">
        <v>46091.361296296294</v>
      </c>
      <c r="AP358" s="57">
        <v>46299.333333333336</v>
      </c>
      <c r="AQ358" t="s">
        <v>841</v>
      </c>
      <c r="AR358" t="s">
        <v>12</v>
      </c>
      <c r="AS358" t="s">
        <v>1996</v>
      </c>
      <c r="AT358" t="s">
        <v>230</v>
      </c>
      <c r="AV358" t="s">
        <v>1628</v>
      </c>
      <c r="AW358" t="s">
        <v>880</v>
      </c>
      <c r="AX358" t="s">
        <v>222</v>
      </c>
      <c r="BA358" s="57">
        <v>46299.333333333336</v>
      </c>
      <c r="BB358" t="s">
        <v>1995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:61">
      <c r="A359">
        <v>358</v>
      </c>
      <c r="B359">
        <v>1002618094</v>
      </c>
      <c r="C359">
        <v>3</v>
      </c>
      <c r="D359" t="s">
        <v>51</v>
      </c>
      <c r="E359">
        <v>4</v>
      </c>
      <c r="F359" t="s">
        <v>268</v>
      </c>
      <c r="G359" t="s">
        <v>545</v>
      </c>
      <c r="H359" t="s">
        <v>848</v>
      </c>
      <c r="I359" t="s">
        <v>212</v>
      </c>
      <c r="J359" t="s">
        <v>213</v>
      </c>
      <c r="K359" t="s">
        <v>149</v>
      </c>
      <c r="M359" t="s">
        <v>76</v>
      </c>
      <c r="N359" t="s">
        <v>215</v>
      </c>
      <c r="O359" s="57">
        <v>46296.601504629631</v>
      </c>
      <c r="P359" s="57">
        <v>46297.668043981481</v>
      </c>
      <c r="Q359">
        <v>69402453</v>
      </c>
      <c r="S359">
        <v>141568111741</v>
      </c>
      <c r="T359" t="s">
        <v>1129</v>
      </c>
      <c r="U359" t="s">
        <v>1130</v>
      </c>
      <c r="V359" t="s">
        <v>1131</v>
      </c>
      <c r="Z359">
        <v>110.84761279999999</v>
      </c>
      <c r="AA359">
        <v>-7.0151427999999996</v>
      </c>
      <c r="AB359" t="s">
        <v>1132</v>
      </c>
      <c r="AC359" t="s">
        <v>283</v>
      </c>
      <c r="AL359" t="s">
        <v>217</v>
      </c>
      <c r="AM359" t="s">
        <v>1133</v>
      </c>
      <c r="AN359" t="s">
        <v>6</v>
      </c>
      <c r="AO359" s="57">
        <v>46032.611296296294</v>
      </c>
      <c r="AP359" s="57">
        <v>46297.625</v>
      </c>
      <c r="AR359" t="s">
        <v>218</v>
      </c>
      <c r="AS359" t="s">
        <v>219</v>
      </c>
      <c r="AT359" t="s">
        <v>230</v>
      </c>
      <c r="AU359">
        <v>20261002</v>
      </c>
      <c r="AV359" t="s">
        <v>221</v>
      </c>
      <c r="AW359" t="s">
        <v>861</v>
      </c>
      <c r="AX359" t="s">
        <v>222</v>
      </c>
      <c r="BA359" s="57">
        <v>46297.625</v>
      </c>
      <c r="BB359" t="s">
        <v>1133</v>
      </c>
      <c r="BC359">
        <v>2026</v>
      </c>
      <c r="BD359">
        <v>10</v>
      </c>
      <c r="BE359">
        <v>2</v>
      </c>
      <c r="BF359" s="6">
        <f t="shared" si="15"/>
        <v>46297</v>
      </c>
      <c r="BG359">
        <f t="shared" si="16"/>
        <v>-0.625</v>
      </c>
      <c r="BH359" t="str">
        <f t="shared" si="17"/>
        <v>COMPLY</v>
      </c>
      <c r="BI359" t="e">
        <f>VLOOKUP(H359,Sheet2!$A$1:$B$270,2,FALSE)</f>
        <v>#N/A</v>
      </c>
    </row>
    <row r="360" spans="1:61">
      <c r="A360">
        <v>359</v>
      </c>
      <c r="B360">
        <v>1002618342</v>
      </c>
      <c r="C360">
        <v>3</v>
      </c>
      <c r="D360" t="s">
        <v>51</v>
      </c>
      <c r="E360">
        <v>4</v>
      </c>
      <c r="F360" t="s">
        <v>268</v>
      </c>
      <c r="G360" t="s">
        <v>545</v>
      </c>
      <c r="H360" t="s">
        <v>848</v>
      </c>
      <c r="I360" t="s">
        <v>212</v>
      </c>
      <c r="J360" t="s">
        <v>213</v>
      </c>
      <c r="K360" t="s">
        <v>149</v>
      </c>
      <c r="M360" t="s">
        <v>76</v>
      </c>
      <c r="N360" t="s">
        <v>215</v>
      </c>
      <c r="O360" s="57">
        <v>46296.643831018519</v>
      </c>
      <c r="P360" s="57">
        <v>46297.864270833335</v>
      </c>
      <c r="Q360">
        <v>69402518</v>
      </c>
      <c r="S360">
        <v>141568111742</v>
      </c>
      <c r="T360" t="s">
        <v>1124</v>
      </c>
      <c r="U360" t="s">
        <v>1125</v>
      </c>
      <c r="V360" t="s">
        <v>1126</v>
      </c>
      <c r="Z360">
        <v>111.0005197</v>
      </c>
      <c r="AA360">
        <v>-7.1935992000000004</v>
      </c>
      <c r="AB360" t="s">
        <v>1127</v>
      </c>
      <c r="AC360" t="s">
        <v>283</v>
      </c>
      <c r="AL360" t="s">
        <v>217</v>
      </c>
      <c r="AM360" t="s">
        <v>1128</v>
      </c>
      <c r="AN360" t="s">
        <v>6</v>
      </c>
      <c r="AO360" s="57">
        <v>46032.653252314813</v>
      </c>
      <c r="AP360" s="57">
        <v>46297.625</v>
      </c>
      <c r="AR360" t="s">
        <v>218</v>
      </c>
      <c r="AS360" t="s">
        <v>219</v>
      </c>
      <c r="AT360" t="s">
        <v>230</v>
      </c>
      <c r="AU360">
        <v>20261002</v>
      </c>
      <c r="AV360" t="s">
        <v>221</v>
      </c>
      <c r="AW360" t="s">
        <v>829</v>
      </c>
      <c r="AX360" t="s">
        <v>222</v>
      </c>
      <c r="BA360" s="57">
        <v>46297.625</v>
      </c>
      <c r="BB360" t="s">
        <v>1128</v>
      </c>
      <c r="BC360">
        <v>2026</v>
      </c>
      <c r="BD360">
        <v>10</v>
      </c>
      <c r="BE360">
        <v>2</v>
      </c>
      <c r="BF360" s="6">
        <f t="shared" si="15"/>
        <v>46297</v>
      </c>
      <c r="BG360">
        <f t="shared" si="16"/>
        <v>-0.625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1002627000</v>
      </c>
      <c r="C361">
        <v>3</v>
      </c>
      <c r="D361" t="s">
        <v>51</v>
      </c>
      <c r="E361">
        <v>4</v>
      </c>
      <c r="F361" t="s">
        <v>268</v>
      </c>
      <c r="G361" t="s">
        <v>545</v>
      </c>
      <c r="H361" t="s">
        <v>848</v>
      </c>
      <c r="I361" t="s">
        <v>212</v>
      </c>
      <c r="J361" t="s">
        <v>213</v>
      </c>
      <c r="K361" t="s">
        <v>149</v>
      </c>
      <c r="L361" t="s">
        <v>214</v>
      </c>
      <c r="M361" t="s">
        <v>238</v>
      </c>
      <c r="N361" t="s">
        <v>215</v>
      </c>
      <c r="O361" s="57">
        <v>46303.334803240738</v>
      </c>
      <c r="P361" s="57">
        <v>46303.336180555554</v>
      </c>
      <c r="Q361">
        <v>69406189</v>
      </c>
      <c r="S361">
        <v>141568111770</v>
      </c>
      <c r="T361" t="s">
        <v>4090</v>
      </c>
      <c r="U361" t="s">
        <v>4091</v>
      </c>
      <c r="V361" t="s">
        <v>4092</v>
      </c>
      <c r="Z361">
        <v>110.88242278590199</v>
      </c>
      <c r="AA361">
        <v>-7.0717729267824101</v>
      </c>
      <c r="AB361" t="s">
        <v>4093</v>
      </c>
      <c r="AC361" t="s">
        <v>235</v>
      </c>
      <c r="AL361" t="s">
        <v>217</v>
      </c>
      <c r="AM361" t="s">
        <v>4094</v>
      </c>
      <c r="AN361" t="s">
        <v>6</v>
      </c>
      <c r="AO361" s="57">
        <v>46244.351111111115</v>
      </c>
      <c r="AP361" s="57">
        <v>46304.333333333336</v>
      </c>
      <c r="AR361" t="s">
        <v>239</v>
      </c>
      <c r="AS361" t="s">
        <v>219</v>
      </c>
      <c r="AT361" t="s">
        <v>230</v>
      </c>
      <c r="AV361" t="s">
        <v>238</v>
      </c>
      <c r="AW361" t="s">
        <v>2905</v>
      </c>
      <c r="AX361" t="s">
        <v>222</v>
      </c>
      <c r="BA361" s="57">
        <v>46304.333333333336</v>
      </c>
      <c r="BB361" t="s">
        <v>4094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e">
        <f>VLOOKUP(H361,Sheet2!$A$1:$B$270,2,FALSE)</f>
        <v>#N/A</v>
      </c>
    </row>
    <row r="362" spans="1:61">
      <c r="A362">
        <v>361</v>
      </c>
      <c r="B362">
        <v>1002626559</v>
      </c>
      <c r="C362">
        <v>3</v>
      </c>
      <c r="D362" t="s">
        <v>51</v>
      </c>
      <c r="E362">
        <v>4</v>
      </c>
      <c r="F362" t="s">
        <v>268</v>
      </c>
      <c r="G362" t="s">
        <v>545</v>
      </c>
      <c r="H362" t="s">
        <v>848</v>
      </c>
      <c r="I362" t="s">
        <v>212</v>
      </c>
      <c r="J362" t="s">
        <v>213</v>
      </c>
      <c r="K362" t="s">
        <v>149</v>
      </c>
      <c r="M362" t="s">
        <v>538</v>
      </c>
      <c r="N362" t="s">
        <v>215</v>
      </c>
      <c r="O362" s="57">
        <v>46302.644062500003</v>
      </c>
      <c r="P362" s="57">
        <v>46303.349409722221</v>
      </c>
      <c r="Q362">
        <v>69406008</v>
      </c>
      <c r="S362">
        <v>141568111767</v>
      </c>
      <c r="T362" t="s">
        <v>4095</v>
      </c>
      <c r="U362" t="s">
        <v>4096</v>
      </c>
      <c r="Z362">
        <v>110.96966279999999</v>
      </c>
      <c r="AA362">
        <v>-7.1176503000000002</v>
      </c>
      <c r="AB362" t="s">
        <v>4097</v>
      </c>
      <c r="AC362" t="s">
        <v>283</v>
      </c>
      <c r="AO362" s="57">
        <v>46213.66333333333</v>
      </c>
      <c r="AR362" t="s">
        <v>6</v>
      </c>
      <c r="AS362" t="s">
        <v>219</v>
      </c>
      <c r="AT362" t="s">
        <v>230</v>
      </c>
      <c r="AV362" t="s">
        <v>4098</v>
      </c>
      <c r="AW362" t="s">
        <v>1987</v>
      </c>
      <c r="AX362" t="s">
        <v>222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:61">
      <c r="A363">
        <v>362</v>
      </c>
      <c r="B363">
        <v>1002620295</v>
      </c>
      <c r="C363">
        <v>3</v>
      </c>
      <c r="D363" t="s">
        <v>51</v>
      </c>
      <c r="E363">
        <v>4</v>
      </c>
      <c r="F363" t="s">
        <v>268</v>
      </c>
      <c r="G363" t="s">
        <v>545</v>
      </c>
      <c r="H363" t="s">
        <v>1997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46297.651087962964</v>
      </c>
      <c r="P363" s="57">
        <v>46299.666412037041</v>
      </c>
      <c r="Q363">
        <v>69403262</v>
      </c>
      <c r="S363">
        <v>142509107337</v>
      </c>
      <c r="T363" t="s">
        <v>1998</v>
      </c>
      <c r="U363" t="s">
        <v>1999</v>
      </c>
      <c r="V363" t="s">
        <v>2000</v>
      </c>
      <c r="Z363">
        <v>111.084547</v>
      </c>
      <c r="AA363">
        <v>-7.2547100000000002</v>
      </c>
      <c r="AB363" t="s">
        <v>2001</v>
      </c>
      <c r="AC363" t="s">
        <v>235</v>
      </c>
      <c r="AL363" t="s">
        <v>217</v>
      </c>
      <c r="AM363" t="s">
        <v>2002</v>
      </c>
      <c r="AN363" t="s">
        <v>6</v>
      </c>
      <c r="AO363" s="57">
        <v>46063.652951388889</v>
      </c>
      <c r="AP363" s="57">
        <v>46298.625</v>
      </c>
      <c r="AR363" t="s">
        <v>218</v>
      </c>
      <c r="AS363" t="s">
        <v>2003</v>
      </c>
      <c r="AT363" t="s">
        <v>230</v>
      </c>
      <c r="AU363">
        <v>20261004</v>
      </c>
      <c r="AV363" t="s">
        <v>221</v>
      </c>
      <c r="AW363" t="s">
        <v>875</v>
      </c>
      <c r="AX363" t="s">
        <v>222</v>
      </c>
      <c r="BA363" s="57">
        <v>46298.625</v>
      </c>
      <c r="BB363" t="s">
        <v>2002</v>
      </c>
      <c r="BC363">
        <v>2026</v>
      </c>
      <c r="BD363">
        <v>10</v>
      </c>
      <c r="BE363">
        <v>4</v>
      </c>
      <c r="BF363" s="6">
        <f t="shared" si="15"/>
        <v>46299</v>
      </c>
      <c r="BG363">
        <f t="shared" si="16"/>
        <v>0.375</v>
      </c>
      <c r="BH363" t="str">
        <f t="shared" si="17"/>
        <v>COMPLY</v>
      </c>
      <c r="BI363" t="e">
        <f>VLOOKUP(H363,Sheet2!$A$1:$B$270,2,FALSE)</f>
        <v>#N/A</v>
      </c>
    </row>
    <row r="364" spans="1:61">
      <c r="A364">
        <v>363</v>
      </c>
      <c r="B364">
        <v>1002617580</v>
      </c>
      <c r="C364">
        <v>3</v>
      </c>
      <c r="D364" t="s">
        <v>51</v>
      </c>
      <c r="E364">
        <v>4</v>
      </c>
      <c r="F364" t="s">
        <v>234</v>
      </c>
      <c r="G364" t="s">
        <v>847</v>
      </c>
      <c r="H364" t="s">
        <v>860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46296.474768518521</v>
      </c>
      <c r="P364" s="57">
        <v>46297.484537037039</v>
      </c>
      <c r="Q364">
        <v>69402265</v>
      </c>
      <c r="S364">
        <v>142565402250</v>
      </c>
      <c r="T364" t="s">
        <v>1134</v>
      </c>
      <c r="U364" t="s">
        <v>1135</v>
      </c>
      <c r="V364" t="s">
        <v>1136</v>
      </c>
      <c r="Z364">
        <v>111.1211766</v>
      </c>
      <c r="AA364">
        <v>-7.3640650999999897</v>
      </c>
      <c r="AB364" t="s">
        <v>1137</v>
      </c>
      <c r="AC364" t="s">
        <v>235</v>
      </c>
      <c r="AL364" t="s">
        <v>217</v>
      </c>
      <c r="AM364" t="s">
        <v>1138</v>
      </c>
      <c r="AN364" t="s">
        <v>6</v>
      </c>
      <c r="AO364" s="57">
        <v>46032.486342592594</v>
      </c>
      <c r="AP364" s="57">
        <v>46297.333333333336</v>
      </c>
      <c r="AR364" t="s">
        <v>218</v>
      </c>
      <c r="AS364" t="s">
        <v>219</v>
      </c>
      <c r="AT364" t="s">
        <v>230</v>
      </c>
      <c r="AU364">
        <v>20261002</v>
      </c>
      <c r="AV364" t="s">
        <v>221</v>
      </c>
      <c r="AW364" t="s">
        <v>876</v>
      </c>
      <c r="AX364" t="s">
        <v>222</v>
      </c>
      <c r="BA364" s="57">
        <v>46297.333333333336</v>
      </c>
      <c r="BB364" t="s">
        <v>1138</v>
      </c>
      <c r="BC364">
        <v>2026</v>
      </c>
      <c r="BD364">
        <v>10</v>
      </c>
      <c r="BE364">
        <v>2</v>
      </c>
      <c r="BF364" s="6">
        <f t="shared" si="15"/>
        <v>46297</v>
      </c>
      <c r="BG364">
        <f t="shared" si="16"/>
        <v>-0.33333333333575865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1002622270</v>
      </c>
      <c r="C365">
        <v>3</v>
      </c>
      <c r="D365" t="s">
        <v>51</v>
      </c>
      <c r="E365">
        <v>4</v>
      </c>
      <c r="F365" t="s">
        <v>234</v>
      </c>
      <c r="G365" t="s">
        <v>847</v>
      </c>
      <c r="H365" t="s">
        <v>860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46300.507407407407</v>
      </c>
      <c r="P365" s="57">
        <v>46302.452662037038</v>
      </c>
      <c r="Q365">
        <v>69404243</v>
      </c>
      <c r="S365">
        <v>142565401170</v>
      </c>
      <c r="T365" t="s">
        <v>2780</v>
      </c>
      <c r="U365" t="s">
        <v>2781</v>
      </c>
      <c r="V365" t="s">
        <v>2782</v>
      </c>
      <c r="Z365">
        <v>111.101056337356</v>
      </c>
      <c r="AA365">
        <v>-7.5255563355172796</v>
      </c>
      <c r="AB365" t="s">
        <v>2783</v>
      </c>
      <c r="AC365" t="s">
        <v>235</v>
      </c>
      <c r="AL365" t="s">
        <v>217</v>
      </c>
      <c r="AM365" t="s">
        <v>2784</v>
      </c>
      <c r="AN365" t="s">
        <v>6</v>
      </c>
      <c r="AO365" s="57">
        <v>46152.517627314817</v>
      </c>
      <c r="AP365" s="57">
        <v>46301.625</v>
      </c>
      <c r="AR365" t="s">
        <v>218</v>
      </c>
      <c r="AS365" t="s">
        <v>219</v>
      </c>
      <c r="AT365" t="s">
        <v>230</v>
      </c>
      <c r="AU365">
        <v>20261007</v>
      </c>
      <c r="AV365" t="s">
        <v>221</v>
      </c>
      <c r="AW365" t="s">
        <v>881</v>
      </c>
      <c r="AX365" t="s">
        <v>222</v>
      </c>
      <c r="BA365" s="57">
        <v>46301.625</v>
      </c>
      <c r="BB365" t="s">
        <v>2784</v>
      </c>
      <c r="BC365">
        <v>2026</v>
      </c>
      <c r="BD365">
        <v>10</v>
      </c>
      <c r="BE365">
        <v>7</v>
      </c>
      <c r="BF365" s="6">
        <f t="shared" si="15"/>
        <v>46302</v>
      </c>
      <c r="BG365">
        <f t="shared" si="16"/>
        <v>0.375</v>
      </c>
      <c r="BH365" t="str">
        <f t="shared" si="17"/>
        <v>COMPLY</v>
      </c>
      <c r="BI365" t="e">
        <f>VLOOKUP(H365,Sheet2!$A$1:$B$270,2,FALSE)</f>
        <v>#N/A</v>
      </c>
    </row>
    <row r="366" spans="1:61">
      <c r="A366">
        <v>365</v>
      </c>
      <c r="B366">
        <v>1002624473</v>
      </c>
      <c r="C366">
        <v>3</v>
      </c>
      <c r="D366" t="s">
        <v>51</v>
      </c>
      <c r="E366">
        <v>4</v>
      </c>
      <c r="F366" t="s">
        <v>234</v>
      </c>
      <c r="G366" t="s">
        <v>552</v>
      </c>
      <c r="H366" t="s">
        <v>3386</v>
      </c>
      <c r="I366" t="s">
        <v>212</v>
      </c>
      <c r="J366" t="s">
        <v>213</v>
      </c>
      <c r="K366" t="s">
        <v>149</v>
      </c>
      <c r="M366" t="s">
        <v>1619</v>
      </c>
      <c r="N366" t="s">
        <v>215</v>
      </c>
      <c r="O366" s="57">
        <v>46301.5859837963</v>
      </c>
      <c r="P366" s="57">
        <v>46302.781331018516</v>
      </c>
      <c r="Q366">
        <v>69405094</v>
      </c>
      <c r="S366">
        <v>142526106810</v>
      </c>
      <c r="T366" t="s">
        <v>3387</v>
      </c>
      <c r="U366" t="s">
        <v>3388</v>
      </c>
      <c r="Z366">
        <v>110.8630019</v>
      </c>
      <c r="AA366">
        <v>-7.5670392</v>
      </c>
      <c r="AB366" t="s">
        <v>3389</v>
      </c>
      <c r="AC366" t="s">
        <v>229</v>
      </c>
      <c r="AO366" s="57">
        <v>46183.601145833331</v>
      </c>
      <c r="AR366" t="s">
        <v>5</v>
      </c>
      <c r="AS366" t="s">
        <v>2026</v>
      </c>
      <c r="AT366" t="s">
        <v>230</v>
      </c>
      <c r="AV366" t="s">
        <v>4099</v>
      </c>
      <c r="AW366" t="s">
        <v>541</v>
      </c>
      <c r="AX366" t="s">
        <v>222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:61">
      <c r="A367">
        <v>366</v>
      </c>
      <c r="B367">
        <v>1002627119</v>
      </c>
      <c r="C367">
        <v>3</v>
      </c>
      <c r="D367" t="s">
        <v>51</v>
      </c>
      <c r="E367">
        <v>4</v>
      </c>
      <c r="F367" t="s">
        <v>234</v>
      </c>
      <c r="G367" t="s">
        <v>552</v>
      </c>
      <c r="H367" t="s">
        <v>3386</v>
      </c>
      <c r="I367" t="s">
        <v>212</v>
      </c>
      <c r="J367" t="s">
        <v>213</v>
      </c>
      <c r="K367" t="s">
        <v>149</v>
      </c>
      <c r="M367" t="s">
        <v>3149</v>
      </c>
      <c r="N367" t="s">
        <v>215</v>
      </c>
      <c r="O367" s="57">
        <v>46303.372060185182</v>
      </c>
      <c r="P367" s="57">
        <v>46303.373703703706</v>
      </c>
      <c r="Q367">
        <v>69406232</v>
      </c>
      <c r="S367">
        <v>142526106862</v>
      </c>
      <c r="T367" t="s">
        <v>4100</v>
      </c>
      <c r="U367" t="s">
        <v>4101</v>
      </c>
      <c r="Z367">
        <v>110.9100777</v>
      </c>
      <c r="AA367">
        <v>-7.5144758999999999</v>
      </c>
      <c r="AB367" t="s">
        <v>4102</v>
      </c>
      <c r="AC367" t="s">
        <v>284</v>
      </c>
      <c r="AO367" s="57">
        <v>46244.392905092594</v>
      </c>
      <c r="AR367" t="s">
        <v>325</v>
      </c>
      <c r="AS367" t="s">
        <v>2026</v>
      </c>
      <c r="AT367" t="s">
        <v>230</v>
      </c>
      <c r="AV367" t="s">
        <v>3150</v>
      </c>
      <c r="AW367" t="s">
        <v>541</v>
      </c>
      <c r="AX367" t="s">
        <v>222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:61">
      <c r="A368">
        <v>367</v>
      </c>
      <c r="B368">
        <v>1002621095</v>
      </c>
      <c r="C368">
        <v>3</v>
      </c>
      <c r="D368" t="s">
        <v>51</v>
      </c>
      <c r="E368">
        <v>4</v>
      </c>
      <c r="F368" t="s">
        <v>234</v>
      </c>
      <c r="G368" t="s">
        <v>847</v>
      </c>
      <c r="H368" t="s">
        <v>2004</v>
      </c>
      <c r="I368" t="s">
        <v>212</v>
      </c>
      <c r="J368" t="s">
        <v>213</v>
      </c>
      <c r="K368" t="s">
        <v>149</v>
      </c>
      <c r="M368" t="s">
        <v>76</v>
      </c>
      <c r="N368" t="s">
        <v>215</v>
      </c>
      <c r="O368" s="57">
        <v>46298.66070601852</v>
      </c>
      <c r="P368" s="57">
        <v>46299.477847222224</v>
      </c>
      <c r="Q368">
        <v>69403697</v>
      </c>
      <c r="S368">
        <v>142522107238</v>
      </c>
      <c r="T368" t="s">
        <v>2005</v>
      </c>
      <c r="U368" t="s">
        <v>2006</v>
      </c>
      <c r="V368" t="s">
        <v>2007</v>
      </c>
      <c r="Z368">
        <v>111.10284299999999</v>
      </c>
      <c r="AA368">
        <v>-7.6372296999999998</v>
      </c>
      <c r="AB368" t="s">
        <v>2008</v>
      </c>
      <c r="AC368" t="s">
        <v>229</v>
      </c>
      <c r="AL368" t="s">
        <v>217</v>
      </c>
      <c r="AM368" t="s">
        <v>2009</v>
      </c>
      <c r="AN368" t="s">
        <v>6</v>
      </c>
      <c r="AO368" s="57">
        <v>46091.663622685184</v>
      </c>
      <c r="AP368" s="57">
        <v>46300.333333333336</v>
      </c>
      <c r="AR368" t="s">
        <v>218</v>
      </c>
      <c r="AS368" t="s">
        <v>2010</v>
      </c>
      <c r="AT368" t="s">
        <v>230</v>
      </c>
      <c r="AU368">
        <v>20261004</v>
      </c>
      <c r="AV368" t="s">
        <v>221</v>
      </c>
      <c r="AW368" t="s">
        <v>539</v>
      </c>
      <c r="AX368" t="s">
        <v>222</v>
      </c>
      <c r="BA368" s="57">
        <v>46300.333333333336</v>
      </c>
      <c r="BB368" t="s">
        <v>2009</v>
      </c>
      <c r="BC368">
        <v>2026</v>
      </c>
      <c r="BD368">
        <v>10</v>
      </c>
      <c r="BE368">
        <v>4</v>
      </c>
      <c r="BF368" s="6">
        <f t="shared" si="15"/>
        <v>46299</v>
      </c>
      <c r="BG368">
        <f t="shared" si="16"/>
        <v>-1.3333333333357587</v>
      </c>
      <c r="BH368" t="str">
        <f t="shared" si="17"/>
        <v>COMPLY</v>
      </c>
      <c r="BI368" t="e">
        <f>VLOOKUP(H368,Sheet2!$A$1:$B$270,2,FALSE)</f>
        <v>#N/A</v>
      </c>
    </row>
    <row r="369" spans="1:61">
      <c r="A369">
        <v>368</v>
      </c>
      <c r="B369">
        <v>1002619657</v>
      </c>
      <c r="C369">
        <v>3</v>
      </c>
      <c r="D369" t="s">
        <v>51</v>
      </c>
      <c r="E369">
        <v>4</v>
      </c>
      <c r="F369" t="s">
        <v>234</v>
      </c>
      <c r="G369" t="s">
        <v>552</v>
      </c>
      <c r="H369" t="s">
        <v>2011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46297.518506944441</v>
      </c>
      <c r="P369" s="57">
        <v>46299.345601851855</v>
      </c>
      <c r="Q369">
        <v>69403018</v>
      </c>
      <c r="S369">
        <v>146514602781</v>
      </c>
      <c r="T369" t="s">
        <v>2012</v>
      </c>
      <c r="U369" t="s">
        <v>2013</v>
      </c>
      <c r="V369" t="s">
        <v>2014</v>
      </c>
      <c r="Z369">
        <v>110.86068899999999</v>
      </c>
      <c r="AA369">
        <v>-7.5532440000000003</v>
      </c>
      <c r="AB369" t="s">
        <v>2015</v>
      </c>
      <c r="AC369" t="s">
        <v>235</v>
      </c>
      <c r="AL369" t="s">
        <v>217</v>
      </c>
      <c r="AM369" t="s">
        <v>2016</v>
      </c>
      <c r="AN369" t="s">
        <v>6</v>
      </c>
      <c r="AO369" s="57">
        <v>46063.538553240738</v>
      </c>
      <c r="AP369" s="57">
        <v>46298.458333333336</v>
      </c>
      <c r="AR369" t="s">
        <v>218</v>
      </c>
      <c r="AS369" t="s">
        <v>219</v>
      </c>
      <c r="AT369" t="s">
        <v>230</v>
      </c>
      <c r="AU369">
        <v>20261004</v>
      </c>
      <c r="AV369" t="s">
        <v>221</v>
      </c>
      <c r="AW369" t="s">
        <v>880</v>
      </c>
      <c r="AX369" t="s">
        <v>222</v>
      </c>
      <c r="BA369" s="57">
        <v>46298.458333333336</v>
      </c>
      <c r="BB369" t="s">
        <v>2016</v>
      </c>
      <c r="BC369">
        <v>2026</v>
      </c>
      <c r="BD369">
        <v>10</v>
      </c>
      <c r="BE369">
        <v>4</v>
      </c>
      <c r="BF369" s="6">
        <f t="shared" si="15"/>
        <v>46299</v>
      </c>
      <c r="BG369">
        <f t="shared" si="16"/>
        <v>0.54166666666424135</v>
      </c>
      <c r="BH369" t="str">
        <f t="shared" si="17"/>
        <v>COMPLY</v>
      </c>
      <c r="BI369" t="e">
        <f>VLOOKUP(H369,Sheet2!$A$1:$B$270,2,FALSE)</f>
        <v>#N/A</v>
      </c>
    </row>
    <row r="370" spans="1:61">
      <c r="A370">
        <v>369</v>
      </c>
      <c r="B370">
        <v>1002620709</v>
      </c>
      <c r="C370">
        <v>3</v>
      </c>
      <c r="D370" t="s">
        <v>51</v>
      </c>
      <c r="E370">
        <v>4</v>
      </c>
      <c r="F370" t="s">
        <v>234</v>
      </c>
      <c r="G370" t="s">
        <v>552</v>
      </c>
      <c r="H370" t="s">
        <v>2011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46298.316377314812</v>
      </c>
      <c r="P370" s="57">
        <v>46298.510625000003</v>
      </c>
      <c r="Q370">
        <v>69403424</v>
      </c>
      <c r="S370">
        <v>146514602884</v>
      </c>
      <c r="T370" t="s">
        <v>2017</v>
      </c>
      <c r="U370" t="s">
        <v>2018</v>
      </c>
      <c r="V370" t="s">
        <v>2019</v>
      </c>
      <c r="Z370">
        <v>110.854884</v>
      </c>
      <c r="AA370">
        <v>-7.553229</v>
      </c>
      <c r="AB370" t="s">
        <v>2020</v>
      </c>
      <c r="AC370" t="s">
        <v>235</v>
      </c>
      <c r="AL370" t="s">
        <v>217</v>
      </c>
      <c r="AM370" t="s">
        <v>1406</v>
      </c>
      <c r="AN370" t="s">
        <v>6</v>
      </c>
      <c r="AO370" s="57">
        <v>46091.319432870368</v>
      </c>
      <c r="AP370" s="57">
        <v>46299.333333333336</v>
      </c>
      <c r="AR370" t="s">
        <v>218</v>
      </c>
      <c r="AS370" t="s">
        <v>219</v>
      </c>
      <c r="AT370" t="s">
        <v>230</v>
      </c>
      <c r="AU370">
        <v>20261003</v>
      </c>
      <c r="AV370" t="s">
        <v>221</v>
      </c>
      <c r="AW370" t="s">
        <v>880</v>
      </c>
      <c r="AX370" t="s">
        <v>222</v>
      </c>
      <c r="BA370" s="57">
        <v>46299.333333333336</v>
      </c>
      <c r="BB370" t="s">
        <v>1406</v>
      </c>
      <c r="BC370">
        <v>2026</v>
      </c>
      <c r="BD370">
        <v>10</v>
      </c>
      <c r="BE370">
        <v>3</v>
      </c>
      <c r="BF370" s="6">
        <f t="shared" si="15"/>
        <v>46298</v>
      </c>
      <c r="BG370">
        <f t="shared" si="16"/>
        <v>-1.3333333333357587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1002621260</v>
      </c>
      <c r="C371">
        <v>3</v>
      </c>
      <c r="D371" t="s">
        <v>51</v>
      </c>
      <c r="E371">
        <v>4</v>
      </c>
      <c r="F371" t="s">
        <v>234</v>
      </c>
      <c r="G371" t="s">
        <v>552</v>
      </c>
      <c r="H371" t="s">
        <v>568</v>
      </c>
      <c r="I371" t="s">
        <v>212</v>
      </c>
      <c r="J371" t="s">
        <v>213</v>
      </c>
      <c r="K371" t="s">
        <v>149</v>
      </c>
      <c r="L371" t="s">
        <v>214</v>
      </c>
      <c r="M371" t="s">
        <v>224</v>
      </c>
      <c r="N371" t="s">
        <v>215</v>
      </c>
      <c r="O371" s="57">
        <v>46299.389293981483</v>
      </c>
      <c r="P371" s="57">
        <v>46300.34270833333</v>
      </c>
      <c r="Q371">
        <v>69403811</v>
      </c>
      <c r="S371">
        <v>142505403747</v>
      </c>
      <c r="T371" t="s">
        <v>2021</v>
      </c>
      <c r="U371" t="s">
        <v>2022</v>
      </c>
      <c r="V371" t="s">
        <v>2023</v>
      </c>
      <c r="Z371">
        <v>110.78072280000001</v>
      </c>
      <c r="AA371">
        <v>-7.5764433000000002</v>
      </c>
      <c r="AB371" t="s">
        <v>2024</v>
      </c>
      <c r="AC371" t="s">
        <v>235</v>
      </c>
      <c r="AL371" t="s">
        <v>217</v>
      </c>
      <c r="AM371" t="s">
        <v>2025</v>
      </c>
      <c r="AN371" t="s">
        <v>6</v>
      </c>
      <c r="AO371" s="57">
        <v>46122.392488425925</v>
      </c>
      <c r="AP371" s="57">
        <v>46300.333333333336</v>
      </c>
      <c r="AR371" t="s">
        <v>18</v>
      </c>
      <c r="AS371" t="s">
        <v>219</v>
      </c>
      <c r="AT371" t="s">
        <v>230</v>
      </c>
      <c r="AV371" t="s">
        <v>226</v>
      </c>
      <c r="AW371" t="s">
        <v>880</v>
      </c>
      <c r="AX371" t="s">
        <v>222</v>
      </c>
      <c r="BA371" s="57">
        <v>46300.333333333336</v>
      </c>
      <c r="BB371" t="s">
        <v>2025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:61">
      <c r="A372">
        <v>371</v>
      </c>
      <c r="B372">
        <v>1002624452</v>
      </c>
      <c r="C372">
        <v>3</v>
      </c>
      <c r="D372" t="s">
        <v>51</v>
      </c>
      <c r="E372">
        <v>4</v>
      </c>
      <c r="F372" t="s">
        <v>234</v>
      </c>
      <c r="G372" t="s">
        <v>552</v>
      </c>
      <c r="H372" t="s">
        <v>568</v>
      </c>
      <c r="I372" t="s">
        <v>212</v>
      </c>
      <c r="J372" t="s">
        <v>213</v>
      </c>
      <c r="K372" t="s">
        <v>149</v>
      </c>
      <c r="M372" t="s">
        <v>839</v>
      </c>
      <c r="N372" t="s">
        <v>215</v>
      </c>
      <c r="O372" s="57">
        <v>46301.583541666667</v>
      </c>
      <c r="P372" s="57">
        <v>46302.717013888891</v>
      </c>
      <c r="Q372">
        <v>69405089</v>
      </c>
      <c r="S372">
        <v>142505402851</v>
      </c>
      <c r="T372" t="s">
        <v>3390</v>
      </c>
      <c r="U372" t="s">
        <v>3391</v>
      </c>
      <c r="V372" t="s">
        <v>3392</v>
      </c>
      <c r="Z372">
        <v>110.8203177</v>
      </c>
      <c r="AA372">
        <v>-7.5451522999999998</v>
      </c>
      <c r="AB372" t="s">
        <v>3393</v>
      </c>
      <c r="AC372" t="s">
        <v>225</v>
      </c>
      <c r="AL372" t="s">
        <v>217</v>
      </c>
      <c r="AM372" t="s">
        <v>3394</v>
      </c>
      <c r="AN372" t="s">
        <v>6</v>
      </c>
      <c r="AO372" s="57">
        <v>46183.601145833331</v>
      </c>
      <c r="AP372" s="57">
        <v>46302.458333333336</v>
      </c>
      <c r="AQ372" t="s">
        <v>841</v>
      </c>
      <c r="AR372" t="s">
        <v>840</v>
      </c>
      <c r="AS372" t="s">
        <v>219</v>
      </c>
      <c r="AT372" t="s">
        <v>230</v>
      </c>
      <c r="AV372" t="s">
        <v>4103</v>
      </c>
      <c r="AW372" t="s">
        <v>1572</v>
      </c>
      <c r="AX372" t="s">
        <v>222</v>
      </c>
      <c r="BA372" s="57">
        <v>46302.458333333336</v>
      </c>
      <c r="BB372" t="s">
        <v>3394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:61">
      <c r="A373">
        <v>372</v>
      </c>
      <c r="B373">
        <v>1002624136</v>
      </c>
      <c r="C373">
        <v>3</v>
      </c>
      <c r="D373" t="s">
        <v>51</v>
      </c>
      <c r="E373">
        <v>4</v>
      </c>
      <c r="F373" t="s">
        <v>234</v>
      </c>
      <c r="G373" t="s">
        <v>552</v>
      </c>
      <c r="H373" t="s">
        <v>568</v>
      </c>
      <c r="I373" t="s">
        <v>212</v>
      </c>
      <c r="J373" t="s">
        <v>213</v>
      </c>
      <c r="K373" t="s">
        <v>149</v>
      </c>
      <c r="L373" t="s">
        <v>214</v>
      </c>
      <c r="M373" t="s">
        <v>839</v>
      </c>
      <c r="N373" t="s">
        <v>215</v>
      </c>
      <c r="O373" s="57">
        <v>46301.507337962961</v>
      </c>
      <c r="P373" s="57">
        <v>46302.705243055556</v>
      </c>
      <c r="Q373">
        <v>69404963</v>
      </c>
      <c r="S373">
        <v>142505402849</v>
      </c>
      <c r="T373" t="s">
        <v>3395</v>
      </c>
      <c r="U373" t="s">
        <v>3396</v>
      </c>
      <c r="V373" t="s">
        <v>3397</v>
      </c>
      <c r="Z373">
        <v>110.785877</v>
      </c>
      <c r="AA373">
        <v>-7.5340049999999996</v>
      </c>
      <c r="AB373" t="s">
        <v>3398</v>
      </c>
      <c r="AC373" t="s">
        <v>235</v>
      </c>
      <c r="AL373" t="s">
        <v>217</v>
      </c>
      <c r="AM373" t="s">
        <v>3399</v>
      </c>
      <c r="AN373" t="s">
        <v>6</v>
      </c>
      <c r="AO373" s="57">
        <v>46183.517812500002</v>
      </c>
      <c r="AP373" s="57">
        <v>46302.458333333336</v>
      </c>
      <c r="AQ373" t="s">
        <v>838</v>
      </c>
      <c r="AR373" t="s">
        <v>840</v>
      </c>
      <c r="AS373" t="s">
        <v>219</v>
      </c>
      <c r="AT373" t="s">
        <v>230</v>
      </c>
      <c r="AV373" t="s">
        <v>4104</v>
      </c>
      <c r="AW373" t="s">
        <v>1853</v>
      </c>
      <c r="AX373" t="s">
        <v>222</v>
      </c>
      <c r="BA373" s="57">
        <v>46302.458333333336</v>
      </c>
      <c r="BB373" t="s">
        <v>3399</v>
      </c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:61">
      <c r="A374">
        <v>373</v>
      </c>
      <c r="B374">
        <v>1002624187</v>
      </c>
      <c r="C374">
        <v>3</v>
      </c>
      <c r="D374" t="s">
        <v>51</v>
      </c>
      <c r="E374">
        <v>4</v>
      </c>
      <c r="F374" t="s">
        <v>234</v>
      </c>
      <c r="G374" t="s">
        <v>552</v>
      </c>
      <c r="H374" t="s">
        <v>568</v>
      </c>
      <c r="I374" t="s">
        <v>212</v>
      </c>
      <c r="J374" t="s">
        <v>213</v>
      </c>
      <c r="K374" t="s">
        <v>149</v>
      </c>
      <c r="L374" t="s">
        <v>214</v>
      </c>
      <c r="M374" t="s">
        <v>839</v>
      </c>
      <c r="N374" t="s">
        <v>215</v>
      </c>
      <c r="O374" s="57">
        <v>46301.528182870374</v>
      </c>
      <c r="P374" s="57">
        <v>46301.61378472222</v>
      </c>
      <c r="Q374">
        <v>69405006</v>
      </c>
      <c r="S374">
        <v>142505402850</v>
      </c>
      <c r="T374" t="s">
        <v>3400</v>
      </c>
      <c r="U374" t="s">
        <v>3401</v>
      </c>
      <c r="V374" t="s">
        <v>3402</v>
      </c>
      <c r="Z374">
        <v>110.8202922</v>
      </c>
      <c r="AA374">
        <v>-7.5436565</v>
      </c>
      <c r="AB374" t="s">
        <v>3403</v>
      </c>
      <c r="AC374" t="s">
        <v>235</v>
      </c>
      <c r="AL374" t="s">
        <v>217</v>
      </c>
      <c r="AM374" t="s">
        <v>3404</v>
      </c>
      <c r="AN374" t="s">
        <v>6</v>
      </c>
      <c r="AO374" s="57">
        <v>46183.559259259258</v>
      </c>
      <c r="AP374" s="57">
        <v>46302.458333333336</v>
      </c>
      <c r="AQ374" t="s">
        <v>841</v>
      </c>
      <c r="AR374" t="s">
        <v>840</v>
      </c>
      <c r="AS374" t="s">
        <v>219</v>
      </c>
      <c r="AT374" t="s">
        <v>230</v>
      </c>
      <c r="AV374" t="s">
        <v>3405</v>
      </c>
      <c r="AW374" t="s">
        <v>877</v>
      </c>
      <c r="AX374" t="s">
        <v>222</v>
      </c>
      <c r="BA374" s="57">
        <v>46302.458333333336</v>
      </c>
      <c r="BB374" t="s">
        <v>3404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e">
        <f>VLOOKUP(H374,Sheet2!$A$1:$B$270,2,FALSE)</f>
        <v>#N/A</v>
      </c>
    </row>
    <row r="375" spans="1:61">
      <c r="A375">
        <v>374</v>
      </c>
      <c r="B375">
        <v>1002617694</v>
      </c>
      <c r="C375">
        <v>3</v>
      </c>
      <c r="D375" t="s">
        <v>51</v>
      </c>
      <c r="E375">
        <v>4</v>
      </c>
      <c r="F375" t="s">
        <v>234</v>
      </c>
      <c r="G375" t="s">
        <v>552</v>
      </c>
      <c r="H375" t="s">
        <v>568</v>
      </c>
      <c r="I375" t="s">
        <v>212</v>
      </c>
      <c r="J375" t="s">
        <v>213</v>
      </c>
      <c r="K375" t="s">
        <v>149</v>
      </c>
      <c r="L375" t="s">
        <v>826</v>
      </c>
      <c r="M375" t="s">
        <v>76</v>
      </c>
      <c r="N375" t="s">
        <v>215</v>
      </c>
      <c r="O375" s="57">
        <v>46296.503935185188</v>
      </c>
      <c r="P375" s="57">
        <v>46296.750034722223</v>
      </c>
      <c r="Q375">
        <v>69402263</v>
      </c>
      <c r="R375">
        <v>2716010314</v>
      </c>
      <c r="S375">
        <v>142505404560</v>
      </c>
      <c r="T375" t="s">
        <v>1139</v>
      </c>
      <c r="U375" t="s">
        <v>1140</v>
      </c>
      <c r="V375" t="s">
        <v>1144</v>
      </c>
      <c r="Z375">
        <v>110.762888789903</v>
      </c>
      <c r="AA375">
        <v>-7.5396775316492004</v>
      </c>
      <c r="AB375" t="s">
        <v>1145</v>
      </c>
      <c r="AC375" t="s">
        <v>235</v>
      </c>
      <c r="AL375" t="s">
        <v>217</v>
      </c>
      <c r="AM375" t="s">
        <v>1146</v>
      </c>
      <c r="AN375" t="s">
        <v>6</v>
      </c>
      <c r="AO375" s="57">
        <v>46032.517557870371</v>
      </c>
      <c r="AP375" s="57">
        <v>46297.458333333336</v>
      </c>
      <c r="AR375" t="s">
        <v>218</v>
      </c>
      <c r="AS375" t="s">
        <v>219</v>
      </c>
      <c r="AT375" t="s">
        <v>230</v>
      </c>
      <c r="AU375">
        <v>20261001</v>
      </c>
      <c r="AV375" t="s">
        <v>221</v>
      </c>
      <c r="AW375" t="s">
        <v>858</v>
      </c>
      <c r="AX375" t="s">
        <v>222</v>
      </c>
      <c r="BA375" s="57">
        <v>46297.458333333336</v>
      </c>
      <c r="BB375" t="s">
        <v>1146</v>
      </c>
      <c r="BC375">
        <v>2026</v>
      </c>
      <c r="BD375">
        <v>10</v>
      </c>
      <c r="BE375">
        <v>1</v>
      </c>
      <c r="BF375" s="6">
        <f t="shared" si="15"/>
        <v>46296</v>
      </c>
      <c r="BG375">
        <f t="shared" si="16"/>
        <v>-1.4583333333357587</v>
      </c>
      <c r="BH375" t="str">
        <f t="shared" si="17"/>
        <v>COMPLY</v>
      </c>
      <c r="BI375" t="e">
        <f>VLOOKUP(H375,Sheet2!$A$1:$B$270,2,FALSE)</f>
        <v>#N/A</v>
      </c>
    </row>
    <row r="376" spans="1:61">
      <c r="A376">
        <v>375</v>
      </c>
      <c r="B376">
        <v>1002617638</v>
      </c>
      <c r="C376">
        <v>3</v>
      </c>
      <c r="D376" t="s">
        <v>51</v>
      </c>
      <c r="E376">
        <v>4</v>
      </c>
      <c r="F376" t="s">
        <v>234</v>
      </c>
      <c r="G376" t="s">
        <v>552</v>
      </c>
      <c r="H376" t="s">
        <v>568</v>
      </c>
      <c r="I376" t="s">
        <v>212</v>
      </c>
      <c r="J376" t="s">
        <v>213</v>
      </c>
      <c r="K376" t="s">
        <v>149</v>
      </c>
      <c r="L376" t="s">
        <v>826</v>
      </c>
      <c r="M376" t="s">
        <v>1921</v>
      </c>
      <c r="N376" t="s">
        <v>215</v>
      </c>
      <c r="O376" s="57">
        <v>46296.486574074072</v>
      </c>
      <c r="P376" s="57">
        <v>46300.570370370369</v>
      </c>
      <c r="Q376">
        <v>69402275</v>
      </c>
      <c r="R376">
        <v>2716011842</v>
      </c>
      <c r="S376">
        <v>142505404559</v>
      </c>
      <c r="T376" t="s">
        <v>1139</v>
      </c>
      <c r="U376" t="s">
        <v>1140</v>
      </c>
      <c r="V376" t="s">
        <v>1141</v>
      </c>
      <c r="Z376">
        <v>110.762864306951</v>
      </c>
      <c r="AA376">
        <v>-7.5397335047301803</v>
      </c>
      <c r="AB376" t="s">
        <v>1142</v>
      </c>
      <c r="AC376" t="s">
        <v>235</v>
      </c>
      <c r="AL376" t="s">
        <v>217</v>
      </c>
      <c r="AM376" t="s">
        <v>1143</v>
      </c>
      <c r="AN376" t="s">
        <v>6</v>
      </c>
      <c r="AO376" s="57">
        <v>46032.517557870371</v>
      </c>
      <c r="AP376" s="57">
        <v>46297.333333333336</v>
      </c>
      <c r="AQ376" t="s">
        <v>841</v>
      </c>
      <c r="AR376" t="s">
        <v>12</v>
      </c>
      <c r="AS376" t="s">
        <v>219</v>
      </c>
      <c r="AT376" t="s">
        <v>230</v>
      </c>
      <c r="AV376" t="s">
        <v>1628</v>
      </c>
      <c r="AW376" t="s">
        <v>858</v>
      </c>
      <c r="AX376" t="s">
        <v>222</v>
      </c>
      <c r="BA376" s="57">
        <v>46297.333333333336</v>
      </c>
      <c r="BB376" t="s">
        <v>1143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:61">
      <c r="A377">
        <v>376</v>
      </c>
      <c r="B377">
        <v>1002625665</v>
      </c>
      <c r="C377">
        <v>3</v>
      </c>
      <c r="D377" t="s">
        <v>51</v>
      </c>
      <c r="E377">
        <v>4</v>
      </c>
      <c r="F377" t="s">
        <v>234</v>
      </c>
      <c r="G377" t="s">
        <v>552</v>
      </c>
      <c r="H377" t="s">
        <v>4105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46302.443506944444</v>
      </c>
      <c r="P377" s="57">
        <v>46302.718738425923</v>
      </c>
      <c r="Q377">
        <v>69405608</v>
      </c>
      <c r="S377">
        <v>142566103201</v>
      </c>
      <c r="T377" t="s">
        <v>4106</v>
      </c>
      <c r="U377" t="s">
        <v>4107</v>
      </c>
      <c r="V377" t="s">
        <v>4108</v>
      </c>
      <c r="Z377">
        <v>110.84105026019201</v>
      </c>
      <c r="AA377">
        <v>-7.5486086549801499</v>
      </c>
      <c r="AB377" t="s">
        <v>4109</v>
      </c>
      <c r="AC377" t="s">
        <v>2481</v>
      </c>
      <c r="AL377" t="s">
        <v>217</v>
      </c>
      <c r="AM377" t="s">
        <v>4074</v>
      </c>
      <c r="AN377" t="s">
        <v>6</v>
      </c>
      <c r="AO377" s="57">
        <v>46213.444687499999</v>
      </c>
      <c r="AP377" s="57">
        <v>46303.458333333336</v>
      </c>
      <c r="AR377" t="s">
        <v>218</v>
      </c>
      <c r="AS377" t="s">
        <v>2026</v>
      </c>
      <c r="AT377" t="s">
        <v>230</v>
      </c>
      <c r="AU377">
        <v>20261007</v>
      </c>
      <c r="AV377" t="s">
        <v>221</v>
      </c>
      <c r="AW377" t="s">
        <v>880</v>
      </c>
      <c r="AX377" t="s">
        <v>222</v>
      </c>
      <c r="BA377" s="57">
        <v>46303.458333333336</v>
      </c>
      <c r="BB377" t="s">
        <v>4074</v>
      </c>
      <c r="BC377">
        <v>2026</v>
      </c>
      <c r="BD377">
        <v>10</v>
      </c>
      <c r="BE377">
        <v>7</v>
      </c>
      <c r="BF377" s="6">
        <f t="shared" si="15"/>
        <v>46302</v>
      </c>
      <c r="BG377">
        <f t="shared" si="16"/>
        <v>-1.4583333333357587</v>
      </c>
      <c r="BH377" t="str">
        <f t="shared" si="17"/>
        <v>COMPLY</v>
      </c>
      <c r="BI377" t="e">
        <f>VLOOKUP(H377,Sheet2!$A$1:$B$270,2,FALSE)</f>
        <v>#N/A</v>
      </c>
    </row>
    <row r="378" spans="1:61">
      <c r="A378">
        <v>377</v>
      </c>
      <c r="B378">
        <v>1002626895</v>
      </c>
      <c r="C378">
        <v>3</v>
      </c>
      <c r="D378" t="s">
        <v>51</v>
      </c>
      <c r="E378">
        <v>4</v>
      </c>
      <c r="F378" t="s">
        <v>234</v>
      </c>
      <c r="G378" t="s">
        <v>552</v>
      </c>
      <c r="H378" t="s">
        <v>4105</v>
      </c>
      <c r="I378" t="s">
        <v>212</v>
      </c>
      <c r="J378" t="s">
        <v>213</v>
      </c>
      <c r="K378" t="s">
        <v>149</v>
      </c>
      <c r="L378" t="s">
        <v>214</v>
      </c>
      <c r="M378" t="s">
        <v>238</v>
      </c>
      <c r="N378" t="s">
        <v>215</v>
      </c>
      <c r="O378" s="57">
        <v>46302.743530092594</v>
      </c>
      <c r="P378" s="57">
        <v>46302.744456018518</v>
      </c>
      <c r="Q378">
        <v>69406121</v>
      </c>
      <c r="S378">
        <v>142566103205</v>
      </c>
      <c r="T378" t="s">
        <v>4110</v>
      </c>
      <c r="U378" t="s">
        <v>4111</v>
      </c>
      <c r="V378" t="s">
        <v>4112</v>
      </c>
      <c r="Z378">
        <v>110.819649</v>
      </c>
      <c r="AA378">
        <v>-7.5182690000000001</v>
      </c>
      <c r="AB378" t="s">
        <v>4113</v>
      </c>
      <c r="AC378" t="s">
        <v>235</v>
      </c>
      <c r="AL378" t="s">
        <v>217</v>
      </c>
      <c r="AM378" t="s">
        <v>4114</v>
      </c>
      <c r="AN378" t="s">
        <v>6</v>
      </c>
      <c r="AO378" s="57">
        <v>46213.746666666666</v>
      </c>
      <c r="AP378" s="57">
        <v>46304.333333333336</v>
      </c>
      <c r="AR378" t="s">
        <v>239</v>
      </c>
      <c r="AS378" t="s">
        <v>2026</v>
      </c>
      <c r="AT378" t="s">
        <v>230</v>
      </c>
      <c r="AV378" t="s">
        <v>238</v>
      </c>
      <c r="AW378" t="s">
        <v>879</v>
      </c>
      <c r="AX378" t="s">
        <v>222</v>
      </c>
      <c r="BA378" s="57">
        <v>46304.333333333336</v>
      </c>
      <c r="BB378" t="s">
        <v>4114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:61">
      <c r="A379">
        <v>378</v>
      </c>
      <c r="B379">
        <v>1002626809</v>
      </c>
      <c r="C379">
        <v>3</v>
      </c>
      <c r="D379" t="s">
        <v>51</v>
      </c>
      <c r="E379">
        <v>4</v>
      </c>
      <c r="F379" t="s">
        <v>234</v>
      </c>
      <c r="G379" t="s">
        <v>552</v>
      </c>
      <c r="H379" t="s">
        <v>4105</v>
      </c>
      <c r="I379" t="s">
        <v>212</v>
      </c>
      <c r="J379" t="s">
        <v>213</v>
      </c>
      <c r="K379" t="s">
        <v>149</v>
      </c>
      <c r="M379" t="s">
        <v>238</v>
      </c>
      <c r="N379" t="s">
        <v>215</v>
      </c>
      <c r="O379" s="57">
        <v>46302.700879629629</v>
      </c>
      <c r="P379" s="57">
        <v>46302.772233796299</v>
      </c>
      <c r="Q379">
        <v>69406092</v>
      </c>
      <c r="S379">
        <v>142566103204</v>
      </c>
      <c r="T379" t="s">
        <v>4115</v>
      </c>
      <c r="U379" t="s">
        <v>4116</v>
      </c>
      <c r="V379" t="s">
        <v>4117</v>
      </c>
      <c r="Z379">
        <v>107.43881703891699</v>
      </c>
      <c r="AA379">
        <v>-5.8624016044081904</v>
      </c>
      <c r="AB379" t="s">
        <v>4118</v>
      </c>
      <c r="AC379" t="s">
        <v>225</v>
      </c>
      <c r="AL379" t="s">
        <v>217</v>
      </c>
      <c r="AM379" t="s">
        <v>4119</v>
      </c>
      <c r="AN379" t="s">
        <v>6</v>
      </c>
      <c r="AO379" s="57">
        <v>46213.736238425925</v>
      </c>
      <c r="AP379" s="57">
        <v>46304.333333333336</v>
      </c>
      <c r="AR379" t="s">
        <v>239</v>
      </c>
      <c r="AS379" t="s">
        <v>2026</v>
      </c>
      <c r="AT379" t="s">
        <v>230</v>
      </c>
      <c r="AV379" t="s">
        <v>238</v>
      </c>
      <c r="AW379" t="s">
        <v>540</v>
      </c>
      <c r="AX379" t="s">
        <v>222</v>
      </c>
      <c r="BA379" s="57">
        <v>46304.333333333336</v>
      </c>
      <c r="BB379" t="s">
        <v>4119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:61">
      <c r="A380">
        <v>379</v>
      </c>
      <c r="B380">
        <v>1002617973</v>
      </c>
      <c r="C380">
        <v>3</v>
      </c>
      <c r="D380" t="s">
        <v>51</v>
      </c>
      <c r="E380">
        <v>4</v>
      </c>
      <c r="F380" t="s">
        <v>234</v>
      </c>
      <c r="G380" t="s">
        <v>863</v>
      </c>
      <c r="H380" t="s">
        <v>887</v>
      </c>
      <c r="I380" t="s">
        <v>212</v>
      </c>
      <c r="J380" t="s">
        <v>213</v>
      </c>
      <c r="K380" t="s">
        <v>149</v>
      </c>
      <c r="M380" t="s">
        <v>76</v>
      </c>
      <c r="N380" t="s">
        <v>215</v>
      </c>
      <c r="O380" s="57">
        <v>46296.581493055557</v>
      </c>
      <c r="P380" s="57">
        <v>46298.538472222222</v>
      </c>
      <c r="Q380">
        <v>69402411</v>
      </c>
      <c r="S380">
        <v>142523108896</v>
      </c>
      <c r="T380" t="s">
        <v>1147</v>
      </c>
      <c r="U380" t="s">
        <v>1148</v>
      </c>
      <c r="V380" t="s">
        <v>1149</v>
      </c>
      <c r="Z380">
        <v>111.127386046067</v>
      </c>
      <c r="AA380">
        <v>-7.8303749684347101</v>
      </c>
      <c r="AB380" t="s">
        <v>1150</v>
      </c>
      <c r="AC380" t="s">
        <v>284</v>
      </c>
      <c r="AL380" t="s">
        <v>217</v>
      </c>
      <c r="AM380" t="s">
        <v>1151</v>
      </c>
      <c r="AN380" t="s">
        <v>6</v>
      </c>
      <c r="AO380" s="57">
        <v>46032.590474537035</v>
      </c>
      <c r="AP380" s="57">
        <v>46298.333333333336</v>
      </c>
      <c r="AR380" t="s">
        <v>218</v>
      </c>
      <c r="AS380" t="s">
        <v>219</v>
      </c>
      <c r="AT380" t="s">
        <v>230</v>
      </c>
      <c r="AU380">
        <v>20261003</v>
      </c>
      <c r="AV380" t="s">
        <v>221</v>
      </c>
      <c r="AW380" t="s">
        <v>539</v>
      </c>
      <c r="AX380" t="s">
        <v>222</v>
      </c>
      <c r="BA380" s="57">
        <v>46298.333333333336</v>
      </c>
      <c r="BB380" t="s">
        <v>1151</v>
      </c>
      <c r="BC380">
        <v>2026</v>
      </c>
      <c r="BD380">
        <v>10</v>
      </c>
      <c r="BE380">
        <v>3</v>
      </c>
      <c r="BF380" s="6">
        <f t="shared" si="15"/>
        <v>46298</v>
      </c>
      <c r="BG380">
        <f t="shared" si="16"/>
        <v>-0.33333333333575865</v>
      </c>
      <c r="BH380" t="str">
        <f t="shared" si="17"/>
        <v>COMPLY</v>
      </c>
      <c r="BI380" t="e">
        <f>VLOOKUP(H380,Sheet2!$A$1:$B$270,2,FALSE)</f>
        <v>#N/A</v>
      </c>
    </row>
    <row r="381" spans="1:61">
      <c r="A381">
        <v>380</v>
      </c>
      <c r="B381">
        <v>1002620950</v>
      </c>
      <c r="C381">
        <v>3</v>
      </c>
      <c r="D381" t="s">
        <v>51</v>
      </c>
      <c r="E381">
        <v>4</v>
      </c>
      <c r="F381" t="s">
        <v>234</v>
      </c>
      <c r="G381" t="s">
        <v>863</v>
      </c>
      <c r="H381" t="s">
        <v>887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46298.535185185188</v>
      </c>
      <c r="P381" s="57">
        <v>46299.665717592594</v>
      </c>
      <c r="Q381">
        <v>69403592</v>
      </c>
      <c r="S381">
        <v>142523108356</v>
      </c>
      <c r="T381" t="s">
        <v>2032</v>
      </c>
      <c r="U381" t="s">
        <v>2033</v>
      </c>
      <c r="V381" t="s">
        <v>2034</v>
      </c>
      <c r="Z381">
        <v>111.06861960000001</v>
      </c>
      <c r="AA381">
        <v>-7.8193758999999998</v>
      </c>
      <c r="AB381" t="s">
        <v>2035</v>
      </c>
      <c r="AC381" t="s">
        <v>235</v>
      </c>
      <c r="AL381" t="s">
        <v>217</v>
      </c>
      <c r="AM381" t="s">
        <v>1598</v>
      </c>
      <c r="AN381" t="s">
        <v>6</v>
      </c>
      <c r="AO381" s="57">
        <v>46091.549074074072</v>
      </c>
      <c r="AP381" s="57">
        <v>46299.458333333336</v>
      </c>
      <c r="AR381" t="s">
        <v>218</v>
      </c>
      <c r="AS381" t="s">
        <v>219</v>
      </c>
      <c r="AT381" t="s">
        <v>230</v>
      </c>
      <c r="AU381">
        <v>20261004</v>
      </c>
      <c r="AV381" t="s">
        <v>221</v>
      </c>
      <c r="AW381" t="s">
        <v>880</v>
      </c>
      <c r="AX381" t="s">
        <v>222</v>
      </c>
      <c r="BA381" s="57">
        <v>46299.458333333336</v>
      </c>
      <c r="BB381" t="s">
        <v>1598</v>
      </c>
      <c r="BC381">
        <v>2026</v>
      </c>
      <c r="BD381">
        <v>10</v>
      </c>
      <c r="BE381">
        <v>4</v>
      </c>
      <c r="BF381" s="6">
        <f t="shared" si="15"/>
        <v>46299</v>
      </c>
      <c r="BG381">
        <f t="shared" si="16"/>
        <v>-0.45833333333575865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1002624040</v>
      </c>
      <c r="C382">
        <v>3</v>
      </c>
      <c r="D382" t="s">
        <v>51</v>
      </c>
      <c r="E382">
        <v>4</v>
      </c>
      <c r="F382" t="s">
        <v>234</v>
      </c>
      <c r="G382" t="s">
        <v>863</v>
      </c>
      <c r="H382" t="s">
        <v>887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46301.482407407406</v>
      </c>
      <c r="P382" s="57">
        <v>46302.488425925927</v>
      </c>
      <c r="Q382">
        <v>69404902</v>
      </c>
      <c r="S382">
        <v>142523108357</v>
      </c>
      <c r="T382" t="s">
        <v>3406</v>
      </c>
      <c r="U382" t="s">
        <v>3407</v>
      </c>
      <c r="V382" t="s">
        <v>3408</v>
      </c>
      <c r="Z382">
        <v>111.0700698</v>
      </c>
      <c r="AA382">
        <v>-7.7782329999999904</v>
      </c>
      <c r="AB382" t="s">
        <v>3409</v>
      </c>
      <c r="AC382" t="s">
        <v>235</v>
      </c>
      <c r="AL382" t="s">
        <v>217</v>
      </c>
      <c r="AM382" t="s">
        <v>3410</v>
      </c>
      <c r="AN382" t="s">
        <v>6</v>
      </c>
      <c r="AO382" s="57">
        <v>46183.486203703702</v>
      </c>
      <c r="AP382" s="57">
        <v>46302.333333333336</v>
      </c>
      <c r="AR382" t="s">
        <v>218</v>
      </c>
      <c r="AS382" t="s">
        <v>219</v>
      </c>
      <c r="AT382" t="s">
        <v>230</v>
      </c>
      <c r="AU382">
        <v>20261007</v>
      </c>
      <c r="AV382" t="s">
        <v>221</v>
      </c>
      <c r="AW382" t="s">
        <v>880</v>
      </c>
      <c r="AX382" t="s">
        <v>222</v>
      </c>
      <c r="BA382" s="57">
        <v>46302.333333333336</v>
      </c>
      <c r="BB382" t="s">
        <v>3410</v>
      </c>
      <c r="BC382">
        <v>2026</v>
      </c>
      <c r="BD382">
        <v>10</v>
      </c>
      <c r="BE382">
        <v>7</v>
      </c>
      <c r="BF382" s="6">
        <f t="shared" si="15"/>
        <v>46302</v>
      </c>
      <c r="BG382">
        <f t="shared" si="16"/>
        <v>-0.33333333333575865</v>
      </c>
      <c r="BH382" t="str">
        <f t="shared" si="17"/>
        <v>COMPLY</v>
      </c>
      <c r="BI382" t="e">
        <f>VLOOKUP(H382,Sheet2!$A$1:$B$270,2,FALSE)</f>
        <v>#N/A</v>
      </c>
    </row>
    <row r="383" spans="1:61">
      <c r="A383">
        <v>382</v>
      </c>
      <c r="B383">
        <v>1002619578</v>
      </c>
      <c r="C383">
        <v>3</v>
      </c>
      <c r="D383" t="s">
        <v>51</v>
      </c>
      <c r="E383">
        <v>4</v>
      </c>
      <c r="F383" t="s">
        <v>234</v>
      </c>
      <c r="G383" t="s">
        <v>863</v>
      </c>
      <c r="H383" t="s">
        <v>887</v>
      </c>
      <c r="I383" t="s">
        <v>212</v>
      </c>
      <c r="J383" t="s">
        <v>213</v>
      </c>
      <c r="K383" t="s">
        <v>149</v>
      </c>
      <c r="L383" t="s">
        <v>214</v>
      </c>
      <c r="M383" t="s">
        <v>1921</v>
      </c>
      <c r="N383" t="s">
        <v>215</v>
      </c>
      <c r="O383" s="57">
        <v>46297.483032407406</v>
      </c>
      <c r="P383" s="57">
        <v>46300.631099537037</v>
      </c>
      <c r="Q383">
        <v>69402956</v>
      </c>
      <c r="S383">
        <v>142523108354</v>
      </c>
      <c r="T383" t="s">
        <v>2027</v>
      </c>
      <c r="U383" t="s">
        <v>2028</v>
      </c>
      <c r="V383" t="s">
        <v>2029</v>
      </c>
      <c r="Z383">
        <v>111.08164600000001</v>
      </c>
      <c r="AA383">
        <v>-7.7886013999999903</v>
      </c>
      <c r="AB383" t="s">
        <v>2030</v>
      </c>
      <c r="AC383" t="s">
        <v>235</v>
      </c>
      <c r="AL383" t="s">
        <v>217</v>
      </c>
      <c r="AM383" t="s">
        <v>2031</v>
      </c>
      <c r="AN383" t="s">
        <v>6</v>
      </c>
      <c r="AO383" s="57">
        <v>46063.486087962963</v>
      </c>
      <c r="AP383" s="57">
        <v>46300.333333333336</v>
      </c>
      <c r="AQ383" t="s">
        <v>841</v>
      </c>
      <c r="AR383" t="s">
        <v>12</v>
      </c>
      <c r="AS383" t="s">
        <v>219</v>
      </c>
      <c r="AT383" t="s">
        <v>230</v>
      </c>
      <c r="AV383" t="s">
        <v>1628</v>
      </c>
      <c r="AW383" t="s">
        <v>880</v>
      </c>
      <c r="AX383" t="s">
        <v>222</v>
      </c>
      <c r="BA383" s="57">
        <v>46300.333333333336</v>
      </c>
      <c r="BB383" t="s">
        <v>2031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:61">
      <c r="A384">
        <v>383</v>
      </c>
      <c r="B384">
        <v>1002621082</v>
      </c>
      <c r="C384">
        <v>3</v>
      </c>
      <c r="D384" t="s">
        <v>51</v>
      </c>
      <c r="E384">
        <v>4</v>
      </c>
      <c r="F384" t="s">
        <v>234</v>
      </c>
      <c r="G384" t="s">
        <v>863</v>
      </c>
      <c r="H384" t="s">
        <v>2036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46298.641377314816</v>
      </c>
      <c r="P384" s="57">
        <v>46301.386180555557</v>
      </c>
      <c r="Q384">
        <v>69403685</v>
      </c>
      <c r="S384">
        <v>143554100304</v>
      </c>
      <c r="T384" t="s">
        <v>2037</v>
      </c>
      <c r="U384" t="s">
        <v>2038</v>
      </c>
      <c r="V384" t="s">
        <v>2039</v>
      </c>
      <c r="Z384">
        <v>110.8010781</v>
      </c>
      <c r="AA384">
        <v>-7.8243926000000004</v>
      </c>
      <c r="AB384" t="s">
        <v>2040</v>
      </c>
      <c r="AC384" t="s">
        <v>235</v>
      </c>
      <c r="AL384" t="s">
        <v>217</v>
      </c>
      <c r="AM384" t="s">
        <v>1426</v>
      </c>
      <c r="AN384" t="s">
        <v>6</v>
      </c>
      <c r="AO384" s="57">
        <v>46091.642442129632</v>
      </c>
      <c r="AP384" s="57">
        <v>46299.625</v>
      </c>
      <c r="AR384" t="s">
        <v>218</v>
      </c>
      <c r="AS384" t="s">
        <v>219</v>
      </c>
      <c r="AT384" t="s">
        <v>230</v>
      </c>
      <c r="AU384">
        <v>20261006</v>
      </c>
      <c r="AV384" t="s">
        <v>221</v>
      </c>
      <c r="AW384" t="s">
        <v>877</v>
      </c>
      <c r="AX384" t="s">
        <v>222</v>
      </c>
      <c r="BA384" s="57">
        <v>46299.625</v>
      </c>
      <c r="BB384" t="s">
        <v>1426</v>
      </c>
      <c r="BC384">
        <v>2026</v>
      </c>
      <c r="BD384">
        <v>10</v>
      </c>
      <c r="BE384">
        <v>6</v>
      </c>
      <c r="BF384" s="6">
        <f t="shared" si="15"/>
        <v>46301</v>
      </c>
      <c r="BG384">
        <f t="shared" si="16"/>
        <v>1.375</v>
      </c>
      <c r="BH384" t="str">
        <f t="shared" si="17"/>
        <v>NOT COMPLY</v>
      </c>
      <c r="BI384" t="e">
        <f>VLOOKUP(H384,Sheet2!$A$1:$B$270,2,FALSE)</f>
        <v>#N/A</v>
      </c>
    </row>
    <row r="385" spans="1:61">
      <c r="A385">
        <v>384</v>
      </c>
      <c r="B385">
        <v>1002621515</v>
      </c>
      <c r="C385">
        <v>3</v>
      </c>
      <c r="D385" t="s">
        <v>51</v>
      </c>
      <c r="E385">
        <v>4</v>
      </c>
      <c r="F385" t="s">
        <v>234</v>
      </c>
      <c r="G385" t="s">
        <v>863</v>
      </c>
      <c r="H385" t="s">
        <v>2036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46299.805960648147</v>
      </c>
      <c r="P385" s="57">
        <v>46300.955335648148</v>
      </c>
      <c r="Q385">
        <v>69403996</v>
      </c>
      <c r="S385">
        <v>143554101237</v>
      </c>
      <c r="T385" t="s">
        <v>2041</v>
      </c>
      <c r="U385" t="s">
        <v>2042</v>
      </c>
      <c r="V385" t="s">
        <v>2043</v>
      </c>
      <c r="Z385">
        <v>110.84886109999999</v>
      </c>
      <c r="AA385">
        <v>-7.8933388999999998</v>
      </c>
      <c r="AB385" t="s">
        <v>2044</v>
      </c>
      <c r="AC385" t="s">
        <v>235</v>
      </c>
      <c r="AL385" t="s">
        <v>217</v>
      </c>
      <c r="AM385" t="s">
        <v>2045</v>
      </c>
      <c r="AN385" t="s">
        <v>6</v>
      </c>
      <c r="AO385" s="57">
        <v>46122.809201388889</v>
      </c>
      <c r="AP385" s="57">
        <v>46301.333333333336</v>
      </c>
      <c r="AR385" t="s">
        <v>218</v>
      </c>
      <c r="AS385" t="s">
        <v>219</v>
      </c>
      <c r="AT385" t="s">
        <v>230</v>
      </c>
      <c r="AU385">
        <v>20261005</v>
      </c>
      <c r="AV385" t="s">
        <v>221</v>
      </c>
      <c r="AW385" t="s">
        <v>876</v>
      </c>
      <c r="AX385" t="s">
        <v>222</v>
      </c>
      <c r="BA385" s="57">
        <v>46301.333333333336</v>
      </c>
      <c r="BB385" t="s">
        <v>2045</v>
      </c>
      <c r="BC385">
        <v>2026</v>
      </c>
      <c r="BD385">
        <v>10</v>
      </c>
      <c r="BE385">
        <v>5</v>
      </c>
      <c r="BF385" s="6">
        <f t="shared" si="15"/>
        <v>46300</v>
      </c>
      <c r="BG385">
        <f t="shared" si="16"/>
        <v>-1.3333333333357587</v>
      </c>
      <c r="BH385" t="str">
        <f t="shared" si="17"/>
        <v>COMPLY</v>
      </c>
      <c r="BI385" t="e">
        <f>VLOOKUP(H385,Sheet2!$A$1:$B$270,2,FALSE)</f>
        <v>#N/A</v>
      </c>
    </row>
    <row r="386" spans="1:61">
      <c r="A386">
        <v>385</v>
      </c>
      <c r="B386">
        <v>1002622830</v>
      </c>
      <c r="C386">
        <v>3</v>
      </c>
      <c r="D386" t="s">
        <v>51</v>
      </c>
      <c r="E386">
        <v>4</v>
      </c>
      <c r="F386" t="s">
        <v>234</v>
      </c>
      <c r="G386" t="s">
        <v>863</v>
      </c>
      <c r="H386" t="s">
        <v>2036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46300.638645833336</v>
      </c>
      <c r="P386" s="57">
        <v>46302.601284722223</v>
      </c>
      <c r="Q386">
        <v>69404492</v>
      </c>
      <c r="S386">
        <v>143554101855</v>
      </c>
      <c r="T386" t="s">
        <v>2785</v>
      </c>
      <c r="U386" t="s">
        <v>2786</v>
      </c>
      <c r="V386" t="s">
        <v>2787</v>
      </c>
      <c r="Z386">
        <v>110.9588067</v>
      </c>
      <c r="AA386">
        <v>-7.7902945999999904</v>
      </c>
      <c r="AB386" t="s">
        <v>2788</v>
      </c>
      <c r="AC386" t="s">
        <v>235</v>
      </c>
      <c r="AL386" t="s">
        <v>217</v>
      </c>
      <c r="AM386" t="s">
        <v>2789</v>
      </c>
      <c r="AN386" t="s">
        <v>6</v>
      </c>
      <c r="AO386" s="57">
        <v>46152.642523148148</v>
      </c>
      <c r="AP386" s="57">
        <v>46301.625</v>
      </c>
      <c r="AR386" t="s">
        <v>218</v>
      </c>
      <c r="AS386" t="s">
        <v>219</v>
      </c>
      <c r="AT386" t="s">
        <v>230</v>
      </c>
      <c r="AU386">
        <v>20261007</v>
      </c>
      <c r="AV386" t="s">
        <v>221</v>
      </c>
      <c r="AW386" t="s">
        <v>880</v>
      </c>
      <c r="AX386" t="s">
        <v>222</v>
      </c>
      <c r="BA386" s="57">
        <v>46301.625</v>
      </c>
      <c r="BB386" t="s">
        <v>2789</v>
      </c>
      <c r="BC386">
        <v>2026</v>
      </c>
      <c r="BD386">
        <v>10</v>
      </c>
      <c r="BE386">
        <v>7</v>
      </c>
      <c r="BF386" s="6">
        <f t="shared" ref="BF386:BF449" si="18">DATE(BC386,BD386,BE386)</f>
        <v>46302</v>
      </c>
      <c r="BG386">
        <f t="shared" ref="BG386:BG449" si="19">BF386-BA386</f>
        <v>0.375</v>
      </c>
      <c r="BH386" t="str">
        <f t="shared" ref="BH386:BH449" si="20">IF(BG386=1,"COMPLY",IF(BG386&lt;1,"COMPLY","NOT COMPLY"))</f>
        <v>COMPLY</v>
      </c>
      <c r="BI386" t="e">
        <f>VLOOKUP(H386,Sheet2!$A$1:$B$270,2,FALSE)</f>
        <v>#N/A</v>
      </c>
    </row>
    <row r="387" spans="1:61">
      <c r="A387">
        <v>386</v>
      </c>
      <c r="B387">
        <v>1002623737</v>
      </c>
      <c r="C387">
        <v>3</v>
      </c>
      <c r="D387" t="s">
        <v>42</v>
      </c>
      <c r="E387">
        <v>5</v>
      </c>
      <c r="F387" t="s">
        <v>232</v>
      </c>
      <c r="G387" t="s">
        <v>103</v>
      </c>
      <c r="H387" t="s">
        <v>389</v>
      </c>
      <c r="I387" t="s">
        <v>212</v>
      </c>
      <c r="J387" t="s">
        <v>213</v>
      </c>
      <c r="K387" t="s">
        <v>149</v>
      </c>
      <c r="L387" t="s">
        <v>214</v>
      </c>
      <c r="M387" t="s">
        <v>1401</v>
      </c>
      <c r="N387" t="s">
        <v>215</v>
      </c>
      <c r="O387" s="57">
        <v>46301.422627314816</v>
      </c>
      <c r="P387" s="57">
        <v>46301.713541666664</v>
      </c>
      <c r="Q387">
        <v>69404770</v>
      </c>
      <c r="S387">
        <v>152318241730</v>
      </c>
      <c r="T387" t="s">
        <v>3411</v>
      </c>
      <c r="U387" t="s">
        <v>3412</v>
      </c>
      <c r="V387" t="s">
        <v>3413</v>
      </c>
      <c r="Z387">
        <v>112.23193209999999</v>
      </c>
      <c r="AA387">
        <v>-7.5616674000000001</v>
      </c>
      <c r="AB387" t="s">
        <v>3414</v>
      </c>
      <c r="AC387" t="s">
        <v>216</v>
      </c>
      <c r="AL387" t="s">
        <v>217</v>
      </c>
      <c r="AM387" t="s">
        <v>3172</v>
      </c>
      <c r="AN387" t="s">
        <v>6</v>
      </c>
      <c r="AO387" s="57">
        <v>46183.424027777779</v>
      </c>
      <c r="AP387" s="57">
        <v>46302.333333333336</v>
      </c>
      <c r="AR387" t="s">
        <v>14</v>
      </c>
      <c r="AS387" t="s">
        <v>103</v>
      </c>
      <c r="AT387" t="s">
        <v>342</v>
      </c>
      <c r="AV387" t="s">
        <v>3415</v>
      </c>
      <c r="AW387" t="s">
        <v>3416</v>
      </c>
      <c r="AX387" t="s">
        <v>222</v>
      </c>
      <c r="BA387" s="57">
        <v>46302.333333333336</v>
      </c>
      <c r="BB387" t="s">
        <v>3172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MOJOKERTO</v>
      </c>
    </row>
    <row r="388" spans="1:61">
      <c r="A388">
        <v>387</v>
      </c>
      <c r="B388">
        <v>1002620059</v>
      </c>
      <c r="C388">
        <v>3</v>
      </c>
      <c r="D388" t="s">
        <v>42</v>
      </c>
      <c r="E388">
        <v>5</v>
      </c>
      <c r="F388" t="s">
        <v>232</v>
      </c>
      <c r="G388" t="s">
        <v>103</v>
      </c>
      <c r="H388" t="s">
        <v>293</v>
      </c>
      <c r="I388" t="s">
        <v>212</v>
      </c>
      <c r="J388" t="s">
        <v>213</v>
      </c>
      <c r="K388" t="s">
        <v>149</v>
      </c>
      <c r="L388" t="s">
        <v>214</v>
      </c>
      <c r="M388" t="s">
        <v>1401</v>
      </c>
      <c r="N388" t="s">
        <v>215</v>
      </c>
      <c r="O388" s="57">
        <v>46297.612210648149</v>
      </c>
      <c r="P388" s="57">
        <v>46299.416331018518</v>
      </c>
      <c r="Q388">
        <v>69403163</v>
      </c>
      <c r="S388">
        <v>152319209578</v>
      </c>
      <c r="T388" t="s">
        <v>2046</v>
      </c>
      <c r="U388" t="s">
        <v>2047</v>
      </c>
      <c r="V388" t="s">
        <v>2048</v>
      </c>
      <c r="Z388">
        <v>112.41521400000001</v>
      </c>
      <c r="AA388">
        <v>-7.6101939999999999</v>
      </c>
      <c r="AB388" t="s">
        <v>2049</v>
      </c>
      <c r="AC388" t="s">
        <v>235</v>
      </c>
      <c r="AL388" t="s">
        <v>217</v>
      </c>
      <c r="AM388" t="s">
        <v>1507</v>
      </c>
      <c r="AN388" t="s">
        <v>6</v>
      </c>
      <c r="AO388" s="57">
        <v>46063.652951388889</v>
      </c>
      <c r="AP388" s="57">
        <v>46298.458333333336</v>
      </c>
      <c r="AQ388" t="s">
        <v>841</v>
      </c>
      <c r="AR388" t="s">
        <v>14</v>
      </c>
      <c r="AS388" t="s">
        <v>103</v>
      </c>
      <c r="AT388" t="s">
        <v>230</v>
      </c>
      <c r="AV388" t="s">
        <v>2050</v>
      </c>
      <c r="AW388" t="s">
        <v>2051</v>
      </c>
      <c r="AX388" t="s">
        <v>222</v>
      </c>
      <c r="BA388" s="57">
        <v>46298.458333333336</v>
      </c>
      <c r="BB388" t="s">
        <v>1507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MOJOKERTO</v>
      </c>
    </row>
    <row r="389" spans="1:61">
      <c r="A389">
        <v>388</v>
      </c>
      <c r="B389">
        <v>1002617289</v>
      </c>
      <c r="C389">
        <v>3</v>
      </c>
      <c r="D389" t="s">
        <v>42</v>
      </c>
      <c r="E389">
        <v>5</v>
      </c>
      <c r="F389" t="s">
        <v>232</v>
      </c>
      <c r="G389" t="s">
        <v>103</v>
      </c>
      <c r="H389" t="s">
        <v>293</v>
      </c>
      <c r="I389" t="s">
        <v>212</v>
      </c>
      <c r="J389" t="s">
        <v>213</v>
      </c>
      <c r="K389" t="s">
        <v>149</v>
      </c>
      <c r="M389" t="s">
        <v>76</v>
      </c>
      <c r="N389" t="s">
        <v>215</v>
      </c>
      <c r="O389" s="57">
        <v>46296.428113425929</v>
      </c>
      <c r="P389" s="57">
        <v>46296.669687499998</v>
      </c>
      <c r="Q389">
        <v>69400158</v>
      </c>
      <c r="S389">
        <v>152319207912</v>
      </c>
      <c r="T389" t="s">
        <v>920</v>
      </c>
      <c r="U389" t="s">
        <v>1152</v>
      </c>
      <c r="V389" t="s">
        <v>1153</v>
      </c>
      <c r="Z389">
        <v>112.34041568000001</v>
      </c>
      <c r="AA389">
        <v>-7.546673052</v>
      </c>
      <c r="AB389" t="s">
        <v>921</v>
      </c>
      <c r="AC389" t="s">
        <v>229</v>
      </c>
      <c r="AL389" t="s">
        <v>217</v>
      </c>
      <c r="AM389" t="s">
        <v>1154</v>
      </c>
      <c r="AN389" t="s">
        <v>6</v>
      </c>
      <c r="AO389" s="57">
        <v>46032.434247685182</v>
      </c>
      <c r="AR389" t="s">
        <v>218</v>
      </c>
      <c r="AS389" t="s">
        <v>103</v>
      </c>
      <c r="AT389" t="s">
        <v>230</v>
      </c>
      <c r="AU389">
        <v>20261001</v>
      </c>
      <c r="AV389" t="s">
        <v>221</v>
      </c>
      <c r="AW389" t="s">
        <v>540</v>
      </c>
      <c r="AX389" t="s">
        <v>222</v>
      </c>
      <c r="BA389" s="57">
        <v>46296.291666666664</v>
      </c>
      <c r="BB389" t="s">
        <v>1154</v>
      </c>
      <c r="BC389">
        <v>2026</v>
      </c>
      <c r="BD389">
        <v>10</v>
      </c>
      <c r="BE389">
        <v>1</v>
      </c>
      <c r="BF389" s="6">
        <f t="shared" si="18"/>
        <v>46296</v>
      </c>
      <c r="BG389">
        <f t="shared" si="19"/>
        <v>-0.29166666666424135</v>
      </c>
      <c r="BH389" t="str">
        <f t="shared" si="20"/>
        <v>COMPLY</v>
      </c>
      <c r="BI389" t="str">
        <f>VLOOKUP(H389,Sheet2!$A$1:$B$270,2,FALSE)</f>
        <v>MOJOKERTO</v>
      </c>
    </row>
    <row r="390" spans="1:61">
      <c r="A390">
        <v>389</v>
      </c>
      <c r="B390">
        <v>1002620432</v>
      </c>
      <c r="C390">
        <v>3</v>
      </c>
      <c r="D390" t="s">
        <v>42</v>
      </c>
      <c r="E390">
        <v>5</v>
      </c>
      <c r="F390" t="s">
        <v>232</v>
      </c>
      <c r="G390" t="s">
        <v>103</v>
      </c>
      <c r="H390" t="s">
        <v>293</v>
      </c>
      <c r="I390" t="s">
        <v>212</v>
      </c>
      <c r="J390" t="s">
        <v>213</v>
      </c>
      <c r="K390" t="s">
        <v>149</v>
      </c>
      <c r="M390" t="s">
        <v>76</v>
      </c>
      <c r="N390" t="s">
        <v>215</v>
      </c>
      <c r="O390" s="57">
        <v>46297.685277777775</v>
      </c>
      <c r="P390" s="57">
        <v>46298.615486111114</v>
      </c>
      <c r="Q390">
        <v>69403314</v>
      </c>
      <c r="S390">
        <v>152319208071</v>
      </c>
      <c r="T390" t="s">
        <v>2052</v>
      </c>
      <c r="U390" t="s">
        <v>2053</v>
      </c>
      <c r="V390" t="s">
        <v>2054</v>
      </c>
      <c r="Z390">
        <v>112.33218859999999</v>
      </c>
      <c r="AA390">
        <v>-7.5730507999999999</v>
      </c>
      <c r="AB390" t="s">
        <v>2055</v>
      </c>
      <c r="AC390" t="s">
        <v>229</v>
      </c>
      <c r="AL390" t="s">
        <v>217</v>
      </c>
      <c r="AM390" t="s">
        <v>2056</v>
      </c>
      <c r="AN390" t="s">
        <v>6</v>
      </c>
      <c r="AO390" s="57">
        <v>46063.694699074076</v>
      </c>
      <c r="AP390" s="57">
        <v>46298.625</v>
      </c>
      <c r="AR390" t="s">
        <v>218</v>
      </c>
      <c r="AS390" t="s">
        <v>103</v>
      </c>
      <c r="AT390" t="s">
        <v>230</v>
      </c>
      <c r="AU390">
        <v>20261003</v>
      </c>
      <c r="AV390" t="s">
        <v>221</v>
      </c>
      <c r="AW390" t="s">
        <v>540</v>
      </c>
      <c r="AX390" t="s">
        <v>222</v>
      </c>
      <c r="BA390" s="57">
        <v>46298.625</v>
      </c>
      <c r="BB390" t="s">
        <v>2056</v>
      </c>
      <c r="BC390">
        <v>2026</v>
      </c>
      <c r="BD390">
        <v>10</v>
      </c>
      <c r="BE390">
        <v>3</v>
      </c>
      <c r="BF390" s="6">
        <f t="shared" si="18"/>
        <v>46298</v>
      </c>
      <c r="BG390">
        <f t="shared" si="19"/>
        <v>-0.625</v>
      </c>
      <c r="BH390" t="str">
        <f t="shared" si="20"/>
        <v>COMPLY</v>
      </c>
      <c r="BI390" t="str">
        <f>VLOOKUP(H390,Sheet2!$A$1:$B$270,2,FALSE)</f>
        <v>MOJOKERTO</v>
      </c>
    </row>
    <row r="391" spans="1:61">
      <c r="A391">
        <v>390</v>
      </c>
      <c r="B391">
        <v>1002621327</v>
      </c>
      <c r="C391">
        <v>3</v>
      </c>
      <c r="D391" t="s">
        <v>42</v>
      </c>
      <c r="E391">
        <v>5</v>
      </c>
      <c r="F391" t="s">
        <v>232</v>
      </c>
      <c r="G391" t="s">
        <v>103</v>
      </c>
      <c r="H391" t="s">
        <v>293</v>
      </c>
      <c r="I391" t="s">
        <v>212</v>
      </c>
      <c r="J391" t="s">
        <v>213</v>
      </c>
      <c r="K391" t="s">
        <v>149</v>
      </c>
      <c r="M391" t="s">
        <v>76</v>
      </c>
      <c r="N391" t="s">
        <v>215</v>
      </c>
      <c r="O391" s="57">
        <v>46299.464375000003</v>
      </c>
      <c r="P391" s="57">
        <v>46299.756944444445</v>
      </c>
      <c r="Q391">
        <v>69403842</v>
      </c>
      <c r="S391">
        <v>152319209069</v>
      </c>
      <c r="T391" t="s">
        <v>2057</v>
      </c>
      <c r="U391" t="s">
        <v>2058</v>
      </c>
      <c r="V391" t="s">
        <v>2059</v>
      </c>
      <c r="Z391">
        <v>112.4319852</v>
      </c>
      <c r="AA391">
        <v>-7.4631537000000003</v>
      </c>
      <c r="AB391" t="s">
        <v>2060</v>
      </c>
      <c r="AC391" t="s">
        <v>229</v>
      </c>
      <c r="AL391" t="s">
        <v>217</v>
      </c>
      <c r="AM391" t="s">
        <v>2061</v>
      </c>
      <c r="AN391" t="s">
        <v>6</v>
      </c>
      <c r="AO391" s="57">
        <v>46122.475601851853</v>
      </c>
      <c r="AP391" s="57">
        <v>46300.333333333336</v>
      </c>
      <c r="AR391" t="s">
        <v>218</v>
      </c>
      <c r="AS391" t="s">
        <v>103</v>
      </c>
      <c r="AT391" t="s">
        <v>230</v>
      </c>
      <c r="AU391">
        <v>20261004</v>
      </c>
      <c r="AV391" t="s">
        <v>221</v>
      </c>
      <c r="AW391" t="s">
        <v>540</v>
      </c>
      <c r="AX391" t="s">
        <v>222</v>
      </c>
      <c r="BA391" s="57">
        <v>46300.333333333336</v>
      </c>
      <c r="BB391" t="s">
        <v>2061</v>
      </c>
      <c r="BC391">
        <v>2026</v>
      </c>
      <c r="BD391">
        <v>10</v>
      </c>
      <c r="BE391">
        <v>4</v>
      </c>
      <c r="BF391" s="6">
        <f t="shared" si="18"/>
        <v>46299</v>
      </c>
      <c r="BG391">
        <f t="shared" si="19"/>
        <v>-1.3333333333357587</v>
      </c>
      <c r="BH391" t="str">
        <f t="shared" si="20"/>
        <v>COMPLY</v>
      </c>
      <c r="BI391" t="str">
        <f>VLOOKUP(H391,Sheet2!$A$1:$B$270,2,FALSE)</f>
        <v>MOJOKERTO</v>
      </c>
    </row>
    <row r="392" spans="1:61">
      <c r="A392">
        <v>391</v>
      </c>
      <c r="B392">
        <v>1002621279</v>
      </c>
      <c r="C392">
        <v>3</v>
      </c>
      <c r="D392" t="s">
        <v>42</v>
      </c>
      <c r="E392">
        <v>5</v>
      </c>
      <c r="F392" t="s">
        <v>232</v>
      </c>
      <c r="G392" t="s">
        <v>103</v>
      </c>
      <c r="H392" t="s">
        <v>293</v>
      </c>
      <c r="I392" t="s">
        <v>212</v>
      </c>
      <c r="J392" t="s">
        <v>213</v>
      </c>
      <c r="K392" t="s">
        <v>149</v>
      </c>
      <c r="M392" t="s">
        <v>76</v>
      </c>
      <c r="N392" t="s">
        <v>215</v>
      </c>
      <c r="O392" s="57">
        <v>46299.416342592594</v>
      </c>
      <c r="P392" s="57">
        <v>46299.578553240739</v>
      </c>
      <c r="Q392">
        <v>69403163</v>
      </c>
      <c r="S392">
        <v>152319209068</v>
      </c>
      <c r="T392" t="s">
        <v>2046</v>
      </c>
      <c r="U392" t="s">
        <v>2047</v>
      </c>
      <c r="V392" t="s">
        <v>2062</v>
      </c>
      <c r="Z392">
        <v>112.41571193</v>
      </c>
      <c r="AA392">
        <v>-7.6101747749999999</v>
      </c>
      <c r="AB392" t="s">
        <v>2049</v>
      </c>
      <c r="AC392" t="s">
        <v>229</v>
      </c>
      <c r="AL392" t="s">
        <v>217</v>
      </c>
      <c r="AM392" t="s">
        <v>1517</v>
      </c>
      <c r="AN392" t="s">
        <v>6</v>
      </c>
      <c r="AO392" s="57">
        <v>46122.423935185187</v>
      </c>
      <c r="AR392" t="s">
        <v>218</v>
      </c>
      <c r="AS392" t="s">
        <v>103</v>
      </c>
      <c r="AT392" t="s">
        <v>230</v>
      </c>
      <c r="AU392">
        <v>20261004</v>
      </c>
      <c r="AV392" t="s">
        <v>221</v>
      </c>
      <c r="AW392" t="s">
        <v>540</v>
      </c>
      <c r="AX392" t="s">
        <v>222</v>
      </c>
      <c r="BA392" s="57">
        <v>46299.291666666664</v>
      </c>
      <c r="BB392" t="s">
        <v>1517</v>
      </c>
      <c r="BC392">
        <v>2026</v>
      </c>
      <c r="BD392">
        <v>10</v>
      </c>
      <c r="BE392">
        <v>4</v>
      </c>
      <c r="BF392" s="6">
        <f t="shared" si="18"/>
        <v>46299</v>
      </c>
      <c r="BG392">
        <f t="shared" si="19"/>
        <v>-0.29166666666424135</v>
      </c>
      <c r="BH392" t="str">
        <f t="shared" si="20"/>
        <v>COMPLY</v>
      </c>
      <c r="BI392" t="str">
        <f>VLOOKUP(H392,Sheet2!$A$1:$B$270,2,FALSE)</f>
        <v>MOJOKERTO</v>
      </c>
    </row>
    <row r="393" spans="1:61">
      <c r="A393">
        <v>392</v>
      </c>
      <c r="B393">
        <v>1002621982</v>
      </c>
      <c r="C393">
        <v>3</v>
      </c>
      <c r="D393" t="s">
        <v>42</v>
      </c>
      <c r="E393">
        <v>5</v>
      </c>
      <c r="F393" t="s">
        <v>232</v>
      </c>
      <c r="G393" t="s">
        <v>103</v>
      </c>
      <c r="H393" t="s">
        <v>293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46300.443460648145</v>
      </c>
      <c r="P393" s="57">
        <v>46300.82775462963</v>
      </c>
      <c r="Q393">
        <v>69404170</v>
      </c>
      <c r="S393">
        <v>152319209240</v>
      </c>
      <c r="T393" t="s">
        <v>2790</v>
      </c>
      <c r="U393" t="s">
        <v>2791</v>
      </c>
      <c r="V393" t="s">
        <v>2792</v>
      </c>
      <c r="Z393">
        <v>112.41521299999999</v>
      </c>
      <c r="AA393">
        <v>-7.6101979999999996</v>
      </c>
      <c r="AB393" t="s">
        <v>2793</v>
      </c>
      <c r="AC393" t="s">
        <v>235</v>
      </c>
      <c r="AL393" t="s">
        <v>217</v>
      </c>
      <c r="AM393" t="s">
        <v>2637</v>
      </c>
      <c r="AN393" t="s">
        <v>6</v>
      </c>
      <c r="AO393" s="57">
        <v>46152.444537037038</v>
      </c>
      <c r="AP393" s="57">
        <v>46301.333333333336</v>
      </c>
      <c r="AR393" t="s">
        <v>218</v>
      </c>
      <c r="AS393" t="s">
        <v>103</v>
      </c>
      <c r="AT393" t="s">
        <v>230</v>
      </c>
      <c r="AU393">
        <v>20261005</v>
      </c>
      <c r="AV393" t="s">
        <v>221</v>
      </c>
      <c r="AW393" t="s">
        <v>2051</v>
      </c>
      <c r="AX393" t="s">
        <v>222</v>
      </c>
      <c r="BA393" s="57">
        <v>46301.333333333336</v>
      </c>
      <c r="BB393" t="s">
        <v>2637</v>
      </c>
      <c r="BC393">
        <v>2026</v>
      </c>
      <c r="BD393">
        <v>10</v>
      </c>
      <c r="BE393">
        <v>5</v>
      </c>
      <c r="BF393" s="6">
        <f t="shared" si="18"/>
        <v>46300</v>
      </c>
      <c r="BG393">
        <f t="shared" si="19"/>
        <v>-1.3333333333357587</v>
      </c>
      <c r="BH393" t="str">
        <f t="shared" si="20"/>
        <v>COMPLY</v>
      </c>
      <c r="BI393" t="str">
        <f>VLOOKUP(H393,Sheet2!$A$1:$B$270,2,FALSE)</f>
        <v>MOJOKERTO</v>
      </c>
    </row>
    <row r="394" spans="1:61">
      <c r="A394">
        <v>393</v>
      </c>
      <c r="B394">
        <v>1002624019</v>
      </c>
      <c r="C394">
        <v>3</v>
      </c>
      <c r="D394" t="s">
        <v>42</v>
      </c>
      <c r="E394">
        <v>5</v>
      </c>
      <c r="F394" t="s">
        <v>232</v>
      </c>
      <c r="G394" t="s">
        <v>103</v>
      </c>
      <c r="H394" t="s">
        <v>293</v>
      </c>
      <c r="I394" t="s">
        <v>212</v>
      </c>
      <c r="J394" t="s">
        <v>213</v>
      </c>
      <c r="K394" t="s">
        <v>149</v>
      </c>
      <c r="M394" t="s">
        <v>76</v>
      </c>
      <c r="N394" t="s">
        <v>215</v>
      </c>
      <c r="O394" s="57">
        <v>46301.479444444441</v>
      </c>
      <c r="P394" s="57">
        <v>46302.740358796298</v>
      </c>
      <c r="Q394">
        <v>69404899</v>
      </c>
      <c r="S394">
        <v>152319209244</v>
      </c>
      <c r="T394" t="s">
        <v>3417</v>
      </c>
      <c r="U394" t="s">
        <v>3418</v>
      </c>
      <c r="V394" t="s">
        <v>4120</v>
      </c>
      <c r="Z394">
        <v>112.3178399</v>
      </c>
      <c r="AA394">
        <v>-7.5928291999999997</v>
      </c>
      <c r="AB394" t="s">
        <v>3419</v>
      </c>
      <c r="AC394" t="s">
        <v>229</v>
      </c>
      <c r="AL394" t="s">
        <v>217</v>
      </c>
      <c r="AM394" t="s">
        <v>4121</v>
      </c>
      <c r="AN394" t="s">
        <v>6</v>
      </c>
      <c r="AO394" s="57">
        <v>46183.486203703702</v>
      </c>
      <c r="AP394" s="57">
        <v>46303.625</v>
      </c>
      <c r="AR394" t="s">
        <v>218</v>
      </c>
      <c r="AS394" t="s">
        <v>103</v>
      </c>
      <c r="AT394" t="s">
        <v>342</v>
      </c>
      <c r="AU394">
        <v>20261007</v>
      </c>
      <c r="AV394" t="s">
        <v>221</v>
      </c>
      <c r="AW394" t="s">
        <v>540</v>
      </c>
      <c r="AX394" t="s">
        <v>222</v>
      </c>
      <c r="BA394" s="57">
        <v>46303.625</v>
      </c>
      <c r="BB394" t="s">
        <v>4121</v>
      </c>
      <c r="BC394">
        <v>2026</v>
      </c>
      <c r="BD394">
        <v>10</v>
      </c>
      <c r="BE394">
        <v>7</v>
      </c>
      <c r="BF394" s="6">
        <f t="shared" si="18"/>
        <v>46302</v>
      </c>
      <c r="BG394">
        <f t="shared" si="19"/>
        <v>-1.625</v>
      </c>
      <c r="BH394" t="str">
        <f t="shared" si="20"/>
        <v>COMPLY</v>
      </c>
      <c r="BI394" t="str">
        <f>VLOOKUP(H394,Sheet2!$A$1:$B$270,2,FALSE)</f>
        <v>MOJOKERTO</v>
      </c>
    </row>
    <row r="395" spans="1:61">
      <c r="A395">
        <v>394</v>
      </c>
      <c r="B395">
        <v>1002625962</v>
      </c>
      <c r="C395">
        <v>3</v>
      </c>
      <c r="D395" t="s">
        <v>42</v>
      </c>
      <c r="E395">
        <v>5</v>
      </c>
      <c r="F395" t="s">
        <v>232</v>
      </c>
      <c r="G395" t="s">
        <v>103</v>
      </c>
      <c r="H395" t="s">
        <v>399</v>
      </c>
      <c r="I395" t="s">
        <v>212</v>
      </c>
      <c r="J395" t="s">
        <v>213</v>
      </c>
      <c r="K395" t="s">
        <v>149</v>
      </c>
      <c r="L395" t="s">
        <v>214</v>
      </c>
      <c r="M395" t="s">
        <v>238</v>
      </c>
      <c r="N395" t="s">
        <v>215</v>
      </c>
      <c r="O395" s="57">
        <v>46302.5156712963</v>
      </c>
      <c r="P395" s="57">
        <v>46302.516747685186</v>
      </c>
      <c r="Q395">
        <v>69405766</v>
      </c>
      <c r="S395">
        <v>152322205098</v>
      </c>
      <c r="T395" t="s">
        <v>4122</v>
      </c>
      <c r="U395" t="s">
        <v>4123</v>
      </c>
      <c r="V395" t="s">
        <v>4124</v>
      </c>
      <c r="Z395">
        <v>112.272306</v>
      </c>
      <c r="AA395">
        <v>-7.69</v>
      </c>
      <c r="AB395" t="s">
        <v>4125</v>
      </c>
      <c r="AC395" t="s">
        <v>235</v>
      </c>
      <c r="AL395" t="s">
        <v>217</v>
      </c>
      <c r="AM395" t="s">
        <v>3826</v>
      </c>
      <c r="AN395" t="s">
        <v>6</v>
      </c>
      <c r="AO395" s="57">
        <v>46213.517812500002</v>
      </c>
      <c r="AP395" s="57">
        <v>46303.458333333336</v>
      </c>
      <c r="AR395" t="s">
        <v>239</v>
      </c>
      <c r="AS395" t="s">
        <v>103</v>
      </c>
      <c r="AT395" t="s">
        <v>230</v>
      </c>
      <c r="AV395" t="s">
        <v>238</v>
      </c>
      <c r="AW395" t="s">
        <v>880</v>
      </c>
      <c r="AX395" t="s">
        <v>222</v>
      </c>
      <c r="BA395" s="57">
        <v>46303.458333333336</v>
      </c>
      <c r="BB395" t="s">
        <v>3826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str">
        <f>VLOOKUP(H395,Sheet2!$A$1:$B$270,2,FALSE)</f>
        <v>MOJOKERTO</v>
      </c>
    </row>
    <row r="396" spans="1:61">
      <c r="A396">
        <v>395</v>
      </c>
      <c r="B396">
        <v>1002625084</v>
      </c>
      <c r="C396">
        <v>3</v>
      </c>
      <c r="D396" t="s">
        <v>42</v>
      </c>
      <c r="E396">
        <v>5</v>
      </c>
      <c r="F396" t="s">
        <v>232</v>
      </c>
      <c r="G396" t="s">
        <v>103</v>
      </c>
      <c r="H396" t="s">
        <v>361</v>
      </c>
      <c r="I396" t="s">
        <v>212</v>
      </c>
      <c r="J396" t="s">
        <v>213</v>
      </c>
      <c r="K396" t="s">
        <v>149</v>
      </c>
      <c r="M396" t="s">
        <v>76</v>
      </c>
      <c r="N396" t="s">
        <v>215</v>
      </c>
      <c r="O396" s="57">
        <v>46301.713541666664</v>
      </c>
      <c r="P396" s="57">
        <v>46301.799409722225</v>
      </c>
      <c r="Q396">
        <v>69404770</v>
      </c>
      <c r="S396">
        <v>152333218089</v>
      </c>
      <c r="T396" t="s">
        <v>3411</v>
      </c>
      <c r="U396" t="s">
        <v>3420</v>
      </c>
      <c r="V396" t="s">
        <v>3421</v>
      </c>
      <c r="Z396">
        <v>112.2278</v>
      </c>
      <c r="AA396">
        <v>-7.4635999999999996</v>
      </c>
      <c r="AB396" t="s">
        <v>3414</v>
      </c>
      <c r="AC396" t="s">
        <v>216</v>
      </c>
      <c r="AL396" t="s">
        <v>217</v>
      </c>
      <c r="AM396" t="s">
        <v>3422</v>
      </c>
      <c r="AN396" t="s">
        <v>6</v>
      </c>
      <c r="AO396" s="57">
        <v>46183.725902777776</v>
      </c>
      <c r="AR396" t="s">
        <v>218</v>
      </c>
      <c r="AS396" t="s">
        <v>103</v>
      </c>
      <c r="AT396" t="s">
        <v>342</v>
      </c>
      <c r="AU396">
        <v>20261006</v>
      </c>
      <c r="AV396" t="s">
        <v>221</v>
      </c>
      <c r="AW396" t="s">
        <v>1572</v>
      </c>
      <c r="AX396" t="s">
        <v>222</v>
      </c>
      <c r="BA396" s="57">
        <v>46301.291666666664</v>
      </c>
      <c r="BB396" t="s">
        <v>3422</v>
      </c>
      <c r="BC396">
        <v>2026</v>
      </c>
      <c r="BD396">
        <v>10</v>
      </c>
      <c r="BE396">
        <v>6</v>
      </c>
      <c r="BF396" s="6">
        <f t="shared" si="18"/>
        <v>46301</v>
      </c>
      <c r="BG396">
        <f t="shared" si="19"/>
        <v>-0.29166666666424135</v>
      </c>
      <c r="BH396" t="str">
        <f t="shared" si="20"/>
        <v>COMPLY</v>
      </c>
      <c r="BI396" t="str">
        <f>VLOOKUP(H396,Sheet2!$A$1:$B$270,2,FALSE)</f>
        <v>MOJOKERTO</v>
      </c>
    </row>
    <row r="397" spans="1:61">
      <c r="A397">
        <v>396</v>
      </c>
      <c r="B397">
        <v>1002623081</v>
      </c>
      <c r="C397">
        <v>3</v>
      </c>
      <c r="D397" t="s">
        <v>42</v>
      </c>
      <c r="E397">
        <v>5</v>
      </c>
      <c r="F397" t="s">
        <v>232</v>
      </c>
      <c r="G397" t="s">
        <v>105</v>
      </c>
      <c r="H397" t="s">
        <v>292</v>
      </c>
      <c r="I397" t="s">
        <v>212</v>
      </c>
      <c r="J397" t="s">
        <v>213</v>
      </c>
      <c r="K397" t="s">
        <v>149</v>
      </c>
      <c r="M397" t="s">
        <v>76</v>
      </c>
      <c r="N397" t="s">
        <v>215</v>
      </c>
      <c r="O397" s="57">
        <v>46300.679074074076</v>
      </c>
      <c r="P397" s="57">
        <v>46302.093854166669</v>
      </c>
      <c r="Q397">
        <v>69404523</v>
      </c>
      <c r="S397">
        <v>152313206944</v>
      </c>
      <c r="T397" t="s">
        <v>2794</v>
      </c>
      <c r="U397" t="s">
        <v>2795</v>
      </c>
      <c r="V397" t="s">
        <v>3423</v>
      </c>
      <c r="Z397">
        <v>112.4775321</v>
      </c>
      <c r="AA397">
        <v>-7.4051733000000004</v>
      </c>
      <c r="AB397" t="s">
        <v>2796</v>
      </c>
      <c r="AC397" t="s">
        <v>229</v>
      </c>
      <c r="AL397" t="s">
        <v>217</v>
      </c>
      <c r="AM397" t="s">
        <v>3424</v>
      </c>
      <c r="AN397" t="s">
        <v>6</v>
      </c>
      <c r="AO397" s="57">
        <v>46152.684560185182</v>
      </c>
      <c r="AP397" s="57">
        <v>46302.625</v>
      </c>
      <c r="AR397" t="s">
        <v>218</v>
      </c>
      <c r="AS397" t="s">
        <v>105</v>
      </c>
      <c r="AT397" t="s">
        <v>220</v>
      </c>
      <c r="AU397">
        <v>20261007</v>
      </c>
      <c r="AV397" t="s">
        <v>221</v>
      </c>
      <c r="AW397" t="s">
        <v>540</v>
      </c>
      <c r="AX397" t="s">
        <v>222</v>
      </c>
      <c r="BA397" s="57">
        <v>46302.625</v>
      </c>
      <c r="BB397" t="s">
        <v>3424</v>
      </c>
      <c r="BC397">
        <v>2026</v>
      </c>
      <c r="BD397">
        <v>10</v>
      </c>
      <c r="BE397">
        <v>7</v>
      </c>
      <c r="BF397" s="6">
        <f t="shared" si="18"/>
        <v>46302</v>
      </c>
      <c r="BG397">
        <f t="shared" si="19"/>
        <v>-0.625</v>
      </c>
      <c r="BH397" t="str">
        <f t="shared" si="20"/>
        <v>COMPLY</v>
      </c>
      <c r="BI397" t="str">
        <f>VLOOKUP(H397,Sheet2!$A$1:$B$270,2,FALSE)</f>
        <v>MOJOKERTO</v>
      </c>
    </row>
    <row r="398" spans="1:61">
      <c r="A398">
        <v>397</v>
      </c>
      <c r="B398">
        <v>1002621112</v>
      </c>
      <c r="C398">
        <v>3</v>
      </c>
      <c r="D398" t="s">
        <v>42</v>
      </c>
      <c r="E398">
        <v>5</v>
      </c>
      <c r="F398" t="s">
        <v>232</v>
      </c>
      <c r="G398" t="s">
        <v>105</v>
      </c>
      <c r="H398" t="s">
        <v>432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46298.667754629627</v>
      </c>
      <c r="P398" s="57">
        <v>46299.536249999997</v>
      </c>
      <c r="Q398">
        <v>69403702</v>
      </c>
      <c r="S398">
        <v>152330220813</v>
      </c>
      <c r="T398" t="s">
        <v>2063</v>
      </c>
      <c r="U398" t="s">
        <v>2064</v>
      </c>
      <c r="V398" t="s">
        <v>2065</v>
      </c>
      <c r="Z398">
        <v>112.5627245</v>
      </c>
      <c r="AA398">
        <v>-7.5215709999999998</v>
      </c>
      <c r="AB398" t="s">
        <v>2066</v>
      </c>
      <c r="AC398" t="s">
        <v>235</v>
      </c>
      <c r="AL398" t="s">
        <v>217</v>
      </c>
      <c r="AM398" t="s">
        <v>2067</v>
      </c>
      <c r="AN398" t="s">
        <v>6</v>
      </c>
      <c r="AO398" s="57">
        <v>46091.684004629627</v>
      </c>
      <c r="AP398" s="57">
        <v>46299.625</v>
      </c>
      <c r="AR398" t="s">
        <v>218</v>
      </c>
      <c r="AS398" t="s">
        <v>105</v>
      </c>
      <c r="AT398" t="s">
        <v>230</v>
      </c>
      <c r="AU398">
        <v>20261004</v>
      </c>
      <c r="AV398" t="s">
        <v>221</v>
      </c>
      <c r="AW398" t="s">
        <v>877</v>
      </c>
      <c r="AX398" t="s">
        <v>222</v>
      </c>
      <c r="BA398" s="57">
        <v>46299.625</v>
      </c>
      <c r="BB398" t="s">
        <v>2067</v>
      </c>
      <c r="BC398">
        <v>2026</v>
      </c>
      <c r="BD398">
        <v>10</v>
      </c>
      <c r="BE398">
        <v>4</v>
      </c>
      <c r="BF398" s="6">
        <f t="shared" si="18"/>
        <v>46299</v>
      </c>
      <c r="BG398">
        <f t="shared" si="19"/>
        <v>-0.625</v>
      </c>
      <c r="BH398" t="str">
        <f t="shared" si="20"/>
        <v>COMPLY</v>
      </c>
      <c r="BI398" t="str">
        <f>VLOOKUP(H398,Sheet2!$A$1:$B$270,2,FALSE)</f>
        <v>MOJOKERTO</v>
      </c>
    </row>
    <row r="399" spans="1:61">
      <c r="A399">
        <v>398</v>
      </c>
      <c r="B399">
        <v>1002625275</v>
      </c>
      <c r="C399">
        <v>3</v>
      </c>
      <c r="D399" t="s">
        <v>42</v>
      </c>
      <c r="E399">
        <v>5</v>
      </c>
      <c r="F399" t="s">
        <v>232</v>
      </c>
      <c r="G399" t="s">
        <v>105</v>
      </c>
      <c r="H399" t="s">
        <v>432</v>
      </c>
      <c r="I399" t="s">
        <v>212</v>
      </c>
      <c r="J399" t="s">
        <v>213</v>
      </c>
      <c r="K399" t="s">
        <v>149</v>
      </c>
      <c r="L399" t="s">
        <v>214</v>
      </c>
      <c r="M399" t="s">
        <v>4126</v>
      </c>
      <c r="N399" t="s">
        <v>215</v>
      </c>
      <c r="O399" s="57">
        <v>46302.343506944446</v>
      </c>
      <c r="P399" s="57">
        <v>46302.351458333331</v>
      </c>
      <c r="Q399">
        <v>69405440</v>
      </c>
      <c r="S399">
        <v>152330220948</v>
      </c>
      <c r="T399" t="s">
        <v>4127</v>
      </c>
      <c r="U399" t="s">
        <v>4128</v>
      </c>
      <c r="V399" t="s">
        <v>4129</v>
      </c>
      <c r="Z399">
        <v>112.576537504792</v>
      </c>
      <c r="AA399">
        <v>-7.5477270610609004</v>
      </c>
      <c r="AB399" t="s">
        <v>4130</v>
      </c>
      <c r="AC399" t="s">
        <v>216</v>
      </c>
      <c r="AL399" t="s">
        <v>217</v>
      </c>
      <c r="AM399" t="s">
        <v>4131</v>
      </c>
      <c r="AN399" t="s">
        <v>6</v>
      </c>
      <c r="AO399" s="57">
        <v>46213.351041666669</v>
      </c>
      <c r="AP399" s="57">
        <v>46303</v>
      </c>
      <c r="AR399" t="s">
        <v>239</v>
      </c>
      <c r="AS399" t="s">
        <v>105</v>
      </c>
      <c r="AT399" t="s">
        <v>342</v>
      </c>
      <c r="AV399" t="s">
        <v>4132</v>
      </c>
      <c r="AW399" t="s">
        <v>2328</v>
      </c>
      <c r="AX399" t="s">
        <v>222</v>
      </c>
      <c r="BA399" s="57">
        <v>46303.333333333336</v>
      </c>
      <c r="BB399" t="s">
        <v>4131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str">
        <f>VLOOKUP(H399,Sheet2!$A$1:$B$270,2,FALSE)</f>
        <v>MOJOKERTO</v>
      </c>
    </row>
    <row r="400" spans="1:61">
      <c r="A400">
        <v>399</v>
      </c>
      <c r="B400">
        <v>1002626207</v>
      </c>
      <c r="C400">
        <v>3</v>
      </c>
      <c r="D400" t="s">
        <v>42</v>
      </c>
      <c r="E400">
        <v>5</v>
      </c>
      <c r="F400" t="s">
        <v>232</v>
      </c>
      <c r="G400" t="s">
        <v>105</v>
      </c>
      <c r="H400" t="s">
        <v>264</v>
      </c>
      <c r="I400" t="s">
        <v>212</v>
      </c>
      <c r="J400" t="s">
        <v>213</v>
      </c>
      <c r="K400" t="s">
        <v>149</v>
      </c>
      <c r="M400" t="s">
        <v>76</v>
      </c>
      <c r="N400" t="s">
        <v>215</v>
      </c>
      <c r="O400" s="57">
        <v>46302.574560185189</v>
      </c>
      <c r="P400" s="57">
        <v>46302.760775462964</v>
      </c>
      <c r="Q400">
        <v>69405885</v>
      </c>
      <c r="R400">
        <v>3215210027</v>
      </c>
      <c r="S400">
        <v>152321203997</v>
      </c>
      <c r="T400" t="s">
        <v>4133</v>
      </c>
      <c r="U400" t="s">
        <v>4134</v>
      </c>
      <c r="V400" t="s">
        <v>4135</v>
      </c>
      <c r="Z400">
        <v>112.6213029</v>
      </c>
      <c r="AA400">
        <v>-7.5633458999999998</v>
      </c>
      <c r="AB400" t="s">
        <v>4136</v>
      </c>
      <c r="AC400" t="s">
        <v>229</v>
      </c>
      <c r="AL400" t="s">
        <v>217</v>
      </c>
      <c r="AM400" t="s">
        <v>4137</v>
      </c>
      <c r="AN400" t="s">
        <v>6</v>
      </c>
      <c r="AO400" s="57">
        <v>46213.580034722225</v>
      </c>
      <c r="AP400" s="57">
        <v>46303.625</v>
      </c>
      <c r="AR400" t="s">
        <v>218</v>
      </c>
      <c r="AS400" t="s">
        <v>105</v>
      </c>
      <c r="AT400" t="s">
        <v>230</v>
      </c>
      <c r="AU400">
        <v>20261007</v>
      </c>
      <c r="AV400" t="s">
        <v>221</v>
      </c>
      <c r="AW400" t="s">
        <v>540</v>
      </c>
      <c r="AX400" t="s">
        <v>222</v>
      </c>
      <c r="BA400" s="57">
        <v>46303.625</v>
      </c>
      <c r="BB400" t="s">
        <v>4137</v>
      </c>
      <c r="BC400">
        <v>2026</v>
      </c>
      <c r="BD400">
        <v>10</v>
      </c>
      <c r="BE400">
        <v>7</v>
      </c>
      <c r="BF400" s="6">
        <f t="shared" si="18"/>
        <v>46302</v>
      </c>
      <c r="BG400">
        <f t="shared" si="19"/>
        <v>-1.625</v>
      </c>
      <c r="BH400" t="str">
        <f t="shared" si="20"/>
        <v>COMPLY</v>
      </c>
      <c r="BI400" t="str">
        <f>VLOOKUP(H400,Sheet2!$A$1:$B$270,2,FALSE)</f>
        <v>MOJOKERTO</v>
      </c>
    </row>
    <row r="401" spans="1:61">
      <c r="A401">
        <v>400</v>
      </c>
      <c r="B401">
        <v>1002623517</v>
      </c>
      <c r="C401">
        <v>3</v>
      </c>
      <c r="D401" t="s">
        <v>42</v>
      </c>
      <c r="E401">
        <v>5</v>
      </c>
      <c r="F401" t="s">
        <v>232</v>
      </c>
      <c r="G401" t="s">
        <v>105</v>
      </c>
      <c r="H401" t="s">
        <v>369</v>
      </c>
      <c r="I401" t="s">
        <v>212</v>
      </c>
      <c r="J401" t="s">
        <v>213</v>
      </c>
      <c r="K401" t="s">
        <v>149</v>
      </c>
      <c r="M401" t="s">
        <v>224</v>
      </c>
      <c r="N401" t="s">
        <v>215</v>
      </c>
      <c r="O401" s="57">
        <v>46301.379340277781</v>
      </c>
      <c r="P401" s="57">
        <v>46302.392650462964</v>
      </c>
      <c r="Q401">
        <v>69404704</v>
      </c>
      <c r="S401">
        <v>152312243582</v>
      </c>
      <c r="T401" t="s">
        <v>3425</v>
      </c>
      <c r="U401" t="s">
        <v>3426</v>
      </c>
      <c r="V401" t="s">
        <v>3427</v>
      </c>
      <c r="Z401">
        <v>112.42792590000001</v>
      </c>
      <c r="AA401">
        <v>-7.5165357000000004</v>
      </c>
      <c r="AB401" t="s">
        <v>3428</v>
      </c>
      <c r="AC401" t="s">
        <v>229</v>
      </c>
      <c r="AL401" t="s">
        <v>217</v>
      </c>
      <c r="AM401" t="s">
        <v>3429</v>
      </c>
      <c r="AN401" t="s">
        <v>6</v>
      </c>
      <c r="AO401" s="57">
        <v>46183.392407407409</v>
      </c>
      <c r="AP401" s="57">
        <v>46302.333333333336</v>
      </c>
      <c r="AR401" t="s">
        <v>18</v>
      </c>
      <c r="AS401" t="s">
        <v>105</v>
      </c>
      <c r="AT401" t="s">
        <v>342</v>
      </c>
      <c r="AV401" t="s">
        <v>226</v>
      </c>
      <c r="AW401" t="s">
        <v>1475</v>
      </c>
      <c r="AX401" t="s">
        <v>222</v>
      </c>
      <c r="BA401" s="57">
        <v>46302.333333333336</v>
      </c>
      <c r="BB401" t="s">
        <v>3429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MOJOKERTO</v>
      </c>
    </row>
    <row r="402" spans="1:61">
      <c r="A402">
        <v>401</v>
      </c>
      <c r="B402">
        <v>1002625566</v>
      </c>
      <c r="C402">
        <v>3</v>
      </c>
      <c r="D402" t="s">
        <v>42</v>
      </c>
      <c r="E402">
        <v>5</v>
      </c>
      <c r="F402" t="s">
        <v>232</v>
      </c>
      <c r="G402" t="s">
        <v>105</v>
      </c>
      <c r="H402" t="s">
        <v>369</v>
      </c>
      <c r="I402" t="s">
        <v>212</v>
      </c>
      <c r="J402" t="s">
        <v>213</v>
      </c>
      <c r="K402" t="s">
        <v>149</v>
      </c>
      <c r="M402" t="s">
        <v>224</v>
      </c>
      <c r="N402" t="s">
        <v>215</v>
      </c>
      <c r="O402" s="57">
        <v>46302.427384259259</v>
      </c>
      <c r="P402" s="57">
        <v>46303.337094907409</v>
      </c>
      <c r="Q402">
        <v>69405537</v>
      </c>
      <c r="S402">
        <v>152312243595</v>
      </c>
      <c r="T402" t="s">
        <v>4138</v>
      </c>
      <c r="U402" t="s">
        <v>4139</v>
      </c>
      <c r="V402" t="s">
        <v>4140</v>
      </c>
      <c r="Z402">
        <v>112.460019</v>
      </c>
      <c r="AA402">
        <v>-7.4681623999999998</v>
      </c>
      <c r="AB402" t="s">
        <v>4141</v>
      </c>
      <c r="AC402" t="s">
        <v>229</v>
      </c>
      <c r="AL402" t="s">
        <v>217</v>
      </c>
      <c r="AM402" t="s">
        <v>4142</v>
      </c>
      <c r="AN402" t="s">
        <v>6</v>
      </c>
      <c r="AO402" s="57">
        <v>46213.434340277781</v>
      </c>
      <c r="AP402" s="57">
        <v>46303.333333333336</v>
      </c>
      <c r="AR402" t="s">
        <v>18</v>
      </c>
      <c r="AS402" t="s">
        <v>105</v>
      </c>
      <c r="AT402" t="s">
        <v>220</v>
      </c>
      <c r="AV402" t="s">
        <v>226</v>
      </c>
      <c r="AW402" t="s">
        <v>540</v>
      </c>
      <c r="AX402" t="s">
        <v>222</v>
      </c>
      <c r="BA402" s="57">
        <v>46303.333333333336</v>
      </c>
      <c r="BB402" t="s">
        <v>4142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MOJOKERTO</v>
      </c>
    </row>
    <row r="403" spans="1:61">
      <c r="A403">
        <v>402</v>
      </c>
      <c r="B403">
        <v>1002616829</v>
      </c>
      <c r="C403">
        <v>3</v>
      </c>
      <c r="D403" t="s">
        <v>42</v>
      </c>
      <c r="E403">
        <v>5</v>
      </c>
      <c r="F403" t="s">
        <v>232</v>
      </c>
      <c r="G403" t="s">
        <v>105</v>
      </c>
      <c r="H403" t="s">
        <v>369</v>
      </c>
      <c r="I403" t="s">
        <v>212</v>
      </c>
      <c r="J403" t="s">
        <v>213</v>
      </c>
      <c r="K403" t="s">
        <v>149</v>
      </c>
      <c r="M403" t="s">
        <v>76</v>
      </c>
      <c r="N403" t="s">
        <v>215</v>
      </c>
      <c r="O403" s="57">
        <v>46296.328032407408</v>
      </c>
      <c r="P403" s="57">
        <v>46297.849548611113</v>
      </c>
      <c r="Q403">
        <v>69402000</v>
      </c>
      <c r="S403">
        <v>152312243348</v>
      </c>
      <c r="T403" t="s">
        <v>1155</v>
      </c>
      <c r="U403" t="s">
        <v>1156</v>
      </c>
      <c r="V403" t="s">
        <v>1157</v>
      </c>
      <c r="Z403">
        <v>112.43383559999999</v>
      </c>
      <c r="AA403">
        <v>-7.4922269000000004</v>
      </c>
      <c r="AB403" t="s">
        <v>1158</v>
      </c>
      <c r="AC403" t="s">
        <v>229</v>
      </c>
      <c r="AL403" t="s">
        <v>217</v>
      </c>
      <c r="AM403" t="s">
        <v>1159</v>
      </c>
      <c r="AN403" t="s">
        <v>6</v>
      </c>
      <c r="AO403" s="57">
        <v>46032.330370370371</v>
      </c>
      <c r="AP403" s="57">
        <v>46297.333333333336</v>
      </c>
      <c r="AR403" t="s">
        <v>218</v>
      </c>
      <c r="AS403" t="s">
        <v>105</v>
      </c>
      <c r="AT403" t="s">
        <v>230</v>
      </c>
      <c r="AU403">
        <v>20261002</v>
      </c>
      <c r="AV403" t="s">
        <v>221</v>
      </c>
      <c r="AW403" t="s">
        <v>540</v>
      </c>
      <c r="AX403" t="s">
        <v>222</v>
      </c>
      <c r="BA403" s="57">
        <v>46297.333333333336</v>
      </c>
      <c r="BB403" t="s">
        <v>1159</v>
      </c>
      <c r="BC403">
        <v>2026</v>
      </c>
      <c r="BD403">
        <v>10</v>
      </c>
      <c r="BE403">
        <v>2</v>
      </c>
      <c r="BF403" s="6">
        <f t="shared" si="18"/>
        <v>46297</v>
      </c>
      <c r="BG403">
        <f t="shared" si="19"/>
        <v>-0.33333333333575865</v>
      </c>
      <c r="BH403" t="str">
        <f t="shared" si="20"/>
        <v>COMPLY</v>
      </c>
      <c r="BI403" t="str">
        <f>VLOOKUP(H403,Sheet2!$A$1:$B$270,2,FALSE)</f>
        <v>MOJOKERTO</v>
      </c>
    </row>
    <row r="404" spans="1:61">
      <c r="A404">
        <v>403</v>
      </c>
      <c r="B404">
        <v>1002619197</v>
      </c>
      <c r="C404">
        <v>3</v>
      </c>
      <c r="D404" t="s">
        <v>42</v>
      </c>
      <c r="E404">
        <v>5</v>
      </c>
      <c r="F404" t="s">
        <v>232</v>
      </c>
      <c r="G404" t="s">
        <v>105</v>
      </c>
      <c r="H404" t="s">
        <v>369</v>
      </c>
      <c r="I404" t="s">
        <v>212</v>
      </c>
      <c r="J404" t="s">
        <v>213</v>
      </c>
      <c r="K404" t="s">
        <v>149</v>
      </c>
      <c r="M404" t="s">
        <v>76</v>
      </c>
      <c r="N404" t="s">
        <v>215</v>
      </c>
      <c r="O404" s="57">
        <v>46297.410694444443</v>
      </c>
      <c r="P404" s="57">
        <v>46297.918055555558</v>
      </c>
      <c r="Q404">
        <v>69402821</v>
      </c>
      <c r="S404">
        <v>152312243562</v>
      </c>
      <c r="T404" t="s">
        <v>2068</v>
      </c>
      <c r="U404" t="s">
        <v>2069</v>
      </c>
      <c r="V404" t="s">
        <v>2070</v>
      </c>
      <c r="Z404">
        <v>112.370482</v>
      </c>
      <c r="AA404">
        <v>-7.4588653999999996</v>
      </c>
      <c r="AB404" t="s">
        <v>2071</v>
      </c>
      <c r="AC404" t="s">
        <v>229</v>
      </c>
      <c r="AL404" t="s">
        <v>217</v>
      </c>
      <c r="AM404" t="s">
        <v>2072</v>
      </c>
      <c r="AN404" t="s">
        <v>6</v>
      </c>
      <c r="AO404" s="57">
        <v>46063.42392361111</v>
      </c>
      <c r="AP404" s="57">
        <v>46298.458333333336</v>
      </c>
      <c r="AR404" t="s">
        <v>218</v>
      </c>
      <c r="AS404" t="s">
        <v>105</v>
      </c>
      <c r="AT404" t="s">
        <v>230</v>
      </c>
      <c r="AU404">
        <v>20261002</v>
      </c>
      <c r="AV404" t="s">
        <v>221</v>
      </c>
      <c r="AW404" t="s">
        <v>540</v>
      </c>
      <c r="AX404" t="s">
        <v>222</v>
      </c>
      <c r="BA404" s="57">
        <v>46298.458333333336</v>
      </c>
      <c r="BB404" t="s">
        <v>2072</v>
      </c>
      <c r="BC404">
        <v>2026</v>
      </c>
      <c r="BD404">
        <v>10</v>
      </c>
      <c r="BE404">
        <v>2</v>
      </c>
      <c r="BF404" s="6">
        <f t="shared" si="18"/>
        <v>46297</v>
      </c>
      <c r="BG404">
        <f t="shared" si="19"/>
        <v>-1.4583333333357587</v>
      </c>
      <c r="BH404" t="str">
        <f t="shared" si="20"/>
        <v>COMPLY</v>
      </c>
      <c r="BI404" t="str">
        <f>VLOOKUP(H404,Sheet2!$A$1:$B$270,2,FALSE)</f>
        <v>MOJOKERTO</v>
      </c>
    </row>
    <row r="405" spans="1:61">
      <c r="A405">
        <v>404</v>
      </c>
      <c r="B405">
        <v>1002621142</v>
      </c>
      <c r="C405">
        <v>3</v>
      </c>
      <c r="D405" t="s">
        <v>42</v>
      </c>
      <c r="E405">
        <v>5</v>
      </c>
      <c r="F405" t="s">
        <v>232</v>
      </c>
      <c r="G405" t="s">
        <v>105</v>
      </c>
      <c r="H405" t="s">
        <v>369</v>
      </c>
      <c r="I405" t="s">
        <v>212</v>
      </c>
      <c r="J405" t="s">
        <v>213</v>
      </c>
      <c r="K405" t="s">
        <v>149</v>
      </c>
      <c r="M405" t="s">
        <v>76</v>
      </c>
      <c r="N405" t="s">
        <v>215</v>
      </c>
      <c r="O405" s="57">
        <v>46298.69604166667</v>
      </c>
      <c r="P405" s="57">
        <v>46301.671064814815</v>
      </c>
      <c r="Q405">
        <v>69403723</v>
      </c>
      <c r="S405">
        <v>152312243367</v>
      </c>
      <c r="T405" t="s">
        <v>2078</v>
      </c>
      <c r="U405" t="s">
        <v>2079</v>
      </c>
      <c r="V405" t="s">
        <v>2797</v>
      </c>
      <c r="Z405">
        <v>112.442802</v>
      </c>
      <c r="AA405">
        <v>-7.4717848</v>
      </c>
      <c r="AB405" t="s">
        <v>2080</v>
      </c>
      <c r="AC405" t="s">
        <v>229</v>
      </c>
      <c r="AL405" t="s">
        <v>217</v>
      </c>
      <c r="AM405" t="s">
        <v>2798</v>
      </c>
      <c r="AN405" t="s">
        <v>6</v>
      </c>
      <c r="AO405" s="57">
        <v>46091.726053240738</v>
      </c>
      <c r="AP405" s="57">
        <v>46301.333333333336</v>
      </c>
      <c r="AR405" t="s">
        <v>218</v>
      </c>
      <c r="AS405" t="s">
        <v>105</v>
      </c>
      <c r="AT405" t="s">
        <v>220</v>
      </c>
      <c r="AU405">
        <v>20261006</v>
      </c>
      <c r="AV405" t="s">
        <v>221</v>
      </c>
      <c r="AW405" t="s">
        <v>540</v>
      </c>
      <c r="AX405" t="s">
        <v>222</v>
      </c>
      <c r="BA405" s="57">
        <v>46301.333333333336</v>
      </c>
      <c r="BB405" t="s">
        <v>2798</v>
      </c>
      <c r="BC405">
        <v>2026</v>
      </c>
      <c r="BD405">
        <v>10</v>
      </c>
      <c r="BE405">
        <v>6</v>
      </c>
      <c r="BF405" s="6">
        <f t="shared" si="18"/>
        <v>46301</v>
      </c>
      <c r="BG405">
        <f t="shared" si="19"/>
        <v>-0.33333333333575865</v>
      </c>
      <c r="BH405" t="str">
        <f t="shared" si="20"/>
        <v>COMPLY</v>
      </c>
      <c r="BI405" t="str">
        <f>VLOOKUP(H405,Sheet2!$A$1:$B$270,2,FALSE)</f>
        <v>MOJOKERTO</v>
      </c>
    </row>
    <row r="406" spans="1:61">
      <c r="A406">
        <v>405</v>
      </c>
      <c r="B406">
        <v>1002620825</v>
      </c>
      <c r="C406">
        <v>3</v>
      </c>
      <c r="D406" t="s">
        <v>42</v>
      </c>
      <c r="E406">
        <v>5</v>
      </c>
      <c r="F406" t="s">
        <v>232</v>
      </c>
      <c r="G406" t="s">
        <v>105</v>
      </c>
      <c r="H406" t="s">
        <v>369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46298.437210648146</v>
      </c>
      <c r="P406" s="57">
        <v>46299.396770833337</v>
      </c>
      <c r="Q406">
        <v>69403477</v>
      </c>
      <c r="S406">
        <v>152312243576</v>
      </c>
      <c r="T406" t="s">
        <v>2073</v>
      </c>
      <c r="U406" t="s">
        <v>2074</v>
      </c>
      <c r="V406" t="s">
        <v>2075</v>
      </c>
      <c r="Z406">
        <v>112.439976</v>
      </c>
      <c r="AA406">
        <v>-7.4786830000000002</v>
      </c>
      <c r="AB406" t="s">
        <v>2076</v>
      </c>
      <c r="AC406" t="s">
        <v>235</v>
      </c>
      <c r="AL406" t="s">
        <v>217</v>
      </c>
      <c r="AM406" t="s">
        <v>2077</v>
      </c>
      <c r="AN406" t="s">
        <v>6</v>
      </c>
      <c r="AO406" s="57">
        <v>46091.444571759261</v>
      </c>
      <c r="AP406" s="57">
        <v>46299.333333333336</v>
      </c>
      <c r="AR406" t="s">
        <v>218</v>
      </c>
      <c r="AS406" t="s">
        <v>105</v>
      </c>
      <c r="AT406" t="s">
        <v>230</v>
      </c>
      <c r="AU406">
        <v>20261004</v>
      </c>
      <c r="AV406" t="s">
        <v>221</v>
      </c>
      <c r="AW406" t="s">
        <v>880</v>
      </c>
      <c r="AX406" t="s">
        <v>222</v>
      </c>
      <c r="BA406" s="57">
        <v>46299.333333333336</v>
      </c>
      <c r="BB406" t="s">
        <v>2077</v>
      </c>
      <c r="BC406">
        <v>2026</v>
      </c>
      <c r="BD406">
        <v>10</v>
      </c>
      <c r="BE406">
        <v>4</v>
      </c>
      <c r="BF406" s="6">
        <f t="shared" si="18"/>
        <v>46299</v>
      </c>
      <c r="BG406">
        <f t="shared" si="19"/>
        <v>-0.33333333333575865</v>
      </c>
      <c r="BH406" t="str">
        <f t="shared" si="20"/>
        <v>COMPLY</v>
      </c>
      <c r="BI406" t="str">
        <f>VLOOKUP(H406,Sheet2!$A$1:$B$270,2,FALSE)</f>
        <v>MOJOKERTO</v>
      </c>
    </row>
    <row r="407" spans="1:61">
      <c r="A407">
        <v>406</v>
      </c>
      <c r="B407">
        <v>1002623650</v>
      </c>
      <c r="C407">
        <v>3</v>
      </c>
      <c r="D407" t="s">
        <v>42</v>
      </c>
      <c r="E407">
        <v>5</v>
      </c>
      <c r="F407" t="s">
        <v>232</v>
      </c>
      <c r="G407" t="s">
        <v>105</v>
      </c>
      <c r="H407" t="s">
        <v>369</v>
      </c>
      <c r="I407" t="s">
        <v>212</v>
      </c>
      <c r="J407" t="s">
        <v>213</v>
      </c>
      <c r="K407" t="s">
        <v>149</v>
      </c>
      <c r="M407" t="s">
        <v>76</v>
      </c>
      <c r="N407" t="s">
        <v>215</v>
      </c>
      <c r="O407" s="57">
        <v>46301.405439814815</v>
      </c>
      <c r="P407" s="57">
        <v>46301.790601851855</v>
      </c>
      <c r="Q407">
        <v>69404749</v>
      </c>
      <c r="S407">
        <v>152312243583</v>
      </c>
      <c r="T407" t="s">
        <v>3430</v>
      </c>
      <c r="U407" t="s">
        <v>3431</v>
      </c>
      <c r="V407" t="s">
        <v>3432</v>
      </c>
      <c r="Z407">
        <v>112.4578559</v>
      </c>
      <c r="AA407">
        <v>-7.5146337000000001</v>
      </c>
      <c r="AB407" t="s">
        <v>3433</v>
      </c>
      <c r="AC407" t="s">
        <v>229</v>
      </c>
      <c r="AL407" t="s">
        <v>217</v>
      </c>
      <c r="AM407" t="s">
        <v>3434</v>
      </c>
      <c r="AN407" t="s">
        <v>6</v>
      </c>
      <c r="AO407" s="57">
        <v>46183.424027777779</v>
      </c>
      <c r="AP407" s="57">
        <v>46302.458333333336</v>
      </c>
      <c r="AR407" t="s">
        <v>218</v>
      </c>
      <c r="AS407" t="s">
        <v>105</v>
      </c>
      <c r="AT407" t="s">
        <v>342</v>
      </c>
      <c r="AU407">
        <v>20261006</v>
      </c>
      <c r="AV407" t="s">
        <v>221</v>
      </c>
      <c r="AW407" t="s">
        <v>3435</v>
      </c>
      <c r="AX407" t="s">
        <v>222</v>
      </c>
      <c r="BA407" s="57">
        <v>46302.458333333336</v>
      </c>
      <c r="BB407" t="s">
        <v>3434</v>
      </c>
      <c r="BC407">
        <v>2026</v>
      </c>
      <c r="BD407">
        <v>10</v>
      </c>
      <c r="BE407">
        <v>6</v>
      </c>
      <c r="BF407" s="6">
        <f t="shared" si="18"/>
        <v>46301</v>
      </c>
      <c r="BG407">
        <f t="shared" si="19"/>
        <v>-1.4583333333357587</v>
      </c>
      <c r="BH407" t="str">
        <f t="shared" si="20"/>
        <v>COMPLY</v>
      </c>
      <c r="BI407" t="str">
        <f>VLOOKUP(H407,Sheet2!$A$1:$B$270,2,FALSE)</f>
        <v>MOJOKERTO</v>
      </c>
    </row>
    <row r="408" spans="1:61">
      <c r="A408">
        <v>407</v>
      </c>
      <c r="B408">
        <v>1002625515</v>
      </c>
      <c r="C408">
        <v>3</v>
      </c>
      <c r="D408" t="s">
        <v>42</v>
      </c>
      <c r="E408">
        <v>5</v>
      </c>
      <c r="F408" t="s">
        <v>232</v>
      </c>
      <c r="G408" t="s">
        <v>105</v>
      </c>
      <c r="H408" t="s">
        <v>369</v>
      </c>
      <c r="I408" t="s">
        <v>212</v>
      </c>
      <c r="J408" t="s">
        <v>213</v>
      </c>
      <c r="K408" t="s">
        <v>149</v>
      </c>
      <c r="M408" t="s">
        <v>238</v>
      </c>
      <c r="N408" t="s">
        <v>215</v>
      </c>
      <c r="O408" s="57">
        <v>46302.413900462961</v>
      </c>
      <c r="P408" s="57">
        <v>46302.525023148148</v>
      </c>
      <c r="Q408">
        <v>69405522</v>
      </c>
      <c r="S408">
        <v>152312243594</v>
      </c>
      <c r="T408" t="s">
        <v>4143</v>
      </c>
      <c r="U408" t="s">
        <v>4139</v>
      </c>
      <c r="V408" t="s">
        <v>4144</v>
      </c>
      <c r="Z408">
        <v>112.460019</v>
      </c>
      <c r="AA408">
        <v>-7.4681623999999998</v>
      </c>
      <c r="AB408" t="s">
        <v>4145</v>
      </c>
      <c r="AC408" t="s">
        <v>229</v>
      </c>
      <c r="AL408" t="s">
        <v>217</v>
      </c>
      <c r="AM408" t="s">
        <v>4146</v>
      </c>
      <c r="AN408" t="s">
        <v>6</v>
      </c>
      <c r="AO408" s="57">
        <v>46213.434340277781</v>
      </c>
      <c r="AP408" s="57">
        <v>46303.458333333336</v>
      </c>
      <c r="AR408" t="s">
        <v>239</v>
      </c>
      <c r="AS408" t="s">
        <v>105</v>
      </c>
      <c r="AT408" t="s">
        <v>220</v>
      </c>
      <c r="AV408" t="s">
        <v>238</v>
      </c>
      <c r="AW408" t="s">
        <v>1475</v>
      </c>
      <c r="AX408" t="s">
        <v>222</v>
      </c>
      <c r="BA408" s="57">
        <v>46303.458333333336</v>
      </c>
      <c r="BB408" t="s">
        <v>4146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str">
        <f>VLOOKUP(H408,Sheet2!$A$1:$B$270,2,FALSE)</f>
        <v>MOJOKERTO</v>
      </c>
    </row>
    <row r="409" spans="1:61">
      <c r="A409">
        <v>408</v>
      </c>
      <c r="B409">
        <v>1002625542</v>
      </c>
      <c r="C409">
        <v>3</v>
      </c>
      <c r="D409" t="s">
        <v>42</v>
      </c>
      <c r="E409">
        <v>5</v>
      </c>
      <c r="F409" t="s">
        <v>232</v>
      </c>
      <c r="G409" t="s">
        <v>105</v>
      </c>
      <c r="H409" t="s">
        <v>369</v>
      </c>
      <c r="I409" t="s">
        <v>212</v>
      </c>
      <c r="J409" t="s">
        <v>213</v>
      </c>
      <c r="K409" t="s">
        <v>149</v>
      </c>
      <c r="M409" t="s">
        <v>1627</v>
      </c>
      <c r="N409" t="s">
        <v>215</v>
      </c>
      <c r="O409" s="57">
        <v>46302.420590277776</v>
      </c>
      <c r="P409" s="57">
        <v>46302.447372685187</v>
      </c>
      <c r="Q409">
        <v>69405530</v>
      </c>
      <c r="S409">
        <v>152312243592</v>
      </c>
      <c r="T409" t="s">
        <v>4147</v>
      </c>
      <c r="U409" t="s">
        <v>4139</v>
      </c>
      <c r="Z409">
        <v>112.460019</v>
      </c>
      <c r="AA409">
        <v>-7.4681623999999998</v>
      </c>
      <c r="AB409" t="s">
        <v>4145</v>
      </c>
      <c r="AC409" t="s">
        <v>229</v>
      </c>
      <c r="AO409" s="57">
        <v>46213.434340277781</v>
      </c>
      <c r="AR409" t="s">
        <v>1632</v>
      </c>
      <c r="AS409" t="s">
        <v>105</v>
      </c>
      <c r="AT409" t="s">
        <v>220</v>
      </c>
      <c r="AV409" t="s">
        <v>4148</v>
      </c>
      <c r="AW409" t="s">
        <v>540</v>
      </c>
      <c r="AX409" t="s">
        <v>222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str">
        <f>VLOOKUP(H409,Sheet2!$A$1:$B$270,2,FALSE)</f>
        <v>MOJOKERTO</v>
      </c>
    </row>
    <row r="410" spans="1:61">
      <c r="A410">
        <v>409</v>
      </c>
      <c r="B410">
        <v>1002623921</v>
      </c>
      <c r="C410">
        <v>3</v>
      </c>
      <c r="D410" t="s">
        <v>42</v>
      </c>
      <c r="E410">
        <v>5</v>
      </c>
      <c r="F410" t="s">
        <v>232</v>
      </c>
      <c r="G410" t="s">
        <v>101</v>
      </c>
      <c r="H410" t="s">
        <v>425</v>
      </c>
      <c r="I410" t="s">
        <v>212</v>
      </c>
      <c r="J410" t="s">
        <v>213</v>
      </c>
      <c r="K410" t="s">
        <v>149</v>
      </c>
      <c r="L410" t="s">
        <v>214</v>
      </c>
      <c r="M410" t="s">
        <v>542</v>
      </c>
      <c r="N410" t="s">
        <v>215</v>
      </c>
      <c r="O410" s="57">
        <v>46301.455960648149</v>
      </c>
      <c r="P410" s="57">
        <v>46301.455960648149</v>
      </c>
      <c r="Q410">
        <v>69402355</v>
      </c>
      <c r="T410" t="s">
        <v>1160</v>
      </c>
      <c r="V410" t="s">
        <v>1162</v>
      </c>
      <c r="Z410">
        <v>112.511</v>
      </c>
      <c r="AA410">
        <v>-7.4028600000000004</v>
      </c>
      <c r="AB410" t="s">
        <v>1163</v>
      </c>
      <c r="AC410" t="s">
        <v>235</v>
      </c>
      <c r="AL410" t="s">
        <v>217</v>
      </c>
      <c r="AM410" t="s">
        <v>1164</v>
      </c>
      <c r="AN410" t="s">
        <v>6</v>
      </c>
      <c r="AO410" s="57">
        <v>46183.475752314815</v>
      </c>
      <c r="AP410" s="57">
        <v>46297</v>
      </c>
      <c r="AR410" t="s">
        <v>543</v>
      </c>
      <c r="AS410" t="s">
        <v>560</v>
      </c>
      <c r="AT410" t="s">
        <v>230</v>
      </c>
      <c r="AV410" t="s">
        <v>3436</v>
      </c>
      <c r="AW410" t="s">
        <v>886</v>
      </c>
      <c r="AX410" t="s">
        <v>222</v>
      </c>
      <c r="BA410" s="57">
        <v>46297.458333333336</v>
      </c>
      <c r="BB410" t="s">
        <v>1164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SIDOARJO</v>
      </c>
    </row>
    <row r="411" spans="1:61">
      <c r="A411">
        <v>410</v>
      </c>
      <c r="B411">
        <v>1002626384</v>
      </c>
      <c r="C411">
        <v>3</v>
      </c>
      <c r="D411" t="s">
        <v>42</v>
      </c>
      <c r="E411">
        <v>5</v>
      </c>
      <c r="F411" t="s">
        <v>232</v>
      </c>
      <c r="G411" t="s">
        <v>101</v>
      </c>
      <c r="H411" t="s">
        <v>425</v>
      </c>
      <c r="I411" t="s">
        <v>212</v>
      </c>
      <c r="J411" t="s">
        <v>213</v>
      </c>
      <c r="K411" t="s">
        <v>149</v>
      </c>
      <c r="L411" t="s">
        <v>214</v>
      </c>
      <c r="M411" t="s">
        <v>238</v>
      </c>
      <c r="N411" t="s">
        <v>215</v>
      </c>
      <c r="O411" s="57">
        <v>46302.60670138889</v>
      </c>
      <c r="P411" s="57">
        <v>46302.608414351853</v>
      </c>
      <c r="Q411">
        <v>69405945</v>
      </c>
      <c r="S411">
        <v>152331251971</v>
      </c>
      <c r="T411" t="s">
        <v>4149</v>
      </c>
      <c r="U411" t="s">
        <v>4150</v>
      </c>
      <c r="V411" t="s">
        <v>4151</v>
      </c>
      <c r="Z411">
        <v>112.6039614</v>
      </c>
      <c r="AA411">
        <v>-7.3871428999999997</v>
      </c>
      <c r="AB411" t="s">
        <v>4152</v>
      </c>
      <c r="AC411" t="s">
        <v>235</v>
      </c>
      <c r="AL411" t="s">
        <v>217</v>
      </c>
      <c r="AM411" t="s">
        <v>4074</v>
      </c>
      <c r="AN411" t="s">
        <v>6</v>
      </c>
      <c r="AO411" s="57">
        <v>46213.611087962963</v>
      </c>
      <c r="AP411" s="57">
        <v>46303.458333333336</v>
      </c>
      <c r="AR411" t="s">
        <v>239</v>
      </c>
      <c r="AS411" t="s">
        <v>560</v>
      </c>
      <c r="AT411" t="s">
        <v>230</v>
      </c>
      <c r="AV411" t="s">
        <v>238</v>
      </c>
      <c r="AW411" t="s">
        <v>877</v>
      </c>
      <c r="AX411" t="s">
        <v>222</v>
      </c>
      <c r="BA411" s="57">
        <v>46303.458333333336</v>
      </c>
      <c r="BB411" t="s">
        <v>4074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SIDOARJO</v>
      </c>
    </row>
    <row r="412" spans="1:61">
      <c r="A412">
        <v>411</v>
      </c>
      <c r="B412">
        <v>1002617823</v>
      </c>
      <c r="C412">
        <v>3</v>
      </c>
      <c r="D412" t="s">
        <v>42</v>
      </c>
      <c r="E412">
        <v>5</v>
      </c>
      <c r="F412" t="s">
        <v>232</v>
      </c>
      <c r="G412" t="s">
        <v>101</v>
      </c>
      <c r="H412" t="s">
        <v>425</v>
      </c>
      <c r="I412" t="s">
        <v>212</v>
      </c>
      <c r="J412" t="s">
        <v>213</v>
      </c>
      <c r="K412" t="s">
        <v>149</v>
      </c>
      <c r="L412" t="s">
        <v>214</v>
      </c>
      <c r="M412" t="s">
        <v>1921</v>
      </c>
      <c r="N412" t="s">
        <v>215</v>
      </c>
      <c r="O412" s="57">
        <v>46296.553182870368</v>
      </c>
      <c r="P412" s="57">
        <v>46301.456435185188</v>
      </c>
      <c r="Q412">
        <v>69402355</v>
      </c>
      <c r="S412">
        <v>152331251875</v>
      </c>
      <c r="T412" t="s">
        <v>1160</v>
      </c>
      <c r="U412" t="s">
        <v>1161</v>
      </c>
      <c r="V412" t="s">
        <v>1162</v>
      </c>
      <c r="Z412">
        <v>112.51153100000001</v>
      </c>
      <c r="AA412">
        <v>-7.4020760000000001</v>
      </c>
      <c r="AB412" t="s">
        <v>1163</v>
      </c>
      <c r="AC412" t="s">
        <v>235</v>
      </c>
      <c r="AL412" t="s">
        <v>217</v>
      </c>
      <c r="AM412" t="s">
        <v>1164</v>
      </c>
      <c r="AN412" t="s">
        <v>6</v>
      </c>
      <c r="AO412" s="57">
        <v>46032.559305555558</v>
      </c>
      <c r="AP412" s="57">
        <v>46297.458333333336</v>
      </c>
      <c r="AQ412" t="s">
        <v>838</v>
      </c>
      <c r="AR412" t="s">
        <v>12</v>
      </c>
      <c r="AS412" t="s">
        <v>560</v>
      </c>
      <c r="AT412" t="s">
        <v>230</v>
      </c>
      <c r="AV412" t="s">
        <v>1628</v>
      </c>
      <c r="AW412" t="s">
        <v>886</v>
      </c>
      <c r="AX412" t="s">
        <v>222</v>
      </c>
      <c r="BA412" s="57">
        <v>46297.458333333336</v>
      </c>
      <c r="BB412" t="s">
        <v>1164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SIDOARJO</v>
      </c>
    </row>
    <row r="413" spans="1:61">
      <c r="A413">
        <v>412</v>
      </c>
      <c r="B413">
        <v>1002617312</v>
      </c>
      <c r="C413">
        <v>3</v>
      </c>
      <c r="D413" t="s">
        <v>42</v>
      </c>
      <c r="E413">
        <v>5</v>
      </c>
      <c r="F413" t="s">
        <v>232</v>
      </c>
      <c r="G413" t="s">
        <v>101</v>
      </c>
      <c r="H413" t="s">
        <v>499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46296.431018518517</v>
      </c>
      <c r="P413" s="57">
        <v>46297.702141203707</v>
      </c>
      <c r="Q413">
        <v>69402163</v>
      </c>
      <c r="S413">
        <v>152328218520</v>
      </c>
      <c r="T413" t="s">
        <v>1170</v>
      </c>
      <c r="U413" t="s">
        <v>1171</v>
      </c>
      <c r="V413" t="s">
        <v>1172</v>
      </c>
      <c r="Z413">
        <v>112.65343230000001</v>
      </c>
      <c r="AA413">
        <v>-7.4160553</v>
      </c>
      <c r="AB413" t="s">
        <v>1173</v>
      </c>
      <c r="AC413" t="s">
        <v>216</v>
      </c>
      <c r="AL413" t="s">
        <v>217</v>
      </c>
      <c r="AM413" t="s">
        <v>1174</v>
      </c>
      <c r="AN413" t="s">
        <v>6</v>
      </c>
      <c r="AO413" s="57">
        <v>46032.434247685182</v>
      </c>
      <c r="AP413" s="57">
        <v>46297.458333333336</v>
      </c>
      <c r="AR413" t="s">
        <v>218</v>
      </c>
      <c r="AS413" t="s">
        <v>232</v>
      </c>
      <c r="AT413" t="s">
        <v>220</v>
      </c>
      <c r="AU413">
        <v>20261002</v>
      </c>
      <c r="AV413" t="s">
        <v>221</v>
      </c>
      <c r="AW413" t="s">
        <v>850</v>
      </c>
      <c r="AX413" t="s">
        <v>222</v>
      </c>
      <c r="BA413" s="57">
        <v>46297.458333333336</v>
      </c>
      <c r="BB413" t="s">
        <v>1174</v>
      </c>
      <c r="BC413">
        <v>2026</v>
      </c>
      <c r="BD413">
        <v>10</v>
      </c>
      <c r="BE413">
        <v>2</v>
      </c>
      <c r="BF413" s="6">
        <f t="shared" si="18"/>
        <v>46297</v>
      </c>
      <c r="BG413">
        <f t="shared" si="19"/>
        <v>-0.45833333333575865</v>
      </c>
      <c r="BH413" t="str">
        <f t="shared" si="20"/>
        <v>COMPLY</v>
      </c>
      <c r="BI413" t="str">
        <f>VLOOKUP(H413,Sheet2!$A$1:$B$270,2,FALSE)</f>
        <v>SIDOARJO</v>
      </c>
    </row>
    <row r="414" spans="1:61">
      <c r="A414">
        <v>413</v>
      </c>
      <c r="B414">
        <v>1002616839</v>
      </c>
      <c r="C414">
        <v>3</v>
      </c>
      <c r="D414" t="s">
        <v>42</v>
      </c>
      <c r="E414">
        <v>5</v>
      </c>
      <c r="F414" t="s">
        <v>232</v>
      </c>
      <c r="G414" t="s">
        <v>101</v>
      </c>
      <c r="H414" t="s">
        <v>499</v>
      </c>
      <c r="I414" t="s">
        <v>212</v>
      </c>
      <c r="J414" t="s">
        <v>213</v>
      </c>
      <c r="K414" t="s">
        <v>149</v>
      </c>
      <c r="M414" t="s">
        <v>76</v>
      </c>
      <c r="N414" t="s">
        <v>215</v>
      </c>
      <c r="O414" s="57">
        <v>46296.335347222222</v>
      </c>
      <c r="P414" s="57">
        <v>46296.930648148147</v>
      </c>
      <c r="Q414">
        <v>69401984</v>
      </c>
      <c r="S414">
        <v>152328218519</v>
      </c>
      <c r="T414" t="s">
        <v>1165</v>
      </c>
      <c r="U414" t="s">
        <v>1166</v>
      </c>
      <c r="V414" t="s">
        <v>1167</v>
      </c>
      <c r="Z414">
        <v>112.66993990135801</v>
      </c>
      <c r="AA414">
        <v>-7.40526673854795</v>
      </c>
      <c r="AB414" t="s">
        <v>1168</v>
      </c>
      <c r="AC414" t="s">
        <v>229</v>
      </c>
      <c r="AL414" t="s">
        <v>217</v>
      </c>
      <c r="AM414" t="s">
        <v>1169</v>
      </c>
      <c r="AN414" t="s">
        <v>6</v>
      </c>
      <c r="AO414" s="57">
        <v>46032.351168981484</v>
      </c>
      <c r="AP414" s="57">
        <v>46297.333333333336</v>
      </c>
      <c r="AR414" t="s">
        <v>218</v>
      </c>
      <c r="AS414" t="s">
        <v>232</v>
      </c>
      <c r="AT414" t="s">
        <v>230</v>
      </c>
      <c r="AU414">
        <v>20261001</v>
      </c>
      <c r="AV414" t="s">
        <v>221</v>
      </c>
      <c r="AW414" t="s">
        <v>540</v>
      </c>
      <c r="AX414" t="s">
        <v>222</v>
      </c>
      <c r="BA414" s="57">
        <v>46297.333333333336</v>
      </c>
      <c r="BB414" t="s">
        <v>1169</v>
      </c>
      <c r="BC414">
        <v>2026</v>
      </c>
      <c r="BD414">
        <v>10</v>
      </c>
      <c r="BE414">
        <v>1</v>
      </c>
      <c r="BF414" s="6">
        <f t="shared" si="18"/>
        <v>46296</v>
      </c>
      <c r="BG414">
        <f t="shared" si="19"/>
        <v>-1.3333333333357587</v>
      </c>
      <c r="BH414" t="str">
        <f t="shared" si="20"/>
        <v>COMPLY</v>
      </c>
      <c r="BI414" t="str">
        <f>VLOOKUP(H414,Sheet2!$A$1:$B$270,2,FALSE)</f>
        <v>SIDOARJO</v>
      </c>
    </row>
    <row r="415" spans="1:61">
      <c r="A415">
        <v>414</v>
      </c>
      <c r="B415">
        <v>1002622108</v>
      </c>
      <c r="C415">
        <v>3</v>
      </c>
      <c r="D415" t="s">
        <v>42</v>
      </c>
      <c r="E415">
        <v>5</v>
      </c>
      <c r="F415" t="s">
        <v>232</v>
      </c>
      <c r="G415" t="s">
        <v>101</v>
      </c>
      <c r="H415" t="s">
        <v>499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46300.463645833333</v>
      </c>
      <c r="P415" s="57">
        <v>46302.359178240738</v>
      </c>
      <c r="Q415">
        <v>69404212</v>
      </c>
      <c r="S415">
        <v>152328218537</v>
      </c>
      <c r="T415" t="s">
        <v>2799</v>
      </c>
      <c r="U415" t="s">
        <v>2800</v>
      </c>
      <c r="V415" t="s">
        <v>2801</v>
      </c>
      <c r="Z415">
        <v>112.673755</v>
      </c>
      <c r="AA415">
        <v>-7.3944080000000003</v>
      </c>
      <c r="AB415" t="s">
        <v>2802</v>
      </c>
      <c r="AC415" t="s">
        <v>235</v>
      </c>
      <c r="AL415" t="s">
        <v>217</v>
      </c>
      <c r="AM415" t="s">
        <v>2637</v>
      </c>
      <c r="AN415" t="s">
        <v>6</v>
      </c>
      <c r="AO415" s="57">
        <v>46152.486157407409</v>
      </c>
      <c r="AP415" s="57">
        <v>46301.333333333336</v>
      </c>
      <c r="AR415" t="s">
        <v>218</v>
      </c>
      <c r="AS415" t="s">
        <v>232</v>
      </c>
      <c r="AT415" t="s">
        <v>230</v>
      </c>
      <c r="AU415">
        <v>20261007</v>
      </c>
      <c r="AV415" t="s">
        <v>221</v>
      </c>
      <c r="AW415" t="s">
        <v>2632</v>
      </c>
      <c r="AX415" t="s">
        <v>222</v>
      </c>
      <c r="BA415" s="57">
        <v>46301.333333333336</v>
      </c>
      <c r="BB415" t="s">
        <v>2637</v>
      </c>
      <c r="BC415">
        <v>2026</v>
      </c>
      <c r="BD415">
        <v>10</v>
      </c>
      <c r="BE415">
        <v>7</v>
      </c>
      <c r="BF415" s="6">
        <f t="shared" si="18"/>
        <v>46302</v>
      </c>
      <c r="BG415">
        <f t="shared" si="19"/>
        <v>0.66666666666424135</v>
      </c>
      <c r="BH415" t="str">
        <f t="shared" si="20"/>
        <v>COMPLY</v>
      </c>
      <c r="BI415" t="str">
        <f>VLOOKUP(H415,Sheet2!$A$1:$B$270,2,FALSE)</f>
        <v>SIDOARJO</v>
      </c>
    </row>
    <row r="416" spans="1:61">
      <c r="A416">
        <v>415</v>
      </c>
      <c r="B416">
        <v>1002617423</v>
      </c>
      <c r="C416">
        <v>3</v>
      </c>
      <c r="D416" t="s">
        <v>42</v>
      </c>
      <c r="E416">
        <v>5</v>
      </c>
      <c r="F416" t="s">
        <v>232</v>
      </c>
      <c r="G416" t="s">
        <v>101</v>
      </c>
      <c r="H416" t="s">
        <v>258</v>
      </c>
      <c r="I416" t="s">
        <v>212</v>
      </c>
      <c r="J416" t="s">
        <v>213</v>
      </c>
      <c r="K416" t="s">
        <v>149</v>
      </c>
      <c r="L416" t="s">
        <v>214</v>
      </c>
      <c r="M416" t="s">
        <v>1401</v>
      </c>
      <c r="N416" t="s">
        <v>215</v>
      </c>
      <c r="O416" s="57">
        <v>46296.446979166663</v>
      </c>
      <c r="P416" s="57">
        <v>46300.59474537037</v>
      </c>
      <c r="Q416">
        <v>69402198</v>
      </c>
      <c r="S416">
        <v>152316233175</v>
      </c>
      <c r="T416" t="s">
        <v>1180</v>
      </c>
      <c r="U416" t="s">
        <v>1181</v>
      </c>
      <c r="V416" t="s">
        <v>1182</v>
      </c>
      <c r="Z416">
        <v>112.6811052</v>
      </c>
      <c r="AA416">
        <v>-7.4230592</v>
      </c>
      <c r="AB416" t="s">
        <v>1183</v>
      </c>
      <c r="AC416" t="s">
        <v>235</v>
      </c>
      <c r="AL416" t="s">
        <v>217</v>
      </c>
      <c r="AM416" t="s">
        <v>1184</v>
      </c>
      <c r="AN416" t="s">
        <v>6</v>
      </c>
      <c r="AO416" s="57">
        <v>46032.486342592594</v>
      </c>
      <c r="AP416" s="57">
        <v>46297.333333333336</v>
      </c>
      <c r="AQ416" t="s">
        <v>841</v>
      </c>
      <c r="AR416" t="s">
        <v>14</v>
      </c>
      <c r="AS416" t="s">
        <v>232</v>
      </c>
      <c r="AT416" t="s">
        <v>342</v>
      </c>
      <c r="AV416" t="s">
        <v>2803</v>
      </c>
      <c r="AW416" t="s">
        <v>821</v>
      </c>
      <c r="AX416" t="s">
        <v>222</v>
      </c>
      <c r="BA416" s="57">
        <v>46297.333333333336</v>
      </c>
      <c r="BB416" t="s">
        <v>1184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SIDOARJO</v>
      </c>
    </row>
    <row r="417" spans="1:61">
      <c r="A417">
        <v>416</v>
      </c>
      <c r="B417">
        <v>1002617556</v>
      </c>
      <c r="C417">
        <v>3</v>
      </c>
      <c r="D417" t="s">
        <v>42</v>
      </c>
      <c r="E417">
        <v>5</v>
      </c>
      <c r="F417" t="s">
        <v>232</v>
      </c>
      <c r="G417" t="s">
        <v>101</v>
      </c>
      <c r="H417" t="s">
        <v>258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46296.470532407409</v>
      </c>
      <c r="P417" s="57">
        <v>46297.662361111114</v>
      </c>
      <c r="Q417">
        <v>69402243</v>
      </c>
      <c r="S417">
        <v>152316233179</v>
      </c>
      <c r="T417" t="s">
        <v>1175</v>
      </c>
      <c r="U417" t="s">
        <v>1176</v>
      </c>
      <c r="V417" t="s">
        <v>1177</v>
      </c>
      <c r="Z417">
        <v>112.69584570000001</v>
      </c>
      <c r="AA417">
        <v>-7.4521503999999998</v>
      </c>
      <c r="AB417" t="s">
        <v>1178</v>
      </c>
      <c r="AC417" t="s">
        <v>216</v>
      </c>
      <c r="AL417" t="s">
        <v>217</v>
      </c>
      <c r="AM417" t="s">
        <v>1179</v>
      </c>
      <c r="AN417" t="s">
        <v>6</v>
      </c>
      <c r="AO417" s="57">
        <v>46032.486342592594</v>
      </c>
      <c r="AP417" s="57">
        <v>46297.333333333336</v>
      </c>
      <c r="AR417" t="s">
        <v>218</v>
      </c>
      <c r="AS417" t="s">
        <v>232</v>
      </c>
      <c r="AT417" t="s">
        <v>230</v>
      </c>
      <c r="AU417">
        <v>20261002</v>
      </c>
      <c r="AV417" t="s">
        <v>221</v>
      </c>
      <c r="AW417" t="s">
        <v>883</v>
      </c>
      <c r="AX417" t="s">
        <v>222</v>
      </c>
      <c r="BA417" s="57">
        <v>46297.333333333336</v>
      </c>
      <c r="BB417" t="s">
        <v>1179</v>
      </c>
      <c r="BC417">
        <v>2026</v>
      </c>
      <c r="BD417">
        <v>10</v>
      </c>
      <c r="BE417">
        <v>2</v>
      </c>
      <c r="BF417" s="6">
        <f t="shared" si="18"/>
        <v>46297</v>
      </c>
      <c r="BG417">
        <f t="shared" si="19"/>
        <v>-0.33333333333575865</v>
      </c>
      <c r="BH417" t="str">
        <f t="shared" si="20"/>
        <v>COMPLY</v>
      </c>
      <c r="BI417" t="str">
        <f>VLOOKUP(H417,Sheet2!$A$1:$B$270,2,FALSE)</f>
        <v>SIDOARJO</v>
      </c>
    </row>
    <row r="418" spans="1:61">
      <c r="A418">
        <v>417</v>
      </c>
      <c r="B418">
        <v>1002620004</v>
      </c>
      <c r="C418">
        <v>3</v>
      </c>
      <c r="D418" t="s">
        <v>42</v>
      </c>
      <c r="E418">
        <v>5</v>
      </c>
      <c r="F418" t="s">
        <v>232</v>
      </c>
      <c r="G418" t="s">
        <v>101</v>
      </c>
      <c r="H418" t="s">
        <v>258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46297.601851851854</v>
      </c>
      <c r="P418" s="57">
        <v>46298.418310185189</v>
      </c>
      <c r="Q418">
        <v>69403171</v>
      </c>
      <c r="S418">
        <v>152316231844</v>
      </c>
      <c r="T418" t="s">
        <v>2081</v>
      </c>
      <c r="U418" t="s">
        <v>2082</v>
      </c>
      <c r="V418" t="s">
        <v>2083</v>
      </c>
      <c r="Z418">
        <v>112.701519057154</v>
      </c>
      <c r="AA418">
        <v>-7.4495876911207297</v>
      </c>
      <c r="AB418" t="s">
        <v>2084</v>
      </c>
      <c r="AC418" t="s">
        <v>216</v>
      </c>
      <c r="AL418" t="s">
        <v>217</v>
      </c>
      <c r="AM418" t="s">
        <v>2085</v>
      </c>
      <c r="AN418" t="s">
        <v>6</v>
      </c>
      <c r="AO418" s="57">
        <v>46063.61105324074</v>
      </c>
      <c r="AP418" s="57">
        <v>46298.458333333336</v>
      </c>
      <c r="AR418" t="s">
        <v>218</v>
      </c>
      <c r="AS418" t="s">
        <v>232</v>
      </c>
      <c r="AT418" t="s">
        <v>230</v>
      </c>
      <c r="AU418">
        <v>20261003</v>
      </c>
      <c r="AV418" t="s">
        <v>221</v>
      </c>
      <c r="AW418" t="s">
        <v>886</v>
      </c>
      <c r="AX418" t="s">
        <v>222</v>
      </c>
      <c r="BA418" s="57">
        <v>46298.458333333336</v>
      </c>
      <c r="BB418" t="s">
        <v>2085</v>
      </c>
      <c r="BC418">
        <v>2026</v>
      </c>
      <c r="BD418">
        <v>10</v>
      </c>
      <c r="BE418">
        <v>3</v>
      </c>
      <c r="BF418" s="6">
        <f t="shared" si="18"/>
        <v>46298</v>
      </c>
      <c r="BG418">
        <f t="shared" si="19"/>
        <v>-0.45833333333575865</v>
      </c>
      <c r="BH418" t="str">
        <f t="shared" si="20"/>
        <v>COMPLY</v>
      </c>
      <c r="BI418" t="str">
        <f>VLOOKUP(H418,Sheet2!$A$1:$B$270,2,FALSE)</f>
        <v>SIDOARJO</v>
      </c>
    </row>
    <row r="419" spans="1:61">
      <c r="A419">
        <v>418</v>
      </c>
      <c r="B419">
        <v>1002622609</v>
      </c>
      <c r="C419">
        <v>3</v>
      </c>
      <c r="D419" t="s">
        <v>42</v>
      </c>
      <c r="E419">
        <v>5</v>
      </c>
      <c r="F419" t="s">
        <v>232</v>
      </c>
      <c r="G419" t="s">
        <v>101</v>
      </c>
      <c r="H419" t="s">
        <v>258</v>
      </c>
      <c r="I419" t="s">
        <v>212</v>
      </c>
      <c r="J419" t="s">
        <v>213</v>
      </c>
      <c r="K419" t="s">
        <v>149</v>
      </c>
      <c r="M419" t="s">
        <v>76</v>
      </c>
      <c r="N419" t="s">
        <v>215</v>
      </c>
      <c r="O419" s="57">
        <v>46300.59474537037</v>
      </c>
      <c r="P419" s="57">
        <v>46300.73778935185</v>
      </c>
      <c r="Q419">
        <v>69402198</v>
      </c>
      <c r="S419">
        <v>152316233305</v>
      </c>
      <c r="T419" t="s">
        <v>1180</v>
      </c>
      <c r="U419" t="s">
        <v>1181</v>
      </c>
      <c r="V419" t="s">
        <v>2804</v>
      </c>
      <c r="Z419">
        <v>112.681397</v>
      </c>
      <c r="AA419">
        <v>-7.4233900000000004</v>
      </c>
      <c r="AB419" t="s">
        <v>1183</v>
      </c>
      <c r="AC419" t="s">
        <v>229</v>
      </c>
      <c r="AL419" t="s">
        <v>217</v>
      </c>
      <c r="AM419" t="s">
        <v>2805</v>
      </c>
      <c r="AN419" t="s">
        <v>6</v>
      </c>
      <c r="AO419" s="57">
        <v>46152.601203703707</v>
      </c>
      <c r="AR419" t="s">
        <v>218</v>
      </c>
      <c r="AS419" t="s">
        <v>232</v>
      </c>
      <c r="AT419" t="s">
        <v>342</v>
      </c>
      <c r="AU419">
        <v>20261005</v>
      </c>
      <c r="AV419" t="s">
        <v>221</v>
      </c>
      <c r="AW419" t="s">
        <v>2806</v>
      </c>
      <c r="AX419" t="s">
        <v>222</v>
      </c>
      <c r="BA419" s="57">
        <v>46300.291666666664</v>
      </c>
      <c r="BB419" t="s">
        <v>2805</v>
      </c>
      <c r="BC419">
        <v>2026</v>
      </c>
      <c r="BD419">
        <v>10</v>
      </c>
      <c r="BE419">
        <v>5</v>
      </c>
      <c r="BF419" s="6">
        <f t="shared" si="18"/>
        <v>46300</v>
      </c>
      <c r="BG419">
        <f t="shared" si="19"/>
        <v>-0.29166666666424135</v>
      </c>
      <c r="BH419" t="str">
        <f t="shared" si="20"/>
        <v>COMPLY</v>
      </c>
      <c r="BI419" t="str">
        <f>VLOOKUP(H419,Sheet2!$A$1:$B$270,2,FALSE)</f>
        <v>SIDOARJO</v>
      </c>
    </row>
    <row r="420" spans="1:61">
      <c r="A420">
        <v>419</v>
      </c>
      <c r="B420">
        <v>1002622455</v>
      </c>
      <c r="C420">
        <v>3</v>
      </c>
      <c r="D420" t="s">
        <v>42</v>
      </c>
      <c r="E420">
        <v>5</v>
      </c>
      <c r="F420" t="s">
        <v>232</v>
      </c>
      <c r="G420" t="s">
        <v>101</v>
      </c>
      <c r="H420" t="s">
        <v>258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46300.566377314812</v>
      </c>
      <c r="P420" s="57">
        <v>46301.348437499997</v>
      </c>
      <c r="Q420">
        <v>69404356</v>
      </c>
      <c r="S420">
        <v>152316233304</v>
      </c>
      <c r="T420" t="s">
        <v>2807</v>
      </c>
      <c r="U420" t="s">
        <v>2808</v>
      </c>
      <c r="V420" t="s">
        <v>2809</v>
      </c>
      <c r="Z420">
        <v>112.720407843589</v>
      </c>
      <c r="AA420">
        <v>-7.4553270041890398</v>
      </c>
      <c r="AB420" t="s">
        <v>2810</v>
      </c>
      <c r="AC420" t="s">
        <v>216</v>
      </c>
      <c r="AL420" t="s">
        <v>217</v>
      </c>
      <c r="AM420" t="s">
        <v>2811</v>
      </c>
      <c r="AN420" t="s">
        <v>6</v>
      </c>
      <c r="AO420" s="57">
        <v>46152.569618055553</v>
      </c>
      <c r="AP420" s="57">
        <v>46301.458333333336</v>
      </c>
      <c r="AR420" t="s">
        <v>218</v>
      </c>
      <c r="AS420" t="s">
        <v>232</v>
      </c>
      <c r="AT420" t="s">
        <v>220</v>
      </c>
      <c r="AU420">
        <v>20261006</v>
      </c>
      <c r="AV420" t="s">
        <v>221</v>
      </c>
      <c r="AW420" t="s">
        <v>1817</v>
      </c>
      <c r="AX420" t="s">
        <v>222</v>
      </c>
      <c r="BA420" s="57">
        <v>46301.458333333336</v>
      </c>
      <c r="BB420" t="s">
        <v>2811</v>
      </c>
      <c r="BC420">
        <v>2026</v>
      </c>
      <c r="BD420">
        <v>10</v>
      </c>
      <c r="BE420">
        <v>6</v>
      </c>
      <c r="BF420" s="6">
        <f t="shared" si="18"/>
        <v>46301</v>
      </c>
      <c r="BG420">
        <f t="shared" si="19"/>
        <v>-0.45833333333575865</v>
      </c>
      <c r="BH420" t="str">
        <f t="shared" si="20"/>
        <v>COMPLY</v>
      </c>
      <c r="BI420" t="str">
        <f>VLOOKUP(H420,Sheet2!$A$1:$B$270,2,FALSE)</f>
        <v>SIDOARJO</v>
      </c>
    </row>
    <row r="421" spans="1:61">
      <c r="A421">
        <v>420</v>
      </c>
      <c r="B421">
        <v>1002625047</v>
      </c>
      <c r="C421">
        <v>3</v>
      </c>
      <c r="D421" t="s">
        <v>42</v>
      </c>
      <c r="E421">
        <v>5</v>
      </c>
      <c r="F421" t="s">
        <v>232</v>
      </c>
      <c r="G421" t="s">
        <v>101</v>
      </c>
      <c r="H421" t="s">
        <v>258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46301.701840277776</v>
      </c>
      <c r="P421" s="57">
        <v>46301.89203703704</v>
      </c>
      <c r="Q421">
        <v>69405348</v>
      </c>
      <c r="S421">
        <v>152316233342</v>
      </c>
      <c r="T421" t="s">
        <v>3437</v>
      </c>
      <c r="U421" t="s">
        <v>3438</v>
      </c>
      <c r="V421" t="s">
        <v>3439</v>
      </c>
      <c r="Z421">
        <v>112.71526236087</v>
      </c>
      <c r="AA421">
        <v>-7.4461501842499596</v>
      </c>
      <c r="AB421" t="s">
        <v>3440</v>
      </c>
      <c r="AC421" t="s">
        <v>216</v>
      </c>
      <c r="AL421" t="s">
        <v>217</v>
      </c>
      <c r="AM421" t="s">
        <v>3441</v>
      </c>
      <c r="AN421" t="s">
        <v>6</v>
      </c>
      <c r="AO421" s="57">
        <v>46183.705092592594</v>
      </c>
      <c r="AP421" s="57">
        <v>46302.625</v>
      </c>
      <c r="AQ421" t="s">
        <v>841</v>
      </c>
      <c r="AR421" t="s">
        <v>218</v>
      </c>
      <c r="AS421" t="s">
        <v>232</v>
      </c>
      <c r="AT421" t="s">
        <v>342</v>
      </c>
      <c r="AU421">
        <v>20261006</v>
      </c>
      <c r="AV421" t="s">
        <v>221</v>
      </c>
      <c r="AW421" t="s">
        <v>2328</v>
      </c>
      <c r="AX421" t="s">
        <v>222</v>
      </c>
      <c r="BA421" s="57">
        <v>46302.625</v>
      </c>
      <c r="BB421" t="s">
        <v>3441</v>
      </c>
      <c r="BC421">
        <v>2026</v>
      </c>
      <c r="BD421">
        <v>10</v>
      </c>
      <c r="BE421">
        <v>6</v>
      </c>
      <c r="BF421" s="6">
        <f t="shared" si="18"/>
        <v>46301</v>
      </c>
      <c r="BG421">
        <f t="shared" si="19"/>
        <v>-1.625</v>
      </c>
      <c r="BH421" t="str">
        <f t="shared" si="20"/>
        <v>COMPLY</v>
      </c>
      <c r="BI421" t="str">
        <f>VLOOKUP(H421,Sheet2!$A$1:$B$270,2,FALSE)</f>
        <v>SIDOARJO</v>
      </c>
    </row>
    <row r="422" spans="1:61">
      <c r="A422">
        <v>421</v>
      </c>
      <c r="B422">
        <v>1002626693</v>
      </c>
      <c r="C422">
        <v>3</v>
      </c>
      <c r="D422" t="s">
        <v>42</v>
      </c>
      <c r="E422">
        <v>5</v>
      </c>
      <c r="F422" t="s">
        <v>232</v>
      </c>
      <c r="G422" t="s">
        <v>101</v>
      </c>
      <c r="H422" t="s">
        <v>258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46302.668495370373</v>
      </c>
      <c r="P422" s="57">
        <v>46302.797766203701</v>
      </c>
      <c r="Q422">
        <v>69406052</v>
      </c>
      <c r="S422">
        <v>152316233377</v>
      </c>
      <c r="T422" t="s">
        <v>4153</v>
      </c>
      <c r="U422" t="s">
        <v>2808</v>
      </c>
      <c r="V422" t="s">
        <v>4154</v>
      </c>
      <c r="Z422">
        <v>112.720584198832</v>
      </c>
      <c r="AA422">
        <v>-7.4553113794235601</v>
      </c>
      <c r="AB422" t="s">
        <v>4155</v>
      </c>
      <c r="AC422" t="s">
        <v>216</v>
      </c>
      <c r="AL422" t="s">
        <v>217</v>
      </c>
      <c r="AM422" t="s">
        <v>3739</v>
      </c>
      <c r="AN422" t="s">
        <v>6</v>
      </c>
      <c r="AO422" s="57">
        <v>46213.67386574074</v>
      </c>
      <c r="AP422" s="57">
        <v>46303.625</v>
      </c>
      <c r="AR422" t="s">
        <v>218</v>
      </c>
      <c r="AS422" t="s">
        <v>232</v>
      </c>
      <c r="AT422" t="s">
        <v>342</v>
      </c>
      <c r="AU422">
        <v>20261007</v>
      </c>
      <c r="AV422" t="s">
        <v>221</v>
      </c>
      <c r="AW422" t="s">
        <v>2593</v>
      </c>
      <c r="AX422" t="s">
        <v>222</v>
      </c>
      <c r="BA422" s="57">
        <v>46303.625</v>
      </c>
      <c r="BB422" t="s">
        <v>3739</v>
      </c>
      <c r="BC422">
        <v>2026</v>
      </c>
      <c r="BD422">
        <v>10</v>
      </c>
      <c r="BE422">
        <v>7</v>
      </c>
      <c r="BF422" s="6">
        <f t="shared" si="18"/>
        <v>46302</v>
      </c>
      <c r="BG422">
        <f t="shared" si="19"/>
        <v>-1.625</v>
      </c>
      <c r="BH422" t="str">
        <f t="shared" si="20"/>
        <v>COMPLY</v>
      </c>
      <c r="BI422" t="str">
        <f>VLOOKUP(H422,Sheet2!$A$1:$B$270,2,FALSE)</f>
        <v>SIDOARJO</v>
      </c>
    </row>
    <row r="423" spans="1:61">
      <c r="A423">
        <v>422</v>
      </c>
      <c r="B423">
        <v>1002627294</v>
      </c>
      <c r="C423">
        <v>3</v>
      </c>
      <c r="D423" t="s">
        <v>42</v>
      </c>
      <c r="E423">
        <v>5</v>
      </c>
      <c r="F423" t="s">
        <v>232</v>
      </c>
      <c r="G423" t="s">
        <v>101</v>
      </c>
      <c r="H423" t="s">
        <v>258</v>
      </c>
      <c r="I423" t="s">
        <v>212</v>
      </c>
      <c r="J423" t="s">
        <v>213</v>
      </c>
      <c r="K423" t="s">
        <v>149</v>
      </c>
      <c r="M423" t="s">
        <v>4005</v>
      </c>
      <c r="N423" t="s">
        <v>215</v>
      </c>
      <c r="O423" s="57">
        <v>46303.411805555559</v>
      </c>
      <c r="P423" s="57">
        <v>46303.417256944442</v>
      </c>
      <c r="Q423">
        <v>69406298</v>
      </c>
      <c r="S423">
        <v>152316206616</v>
      </c>
      <c r="T423" t="s">
        <v>4156</v>
      </c>
      <c r="U423" t="s">
        <v>4157</v>
      </c>
      <c r="Z423">
        <v>112.751096</v>
      </c>
      <c r="AA423">
        <v>-7.4632610000000001</v>
      </c>
      <c r="AB423" t="s">
        <v>4158</v>
      </c>
      <c r="AC423" t="s">
        <v>229</v>
      </c>
      <c r="AO423" s="57">
        <v>46244.413414351853</v>
      </c>
      <c r="AR423" t="s">
        <v>5</v>
      </c>
      <c r="AS423" t="s">
        <v>232</v>
      </c>
      <c r="AT423" t="s">
        <v>342</v>
      </c>
      <c r="AV423" t="s">
        <v>4005</v>
      </c>
      <c r="AW423" t="s">
        <v>540</v>
      </c>
      <c r="AX423" t="s">
        <v>222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str">
        <f>VLOOKUP(H423,Sheet2!$A$1:$B$270,2,FALSE)</f>
        <v>SIDOARJO</v>
      </c>
    </row>
    <row r="424" spans="1:61">
      <c r="A424">
        <v>423</v>
      </c>
      <c r="B424">
        <v>1002626328</v>
      </c>
      <c r="C424">
        <v>3</v>
      </c>
      <c r="D424" t="s">
        <v>42</v>
      </c>
      <c r="E424">
        <v>5</v>
      </c>
      <c r="F424" t="s">
        <v>232</v>
      </c>
      <c r="G424" t="s">
        <v>101</v>
      </c>
      <c r="H424" t="s">
        <v>258</v>
      </c>
      <c r="I424" t="s">
        <v>212</v>
      </c>
      <c r="J424" t="s">
        <v>213</v>
      </c>
      <c r="K424" t="s">
        <v>149</v>
      </c>
      <c r="M424" t="s">
        <v>538</v>
      </c>
      <c r="N424" t="s">
        <v>215</v>
      </c>
      <c r="O424" s="57">
        <v>46302.596076388887</v>
      </c>
      <c r="P424" s="57">
        <v>46303.434027777781</v>
      </c>
      <c r="Q424">
        <v>69405918</v>
      </c>
      <c r="S424">
        <v>152316233372</v>
      </c>
      <c r="T424" t="s">
        <v>4159</v>
      </c>
      <c r="U424" t="s">
        <v>4160</v>
      </c>
      <c r="Z424">
        <v>112.7406584</v>
      </c>
      <c r="AA424">
        <v>-7.4355393000000003</v>
      </c>
      <c r="AB424" t="s">
        <v>4161</v>
      </c>
      <c r="AC424" t="s">
        <v>229</v>
      </c>
      <c r="AO424" s="57">
        <v>46213.601053240738</v>
      </c>
      <c r="AR424" t="s">
        <v>6</v>
      </c>
      <c r="AS424" t="s">
        <v>232</v>
      </c>
      <c r="AT424" t="s">
        <v>342</v>
      </c>
      <c r="AV424" t="s">
        <v>4098</v>
      </c>
      <c r="AW424" t="s">
        <v>2806</v>
      </c>
      <c r="AX424" t="s">
        <v>222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str">
        <f>VLOOKUP(H424,Sheet2!$A$1:$B$270,2,FALSE)</f>
        <v>SIDOARJO</v>
      </c>
    </row>
    <row r="425" spans="1:61">
      <c r="A425">
        <v>424</v>
      </c>
      <c r="B425">
        <v>1002618024</v>
      </c>
      <c r="C425">
        <v>3</v>
      </c>
      <c r="D425" t="s">
        <v>42</v>
      </c>
      <c r="E425">
        <v>5</v>
      </c>
      <c r="F425" t="s">
        <v>106</v>
      </c>
      <c r="G425" t="s">
        <v>106</v>
      </c>
      <c r="H425" t="s">
        <v>329</v>
      </c>
      <c r="I425" t="s">
        <v>212</v>
      </c>
      <c r="J425" t="s">
        <v>213</v>
      </c>
      <c r="K425" t="s">
        <v>149</v>
      </c>
      <c r="M425" t="s">
        <v>76</v>
      </c>
      <c r="N425" t="s">
        <v>215</v>
      </c>
      <c r="O425" s="57">
        <v>46296.58966435185</v>
      </c>
      <c r="P425" s="57">
        <v>46297.769513888888</v>
      </c>
      <c r="Q425">
        <v>69402402</v>
      </c>
      <c r="S425">
        <v>152744222226</v>
      </c>
      <c r="T425" t="s">
        <v>1185</v>
      </c>
      <c r="U425" t="s">
        <v>1186</v>
      </c>
      <c r="V425" t="s">
        <v>1187</v>
      </c>
      <c r="Z425">
        <v>112.77250979999999</v>
      </c>
      <c r="AA425">
        <v>-7.6047699</v>
      </c>
      <c r="AB425" t="s">
        <v>1188</v>
      </c>
      <c r="AC425" t="s">
        <v>229</v>
      </c>
      <c r="AL425" t="s">
        <v>217</v>
      </c>
      <c r="AM425" t="s">
        <v>1189</v>
      </c>
      <c r="AN425" t="s">
        <v>6</v>
      </c>
      <c r="AO425" s="57">
        <v>46032.590474537035</v>
      </c>
      <c r="AP425" s="57">
        <v>46297.625</v>
      </c>
      <c r="AR425" t="s">
        <v>218</v>
      </c>
      <c r="AS425" t="s">
        <v>580</v>
      </c>
      <c r="AT425" t="s">
        <v>230</v>
      </c>
      <c r="AU425">
        <v>20261002</v>
      </c>
      <c r="AV425" t="s">
        <v>221</v>
      </c>
      <c r="AW425" t="s">
        <v>540</v>
      </c>
      <c r="AX425" t="s">
        <v>222</v>
      </c>
      <c r="BA425" s="57">
        <v>46297.625</v>
      </c>
      <c r="BB425" t="s">
        <v>1189</v>
      </c>
      <c r="BC425">
        <v>2026</v>
      </c>
      <c r="BD425">
        <v>10</v>
      </c>
      <c r="BE425">
        <v>2</v>
      </c>
      <c r="BF425" s="6">
        <f t="shared" si="18"/>
        <v>46297</v>
      </c>
      <c r="BG425">
        <f t="shared" si="19"/>
        <v>-0.625</v>
      </c>
      <c r="BH425" t="str">
        <f t="shared" si="20"/>
        <v>COMPLY</v>
      </c>
      <c r="BI425" t="str">
        <f>VLOOKUP(H425,Sheet2!$A$1:$B$270,2,FALSE)</f>
        <v>PASURUAN</v>
      </c>
    </row>
    <row r="426" spans="1:61">
      <c r="A426">
        <v>425</v>
      </c>
      <c r="B426">
        <v>1002627001</v>
      </c>
      <c r="C426">
        <v>3</v>
      </c>
      <c r="D426" t="s">
        <v>42</v>
      </c>
      <c r="E426">
        <v>5</v>
      </c>
      <c r="F426" t="s">
        <v>106</v>
      </c>
      <c r="G426" t="s">
        <v>106</v>
      </c>
      <c r="H426" t="s">
        <v>329</v>
      </c>
      <c r="I426" t="s">
        <v>212</v>
      </c>
      <c r="J426" t="s">
        <v>213</v>
      </c>
      <c r="K426" t="s">
        <v>149</v>
      </c>
      <c r="M426" t="s">
        <v>3149</v>
      </c>
      <c r="N426" t="s">
        <v>563</v>
      </c>
      <c r="O426" s="57">
        <v>46303.3440625</v>
      </c>
      <c r="P426" s="57">
        <v>46303.345914351848</v>
      </c>
      <c r="Q426">
        <v>68937486</v>
      </c>
      <c r="S426">
        <v>152744222127</v>
      </c>
      <c r="T426" t="s">
        <v>4162</v>
      </c>
      <c r="U426" t="s">
        <v>4163</v>
      </c>
      <c r="Z426">
        <v>112.781158462493</v>
      </c>
      <c r="AA426">
        <v>-7.5977901099836096</v>
      </c>
      <c r="AB426" t="s">
        <v>4164</v>
      </c>
      <c r="AC426" t="s">
        <v>284</v>
      </c>
      <c r="AO426" s="57">
        <v>46244.351111111115</v>
      </c>
      <c r="AR426" t="s">
        <v>325</v>
      </c>
      <c r="AS426" t="s">
        <v>580</v>
      </c>
      <c r="AT426" t="s">
        <v>220</v>
      </c>
      <c r="AV426" t="s">
        <v>3150</v>
      </c>
      <c r="AW426" t="s">
        <v>3435</v>
      </c>
      <c r="AX426" t="s">
        <v>222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str">
        <f>VLOOKUP(H426,Sheet2!$A$1:$B$270,2,FALSE)</f>
        <v>PASURUAN</v>
      </c>
    </row>
    <row r="427" spans="1:61">
      <c r="A427">
        <v>426</v>
      </c>
      <c r="B427">
        <v>1002623776</v>
      </c>
      <c r="C427">
        <v>3</v>
      </c>
      <c r="D427" t="s">
        <v>42</v>
      </c>
      <c r="E427">
        <v>5</v>
      </c>
      <c r="F427" t="s">
        <v>106</v>
      </c>
      <c r="G427" t="s">
        <v>106</v>
      </c>
      <c r="H427" t="s">
        <v>462</v>
      </c>
      <c r="I427" t="s">
        <v>212</v>
      </c>
      <c r="J427" t="s">
        <v>213</v>
      </c>
      <c r="K427" t="s">
        <v>149</v>
      </c>
      <c r="M427" t="s">
        <v>76</v>
      </c>
      <c r="N427" t="s">
        <v>215</v>
      </c>
      <c r="O427" s="57">
        <v>46301.429675925923</v>
      </c>
      <c r="P427" s="57">
        <v>46302.485277777778</v>
      </c>
      <c r="Q427">
        <v>69404808</v>
      </c>
      <c r="S427">
        <v>152738202098</v>
      </c>
      <c r="T427" t="s">
        <v>3442</v>
      </c>
      <c r="U427" t="s">
        <v>3443</v>
      </c>
      <c r="V427" t="s">
        <v>3444</v>
      </c>
      <c r="Z427">
        <v>113.0133452</v>
      </c>
      <c r="AA427">
        <v>-7.7218287999999999</v>
      </c>
      <c r="AB427" t="s">
        <v>3445</v>
      </c>
      <c r="AC427" t="s">
        <v>229</v>
      </c>
      <c r="AL427" t="s">
        <v>217</v>
      </c>
      <c r="AM427" t="s">
        <v>3446</v>
      </c>
      <c r="AN427" t="s">
        <v>6</v>
      </c>
      <c r="AO427" s="57">
        <v>46183.433946759258</v>
      </c>
      <c r="AP427" s="57">
        <v>46302.333333333336</v>
      </c>
      <c r="AR427" t="s">
        <v>218</v>
      </c>
      <c r="AS427" t="s">
        <v>219</v>
      </c>
      <c r="AT427" t="s">
        <v>230</v>
      </c>
      <c r="AU427">
        <v>20261007</v>
      </c>
      <c r="AV427" t="s">
        <v>221</v>
      </c>
      <c r="AW427" t="s">
        <v>540</v>
      </c>
      <c r="AX427" t="s">
        <v>222</v>
      </c>
      <c r="BA427" s="57">
        <v>46302.333333333336</v>
      </c>
      <c r="BB427" t="s">
        <v>3446</v>
      </c>
      <c r="BC427">
        <v>2026</v>
      </c>
      <c r="BD427">
        <v>10</v>
      </c>
      <c r="BE427">
        <v>7</v>
      </c>
      <c r="BF427" s="6">
        <f t="shared" si="18"/>
        <v>46302</v>
      </c>
      <c r="BG427">
        <f t="shared" si="19"/>
        <v>-0.33333333333575865</v>
      </c>
      <c r="BH427" t="str">
        <f t="shared" si="20"/>
        <v>COMPLY</v>
      </c>
      <c r="BI427" t="str">
        <f>VLOOKUP(H427,Sheet2!$A$1:$B$270,2,FALSE)</f>
        <v>PASURUAN</v>
      </c>
    </row>
    <row r="428" spans="1:61">
      <c r="A428">
        <v>427</v>
      </c>
      <c r="B428">
        <v>1002624490</v>
      </c>
      <c r="C428">
        <v>3</v>
      </c>
      <c r="D428" t="s">
        <v>42</v>
      </c>
      <c r="E428">
        <v>5</v>
      </c>
      <c r="F428" t="s">
        <v>232</v>
      </c>
      <c r="G428" t="s">
        <v>106</v>
      </c>
      <c r="H428" t="s">
        <v>439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46301.58929398148</v>
      </c>
      <c r="P428" s="57">
        <v>46302.449756944443</v>
      </c>
      <c r="Q428">
        <v>69405102</v>
      </c>
      <c r="S428">
        <v>152741225169</v>
      </c>
      <c r="T428" t="s">
        <v>3447</v>
      </c>
      <c r="U428" t="s">
        <v>3448</v>
      </c>
      <c r="V428" t="s">
        <v>3449</v>
      </c>
      <c r="Z428">
        <v>112.69867000000001</v>
      </c>
      <c r="AA428">
        <v>-7.6689129999999999</v>
      </c>
      <c r="AB428" t="s">
        <v>3450</v>
      </c>
      <c r="AC428" t="s">
        <v>235</v>
      </c>
      <c r="AL428" t="s">
        <v>217</v>
      </c>
      <c r="AM428" t="s">
        <v>3451</v>
      </c>
      <c r="AN428" t="s">
        <v>6</v>
      </c>
      <c r="AO428" s="57">
        <v>46183.601145833331</v>
      </c>
      <c r="AP428" s="57">
        <v>46302.458333333336</v>
      </c>
      <c r="AR428" t="s">
        <v>218</v>
      </c>
      <c r="AS428" t="s">
        <v>2091</v>
      </c>
      <c r="AT428" t="s">
        <v>230</v>
      </c>
      <c r="AU428">
        <v>20261007</v>
      </c>
      <c r="AV428" t="s">
        <v>221</v>
      </c>
      <c r="AW428" t="s">
        <v>1853</v>
      </c>
      <c r="AX428" t="s">
        <v>222</v>
      </c>
      <c r="BA428" s="57">
        <v>46302.458333333336</v>
      </c>
      <c r="BB428" t="s">
        <v>3451</v>
      </c>
      <c r="BC428">
        <v>2026</v>
      </c>
      <c r="BD428">
        <v>10</v>
      </c>
      <c r="BE428">
        <v>7</v>
      </c>
      <c r="BF428" s="6">
        <f t="shared" si="18"/>
        <v>46302</v>
      </c>
      <c r="BG428">
        <f t="shared" si="19"/>
        <v>-0.45833333333575865</v>
      </c>
      <c r="BH428" t="str">
        <f t="shared" si="20"/>
        <v>COMPLY</v>
      </c>
      <c r="BI428" t="str">
        <f>VLOOKUP(H428,Sheet2!$A$1:$B$270,2,FALSE)</f>
        <v>PASURUAN</v>
      </c>
    </row>
    <row r="429" spans="1:61">
      <c r="A429">
        <v>428</v>
      </c>
      <c r="B429">
        <v>1002621479</v>
      </c>
      <c r="C429">
        <v>3</v>
      </c>
      <c r="D429" t="s">
        <v>42</v>
      </c>
      <c r="E429">
        <v>5</v>
      </c>
      <c r="F429" t="s">
        <v>232</v>
      </c>
      <c r="G429" t="s">
        <v>106</v>
      </c>
      <c r="H429" t="s">
        <v>439</v>
      </c>
      <c r="I429" t="s">
        <v>212</v>
      </c>
      <c r="J429" t="s">
        <v>213</v>
      </c>
      <c r="K429" t="s">
        <v>149</v>
      </c>
      <c r="L429" t="s">
        <v>214</v>
      </c>
      <c r="M429" t="s">
        <v>1921</v>
      </c>
      <c r="N429" t="s">
        <v>215</v>
      </c>
      <c r="O429" s="57">
        <v>46299.676249999997</v>
      </c>
      <c r="P429" s="57">
        <v>46301.453530092593</v>
      </c>
      <c r="Q429">
        <v>69403962</v>
      </c>
      <c r="S429">
        <v>152741225071</v>
      </c>
      <c r="T429" t="s">
        <v>2086</v>
      </c>
      <c r="U429" t="s">
        <v>2087</v>
      </c>
      <c r="V429" t="s">
        <v>2088</v>
      </c>
      <c r="Z429">
        <v>112.67480639999999</v>
      </c>
      <c r="AA429">
        <v>-7.7031757000000001</v>
      </c>
      <c r="AB429" t="s">
        <v>2089</v>
      </c>
      <c r="AC429" t="s">
        <v>235</v>
      </c>
      <c r="AL429" t="s">
        <v>217</v>
      </c>
      <c r="AM429" t="s">
        <v>2090</v>
      </c>
      <c r="AN429" t="s">
        <v>6</v>
      </c>
      <c r="AO429" s="57">
        <v>46122.684537037036</v>
      </c>
      <c r="AP429" s="57">
        <v>46300.625</v>
      </c>
      <c r="AQ429" t="s">
        <v>838</v>
      </c>
      <c r="AR429" t="s">
        <v>12</v>
      </c>
      <c r="AS429" t="s">
        <v>2091</v>
      </c>
      <c r="AT429" t="s">
        <v>230</v>
      </c>
      <c r="AV429" t="s">
        <v>1628</v>
      </c>
      <c r="AW429" t="s">
        <v>877</v>
      </c>
      <c r="AX429" t="s">
        <v>222</v>
      </c>
      <c r="BA429" s="57">
        <v>46300.625</v>
      </c>
      <c r="BB429" t="s">
        <v>2090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str">
        <f>VLOOKUP(H429,Sheet2!$A$1:$B$270,2,FALSE)</f>
        <v>PASURUAN</v>
      </c>
    </row>
    <row r="430" spans="1:61">
      <c r="A430">
        <v>429</v>
      </c>
      <c r="B430">
        <v>1002622646</v>
      </c>
      <c r="C430">
        <v>3</v>
      </c>
      <c r="D430" t="s">
        <v>42</v>
      </c>
      <c r="E430">
        <v>5</v>
      </c>
      <c r="F430" t="s">
        <v>232</v>
      </c>
      <c r="G430" t="s">
        <v>106</v>
      </c>
      <c r="H430" t="s">
        <v>439</v>
      </c>
      <c r="I430" t="s">
        <v>212</v>
      </c>
      <c r="J430" t="s">
        <v>213</v>
      </c>
      <c r="K430" t="s">
        <v>149</v>
      </c>
      <c r="L430" t="s">
        <v>214</v>
      </c>
      <c r="M430" t="s">
        <v>1921</v>
      </c>
      <c r="N430" t="s">
        <v>215</v>
      </c>
      <c r="O430" s="57">
        <v>46300.599016203705</v>
      </c>
      <c r="P430" s="57">
        <v>46301.484166666669</v>
      </c>
      <c r="Q430">
        <v>69404430</v>
      </c>
      <c r="S430">
        <v>152741225111</v>
      </c>
      <c r="T430" t="s">
        <v>2812</v>
      </c>
      <c r="U430" t="s">
        <v>2813</v>
      </c>
      <c r="V430" t="s">
        <v>2814</v>
      </c>
      <c r="Z430">
        <v>112.67480639999999</v>
      </c>
      <c r="AA430">
        <v>-7.7031757000000001</v>
      </c>
      <c r="AB430" t="s">
        <v>2815</v>
      </c>
      <c r="AC430" t="s">
        <v>235</v>
      </c>
      <c r="AL430" t="s">
        <v>217</v>
      </c>
      <c r="AM430" t="s">
        <v>2816</v>
      </c>
      <c r="AN430" t="s">
        <v>6</v>
      </c>
      <c r="AO430" s="57">
        <v>46152.601203703707</v>
      </c>
      <c r="AP430" s="57">
        <v>46301.458333333336</v>
      </c>
      <c r="AQ430" t="s">
        <v>838</v>
      </c>
      <c r="AR430" t="s">
        <v>12</v>
      </c>
      <c r="AS430" t="s">
        <v>2091</v>
      </c>
      <c r="AT430" t="s">
        <v>230</v>
      </c>
      <c r="AV430" t="s">
        <v>1628</v>
      </c>
      <c r="AW430" t="s">
        <v>877</v>
      </c>
      <c r="AX430" t="s">
        <v>222</v>
      </c>
      <c r="BA430" s="57">
        <v>46301.458333333336</v>
      </c>
      <c r="BB430" t="s">
        <v>2816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str">
        <f>VLOOKUP(H430,Sheet2!$A$1:$B$270,2,FALSE)</f>
        <v>PASURUAN</v>
      </c>
    </row>
    <row r="431" spans="1:61">
      <c r="A431">
        <v>430</v>
      </c>
      <c r="B431">
        <v>1002619094</v>
      </c>
      <c r="C431">
        <v>3</v>
      </c>
      <c r="D431" t="s">
        <v>42</v>
      </c>
      <c r="E431">
        <v>5</v>
      </c>
      <c r="F431" t="s">
        <v>106</v>
      </c>
      <c r="G431" t="s">
        <v>106</v>
      </c>
      <c r="H431" t="s">
        <v>335</v>
      </c>
      <c r="I431" t="s">
        <v>212</v>
      </c>
      <c r="J431" t="s">
        <v>213</v>
      </c>
      <c r="K431" t="s">
        <v>149</v>
      </c>
      <c r="M431" t="s">
        <v>76</v>
      </c>
      <c r="N431" t="s">
        <v>215</v>
      </c>
      <c r="O431" s="57">
        <v>46297.386874999997</v>
      </c>
      <c r="P431" s="57">
        <v>46297.814155092594</v>
      </c>
      <c r="Q431">
        <v>69402758</v>
      </c>
      <c r="S431">
        <v>152729256775</v>
      </c>
      <c r="T431" t="s">
        <v>2092</v>
      </c>
      <c r="U431" t="s">
        <v>2093</v>
      </c>
      <c r="V431" t="s">
        <v>2094</v>
      </c>
      <c r="Z431">
        <v>112.91883919999999</v>
      </c>
      <c r="AA431">
        <v>-7.6454184999999999</v>
      </c>
      <c r="AB431" t="s">
        <v>2095</v>
      </c>
      <c r="AC431" t="s">
        <v>229</v>
      </c>
      <c r="AL431" t="s">
        <v>217</v>
      </c>
      <c r="AM431" t="s">
        <v>2096</v>
      </c>
      <c r="AN431" t="s">
        <v>6</v>
      </c>
      <c r="AO431" s="57">
        <v>46063.39334490741</v>
      </c>
      <c r="AP431" s="57">
        <v>46298.333333333336</v>
      </c>
      <c r="AR431" t="s">
        <v>218</v>
      </c>
      <c r="AS431" t="s">
        <v>106</v>
      </c>
      <c r="AT431" t="s">
        <v>230</v>
      </c>
      <c r="AU431">
        <v>20261002</v>
      </c>
      <c r="AV431" t="s">
        <v>221</v>
      </c>
      <c r="AW431" t="s">
        <v>540</v>
      </c>
      <c r="AX431" t="s">
        <v>222</v>
      </c>
      <c r="BA431" s="57">
        <v>46298.333333333336</v>
      </c>
      <c r="BB431" t="s">
        <v>2096</v>
      </c>
      <c r="BC431">
        <v>2026</v>
      </c>
      <c r="BD431">
        <v>10</v>
      </c>
      <c r="BE431">
        <v>2</v>
      </c>
      <c r="BF431" s="6">
        <f t="shared" si="18"/>
        <v>46297</v>
      </c>
      <c r="BG431">
        <f t="shared" si="19"/>
        <v>-1.3333333333357587</v>
      </c>
      <c r="BH431" t="str">
        <f t="shared" si="20"/>
        <v>COMPLY</v>
      </c>
      <c r="BI431" t="str">
        <f>VLOOKUP(H431,Sheet2!$A$1:$B$270,2,FALSE)</f>
        <v>PASURUAN</v>
      </c>
    </row>
    <row r="432" spans="1:61">
      <c r="A432">
        <v>431</v>
      </c>
      <c r="B432">
        <v>1002623132</v>
      </c>
      <c r="C432">
        <v>3</v>
      </c>
      <c r="D432" t="s">
        <v>42</v>
      </c>
      <c r="E432">
        <v>5</v>
      </c>
      <c r="F432" t="s">
        <v>106</v>
      </c>
      <c r="G432" t="s">
        <v>106</v>
      </c>
      <c r="H432" t="s">
        <v>335</v>
      </c>
      <c r="I432" t="s">
        <v>212</v>
      </c>
      <c r="J432" t="s">
        <v>213</v>
      </c>
      <c r="K432" t="s">
        <v>149</v>
      </c>
      <c r="M432" t="s">
        <v>76</v>
      </c>
      <c r="N432" t="s">
        <v>215</v>
      </c>
      <c r="O432" s="57">
        <v>46300.690509259257</v>
      </c>
      <c r="P432" s="57">
        <v>46302.379837962966</v>
      </c>
      <c r="Q432">
        <v>69404570</v>
      </c>
      <c r="S432">
        <v>152729256701</v>
      </c>
      <c r="T432" t="s">
        <v>2817</v>
      </c>
      <c r="U432" t="s">
        <v>2818</v>
      </c>
      <c r="V432" t="s">
        <v>2819</v>
      </c>
      <c r="Z432">
        <v>112.88468810000001</v>
      </c>
      <c r="AA432">
        <v>-7.6513165000000001</v>
      </c>
      <c r="AB432" t="s">
        <v>2820</v>
      </c>
      <c r="AC432" t="s">
        <v>229</v>
      </c>
      <c r="AL432" t="s">
        <v>217</v>
      </c>
      <c r="AM432" t="s">
        <v>2821</v>
      </c>
      <c r="AN432" t="s">
        <v>6</v>
      </c>
      <c r="AO432" s="57">
        <v>46152.726238425923</v>
      </c>
      <c r="AP432" s="57">
        <v>46301.625</v>
      </c>
      <c r="AR432" t="s">
        <v>218</v>
      </c>
      <c r="AS432" t="s">
        <v>106</v>
      </c>
      <c r="AT432" t="s">
        <v>230</v>
      </c>
      <c r="AU432">
        <v>20261007</v>
      </c>
      <c r="AV432" t="s">
        <v>221</v>
      </c>
      <c r="AW432" t="s">
        <v>1518</v>
      </c>
      <c r="AX432" t="s">
        <v>222</v>
      </c>
      <c r="BA432" s="57">
        <v>46301.625</v>
      </c>
      <c r="BB432" t="s">
        <v>2821</v>
      </c>
      <c r="BC432">
        <v>2026</v>
      </c>
      <c r="BD432">
        <v>10</v>
      </c>
      <c r="BE432">
        <v>7</v>
      </c>
      <c r="BF432" s="6">
        <f t="shared" si="18"/>
        <v>46302</v>
      </c>
      <c r="BG432">
        <f t="shared" si="19"/>
        <v>0.375</v>
      </c>
      <c r="BH432" t="str">
        <f t="shared" si="20"/>
        <v>COMPLY</v>
      </c>
      <c r="BI432" t="str">
        <f>VLOOKUP(H432,Sheet2!$A$1:$B$270,2,FALSE)</f>
        <v>PASURUAN</v>
      </c>
    </row>
    <row r="433" spans="1:61">
      <c r="A433">
        <v>432</v>
      </c>
      <c r="B433">
        <v>1002627341</v>
      </c>
      <c r="C433">
        <v>3</v>
      </c>
      <c r="D433" t="s">
        <v>42</v>
      </c>
      <c r="E433">
        <v>5</v>
      </c>
      <c r="F433" t="s">
        <v>106</v>
      </c>
      <c r="G433" t="s">
        <v>106</v>
      </c>
      <c r="H433" t="s">
        <v>335</v>
      </c>
      <c r="I433" t="s">
        <v>212</v>
      </c>
      <c r="J433" t="s">
        <v>213</v>
      </c>
      <c r="K433" t="s">
        <v>149</v>
      </c>
      <c r="M433" t="s">
        <v>4005</v>
      </c>
      <c r="N433" t="s">
        <v>215</v>
      </c>
      <c r="O433" s="57">
        <v>46303.422962962963</v>
      </c>
      <c r="P433" s="57">
        <v>46303.427800925929</v>
      </c>
      <c r="Q433">
        <v>69406330</v>
      </c>
      <c r="S433">
        <v>152729256815</v>
      </c>
      <c r="T433" t="s">
        <v>4165</v>
      </c>
      <c r="U433" t="s">
        <v>4166</v>
      </c>
      <c r="Z433">
        <v>112.901481338338</v>
      </c>
      <c r="AA433">
        <v>-7.6461826291098598</v>
      </c>
      <c r="AB433" t="s">
        <v>4167</v>
      </c>
      <c r="AC433" t="s">
        <v>229</v>
      </c>
      <c r="AO433" s="57">
        <v>46244.435104166667</v>
      </c>
      <c r="AR433" t="s">
        <v>5</v>
      </c>
      <c r="AS433" t="s">
        <v>106</v>
      </c>
      <c r="AT433" t="s">
        <v>220</v>
      </c>
      <c r="AV433" t="s">
        <v>4005</v>
      </c>
      <c r="AW433" t="s">
        <v>576</v>
      </c>
      <c r="AX433" t="s">
        <v>222</v>
      </c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str">
        <f>VLOOKUP(H433,Sheet2!$A$1:$B$270,2,FALSE)</f>
        <v>PASURUAN</v>
      </c>
    </row>
    <row r="434" spans="1:61">
      <c r="A434">
        <v>433</v>
      </c>
      <c r="B434">
        <v>1002626615</v>
      </c>
      <c r="C434">
        <v>3</v>
      </c>
      <c r="D434" t="s">
        <v>42</v>
      </c>
      <c r="E434">
        <v>5</v>
      </c>
      <c r="F434" t="s">
        <v>106</v>
      </c>
      <c r="G434" t="s">
        <v>106</v>
      </c>
      <c r="H434" t="s">
        <v>335</v>
      </c>
      <c r="I434" t="s">
        <v>212</v>
      </c>
      <c r="J434" t="s">
        <v>213</v>
      </c>
      <c r="K434" t="s">
        <v>149</v>
      </c>
      <c r="L434" t="s">
        <v>214</v>
      </c>
      <c r="M434" t="s">
        <v>238</v>
      </c>
      <c r="N434" t="s">
        <v>215</v>
      </c>
      <c r="O434" s="57">
        <v>46302.652488425927</v>
      </c>
      <c r="P434" s="57">
        <v>46302.654178240744</v>
      </c>
      <c r="Q434">
        <v>69406020</v>
      </c>
      <c r="S434">
        <v>152729256959</v>
      </c>
      <c r="T434" t="s">
        <v>4168</v>
      </c>
      <c r="U434" t="s">
        <v>4169</v>
      </c>
      <c r="V434" t="s">
        <v>4170</v>
      </c>
      <c r="Z434">
        <v>112.812544</v>
      </c>
      <c r="AA434">
        <v>-7.6266809999999996</v>
      </c>
      <c r="AB434" t="s">
        <v>4171</v>
      </c>
      <c r="AC434" t="s">
        <v>235</v>
      </c>
      <c r="AL434" t="s">
        <v>217</v>
      </c>
      <c r="AM434" t="s">
        <v>3852</v>
      </c>
      <c r="AN434" t="s">
        <v>6</v>
      </c>
      <c r="AO434" s="57">
        <v>46213.66333333333</v>
      </c>
      <c r="AP434" s="57">
        <v>46303.625</v>
      </c>
      <c r="AR434" t="s">
        <v>239</v>
      </c>
      <c r="AS434" t="s">
        <v>106</v>
      </c>
      <c r="AT434" t="s">
        <v>230</v>
      </c>
      <c r="AV434" t="s">
        <v>238</v>
      </c>
      <c r="AW434" t="s">
        <v>875</v>
      </c>
      <c r="AX434" t="s">
        <v>222</v>
      </c>
      <c r="BA434" s="57">
        <v>46303.625</v>
      </c>
      <c r="BB434" t="s">
        <v>3852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str">
        <f>VLOOKUP(H434,Sheet2!$A$1:$B$270,2,FALSE)</f>
        <v>PASURUAN</v>
      </c>
    </row>
    <row r="435" spans="1:61">
      <c r="A435">
        <v>434</v>
      </c>
      <c r="B435">
        <v>1002626606</v>
      </c>
      <c r="C435">
        <v>3</v>
      </c>
      <c r="D435" t="s">
        <v>42</v>
      </c>
      <c r="E435">
        <v>5</v>
      </c>
      <c r="F435" t="s">
        <v>106</v>
      </c>
      <c r="G435" t="s">
        <v>106</v>
      </c>
      <c r="H435" t="s">
        <v>335</v>
      </c>
      <c r="I435" t="s">
        <v>212</v>
      </c>
      <c r="J435" t="s">
        <v>213</v>
      </c>
      <c r="K435" t="s">
        <v>149</v>
      </c>
      <c r="L435" t="s">
        <v>214</v>
      </c>
      <c r="M435" t="s">
        <v>238</v>
      </c>
      <c r="N435" t="s">
        <v>215</v>
      </c>
      <c r="O435" s="57">
        <v>46302.652326388888</v>
      </c>
      <c r="P435" s="57">
        <v>46302.654236111113</v>
      </c>
      <c r="Q435">
        <v>69406020</v>
      </c>
      <c r="S435">
        <v>152729256959</v>
      </c>
      <c r="T435" t="s">
        <v>4168</v>
      </c>
      <c r="U435" t="s">
        <v>4169</v>
      </c>
      <c r="V435" t="s">
        <v>4170</v>
      </c>
      <c r="Z435">
        <v>112.812544</v>
      </c>
      <c r="AA435">
        <v>-7.6266809999999996</v>
      </c>
      <c r="AB435" t="s">
        <v>4171</v>
      </c>
      <c r="AC435" t="s">
        <v>235</v>
      </c>
      <c r="AL435" t="s">
        <v>217</v>
      </c>
      <c r="AM435" t="s">
        <v>3852</v>
      </c>
      <c r="AN435" t="s">
        <v>6</v>
      </c>
      <c r="AO435" s="57">
        <v>46213.66333333333</v>
      </c>
      <c r="AP435" s="57">
        <v>46303.625</v>
      </c>
      <c r="AR435" t="s">
        <v>239</v>
      </c>
      <c r="AS435" t="s">
        <v>106</v>
      </c>
      <c r="AT435" t="s">
        <v>230</v>
      </c>
      <c r="AV435" t="s">
        <v>238</v>
      </c>
      <c r="AW435" t="s">
        <v>875</v>
      </c>
      <c r="AX435" t="s">
        <v>222</v>
      </c>
      <c r="BA435" s="57">
        <v>46303.625</v>
      </c>
      <c r="BB435" t="s">
        <v>3852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str">
        <f>VLOOKUP(H435,Sheet2!$A$1:$B$270,2,FALSE)</f>
        <v>PASURUAN</v>
      </c>
    </row>
    <row r="436" spans="1:61">
      <c r="A436">
        <v>435</v>
      </c>
      <c r="B436">
        <v>1002622233</v>
      </c>
      <c r="C436">
        <v>3</v>
      </c>
      <c r="D436" t="s">
        <v>42</v>
      </c>
      <c r="E436">
        <v>5</v>
      </c>
      <c r="F436" t="s">
        <v>232</v>
      </c>
      <c r="G436" t="s">
        <v>101</v>
      </c>
      <c r="H436" t="s">
        <v>378</v>
      </c>
      <c r="I436" t="s">
        <v>212</v>
      </c>
      <c r="J436" t="s">
        <v>213</v>
      </c>
      <c r="K436" t="s">
        <v>149</v>
      </c>
      <c r="L436" t="s">
        <v>214</v>
      </c>
      <c r="M436" t="s">
        <v>836</v>
      </c>
      <c r="N436" t="s">
        <v>215</v>
      </c>
      <c r="O436" s="57">
        <v>46300.494849537034</v>
      </c>
      <c r="P436" s="57">
        <v>46301.724270833336</v>
      </c>
      <c r="Q436">
        <v>69404266</v>
      </c>
      <c r="S436">
        <v>152317262320</v>
      </c>
      <c r="T436" t="s">
        <v>2822</v>
      </c>
      <c r="U436" t="s">
        <v>2823</v>
      </c>
      <c r="V436" t="s">
        <v>2824</v>
      </c>
      <c r="Z436">
        <v>112.7564718</v>
      </c>
      <c r="AA436">
        <v>-7.3898845999999896</v>
      </c>
      <c r="AB436" t="s">
        <v>2825</v>
      </c>
      <c r="AC436" t="s">
        <v>235</v>
      </c>
      <c r="AL436" t="s">
        <v>217</v>
      </c>
      <c r="AM436" t="s">
        <v>2532</v>
      </c>
      <c r="AN436" t="s">
        <v>6</v>
      </c>
      <c r="AO436" s="57">
        <v>46152.496620370373</v>
      </c>
      <c r="AP436" s="57">
        <v>46301.333333333336</v>
      </c>
      <c r="AR436" t="s">
        <v>14</v>
      </c>
      <c r="AS436" t="s">
        <v>582</v>
      </c>
      <c r="AT436" t="s">
        <v>230</v>
      </c>
      <c r="AV436" t="s">
        <v>837</v>
      </c>
      <c r="AW436" t="s">
        <v>923</v>
      </c>
      <c r="AX436" t="s">
        <v>222</v>
      </c>
      <c r="BA436" s="57">
        <v>46301.333333333336</v>
      </c>
      <c r="BB436" t="s">
        <v>2532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str">
        <f>VLOOKUP(H436,Sheet2!$A$1:$B$270,2,FALSE)</f>
        <v>SIDOARJO</v>
      </c>
    </row>
    <row r="437" spans="1:61">
      <c r="A437">
        <v>436</v>
      </c>
      <c r="B437">
        <v>1002620780</v>
      </c>
      <c r="C437">
        <v>3</v>
      </c>
      <c r="D437" t="s">
        <v>42</v>
      </c>
      <c r="E437">
        <v>5</v>
      </c>
      <c r="F437" t="s">
        <v>232</v>
      </c>
      <c r="G437" t="s">
        <v>101</v>
      </c>
      <c r="H437" t="s">
        <v>299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46298.399074074077</v>
      </c>
      <c r="P437" s="57">
        <v>46299.535798611112</v>
      </c>
      <c r="Q437">
        <v>69403490</v>
      </c>
      <c r="S437">
        <v>152332253608</v>
      </c>
      <c r="T437" t="s">
        <v>2097</v>
      </c>
      <c r="U437" t="s">
        <v>2098</v>
      </c>
      <c r="V437" t="s">
        <v>2099</v>
      </c>
      <c r="Z437">
        <v>112.7016709</v>
      </c>
      <c r="AA437">
        <v>-7.3463174999999996</v>
      </c>
      <c r="AB437" t="s">
        <v>2100</v>
      </c>
      <c r="AC437" t="s">
        <v>235</v>
      </c>
      <c r="AL437" t="s">
        <v>217</v>
      </c>
      <c r="AM437" t="s">
        <v>2101</v>
      </c>
      <c r="AN437" t="s">
        <v>6</v>
      </c>
      <c r="AO437" s="57">
        <v>46091.40283564815</v>
      </c>
      <c r="AP437" s="57">
        <v>46299.333333333336</v>
      </c>
      <c r="AR437" t="s">
        <v>218</v>
      </c>
      <c r="AS437" t="s">
        <v>562</v>
      </c>
      <c r="AT437" t="s">
        <v>230</v>
      </c>
      <c r="AU437">
        <v>20261004</v>
      </c>
      <c r="AV437" t="s">
        <v>221</v>
      </c>
      <c r="AW437" t="s">
        <v>880</v>
      </c>
      <c r="AX437" t="s">
        <v>222</v>
      </c>
      <c r="BA437" s="57">
        <v>46299.333333333336</v>
      </c>
      <c r="BB437" t="s">
        <v>2101</v>
      </c>
      <c r="BC437">
        <v>2026</v>
      </c>
      <c r="BD437">
        <v>10</v>
      </c>
      <c r="BE437">
        <v>4</v>
      </c>
      <c r="BF437" s="6">
        <f t="shared" si="18"/>
        <v>46299</v>
      </c>
      <c r="BG437">
        <f t="shared" si="19"/>
        <v>-0.33333333333575865</v>
      </c>
      <c r="BH437" t="str">
        <f t="shared" si="20"/>
        <v>COMPLY</v>
      </c>
      <c r="BI437" t="str">
        <f>VLOOKUP(H437,Sheet2!$A$1:$B$270,2,FALSE)</f>
        <v>SIDOARJO</v>
      </c>
    </row>
    <row r="438" spans="1:61">
      <c r="A438">
        <v>437</v>
      </c>
      <c r="B438">
        <v>1002620339</v>
      </c>
      <c r="C438">
        <v>3</v>
      </c>
      <c r="D438" t="s">
        <v>55</v>
      </c>
      <c r="E438">
        <v>5</v>
      </c>
      <c r="F438" t="s">
        <v>305</v>
      </c>
      <c r="G438" t="s">
        <v>124</v>
      </c>
      <c r="H438" t="s">
        <v>385</v>
      </c>
      <c r="I438" t="s">
        <v>212</v>
      </c>
      <c r="J438" t="s">
        <v>213</v>
      </c>
      <c r="K438" t="s">
        <v>149</v>
      </c>
      <c r="M438" t="s">
        <v>836</v>
      </c>
      <c r="N438" t="s">
        <v>215</v>
      </c>
      <c r="O438" s="57">
        <v>46297.661226851851</v>
      </c>
      <c r="P438" s="57">
        <v>46301.441435185188</v>
      </c>
      <c r="Q438">
        <v>69403286</v>
      </c>
      <c r="S438">
        <v>152302238362</v>
      </c>
      <c r="T438" t="s">
        <v>2102</v>
      </c>
      <c r="U438" t="s">
        <v>2107</v>
      </c>
      <c r="V438" t="s">
        <v>2108</v>
      </c>
      <c r="Z438">
        <v>112.727108001708</v>
      </c>
      <c r="AA438">
        <v>-7.3756288204415803</v>
      </c>
      <c r="AB438" t="s">
        <v>2109</v>
      </c>
      <c r="AC438" t="s">
        <v>229</v>
      </c>
      <c r="AL438" t="s">
        <v>217</v>
      </c>
      <c r="AM438" t="s">
        <v>2106</v>
      </c>
      <c r="AN438" t="s">
        <v>6</v>
      </c>
      <c r="AO438" s="57">
        <v>46063.663495370369</v>
      </c>
      <c r="AP438" s="57">
        <v>46299.333333333336</v>
      </c>
      <c r="AQ438" t="s">
        <v>838</v>
      </c>
      <c r="AR438" t="s">
        <v>14</v>
      </c>
      <c r="AS438" t="s">
        <v>816</v>
      </c>
      <c r="AT438" t="s">
        <v>230</v>
      </c>
      <c r="AV438" t="s">
        <v>837</v>
      </c>
      <c r="AW438" t="s">
        <v>541</v>
      </c>
      <c r="AX438" t="s">
        <v>222</v>
      </c>
      <c r="BA438" s="57">
        <v>46299.333333333336</v>
      </c>
      <c r="BB438" t="s">
        <v>2106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str">
        <f>VLOOKUP(H438,Sheet2!$A$1:$B$270,2,FALSE)</f>
        <v>SURABAYA SELATAN</v>
      </c>
    </row>
    <row r="439" spans="1:61">
      <c r="A439">
        <v>438</v>
      </c>
      <c r="B439">
        <v>1002620404</v>
      </c>
      <c r="C439">
        <v>3</v>
      </c>
      <c r="D439" t="s">
        <v>55</v>
      </c>
      <c r="E439">
        <v>5</v>
      </c>
      <c r="F439" t="s">
        <v>305</v>
      </c>
      <c r="G439" t="s">
        <v>124</v>
      </c>
      <c r="H439" t="s">
        <v>385</v>
      </c>
      <c r="I439" t="s">
        <v>212</v>
      </c>
      <c r="J439" t="s">
        <v>213</v>
      </c>
      <c r="K439" t="s">
        <v>149</v>
      </c>
      <c r="M439" t="s">
        <v>836</v>
      </c>
      <c r="N439" t="s">
        <v>215</v>
      </c>
      <c r="O439" s="57">
        <v>46297.676782407405</v>
      </c>
      <c r="P439" s="57">
        <v>46300.576516203706</v>
      </c>
      <c r="Q439">
        <v>69403281</v>
      </c>
      <c r="S439">
        <v>152302238363</v>
      </c>
      <c r="T439" t="s">
        <v>2102</v>
      </c>
      <c r="U439" t="s">
        <v>2103</v>
      </c>
      <c r="V439" t="s">
        <v>2104</v>
      </c>
      <c r="Z439">
        <v>112.727266741275</v>
      </c>
      <c r="AA439">
        <v>-7.3755729601013602</v>
      </c>
      <c r="AB439" t="s">
        <v>2105</v>
      </c>
      <c r="AC439" t="s">
        <v>229</v>
      </c>
      <c r="AL439" t="s">
        <v>217</v>
      </c>
      <c r="AM439" t="s">
        <v>2106</v>
      </c>
      <c r="AN439" t="s">
        <v>6</v>
      </c>
      <c r="AO439" s="57">
        <v>46063.684548611112</v>
      </c>
      <c r="AP439" s="57">
        <v>46299.333333333336</v>
      </c>
      <c r="AQ439" t="s">
        <v>838</v>
      </c>
      <c r="AR439" t="s">
        <v>14</v>
      </c>
      <c r="AS439" t="s">
        <v>816</v>
      </c>
      <c r="AT439" t="s">
        <v>230</v>
      </c>
      <c r="AV439" t="s">
        <v>837</v>
      </c>
      <c r="AW439" t="s">
        <v>539</v>
      </c>
      <c r="AX439" t="s">
        <v>222</v>
      </c>
      <c r="BA439" s="57">
        <v>46299.333333333336</v>
      </c>
      <c r="BB439" t="s">
        <v>2106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SURABAYA SELATAN</v>
      </c>
    </row>
    <row r="440" spans="1:61">
      <c r="A440">
        <v>439</v>
      </c>
      <c r="B440">
        <v>1002624432</v>
      </c>
      <c r="C440">
        <v>3</v>
      </c>
      <c r="D440" t="s">
        <v>55</v>
      </c>
      <c r="E440">
        <v>5</v>
      </c>
      <c r="F440" t="s">
        <v>305</v>
      </c>
      <c r="G440" t="s">
        <v>124</v>
      </c>
      <c r="H440" t="s">
        <v>385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46301.578935185185</v>
      </c>
      <c r="P440" s="57">
        <v>46302.633414351854</v>
      </c>
      <c r="Q440">
        <v>69405085</v>
      </c>
      <c r="S440">
        <v>152302238421</v>
      </c>
      <c r="T440" t="s">
        <v>3452</v>
      </c>
      <c r="U440" t="s">
        <v>3453</v>
      </c>
      <c r="V440" t="s">
        <v>3454</v>
      </c>
      <c r="Z440">
        <v>112.7065977</v>
      </c>
      <c r="AA440">
        <v>-7.3758572999999998</v>
      </c>
      <c r="AB440" t="s">
        <v>3455</v>
      </c>
      <c r="AC440" t="s">
        <v>216</v>
      </c>
      <c r="AL440" t="s">
        <v>217</v>
      </c>
      <c r="AM440" t="s">
        <v>3456</v>
      </c>
      <c r="AN440" t="s">
        <v>6</v>
      </c>
      <c r="AO440" s="57">
        <v>46183.601145833331</v>
      </c>
      <c r="AP440" s="57">
        <v>46302.458333333336</v>
      </c>
      <c r="AR440" t="s">
        <v>218</v>
      </c>
      <c r="AS440" t="s">
        <v>816</v>
      </c>
      <c r="AT440" t="s">
        <v>342</v>
      </c>
      <c r="AU440">
        <v>20261007</v>
      </c>
      <c r="AV440" t="s">
        <v>221</v>
      </c>
      <c r="AW440" t="s">
        <v>2328</v>
      </c>
      <c r="AX440" t="s">
        <v>222</v>
      </c>
      <c r="BA440" s="57">
        <v>46302.458333333336</v>
      </c>
      <c r="BB440" t="s">
        <v>3456</v>
      </c>
      <c r="BC440">
        <v>2026</v>
      </c>
      <c r="BD440">
        <v>10</v>
      </c>
      <c r="BE440">
        <v>7</v>
      </c>
      <c r="BF440" s="6">
        <f t="shared" si="18"/>
        <v>46302</v>
      </c>
      <c r="BG440">
        <f t="shared" si="19"/>
        <v>-0.45833333333575865</v>
      </c>
      <c r="BH440" t="str">
        <f t="shared" si="20"/>
        <v>COMPLY</v>
      </c>
      <c r="BI440" t="str">
        <f>VLOOKUP(H440,Sheet2!$A$1:$B$270,2,FALSE)</f>
        <v>SURABAYA SELATAN</v>
      </c>
    </row>
    <row r="441" spans="1:61">
      <c r="A441">
        <v>440</v>
      </c>
      <c r="B441">
        <v>1002625909</v>
      </c>
      <c r="C441">
        <v>3</v>
      </c>
      <c r="D441" t="s">
        <v>55</v>
      </c>
      <c r="E441">
        <v>5</v>
      </c>
      <c r="F441" t="s">
        <v>305</v>
      </c>
      <c r="G441" t="s">
        <v>124</v>
      </c>
      <c r="H441" t="s">
        <v>326</v>
      </c>
      <c r="I441" t="s">
        <v>212</v>
      </c>
      <c r="J441" t="s">
        <v>213</v>
      </c>
      <c r="K441" t="s">
        <v>149</v>
      </c>
      <c r="L441" t="s">
        <v>214</v>
      </c>
      <c r="M441" t="s">
        <v>224</v>
      </c>
      <c r="N441" t="s">
        <v>215</v>
      </c>
      <c r="O441" s="57">
        <v>46302.49832175926</v>
      </c>
      <c r="P441" s="57">
        <v>46303.341678240744</v>
      </c>
      <c r="Q441">
        <v>69405736</v>
      </c>
      <c r="S441">
        <v>152305231457</v>
      </c>
      <c r="T441" t="s">
        <v>4172</v>
      </c>
      <c r="U441" t="s">
        <v>4173</v>
      </c>
      <c r="V441" t="s">
        <v>4174</v>
      </c>
      <c r="Z441">
        <v>112.75760200000001</v>
      </c>
      <c r="AA441">
        <v>-7.3841460000000003</v>
      </c>
      <c r="AB441" t="s">
        <v>4175</v>
      </c>
      <c r="AC441" t="s">
        <v>235</v>
      </c>
      <c r="AL441" t="s">
        <v>217</v>
      </c>
      <c r="AM441" t="s">
        <v>3712</v>
      </c>
      <c r="AN441" t="s">
        <v>6</v>
      </c>
      <c r="AO441" s="57">
        <v>46213.507164351853</v>
      </c>
      <c r="AP441" s="57">
        <v>46303.333333333336</v>
      </c>
      <c r="AR441" t="s">
        <v>18</v>
      </c>
      <c r="AS441" t="s">
        <v>843</v>
      </c>
      <c r="AT441" t="s">
        <v>230</v>
      </c>
      <c r="AV441" t="s">
        <v>226</v>
      </c>
      <c r="AW441" t="s">
        <v>878</v>
      </c>
      <c r="AX441" t="s">
        <v>222</v>
      </c>
      <c r="BA441" s="57">
        <v>46303.333333333336</v>
      </c>
      <c r="BB441" t="s">
        <v>3712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str">
        <f>VLOOKUP(H441,Sheet2!$A$1:$B$270,2,FALSE)</f>
        <v>SURABAYA SELATAN</v>
      </c>
    </row>
    <row r="442" spans="1:61">
      <c r="A442">
        <v>441</v>
      </c>
      <c r="B442">
        <v>1002617383</v>
      </c>
      <c r="C442">
        <v>3</v>
      </c>
      <c r="D442" t="s">
        <v>55</v>
      </c>
      <c r="E442">
        <v>5</v>
      </c>
      <c r="F442" t="s">
        <v>305</v>
      </c>
      <c r="G442" t="s">
        <v>124</v>
      </c>
      <c r="H442" t="s">
        <v>326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46296.441435185188</v>
      </c>
      <c r="P442" s="57">
        <v>46301.620254629626</v>
      </c>
      <c r="Q442">
        <v>69402176</v>
      </c>
      <c r="S442">
        <v>152305231385</v>
      </c>
      <c r="T442" t="s">
        <v>1190</v>
      </c>
      <c r="U442" t="s">
        <v>1191</v>
      </c>
      <c r="V442" t="s">
        <v>1192</v>
      </c>
      <c r="Z442">
        <v>112.78666440000001</v>
      </c>
      <c r="AA442">
        <v>-7.3539735999999998</v>
      </c>
      <c r="AB442" t="s">
        <v>1193</v>
      </c>
      <c r="AC442" t="s">
        <v>216</v>
      </c>
      <c r="AL442" t="s">
        <v>217</v>
      </c>
      <c r="AM442" t="s">
        <v>1118</v>
      </c>
      <c r="AN442" t="s">
        <v>6</v>
      </c>
      <c r="AO442" s="57">
        <v>46032.444687499999</v>
      </c>
      <c r="AP442" s="57">
        <v>46297.333333333336</v>
      </c>
      <c r="AQ442" t="s">
        <v>841</v>
      </c>
      <c r="AR442" t="s">
        <v>218</v>
      </c>
      <c r="AS442" t="s">
        <v>843</v>
      </c>
      <c r="AT442" t="s">
        <v>230</v>
      </c>
      <c r="AU442">
        <v>20261006</v>
      </c>
      <c r="AV442" t="s">
        <v>221</v>
      </c>
      <c r="AW442" t="s">
        <v>879</v>
      </c>
      <c r="AX442" t="s">
        <v>222</v>
      </c>
      <c r="BA442" s="57">
        <v>46297.333333333336</v>
      </c>
      <c r="BB442" t="s">
        <v>1118</v>
      </c>
      <c r="BC442">
        <v>2026</v>
      </c>
      <c r="BD442">
        <v>10</v>
      </c>
      <c r="BE442">
        <v>6</v>
      </c>
      <c r="BF442" s="6">
        <f t="shared" si="18"/>
        <v>46301</v>
      </c>
      <c r="BG442">
        <f t="shared" si="19"/>
        <v>3.6666666666642413</v>
      </c>
      <c r="BH442" t="str">
        <f t="shared" si="20"/>
        <v>NOT COMPLY</v>
      </c>
      <c r="BI442" t="str">
        <f>VLOOKUP(H442,Sheet2!$A$1:$B$270,2,FALSE)</f>
        <v>SURABAYA SELATAN</v>
      </c>
    </row>
    <row r="443" spans="1:61">
      <c r="A443">
        <v>442</v>
      </c>
      <c r="B443">
        <v>1002617708</v>
      </c>
      <c r="C443">
        <v>3</v>
      </c>
      <c r="D443" t="s">
        <v>55</v>
      </c>
      <c r="E443">
        <v>5</v>
      </c>
      <c r="F443" t="s">
        <v>305</v>
      </c>
      <c r="G443" t="s">
        <v>124</v>
      </c>
      <c r="H443" t="s">
        <v>326</v>
      </c>
      <c r="I443" t="s">
        <v>212</v>
      </c>
      <c r="J443" t="s">
        <v>213</v>
      </c>
      <c r="K443" t="s">
        <v>149</v>
      </c>
      <c r="M443" t="s">
        <v>76</v>
      </c>
      <c r="N443" t="s">
        <v>215</v>
      </c>
      <c r="O443" s="57">
        <v>46296.511134259257</v>
      </c>
      <c r="P443" s="57">
        <v>46296.723958333336</v>
      </c>
      <c r="Q443">
        <v>69401010</v>
      </c>
      <c r="S443">
        <v>152305231383</v>
      </c>
      <c r="T443" t="s">
        <v>924</v>
      </c>
      <c r="U443" t="s">
        <v>1194</v>
      </c>
      <c r="V443" t="s">
        <v>1195</v>
      </c>
      <c r="Z443">
        <v>112.7634</v>
      </c>
      <c r="AA443">
        <v>-7.3680000000000003</v>
      </c>
      <c r="AB443" t="s">
        <v>925</v>
      </c>
      <c r="AC443" t="s">
        <v>216</v>
      </c>
      <c r="AL443" t="s">
        <v>217</v>
      </c>
      <c r="AM443" t="s">
        <v>1196</v>
      </c>
      <c r="AN443" t="s">
        <v>6</v>
      </c>
      <c r="AO443" s="57">
        <v>46032.517557870371</v>
      </c>
      <c r="AR443" t="s">
        <v>218</v>
      </c>
      <c r="AS443" t="s">
        <v>843</v>
      </c>
      <c r="AT443" t="s">
        <v>342</v>
      </c>
      <c r="AU443">
        <v>20261001</v>
      </c>
      <c r="AV443" t="s">
        <v>221</v>
      </c>
      <c r="AW443" t="s">
        <v>540</v>
      </c>
      <c r="AX443" t="s">
        <v>222</v>
      </c>
      <c r="BA443" s="57">
        <v>46296.291666666664</v>
      </c>
      <c r="BB443" t="s">
        <v>1196</v>
      </c>
      <c r="BC443">
        <v>2026</v>
      </c>
      <c r="BD443">
        <v>10</v>
      </c>
      <c r="BE443">
        <v>1</v>
      </c>
      <c r="BF443" s="6">
        <f t="shared" si="18"/>
        <v>46296</v>
      </c>
      <c r="BG443">
        <f t="shared" si="19"/>
        <v>-0.29166666666424135</v>
      </c>
      <c r="BH443" t="str">
        <f t="shared" si="20"/>
        <v>COMPLY</v>
      </c>
      <c r="BI443" t="str">
        <f>VLOOKUP(H443,Sheet2!$A$1:$B$270,2,FALSE)</f>
        <v>SURABAYA SELATAN</v>
      </c>
    </row>
    <row r="444" spans="1:61">
      <c r="A444">
        <v>443</v>
      </c>
      <c r="B444">
        <v>1002623807</v>
      </c>
      <c r="C444">
        <v>3</v>
      </c>
      <c r="D444" t="s">
        <v>55</v>
      </c>
      <c r="E444">
        <v>5</v>
      </c>
      <c r="F444" t="s">
        <v>305</v>
      </c>
      <c r="G444" t="s">
        <v>124</v>
      </c>
      <c r="H444" t="s">
        <v>326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46301.43310185185</v>
      </c>
      <c r="P444" s="57">
        <v>46302.815613425926</v>
      </c>
      <c r="Q444">
        <v>69404783</v>
      </c>
      <c r="S444">
        <v>152305231446</v>
      </c>
      <c r="T444" t="s">
        <v>3457</v>
      </c>
      <c r="U444" t="s">
        <v>3458</v>
      </c>
      <c r="V444" t="s">
        <v>3459</v>
      </c>
      <c r="Z444">
        <v>112.7627882</v>
      </c>
      <c r="AA444">
        <v>-7.3788168999999897</v>
      </c>
      <c r="AB444" t="s">
        <v>3460</v>
      </c>
      <c r="AC444" t="s">
        <v>235</v>
      </c>
      <c r="AL444" t="s">
        <v>217</v>
      </c>
      <c r="AM444" t="s">
        <v>3461</v>
      </c>
      <c r="AN444" t="s">
        <v>6</v>
      </c>
      <c r="AO444" s="57">
        <v>46183.433946759258</v>
      </c>
      <c r="AP444" s="57">
        <v>46302.333333333336</v>
      </c>
      <c r="AR444" t="s">
        <v>218</v>
      </c>
      <c r="AS444" t="s">
        <v>843</v>
      </c>
      <c r="AT444" t="s">
        <v>220</v>
      </c>
      <c r="AU444">
        <v>20261007</v>
      </c>
      <c r="AV444" t="s">
        <v>221</v>
      </c>
      <c r="AW444" t="s">
        <v>3462</v>
      </c>
      <c r="AX444" t="s">
        <v>222</v>
      </c>
      <c r="BA444" s="57">
        <v>46302.333333333336</v>
      </c>
      <c r="BB444" t="s">
        <v>3461</v>
      </c>
      <c r="BC444">
        <v>2026</v>
      </c>
      <c r="BD444">
        <v>10</v>
      </c>
      <c r="BE444">
        <v>7</v>
      </c>
      <c r="BF444" s="6">
        <f t="shared" si="18"/>
        <v>46302</v>
      </c>
      <c r="BG444">
        <f t="shared" si="19"/>
        <v>-0.33333333333575865</v>
      </c>
      <c r="BH444" t="str">
        <f t="shared" si="20"/>
        <v>COMPLY</v>
      </c>
      <c r="BI444" t="str">
        <f>VLOOKUP(H444,Sheet2!$A$1:$B$270,2,FALSE)</f>
        <v>SURABAYA SELATAN</v>
      </c>
    </row>
    <row r="445" spans="1:61">
      <c r="A445">
        <v>444</v>
      </c>
      <c r="B445">
        <v>1002626947</v>
      </c>
      <c r="C445">
        <v>3</v>
      </c>
      <c r="D445" t="s">
        <v>55</v>
      </c>
      <c r="E445">
        <v>5</v>
      </c>
      <c r="F445" t="s">
        <v>305</v>
      </c>
      <c r="G445" t="s">
        <v>124</v>
      </c>
      <c r="H445" t="s">
        <v>326</v>
      </c>
      <c r="I445" t="s">
        <v>212</v>
      </c>
      <c r="J445" t="s">
        <v>213</v>
      </c>
      <c r="K445" t="s">
        <v>149</v>
      </c>
      <c r="L445" t="s">
        <v>214</v>
      </c>
      <c r="M445" t="s">
        <v>238</v>
      </c>
      <c r="N445" t="s">
        <v>215</v>
      </c>
      <c r="O445" s="57">
        <v>46302.815740740742</v>
      </c>
      <c r="P445" s="57">
        <v>46302.818124999998</v>
      </c>
      <c r="Q445">
        <v>69406173</v>
      </c>
      <c r="S445">
        <v>152305231464</v>
      </c>
      <c r="T445" t="s">
        <v>4176</v>
      </c>
      <c r="U445" t="s">
        <v>4177</v>
      </c>
      <c r="V445" t="s">
        <v>4178</v>
      </c>
      <c r="Z445">
        <v>112.764503</v>
      </c>
      <c r="AA445">
        <v>-7.3438768999999997</v>
      </c>
      <c r="AB445" t="s">
        <v>4179</v>
      </c>
      <c r="AC445" t="s">
        <v>235</v>
      </c>
      <c r="AL445" t="s">
        <v>217</v>
      </c>
      <c r="AM445" t="s">
        <v>4180</v>
      </c>
      <c r="AN445" t="s">
        <v>6</v>
      </c>
      <c r="AO445" s="57">
        <v>46213.819537037038</v>
      </c>
      <c r="AP445" s="57">
        <v>46304.333333333336</v>
      </c>
      <c r="AR445" t="s">
        <v>239</v>
      </c>
      <c r="AS445" t="s">
        <v>843</v>
      </c>
      <c r="AT445" t="s">
        <v>342</v>
      </c>
      <c r="AV445" t="s">
        <v>238</v>
      </c>
      <c r="AW445" t="s">
        <v>821</v>
      </c>
      <c r="AX445" t="s">
        <v>222</v>
      </c>
      <c r="BA445" s="57">
        <v>46304.333333333336</v>
      </c>
      <c r="BB445" t="s">
        <v>4180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SURABAYA SELATAN</v>
      </c>
    </row>
    <row r="446" spans="1:61">
      <c r="A446">
        <v>445</v>
      </c>
      <c r="B446">
        <v>1002625964</v>
      </c>
      <c r="C446">
        <v>3</v>
      </c>
      <c r="D446" t="s">
        <v>55</v>
      </c>
      <c r="E446">
        <v>5</v>
      </c>
      <c r="F446" t="s">
        <v>305</v>
      </c>
      <c r="G446" t="s">
        <v>124</v>
      </c>
      <c r="H446" t="s">
        <v>326</v>
      </c>
      <c r="I446" t="s">
        <v>212</v>
      </c>
      <c r="J446" t="s">
        <v>213</v>
      </c>
      <c r="K446" t="s">
        <v>149</v>
      </c>
      <c r="L446" t="s">
        <v>214</v>
      </c>
      <c r="M446" t="s">
        <v>238</v>
      </c>
      <c r="N446" t="s">
        <v>215</v>
      </c>
      <c r="O446" s="57">
        <v>46302.515740740739</v>
      </c>
      <c r="P446" s="57">
        <v>46302.516909722224</v>
      </c>
      <c r="Q446">
        <v>69405785</v>
      </c>
      <c r="S446">
        <v>152305231459</v>
      </c>
      <c r="T446" t="s">
        <v>4181</v>
      </c>
      <c r="U446" t="s">
        <v>4182</v>
      </c>
      <c r="V446" t="s">
        <v>4183</v>
      </c>
      <c r="Z446">
        <v>112.7626822</v>
      </c>
      <c r="AA446">
        <v>-7.3471234000000001</v>
      </c>
      <c r="AB446" t="s">
        <v>4184</v>
      </c>
      <c r="AC446" t="s">
        <v>216</v>
      </c>
      <c r="AL446" t="s">
        <v>217</v>
      </c>
      <c r="AM446" t="s">
        <v>4185</v>
      </c>
      <c r="AN446" t="s">
        <v>6</v>
      </c>
      <c r="AO446" s="57">
        <v>46213.517812500002</v>
      </c>
      <c r="AP446" s="57">
        <v>46303.458333333336</v>
      </c>
      <c r="AR446" t="s">
        <v>239</v>
      </c>
      <c r="AS446" t="s">
        <v>843</v>
      </c>
      <c r="AT446" t="s">
        <v>342</v>
      </c>
      <c r="AV446" t="s">
        <v>238</v>
      </c>
      <c r="AW446" t="s">
        <v>1701</v>
      </c>
      <c r="AX446" t="s">
        <v>222</v>
      </c>
      <c r="BA446" s="57">
        <v>46303.458333333336</v>
      </c>
      <c r="BB446" t="s">
        <v>4185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SURABAYA SELATAN</v>
      </c>
    </row>
    <row r="447" spans="1:61">
      <c r="A447">
        <v>446</v>
      </c>
      <c r="B447">
        <v>1002617838</v>
      </c>
      <c r="C447">
        <v>3</v>
      </c>
      <c r="D447" t="s">
        <v>51</v>
      </c>
      <c r="E447">
        <v>4</v>
      </c>
      <c r="F447" t="s">
        <v>268</v>
      </c>
      <c r="G447" t="s">
        <v>268</v>
      </c>
      <c r="H447" t="s">
        <v>872</v>
      </c>
      <c r="I447" t="s">
        <v>212</v>
      </c>
      <c r="J447" t="s">
        <v>213</v>
      </c>
      <c r="K447" t="s">
        <v>149</v>
      </c>
      <c r="M447" t="s">
        <v>76</v>
      </c>
      <c r="N447" t="s">
        <v>215</v>
      </c>
      <c r="O447" s="57">
        <v>46296.558993055558</v>
      </c>
      <c r="P447" s="57">
        <v>46299.302789351852</v>
      </c>
      <c r="Q447">
        <v>69402365</v>
      </c>
      <c r="S447">
        <v>141456115553</v>
      </c>
      <c r="T447" t="s">
        <v>1197</v>
      </c>
      <c r="U447" t="s">
        <v>1198</v>
      </c>
      <c r="V447" t="s">
        <v>2110</v>
      </c>
      <c r="Z447">
        <v>110.640070438385</v>
      </c>
      <c r="AA447">
        <v>-6.8997784563049702</v>
      </c>
      <c r="AB447" t="s">
        <v>1199</v>
      </c>
      <c r="AC447" t="s">
        <v>283</v>
      </c>
      <c r="AL447" t="s">
        <v>217</v>
      </c>
      <c r="AM447" t="s">
        <v>2111</v>
      </c>
      <c r="AN447" t="s">
        <v>6</v>
      </c>
      <c r="AO447" s="57">
        <v>46032.569884259261</v>
      </c>
      <c r="AP447" s="57">
        <v>46299.458333333336</v>
      </c>
      <c r="AR447" t="s">
        <v>218</v>
      </c>
      <c r="AS447" t="s">
        <v>873</v>
      </c>
      <c r="AT447" t="s">
        <v>230</v>
      </c>
      <c r="AU447">
        <v>20261004</v>
      </c>
      <c r="AV447" t="s">
        <v>221</v>
      </c>
      <c r="AW447" t="s">
        <v>540</v>
      </c>
      <c r="AX447" t="s">
        <v>222</v>
      </c>
      <c r="BA447" s="57">
        <v>46299.458333333336</v>
      </c>
      <c r="BB447" t="s">
        <v>2111</v>
      </c>
      <c r="BC447">
        <v>2026</v>
      </c>
      <c r="BD447">
        <v>10</v>
      </c>
      <c r="BE447">
        <v>4</v>
      </c>
      <c r="BF447" s="6">
        <f t="shared" si="18"/>
        <v>46299</v>
      </c>
      <c r="BG447">
        <f t="shared" si="19"/>
        <v>-0.45833333333575865</v>
      </c>
      <c r="BH447" t="str">
        <f t="shared" si="20"/>
        <v>COMPLY</v>
      </c>
      <c r="BI447" t="e">
        <f>VLOOKUP(H447,Sheet2!$A$1:$B$270,2,FALSE)</f>
        <v>#N/A</v>
      </c>
    </row>
    <row r="448" spans="1:61">
      <c r="A448">
        <v>447</v>
      </c>
      <c r="B448">
        <v>1002623580</v>
      </c>
      <c r="C448">
        <v>3</v>
      </c>
      <c r="D448" t="s">
        <v>51</v>
      </c>
      <c r="E448">
        <v>4</v>
      </c>
      <c r="F448" t="s">
        <v>268</v>
      </c>
      <c r="G448" t="s">
        <v>268</v>
      </c>
      <c r="H448" t="s">
        <v>872</v>
      </c>
      <c r="I448" t="s">
        <v>212</v>
      </c>
      <c r="J448" t="s">
        <v>213</v>
      </c>
      <c r="K448" t="s">
        <v>149</v>
      </c>
      <c r="M448" t="s">
        <v>76</v>
      </c>
      <c r="N448" t="s">
        <v>215</v>
      </c>
      <c r="O448" s="57">
        <v>46301.390324074076</v>
      </c>
      <c r="P448" s="57">
        <v>46301.724861111114</v>
      </c>
      <c r="Q448">
        <v>69399897</v>
      </c>
      <c r="S448">
        <v>141456115572</v>
      </c>
      <c r="T448" t="s">
        <v>3463</v>
      </c>
      <c r="U448" t="s">
        <v>3464</v>
      </c>
      <c r="V448" t="s">
        <v>3465</v>
      </c>
      <c r="Z448">
        <v>110.5823</v>
      </c>
      <c r="AA448">
        <v>-6.9226400000000003</v>
      </c>
      <c r="AB448" t="s">
        <v>3466</v>
      </c>
      <c r="AC448" t="s">
        <v>283</v>
      </c>
      <c r="AL448" t="s">
        <v>217</v>
      </c>
      <c r="AM448" t="s">
        <v>3467</v>
      </c>
      <c r="AN448" t="s">
        <v>6</v>
      </c>
      <c r="AO448" s="57">
        <v>46183.392407407409</v>
      </c>
      <c r="AR448" t="s">
        <v>218</v>
      </c>
      <c r="AS448" t="s">
        <v>873</v>
      </c>
      <c r="AT448" t="s">
        <v>230</v>
      </c>
      <c r="AU448">
        <v>20261006</v>
      </c>
      <c r="AV448" t="s">
        <v>221</v>
      </c>
      <c r="AW448" t="s">
        <v>1475</v>
      </c>
      <c r="AX448" t="s">
        <v>222</v>
      </c>
      <c r="BA448" s="57">
        <v>46301.291666666664</v>
      </c>
      <c r="BB448" t="s">
        <v>3467</v>
      </c>
      <c r="BC448">
        <v>2026</v>
      </c>
      <c r="BD448">
        <v>10</v>
      </c>
      <c r="BE448">
        <v>6</v>
      </c>
      <c r="BF448" s="6">
        <f t="shared" si="18"/>
        <v>46301</v>
      </c>
      <c r="BG448">
        <f t="shared" si="19"/>
        <v>-0.29166666666424135</v>
      </c>
      <c r="BH448" t="str">
        <f t="shared" si="20"/>
        <v>COMPLY</v>
      </c>
      <c r="BI448" t="e">
        <f>VLOOKUP(H448,Sheet2!$A$1:$B$270,2,FALSE)</f>
        <v>#N/A</v>
      </c>
    </row>
    <row r="449" spans="1:61">
      <c r="A449">
        <v>448</v>
      </c>
      <c r="B449">
        <v>1002617515</v>
      </c>
      <c r="C449">
        <v>3</v>
      </c>
      <c r="D449" t="s">
        <v>49</v>
      </c>
      <c r="E449">
        <v>4</v>
      </c>
      <c r="F449" t="s">
        <v>244</v>
      </c>
      <c r="G449" t="s">
        <v>554</v>
      </c>
      <c r="H449" t="s">
        <v>555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46296.462268518517</v>
      </c>
      <c r="P449" s="57">
        <v>46297.598912037036</v>
      </c>
      <c r="Q449">
        <v>69402219</v>
      </c>
      <c r="S449">
        <v>142434111801</v>
      </c>
      <c r="T449" t="s">
        <v>1200</v>
      </c>
      <c r="U449" t="s">
        <v>1201</v>
      </c>
      <c r="V449" t="s">
        <v>1202</v>
      </c>
      <c r="Z449">
        <v>110.50549289999999</v>
      </c>
      <c r="AA449">
        <v>-7.3329836999999998</v>
      </c>
      <c r="AB449" t="s">
        <v>1203</v>
      </c>
      <c r="AC449" t="s">
        <v>235</v>
      </c>
      <c r="AL449" t="s">
        <v>217</v>
      </c>
      <c r="AM449" t="s">
        <v>1204</v>
      </c>
      <c r="AN449" t="s">
        <v>6</v>
      </c>
      <c r="AO449" s="57">
        <v>46032.486342592594</v>
      </c>
      <c r="AP449" s="57">
        <v>46297.333333333336</v>
      </c>
      <c r="AR449" t="s">
        <v>218</v>
      </c>
      <c r="AS449" t="s">
        <v>219</v>
      </c>
      <c r="AT449" t="s">
        <v>230</v>
      </c>
      <c r="AU449">
        <v>20261002</v>
      </c>
      <c r="AV449" t="s">
        <v>221</v>
      </c>
      <c r="AW449" t="s">
        <v>886</v>
      </c>
      <c r="AX449" t="s">
        <v>222</v>
      </c>
      <c r="BA449" s="57">
        <v>46297.333333333336</v>
      </c>
      <c r="BB449" t="s">
        <v>1204</v>
      </c>
      <c r="BC449">
        <v>2026</v>
      </c>
      <c r="BD449">
        <v>10</v>
      </c>
      <c r="BE449">
        <v>2</v>
      </c>
      <c r="BF449" s="6">
        <f t="shared" si="18"/>
        <v>46297</v>
      </c>
      <c r="BG449">
        <f t="shared" si="19"/>
        <v>-0.33333333333575865</v>
      </c>
      <c r="BH449" t="str">
        <f t="shared" si="20"/>
        <v>COMPLY</v>
      </c>
      <c r="BI449" t="e">
        <f>VLOOKUP(H449,Sheet2!$A$1:$B$270,2,FALSE)</f>
        <v>#N/A</v>
      </c>
    </row>
    <row r="450" spans="1:61">
      <c r="A450">
        <v>449</v>
      </c>
      <c r="B450">
        <v>1002618961</v>
      </c>
      <c r="C450">
        <v>3</v>
      </c>
      <c r="D450" t="s">
        <v>49</v>
      </c>
      <c r="E450">
        <v>4</v>
      </c>
      <c r="F450" t="s">
        <v>244</v>
      </c>
      <c r="G450" t="s">
        <v>554</v>
      </c>
      <c r="H450" t="s">
        <v>555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46297.3594212963</v>
      </c>
      <c r="P450" s="57">
        <v>46297.777418981481</v>
      </c>
      <c r="Q450">
        <v>69402718</v>
      </c>
      <c r="S450">
        <v>142434111564</v>
      </c>
      <c r="T450" t="s">
        <v>2112</v>
      </c>
      <c r="U450" t="s">
        <v>2113</v>
      </c>
      <c r="V450" t="s">
        <v>2114</v>
      </c>
      <c r="Z450">
        <v>110.434306114912</v>
      </c>
      <c r="AA450">
        <v>-7.3956559601632801</v>
      </c>
      <c r="AB450" t="s">
        <v>2115</v>
      </c>
      <c r="AC450" t="s">
        <v>216</v>
      </c>
      <c r="AL450" t="s">
        <v>217</v>
      </c>
      <c r="AM450" t="s">
        <v>2116</v>
      </c>
      <c r="AN450" t="s">
        <v>6</v>
      </c>
      <c r="AO450" s="57">
        <v>46063.361111111109</v>
      </c>
      <c r="AP450" s="57">
        <v>46298.333333333336</v>
      </c>
      <c r="AR450" t="s">
        <v>218</v>
      </c>
      <c r="AS450" t="s">
        <v>219</v>
      </c>
      <c r="AT450" t="s">
        <v>230</v>
      </c>
      <c r="AU450">
        <v>20261002</v>
      </c>
      <c r="AV450" t="s">
        <v>221</v>
      </c>
      <c r="AW450" t="s">
        <v>877</v>
      </c>
      <c r="AX450" t="s">
        <v>222</v>
      </c>
      <c r="BA450" s="57">
        <v>46298.333333333336</v>
      </c>
      <c r="BB450" t="s">
        <v>2116</v>
      </c>
      <c r="BC450">
        <v>2026</v>
      </c>
      <c r="BD450">
        <v>10</v>
      </c>
      <c r="BE450">
        <v>2</v>
      </c>
      <c r="BF450" s="6">
        <f t="shared" ref="BF450:BF513" si="21">DATE(BC450,BD450,BE450)</f>
        <v>46297</v>
      </c>
      <c r="BG450">
        <f t="shared" ref="BG450:BG513" si="22">BF450-BA450</f>
        <v>-1.3333333333357587</v>
      </c>
      <c r="BH450" t="str">
        <f t="shared" ref="BH450:BH513" si="23">IF(BG450=1,"COMPLY",IF(BG450&lt;1,"COMPLY","NOT COMPLY"))</f>
        <v>COMPLY</v>
      </c>
      <c r="BI450" t="e">
        <f>VLOOKUP(H450,Sheet2!$A$1:$B$270,2,FALSE)</f>
        <v>#N/A</v>
      </c>
    </row>
    <row r="451" spans="1:61">
      <c r="A451">
        <v>450</v>
      </c>
      <c r="B451">
        <v>1002626888</v>
      </c>
      <c r="C451">
        <v>3</v>
      </c>
      <c r="D451" t="s">
        <v>49</v>
      </c>
      <c r="E451">
        <v>4</v>
      </c>
      <c r="F451" t="s">
        <v>244</v>
      </c>
      <c r="G451" t="s">
        <v>554</v>
      </c>
      <c r="H451" t="s">
        <v>555</v>
      </c>
      <c r="I451" t="s">
        <v>212</v>
      </c>
      <c r="J451" t="s">
        <v>213</v>
      </c>
      <c r="K451" t="s">
        <v>149</v>
      </c>
      <c r="L451" t="s">
        <v>214</v>
      </c>
      <c r="M451" t="s">
        <v>238</v>
      </c>
      <c r="N451" t="s">
        <v>215</v>
      </c>
      <c r="O451" s="57">
        <v>46302.736585648148</v>
      </c>
      <c r="P451" s="57">
        <v>46302.737893518519</v>
      </c>
      <c r="Q451">
        <v>69406118</v>
      </c>
      <c r="S451">
        <v>142434111622</v>
      </c>
      <c r="T451" t="s">
        <v>4186</v>
      </c>
      <c r="U451" t="s">
        <v>4187</v>
      </c>
      <c r="V451" t="s">
        <v>4188</v>
      </c>
      <c r="Z451">
        <v>110.606295391917</v>
      </c>
      <c r="AA451">
        <v>-7.2354864446284299</v>
      </c>
      <c r="AB451" t="s">
        <v>4189</v>
      </c>
      <c r="AC451" t="s">
        <v>216</v>
      </c>
      <c r="AL451" t="s">
        <v>217</v>
      </c>
      <c r="AM451" t="s">
        <v>4190</v>
      </c>
      <c r="AN451" t="s">
        <v>6</v>
      </c>
      <c r="AO451" s="57">
        <v>46213.746666666666</v>
      </c>
      <c r="AP451" s="57">
        <v>46303.625</v>
      </c>
      <c r="AR451" t="s">
        <v>239</v>
      </c>
      <c r="AS451" t="s">
        <v>219</v>
      </c>
      <c r="AT451" t="s">
        <v>230</v>
      </c>
      <c r="AV451" t="s">
        <v>238</v>
      </c>
      <c r="AW451" t="s">
        <v>879</v>
      </c>
      <c r="AX451" t="s">
        <v>222</v>
      </c>
      <c r="BA451" s="57">
        <v>46303.625</v>
      </c>
      <c r="BB451" t="s">
        <v>4190</v>
      </c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e">
        <f>VLOOKUP(H451,Sheet2!$A$1:$B$270,2,FALSE)</f>
        <v>#N/A</v>
      </c>
    </row>
    <row r="452" spans="1:61">
      <c r="A452">
        <v>451</v>
      </c>
      <c r="B452">
        <v>1002619128</v>
      </c>
      <c r="C452">
        <v>3</v>
      </c>
      <c r="D452" t="s">
        <v>49</v>
      </c>
      <c r="E452">
        <v>4</v>
      </c>
      <c r="F452" t="s">
        <v>244</v>
      </c>
      <c r="G452" t="s">
        <v>554</v>
      </c>
      <c r="H452" t="s">
        <v>555</v>
      </c>
      <c r="I452" t="s">
        <v>212</v>
      </c>
      <c r="J452" t="s">
        <v>213</v>
      </c>
      <c r="K452" t="s">
        <v>149</v>
      </c>
      <c r="L452" t="s">
        <v>214</v>
      </c>
      <c r="M452" t="s">
        <v>2117</v>
      </c>
      <c r="N452" t="s">
        <v>215</v>
      </c>
      <c r="O452" s="57">
        <v>46297.393726851849</v>
      </c>
      <c r="P452" s="57">
        <v>46298.35628472222</v>
      </c>
      <c r="Q452">
        <v>69400076</v>
      </c>
      <c r="T452" t="s">
        <v>2118</v>
      </c>
      <c r="V452" t="s">
        <v>2119</v>
      </c>
      <c r="Z452">
        <v>110.666</v>
      </c>
      <c r="AA452">
        <v>-7.3639999999999999</v>
      </c>
      <c r="AB452" t="s">
        <v>2120</v>
      </c>
      <c r="AC452" t="s">
        <v>235</v>
      </c>
      <c r="AL452" t="s">
        <v>217</v>
      </c>
      <c r="AM452" t="s">
        <v>2121</v>
      </c>
      <c r="AN452" t="s">
        <v>6</v>
      </c>
      <c r="AO452" s="57">
        <v>46063.403113425928</v>
      </c>
      <c r="AP452" s="57">
        <v>46294</v>
      </c>
      <c r="AR452" t="s">
        <v>543</v>
      </c>
      <c r="AS452" t="s">
        <v>219</v>
      </c>
      <c r="AT452" t="s">
        <v>230</v>
      </c>
      <c r="AV452" t="s">
        <v>2122</v>
      </c>
      <c r="AW452" t="s">
        <v>880</v>
      </c>
      <c r="AX452" t="s">
        <v>222</v>
      </c>
      <c r="BA452" s="57">
        <v>46294.458333333336</v>
      </c>
      <c r="BB452" t="s">
        <v>2121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:61">
      <c r="A453">
        <v>452</v>
      </c>
      <c r="B453">
        <v>1002622449</v>
      </c>
      <c r="C453">
        <v>3</v>
      </c>
      <c r="D453" t="s">
        <v>49</v>
      </c>
      <c r="E453">
        <v>4</v>
      </c>
      <c r="F453" t="s">
        <v>244</v>
      </c>
      <c r="G453" t="s">
        <v>2826</v>
      </c>
      <c r="H453" t="s">
        <v>2827</v>
      </c>
      <c r="I453" t="s">
        <v>212</v>
      </c>
      <c r="J453" t="s">
        <v>213</v>
      </c>
      <c r="K453" t="s">
        <v>149</v>
      </c>
      <c r="M453" t="s">
        <v>76</v>
      </c>
      <c r="N453" t="s">
        <v>215</v>
      </c>
      <c r="O453" s="57">
        <v>46300.564884259256</v>
      </c>
      <c r="P453" s="57">
        <v>46300.630995370368</v>
      </c>
      <c r="Q453">
        <v>69401571</v>
      </c>
      <c r="S453">
        <v>141459108537</v>
      </c>
      <c r="T453" t="s">
        <v>2828</v>
      </c>
      <c r="U453" t="s">
        <v>2829</v>
      </c>
      <c r="V453" t="s">
        <v>2830</v>
      </c>
      <c r="Z453">
        <v>110.44052916</v>
      </c>
      <c r="AA453">
        <v>-7.3291379040000004</v>
      </c>
      <c r="AB453" t="s">
        <v>2831</v>
      </c>
      <c r="AC453" t="s">
        <v>216</v>
      </c>
      <c r="AL453" t="s">
        <v>217</v>
      </c>
      <c r="AM453" t="s">
        <v>2832</v>
      </c>
      <c r="AN453" t="s">
        <v>6</v>
      </c>
      <c r="AO453" s="57">
        <v>46152.569618055553</v>
      </c>
      <c r="AR453" t="s">
        <v>218</v>
      </c>
      <c r="AS453" t="s">
        <v>2833</v>
      </c>
      <c r="AT453" t="s">
        <v>230</v>
      </c>
      <c r="AU453">
        <v>20261005</v>
      </c>
      <c r="AV453" t="s">
        <v>221</v>
      </c>
      <c r="AW453" t="s">
        <v>1833</v>
      </c>
      <c r="AX453" t="s">
        <v>222</v>
      </c>
      <c r="BA453" s="57">
        <v>46300.291666666664</v>
      </c>
      <c r="BB453" t="s">
        <v>2832</v>
      </c>
      <c r="BC453">
        <v>2026</v>
      </c>
      <c r="BD453">
        <v>10</v>
      </c>
      <c r="BE453">
        <v>5</v>
      </c>
      <c r="BF453" s="6">
        <f t="shared" si="21"/>
        <v>46300</v>
      </c>
      <c r="BG453">
        <f t="shared" si="22"/>
        <v>-0.29166666666424135</v>
      </c>
      <c r="BH453" t="str">
        <f t="shared" si="23"/>
        <v>COMPLY</v>
      </c>
      <c r="BI453" t="e">
        <f>VLOOKUP(H453,Sheet2!$A$1:$B$270,2,FALSE)</f>
        <v>#N/A</v>
      </c>
    </row>
    <row r="454" spans="1:61">
      <c r="A454">
        <v>453</v>
      </c>
      <c r="B454">
        <v>1002622008</v>
      </c>
      <c r="C454">
        <v>3</v>
      </c>
      <c r="D454" t="s">
        <v>49</v>
      </c>
      <c r="E454">
        <v>4</v>
      </c>
      <c r="F454" t="s">
        <v>244</v>
      </c>
      <c r="G454" t="s">
        <v>2826</v>
      </c>
      <c r="H454" t="s">
        <v>2827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46300.44699074074</v>
      </c>
      <c r="P454" s="57">
        <v>46301.569652777776</v>
      </c>
      <c r="Q454">
        <v>69404173</v>
      </c>
      <c r="S454">
        <v>141459108153</v>
      </c>
      <c r="T454" t="s">
        <v>2834</v>
      </c>
      <c r="U454" t="s">
        <v>2835</v>
      </c>
      <c r="V454" t="s">
        <v>2836</v>
      </c>
      <c r="Z454">
        <v>110.423529</v>
      </c>
      <c r="AA454">
        <v>-7.3132693</v>
      </c>
      <c r="AB454" t="s">
        <v>2837</v>
      </c>
      <c r="AC454" t="s">
        <v>235</v>
      </c>
      <c r="AL454" t="s">
        <v>217</v>
      </c>
      <c r="AM454" t="s">
        <v>2838</v>
      </c>
      <c r="AN454" t="s">
        <v>6</v>
      </c>
      <c r="AO454" s="57">
        <v>46152.486157407409</v>
      </c>
      <c r="AP454" s="57">
        <v>46301.333333333336</v>
      </c>
      <c r="AR454" t="s">
        <v>218</v>
      </c>
      <c r="AS454" t="s">
        <v>2833</v>
      </c>
      <c r="AT454" t="s">
        <v>230</v>
      </c>
      <c r="AU454">
        <v>20261006</v>
      </c>
      <c r="AV454" t="s">
        <v>221</v>
      </c>
      <c r="AW454" t="s">
        <v>881</v>
      </c>
      <c r="AX454" t="s">
        <v>222</v>
      </c>
      <c r="BA454" s="57">
        <v>46301.333333333336</v>
      </c>
      <c r="BB454" t="s">
        <v>2838</v>
      </c>
      <c r="BC454">
        <v>2026</v>
      </c>
      <c r="BD454">
        <v>10</v>
      </c>
      <c r="BE454">
        <v>6</v>
      </c>
      <c r="BF454" s="6">
        <f t="shared" si="21"/>
        <v>46301</v>
      </c>
      <c r="BG454">
        <f t="shared" si="22"/>
        <v>-0.33333333333575865</v>
      </c>
      <c r="BH454" t="str">
        <f t="shared" si="23"/>
        <v>COMPLY</v>
      </c>
      <c r="BI454" t="e">
        <f>VLOOKUP(H454,Sheet2!$A$1:$B$270,2,FALSE)</f>
        <v>#N/A</v>
      </c>
    </row>
    <row r="455" spans="1:61">
      <c r="A455">
        <v>454</v>
      </c>
      <c r="B455">
        <v>1002626880</v>
      </c>
      <c r="C455">
        <v>3</v>
      </c>
      <c r="D455" t="s">
        <v>49</v>
      </c>
      <c r="E455">
        <v>4</v>
      </c>
      <c r="F455" t="s">
        <v>244</v>
      </c>
      <c r="G455" t="s">
        <v>2826</v>
      </c>
      <c r="H455" t="s">
        <v>4191</v>
      </c>
      <c r="I455" t="s">
        <v>212</v>
      </c>
      <c r="J455" t="s">
        <v>213</v>
      </c>
      <c r="K455" t="s">
        <v>149</v>
      </c>
      <c r="L455" t="s">
        <v>214</v>
      </c>
      <c r="M455" t="s">
        <v>238</v>
      </c>
      <c r="N455" t="s">
        <v>215</v>
      </c>
      <c r="O455" s="57">
        <v>46302.73101851852</v>
      </c>
      <c r="P455" s="57">
        <v>46302.731956018521</v>
      </c>
      <c r="Q455">
        <v>69406134</v>
      </c>
      <c r="S455">
        <v>141411106689</v>
      </c>
      <c r="T455" t="s">
        <v>4192</v>
      </c>
      <c r="U455" t="s">
        <v>4193</v>
      </c>
      <c r="V455" t="s">
        <v>4194</v>
      </c>
      <c r="Z455">
        <v>110.37462361156901</v>
      </c>
      <c r="AA455">
        <v>-7.2258301157136202</v>
      </c>
      <c r="AB455" t="s">
        <v>4195</v>
      </c>
      <c r="AC455" t="s">
        <v>216</v>
      </c>
      <c r="AL455" t="s">
        <v>217</v>
      </c>
      <c r="AM455" t="s">
        <v>4196</v>
      </c>
      <c r="AN455" t="s">
        <v>6</v>
      </c>
      <c r="AO455" s="57">
        <v>46213.736238425925</v>
      </c>
      <c r="AP455" s="57">
        <v>46303.625</v>
      </c>
      <c r="AR455" t="s">
        <v>239</v>
      </c>
      <c r="AS455" t="s">
        <v>2833</v>
      </c>
      <c r="AT455" t="s">
        <v>230</v>
      </c>
      <c r="AV455" t="s">
        <v>238</v>
      </c>
      <c r="AW455" t="s">
        <v>877</v>
      </c>
      <c r="AX455" t="s">
        <v>222</v>
      </c>
      <c r="BA455" s="57">
        <v>46303.625</v>
      </c>
      <c r="BB455" t="s">
        <v>4196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:61">
      <c r="A456">
        <v>455</v>
      </c>
      <c r="B456">
        <v>1002623230</v>
      </c>
      <c r="C456">
        <v>3</v>
      </c>
      <c r="D456" t="s">
        <v>49</v>
      </c>
      <c r="E456">
        <v>4</v>
      </c>
      <c r="F456" t="s">
        <v>244</v>
      </c>
      <c r="G456" t="s">
        <v>2826</v>
      </c>
      <c r="H456" t="s">
        <v>2839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46300.726805555554</v>
      </c>
      <c r="P456" s="57">
        <v>46301.55201388889</v>
      </c>
      <c r="Q456">
        <v>69404610</v>
      </c>
      <c r="S456">
        <v>146425112958</v>
      </c>
      <c r="T456" t="s">
        <v>2840</v>
      </c>
      <c r="U456" t="s">
        <v>2841</v>
      </c>
      <c r="V456" t="s">
        <v>2842</v>
      </c>
      <c r="Z456">
        <v>110.4211387</v>
      </c>
      <c r="AA456">
        <v>-7.1784131999999996</v>
      </c>
      <c r="AB456" t="s">
        <v>2843</v>
      </c>
      <c r="AC456" t="s">
        <v>235</v>
      </c>
      <c r="AL456" t="s">
        <v>217</v>
      </c>
      <c r="AM456" t="s">
        <v>2844</v>
      </c>
      <c r="AN456" t="s">
        <v>6</v>
      </c>
      <c r="AO456" s="57">
        <v>46152.736481481479</v>
      </c>
      <c r="AP456" s="57">
        <v>46301.625</v>
      </c>
      <c r="AR456" t="s">
        <v>218</v>
      </c>
      <c r="AS456" t="s">
        <v>219</v>
      </c>
      <c r="AT456" t="s">
        <v>230</v>
      </c>
      <c r="AU456">
        <v>20261006</v>
      </c>
      <c r="AV456" t="s">
        <v>221</v>
      </c>
      <c r="AW456" t="s">
        <v>923</v>
      </c>
      <c r="AX456" t="s">
        <v>222</v>
      </c>
      <c r="BA456" s="57">
        <v>46301.625</v>
      </c>
      <c r="BB456" t="s">
        <v>2844</v>
      </c>
      <c r="BC456">
        <v>2026</v>
      </c>
      <c r="BD456">
        <v>10</v>
      </c>
      <c r="BE456">
        <v>6</v>
      </c>
      <c r="BF456" s="6">
        <f t="shared" si="21"/>
        <v>46301</v>
      </c>
      <c r="BG456">
        <f t="shared" si="22"/>
        <v>-0.625</v>
      </c>
      <c r="BH456" t="str">
        <f t="shared" si="23"/>
        <v>COMPLY</v>
      </c>
      <c r="BI456" t="e">
        <f>VLOOKUP(H456,Sheet2!$A$1:$B$270,2,FALSE)</f>
        <v>#N/A</v>
      </c>
    </row>
    <row r="457" spans="1:61">
      <c r="A457">
        <v>456</v>
      </c>
      <c r="B457">
        <v>1002622528</v>
      </c>
      <c r="C457">
        <v>3</v>
      </c>
      <c r="D457" t="s">
        <v>49</v>
      </c>
      <c r="E457">
        <v>4</v>
      </c>
      <c r="F457" t="s">
        <v>244</v>
      </c>
      <c r="G457" t="s">
        <v>2826</v>
      </c>
      <c r="H457" t="s">
        <v>2845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46300.578935185185</v>
      </c>
      <c r="P457" s="57">
        <v>46301.603518518517</v>
      </c>
      <c r="Q457">
        <v>69404380</v>
      </c>
      <c r="S457">
        <v>146460105189</v>
      </c>
      <c r="T457" t="s">
        <v>2846</v>
      </c>
      <c r="U457" t="s">
        <v>2847</v>
      </c>
      <c r="V457" t="s">
        <v>2848</v>
      </c>
      <c r="Z457">
        <v>110.479005463421</v>
      </c>
      <c r="AA457">
        <v>-7.1815574411059897</v>
      </c>
      <c r="AB457" t="s">
        <v>2849</v>
      </c>
      <c r="AC457" t="s">
        <v>216</v>
      </c>
      <c r="AL457" t="s">
        <v>217</v>
      </c>
      <c r="AM457" t="s">
        <v>2719</v>
      </c>
      <c r="AN457" t="s">
        <v>6</v>
      </c>
      <c r="AO457" s="57">
        <v>46152.601203703707</v>
      </c>
      <c r="AP457" s="57">
        <v>46301.458333333336</v>
      </c>
      <c r="AR457" t="s">
        <v>218</v>
      </c>
      <c r="AS457" t="s">
        <v>219</v>
      </c>
      <c r="AT457" t="s">
        <v>230</v>
      </c>
      <c r="AU457">
        <v>20261006</v>
      </c>
      <c r="AV457" t="s">
        <v>221</v>
      </c>
      <c r="AW457" t="s">
        <v>875</v>
      </c>
      <c r="AX457" t="s">
        <v>222</v>
      </c>
      <c r="BA457" s="57">
        <v>46301.458333333336</v>
      </c>
      <c r="BB457" t="s">
        <v>2719</v>
      </c>
      <c r="BC457">
        <v>2026</v>
      </c>
      <c r="BD457">
        <v>10</v>
      </c>
      <c r="BE457">
        <v>6</v>
      </c>
      <c r="BF457" s="6">
        <f t="shared" si="21"/>
        <v>46301</v>
      </c>
      <c r="BG457">
        <f t="shared" si="22"/>
        <v>-0.45833333333575865</v>
      </c>
      <c r="BH457" t="str">
        <f t="shared" si="23"/>
        <v>COMPLY</v>
      </c>
      <c r="BI457" t="e">
        <f>VLOOKUP(H457,Sheet2!$A$1:$B$270,2,FALSE)</f>
        <v>#N/A</v>
      </c>
    </row>
    <row r="458" spans="1:61">
      <c r="A458">
        <v>457</v>
      </c>
      <c r="B458">
        <v>1002619095</v>
      </c>
      <c r="C458">
        <v>3</v>
      </c>
      <c r="D458" t="s">
        <v>51</v>
      </c>
      <c r="E458">
        <v>4</v>
      </c>
      <c r="F458" t="s">
        <v>268</v>
      </c>
      <c r="G458" t="s">
        <v>2123</v>
      </c>
      <c r="H458" t="s">
        <v>2124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46297.386504629627</v>
      </c>
      <c r="P458" s="57">
        <v>46298.686273148145</v>
      </c>
      <c r="Q458">
        <v>69402771</v>
      </c>
      <c r="S458">
        <v>146593115714</v>
      </c>
      <c r="T458" t="s">
        <v>2125</v>
      </c>
      <c r="U458" t="s">
        <v>2126</v>
      </c>
      <c r="V458" t="s">
        <v>2127</v>
      </c>
      <c r="Z458">
        <v>110.732849</v>
      </c>
      <c r="AA458">
        <v>-6.7292825000000001</v>
      </c>
      <c r="AB458" t="s">
        <v>2128</v>
      </c>
      <c r="AC458" t="s">
        <v>235</v>
      </c>
      <c r="AL458" t="s">
        <v>217</v>
      </c>
      <c r="AM458" t="s">
        <v>2129</v>
      </c>
      <c r="AN458" t="s">
        <v>6</v>
      </c>
      <c r="AO458" s="57">
        <v>46063.39334490741</v>
      </c>
      <c r="AP458" s="57">
        <v>46298.333333333336</v>
      </c>
      <c r="AR458" t="s">
        <v>218</v>
      </c>
      <c r="AS458" t="s">
        <v>2130</v>
      </c>
      <c r="AT458" t="s">
        <v>230</v>
      </c>
      <c r="AU458">
        <v>20261003</v>
      </c>
      <c r="AV458" t="s">
        <v>221</v>
      </c>
      <c r="AW458" t="s">
        <v>877</v>
      </c>
      <c r="AX458" t="s">
        <v>222</v>
      </c>
      <c r="BA458" s="57">
        <v>46298.333333333336</v>
      </c>
      <c r="BB458" t="s">
        <v>2129</v>
      </c>
      <c r="BC458">
        <v>2026</v>
      </c>
      <c r="BD458">
        <v>10</v>
      </c>
      <c r="BE458">
        <v>3</v>
      </c>
      <c r="BF458" s="6">
        <f t="shared" si="21"/>
        <v>46298</v>
      </c>
      <c r="BG458">
        <f t="shared" si="22"/>
        <v>-0.33333333333575865</v>
      </c>
      <c r="BH458" t="str">
        <f t="shared" si="23"/>
        <v>COMPLY</v>
      </c>
      <c r="BI458" t="e">
        <f>VLOOKUP(H458,Sheet2!$A$1:$B$270,2,FALSE)</f>
        <v>#N/A</v>
      </c>
    </row>
    <row r="459" spans="1:61">
      <c r="A459">
        <v>458</v>
      </c>
      <c r="B459">
        <v>1002622968</v>
      </c>
      <c r="C459">
        <v>3</v>
      </c>
      <c r="D459" t="s">
        <v>51</v>
      </c>
      <c r="E459">
        <v>4</v>
      </c>
      <c r="F459" t="s">
        <v>268</v>
      </c>
      <c r="G459" t="s">
        <v>2123</v>
      </c>
      <c r="H459" t="s">
        <v>2124</v>
      </c>
      <c r="I459" t="s">
        <v>212</v>
      </c>
      <c r="J459" t="s">
        <v>213</v>
      </c>
      <c r="K459" t="s">
        <v>149</v>
      </c>
      <c r="M459" t="s">
        <v>238</v>
      </c>
      <c r="N459" t="s">
        <v>563</v>
      </c>
      <c r="O459" s="57">
        <v>46300.660914351851</v>
      </c>
      <c r="P459" s="57">
        <v>46300.812511574077</v>
      </c>
      <c r="Q459">
        <v>69404534</v>
      </c>
      <c r="S459">
        <v>146593115726</v>
      </c>
      <c r="T459" t="s">
        <v>2850</v>
      </c>
      <c r="U459" t="s">
        <v>2851</v>
      </c>
      <c r="V459" t="s">
        <v>2852</v>
      </c>
      <c r="Z459">
        <v>110.760131</v>
      </c>
      <c r="AA459">
        <v>-6.7503168000000002</v>
      </c>
      <c r="AB459" t="s">
        <v>2673</v>
      </c>
      <c r="AC459" t="s">
        <v>225</v>
      </c>
      <c r="AL459" t="s">
        <v>217</v>
      </c>
      <c r="AM459" t="s">
        <v>2853</v>
      </c>
      <c r="AN459" t="s">
        <v>6</v>
      </c>
      <c r="AO459" s="57">
        <v>46152.684560185182</v>
      </c>
      <c r="AP459" s="57">
        <v>46305.333333333336</v>
      </c>
      <c r="AR459" t="s">
        <v>239</v>
      </c>
      <c r="AS459" t="s">
        <v>2130</v>
      </c>
      <c r="AT459" t="s">
        <v>230</v>
      </c>
      <c r="AV459" t="s">
        <v>238</v>
      </c>
      <c r="AW459" t="s">
        <v>2675</v>
      </c>
      <c r="AX459" t="s">
        <v>222</v>
      </c>
      <c r="BA459" s="57">
        <v>46305.333333333336</v>
      </c>
      <c r="BB459" t="s">
        <v>2853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:61">
      <c r="A460">
        <v>459</v>
      </c>
      <c r="B460">
        <v>1002624154</v>
      </c>
      <c r="C460">
        <v>3</v>
      </c>
      <c r="D460" t="s">
        <v>51</v>
      </c>
      <c r="E460">
        <v>4</v>
      </c>
      <c r="F460" t="s">
        <v>268</v>
      </c>
      <c r="G460" t="s">
        <v>268</v>
      </c>
      <c r="H460" t="s">
        <v>805</v>
      </c>
      <c r="I460" t="s">
        <v>212</v>
      </c>
      <c r="J460" t="s">
        <v>213</v>
      </c>
      <c r="K460" t="s">
        <v>149</v>
      </c>
      <c r="L460" t="s">
        <v>214</v>
      </c>
      <c r="M460" t="s">
        <v>839</v>
      </c>
      <c r="N460" t="s">
        <v>215</v>
      </c>
      <c r="O460" s="57">
        <v>46301.515740740739</v>
      </c>
      <c r="P460" s="57">
        <v>46302.611319444448</v>
      </c>
      <c r="Q460">
        <v>69404990</v>
      </c>
      <c r="S460">
        <v>142401146393</v>
      </c>
      <c r="T460" t="s">
        <v>3468</v>
      </c>
      <c r="U460" t="s">
        <v>3469</v>
      </c>
      <c r="V460" t="s">
        <v>3470</v>
      </c>
      <c r="Z460">
        <v>110.8445423</v>
      </c>
      <c r="AA460">
        <v>-6.7576166999999998</v>
      </c>
      <c r="AB460" t="s">
        <v>3471</v>
      </c>
      <c r="AC460" t="s">
        <v>235</v>
      </c>
      <c r="AL460" t="s">
        <v>217</v>
      </c>
      <c r="AM460" t="s">
        <v>3451</v>
      </c>
      <c r="AN460" t="s">
        <v>6</v>
      </c>
      <c r="AO460" s="57">
        <v>46183.517812500002</v>
      </c>
      <c r="AP460" s="57">
        <v>46302.458333333336</v>
      </c>
      <c r="AQ460" t="s">
        <v>841</v>
      </c>
      <c r="AR460" t="s">
        <v>840</v>
      </c>
      <c r="AS460" t="s">
        <v>219</v>
      </c>
      <c r="AT460" t="s">
        <v>230</v>
      </c>
      <c r="AV460" t="s">
        <v>4197</v>
      </c>
      <c r="AW460" t="s">
        <v>879</v>
      </c>
      <c r="AX460" t="s">
        <v>222</v>
      </c>
      <c r="BA460" s="57">
        <v>46302.458333333336</v>
      </c>
      <c r="BB460" t="s">
        <v>3451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e">
        <f>VLOOKUP(H460,Sheet2!$A$1:$B$270,2,FALSE)</f>
        <v>#N/A</v>
      </c>
    </row>
    <row r="461" spans="1:61">
      <c r="A461">
        <v>460</v>
      </c>
      <c r="B461">
        <v>1002619742</v>
      </c>
      <c r="C461">
        <v>3</v>
      </c>
      <c r="D461" t="s">
        <v>51</v>
      </c>
      <c r="E461">
        <v>4</v>
      </c>
      <c r="F461" t="s">
        <v>268</v>
      </c>
      <c r="G461" t="s">
        <v>268</v>
      </c>
      <c r="H461" t="s">
        <v>805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46297.551168981481</v>
      </c>
      <c r="P461" s="57">
        <v>46298.657534722224</v>
      </c>
      <c r="Q461">
        <v>69403057</v>
      </c>
      <c r="S461">
        <v>142401146372</v>
      </c>
      <c r="T461" t="s">
        <v>2131</v>
      </c>
      <c r="U461" t="s">
        <v>2132</v>
      </c>
      <c r="V461" t="s">
        <v>2133</v>
      </c>
      <c r="Z461">
        <v>110.81719750000001</v>
      </c>
      <c r="AA461">
        <v>-6.7991368999999997</v>
      </c>
      <c r="AB461" t="s">
        <v>2134</v>
      </c>
      <c r="AC461" t="s">
        <v>235</v>
      </c>
      <c r="AL461" t="s">
        <v>217</v>
      </c>
      <c r="AM461" t="s">
        <v>2135</v>
      </c>
      <c r="AN461" t="s">
        <v>6</v>
      </c>
      <c r="AO461" s="57">
        <v>46063.559317129628</v>
      </c>
      <c r="AP461" s="57">
        <v>46298.458333333336</v>
      </c>
      <c r="AR461" t="s">
        <v>218</v>
      </c>
      <c r="AS461" t="s">
        <v>219</v>
      </c>
      <c r="AT461" t="s">
        <v>230</v>
      </c>
      <c r="AU461">
        <v>20261003</v>
      </c>
      <c r="AV461" t="s">
        <v>221</v>
      </c>
      <c r="AW461" t="s">
        <v>876</v>
      </c>
      <c r="AX461" t="s">
        <v>222</v>
      </c>
      <c r="BA461" s="57">
        <v>46298.458333333336</v>
      </c>
      <c r="BB461" t="s">
        <v>2135</v>
      </c>
      <c r="BC461">
        <v>2026</v>
      </c>
      <c r="BD461">
        <v>10</v>
      </c>
      <c r="BE461">
        <v>3</v>
      </c>
      <c r="BF461" s="6">
        <f t="shared" si="21"/>
        <v>46298</v>
      </c>
      <c r="BG461">
        <f t="shared" si="22"/>
        <v>-0.45833333333575865</v>
      </c>
      <c r="BH461" t="str">
        <f t="shared" si="23"/>
        <v>COMPLY</v>
      </c>
      <c r="BI461" t="e">
        <f>VLOOKUP(H461,Sheet2!$A$1:$B$270,2,FALSE)</f>
        <v>#N/A</v>
      </c>
    </row>
    <row r="462" spans="1:61">
      <c r="A462">
        <v>461</v>
      </c>
      <c r="B462">
        <v>1002622211</v>
      </c>
      <c r="C462">
        <v>3</v>
      </c>
      <c r="D462" t="s">
        <v>51</v>
      </c>
      <c r="E462">
        <v>4</v>
      </c>
      <c r="F462" t="s">
        <v>268</v>
      </c>
      <c r="G462" t="s">
        <v>268</v>
      </c>
      <c r="H462" t="s">
        <v>805</v>
      </c>
      <c r="I462" t="s">
        <v>212</v>
      </c>
      <c r="J462" t="s">
        <v>213</v>
      </c>
      <c r="K462" t="s">
        <v>149</v>
      </c>
      <c r="L462" t="s">
        <v>826</v>
      </c>
      <c r="M462" t="s">
        <v>76</v>
      </c>
      <c r="N462" t="s">
        <v>215</v>
      </c>
      <c r="O462" s="57">
        <v>46300.490671296298</v>
      </c>
      <c r="P462" s="57">
        <v>46301.568599537037</v>
      </c>
      <c r="Q462">
        <v>69404262</v>
      </c>
      <c r="R462">
        <v>2916948104</v>
      </c>
      <c r="S462">
        <v>142401146381</v>
      </c>
      <c r="T462" t="s">
        <v>2854</v>
      </c>
      <c r="U462" t="s">
        <v>2855</v>
      </c>
      <c r="V462" t="s">
        <v>2856</v>
      </c>
      <c r="Z462">
        <v>110.835919</v>
      </c>
      <c r="AA462">
        <v>-6.7777539999999998</v>
      </c>
      <c r="AB462" t="s">
        <v>2857</v>
      </c>
      <c r="AC462" t="s">
        <v>235</v>
      </c>
      <c r="AL462" t="s">
        <v>217</v>
      </c>
      <c r="AM462" t="s">
        <v>2858</v>
      </c>
      <c r="AN462" t="s">
        <v>6</v>
      </c>
      <c r="AO462" s="57">
        <v>46152.496620370373</v>
      </c>
      <c r="AP462" s="57">
        <v>46301.333333333336</v>
      </c>
      <c r="AR462" t="s">
        <v>218</v>
      </c>
      <c r="AS462" t="s">
        <v>219</v>
      </c>
      <c r="AT462" t="s">
        <v>230</v>
      </c>
      <c r="AU462">
        <v>20261006</v>
      </c>
      <c r="AV462" t="s">
        <v>221</v>
      </c>
      <c r="AW462" t="s">
        <v>2859</v>
      </c>
      <c r="AX462" t="s">
        <v>222</v>
      </c>
      <c r="BA462" s="57">
        <v>46301.333333333336</v>
      </c>
      <c r="BB462" t="s">
        <v>2858</v>
      </c>
      <c r="BC462">
        <v>2026</v>
      </c>
      <c r="BD462">
        <v>10</v>
      </c>
      <c r="BE462">
        <v>6</v>
      </c>
      <c r="BF462" s="6">
        <f t="shared" si="21"/>
        <v>46301</v>
      </c>
      <c r="BG462">
        <f t="shared" si="22"/>
        <v>-0.33333333333575865</v>
      </c>
      <c r="BH462" t="str">
        <f t="shared" si="23"/>
        <v>COMPLY</v>
      </c>
      <c r="BI462" t="e">
        <f>VLOOKUP(H462,Sheet2!$A$1:$B$270,2,FALSE)</f>
        <v>#N/A</v>
      </c>
    </row>
    <row r="463" spans="1:61">
      <c r="A463">
        <v>462</v>
      </c>
      <c r="B463">
        <v>1002617361</v>
      </c>
      <c r="C463">
        <v>3</v>
      </c>
      <c r="D463" t="s">
        <v>51</v>
      </c>
      <c r="E463">
        <v>4</v>
      </c>
      <c r="F463" t="s">
        <v>268</v>
      </c>
      <c r="G463" t="s">
        <v>268</v>
      </c>
      <c r="H463" t="s">
        <v>805</v>
      </c>
      <c r="I463" t="s">
        <v>212</v>
      </c>
      <c r="J463" t="s">
        <v>213</v>
      </c>
      <c r="K463" t="s">
        <v>149</v>
      </c>
      <c r="L463" t="s">
        <v>214</v>
      </c>
      <c r="M463" t="s">
        <v>279</v>
      </c>
      <c r="N463" t="s">
        <v>215</v>
      </c>
      <c r="O463" s="57">
        <v>46296.438645833332</v>
      </c>
      <c r="P463" s="57">
        <v>46300.393136574072</v>
      </c>
      <c r="Q463">
        <v>69402186</v>
      </c>
      <c r="S463">
        <v>142401146359</v>
      </c>
      <c r="T463" t="s">
        <v>1205</v>
      </c>
      <c r="U463" t="s">
        <v>1206</v>
      </c>
      <c r="V463" t="s">
        <v>1207</v>
      </c>
      <c r="Z463">
        <v>110.863041</v>
      </c>
      <c r="AA463">
        <v>-6.7838320000000003</v>
      </c>
      <c r="AB463" t="s">
        <v>1208</v>
      </c>
      <c r="AC463" t="s">
        <v>235</v>
      </c>
      <c r="AL463" t="s">
        <v>217</v>
      </c>
      <c r="AM463" t="s">
        <v>1209</v>
      </c>
      <c r="AN463" t="s">
        <v>6</v>
      </c>
      <c r="AO463" s="57">
        <v>46032.444687499999</v>
      </c>
      <c r="AP463" s="57">
        <v>46300.458333333336</v>
      </c>
      <c r="AR463" t="s">
        <v>239</v>
      </c>
      <c r="AS463" t="s">
        <v>219</v>
      </c>
      <c r="AT463" t="s">
        <v>230</v>
      </c>
      <c r="AV463" t="s">
        <v>1715</v>
      </c>
      <c r="AW463" t="s">
        <v>876</v>
      </c>
      <c r="AX463" t="s">
        <v>222</v>
      </c>
      <c r="BA463" s="57">
        <v>46300.458333333336</v>
      </c>
      <c r="BB463" t="s">
        <v>1209</v>
      </c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e">
        <f>VLOOKUP(H463,Sheet2!$A$1:$B$270,2,FALSE)</f>
        <v>#N/A</v>
      </c>
    </row>
    <row r="464" spans="1:61">
      <c r="A464">
        <v>463</v>
      </c>
      <c r="B464">
        <v>1002618429</v>
      </c>
      <c r="C464">
        <v>3</v>
      </c>
      <c r="D464" t="s">
        <v>51</v>
      </c>
      <c r="E464">
        <v>4</v>
      </c>
      <c r="F464" t="s">
        <v>268</v>
      </c>
      <c r="G464" t="s">
        <v>288</v>
      </c>
      <c r="H464" t="s">
        <v>797</v>
      </c>
      <c r="I464" t="s">
        <v>212</v>
      </c>
      <c r="J464" t="s">
        <v>213</v>
      </c>
      <c r="K464" t="s">
        <v>149</v>
      </c>
      <c r="M464" t="s">
        <v>76</v>
      </c>
      <c r="N464" t="s">
        <v>215</v>
      </c>
      <c r="O464" s="57">
        <v>46296.65761574074</v>
      </c>
      <c r="P464" s="57">
        <v>46297.707129629627</v>
      </c>
      <c r="Q464">
        <v>69402534</v>
      </c>
      <c r="S464">
        <v>142551119689</v>
      </c>
      <c r="T464" t="s">
        <v>913</v>
      </c>
      <c r="U464" t="s">
        <v>914</v>
      </c>
      <c r="V464" t="s">
        <v>1210</v>
      </c>
      <c r="Z464">
        <v>110.9564415</v>
      </c>
      <c r="AA464">
        <v>-6.9108118000000003</v>
      </c>
      <c r="AB464" t="s">
        <v>1211</v>
      </c>
      <c r="AC464" t="s">
        <v>283</v>
      </c>
      <c r="AL464" t="s">
        <v>217</v>
      </c>
      <c r="AM464" t="s">
        <v>1212</v>
      </c>
      <c r="AN464" t="s">
        <v>6</v>
      </c>
      <c r="AO464" s="57">
        <v>46032.694421296299</v>
      </c>
      <c r="AP464" s="57">
        <v>46298.333333333336</v>
      </c>
      <c r="AR464" t="s">
        <v>218</v>
      </c>
      <c r="AS464" t="s">
        <v>219</v>
      </c>
      <c r="AT464" t="s">
        <v>230</v>
      </c>
      <c r="AU464">
        <v>20261002</v>
      </c>
      <c r="AV464" t="s">
        <v>221</v>
      </c>
      <c r="AW464" t="s">
        <v>539</v>
      </c>
      <c r="AX464" t="s">
        <v>222</v>
      </c>
      <c r="BA464" s="57">
        <v>46298.333333333336</v>
      </c>
      <c r="BB464" t="s">
        <v>1212</v>
      </c>
      <c r="BC464">
        <v>2026</v>
      </c>
      <c r="BD464">
        <v>10</v>
      </c>
      <c r="BE464">
        <v>2</v>
      </c>
      <c r="BF464" s="6">
        <f t="shared" si="21"/>
        <v>46297</v>
      </c>
      <c r="BG464">
        <f t="shared" si="22"/>
        <v>-1.3333333333357587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464</v>
      </c>
      <c r="B465">
        <v>1002622190</v>
      </c>
      <c r="C465">
        <v>3</v>
      </c>
      <c r="D465" t="s">
        <v>51</v>
      </c>
      <c r="E465">
        <v>4</v>
      </c>
      <c r="F465" t="s">
        <v>268</v>
      </c>
      <c r="G465" t="s">
        <v>288</v>
      </c>
      <c r="H465" t="s">
        <v>797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46300.483067129629</v>
      </c>
      <c r="P465" s="57">
        <v>46301.507534722223</v>
      </c>
      <c r="Q465">
        <v>69404230</v>
      </c>
      <c r="S465">
        <v>142551119696</v>
      </c>
      <c r="T465" t="s">
        <v>2860</v>
      </c>
      <c r="U465" t="s">
        <v>2861</v>
      </c>
      <c r="V465" t="s">
        <v>2862</v>
      </c>
      <c r="Z465">
        <v>111.044844</v>
      </c>
      <c r="AA465">
        <v>-6.8783599999999998</v>
      </c>
      <c r="AB465" t="s">
        <v>2863</v>
      </c>
      <c r="AC465" t="s">
        <v>235</v>
      </c>
      <c r="AL465" t="s">
        <v>217</v>
      </c>
      <c r="AM465" t="s">
        <v>2864</v>
      </c>
      <c r="AN465" t="s">
        <v>6</v>
      </c>
      <c r="AO465" s="57">
        <v>46152.486157407409</v>
      </c>
      <c r="AP465" s="57">
        <v>46301.333333333336</v>
      </c>
      <c r="AR465" t="s">
        <v>218</v>
      </c>
      <c r="AS465" t="s">
        <v>219</v>
      </c>
      <c r="AT465" t="s">
        <v>230</v>
      </c>
      <c r="AU465">
        <v>20261006</v>
      </c>
      <c r="AV465" t="s">
        <v>221</v>
      </c>
      <c r="AW465" t="s">
        <v>880</v>
      </c>
      <c r="AX465" t="s">
        <v>222</v>
      </c>
      <c r="BA465" s="57">
        <v>46301.333333333336</v>
      </c>
      <c r="BB465" t="s">
        <v>2864</v>
      </c>
      <c r="BC465">
        <v>2026</v>
      </c>
      <c r="BD465">
        <v>10</v>
      </c>
      <c r="BE465">
        <v>6</v>
      </c>
      <c r="BF465" s="6">
        <f t="shared" si="21"/>
        <v>46301</v>
      </c>
      <c r="BG465">
        <f t="shared" si="22"/>
        <v>-0.33333333333575865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1002623986</v>
      </c>
      <c r="C466">
        <v>3</v>
      </c>
      <c r="D466" t="s">
        <v>51</v>
      </c>
      <c r="E466">
        <v>4</v>
      </c>
      <c r="F466" t="s">
        <v>268</v>
      </c>
      <c r="G466" t="s">
        <v>288</v>
      </c>
      <c r="H466" t="s">
        <v>797</v>
      </c>
      <c r="I466" t="s">
        <v>212</v>
      </c>
      <c r="J466" t="s">
        <v>213</v>
      </c>
      <c r="K466" t="s">
        <v>149</v>
      </c>
      <c r="L466" t="s">
        <v>214</v>
      </c>
      <c r="M466" t="s">
        <v>1736</v>
      </c>
      <c r="N466" t="s">
        <v>215</v>
      </c>
      <c r="O466" s="57">
        <v>46301.470543981479</v>
      </c>
      <c r="P466" s="57">
        <v>46303.406412037039</v>
      </c>
      <c r="Q466">
        <v>69404895</v>
      </c>
      <c r="S466">
        <v>142551119705</v>
      </c>
      <c r="T466" t="s">
        <v>3472</v>
      </c>
      <c r="U466" t="s">
        <v>3473</v>
      </c>
      <c r="V466" t="s">
        <v>3474</v>
      </c>
      <c r="Z466">
        <v>111.0408613</v>
      </c>
      <c r="AA466">
        <v>-6.7511875000000003</v>
      </c>
      <c r="AB466" t="s">
        <v>3475</v>
      </c>
      <c r="AC466" t="s">
        <v>235</v>
      </c>
      <c r="AL466" t="s">
        <v>217</v>
      </c>
      <c r="AM466" t="s">
        <v>3476</v>
      </c>
      <c r="AN466" t="s">
        <v>6</v>
      </c>
      <c r="AO466" s="57">
        <v>46183.475752314815</v>
      </c>
      <c r="AP466" s="57">
        <v>46302.333333333336</v>
      </c>
      <c r="AR466" t="s">
        <v>325</v>
      </c>
      <c r="AS466" t="s">
        <v>219</v>
      </c>
      <c r="AT466" t="s">
        <v>230</v>
      </c>
      <c r="AV466" t="s">
        <v>4198</v>
      </c>
      <c r="AW466" t="s">
        <v>877</v>
      </c>
      <c r="AX466" t="s">
        <v>222</v>
      </c>
      <c r="BA466" s="57">
        <v>46302.333333333336</v>
      </c>
      <c r="BB466" t="s">
        <v>3476</v>
      </c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:61">
      <c r="A467">
        <v>466</v>
      </c>
      <c r="B467">
        <v>1002623718</v>
      </c>
      <c r="C467">
        <v>3</v>
      </c>
      <c r="D467" t="s">
        <v>49</v>
      </c>
      <c r="E467">
        <v>4</v>
      </c>
      <c r="F467" t="s">
        <v>244</v>
      </c>
      <c r="G467" t="s">
        <v>245</v>
      </c>
      <c r="H467" t="s">
        <v>3477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46301.418495370373</v>
      </c>
      <c r="P467" s="57">
        <v>46302.681319444448</v>
      </c>
      <c r="Q467">
        <v>69404764</v>
      </c>
      <c r="S467">
        <v>143415114628</v>
      </c>
      <c r="T467" t="s">
        <v>3478</v>
      </c>
      <c r="U467" t="s">
        <v>3479</v>
      </c>
      <c r="V467" t="s">
        <v>3480</v>
      </c>
      <c r="Z467">
        <v>110.27117</v>
      </c>
      <c r="AA467">
        <v>-7.1052629999999999</v>
      </c>
      <c r="AB467" t="s">
        <v>3481</v>
      </c>
      <c r="AC467" t="s">
        <v>235</v>
      </c>
      <c r="AL467" t="s">
        <v>217</v>
      </c>
      <c r="AM467" t="s">
        <v>3215</v>
      </c>
      <c r="AN467" t="s">
        <v>6</v>
      </c>
      <c r="AO467" s="57">
        <v>46183.424027777779</v>
      </c>
      <c r="AP467" s="57">
        <v>46302.333333333336</v>
      </c>
      <c r="AR467" t="s">
        <v>218</v>
      </c>
      <c r="AS467" t="s">
        <v>832</v>
      </c>
      <c r="AT467" t="s">
        <v>230</v>
      </c>
      <c r="AU467">
        <v>20261007</v>
      </c>
      <c r="AV467" t="s">
        <v>221</v>
      </c>
      <c r="AW467" t="s">
        <v>875</v>
      </c>
      <c r="AX467" t="s">
        <v>222</v>
      </c>
      <c r="BA467" s="57">
        <v>46302.333333333336</v>
      </c>
      <c r="BB467" t="s">
        <v>3215</v>
      </c>
      <c r="BC467">
        <v>2026</v>
      </c>
      <c r="BD467">
        <v>10</v>
      </c>
      <c r="BE467">
        <v>7</v>
      </c>
      <c r="BF467" s="6">
        <f t="shared" si="21"/>
        <v>46302</v>
      </c>
      <c r="BG467">
        <f t="shared" si="22"/>
        <v>-0.33333333333575865</v>
      </c>
      <c r="BH467" t="str">
        <f t="shared" si="23"/>
        <v>COMPLY</v>
      </c>
      <c r="BI467" t="e">
        <f>VLOOKUP(H467,Sheet2!$A$1:$B$270,2,FALSE)</f>
        <v>#N/A</v>
      </c>
    </row>
    <row r="468" spans="1:61">
      <c r="A468">
        <v>467</v>
      </c>
      <c r="B468">
        <v>1002621931</v>
      </c>
      <c r="C468">
        <v>3</v>
      </c>
      <c r="D468" t="s">
        <v>49</v>
      </c>
      <c r="E468">
        <v>4</v>
      </c>
      <c r="F468" t="s">
        <v>244</v>
      </c>
      <c r="G468" t="s">
        <v>846</v>
      </c>
      <c r="H468" t="s">
        <v>855</v>
      </c>
      <c r="I468" t="s">
        <v>212</v>
      </c>
      <c r="J468" t="s">
        <v>213</v>
      </c>
      <c r="K468" t="s">
        <v>149</v>
      </c>
      <c r="L468" t="s">
        <v>214</v>
      </c>
      <c r="M468" t="s">
        <v>839</v>
      </c>
      <c r="N468" t="s">
        <v>215</v>
      </c>
      <c r="O468" s="57">
        <v>46300.43309027778</v>
      </c>
      <c r="P468" s="57">
        <v>46302.514618055553</v>
      </c>
      <c r="Q468">
        <v>69404139</v>
      </c>
      <c r="S468">
        <v>146457106689</v>
      </c>
      <c r="T468" t="s">
        <v>2865</v>
      </c>
      <c r="U468" t="s">
        <v>2866</v>
      </c>
      <c r="V468" t="s">
        <v>2867</v>
      </c>
      <c r="Z468">
        <v>110.251098163425</v>
      </c>
      <c r="AA468">
        <v>-6.9391670447070997</v>
      </c>
      <c r="AB468" t="s">
        <v>2868</v>
      </c>
      <c r="AC468" t="s">
        <v>216</v>
      </c>
      <c r="AL468" t="s">
        <v>217</v>
      </c>
      <c r="AM468" t="s">
        <v>2869</v>
      </c>
      <c r="AN468" t="s">
        <v>6</v>
      </c>
      <c r="AO468" s="57">
        <v>46152.444537037038</v>
      </c>
      <c r="AP468" s="57">
        <v>46301.333333333336</v>
      </c>
      <c r="AQ468" t="s">
        <v>838</v>
      </c>
      <c r="AR468" t="s">
        <v>840</v>
      </c>
      <c r="AS468" t="s">
        <v>219</v>
      </c>
      <c r="AT468" t="s">
        <v>230</v>
      </c>
      <c r="AV468" t="s">
        <v>3482</v>
      </c>
      <c r="AW468" t="s">
        <v>877</v>
      </c>
      <c r="AX468" t="s">
        <v>222</v>
      </c>
      <c r="BA468" s="57">
        <v>46301.333333333336</v>
      </c>
      <c r="BB468" t="s">
        <v>2869</v>
      </c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:61">
      <c r="A469">
        <v>468</v>
      </c>
      <c r="B469">
        <v>1002617076</v>
      </c>
      <c r="C469">
        <v>3</v>
      </c>
      <c r="D469" t="s">
        <v>49</v>
      </c>
      <c r="E469">
        <v>4</v>
      </c>
      <c r="F469" t="s">
        <v>244</v>
      </c>
      <c r="G469" t="s">
        <v>846</v>
      </c>
      <c r="H469" t="s">
        <v>855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46296.393449074072</v>
      </c>
      <c r="P469" s="57">
        <v>46296.612835648149</v>
      </c>
      <c r="Q469">
        <v>69402089</v>
      </c>
      <c r="S469">
        <v>146457106646</v>
      </c>
      <c r="T469" t="s">
        <v>835</v>
      </c>
      <c r="U469" t="s">
        <v>1213</v>
      </c>
      <c r="V469" t="s">
        <v>1214</v>
      </c>
      <c r="Z469">
        <v>110.1782671</v>
      </c>
      <c r="AA469">
        <v>-6.9232719999999999</v>
      </c>
      <c r="AB469" t="s">
        <v>1215</v>
      </c>
      <c r="AC469" t="s">
        <v>235</v>
      </c>
      <c r="AL469" t="s">
        <v>217</v>
      </c>
      <c r="AM469" t="s">
        <v>1143</v>
      </c>
      <c r="AN469" t="s">
        <v>6</v>
      </c>
      <c r="AO469" s="57">
        <v>46032.413738425923</v>
      </c>
      <c r="AP469" s="57">
        <v>46297.333333333336</v>
      </c>
      <c r="AR469" t="s">
        <v>218</v>
      </c>
      <c r="AS469" t="s">
        <v>219</v>
      </c>
      <c r="AT469" t="s">
        <v>230</v>
      </c>
      <c r="AU469">
        <v>20261001</v>
      </c>
      <c r="AV469" t="s">
        <v>221</v>
      </c>
      <c r="AW469" t="s">
        <v>880</v>
      </c>
      <c r="AX469" t="s">
        <v>222</v>
      </c>
      <c r="BA469" s="57">
        <v>46297.333333333336</v>
      </c>
      <c r="BB469" t="s">
        <v>1143</v>
      </c>
      <c r="BC469">
        <v>2026</v>
      </c>
      <c r="BD469">
        <v>10</v>
      </c>
      <c r="BE469">
        <v>1</v>
      </c>
      <c r="BF469" s="6">
        <f t="shared" si="21"/>
        <v>46296</v>
      </c>
      <c r="BG469">
        <f t="shared" si="22"/>
        <v>-1.3333333333357587</v>
      </c>
      <c r="BH469" t="str">
        <f t="shared" si="23"/>
        <v>COMPLY</v>
      </c>
      <c r="BI469" t="e">
        <f>VLOOKUP(H469,Sheet2!$A$1:$B$270,2,FALSE)</f>
        <v>#N/A</v>
      </c>
    </row>
    <row r="470" spans="1:61">
      <c r="A470">
        <v>469</v>
      </c>
      <c r="B470">
        <v>1002622261</v>
      </c>
      <c r="C470">
        <v>3</v>
      </c>
      <c r="D470" t="s">
        <v>49</v>
      </c>
      <c r="E470">
        <v>4</v>
      </c>
      <c r="F470" t="s">
        <v>244</v>
      </c>
      <c r="G470" t="s">
        <v>846</v>
      </c>
      <c r="H470" t="s">
        <v>2870</v>
      </c>
      <c r="I470" t="s">
        <v>212</v>
      </c>
      <c r="J470" t="s">
        <v>213</v>
      </c>
      <c r="K470" t="s">
        <v>149</v>
      </c>
      <c r="M470" t="s">
        <v>839</v>
      </c>
      <c r="N470" t="s">
        <v>215</v>
      </c>
      <c r="O470" s="57">
        <v>46300.510023148148</v>
      </c>
      <c r="P470" s="57">
        <v>46301.568935185183</v>
      </c>
      <c r="Q470">
        <v>69404269</v>
      </c>
      <c r="R470">
        <v>2946101008</v>
      </c>
      <c r="S470">
        <v>141409102969</v>
      </c>
      <c r="T470" t="s">
        <v>2871</v>
      </c>
      <c r="U470" t="s">
        <v>2872</v>
      </c>
      <c r="V470" t="s">
        <v>2873</v>
      </c>
      <c r="Z470">
        <v>106.83678445751499</v>
      </c>
      <c r="AA470">
        <v>-6.1797378100600699</v>
      </c>
      <c r="AB470" t="s">
        <v>2874</v>
      </c>
      <c r="AC470" t="s">
        <v>225</v>
      </c>
      <c r="AL470" t="s">
        <v>217</v>
      </c>
      <c r="AM470" t="s">
        <v>2875</v>
      </c>
      <c r="AN470" t="s">
        <v>6</v>
      </c>
      <c r="AO470" s="57">
        <v>46152.517627314817</v>
      </c>
      <c r="AP470" s="57">
        <v>46301.458333333336</v>
      </c>
      <c r="AQ470" t="s">
        <v>841</v>
      </c>
      <c r="AR470" t="s">
        <v>840</v>
      </c>
      <c r="AS470" t="s">
        <v>219</v>
      </c>
      <c r="AT470" t="s">
        <v>220</v>
      </c>
      <c r="AV470" t="s">
        <v>2876</v>
      </c>
      <c r="AW470" t="s">
        <v>2877</v>
      </c>
      <c r="AX470" t="s">
        <v>222</v>
      </c>
      <c r="BA470" s="57">
        <v>46301.458333333336</v>
      </c>
      <c r="BB470" t="s">
        <v>2875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:61">
      <c r="A471">
        <v>470</v>
      </c>
      <c r="B471">
        <v>1002620154</v>
      </c>
      <c r="C471">
        <v>3</v>
      </c>
      <c r="D471" t="s">
        <v>49</v>
      </c>
      <c r="E471">
        <v>4</v>
      </c>
      <c r="F471" t="s">
        <v>244</v>
      </c>
      <c r="G471" t="s">
        <v>245</v>
      </c>
      <c r="H471" t="s">
        <v>2136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46297.628182870372</v>
      </c>
      <c r="P471" s="57">
        <v>46298.605949074074</v>
      </c>
      <c r="Q471">
        <v>69403222</v>
      </c>
      <c r="S471">
        <v>142426805011</v>
      </c>
      <c r="T471" t="s">
        <v>2137</v>
      </c>
      <c r="U471" t="s">
        <v>2138</v>
      </c>
      <c r="V471" t="s">
        <v>2139</v>
      </c>
      <c r="Z471">
        <v>110.316096469759</v>
      </c>
      <c r="AA471">
        <v>-7.0380275179498204</v>
      </c>
      <c r="AB471" t="s">
        <v>2140</v>
      </c>
      <c r="AC471" t="s">
        <v>216</v>
      </c>
      <c r="AL471" t="s">
        <v>217</v>
      </c>
      <c r="AM471" t="s">
        <v>1643</v>
      </c>
      <c r="AN471" t="s">
        <v>6</v>
      </c>
      <c r="AO471" s="57">
        <v>46063.652951388889</v>
      </c>
      <c r="AP471" s="57">
        <v>46298.625</v>
      </c>
      <c r="AR471" t="s">
        <v>218</v>
      </c>
      <c r="AS471" t="s">
        <v>832</v>
      </c>
      <c r="AT471" t="s">
        <v>230</v>
      </c>
      <c r="AU471">
        <v>20261003</v>
      </c>
      <c r="AV471" t="s">
        <v>221</v>
      </c>
      <c r="AW471" t="s">
        <v>877</v>
      </c>
      <c r="AX471" t="s">
        <v>222</v>
      </c>
      <c r="BA471" s="57">
        <v>46298.625</v>
      </c>
      <c r="BB471" t="s">
        <v>1643</v>
      </c>
      <c r="BC471">
        <v>2026</v>
      </c>
      <c r="BD471">
        <v>10</v>
      </c>
      <c r="BE471">
        <v>3</v>
      </c>
      <c r="BF471" s="6">
        <f t="shared" si="21"/>
        <v>46298</v>
      </c>
      <c r="BG471">
        <f t="shared" si="22"/>
        <v>-0.625</v>
      </c>
      <c r="BH471" t="str">
        <f t="shared" si="23"/>
        <v>COMPLY</v>
      </c>
      <c r="BI471" t="e">
        <f>VLOOKUP(H471,Sheet2!$A$1:$B$270,2,FALSE)</f>
        <v>#N/A</v>
      </c>
    </row>
    <row r="472" spans="1:61">
      <c r="A472">
        <v>471</v>
      </c>
      <c r="B472">
        <v>1002624515</v>
      </c>
      <c r="C472">
        <v>3</v>
      </c>
      <c r="D472" t="s">
        <v>49</v>
      </c>
      <c r="E472">
        <v>4</v>
      </c>
      <c r="F472" t="s">
        <v>244</v>
      </c>
      <c r="G472" t="s">
        <v>245</v>
      </c>
      <c r="H472" t="s">
        <v>3483</v>
      </c>
      <c r="I472" t="s">
        <v>212</v>
      </c>
      <c r="J472" t="s">
        <v>213</v>
      </c>
      <c r="K472" t="s">
        <v>149</v>
      </c>
      <c r="L472" t="s">
        <v>214</v>
      </c>
      <c r="M472" t="s">
        <v>224</v>
      </c>
      <c r="N472" t="s">
        <v>215</v>
      </c>
      <c r="O472" s="57">
        <v>46301.594918981478</v>
      </c>
      <c r="P472" s="57">
        <v>46302.634421296294</v>
      </c>
      <c r="Q472">
        <v>69405126</v>
      </c>
      <c r="S472">
        <v>141421107345</v>
      </c>
      <c r="T472" t="s">
        <v>3484</v>
      </c>
      <c r="U472" t="s">
        <v>3485</v>
      </c>
      <c r="V472" t="s">
        <v>3486</v>
      </c>
      <c r="Z472">
        <v>110.33440400000001</v>
      </c>
      <c r="AA472">
        <v>-6.9595419999999999</v>
      </c>
      <c r="AB472" t="s">
        <v>3487</v>
      </c>
      <c r="AC472" t="s">
        <v>235</v>
      </c>
      <c r="AL472" t="s">
        <v>217</v>
      </c>
      <c r="AM472" t="s">
        <v>3488</v>
      </c>
      <c r="AN472" t="s">
        <v>6</v>
      </c>
      <c r="AO472" s="57">
        <v>46183.601145833331</v>
      </c>
      <c r="AP472" s="57">
        <v>46302.625</v>
      </c>
      <c r="AR472" t="s">
        <v>18</v>
      </c>
      <c r="AS472" t="s">
        <v>832</v>
      </c>
      <c r="AT472" t="s">
        <v>230</v>
      </c>
      <c r="AV472" t="s">
        <v>226</v>
      </c>
      <c r="AW472" t="s">
        <v>877</v>
      </c>
      <c r="AX472" t="s">
        <v>222</v>
      </c>
      <c r="BA472" s="57">
        <v>46302.625</v>
      </c>
      <c r="BB472" t="s">
        <v>3488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e">
        <f>VLOOKUP(H472,Sheet2!$A$1:$B$270,2,FALSE)</f>
        <v>#N/A</v>
      </c>
    </row>
    <row r="473" spans="1:61">
      <c r="A473">
        <v>472</v>
      </c>
      <c r="B473">
        <v>1002617233</v>
      </c>
      <c r="C473">
        <v>3</v>
      </c>
      <c r="D473" t="s">
        <v>49</v>
      </c>
      <c r="E473">
        <v>4</v>
      </c>
      <c r="F473" t="s">
        <v>244</v>
      </c>
      <c r="G473" t="s">
        <v>245</v>
      </c>
      <c r="H473" t="s">
        <v>834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46296.41783564815</v>
      </c>
      <c r="P473" s="57">
        <v>46297.586481481485</v>
      </c>
      <c r="Q473">
        <v>69402145</v>
      </c>
      <c r="S473">
        <v>141420160402</v>
      </c>
      <c r="T473" t="s">
        <v>1221</v>
      </c>
      <c r="U473" t="s">
        <v>1222</v>
      </c>
      <c r="V473" t="s">
        <v>1223</v>
      </c>
      <c r="Z473">
        <v>110.30420410000001</v>
      </c>
      <c r="AA473">
        <v>-7.0052196999999996</v>
      </c>
      <c r="AB473" t="s">
        <v>1224</v>
      </c>
      <c r="AC473" t="s">
        <v>216</v>
      </c>
      <c r="AL473" t="s">
        <v>217</v>
      </c>
      <c r="AM473" t="s">
        <v>1225</v>
      </c>
      <c r="AN473" t="s">
        <v>6</v>
      </c>
      <c r="AO473" s="57">
        <v>46032.434247685182</v>
      </c>
      <c r="AP473" s="57">
        <v>46297.333333333336</v>
      </c>
      <c r="AR473" t="s">
        <v>218</v>
      </c>
      <c r="AS473" t="s">
        <v>832</v>
      </c>
      <c r="AT473" t="s">
        <v>230</v>
      </c>
      <c r="AU473">
        <v>20261002</v>
      </c>
      <c r="AV473" t="s">
        <v>221</v>
      </c>
      <c r="AW473" t="s">
        <v>877</v>
      </c>
      <c r="AX473" t="s">
        <v>222</v>
      </c>
      <c r="BA473" s="57">
        <v>46297.333333333336</v>
      </c>
      <c r="BB473" t="s">
        <v>1225</v>
      </c>
      <c r="BC473">
        <v>2026</v>
      </c>
      <c r="BD473">
        <v>10</v>
      </c>
      <c r="BE473">
        <v>2</v>
      </c>
      <c r="BF473" s="6">
        <f t="shared" si="21"/>
        <v>46297</v>
      </c>
      <c r="BG473">
        <f t="shared" si="22"/>
        <v>-0.33333333333575865</v>
      </c>
      <c r="BH473" t="str">
        <f t="shared" si="23"/>
        <v>COMPLY</v>
      </c>
      <c r="BI473" t="e">
        <f>VLOOKUP(H473,Sheet2!$A$1:$B$270,2,FALSE)</f>
        <v>#N/A</v>
      </c>
    </row>
    <row r="474" spans="1:61">
      <c r="A474">
        <v>473</v>
      </c>
      <c r="B474">
        <v>1002618091</v>
      </c>
      <c r="C474">
        <v>3</v>
      </c>
      <c r="D474" t="s">
        <v>49</v>
      </c>
      <c r="E474">
        <v>4</v>
      </c>
      <c r="F474" t="s">
        <v>244</v>
      </c>
      <c r="G474" t="s">
        <v>245</v>
      </c>
      <c r="H474" t="s">
        <v>834</v>
      </c>
      <c r="I474" t="s">
        <v>212</v>
      </c>
      <c r="J474" t="s">
        <v>213</v>
      </c>
      <c r="K474" t="s">
        <v>149</v>
      </c>
      <c r="M474" t="s">
        <v>76</v>
      </c>
      <c r="N474" t="s">
        <v>215</v>
      </c>
      <c r="O474" s="57">
        <v>46296.600451388891</v>
      </c>
      <c r="P474" s="57">
        <v>46296.790960648148</v>
      </c>
      <c r="Q474">
        <v>69372639</v>
      </c>
      <c r="S474">
        <v>141420160408</v>
      </c>
      <c r="T474" t="s">
        <v>1216</v>
      </c>
      <c r="U474" t="s">
        <v>1217</v>
      </c>
      <c r="V474" t="s">
        <v>1218</v>
      </c>
      <c r="Z474">
        <v>110.341539457672</v>
      </c>
      <c r="AA474">
        <v>-7.0008219091711901</v>
      </c>
      <c r="AB474" t="s">
        <v>1219</v>
      </c>
      <c r="AC474" t="s">
        <v>225</v>
      </c>
      <c r="AL474" t="s">
        <v>217</v>
      </c>
      <c r="AM474" t="s">
        <v>1220</v>
      </c>
      <c r="AN474" t="s">
        <v>6</v>
      </c>
      <c r="AO474" s="57">
        <v>46032.611296296294</v>
      </c>
      <c r="AR474" t="s">
        <v>218</v>
      </c>
      <c r="AS474" t="s">
        <v>832</v>
      </c>
      <c r="AT474" t="s">
        <v>230</v>
      </c>
      <c r="AU474">
        <v>20261001</v>
      </c>
      <c r="AV474" t="s">
        <v>221</v>
      </c>
      <c r="AW474" t="s">
        <v>539</v>
      </c>
      <c r="AX474" t="s">
        <v>222</v>
      </c>
      <c r="BA474" s="57">
        <v>46296.291666666664</v>
      </c>
      <c r="BB474" t="s">
        <v>1220</v>
      </c>
      <c r="BC474">
        <v>2026</v>
      </c>
      <c r="BD474">
        <v>10</v>
      </c>
      <c r="BE474">
        <v>1</v>
      </c>
      <c r="BF474" s="6">
        <f t="shared" si="21"/>
        <v>46296</v>
      </c>
      <c r="BG474">
        <f t="shared" si="22"/>
        <v>-0.29166666666424135</v>
      </c>
      <c r="BH474" t="str">
        <f t="shared" si="23"/>
        <v>COMPLY</v>
      </c>
      <c r="BI474" t="e">
        <f>VLOOKUP(H474,Sheet2!$A$1:$B$270,2,FALSE)</f>
        <v>#N/A</v>
      </c>
    </row>
    <row r="475" spans="1:61">
      <c r="A475">
        <v>474</v>
      </c>
      <c r="B475">
        <v>1002620989</v>
      </c>
      <c r="C475">
        <v>3</v>
      </c>
      <c r="D475" t="s">
        <v>49</v>
      </c>
      <c r="E475">
        <v>4</v>
      </c>
      <c r="F475" t="s">
        <v>244</v>
      </c>
      <c r="G475" t="s">
        <v>245</v>
      </c>
      <c r="H475" t="s">
        <v>834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46298.562210648146</v>
      </c>
      <c r="P475" s="57">
        <v>46300.830578703702</v>
      </c>
      <c r="Q475">
        <v>69403599</v>
      </c>
      <c r="S475">
        <v>141420160151</v>
      </c>
      <c r="T475" t="s">
        <v>2141</v>
      </c>
      <c r="U475" t="s">
        <v>2142</v>
      </c>
      <c r="V475" t="s">
        <v>2143</v>
      </c>
      <c r="Z475">
        <v>110.39111316204</v>
      </c>
      <c r="AA475">
        <v>-6.9744260278641397</v>
      </c>
      <c r="AB475" t="s">
        <v>2144</v>
      </c>
      <c r="AC475" t="s">
        <v>216</v>
      </c>
      <c r="AL475" t="s">
        <v>217</v>
      </c>
      <c r="AM475" t="s">
        <v>2145</v>
      </c>
      <c r="AN475" t="s">
        <v>6</v>
      </c>
      <c r="AO475" s="57">
        <v>46091.56958333333</v>
      </c>
      <c r="AP475" s="57">
        <v>46300.333333333336</v>
      </c>
      <c r="AR475" t="s">
        <v>218</v>
      </c>
      <c r="AS475" t="s">
        <v>832</v>
      </c>
      <c r="AT475" t="s">
        <v>230</v>
      </c>
      <c r="AU475">
        <v>20261005</v>
      </c>
      <c r="AV475" t="s">
        <v>221</v>
      </c>
      <c r="AW475" t="s">
        <v>877</v>
      </c>
      <c r="AX475" t="s">
        <v>222</v>
      </c>
      <c r="BA475" s="57">
        <v>46300.333333333336</v>
      </c>
      <c r="BB475" t="s">
        <v>2145</v>
      </c>
      <c r="BC475">
        <v>2026</v>
      </c>
      <c r="BD475">
        <v>10</v>
      </c>
      <c r="BE475">
        <v>5</v>
      </c>
      <c r="BF475" s="6">
        <f t="shared" si="21"/>
        <v>46300</v>
      </c>
      <c r="BG475">
        <f t="shared" si="22"/>
        <v>-0.33333333333575865</v>
      </c>
      <c r="BH475" t="str">
        <f t="shared" si="23"/>
        <v>COMPLY</v>
      </c>
      <c r="BI475" t="e">
        <f>VLOOKUP(H475,Sheet2!$A$1:$B$270,2,FALSE)</f>
        <v>#N/A</v>
      </c>
    </row>
    <row r="476" spans="1:61">
      <c r="A476">
        <v>475</v>
      </c>
      <c r="B476">
        <v>1002622724</v>
      </c>
      <c r="C476">
        <v>3</v>
      </c>
      <c r="D476" t="s">
        <v>49</v>
      </c>
      <c r="E476">
        <v>4</v>
      </c>
      <c r="F476" t="s">
        <v>244</v>
      </c>
      <c r="G476" t="s">
        <v>245</v>
      </c>
      <c r="H476" t="s">
        <v>834</v>
      </c>
      <c r="I476" t="s">
        <v>212</v>
      </c>
      <c r="J476" t="s">
        <v>213</v>
      </c>
      <c r="K476" t="s">
        <v>149</v>
      </c>
      <c r="M476" t="s">
        <v>76</v>
      </c>
      <c r="N476" t="s">
        <v>215</v>
      </c>
      <c r="O476" s="57">
        <v>46300.620474537034</v>
      </c>
      <c r="P476" s="57">
        <v>46301.749120370368</v>
      </c>
      <c r="Q476">
        <v>69404443</v>
      </c>
      <c r="S476">
        <v>141420160431</v>
      </c>
      <c r="T476" t="s">
        <v>2878</v>
      </c>
      <c r="U476" t="s">
        <v>2879</v>
      </c>
      <c r="V476" t="s">
        <v>2880</v>
      </c>
      <c r="Z476">
        <v>110.397661401904</v>
      </c>
      <c r="AA476">
        <v>-6.9570710703435301</v>
      </c>
      <c r="AB476" t="s">
        <v>2881</v>
      </c>
      <c r="AC476" t="s">
        <v>225</v>
      </c>
      <c r="AL476" t="s">
        <v>217</v>
      </c>
      <c r="AM476" t="s">
        <v>2882</v>
      </c>
      <c r="AN476" t="s">
        <v>6</v>
      </c>
      <c r="AO476" s="57">
        <v>46152.632743055554</v>
      </c>
      <c r="AP476" s="57">
        <v>46302.333333333336</v>
      </c>
      <c r="AR476" t="s">
        <v>218</v>
      </c>
      <c r="AS476" t="s">
        <v>832</v>
      </c>
      <c r="AT476" t="s">
        <v>230</v>
      </c>
      <c r="AU476">
        <v>20261006</v>
      </c>
      <c r="AV476" t="s">
        <v>221</v>
      </c>
      <c r="AW476" t="s">
        <v>1751</v>
      </c>
      <c r="AX476" t="s">
        <v>222</v>
      </c>
      <c r="BA476" s="57">
        <v>46302.333333333336</v>
      </c>
      <c r="BB476" t="s">
        <v>2882</v>
      </c>
      <c r="BC476">
        <v>2026</v>
      </c>
      <c r="BD476">
        <v>10</v>
      </c>
      <c r="BE476">
        <v>6</v>
      </c>
      <c r="BF476" s="6">
        <f t="shared" si="21"/>
        <v>46301</v>
      </c>
      <c r="BG476">
        <f t="shared" si="22"/>
        <v>-1.3333333333357587</v>
      </c>
      <c r="BH476" t="str">
        <f t="shared" si="23"/>
        <v>COMPLY</v>
      </c>
      <c r="BI476" t="e">
        <f>VLOOKUP(H476,Sheet2!$A$1:$B$270,2,FALSE)</f>
        <v>#N/A</v>
      </c>
    </row>
    <row r="477" spans="1:61">
      <c r="A477">
        <v>476</v>
      </c>
      <c r="B477">
        <v>1002624670</v>
      </c>
      <c r="C477">
        <v>3</v>
      </c>
      <c r="D477" t="s">
        <v>49</v>
      </c>
      <c r="E477">
        <v>4</v>
      </c>
      <c r="F477" t="s">
        <v>244</v>
      </c>
      <c r="G477" t="s">
        <v>245</v>
      </c>
      <c r="H477" t="s">
        <v>834</v>
      </c>
      <c r="I477" t="s">
        <v>212</v>
      </c>
      <c r="J477" t="s">
        <v>213</v>
      </c>
      <c r="K477" t="s">
        <v>149</v>
      </c>
      <c r="M477" t="s">
        <v>238</v>
      </c>
      <c r="N477" t="s">
        <v>215</v>
      </c>
      <c r="O477" s="57">
        <v>46301.625879629632</v>
      </c>
      <c r="P477" s="57">
        <v>46303.413912037038</v>
      </c>
      <c r="Q477">
        <v>69405206</v>
      </c>
      <c r="R477">
        <v>2435320314</v>
      </c>
      <c r="S477">
        <v>141420144664</v>
      </c>
      <c r="T477" t="s">
        <v>3489</v>
      </c>
      <c r="U477" t="s">
        <v>3490</v>
      </c>
      <c r="V477" t="s">
        <v>4199</v>
      </c>
      <c r="Z477">
        <v>110.41743030000001</v>
      </c>
      <c r="AA477">
        <v>-7.0130318000000003</v>
      </c>
      <c r="AB477" t="s">
        <v>3491</v>
      </c>
      <c r="AC477" t="s">
        <v>225</v>
      </c>
      <c r="AL477" t="s">
        <v>217</v>
      </c>
      <c r="AM477" t="s">
        <v>4200</v>
      </c>
      <c r="AN477" t="s">
        <v>6</v>
      </c>
      <c r="AO477" s="57">
        <v>46183.642893518518</v>
      </c>
      <c r="AP477" s="57">
        <v>46304.333333333336</v>
      </c>
      <c r="AR477" t="s">
        <v>239</v>
      </c>
      <c r="AS477" t="s">
        <v>832</v>
      </c>
      <c r="AT477" t="s">
        <v>230</v>
      </c>
      <c r="AV477" t="s">
        <v>238</v>
      </c>
      <c r="AW477" t="s">
        <v>1587</v>
      </c>
      <c r="AX477" t="s">
        <v>222</v>
      </c>
      <c r="BA477" s="57">
        <v>46304.333333333336</v>
      </c>
      <c r="BB477" t="s">
        <v>4200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:61">
      <c r="A478">
        <v>477</v>
      </c>
      <c r="B478">
        <v>1002624319</v>
      </c>
      <c r="C478">
        <v>3</v>
      </c>
      <c r="D478" t="s">
        <v>49</v>
      </c>
      <c r="E478">
        <v>4</v>
      </c>
      <c r="F478" t="s">
        <v>244</v>
      </c>
      <c r="G478" t="s">
        <v>245</v>
      </c>
      <c r="H478" t="s">
        <v>3492</v>
      </c>
      <c r="I478" t="s">
        <v>212</v>
      </c>
      <c r="J478" t="s">
        <v>213</v>
      </c>
      <c r="K478" t="s">
        <v>149</v>
      </c>
      <c r="M478" t="s">
        <v>76</v>
      </c>
      <c r="N478" t="s">
        <v>215</v>
      </c>
      <c r="O478" s="57">
        <v>46301.563819444447</v>
      </c>
      <c r="P478" s="57">
        <v>46301.63521990741</v>
      </c>
      <c r="Q478">
        <v>69399709</v>
      </c>
      <c r="S478">
        <v>141422112089</v>
      </c>
      <c r="T478" t="s">
        <v>3493</v>
      </c>
      <c r="U478" t="s">
        <v>3494</v>
      </c>
      <c r="V478" t="s">
        <v>3495</v>
      </c>
      <c r="Z478">
        <v>110.39816999999999</v>
      </c>
      <c r="AA478">
        <v>-7.0143820000000003</v>
      </c>
      <c r="AB478" t="s">
        <v>3496</v>
      </c>
      <c r="AC478" t="s">
        <v>225</v>
      </c>
      <c r="AL478" t="s">
        <v>217</v>
      </c>
      <c r="AM478" t="s">
        <v>3497</v>
      </c>
      <c r="AN478" t="s">
        <v>6</v>
      </c>
      <c r="AO478" s="57">
        <v>46183.570092592592</v>
      </c>
      <c r="AR478" t="s">
        <v>218</v>
      </c>
      <c r="AS478" t="s">
        <v>219</v>
      </c>
      <c r="AT478" t="s">
        <v>230</v>
      </c>
      <c r="AU478">
        <v>20261006</v>
      </c>
      <c r="AV478" t="s">
        <v>221</v>
      </c>
      <c r="AW478" t="s">
        <v>861</v>
      </c>
      <c r="AX478" t="s">
        <v>222</v>
      </c>
      <c r="BA478" s="57">
        <v>46301.291666666664</v>
      </c>
      <c r="BB478" t="s">
        <v>3497</v>
      </c>
      <c r="BC478">
        <v>2026</v>
      </c>
      <c r="BD478">
        <v>10</v>
      </c>
      <c r="BE478">
        <v>6</v>
      </c>
      <c r="BF478" s="6">
        <f t="shared" si="21"/>
        <v>46301</v>
      </c>
      <c r="BG478">
        <f t="shared" si="22"/>
        <v>-0.29166666666424135</v>
      </c>
      <c r="BH478" t="str">
        <f t="shared" si="23"/>
        <v>COMPLY</v>
      </c>
      <c r="BI478" t="e">
        <f>VLOOKUP(H478,Sheet2!$A$1:$B$270,2,FALSE)</f>
        <v>#N/A</v>
      </c>
    </row>
    <row r="479" spans="1:61">
      <c r="A479">
        <v>478</v>
      </c>
      <c r="B479">
        <v>1002619278</v>
      </c>
      <c r="C479">
        <v>3</v>
      </c>
      <c r="D479" t="s">
        <v>49</v>
      </c>
      <c r="E479">
        <v>4</v>
      </c>
      <c r="F479" t="s">
        <v>244</v>
      </c>
      <c r="G479" t="s">
        <v>245</v>
      </c>
      <c r="H479" t="s">
        <v>2146</v>
      </c>
      <c r="I479" t="s">
        <v>212</v>
      </c>
      <c r="J479" t="s">
        <v>213</v>
      </c>
      <c r="K479" t="s">
        <v>149</v>
      </c>
      <c r="L479" t="s">
        <v>214</v>
      </c>
      <c r="M479" t="s">
        <v>1401</v>
      </c>
      <c r="N479" t="s">
        <v>215</v>
      </c>
      <c r="O479" s="57">
        <v>46297.426851851851</v>
      </c>
      <c r="P479" s="57">
        <v>46300.701793981483</v>
      </c>
      <c r="Q479">
        <v>69402849</v>
      </c>
      <c r="S479">
        <v>143424112885</v>
      </c>
      <c r="T479" t="s">
        <v>2147</v>
      </c>
      <c r="U479" t="s">
        <v>2148</v>
      </c>
      <c r="V479" t="s">
        <v>2149</v>
      </c>
      <c r="Z479">
        <v>110.45200198888701</v>
      </c>
      <c r="AA479">
        <v>-6.9622998110349101</v>
      </c>
      <c r="AB479" t="s">
        <v>2150</v>
      </c>
      <c r="AC479" t="s">
        <v>216</v>
      </c>
      <c r="AL479" t="s">
        <v>217</v>
      </c>
      <c r="AM479" t="s">
        <v>2151</v>
      </c>
      <c r="AN479" t="s">
        <v>6</v>
      </c>
      <c r="AO479" s="57">
        <v>46063.444386574076</v>
      </c>
      <c r="AP479" s="57">
        <v>46298.333333333336</v>
      </c>
      <c r="AR479" t="s">
        <v>14</v>
      </c>
      <c r="AS479" t="s">
        <v>811</v>
      </c>
      <c r="AT479" t="s">
        <v>230</v>
      </c>
      <c r="AV479" t="s">
        <v>2883</v>
      </c>
      <c r="AW479" t="s">
        <v>875</v>
      </c>
      <c r="AX479" t="s">
        <v>222</v>
      </c>
      <c r="BA479" s="57">
        <v>46298.333333333336</v>
      </c>
      <c r="BB479" t="s">
        <v>2151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:61">
      <c r="A480">
        <v>479</v>
      </c>
      <c r="B480">
        <v>1002619811</v>
      </c>
      <c r="C480">
        <v>3</v>
      </c>
      <c r="D480" t="s">
        <v>49</v>
      </c>
      <c r="E480">
        <v>4</v>
      </c>
      <c r="F480" t="s">
        <v>244</v>
      </c>
      <c r="G480" t="s">
        <v>245</v>
      </c>
      <c r="H480" t="s">
        <v>2146</v>
      </c>
      <c r="I480" t="s">
        <v>212</v>
      </c>
      <c r="J480" t="s">
        <v>213</v>
      </c>
      <c r="K480" t="s">
        <v>149</v>
      </c>
      <c r="M480" t="s">
        <v>836</v>
      </c>
      <c r="N480" t="s">
        <v>563</v>
      </c>
      <c r="O480" s="57">
        <v>46297.56758101852</v>
      </c>
      <c r="P480" s="57">
        <v>46303.431087962963</v>
      </c>
      <c r="Q480">
        <v>66525052</v>
      </c>
      <c r="S480">
        <v>143424112888</v>
      </c>
      <c r="T480" t="s">
        <v>1654</v>
      </c>
      <c r="U480" t="s">
        <v>2157</v>
      </c>
      <c r="V480" t="s">
        <v>2884</v>
      </c>
      <c r="Z480">
        <v>110.480244790182</v>
      </c>
      <c r="AA480">
        <v>-6.95554778568407</v>
      </c>
      <c r="AB480" t="s">
        <v>2158</v>
      </c>
      <c r="AC480" t="s">
        <v>225</v>
      </c>
      <c r="AL480" t="s">
        <v>217</v>
      </c>
      <c r="AM480" t="s">
        <v>2885</v>
      </c>
      <c r="AN480" t="s">
        <v>6</v>
      </c>
      <c r="AO480" s="57">
        <v>46063.569363425922</v>
      </c>
      <c r="AP480" s="57">
        <v>46301.333333333336</v>
      </c>
      <c r="AQ480" t="s">
        <v>841</v>
      </c>
      <c r="AR480" t="s">
        <v>14</v>
      </c>
      <c r="AS480" t="s">
        <v>811</v>
      </c>
      <c r="AT480" t="s">
        <v>230</v>
      </c>
      <c r="AV480" t="s">
        <v>837</v>
      </c>
      <c r="AW480" t="s">
        <v>1475</v>
      </c>
      <c r="AX480" t="s">
        <v>222</v>
      </c>
      <c r="BA480" s="57">
        <v>46301.333333333336</v>
      </c>
      <c r="BB480" t="s">
        <v>2885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:61">
      <c r="A481">
        <v>480</v>
      </c>
      <c r="B481">
        <v>1002620890</v>
      </c>
      <c r="C481">
        <v>3</v>
      </c>
      <c r="D481" t="s">
        <v>49</v>
      </c>
      <c r="E481">
        <v>4</v>
      </c>
      <c r="F481" t="s">
        <v>244</v>
      </c>
      <c r="G481" t="s">
        <v>245</v>
      </c>
      <c r="H481" t="s">
        <v>2146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46298.489351851851</v>
      </c>
      <c r="P481" s="57">
        <v>46298.653819444444</v>
      </c>
      <c r="Q481">
        <v>69403538</v>
      </c>
      <c r="S481">
        <v>143424113018</v>
      </c>
      <c r="T481" t="s">
        <v>2152</v>
      </c>
      <c r="U481" t="s">
        <v>2153</v>
      </c>
      <c r="V481" t="s">
        <v>2154</v>
      </c>
      <c r="Z481">
        <v>110.47651469707399</v>
      </c>
      <c r="AA481">
        <v>-6.9811816113941401</v>
      </c>
      <c r="AB481" t="s">
        <v>2155</v>
      </c>
      <c r="AC481" t="s">
        <v>235</v>
      </c>
      <c r="AL481" t="s">
        <v>217</v>
      </c>
      <c r="AM481" t="s">
        <v>2156</v>
      </c>
      <c r="AN481" t="s">
        <v>6</v>
      </c>
      <c r="AO481" s="57">
        <v>46091.496435185189</v>
      </c>
      <c r="AP481" s="57">
        <v>46300.333333333336</v>
      </c>
      <c r="AR481" t="s">
        <v>218</v>
      </c>
      <c r="AS481" t="s">
        <v>811</v>
      </c>
      <c r="AT481" t="s">
        <v>230</v>
      </c>
      <c r="AU481">
        <v>20261003</v>
      </c>
      <c r="AV481" t="s">
        <v>221</v>
      </c>
      <c r="AW481" t="s">
        <v>923</v>
      </c>
      <c r="AX481" t="s">
        <v>222</v>
      </c>
      <c r="BA481" s="57">
        <v>46300.333333333336</v>
      </c>
      <c r="BB481" t="s">
        <v>2156</v>
      </c>
      <c r="BC481">
        <v>2026</v>
      </c>
      <c r="BD481">
        <v>10</v>
      </c>
      <c r="BE481">
        <v>3</v>
      </c>
      <c r="BF481" s="6">
        <f t="shared" si="21"/>
        <v>46298</v>
      </c>
      <c r="BG481">
        <f t="shared" si="22"/>
        <v>-2.3333333333357587</v>
      </c>
      <c r="BH481" t="str">
        <f t="shared" si="23"/>
        <v>COMPLY</v>
      </c>
      <c r="BI481" t="e">
        <f>VLOOKUP(H481,Sheet2!$A$1:$B$270,2,FALSE)</f>
        <v>#N/A</v>
      </c>
    </row>
    <row r="482" spans="1:61">
      <c r="A482">
        <v>481</v>
      </c>
      <c r="B482">
        <v>1002623170</v>
      </c>
      <c r="C482">
        <v>3</v>
      </c>
      <c r="D482" t="s">
        <v>49</v>
      </c>
      <c r="E482">
        <v>4</v>
      </c>
      <c r="F482" t="s">
        <v>244</v>
      </c>
      <c r="G482" t="s">
        <v>245</v>
      </c>
      <c r="H482" t="s">
        <v>2146</v>
      </c>
      <c r="I482" t="s">
        <v>212</v>
      </c>
      <c r="J482" t="s">
        <v>213</v>
      </c>
      <c r="K482" t="s">
        <v>149</v>
      </c>
      <c r="M482" t="s">
        <v>76</v>
      </c>
      <c r="N482" t="s">
        <v>215</v>
      </c>
      <c r="O482" s="57">
        <v>46300.701805555553</v>
      </c>
      <c r="P482" s="57">
        <v>46300.874236111114</v>
      </c>
      <c r="Q482">
        <v>69402849</v>
      </c>
      <c r="S482">
        <v>143424113026</v>
      </c>
      <c r="T482" t="s">
        <v>2147</v>
      </c>
      <c r="U482" t="s">
        <v>2886</v>
      </c>
      <c r="V482" t="s">
        <v>2887</v>
      </c>
      <c r="Z482">
        <v>110.45246256</v>
      </c>
      <c r="AA482">
        <v>-6.9599035760000003</v>
      </c>
      <c r="AB482" t="s">
        <v>2150</v>
      </c>
      <c r="AC482" t="s">
        <v>216</v>
      </c>
      <c r="AL482" t="s">
        <v>217</v>
      </c>
      <c r="AM482" t="s">
        <v>2888</v>
      </c>
      <c r="AN482" t="s">
        <v>6</v>
      </c>
      <c r="AO482" s="57">
        <v>46152.726238425923</v>
      </c>
      <c r="AR482" t="s">
        <v>218</v>
      </c>
      <c r="AS482" t="s">
        <v>811</v>
      </c>
      <c r="AT482" t="s">
        <v>230</v>
      </c>
      <c r="AU482">
        <v>20261005</v>
      </c>
      <c r="AV482" t="s">
        <v>221</v>
      </c>
      <c r="AW482" t="s">
        <v>539</v>
      </c>
      <c r="AX482" t="s">
        <v>222</v>
      </c>
      <c r="BA482" s="57">
        <v>46300.291666666664</v>
      </c>
      <c r="BB482" t="s">
        <v>2888</v>
      </c>
      <c r="BC482">
        <v>2026</v>
      </c>
      <c r="BD482">
        <v>10</v>
      </c>
      <c r="BE482">
        <v>5</v>
      </c>
      <c r="BF482" s="6">
        <f t="shared" si="21"/>
        <v>46300</v>
      </c>
      <c r="BG482">
        <f t="shared" si="22"/>
        <v>-0.29166666666424135</v>
      </c>
      <c r="BH482" t="str">
        <f t="shared" si="23"/>
        <v>COMPLY</v>
      </c>
      <c r="BI482" t="e">
        <f>VLOOKUP(H482,Sheet2!$A$1:$B$270,2,FALSE)</f>
        <v>#N/A</v>
      </c>
    </row>
    <row r="483" spans="1:61">
      <c r="A483">
        <v>482</v>
      </c>
      <c r="B483">
        <v>1002622510</v>
      </c>
      <c r="C483">
        <v>3</v>
      </c>
      <c r="D483" t="s">
        <v>49</v>
      </c>
      <c r="E483">
        <v>4</v>
      </c>
      <c r="F483" t="s">
        <v>244</v>
      </c>
      <c r="G483" t="s">
        <v>245</v>
      </c>
      <c r="H483" t="s">
        <v>2146</v>
      </c>
      <c r="I483" t="s">
        <v>212</v>
      </c>
      <c r="J483" t="s">
        <v>213</v>
      </c>
      <c r="K483" t="s">
        <v>149</v>
      </c>
      <c r="M483" t="s">
        <v>76</v>
      </c>
      <c r="N483" t="s">
        <v>215</v>
      </c>
      <c r="O483" s="57">
        <v>46300.576956018522</v>
      </c>
      <c r="P483" s="57">
        <v>46300.716365740744</v>
      </c>
      <c r="Q483">
        <v>69401097</v>
      </c>
      <c r="S483">
        <v>143424113024</v>
      </c>
      <c r="T483" t="s">
        <v>2889</v>
      </c>
      <c r="U483" t="s">
        <v>2890</v>
      </c>
      <c r="V483" t="s">
        <v>2891</v>
      </c>
      <c r="Z483">
        <v>110.47329458987301</v>
      </c>
      <c r="AA483">
        <v>-6.9571208461416401</v>
      </c>
      <c r="AB483" t="s">
        <v>2892</v>
      </c>
      <c r="AC483" t="s">
        <v>225</v>
      </c>
      <c r="AL483" t="s">
        <v>217</v>
      </c>
      <c r="AM483" t="s">
        <v>2893</v>
      </c>
      <c r="AN483" t="s">
        <v>6</v>
      </c>
      <c r="AO483" s="57">
        <v>46152.601203703707</v>
      </c>
      <c r="AR483" t="s">
        <v>218</v>
      </c>
      <c r="AS483" t="s">
        <v>811</v>
      </c>
      <c r="AT483" t="s">
        <v>230</v>
      </c>
      <c r="AU483">
        <v>20261005</v>
      </c>
      <c r="AV483" t="s">
        <v>221</v>
      </c>
      <c r="AW483" t="s">
        <v>859</v>
      </c>
      <c r="AX483" t="s">
        <v>222</v>
      </c>
      <c r="BA483" s="57">
        <v>46300.291666666664</v>
      </c>
      <c r="BB483" t="s">
        <v>2893</v>
      </c>
      <c r="BC483">
        <v>2026</v>
      </c>
      <c r="BD483">
        <v>10</v>
      </c>
      <c r="BE483">
        <v>5</v>
      </c>
      <c r="BF483" s="6">
        <f t="shared" si="21"/>
        <v>46300</v>
      </c>
      <c r="BG483">
        <f t="shared" si="22"/>
        <v>-0.29166666666424135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1002624448</v>
      </c>
      <c r="C484">
        <v>3</v>
      </c>
      <c r="D484" t="s">
        <v>49</v>
      </c>
      <c r="E484">
        <v>4</v>
      </c>
      <c r="F484" t="s">
        <v>244</v>
      </c>
      <c r="G484" t="s">
        <v>245</v>
      </c>
      <c r="H484" t="s">
        <v>2146</v>
      </c>
      <c r="I484" t="s">
        <v>212</v>
      </c>
      <c r="J484" t="s">
        <v>213</v>
      </c>
      <c r="K484" t="s">
        <v>149</v>
      </c>
      <c r="L484" t="s">
        <v>214</v>
      </c>
      <c r="M484" t="s">
        <v>76</v>
      </c>
      <c r="N484" t="s">
        <v>215</v>
      </c>
      <c r="O484" s="57">
        <v>46301.580972222226</v>
      </c>
      <c r="P484" s="57">
        <v>46301.753993055558</v>
      </c>
      <c r="Q484">
        <v>69405059</v>
      </c>
      <c r="S484">
        <v>143424113159</v>
      </c>
      <c r="T484" t="s">
        <v>3498</v>
      </c>
      <c r="U484" t="s">
        <v>3499</v>
      </c>
      <c r="V484" t="s">
        <v>3500</v>
      </c>
      <c r="Z484">
        <v>110.534113794565</v>
      </c>
      <c r="AA484">
        <v>-6.9909010987290499</v>
      </c>
      <c r="AB484" t="s">
        <v>3501</v>
      </c>
      <c r="AC484" t="s">
        <v>216</v>
      </c>
      <c r="AL484" t="s">
        <v>217</v>
      </c>
      <c r="AM484" t="s">
        <v>3456</v>
      </c>
      <c r="AN484" t="s">
        <v>6</v>
      </c>
      <c r="AO484" s="57">
        <v>46183.601145833331</v>
      </c>
      <c r="AP484" s="57">
        <v>46302.458333333336</v>
      </c>
      <c r="AR484" t="s">
        <v>218</v>
      </c>
      <c r="AS484" t="s">
        <v>811</v>
      </c>
      <c r="AT484" t="s">
        <v>230</v>
      </c>
      <c r="AU484">
        <v>20261006</v>
      </c>
      <c r="AV484" t="s">
        <v>221</v>
      </c>
      <c r="AW484" t="s">
        <v>875</v>
      </c>
      <c r="AX484" t="s">
        <v>222</v>
      </c>
      <c r="BA484" s="57">
        <v>46302.458333333336</v>
      </c>
      <c r="BB484" t="s">
        <v>3456</v>
      </c>
      <c r="BC484">
        <v>2026</v>
      </c>
      <c r="BD484">
        <v>10</v>
      </c>
      <c r="BE484">
        <v>6</v>
      </c>
      <c r="BF484" s="6">
        <f t="shared" si="21"/>
        <v>46301</v>
      </c>
      <c r="BG484">
        <f t="shared" si="22"/>
        <v>-1.4583333333357587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484</v>
      </c>
      <c r="B485">
        <v>1002623393</v>
      </c>
      <c r="C485">
        <v>3</v>
      </c>
      <c r="D485" t="s">
        <v>49</v>
      </c>
      <c r="E485">
        <v>4</v>
      </c>
      <c r="F485" t="s">
        <v>244</v>
      </c>
      <c r="G485" t="s">
        <v>245</v>
      </c>
      <c r="H485" t="s">
        <v>2146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46301.346990740742</v>
      </c>
      <c r="P485" s="57">
        <v>46301.73333333333</v>
      </c>
      <c r="Q485">
        <v>69404642</v>
      </c>
      <c r="S485">
        <v>143424113153</v>
      </c>
      <c r="T485" t="s">
        <v>3502</v>
      </c>
      <c r="U485" t="s">
        <v>3503</v>
      </c>
      <c r="V485" t="s">
        <v>3504</v>
      </c>
      <c r="Z485">
        <v>110.527075007557</v>
      </c>
      <c r="AA485">
        <v>-6.9877180135767398</v>
      </c>
      <c r="AB485" t="s">
        <v>3505</v>
      </c>
      <c r="AC485" t="s">
        <v>216</v>
      </c>
      <c r="AL485" t="s">
        <v>217</v>
      </c>
      <c r="AM485" t="s">
        <v>3506</v>
      </c>
      <c r="AN485" t="s">
        <v>6</v>
      </c>
      <c r="AO485" s="57">
        <v>46183.350821759261</v>
      </c>
      <c r="AP485" s="57">
        <v>46302.333333333336</v>
      </c>
      <c r="AR485" t="s">
        <v>218</v>
      </c>
      <c r="AS485" t="s">
        <v>811</v>
      </c>
      <c r="AT485" t="s">
        <v>230</v>
      </c>
      <c r="AU485">
        <v>20261006</v>
      </c>
      <c r="AV485" t="s">
        <v>221</v>
      </c>
      <c r="AW485" t="s">
        <v>875</v>
      </c>
      <c r="AX485" t="s">
        <v>222</v>
      </c>
      <c r="BA485" s="57">
        <v>46302.333333333336</v>
      </c>
      <c r="BB485" t="s">
        <v>3506</v>
      </c>
      <c r="BC485">
        <v>2026</v>
      </c>
      <c r="BD485">
        <v>10</v>
      </c>
      <c r="BE485">
        <v>6</v>
      </c>
      <c r="BF485" s="6">
        <f t="shared" si="21"/>
        <v>46301</v>
      </c>
      <c r="BG485">
        <f t="shared" si="22"/>
        <v>-1.3333333333357587</v>
      </c>
      <c r="BH485" t="str">
        <f t="shared" si="23"/>
        <v>COMPLY</v>
      </c>
      <c r="BI485" t="e">
        <f>VLOOKUP(H485,Sheet2!$A$1:$B$270,2,FALSE)</f>
        <v>#N/A</v>
      </c>
    </row>
    <row r="486" spans="1:61">
      <c r="A486">
        <v>485</v>
      </c>
      <c r="B486">
        <v>1002623449</v>
      </c>
      <c r="C486">
        <v>3</v>
      </c>
      <c r="D486" t="s">
        <v>49</v>
      </c>
      <c r="E486">
        <v>4</v>
      </c>
      <c r="F486" t="s">
        <v>244</v>
      </c>
      <c r="G486" t="s">
        <v>245</v>
      </c>
      <c r="H486" t="s">
        <v>2146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46301.361516203702</v>
      </c>
      <c r="P486" s="57">
        <v>46301.574756944443</v>
      </c>
      <c r="Q486">
        <v>69404690</v>
      </c>
      <c r="S486">
        <v>143424113157</v>
      </c>
      <c r="T486" t="s">
        <v>3507</v>
      </c>
      <c r="U486" t="s">
        <v>3508</v>
      </c>
      <c r="V486" t="s">
        <v>3509</v>
      </c>
      <c r="Z486">
        <v>110.458579435944</v>
      </c>
      <c r="AA486">
        <v>-6.9671008147035902</v>
      </c>
      <c r="AB486" t="s">
        <v>3510</v>
      </c>
      <c r="AC486" t="s">
        <v>216</v>
      </c>
      <c r="AL486" t="s">
        <v>217</v>
      </c>
      <c r="AM486" t="s">
        <v>3172</v>
      </c>
      <c r="AN486" t="s">
        <v>6</v>
      </c>
      <c r="AO486" s="57">
        <v>46183.392407407409</v>
      </c>
      <c r="AP486" s="57">
        <v>46302.333333333336</v>
      </c>
      <c r="AR486" t="s">
        <v>218</v>
      </c>
      <c r="AS486" t="s">
        <v>811</v>
      </c>
      <c r="AT486" t="s">
        <v>230</v>
      </c>
      <c r="AU486">
        <v>20261006</v>
      </c>
      <c r="AV486" t="s">
        <v>221</v>
      </c>
      <c r="AW486" t="s">
        <v>877</v>
      </c>
      <c r="AX486" t="s">
        <v>222</v>
      </c>
      <c r="BA486" s="57">
        <v>46302.333333333336</v>
      </c>
      <c r="BB486" t="s">
        <v>3172</v>
      </c>
      <c r="BC486">
        <v>2026</v>
      </c>
      <c r="BD486">
        <v>10</v>
      </c>
      <c r="BE486">
        <v>6</v>
      </c>
      <c r="BF486" s="6">
        <f t="shared" si="21"/>
        <v>46301</v>
      </c>
      <c r="BG486">
        <f t="shared" si="22"/>
        <v>-1.3333333333357587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1002618755</v>
      </c>
      <c r="C487">
        <v>3</v>
      </c>
      <c r="D487" t="s">
        <v>49</v>
      </c>
      <c r="E487">
        <v>4</v>
      </c>
      <c r="F487" t="s">
        <v>244</v>
      </c>
      <c r="G487" t="s">
        <v>245</v>
      </c>
      <c r="H487" t="s">
        <v>803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46296.740671296298</v>
      </c>
      <c r="P487" s="57">
        <v>46297.74459490741</v>
      </c>
      <c r="Q487">
        <v>69402637</v>
      </c>
      <c r="S487">
        <v>142406123044</v>
      </c>
      <c r="T487" t="s">
        <v>932</v>
      </c>
      <c r="U487" t="s">
        <v>1226</v>
      </c>
      <c r="V487" t="s">
        <v>1227</v>
      </c>
      <c r="Z487">
        <v>110.442810058593</v>
      </c>
      <c r="AA487">
        <v>-6.9639205629502898</v>
      </c>
      <c r="AB487" t="s">
        <v>1228</v>
      </c>
      <c r="AC487" t="s">
        <v>235</v>
      </c>
      <c r="AL487" t="s">
        <v>217</v>
      </c>
      <c r="AM487" t="s">
        <v>1123</v>
      </c>
      <c r="AN487" t="s">
        <v>6</v>
      </c>
      <c r="AO487" s="57">
        <v>46032.746898148151</v>
      </c>
      <c r="AP487" s="57">
        <v>46297.625</v>
      </c>
      <c r="AR487" t="s">
        <v>218</v>
      </c>
      <c r="AS487" t="s">
        <v>811</v>
      </c>
      <c r="AT487" t="s">
        <v>230</v>
      </c>
      <c r="AU487">
        <v>20261002</v>
      </c>
      <c r="AV487" t="s">
        <v>221</v>
      </c>
      <c r="AW487" t="s">
        <v>877</v>
      </c>
      <c r="AX487" t="s">
        <v>222</v>
      </c>
      <c r="BA487" s="57">
        <v>46297.625</v>
      </c>
      <c r="BB487" t="s">
        <v>1123</v>
      </c>
      <c r="BC487">
        <v>2026</v>
      </c>
      <c r="BD487">
        <v>10</v>
      </c>
      <c r="BE487">
        <v>2</v>
      </c>
      <c r="BF487" s="6">
        <f t="shared" si="21"/>
        <v>46297</v>
      </c>
      <c r="BG487">
        <f t="shared" si="22"/>
        <v>-0.625</v>
      </c>
      <c r="BH487" t="str">
        <f t="shared" si="23"/>
        <v>COMPLY</v>
      </c>
      <c r="BI487" t="e">
        <f>VLOOKUP(H487,Sheet2!$A$1:$B$270,2,FALSE)</f>
        <v>#N/A</v>
      </c>
    </row>
    <row r="488" spans="1:61">
      <c r="A488">
        <v>487</v>
      </c>
      <c r="B488">
        <v>1002621435</v>
      </c>
      <c r="C488">
        <v>3</v>
      </c>
      <c r="D488" t="s">
        <v>49</v>
      </c>
      <c r="E488">
        <v>4</v>
      </c>
      <c r="F488" t="s">
        <v>244</v>
      </c>
      <c r="G488" t="s">
        <v>245</v>
      </c>
      <c r="H488" t="s">
        <v>803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46299.607407407406</v>
      </c>
      <c r="P488" s="57">
        <v>46300.645497685182</v>
      </c>
      <c r="Q488">
        <v>69403935</v>
      </c>
      <c r="S488">
        <v>142406123064</v>
      </c>
      <c r="T488" t="s">
        <v>2159</v>
      </c>
      <c r="U488" t="s">
        <v>2160</v>
      </c>
      <c r="V488" t="s">
        <v>2161</v>
      </c>
      <c r="Z488">
        <v>110.431072419472</v>
      </c>
      <c r="AA488">
        <v>-6.9686406578249498</v>
      </c>
      <c r="AB488" t="s">
        <v>2162</v>
      </c>
      <c r="AC488" t="s">
        <v>235</v>
      </c>
      <c r="AL488" t="s">
        <v>217</v>
      </c>
      <c r="AM488" t="s">
        <v>2163</v>
      </c>
      <c r="AN488" t="s">
        <v>6</v>
      </c>
      <c r="AO488" s="57">
        <v>46122.610983796294</v>
      </c>
      <c r="AP488" s="57">
        <v>46300.458333333336</v>
      </c>
      <c r="AR488" t="s">
        <v>218</v>
      </c>
      <c r="AS488" t="s">
        <v>811</v>
      </c>
      <c r="AT488" t="s">
        <v>230</v>
      </c>
      <c r="AU488">
        <v>20261005</v>
      </c>
      <c r="AV488" t="s">
        <v>221</v>
      </c>
      <c r="AW488" t="s">
        <v>1421</v>
      </c>
      <c r="AX488" t="s">
        <v>222</v>
      </c>
      <c r="BA488" s="57">
        <v>46300.458333333336</v>
      </c>
      <c r="BB488" t="s">
        <v>2163</v>
      </c>
      <c r="BC488">
        <v>2026</v>
      </c>
      <c r="BD488">
        <v>10</v>
      </c>
      <c r="BE488">
        <v>5</v>
      </c>
      <c r="BF488" s="6">
        <f t="shared" si="21"/>
        <v>46300</v>
      </c>
      <c r="BG488">
        <f t="shared" si="22"/>
        <v>-0.45833333333575865</v>
      </c>
      <c r="BH488" t="str">
        <f t="shared" si="23"/>
        <v>COMPLY</v>
      </c>
      <c r="BI488" t="e">
        <f>VLOOKUP(H488,Sheet2!$A$1:$B$270,2,FALSE)</f>
        <v>#N/A</v>
      </c>
    </row>
    <row r="489" spans="1:61">
      <c r="A489">
        <v>488</v>
      </c>
      <c r="B489">
        <v>1002625014</v>
      </c>
      <c r="C489">
        <v>3</v>
      </c>
      <c r="D489" t="s">
        <v>49</v>
      </c>
      <c r="E489">
        <v>4</v>
      </c>
      <c r="F489" t="s">
        <v>244</v>
      </c>
      <c r="G489" t="s">
        <v>245</v>
      </c>
      <c r="H489" t="s">
        <v>803</v>
      </c>
      <c r="I489" t="s">
        <v>212</v>
      </c>
      <c r="J489" t="s">
        <v>213</v>
      </c>
      <c r="K489" t="s">
        <v>149</v>
      </c>
      <c r="M489" t="s">
        <v>76</v>
      </c>
      <c r="N489" t="s">
        <v>215</v>
      </c>
      <c r="O489" s="57">
        <v>46301.692071759258</v>
      </c>
      <c r="P489" s="57">
        <v>46301.754432870373</v>
      </c>
      <c r="Q489">
        <v>69398466</v>
      </c>
      <c r="S489">
        <v>142406123078</v>
      </c>
      <c r="T489" t="s">
        <v>3511</v>
      </c>
      <c r="U489" t="s">
        <v>3512</v>
      </c>
      <c r="V489" t="s">
        <v>3513</v>
      </c>
      <c r="Z489">
        <v>110.428122</v>
      </c>
      <c r="AA489">
        <v>-6.9684670000000004</v>
      </c>
      <c r="AB489" t="s">
        <v>3514</v>
      </c>
      <c r="AC489" t="s">
        <v>216</v>
      </c>
      <c r="AL489" t="s">
        <v>217</v>
      </c>
      <c r="AM489" t="s">
        <v>3515</v>
      </c>
      <c r="AN489" t="s">
        <v>6</v>
      </c>
      <c r="AO489" s="57">
        <v>46183.694976851853</v>
      </c>
      <c r="AR489" t="s">
        <v>218</v>
      </c>
      <c r="AS489" t="s">
        <v>811</v>
      </c>
      <c r="AT489" t="s">
        <v>230</v>
      </c>
      <c r="AU489">
        <v>20261006</v>
      </c>
      <c r="AV489" t="s">
        <v>221</v>
      </c>
      <c r="AW489" t="s">
        <v>540</v>
      </c>
      <c r="AX489" t="s">
        <v>222</v>
      </c>
      <c r="BA489" s="57">
        <v>46301.291666666664</v>
      </c>
      <c r="BB489" t="s">
        <v>3515</v>
      </c>
      <c r="BC489">
        <v>2026</v>
      </c>
      <c r="BD489">
        <v>10</v>
      </c>
      <c r="BE489">
        <v>6</v>
      </c>
      <c r="BF489" s="6">
        <f t="shared" si="21"/>
        <v>46301</v>
      </c>
      <c r="BG489">
        <f t="shared" si="22"/>
        <v>-0.29166666666424135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1002625976</v>
      </c>
      <c r="C490">
        <v>3</v>
      </c>
      <c r="D490" t="s">
        <v>49</v>
      </c>
      <c r="E490">
        <v>4</v>
      </c>
      <c r="F490" t="s">
        <v>244</v>
      </c>
      <c r="G490" t="s">
        <v>245</v>
      </c>
      <c r="H490" t="s">
        <v>803</v>
      </c>
      <c r="I490" t="s">
        <v>212</v>
      </c>
      <c r="J490" t="s">
        <v>213</v>
      </c>
      <c r="K490" t="s">
        <v>149</v>
      </c>
      <c r="M490" t="s">
        <v>3149</v>
      </c>
      <c r="N490" t="s">
        <v>215</v>
      </c>
      <c r="O490" s="57">
        <v>46302.522499999999</v>
      </c>
      <c r="P490" s="57">
        <v>46302.523738425924</v>
      </c>
      <c r="Q490">
        <v>69405788</v>
      </c>
      <c r="R490">
        <v>2435314179</v>
      </c>
      <c r="S490">
        <v>142406123083</v>
      </c>
      <c r="T490" t="s">
        <v>4201</v>
      </c>
      <c r="U490" t="s">
        <v>4202</v>
      </c>
      <c r="Z490">
        <v>110.41231730185</v>
      </c>
      <c r="AA490">
        <v>-6.9830205044812699</v>
      </c>
      <c r="AB490" t="s">
        <v>4203</v>
      </c>
      <c r="AC490" t="s">
        <v>225</v>
      </c>
      <c r="AO490" s="57">
        <v>46213.538645833331</v>
      </c>
      <c r="AR490" t="s">
        <v>325</v>
      </c>
      <c r="AS490" t="s">
        <v>811</v>
      </c>
      <c r="AT490" t="s">
        <v>230</v>
      </c>
      <c r="AV490" t="s">
        <v>3150</v>
      </c>
      <c r="AW490" t="s">
        <v>1587</v>
      </c>
      <c r="AX490" t="s">
        <v>222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:61">
      <c r="A491">
        <v>490</v>
      </c>
      <c r="B491">
        <v>1002626009</v>
      </c>
      <c r="C491">
        <v>3</v>
      </c>
      <c r="D491" t="s">
        <v>49</v>
      </c>
      <c r="E491">
        <v>4</v>
      </c>
      <c r="F491" t="s">
        <v>244</v>
      </c>
      <c r="G491" t="s">
        <v>245</v>
      </c>
      <c r="H491" t="s">
        <v>803</v>
      </c>
      <c r="I491" t="s">
        <v>212</v>
      </c>
      <c r="J491" t="s">
        <v>213</v>
      </c>
      <c r="K491" t="s">
        <v>149</v>
      </c>
      <c r="M491" t="s">
        <v>3149</v>
      </c>
      <c r="N491" t="s">
        <v>215</v>
      </c>
      <c r="O491" s="57">
        <v>46302.53465277778</v>
      </c>
      <c r="P491" s="57">
        <v>46302.536238425928</v>
      </c>
      <c r="Q491">
        <v>69405805</v>
      </c>
      <c r="S491">
        <v>142406123084</v>
      </c>
      <c r="T491" t="s">
        <v>4201</v>
      </c>
      <c r="U491" t="s">
        <v>4202</v>
      </c>
      <c r="Z491">
        <v>110.41228511534401</v>
      </c>
      <c r="AA491">
        <v>-6.98306310149892</v>
      </c>
      <c r="AB491" t="s">
        <v>4204</v>
      </c>
      <c r="AC491" t="s">
        <v>225</v>
      </c>
      <c r="AO491" s="57">
        <v>46213.538645833331</v>
      </c>
      <c r="AR491" t="s">
        <v>325</v>
      </c>
      <c r="AS491" t="s">
        <v>811</v>
      </c>
      <c r="AT491" t="s">
        <v>230</v>
      </c>
      <c r="AV491" t="s">
        <v>3150</v>
      </c>
      <c r="AW491" t="s">
        <v>540</v>
      </c>
      <c r="AX491" t="s">
        <v>222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:61">
      <c r="A492">
        <v>491</v>
      </c>
      <c r="B492">
        <v>1002625572</v>
      </c>
      <c r="C492">
        <v>3</v>
      </c>
      <c r="D492" t="s">
        <v>49</v>
      </c>
      <c r="E492">
        <v>4</v>
      </c>
      <c r="F492" t="s">
        <v>244</v>
      </c>
      <c r="G492" t="s">
        <v>245</v>
      </c>
      <c r="H492" t="s">
        <v>2164</v>
      </c>
      <c r="I492" t="s">
        <v>212</v>
      </c>
      <c r="J492" t="s">
        <v>213</v>
      </c>
      <c r="K492" t="s">
        <v>149</v>
      </c>
      <c r="L492" t="s">
        <v>214</v>
      </c>
      <c r="M492" t="s">
        <v>224</v>
      </c>
      <c r="N492" t="s">
        <v>215</v>
      </c>
      <c r="O492" s="57">
        <v>46302.426782407405</v>
      </c>
      <c r="P492" s="57">
        <v>46303.337557870371</v>
      </c>
      <c r="Q492">
        <v>69405539</v>
      </c>
      <c r="S492">
        <v>142410346947</v>
      </c>
      <c r="T492" t="s">
        <v>4205</v>
      </c>
      <c r="U492" t="s">
        <v>4206</v>
      </c>
      <c r="V492" t="s">
        <v>4207</v>
      </c>
      <c r="Z492">
        <v>110.464269</v>
      </c>
      <c r="AA492">
        <v>-7.0358090000000004</v>
      </c>
      <c r="AB492" t="s">
        <v>4208</v>
      </c>
      <c r="AC492" t="s">
        <v>235</v>
      </c>
      <c r="AL492" t="s">
        <v>217</v>
      </c>
      <c r="AM492" t="s">
        <v>4209</v>
      </c>
      <c r="AN492" t="s">
        <v>6</v>
      </c>
      <c r="AO492" s="57">
        <v>46213.434340277781</v>
      </c>
      <c r="AP492" s="57">
        <v>46303.333333333336</v>
      </c>
      <c r="AR492" t="s">
        <v>18</v>
      </c>
      <c r="AS492" t="s">
        <v>2165</v>
      </c>
      <c r="AT492" t="s">
        <v>230</v>
      </c>
      <c r="AV492" t="s">
        <v>226</v>
      </c>
      <c r="AW492" t="s">
        <v>880</v>
      </c>
      <c r="AX492" t="s">
        <v>222</v>
      </c>
      <c r="BA492" s="57">
        <v>46303.333333333336</v>
      </c>
      <c r="BB492" t="s">
        <v>4209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:61">
      <c r="A493">
        <v>492</v>
      </c>
      <c r="B493">
        <v>1002622464</v>
      </c>
      <c r="C493">
        <v>3</v>
      </c>
      <c r="D493" t="s">
        <v>49</v>
      </c>
      <c r="E493">
        <v>4</v>
      </c>
      <c r="F493" t="s">
        <v>244</v>
      </c>
      <c r="G493" t="s">
        <v>245</v>
      </c>
      <c r="H493" t="s">
        <v>2164</v>
      </c>
      <c r="I493" t="s">
        <v>212</v>
      </c>
      <c r="J493" t="s">
        <v>213</v>
      </c>
      <c r="K493" t="s">
        <v>149</v>
      </c>
      <c r="M493" t="s">
        <v>76</v>
      </c>
      <c r="N493" t="s">
        <v>215</v>
      </c>
      <c r="O493" s="57">
        <v>46300.568726851852</v>
      </c>
      <c r="P493" s="57">
        <v>46300.610231481478</v>
      </c>
      <c r="Q493">
        <v>69400592</v>
      </c>
      <c r="S493">
        <v>142410346926</v>
      </c>
      <c r="T493" t="s">
        <v>2894</v>
      </c>
      <c r="U493" t="s">
        <v>2895</v>
      </c>
      <c r="V493" t="s">
        <v>2896</v>
      </c>
      <c r="Z493">
        <v>110.483557213173</v>
      </c>
      <c r="AA493">
        <v>-7.0110597994798702</v>
      </c>
      <c r="AB493" t="s">
        <v>2897</v>
      </c>
      <c r="AC493" t="s">
        <v>225</v>
      </c>
      <c r="AL493" t="s">
        <v>217</v>
      </c>
      <c r="AM493" t="s">
        <v>2898</v>
      </c>
      <c r="AN493" t="s">
        <v>6</v>
      </c>
      <c r="AO493" s="57">
        <v>46152.569618055553</v>
      </c>
      <c r="AR493" t="s">
        <v>218</v>
      </c>
      <c r="AS493" t="s">
        <v>2165</v>
      </c>
      <c r="AT493" t="s">
        <v>230</v>
      </c>
      <c r="AU493">
        <v>20261005</v>
      </c>
      <c r="AV493" t="s">
        <v>221</v>
      </c>
      <c r="AW493" t="s">
        <v>540</v>
      </c>
      <c r="AX493" t="s">
        <v>222</v>
      </c>
      <c r="BA493" s="57">
        <v>46300.291666666664</v>
      </c>
      <c r="BB493" t="s">
        <v>2898</v>
      </c>
      <c r="BC493">
        <v>2026</v>
      </c>
      <c r="BD493">
        <v>10</v>
      </c>
      <c r="BE493">
        <v>5</v>
      </c>
      <c r="BF493" s="6">
        <f t="shared" si="21"/>
        <v>46300</v>
      </c>
      <c r="BG493">
        <f t="shared" si="22"/>
        <v>-0.29166666666424135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1002626617</v>
      </c>
      <c r="C494">
        <v>3</v>
      </c>
      <c r="D494" t="s">
        <v>49</v>
      </c>
      <c r="E494">
        <v>4</v>
      </c>
      <c r="F494" t="s">
        <v>244</v>
      </c>
      <c r="G494" t="s">
        <v>245</v>
      </c>
      <c r="H494" t="s">
        <v>2164</v>
      </c>
      <c r="I494" t="s">
        <v>212</v>
      </c>
      <c r="J494" t="s">
        <v>213</v>
      </c>
      <c r="K494" t="s">
        <v>149</v>
      </c>
      <c r="L494" t="s">
        <v>214</v>
      </c>
      <c r="M494" t="s">
        <v>238</v>
      </c>
      <c r="N494" t="s">
        <v>215</v>
      </c>
      <c r="O494" s="57">
        <v>46302.653171296297</v>
      </c>
      <c r="P494" s="57">
        <v>46302.65425925926</v>
      </c>
      <c r="Q494">
        <v>69406023</v>
      </c>
      <c r="S494">
        <v>142410346952</v>
      </c>
      <c r="T494" t="s">
        <v>4210</v>
      </c>
      <c r="U494" t="s">
        <v>4211</v>
      </c>
      <c r="V494" t="s">
        <v>4212</v>
      </c>
      <c r="Z494">
        <v>110.465074</v>
      </c>
      <c r="AA494">
        <v>-7.0224690000000001</v>
      </c>
      <c r="AB494" t="s">
        <v>4213</v>
      </c>
      <c r="AC494" t="s">
        <v>235</v>
      </c>
      <c r="AL494" t="s">
        <v>217</v>
      </c>
      <c r="AM494" t="s">
        <v>4214</v>
      </c>
      <c r="AN494" t="s">
        <v>6</v>
      </c>
      <c r="AO494" s="57">
        <v>46213.66333333333</v>
      </c>
      <c r="AP494" s="57">
        <v>46303.625</v>
      </c>
      <c r="AR494" t="s">
        <v>239</v>
      </c>
      <c r="AS494" t="s">
        <v>2165</v>
      </c>
      <c r="AT494" t="s">
        <v>230</v>
      </c>
      <c r="AV494" t="s">
        <v>238</v>
      </c>
      <c r="AW494" t="s">
        <v>236</v>
      </c>
      <c r="AX494" t="s">
        <v>222</v>
      </c>
      <c r="BA494" s="57">
        <v>46303.625</v>
      </c>
      <c r="BB494" t="s">
        <v>4214</v>
      </c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:61">
      <c r="A495">
        <v>494</v>
      </c>
      <c r="B495">
        <v>1002626892</v>
      </c>
      <c r="C495">
        <v>3</v>
      </c>
      <c r="D495" t="s">
        <v>49</v>
      </c>
      <c r="E495">
        <v>4</v>
      </c>
      <c r="F495" t="s">
        <v>244</v>
      </c>
      <c r="G495" t="s">
        <v>245</v>
      </c>
      <c r="H495" t="s">
        <v>2164</v>
      </c>
      <c r="I495" t="s">
        <v>212</v>
      </c>
      <c r="J495" t="s">
        <v>213</v>
      </c>
      <c r="K495" t="s">
        <v>149</v>
      </c>
      <c r="L495" t="s">
        <v>214</v>
      </c>
      <c r="M495" t="s">
        <v>238</v>
      </c>
      <c r="N495" t="s">
        <v>215</v>
      </c>
      <c r="O495" s="57">
        <v>46302.742754629631</v>
      </c>
      <c r="P495" s="57">
        <v>46302.744513888887</v>
      </c>
      <c r="Q495">
        <v>69406138</v>
      </c>
      <c r="S495">
        <v>142410346950</v>
      </c>
      <c r="T495" t="s">
        <v>4215</v>
      </c>
      <c r="U495" t="s">
        <v>4216</v>
      </c>
      <c r="V495" t="s">
        <v>4217</v>
      </c>
      <c r="Z495">
        <v>110.473710112273</v>
      </c>
      <c r="AA495">
        <v>-7.0116270614109597</v>
      </c>
      <c r="AB495" t="s">
        <v>4218</v>
      </c>
      <c r="AC495" t="s">
        <v>216</v>
      </c>
      <c r="AL495" t="s">
        <v>217</v>
      </c>
      <c r="AM495" t="s">
        <v>4219</v>
      </c>
      <c r="AN495" t="s">
        <v>6</v>
      </c>
      <c r="AO495" s="57">
        <v>46213.746666666666</v>
      </c>
      <c r="AP495" s="57">
        <v>46303.625</v>
      </c>
      <c r="AR495" t="s">
        <v>239</v>
      </c>
      <c r="AS495" t="s">
        <v>2165</v>
      </c>
      <c r="AT495" t="s">
        <v>230</v>
      </c>
      <c r="AV495" t="s">
        <v>238</v>
      </c>
      <c r="AW495" t="s">
        <v>876</v>
      </c>
      <c r="AX495" t="s">
        <v>222</v>
      </c>
      <c r="BA495" s="57">
        <v>46303.625</v>
      </c>
      <c r="BB495" t="s">
        <v>4219</v>
      </c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:61">
      <c r="A496">
        <v>495</v>
      </c>
      <c r="B496">
        <v>1002626903</v>
      </c>
      <c r="C496">
        <v>3</v>
      </c>
      <c r="D496" t="s">
        <v>49</v>
      </c>
      <c r="E496">
        <v>4</v>
      </c>
      <c r="F496" t="s">
        <v>244</v>
      </c>
      <c r="G496" t="s">
        <v>245</v>
      </c>
      <c r="H496" t="s">
        <v>2164</v>
      </c>
      <c r="I496" t="s">
        <v>212</v>
      </c>
      <c r="J496" t="s">
        <v>213</v>
      </c>
      <c r="K496" t="s">
        <v>149</v>
      </c>
      <c r="L496" t="s">
        <v>214</v>
      </c>
      <c r="M496" t="s">
        <v>238</v>
      </c>
      <c r="N496" t="s">
        <v>215</v>
      </c>
      <c r="O496" s="57">
        <v>46302.747673611113</v>
      </c>
      <c r="P496" s="57">
        <v>46302.748645833337</v>
      </c>
      <c r="Q496">
        <v>69406141</v>
      </c>
      <c r="S496">
        <v>142410346953</v>
      </c>
      <c r="T496" t="s">
        <v>4215</v>
      </c>
      <c r="U496" t="s">
        <v>4216</v>
      </c>
      <c r="V496" t="s">
        <v>4220</v>
      </c>
      <c r="Z496">
        <v>110.47372721135601</v>
      </c>
      <c r="AA496">
        <v>-7.0115761477923497</v>
      </c>
      <c r="AB496" t="s">
        <v>4221</v>
      </c>
      <c r="AC496" t="s">
        <v>216</v>
      </c>
      <c r="AL496" t="s">
        <v>217</v>
      </c>
      <c r="AM496" t="s">
        <v>4219</v>
      </c>
      <c r="AN496" t="s">
        <v>6</v>
      </c>
      <c r="AO496" s="57">
        <v>46213.767291666663</v>
      </c>
      <c r="AP496" s="57">
        <v>46303.625</v>
      </c>
      <c r="AR496" t="s">
        <v>239</v>
      </c>
      <c r="AS496" t="s">
        <v>2165</v>
      </c>
      <c r="AT496" t="s">
        <v>230</v>
      </c>
      <c r="AV496" t="s">
        <v>238</v>
      </c>
      <c r="AW496" t="s">
        <v>875</v>
      </c>
      <c r="AX496" t="s">
        <v>222</v>
      </c>
      <c r="BA496" s="57">
        <v>46303.625</v>
      </c>
      <c r="BB496" t="s">
        <v>4219</v>
      </c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:61">
      <c r="A497">
        <v>496</v>
      </c>
      <c r="B497">
        <v>1002622979</v>
      </c>
      <c r="C497">
        <v>3</v>
      </c>
      <c r="D497" t="s">
        <v>59</v>
      </c>
      <c r="E497">
        <v>4</v>
      </c>
      <c r="F497" t="s">
        <v>223</v>
      </c>
      <c r="G497" t="s">
        <v>223</v>
      </c>
      <c r="H497" t="s">
        <v>2899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46300.660196759258</v>
      </c>
      <c r="P497" s="57">
        <v>46301.523368055554</v>
      </c>
      <c r="Q497">
        <v>69404537</v>
      </c>
      <c r="S497">
        <v>146396100746</v>
      </c>
      <c r="T497" t="s">
        <v>2900</v>
      </c>
      <c r="U497" t="s">
        <v>2901</v>
      </c>
      <c r="V497" t="s">
        <v>2902</v>
      </c>
      <c r="Z497">
        <v>109.2243722</v>
      </c>
      <c r="AA497">
        <v>-7.3455763000000003</v>
      </c>
      <c r="AB497" t="s">
        <v>2903</v>
      </c>
      <c r="AC497" t="s">
        <v>235</v>
      </c>
      <c r="AL497" t="s">
        <v>217</v>
      </c>
      <c r="AM497" t="s">
        <v>2904</v>
      </c>
      <c r="AN497" t="s">
        <v>6</v>
      </c>
      <c r="AO497" s="57">
        <v>46152.684560185182</v>
      </c>
      <c r="AP497" s="57">
        <v>46301.625</v>
      </c>
      <c r="AR497" t="s">
        <v>218</v>
      </c>
      <c r="AS497" t="s">
        <v>219</v>
      </c>
      <c r="AT497" t="s">
        <v>230</v>
      </c>
      <c r="AU497">
        <v>20261006</v>
      </c>
      <c r="AV497" t="s">
        <v>221</v>
      </c>
      <c r="AW497" t="s">
        <v>2905</v>
      </c>
      <c r="AX497" t="s">
        <v>222</v>
      </c>
      <c r="BA497" s="57">
        <v>46301.625</v>
      </c>
      <c r="BB497" t="s">
        <v>2904</v>
      </c>
      <c r="BC497">
        <v>2026</v>
      </c>
      <c r="BD497">
        <v>10</v>
      </c>
      <c r="BE497">
        <v>6</v>
      </c>
      <c r="BF497" s="6">
        <f t="shared" si="21"/>
        <v>46301</v>
      </c>
      <c r="BG497">
        <f t="shared" si="22"/>
        <v>-0.625</v>
      </c>
      <c r="BH497" t="str">
        <f t="shared" si="23"/>
        <v>COMPLY</v>
      </c>
      <c r="BI497" t="e">
        <f>VLOOKUP(H497,Sheet2!$A$1:$B$270,2,FALSE)</f>
        <v>#N/A</v>
      </c>
    </row>
    <row r="498" spans="1:61">
      <c r="A498">
        <v>497</v>
      </c>
      <c r="B498">
        <v>1002621149</v>
      </c>
      <c r="C498">
        <v>3</v>
      </c>
      <c r="D498" t="s">
        <v>59</v>
      </c>
      <c r="E498">
        <v>4</v>
      </c>
      <c r="F498" t="s">
        <v>223</v>
      </c>
      <c r="G498" t="s">
        <v>223</v>
      </c>
      <c r="H498" t="s">
        <v>2167</v>
      </c>
      <c r="I498" t="s">
        <v>212</v>
      </c>
      <c r="J498" t="s">
        <v>213</v>
      </c>
      <c r="K498" t="s">
        <v>149</v>
      </c>
      <c r="L498" t="s">
        <v>214</v>
      </c>
      <c r="M498" t="s">
        <v>1401</v>
      </c>
      <c r="N498" t="s">
        <v>215</v>
      </c>
      <c r="O498" s="57">
        <v>46298.709432870368</v>
      </c>
      <c r="P498" s="57">
        <v>46300.578993055555</v>
      </c>
      <c r="Q498">
        <v>69403732</v>
      </c>
      <c r="S498">
        <v>146388101172</v>
      </c>
      <c r="T498" t="s">
        <v>2168</v>
      </c>
      <c r="U498" t="s">
        <v>2169</v>
      </c>
      <c r="V498" t="s">
        <v>2170</v>
      </c>
      <c r="Z498">
        <v>109.142276</v>
      </c>
      <c r="AA498">
        <v>-7.3840370000000002</v>
      </c>
      <c r="AB498" t="s">
        <v>2171</v>
      </c>
      <c r="AC498" t="s">
        <v>235</v>
      </c>
      <c r="AL498" t="s">
        <v>217</v>
      </c>
      <c r="AM498" t="s">
        <v>2172</v>
      </c>
      <c r="AN498" t="s">
        <v>6</v>
      </c>
      <c r="AO498" s="57">
        <v>46091.726053240738</v>
      </c>
      <c r="AP498" s="57">
        <v>46300.333333333336</v>
      </c>
      <c r="AQ498" t="s">
        <v>1497</v>
      </c>
      <c r="AR498" t="s">
        <v>14</v>
      </c>
      <c r="AS498" t="s">
        <v>2166</v>
      </c>
      <c r="AT498" t="s">
        <v>230</v>
      </c>
      <c r="AV498" t="s">
        <v>2906</v>
      </c>
      <c r="AW498" t="s">
        <v>923</v>
      </c>
      <c r="AX498" t="s">
        <v>222</v>
      </c>
      <c r="BA498" s="57">
        <v>46300.333333333336</v>
      </c>
      <c r="BB498" t="s">
        <v>2172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:61">
      <c r="A499">
        <v>498</v>
      </c>
      <c r="B499">
        <v>1002622520</v>
      </c>
      <c r="C499">
        <v>3</v>
      </c>
      <c r="D499" t="s">
        <v>59</v>
      </c>
      <c r="E499">
        <v>4</v>
      </c>
      <c r="F499" t="s">
        <v>223</v>
      </c>
      <c r="G499" t="s">
        <v>223</v>
      </c>
      <c r="H499" t="s">
        <v>2167</v>
      </c>
      <c r="I499" t="s">
        <v>212</v>
      </c>
      <c r="J499" t="s">
        <v>213</v>
      </c>
      <c r="K499" t="s">
        <v>149</v>
      </c>
      <c r="M499" t="s">
        <v>76</v>
      </c>
      <c r="N499" t="s">
        <v>215</v>
      </c>
      <c r="O499" s="57">
        <v>46300.578993055555</v>
      </c>
      <c r="P499" s="57">
        <v>46300.624039351853</v>
      </c>
      <c r="Q499">
        <v>69403732</v>
      </c>
      <c r="S499">
        <v>146388101348</v>
      </c>
      <c r="T499" t="s">
        <v>2168</v>
      </c>
      <c r="U499" t="s">
        <v>2907</v>
      </c>
      <c r="V499" t="s">
        <v>2908</v>
      </c>
      <c r="Z499">
        <v>109.14047956466599</v>
      </c>
      <c r="AA499">
        <v>-7.38515179463427</v>
      </c>
      <c r="AB499" t="s">
        <v>2171</v>
      </c>
      <c r="AC499" t="s">
        <v>283</v>
      </c>
      <c r="AL499" t="s">
        <v>217</v>
      </c>
      <c r="AM499" t="s">
        <v>2909</v>
      </c>
      <c r="AN499" t="s">
        <v>6</v>
      </c>
      <c r="AO499" s="57">
        <v>46152.601203703707</v>
      </c>
      <c r="AR499" t="s">
        <v>218</v>
      </c>
      <c r="AS499" t="s">
        <v>2166</v>
      </c>
      <c r="AT499" t="s">
        <v>230</v>
      </c>
      <c r="AU499">
        <v>20261005</v>
      </c>
      <c r="AV499" t="s">
        <v>221</v>
      </c>
      <c r="AW499" t="s">
        <v>577</v>
      </c>
      <c r="AX499" t="s">
        <v>222</v>
      </c>
      <c r="BA499" s="57">
        <v>46300.291666666664</v>
      </c>
      <c r="BB499" t="s">
        <v>2909</v>
      </c>
      <c r="BC499">
        <v>2026</v>
      </c>
      <c r="BD499">
        <v>10</v>
      </c>
      <c r="BE499">
        <v>5</v>
      </c>
      <c r="BF499" s="6">
        <f t="shared" si="21"/>
        <v>46300</v>
      </c>
      <c r="BG499">
        <f t="shared" si="22"/>
        <v>-0.29166666666424135</v>
      </c>
      <c r="BH499" t="str">
        <f t="shared" si="23"/>
        <v>COMPLY</v>
      </c>
      <c r="BI499" t="e">
        <f>VLOOKUP(H499,Sheet2!$A$1:$B$270,2,FALSE)</f>
        <v>#N/A</v>
      </c>
    </row>
    <row r="500" spans="1:61">
      <c r="A500">
        <v>499</v>
      </c>
      <c r="B500">
        <v>1002618750</v>
      </c>
      <c r="C500">
        <v>3</v>
      </c>
      <c r="D500" t="s">
        <v>59</v>
      </c>
      <c r="E500">
        <v>4</v>
      </c>
      <c r="F500" t="s">
        <v>223</v>
      </c>
      <c r="G500" t="s">
        <v>223</v>
      </c>
      <c r="H500" t="s">
        <v>800</v>
      </c>
      <c r="I500" t="s">
        <v>212</v>
      </c>
      <c r="J500" t="s">
        <v>213</v>
      </c>
      <c r="K500" t="s">
        <v>149</v>
      </c>
      <c r="L500" t="s">
        <v>214</v>
      </c>
      <c r="M500" t="s">
        <v>1401</v>
      </c>
      <c r="N500" t="s">
        <v>215</v>
      </c>
      <c r="O500" s="57">
        <v>46296.736574074072</v>
      </c>
      <c r="P500" s="57">
        <v>46300.564710648148</v>
      </c>
      <c r="Q500">
        <v>69402655</v>
      </c>
      <c r="S500">
        <v>146303629359</v>
      </c>
      <c r="T500" t="s">
        <v>1109</v>
      </c>
      <c r="U500" t="s">
        <v>1229</v>
      </c>
      <c r="V500" t="s">
        <v>1230</v>
      </c>
      <c r="Z500">
        <v>109.21708700000001</v>
      </c>
      <c r="AA500">
        <v>-7.4436650000000002</v>
      </c>
      <c r="AB500" t="s">
        <v>1231</v>
      </c>
      <c r="AC500" t="s">
        <v>235</v>
      </c>
      <c r="AL500" t="s">
        <v>217</v>
      </c>
      <c r="AM500" t="s">
        <v>1232</v>
      </c>
      <c r="AN500" t="s">
        <v>6</v>
      </c>
      <c r="AO500" s="57">
        <v>46032.746898148151</v>
      </c>
      <c r="AP500" s="57">
        <v>46297.625</v>
      </c>
      <c r="AQ500" t="s">
        <v>838</v>
      </c>
      <c r="AR500" t="s">
        <v>14</v>
      </c>
      <c r="AS500" t="s">
        <v>219</v>
      </c>
      <c r="AT500" t="s">
        <v>230</v>
      </c>
      <c r="AV500" t="s">
        <v>2910</v>
      </c>
      <c r="AW500" t="s">
        <v>877</v>
      </c>
      <c r="AX500" t="s">
        <v>222</v>
      </c>
      <c r="BA500" s="57">
        <v>46297.625</v>
      </c>
      <c r="BB500" t="s">
        <v>1232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:61">
      <c r="A501">
        <v>500</v>
      </c>
      <c r="B501">
        <v>1002617282</v>
      </c>
      <c r="C501">
        <v>3</v>
      </c>
      <c r="D501" t="s">
        <v>59</v>
      </c>
      <c r="E501">
        <v>4</v>
      </c>
      <c r="F501" t="s">
        <v>223</v>
      </c>
      <c r="G501" t="s">
        <v>223</v>
      </c>
      <c r="H501" t="s">
        <v>800</v>
      </c>
      <c r="I501" t="s">
        <v>212</v>
      </c>
      <c r="J501" t="s">
        <v>213</v>
      </c>
      <c r="K501" t="s">
        <v>149</v>
      </c>
      <c r="M501" t="s">
        <v>1401</v>
      </c>
      <c r="N501" t="s">
        <v>215</v>
      </c>
      <c r="O501" s="57">
        <v>46296.429259259261</v>
      </c>
      <c r="P501" s="57">
        <v>46298.556331018517</v>
      </c>
      <c r="Q501">
        <v>69402155</v>
      </c>
      <c r="S501">
        <v>146303629342</v>
      </c>
      <c r="T501" t="s">
        <v>1233</v>
      </c>
      <c r="U501" t="s">
        <v>1234</v>
      </c>
      <c r="V501" t="s">
        <v>1235</v>
      </c>
      <c r="Z501">
        <v>109.226715564496</v>
      </c>
      <c r="AA501">
        <v>-7.3960277174201998</v>
      </c>
      <c r="AB501" t="s">
        <v>1236</v>
      </c>
      <c r="AC501" t="s">
        <v>225</v>
      </c>
      <c r="AL501" t="s">
        <v>217</v>
      </c>
      <c r="AM501" t="s">
        <v>1237</v>
      </c>
      <c r="AN501" t="s">
        <v>6</v>
      </c>
      <c r="AO501" s="57">
        <v>46032.434247685182</v>
      </c>
      <c r="AP501" s="57">
        <v>46298.333333333336</v>
      </c>
      <c r="AQ501" t="s">
        <v>1497</v>
      </c>
      <c r="AR501" t="s">
        <v>14</v>
      </c>
      <c r="AS501" t="s">
        <v>219</v>
      </c>
      <c r="AT501" t="s">
        <v>230</v>
      </c>
      <c r="AV501" t="s">
        <v>2173</v>
      </c>
      <c r="AW501" t="s">
        <v>541</v>
      </c>
      <c r="AX501" t="s">
        <v>222</v>
      </c>
      <c r="BA501" s="57">
        <v>46298.333333333336</v>
      </c>
      <c r="BB501" t="s">
        <v>1237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:61">
      <c r="A502">
        <v>501</v>
      </c>
      <c r="B502">
        <v>1002625623</v>
      </c>
      <c r="C502">
        <v>3</v>
      </c>
      <c r="D502" t="s">
        <v>59</v>
      </c>
      <c r="E502">
        <v>4</v>
      </c>
      <c r="F502" t="s">
        <v>223</v>
      </c>
      <c r="G502" t="s">
        <v>223</v>
      </c>
      <c r="H502" t="s">
        <v>800</v>
      </c>
      <c r="I502" t="s">
        <v>212</v>
      </c>
      <c r="J502" t="s">
        <v>213</v>
      </c>
      <c r="K502" t="s">
        <v>149</v>
      </c>
      <c r="L502" t="s">
        <v>214</v>
      </c>
      <c r="M502" t="s">
        <v>224</v>
      </c>
      <c r="N502" t="s">
        <v>215</v>
      </c>
      <c r="O502" s="57">
        <v>46302.436527777776</v>
      </c>
      <c r="P502" s="57">
        <v>46303.337488425925</v>
      </c>
      <c r="Q502">
        <v>69405575</v>
      </c>
      <c r="S502">
        <v>146303629066</v>
      </c>
      <c r="T502" t="s">
        <v>4222</v>
      </c>
      <c r="U502" t="s">
        <v>4223</v>
      </c>
      <c r="V502" t="s">
        <v>4224</v>
      </c>
      <c r="Z502">
        <v>109.21749</v>
      </c>
      <c r="AA502">
        <v>-7.4219889999999999</v>
      </c>
      <c r="AB502" t="s">
        <v>4225</v>
      </c>
      <c r="AC502" t="s">
        <v>235</v>
      </c>
      <c r="AL502" t="s">
        <v>217</v>
      </c>
      <c r="AM502" t="s">
        <v>4226</v>
      </c>
      <c r="AN502" t="s">
        <v>6</v>
      </c>
      <c r="AO502" s="57">
        <v>46213.444687499999</v>
      </c>
      <c r="AP502" s="57">
        <v>46303.333333333336</v>
      </c>
      <c r="AR502" t="s">
        <v>18</v>
      </c>
      <c r="AS502" t="s">
        <v>219</v>
      </c>
      <c r="AT502" t="s">
        <v>230</v>
      </c>
      <c r="AV502" t="s">
        <v>226</v>
      </c>
      <c r="AW502" t="s">
        <v>880</v>
      </c>
      <c r="AX502" t="s">
        <v>222</v>
      </c>
      <c r="BA502" s="57">
        <v>46303.333333333336</v>
      </c>
      <c r="BB502" t="s">
        <v>4226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:61">
      <c r="A503">
        <v>502</v>
      </c>
      <c r="B503">
        <v>1002621493</v>
      </c>
      <c r="C503">
        <v>3</v>
      </c>
      <c r="D503" t="s">
        <v>59</v>
      </c>
      <c r="E503">
        <v>4</v>
      </c>
      <c r="F503" t="s">
        <v>223</v>
      </c>
      <c r="G503" t="s">
        <v>223</v>
      </c>
      <c r="H503" t="s">
        <v>800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46299.7031712963</v>
      </c>
      <c r="P503" s="57">
        <v>46300.554560185185</v>
      </c>
      <c r="Q503">
        <v>69403976</v>
      </c>
      <c r="S503">
        <v>146303629404</v>
      </c>
      <c r="T503" t="s">
        <v>2176</v>
      </c>
      <c r="U503" t="s">
        <v>2911</v>
      </c>
      <c r="V503" t="s">
        <v>2177</v>
      </c>
      <c r="Z503">
        <v>109.251953</v>
      </c>
      <c r="AA503">
        <v>-7.4038040000000001</v>
      </c>
      <c r="AB503" t="s">
        <v>2178</v>
      </c>
      <c r="AC503" t="s">
        <v>235</v>
      </c>
      <c r="AL503" t="s">
        <v>217</v>
      </c>
      <c r="AM503" t="s">
        <v>2179</v>
      </c>
      <c r="AN503" t="s">
        <v>6</v>
      </c>
      <c r="AO503" s="57">
        <v>46122.705324074072</v>
      </c>
      <c r="AP503" s="57">
        <v>46300.625</v>
      </c>
      <c r="AR503" t="s">
        <v>218</v>
      </c>
      <c r="AS503" t="s">
        <v>219</v>
      </c>
      <c r="AT503" t="s">
        <v>230</v>
      </c>
      <c r="AU503">
        <v>20261005</v>
      </c>
      <c r="AV503" t="s">
        <v>221</v>
      </c>
      <c r="AW503" t="s">
        <v>880</v>
      </c>
      <c r="AX503" t="s">
        <v>222</v>
      </c>
      <c r="BA503" s="57">
        <v>46300.625</v>
      </c>
      <c r="BB503" t="s">
        <v>2179</v>
      </c>
      <c r="BC503">
        <v>2026</v>
      </c>
      <c r="BD503">
        <v>10</v>
      </c>
      <c r="BE503">
        <v>5</v>
      </c>
      <c r="BF503" s="6">
        <f t="shared" si="21"/>
        <v>46300</v>
      </c>
      <c r="BG503">
        <f t="shared" si="22"/>
        <v>-0.625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1002622603</v>
      </c>
      <c r="C504">
        <v>3</v>
      </c>
      <c r="D504" t="s">
        <v>59</v>
      </c>
      <c r="E504">
        <v>4</v>
      </c>
      <c r="F504" t="s">
        <v>223</v>
      </c>
      <c r="G504" t="s">
        <v>223</v>
      </c>
      <c r="H504" t="s">
        <v>800</v>
      </c>
      <c r="I504" t="s">
        <v>212</v>
      </c>
      <c r="J504" t="s">
        <v>213</v>
      </c>
      <c r="K504" t="s">
        <v>149</v>
      </c>
      <c r="M504" t="s">
        <v>76</v>
      </c>
      <c r="N504" t="s">
        <v>215</v>
      </c>
      <c r="O504" s="57">
        <v>46300.594525462962</v>
      </c>
      <c r="P504" s="57">
        <v>46301.577187499999</v>
      </c>
      <c r="Q504">
        <v>69404398</v>
      </c>
      <c r="S504">
        <v>146303629414</v>
      </c>
      <c r="T504" t="s">
        <v>2912</v>
      </c>
      <c r="U504" t="s">
        <v>2913</v>
      </c>
      <c r="V504" t="s">
        <v>2914</v>
      </c>
      <c r="Z504">
        <v>109.2297633</v>
      </c>
      <c r="AA504">
        <v>-7.4354452000000002</v>
      </c>
      <c r="AB504" t="s">
        <v>2915</v>
      </c>
      <c r="AC504" t="s">
        <v>216</v>
      </c>
      <c r="AL504" t="s">
        <v>217</v>
      </c>
      <c r="AM504" t="s">
        <v>2916</v>
      </c>
      <c r="AN504" t="s">
        <v>6</v>
      </c>
      <c r="AO504" s="57">
        <v>46152.601203703707</v>
      </c>
      <c r="AP504" s="57">
        <v>46301.625</v>
      </c>
      <c r="AR504" t="s">
        <v>218</v>
      </c>
      <c r="AS504" t="s">
        <v>219</v>
      </c>
      <c r="AT504" t="s">
        <v>230</v>
      </c>
      <c r="AU504">
        <v>20261006</v>
      </c>
      <c r="AV504" t="s">
        <v>221</v>
      </c>
      <c r="AW504" t="s">
        <v>540</v>
      </c>
      <c r="AX504" t="s">
        <v>222</v>
      </c>
      <c r="BA504" s="57">
        <v>46301.625</v>
      </c>
      <c r="BB504" t="s">
        <v>2916</v>
      </c>
      <c r="BC504">
        <v>2026</v>
      </c>
      <c r="BD504">
        <v>10</v>
      </c>
      <c r="BE504">
        <v>6</v>
      </c>
      <c r="BF504" s="6">
        <f t="shared" si="21"/>
        <v>46301</v>
      </c>
      <c r="BG504">
        <f t="shared" si="22"/>
        <v>-0.625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1002622447</v>
      </c>
      <c r="C505">
        <v>3</v>
      </c>
      <c r="D505" t="s">
        <v>59</v>
      </c>
      <c r="E505">
        <v>4</v>
      </c>
      <c r="F505" t="s">
        <v>223</v>
      </c>
      <c r="G505" t="s">
        <v>223</v>
      </c>
      <c r="H505" t="s">
        <v>800</v>
      </c>
      <c r="I505" t="s">
        <v>212</v>
      </c>
      <c r="J505" t="s">
        <v>213</v>
      </c>
      <c r="K505" t="s">
        <v>149</v>
      </c>
      <c r="M505" t="s">
        <v>76</v>
      </c>
      <c r="N505" t="s">
        <v>215</v>
      </c>
      <c r="O505" s="57">
        <v>46300.564710648148</v>
      </c>
      <c r="P505" s="57">
        <v>46300.651539351849</v>
      </c>
      <c r="Q505">
        <v>69402655</v>
      </c>
      <c r="S505">
        <v>146303629411</v>
      </c>
      <c r="T505" t="s">
        <v>1109</v>
      </c>
      <c r="U505" t="s">
        <v>2917</v>
      </c>
      <c r="V505" t="s">
        <v>2918</v>
      </c>
      <c r="Z505">
        <v>109.21751690000001</v>
      </c>
      <c r="AA505">
        <v>-7.4438532000000004</v>
      </c>
      <c r="AB505" t="s">
        <v>1231</v>
      </c>
      <c r="AC505" t="s">
        <v>283</v>
      </c>
      <c r="AL505" t="s">
        <v>217</v>
      </c>
      <c r="AM505" t="s">
        <v>2919</v>
      </c>
      <c r="AN505" t="s">
        <v>6</v>
      </c>
      <c r="AO505" s="57">
        <v>46152.569618055553</v>
      </c>
      <c r="AR505" t="s">
        <v>218</v>
      </c>
      <c r="AS505" t="s">
        <v>219</v>
      </c>
      <c r="AT505" t="s">
        <v>230</v>
      </c>
      <c r="AU505">
        <v>20261005</v>
      </c>
      <c r="AV505" t="s">
        <v>221</v>
      </c>
      <c r="AW505" t="s">
        <v>540</v>
      </c>
      <c r="AX505" t="s">
        <v>222</v>
      </c>
      <c r="BA505" s="57">
        <v>46300.291666666664</v>
      </c>
      <c r="BB505" t="s">
        <v>2919</v>
      </c>
      <c r="BC505">
        <v>2026</v>
      </c>
      <c r="BD505">
        <v>10</v>
      </c>
      <c r="BE505">
        <v>5</v>
      </c>
      <c r="BF505" s="6">
        <f t="shared" si="21"/>
        <v>46300</v>
      </c>
      <c r="BG505">
        <f t="shared" si="22"/>
        <v>-0.29166666666424135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1002622030</v>
      </c>
      <c r="C506">
        <v>3</v>
      </c>
      <c r="D506" t="s">
        <v>59</v>
      </c>
      <c r="E506">
        <v>4</v>
      </c>
      <c r="F506" t="s">
        <v>223</v>
      </c>
      <c r="G506" t="s">
        <v>223</v>
      </c>
      <c r="H506" t="s">
        <v>800</v>
      </c>
      <c r="I506" t="s">
        <v>212</v>
      </c>
      <c r="J506" t="s">
        <v>213</v>
      </c>
      <c r="K506" t="s">
        <v>149</v>
      </c>
      <c r="M506" t="s">
        <v>76</v>
      </c>
      <c r="N506" t="s">
        <v>215</v>
      </c>
      <c r="O506" s="57">
        <v>46300.451909722222</v>
      </c>
      <c r="P506" s="57">
        <v>46300.676712962966</v>
      </c>
      <c r="Q506">
        <v>69404191</v>
      </c>
      <c r="S506">
        <v>146303629398</v>
      </c>
      <c r="T506" t="s">
        <v>1233</v>
      </c>
      <c r="U506" t="s">
        <v>2174</v>
      </c>
      <c r="V506" t="s">
        <v>2920</v>
      </c>
      <c r="Z506">
        <v>109.22663990642801</v>
      </c>
      <c r="AA506">
        <v>-7.3957968976691397</v>
      </c>
      <c r="AB506" t="s">
        <v>1236</v>
      </c>
      <c r="AC506" t="s">
        <v>225</v>
      </c>
      <c r="AL506" t="s">
        <v>217</v>
      </c>
      <c r="AM506" t="s">
        <v>2885</v>
      </c>
      <c r="AN506" t="s">
        <v>6</v>
      </c>
      <c r="AO506" s="57">
        <v>46152.486157407409</v>
      </c>
      <c r="AP506" s="57">
        <v>46301.333333333336</v>
      </c>
      <c r="AR506" t="s">
        <v>218</v>
      </c>
      <c r="AS506" t="s">
        <v>219</v>
      </c>
      <c r="AT506" t="s">
        <v>230</v>
      </c>
      <c r="AU506">
        <v>20261005</v>
      </c>
      <c r="AV506" t="s">
        <v>221</v>
      </c>
      <c r="AW506" t="s">
        <v>539</v>
      </c>
      <c r="AX506" t="s">
        <v>222</v>
      </c>
      <c r="BA506" s="57">
        <v>46301.333333333336</v>
      </c>
      <c r="BB506" t="s">
        <v>2885</v>
      </c>
      <c r="BC506">
        <v>2026</v>
      </c>
      <c r="BD506">
        <v>10</v>
      </c>
      <c r="BE506">
        <v>5</v>
      </c>
      <c r="BF506" s="6">
        <f t="shared" si="21"/>
        <v>46300</v>
      </c>
      <c r="BG506">
        <f t="shared" si="22"/>
        <v>-1.3333333333357587</v>
      </c>
      <c r="BH506" t="str">
        <f t="shared" si="23"/>
        <v>COMPLY</v>
      </c>
      <c r="BI506" t="e">
        <f>VLOOKUP(H506,Sheet2!$A$1:$B$270,2,FALSE)</f>
        <v>#N/A</v>
      </c>
    </row>
    <row r="507" spans="1:61">
      <c r="A507">
        <v>506</v>
      </c>
      <c r="B507">
        <v>1002621669</v>
      </c>
      <c r="C507">
        <v>3</v>
      </c>
      <c r="D507" t="s">
        <v>59</v>
      </c>
      <c r="E507">
        <v>4</v>
      </c>
      <c r="F507" t="s">
        <v>223</v>
      </c>
      <c r="G507" t="s">
        <v>223</v>
      </c>
      <c r="H507" t="s">
        <v>800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46300.376898148148</v>
      </c>
      <c r="P507" s="57">
        <v>46301.535474537035</v>
      </c>
      <c r="Q507">
        <v>69404069</v>
      </c>
      <c r="S507">
        <v>146303629397</v>
      </c>
      <c r="T507" t="s">
        <v>2921</v>
      </c>
      <c r="U507" t="s">
        <v>2922</v>
      </c>
      <c r="V507" t="s">
        <v>2923</v>
      </c>
      <c r="Z507">
        <v>109.243445880759</v>
      </c>
      <c r="AA507">
        <v>-7.43491500974734</v>
      </c>
      <c r="AB507" t="s">
        <v>2924</v>
      </c>
      <c r="AC507" t="s">
        <v>235</v>
      </c>
      <c r="AL507" t="s">
        <v>217</v>
      </c>
      <c r="AM507" t="s">
        <v>2925</v>
      </c>
      <c r="AN507" t="s">
        <v>6</v>
      </c>
      <c r="AO507" s="57">
        <v>46152.392511574071</v>
      </c>
      <c r="AP507" s="57">
        <v>46301.333333333336</v>
      </c>
      <c r="AR507" t="s">
        <v>218</v>
      </c>
      <c r="AS507" t="s">
        <v>219</v>
      </c>
      <c r="AT507" t="s">
        <v>230</v>
      </c>
      <c r="AU507">
        <v>20261006</v>
      </c>
      <c r="AV507" t="s">
        <v>221</v>
      </c>
      <c r="AW507" t="s">
        <v>879</v>
      </c>
      <c r="AX507" t="s">
        <v>222</v>
      </c>
      <c r="BA507" s="57">
        <v>46301.333333333336</v>
      </c>
      <c r="BB507" t="s">
        <v>2925</v>
      </c>
      <c r="BC507">
        <v>2026</v>
      </c>
      <c r="BD507">
        <v>10</v>
      </c>
      <c r="BE507">
        <v>6</v>
      </c>
      <c r="BF507" s="6">
        <f t="shared" si="21"/>
        <v>46301</v>
      </c>
      <c r="BG507">
        <f t="shared" si="22"/>
        <v>-0.33333333333575865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507</v>
      </c>
      <c r="B508">
        <v>1002624645</v>
      </c>
      <c r="C508">
        <v>3</v>
      </c>
      <c r="D508" t="s">
        <v>59</v>
      </c>
      <c r="E508">
        <v>4</v>
      </c>
      <c r="F508" t="s">
        <v>223</v>
      </c>
      <c r="G508" t="s">
        <v>223</v>
      </c>
      <c r="H508" t="s">
        <v>800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46301.619849537034</v>
      </c>
      <c r="P508" s="57">
        <v>46302.495370370372</v>
      </c>
      <c r="Q508">
        <v>69405199</v>
      </c>
      <c r="S508">
        <v>146303629437</v>
      </c>
      <c r="T508" t="s">
        <v>3516</v>
      </c>
      <c r="U508" t="s">
        <v>3517</v>
      </c>
      <c r="V508" t="s">
        <v>3518</v>
      </c>
      <c r="Z508">
        <v>109.2445608</v>
      </c>
      <c r="AA508">
        <v>-7.3938115</v>
      </c>
      <c r="AB508" t="s">
        <v>3519</v>
      </c>
      <c r="AC508" t="s">
        <v>235</v>
      </c>
      <c r="AL508" t="s">
        <v>217</v>
      </c>
      <c r="AM508" t="s">
        <v>3456</v>
      </c>
      <c r="AN508" t="s">
        <v>6</v>
      </c>
      <c r="AO508" s="57">
        <v>46183.621979166666</v>
      </c>
      <c r="AP508" s="57">
        <v>46302.458333333336</v>
      </c>
      <c r="AR508" t="s">
        <v>218</v>
      </c>
      <c r="AS508" t="s">
        <v>219</v>
      </c>
      <c r="AT508" t="s">
        <v>230</v>
      </c>
      <c r="AU508">
        <v>20261007</v>
      </c>
      <c r="AV508" t="s">
        <v>221</v>
      </c>
      <c r="AW508" t="s">
        <v>2905</v>
      </c>
      <c r="AX508" t="s">
        <v>222</v>
      </c>
      <c r="BA508" s="57">
        <v>46302.458333333336</v>
      </c>
      <c r="BB508" t="s">
        <v>3456</v>
      </c>
      <c r="BC508">
        <v>2026</v>
      </c>
      <c r="BD508">
        <v>10</v>
      </c>
      <c r="BE508">
        <v>7</v>
      </c>
      <c r="BF508" s="6">
        <f t="shared" si="21"/>
        <v>46302</v>
      </c>
      <c r="BG508">
        <f t="shared" si="22"/>
        <v>-0.45833333333575865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1002624799</v>
      </c>
      <c r="C509">
        <v>3</v>
      </c>
      <c r="D509" t="s">
        <v>59</v>
      </c>
      <c r="E509">
        <v>4</v>
      </c>
      <c r="F509" t="s">
        <v>223</v>
      </c>
      <c r="G509" t="s">
        <v>223</v>
      </c>
      <c r="H509" t="s">
        <v>800</v>
      </c>
      <c r="I509" t="s">
        <v>212</v>
      </c>
      <c r="J509" t="s">
        <v>213</v>
      </c>
      <c r="K509" t="s">
        <v>149</v>
      </c>
      <c r="M509" t="s">
        <v>4005</v>
      </c>
      <c r="N509" t="s">
        <v>215</v>
      </c>
      <c r="O509" s="57">
        <v>46301.650462962964</v>
      </c>
      <c r="P509" s="57">
        <v>46303.422233796293</v>
      </c>
      <c r="Q509">
        <v>69405243</v>
      </c>
      <c r="S509">
        <v>146303629433</v>
      </c>
      <c r="T509" t="s">
        <v>3520</v>
      </c>
      <c r="U509" t="s">
        <v>3521</v>
      </c>
      <c r="Z509">
        <v>109.24296426788</v>
      </c>
      <c r="AA509">
        <v>-7.41680249547899</v>
      </c>
      <c r="AB509" t="s">
        <v>3522</v>
      </c>
      <c r="AC509" t="s">
        <v>216</v>
      </c>
      <c r="AO509" s="57">
        <v>46183.653182870374</v>
      </c>
      <c r="AR509" t="s">
        <v>5</v>
      </c>
      <c r="AS509" t="s">
        <v>219</v>
      </c>
      <c r="AT509" t="s">
        <v>230</v>
      </c>
      <c r="AV509" t="s">
        <v>4005</v>
      </c>
      <c r="AW509" t="s">
        <v>541</v>
      </c>
      <c r="AX509" t="s">
        <v>222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:61">
      <c r="A510">
        <v>509</v>
      </c>
      <c r="B510">
        <v>1002626258</v>
      </c>
      <c r="C510">
        <v>3</v>
      </c>
      <c r="D510" t="s">
        <v>59</v>
      </c>
      <c r="E510">
        <v>4</v>
      </c>
      <c r="F510" t="s">
        <v>223</v>
      </c>
      <c r="G510" t="s">
        <v>223</v>
      </c>
      <c r="H510" t="s">
        <v>800</v>
      </c>
      <c r="I510" t="s">
        <v>212</v>
      </c>
      <c r="J510" t="s">
        <v>213</v>
      </c>
      <c r="K510" t="s">
        <v>149</v>
      </c>
      <c r="L510" t="s">
        <v>826</v>
      </c>
      <c r="M510" t="s">
        <v>238</v>
      </c>
      <c r="N510" t="s">
        <v>215</v>
      </c>
      <c r="O510" s="57">
        <v>46302.583113425928</v>
      </c>
      <c r="P510" s="57">
        <v>46302.584965277776</v>
      </c>
      <c r="Q510">
        <v>69405884</v>
      </c>
      <c r="R510">
        <v>2812958013</v>
      </c>
      <c r="S510">
        <v>146303629075</v>
      </c>
      <c r="T510" t="s">
        <v>4227</v>
      </c>
      <c r="U510" t="s">
        <v>4228</v>
      </c>
      <c r="V510" t="s">
        <v>4229</v>
      </c>
      <c r="Z510">
        <v>109.245133</v>
      </c>
      <c r="AA510">
        <v>-7.3998160000000004</v>
      </c>
      <c r="AB510" t="s">
        <v>4230</v>
      </c>
      <c r="AC510" t="s">
        <v>235</v>
      </c>
      <c r="AL510" t="s">
        <v>217</v>
      </c>
      <c r="AM510" t="s">
        <v>4231</v>
      </c>
      <c r="AN510" t="s">
        <v>6</v>
      </c>
      <c r="AO510" s="57">
        <v>46213.59065972222</v>
      </c>
      <c r="AP510" s="57">
        <v>46303.458333333336</v>
      </c>
      <c r="AR510" t="s">
        <v>239</v>
      </c>
      <c r="AS510" t="s">
        <v>219</v>
      </c>
      <c r="AT510" t="s">
        <v>230</v>
      </c>
      <c r="AV510" t="s">
        <v>238</v>
      </c>
      <c r="AW510" t="s">
        <v>858</v>
      </c>
      <c r="AX510" t="s">
        <v>222</v>
      </c>
      <c r="BA510" s="57">
        <v>46303.458333333336</v>
      </c>
      <c r="BB510" t="s">
        <v>4231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:61">
      <c r="A511">
        <v>510</v>
      </c>
      <c r="B511">
        <v>1002620985</v>
      </c>
      <c r="C511">
        <v>3</v>
      </c>
      <c r="D511" t="s">
        <v>59</v>
      </c>
      <c r="E511">
        <v>4</v>
      </c>
      <c r="F511" t="s">
        <v>223</v>
      </c>
      <c r="G511" t="s">
        <v>223</v>
      </c>
      <c r="H511" t="s">
        <v>800</v>
      </c>
      <c r="I511" t="s">
        <v>212</v>
      </c>
      <c r="J511" t="s">
        <v>213</v>
      </c>
      <c r="K511" t="s">
        <v>149</v>
      </c>
      <c r="M511" t="s">
        <v>1921</v>
      </c>
      <c r="N511" t="s">
        <v>215</v>
      </c>
      <c r="O511" s="57">
        <v>46298.556342592594</v>
      </c>
      <c r="P511" s="57">
        <v>46300.618750000001</v>
      </c>
      <c r="Q511">
        <v>69402155</v>
      </c>
      <c r="S511">
        <v>146303629384</v>
      </c>
      <c r="T511" t="s">
        <v>1233</v>
      </c>
      <c r="U511" t="s">
        <v>2174</v>
      </c>
      <c r="V511" t="s">
        <v>1235</v>
      </c>
      <c r="Z511">
        <v>109.226627362581</v>
      </c>
      <c r="AA511">
        <v>-7.3957168671627</v>
      </c>
      <c r="AB511" t="s">
        <v>1236</v>
      </c>
      <c r="AC511" t="s">
        <v>225</v>
      </c>
      <c r="AM511" t="s">
        <v>2175</v>
      </c>
      <c r="AO511" s="57">
        <v>46091.559224537035</v>
      </c>
      <c r="AR511" t="s">
        <v>12</v>
      </c>
      <c r="AS511" t="s">
        <v>219</v>
      </c>
      <c r="AT511" t="s">
        <v>230</v>
      </c>
      <c r="AV511" t="s">
        <v>1628</v>
      </c>
      <c r="AW511" t="s">
        <v>539</v>
      </c>
      <c r="AX511" t="s">
        <v>222</v>
      </c>
      <c r="BB511" t="s">
        <v>2175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:61">
      <c r="A512">
        <v>511</v>
      </c>
      <c r="B512">
        <v>1002619514</v>
      </c>
      <c r="C512">
        <v>3</v>
      </c>
      <c r="D512" t="s">
        <v>59</v>
      </c>
      <c r="E512">
        <v>4</v>
      </c>
      <c r="F512" t="s">
        <v>223</v>
      </c>
      <c r="G512" t="s">
        <v>2180</v>
      </c>
      <c r="H512" t="s">
        <v>2181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46297.469907407409</v>
      </c>
      <c r="P512" s="57">
        <v>46298.702210648145</v>
      </c>
      <c r="Q512">
        <v>69402939</v>
      </c>
      <c r="S512">
        <v>141362104675</v>
      </c>
      <c r="T512" t="s">
        <v>2182</v>
      </c>
      <c r="U512" t="s">
        <v>2183</v>
      </c>
      <c r="V512" t="s">
        <v>2184</v>
      </c>
      <c r="Z512">
        <v>109.00412919999999</v>
      </c>
      <c r="AA512">
        <v>-7.6928010999999996</v>
      </c>
      <c r="AB512" t="s">
        <v>2185</v>
      </c>
      <c r="AC512" t="s">
        <v>235</v>
      </c>
      <c r="AL512" t="s">
        <v>217</v>
      </c>
      <c r="AM512" t="s">
        <v>2186</v>
      </c>
      <c r="AN512" t="s">
        <v>6</v>
      </c>
      <c r="AO512" s="57">
        <v>46063.475972222222</v>
      </c>
      <c r="AP512" s="57">
        <v>46300.458333333336</v>
      </c>
      <c r="AR512" t="s">
        <v>218</v>
      </c>
      <c r="AS512" t="s">
        <v>219</v>
      </c>
      <c r="AT512" t="s">
        <v>230</v>
      </c>
      <c r="AU512">
        <v>20261003</v>
      </c>
      <c r="AV512" t="s">
        <v>221</v>
      </c>
      <c r="AW512" t="s">
        <v>880</v>
      </c>
      <c r="AX512" t="s">
        <v>222</v>
      </c>
      <c r="BA512" s="57">
        <v>46300.458333333336</v>
      </c>
      <c r="BB512" t="s">
        <v>2186</v>
      </c>
      <c r="BC512">
        <v>2026</v>
      </c>
      <c r="BD512">
        <v>10</v>
      </c>
      <c r="BE512">
        <v>3</v>
      </c>
      <c r="BF512" s="6">
        <f t="shared" si="21"/>
        <v>46298</v>
      </c>
      <c r="BG512">
        <f t="shared" si="22"/>
        <v>-2.4583333333357587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1002624065</v>
      </c>
      <c r="C513">
        <v>3</v>
      </c>
      <c r="D513" t="s">
        <v>59</v>
      </c>
      <c r="E513">
        <v>4</v>
      </c>
      <c r="F513" t="s">
        <v>223</v>
      </c>
      <c r="G513" t="s">
        <v>2180</v>
      </c>
      <c r="H513" t="s">
        <v>2181</v>
      </c>
      <c r="I513" t="s">
        <v>212</v>
      </c>
      <c r="J513" t="s">
        <v>213</v>
      </c>
      <c r="K513" t="s">
        <v>149</v>
      </c>
      <c r="L513" t="s">
        <v>826</v>
      </c>
      <c r="M513" t="s">
        <v>76</v>
      </c>
      <c r="N513" t="s">
        <v>215</v>
      </c>
      <c r="O513" s="57">
        <v>46301.488657407404</v>
      </c>
      <c r="P513" s="57">
        <v>46302.588958333334</v>
      </c>
      <c r="Q513">
        <v>69404948</v>
      </c>
      <c r="R513">
        <v>2825103779</v>
      </c>
      <c r="S513">
        <v>141362105376</v>
      </c>
      <c r="T513" t="s">
        <v>3523</v>
      </c>
      <c r="U513" t="s">
        <v>3524</v>
      </c>
      <c r="V513" t="s">
        <v>3525</v>
      </c>
      <c r="Z513">
        <v>109.0207485</v>
      </c>
      <c r="AA513">
        <v>-7.7006823999999998</v>
      </c>
      <c r="AB513" t="s">
        <v>3526</v>
      </c>
      <c r="AC513" t="s">
        <v>235</v>
      </c>
      <c r="AL513" t="s">
        <v>217</v>
      </c>
      <c r="AM513" t="s">
        <v>3527</v>
      </c>
      <c r="AN513" t="s">
        <v>6</v>
      </c>
      <c r="AO513" s="57">
        <v>46183.517812500002</v>
      </c>
      <c r="AP513" s="57">
        <v>46305.333333333336</v>
      </c>
      <c r="AR513" t="s">
        <v>218</v>
      </c>
      <c r="AS513" t="s">
        <v>219</v>
      </c>
      <c r="AT513" t="s">
        <v>230</v>
      </c>
      <c r="AU513">
        <v>20261007</v>
      </c>
      <c r="AV513" t="s">
        <v>221</v>
      </c>
      <c r="AW513" t="s">
        <v>3528</v>
      </c>
      <c r="AX513" t="s">
        <v>222</v>
      </c>
      <c r="BA513" s="57">
        <v>46305.333333333336</v>
      </c>
      <c r="BB513" t="s">
        <v>3527</v>
      </c>
      <c r="BC513">
        <v>2026</v>
      </c>
      <c r="BD513">
        <v>10</v>
      </c>
      <c r="BE513">
        <v>7</v>
      </c>
      <c r="BF513" s="6">
        <f t="shared" si="21"/>
        <v>46302</v>
      </c>
      <c r="BG513">
        <f t="shared" si="22"/>
        <v>-3.3333333333357587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1002625520</v>
      </c>
      <c r="C514">
        <v>3</v>
      </c>
      <c r="D514" t="s">
        <v>59</v>
      </c>
      <c r="E514">
        <v>4</v>
      </c>
      <c r="F514" t="s">
        <v>223</v>
      </c>
      <c r="G514" t="s">
        <v>2180</v>
      </c>
      <c r="H514" t="s">
        <v>2181</v>
      </c>
      <c r="I514" t="s">
        <v>212</v>
      </c>
      <c r="J514" t="s">
        <v>213</v>
      </c>
      <c r="K514" t="s">
        <v>149</v>
      </c>
      <c r="M514" t="s">
        <v>238</v>
      </c>
      <c r="N514" t="s">
        <v>215</v>
      </c>
      <c r="O514" s="57">
        <v>46302.415486111109</v>
      </c>
      <c r="P514" s="57">
        <v>46302.473622685182</v>
      </c>
      <c r="Q514">
        <v>69405521</v>
      </c>
      <c r="R514">
        <v>2825102343</v>
      </c>
      <c r="S514">
        <v>141362105521</v>
      </c>
      <c r="T514" t="s">
        <v>4232</v>
      </c>
      <c r="U514" t="s">
        <v>4233</v>
      </c>
      <c r="V514" t="s">
        <v>4234</v>
      </c>
      <c r="Z514">
        <v>109.006391599837</v>
      </c>
      <c r="AA514">
        <v>-7.6932880961643004</v>
      </c>
      <c r="AB514" t="s">
        <v>4235</v>
      </c>
      <c r="AC514" t="s">
        <v>283</v>
      </c>
      <c r="AL514" t="s">
        <v>217</v>
      </c>
      <c r="AM514" t="s">
        <v>4236</v>
      </c>
      <c r="AN514" t="s">
        <v>6</v>
      </c>
      <c r="AO514" s="57">
        <v>46213.434340277781</v>
      </c>
      <c r="AP514" s="57">
        <v>46306.625</v>
      </c>
      <c r="AR514" t="s">
        <v>239</v>
      </c>
      <c r="AS514" t="s">
        <v>219</v>
      </c>
      <c r="AT514" t="s">
        <v>230</v>
      </c>
      <c r="AV514" t="s">
        <v>238</v>
      </c>
      <c r="AW514" t="s">
        <v>1587</v>
      </c>
      <c r="AX514" t="s">
        <v>222</v>
      </c>
      <c r="BA514" s="57">
        <v>46306.625</v>
      </c>
      <c r="BB514" t="s">
        <v>4236</v>
      </c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:61">
      <c r="A515">
        <v>514</v>
      </c>
      <c r="B515">
        <v>1002620365</v>
      </c>
      <c r="C515">
        <v>3</v>
      </c>
      <c r="D515" t="s">
        <v>59</v>
      </c>
      <c r="E515">
        <v>4</v>
      </c>
      <c r="F515" t="s">
        <v>223</v>
      </c>
      <c r="G515" t="s">
        <v>2180</v>
      </c>
      <c r="H515" t="s">
        <v>2187</v>
      </c>
      <c r="I515" t="s">
        <v>212</v>
      </c>
      <c r="J515" t="s">
        <v>213</v>
      </c>
      <c r="K515" t="s">
        <v>149</v>
      </c>
      <c r="M515" t="s">
        <v>839</v>
      </c>
      <c r="N515" t="s">
        <v>215</v>
      </c>
      <c r="O515" s="57">
        <v>46297.666145833333</v>
      </c>
      <c r="P515" s="57">
        <v>46303.360833333332</v>
      </c>
      <c r="Q515">
        <v>69403278</v>
      </c>
      <c r="S515">
        <v>146391108656</v>
      </c>
      <c r="T515" t="s">
        <v>2194</v>
      </c>
      <c r="U515" t="s">
        <v>2195</v>
      </c>
      <c r="V515" t="s">
        <v>2196</v>
      </c>
      <c r="Z515">
        <v>108.9001507</v>
      </c>
      <c r="AA515">
        <v>-7.4173742999999996</v>
      </c>
      <c r="AB515" t="s">
        <v>2197</v>
      </c>
      <c r="AC515" t="s">
        <v>283</v>
      </c>
      <c r="AL515" t="s">
        <v>217</v>
      </c>
      <c r="AM515" t="s">
        <v>2198</v>
      </c>
      <c r="AN515" t="s">
        <v>6</v>
      </c>
      <c r="AO515" s="57">
        <v>46063.673761574071</v>
      </c>
      <c r="AP515" s="57">
        <v>46301.458333333336</v>
      </c>
      <c r="AQ515" t="s">
        <v>838</v>
      </c>
      <c r="AR515" t="s">
        <v>840</v>
      </c>
      <c r="AS515" t="s">
        <v>2193</v>
      </c>
      <c r="AT515" t="s">
        <v>230</v>
      </c>
      <c r="AV515" t="s">
        <v>4237</v>
      </c>
      <c r="AW515" t="s">
        <v>541</v>
      </c>
      <c r="AX515" t="s">
        <v>222</v>
      </c>
      <c r="BA515" s="57">
        <v>46301.458333333336</v>
      </c>
      <c r="BB515" t="s">
        <v>2198</v>
      </c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e">
        <f>VLOOKUP(H515,Sheet2!$A$1:$B$270,2,FALSE)</f>
        <v>#N/A</v>
      </c>
    </row>
    <row r="516" spans="1:61">
      <c r="A516">
        <v>515</v>
      </c>
      <c r="B516">
        <v>1002619762</v>
      </c>
      <c r="C516">
        <v>3</v>
      </c>
      <c r="D516" t="s">
        <v>59</v>
      </c>
      <c r="E516">
        <v>4</v>
      </c>
      <c r="F516" t="s">
        <v>223</v>
      </c>
      <c r="G516" t="s">
        <v>2180</v>
      </c>
      <c r="H516" t="s">
        <v>2187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46297.556018518517</v>
      </c>
      <c r="P516" s="57">
        <v>46297.735324074078</v>
      </c>
      <c r="Q516">
        <v>69403038</v>
      </c>
      <c r="S516">
        <v>146391106859</v>
      </c>
      <c r="T516" t="s">
        <v>2188</v>
      </c>
      <c r="U516" t="s">
        <v>2189</v>
      </c>
      <c r="V516" t="s">
        <v>2190</v>
      </c>
      <c r="Z516">
        <v>108.787814</v>
      </c>
      <c r="AA516">
        <v>-7.388255</v>
      </c>
      <c r="AB516" t="s">
        <v>2191</v>
      </c>
      <c r="AC516" t="s">
        <v>235</v>
      </c>
      <c r="AL516" t="s">
        <v>217</v>
      </c>
      <c r="AM516" t="s">
        <v>2192</v>
      </c>
      <c r="AN516" t="s">
        <v>6</v>
      </c>
      <c r="AO516" s="57">
        <v>46063.559317129628</v>
      </c>
      <c r="AP516" s="57">
        <v>46301.625</v>
      </c>
      <c r="AR516" t="s">
        <v>218</v>
      </c>
      <c r="AS516" t="s">
        <v>2193</v>
      </c>
      <c r="AT516" t="s">
        <v>230</v>
      </c>
      <c r="AU516">
        <v>20261002</v>
      </c>
      <c r="AV516" t="s">
        <v>221</v>
      </c>
      <c r="AW516" t="s">
        <v>880</v>
      </c>
      <c r="AX516" t="s">
        <v>222</v>
      </c>
      <c r="BA516" s="57">
        <v>46301.625</v>
      </c>
      <c r="BB516" t="s">
        <v>2192</v>
      </c>
      <c r="BC516">
        <v>2026</v>
      </c>
      <c r="BD516">
        <v>10</v>
      </c>
      <c r="BE516">
        <v>2</v>
      </c>
      <c r="BF516" s="6">
        <f t="shared" si="24"/>
        <v>46297</v>
      </c>
      <c r="BG516">
        <f t="shared" si="25"/>
        <v>-4.625</v>
      </c>
      <c r="BH516" t="str">
        <f t="shared" si="26"/>
        <v>COMPLY</v>
      </c>
      <c r="BI516" t="e">
        <f>VLOOKUP(H516,Sheet2!$A$1:$B$270,2,FALSE)</f>
        <v>#N/A</v>
      </c>
    </row>
    <row r="517" spans="1:61">
      <c r="A517">
        <v>516</v>
      </c>
      <c r="B517">
        <v>1002623766</v>
      </c>
      <c r="C517">
        <v>3</v>
      </c>
      <c r="D517" t="s">
        <v>59</v>
      </c>
      <c r="E517">
        <v>4</v>
      </c>
      <c r="F517" t="s">
        <v>223</v>
      </c>
      <c r="G517" t="s">
        <v>312</v>
      </c>
      <c r="H517" t="s">
        <v>313</v>
      </c>
      <c r="I517" t="s">
        <v>212</v>
      </c>
      <c r="J517" t="s">
        <v>213</v>
      </c>
      <c r="K517" t="s">
        <v>149</v>
      </c>
      <c r="L517" t="s">
        <v>214</v>
      </c>
      <c r="M517" t="s">
        <v>224</v>
      </c>
      <c r="N517" t="s">
        <v>215</v>
      </c>
      <c r="O517" s="57">
        <v>46301.426793981482</v>
      </c>
      <c r="P517" s="57">
        <v>46302.631851851853</v>
      </c>
      <c r="Q517">
        <v>69404778</v>
      </c>
      <c r="S517">
        <v>146372103916</v>
      </c>
      <c r="T517" t="s">
        <v>2209</v>
      </c>
      <c r="U517" t="s">
        <v>3534</v>
      </c>
      <c r="V517" t="s">
        <v>3535</v>
      </c>
      <c r="Z517">
        <v>109.687924</v>
      </c>
      <c r="AA517">
        <v>-7.4399139999999999</v>
      </c>
      <c r="AB517" t="s">
        <v>3536</v>
      </c>
      <c r="AC517" t="s">
        <v>235</v>
      </c>
      <c r="AL517" t="s">
        <v>217</v>
      </c>
      <c r="AM517" t="s">
        <v>3282</v>
      </c>
      <c r="AN517" t="s">
        <v>6</v>
      </c>
      <c r="AO517" s="57">
        <v>46183.433946759258</v>
      </c>
      <c r="AP517" s="57">
        <v>46302.625</v>
      </c>
      <c r="AR517" t="s">
        <v>18</v>
      </c>
      <c r="AS517" t="s">
        <v>219</v>
      </c>
      <c r="AT517" t="s">
        <v>230</v>
      </c>
      <c r="AV517" t="s">
        <v>226</v>
      </c>
      <c r="AW517" t="s">
        <v>877</v>
      </c>
      <c r="AX517" t="s">
        <v>222</v>
      </c>
      <c r="BA517" s="57">
        <v>46302.625</v>
      </c>
      <c r="BB517" t="s">
        <v>3282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:61">
      <c r="A518">
        <v>517</v>
      </c>
      <c r="B518">
        <v>1002616994</v>
      </c>
      <c r="C518">
        <v>3</v>
      </c>
      <c r="D518" t="s">
        <v>59</v>
      </c>
      <c r="E518">
        <v>4</v>
      </c>
      <c r="F518" t="s">
        <v>223</v>
      </c>
      <c r="G518" t="s">
        <v>312</v>
      </c>
      <c r="H518" t="s">
        <v>313</v>
      </c>
      <c r="I518" t="s">
        <v>212</v>
      </c>
      <c r="J518" t="s">
        <v>213</v>
      </c>
      <c r="K518" t="s">
        <v>149</v>
      </c>
      <c r="M518" t="s">
        <v>76</v>
      </c>
      <c r="N518" t="s">
        <v>215</v>
      </c>
      <c r="O518" s="57">
        <v>46296.380231481482</v>
      </c>
      <c r="P518" s="57">
        <v>46302.510231481479</v>
      </c>
      <c r="Q518">
        <v>69402039</v>
      </c>
      <c r="S518">
        <v>146372102975</v>
      </c>
      <c r="T518" t="s">
        <v>1238</v>
      </c>
      <c r="U518" t="s">
        <v>1239</v>
      </c>
      <c r="V518" t="s">
        <v>2926</v>
      </c>
      <c r="Z518">
        <v>109.814038</v>
      </c>
      <c r="AA518">
        <v>-7.2282590000000004</v>
      </c>
      <c r="AB518" t="s">
        <v>1240</v>
      </c>
      <c r="AC518" t="s">
        <v>283</v>
      </c>
      <c r="AL518" t="s">
        <v>217</v>
      </c>
      <c r="AM518" t="s">
        <v>2927</v>
      </c>
      <c r="AN518" t="s">
        <v>6</v>
      </c>
      <c r="AO518" s="57">
        <v>46032.392847222225</v>
      </c>
      <c r="AP518" s="57">
        <v>46304.458333333336</v>
      </c>
      <c r="AR518" t="s">
        <v>218</v>
      </c>
      <c r="AS518" t="s">
        <v>219</v>
      </c>
      <c r="AT518" t="s">
        <v>230</v>
      </c>
      <c r="AU518">
        <v>20261007</v>
      </c>
      <c r="AV518" t="s">
        <v>221</v>
      </c>
      <c r="AW518" t="s">
        <v>859</v>
      </c>
      <c r="AX518" t="s">
        <v>222</v>
      </c>
      <c r="BA518" s="57">
        <v>46304.458333333336</v>
      </c>
      <c r="BB518" t="s">
        <v>2927</v>
      </c>
      <c r="BC518">
        <v>2026</v>
      </c>
      <c r="BD518">
        <v>10</v>
      </c>
      <c r="BE518">
        <v>7</v>
      </c>
      <c r="BF518" s="6">
        <f t="shared" si="24"/>
        <v>46302</v>
      </c>
      <c r="BG518">
        <f t="shared" si="25"/>
        <v>-2.4583333333357587</v>
      </c>
      <c r="BH518" t="str">
        <f t="shared" si="26"/>
        <v>COMPLY</v>
      </c>
      <c r="BI518" t="e">
        <f>VLOOKUP(H518,Sheet2!$A$1:$B$270,2,FALSE)</f>
        <v>#N/A</v>
      </c>
    </row>
    <row r="519" spans="1:61">
      <c r="A519">
        <v>518</v>
      </c>
      <c r="B519">
        <v>1002620594</v>
      </c>
      <c r="C519">
        <v>3</v>
      </c>
      <c r="D519" t="s">
        <v>59</v>
      </c>
      <c r="E519">
        <v>4</v>
      </c>
      <c r="F519" t="s">
        <v>223</v>
      </c>
      <c r="G519" t="s">
        <v>312</v>
      </c>
      <c r="H519" t="s">
        <v>313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46297.737199074072</v>
      </c>
      <c r="P519" s="57">
        <v>46298.520266203705</v>
      </c>
      <c r="Q519">
        <v>69403360</v>
      </c>
      <c r="S519">
        <v>146372103614</v>
      </c>
      <c r="T519" t="s">
        <v>2204</v>
      </c>
      <c r="U519" t="s">
        <v>2205</v>
      </c>
      <c r="V519" t="s">
        <v>2206</v>
      </c>
      <c r="Z519">
        <v>109.69005300000001</v>
      </c>
      <c r="AA519">
        <v>-7.3946990000000001</v>
      </c>
      <c r="AB519" t="s">
        <v>2207</v>
      </c>
      <c r="AC519" t="s">
        <v>235</v>
      </c>
      <c r="AL519" t="s">
        <v>217</v>
      </c>
      <c r="AM519" t="s">
        <v>2208</v>
      </c>
      <c r="AN519" t="s">
        <v>6</v>
      </c>
      <c r="AO519" s="57">
        <v>46063.746817129628</v>
      </c>
      <c r="AP519" s="57">
        <v>46299.333333333336</v>
      </c>
      <c r="AR519" t="s">
        <v>218</v>
      </c>
      <c r="AS519" t="s">
        <v>219</v>
      </c>
      <c r="AT519" t="s">
        <v>230</v>
      </c>
      <c r="AU519">
        <v>20261003</v>
      </c>
      <c r="AV519" t="s">
        <v>221</v>
      </c>
      <c r="AW519" t="s">
        <v>876</v>
      </c>
      <c r="AX519" t="s">
        <v>222</v>
      </c>
      <c r="BA519" s="57">
        <v>46299.333333333336</v>
      </c>
      <c r="BB519" t="s">
        <v>2208</v>
      </c>
      <c r="BC519">
        <v>2026</v>
      </c>
      <c r="BD519">
        <v>10</v>
      </c>
      <c r="BE519">
        <v>3</v>
      </c>
      <c r="BF519" s="6">
        <f t="shared" si="24"/>
        <v>46298</v>
      </c>
      <c r="BG519">
        <f t="shared" si="25"/>
        <v>-1.3333333333357587</v>
      </c>
      <c r="BH519" t="str">
        <f t="shared" si="26"/>
        <v>COMPLY</v>
      </c>
      <c r="BI519" t="e">
        <f>VLOOKUP(H519,Sheet2!$A$1:$B$270,2,FALSE)</f>
        <v>#N/A</v>
      </c>
    </row>
    <row r="520" spans="1:61">
      <c r="A520">
        <v>519</v>
      </c>
      <c r="B520">
        <v>1002619769</v>
      </c>
      <c r="C520">
        <v>3</v>
      </c>
      <c r="D520" t="s">
        <v>59</v>
      </c>
      <c r="E520">
        <v>4</v>
      </c>
      <c r="F520" t="s">
        <v>223</v>
      </c>
      <c r="G520" t="s">
        <v>312</v>
      </c>
      <c r="H520" t="s">
        <v>313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46297.55741898148</v>
      </c>
      <c r="P520" s="57">
        <v>46300.510891203703</v>
      </c>
      <c r="Q520">
        <v>69403086</v>
      </c>
      <c r="S520">
        <v>146372103472</v>
      </c>
      <c r="T520" t="s">
        <v>2199</v>
      </c>
      <c r="U520" t="s">
        <v>2200</v>
      </c>
      <c r="V520" t="s">
        <v>2201</v>
      </c>
      <c r="Z520">
        <v>109.826308</v>
      </c>
      <c r="AA520">
        <v>-7.2068159999999999</v>
      </c>
      <c r="AB520" t="s">
        <v>2202</v>
      </c>
      <c r="AC520" t="s">
        <v>235</v>
      </c>
      <c r="AL520" t="s">
        <v>217</v>
      </c>
      <c r="AM520" t="s">
        <v>2203</v>
      </c>
      <c r="AN520" t="s">
        <v>6</v>
      </c>
      <c r="AO520" s="57">
        <v>46063.559317129628</v>
      </c>
      <c r="AP520" s="57">
        <v>46299.333333333336</v>
      </c>
      <c r="AR520" t="s">
        <v>218</v>
      </c>
      <c r="AS520" t="s">
        <v>219</v>
      </c>
      <c r="AT520" t="s">
        <v>230</v>
      </c>
      <c r="AU520">
        <v>20261005</v>
      </c>
      <c r="AV520" t="s">
        <v>221</v>
      </c>
      <c r="AW520" t="s">
        <v>879</v>
      </c>
      <c r="AX520" t="s">
        <v>222</v>
      </c>
      <c r="BA520" s="57">
        <v>46299.333333333336</v>
      </c>
      <c r="BB520" t="s">
        <v>2203</v>
      </c>
      <c r="BC520">
        <v>2026</v>
      </c>
      <c r="BD520">
        <v>10</v>
      </c>
      <c r="BE520">
        <v>5</v>
      </c>
      <c r="BF520" s="6">
        <f t="shared" si="24"/>
        <v>46300</v>
      </c>
      <c r="BG520">
        <f t="shared" si="25"/>
        <v>0.66666666666424135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1002623871</v>
      </c>
      <c r="C521">
        <v>3</v>
      </c>
      <c r="D521" t="s">
        <v>59</v>
      </c>
      <c r="E521">
        <v>4</v>
      </c>
      <c r="F521" t="s">
        <v>223</v>
      </c>
      <c r="G521" t="s">
        <v>312</v>
      </c>
      <c r="H521" t="s">
        <v>313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46301.444907407407</v>
      </c>
      <c r="P521" s="57">
        <v>46302.52449074074</v>
      </c>
      <c r="Q521">
        <v>69404850</v>
      </c>
      <c r="S521">
        <v>146372104064</v>
      </c>
      <c r="T521" t="s">
        <v>3529</v>
      </c>
      <c r="U521" t="s">
        <v>3530</v>
      </c>
      <c r="V521" t="s">
        <v>3531</v>
      </c>
      <c r="Z521">
        <v>109.695538744036</v>
      </c>
      <c r="AA521">
        <v>-7.3971299326979301</v>
      </c>
      <c r="AB521" t="s">
        <v>3532</v>
      </c>
      <c r="AC521" t="s">
        <v>235</v>
      </c>
      <c r="AL521" t="s">
        <v>217</v>
      </c>
      <c r="AM521" t="s">
        <v>3533</v>
      </c>
      <c r="AN521" t="s">
        <v>6</v>
      </c>
      <c r="AO521" s="57">
        <v>46183.454942129632</v>
      </c>
      <c r="AP521" s="57">
        <v>46303.333333333336</v>
      </c>
      <c r="AR521" t="s">
        <v>218</v>
      </c>
      <c r="AS521" t="s">
        <v>219</v>
      </c>
      <c r="AT521" t="s">
        <v>230</v>
      </c>
      <c r="AU521">
        <v>20261007</v>
      </c>
      <c r="AV521" t="s">
        <v>221</v>
      </c>
      <c r="AW521" t="s">
        <v>881</v>
      </c>
      <c r="AX521" t="s">
        <v>222</v>
      </c>
      <c r="BA521" s="57">
        <v>46303.333333333336</v>
      </c>
      <c r="BB521" t="s">
        <v>3533</v>
      </c>
      <c r="BC521">
        <v>2026</v>
      </c>
      <c r="BD521">
        <v>10</v>
      </c>
      <c r="BE521">
        <v>7</v>
      </c>
      <c r="BF521" s="6">
        <f t="shared" si="24"/>
        <v>46302</v>
      </c>
      <c r="BG521">
        <f t="shared" si="25"/>
        <v>-1.3333333333357587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1002621300</v>
      </c>
      <c r="C522">
        <v>3</v>
      </c>
      <c r="D522" t="s">
        <v>59</v>
      </c>
      <c r="E522">
        <v>4</v>
      </c>
      <c r="F522" t="s">
        <v>223</v>
      </c>
      <c r="G522" t="s">
        <v>312</v>
      </c>
      <c r="H522" t="s">
        <v>313</v>
      </c>
      <c r="I522" t="s">
        <v>212</v>
      </c>
      <c r="J522" t="s">
        <v>213</v>
      </c>
      <c r="K522" t="s">
        <v>149</v>
      </c>
      <c r="L522" t="s">
        <v>214</v>
      </c>
      <c r="M522" t="s">
        <v>1921</v>
      </c>
      <c r="N522" t="s">
        <v>215</v>
      </c>
      <c r="O522" s="57">
        <v>46299.437893518516</v>
      </c>
      <c r="P522" s="57">
        <v>46302.700462962966</v>
      </c>
      <c r="Q522">
        <v>69403803</v>
      </c>
      <c r="S522">
        <v>146372103619</v>
      </c>
      <c r="T522" t="s">
        <v>2209</v>
      </c>
      <c r="U522" t="s">
        <v>2210</v>
      </c>
      <c r="V522" t="s">
        <v>2211</v>
      </c>
      <c r="Z522">
        <v>109.675855</v>
      </c>
      <c r="AA522">
        <v>-7.4377750000000002</v>
      </c>
      <c r="AB522" t="s">
        <v>2212</v>
      </c>
      <c r="AC522" t="s">
        <v>235</v>
      </c>
      <c r="AL522" t="s">
        <v>217</v>
      </c>
      <c r="AM522" t="s">
        <v>2213</v>
      </c>
      <c r="AN522" t="s">
        <v>6</v>
      </c>
      <c r="AO522" s="57">
        <v>46122.444444444445</v>
      </c>
      <c r="AP522" s="57">
        <v>46300.458333333336</v>
      </c>
      <c r="AQ522" t="s">
        <v>838</v>
      </c>
      <c r="AR522" t="s">
        <v>12</v>
      </c>
      <c r="AS522" t="s">
        <v>219</v>
      </c>
      <c r="AT522" t="s">
        <v>230</v>
      </c>
      <c r="AV522" t="s">
        <v>1628</v>
      </c>
      <c r="AW522" t="s">
        <v>877</v>
      </c>
      <c r="AX522" t="s">
        <v>222</v>
      </c>
      <c r="BA522" s="57">
        <v>46300.458333333336</v>
      </c>
      <c r="BB522" t="s">
        <v>2213</v>
      </c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:61">
      <c r="A523">
        <v>522</v>
      </c>
      <c r="B523">
        <v>1002621299</v>
      </c>
      <c r="C523">
        <v>3</v>
      </c>
      <c r="D523" t="s">
        <v>59</v>
      </c>
      <c r="E523">
        <v>4</v>
      </c>
      <c r="F523" t="s">
        <v>223</v>
      </c>
      <c r="G523" t="s">
        <v>312</v>
      </c>
      <c r="H523" t="s">
        <v>313</v>
      </c>
      <c r="I523" t="s">
        <v>212</v>
      </c>
      <c r="J523" t="s">
        <v>213</v>
      </c>
      <c r="K523" t="s">
        <v>149</v>
      </c>
      <c r="L523" t="s">
        <v>214</v>
      </c>
      <c r="M523" t="s">
        <v>1921</v>
      </c>
      <c r="N523" t="s">
        <v>215</v>
      </c>
      <c r="O523" s="57">
        <v>46299.437395833331</v>
      </c>
      <c r="P523" s="57">
        <v>46302.701215277775</v>
      </c>
      <c r="Q523">
        <v>69403803</v>
      </c>
      <c r="S523">
        <v>146372103619</v>
      </c>
      <c r="T523" t="s">
        <v>2209</v>
      </c>
      <c r="U523" t="s">
        <v>2210</v>
      </c>
      <c r="V523" t="s">
        <v>2211</v>
      </c>
      <c r="Z523">
        <v>109.675855</v>
      </c>
      <c r="AA523">
        <v>-7.4377750000000002</v>
      </c>
      <c r="AB523" t="s">
        <v>2212</v>
      </c>
      <c r="AC523" t="s">
        <v>235</v>
      </c>
      <c r="AL523" t="s">
        <v>217</v>
      </c>
      <c r="AM523" t="s">
        <v>2213</v>
      </c>
      <c r="AN523" t="s">
        <v>6</v>
      </c>
      <c r="AO523" s="57">
        <v>46122.444444444445</v>
      </c>
      <c r="AP523" s="57">
        <v>46300.458333333336</v>
      </c>
      <c r="AQ523" t="s">
        <v>838</v>
      </c>
      <c r="AR523" t="s">
        <v>12</v>
      </c>
      <c r="AS523" t="s">
        <v>219</v>
      </c>
      <c r="AT523" t="s">
        <v>230</v>
      </c>
      <c r="AV523" t="s">
        <v>1628</v>
      </c>
      <c r="AW523" t="s">
        <v>877</v>
      </c>
      <c r="AX523" t="s">
        <v>222</v>
      </c>
      <c r="BA523" s="57">
        <v>46300.458333333336</v>
      </c>
      <c r="BB523" t="s">
        <v>2213</v>
      </c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:61">
      <c r="A524">
        <v>523</v>
      </c>
      <c r="B524">
        <v>1002618109</v>
      </c>
      <c r="C524">
        <v>3</v>
      </c>
      <c r="D524" t="s">
        <v>59</v>
      </c>
      <c r="E524">
        <v>4</v>
      </c>
      <c r="F524" t="s">
        <v>223</v>
      </c>
      <c r="G524" t="s">
        <v>312</v>
      </c>
      <c r="H524" t="s">
        <v>810</v>
      </c>
      <c r="I524" t="s">
        <v>212</v>
      </c>
      <c r="J524" t="s">
        <v>213</v>
      </c>
      <c r="K524" t="s">
        <v>149</v>
      </c>
      <c r="L524" t="s">
        <v>214</v>
      </c>
      <c r="M524" t="s">
        <v>1401</v>
      </c>
      <c r="N524" t="s">
        <v>215</v>
      </c>
      <c r="O524" s="57">
        <v>46296.603182870371</v>
      </c>
      <c r="P524" s="57">
        <v>46298.39167824074</v>
      </c>
      <c r="Q524">
        <v>69402437</v>
      </c>
      <c r="S524">
        <v>143395109400</v>
      </c>
      <c r="T524" t="s">
        <v>1241</v>
      </c>
      <c r="U524" t="s">
        <v>1242</v>
      </c>
      <c r="V524" t="s">
        <v>1243</v>
      </c>
      <c r="Z524">
        <v>109.429236</v>
      </c>
      <c r="AA524">
        <v>-7.4728000000000003</v>
      </c>
      <c r="AB524" t="s">
        <v>1244</v>
      </c>
      <c r="AC524" t="s">
        <v>235</v>
      </c>
      <c r="AL524" t="s">
        <v>217</v>
      </c>
      <c r="AM524" t="s">
        <v>1245</v>
      </c>
      <c r="AN524" t="s">
        <v>6</v>
      </c>
      <c r="AO524" s="57">
        <v>46032.611296296294</v>
      </c>
      <c r="AP524" s="57">
        <v>46297.458333333336</v>
      </c>
      <c r="AR524" t="s">
        <v>14</v>
      </c>
      <c r="AS524" t="s">
        <v>817</v>
      </c>
      <c r="AT524" t="s">
        <v>230</v>
      </c>
      <c r="AV524" t="s">
        <v>2214</v>
      </c>
      <c r="AW524" t="s">
        <v>236</v>
      </c>
      <c r="AX524" t="s">
        <v>222</v>
      </c>
      <c r="BA524" s="57">
        <v>46297.458333333336</v>
      </c>
      <c r="BB524" t="s">
        <v>1245</v>
      </c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:61">
      <c r="A525">
        <v>524</v>
      </c>
      <c r="B525">
        <v>1002620719</v>
      </c>
      <c r="C525">
        <v>3</v>
      </c>
      <c r="D525" t="s">
        <v>59</v>
      </c>
      <c r="E525">
        <v>4</v>
      </c>
      <c r="F525" t="s">
        <v>223</v>
      </c>
      <c r="G525" t="s">
        <v>312</v>
      </c>
      <c r="H525" t="s">
        <v>810</v>
      </c>
      <c r="I525" t="s">
        <v>212</v>
      </c>
      <c r="J525" t="s">
        <v>213</v>
      </c>
      <c r="K525" t="s">
        <v>149</v>
      </c>
      <c r="M525" t="s">
        <v>1401</v>
      </c>
      <c r="N525" t="s">
        <v>563</v>
      </c>
      <c r="O525" s="57">
        <v>46298.458067129628</v>
      </c>
      <c r="P525" s="57">
        <v>46301.683321759258</v>
      </c>
      <c r="Q525">
        <v>69383033</v>
      </c>
      <c r="S525">
        <v>143395109096</v>
      </c>
      <c r="T525" t="s">
        <v>1716</v>
      </c>
      <c r="U525" t="s">
        <v>2218</v>
      </c>
      <c r="V525" t="s">
        <v>2219</v>
      </c>
      <c r="Z525">
        <v>109.4292489</v>
      </c>
      <c r="AA525">
        <v>-7.4727779999999999</v>
      </c>
      <c r="AB525" t="s">
        <v>1719</v>
      </c>
      <c r="AC525" t="s">
        <v>284</v>
      </c>
      <c r="AL525" t="s">
        <v>217</v>
      </c>
      <c r="AM525" t="s">
        <v>2220</v>
      </c>
      <c r="AN525" t="s">
        <v>6</v>
      </c>
      <c r="AO525" s="57">
        <v>46091.465949074074</v>
      </c>
      <c r="AP525" s="57">
        <v>46300.625</v>
      </c>
      <c r="AR525" t="s">
        <v>14</v>
      </c>
      <c r="AS525" t="s">
        <v>817</v>
      </c>
      <c r="AT525" t="s">
        <v>230</v>
      </c>
      <c r="AV525" t="s">
        <v>3537</v>
      </c>
      <c r="AW525" t="s">
        <v>2221</v>
      </c>
      <c r="AX525" t="s">
        <v>222</v>
      </c>
      <c r="BA525" s="57">
        <v>46300.625</v>
      </c>
      <c r="BB525" t="s">
        <v>2220</v>
      </c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:61">
      <c r="A526">
        <v>525</v>
      </c>
      <c r="B526">
        <v>1002620767</v>
      </c>
      <c r="C526">
        <v>3</v>
      </c>
      <c r="D526" t="s">
        <v>59</v>
      </c>
      <c r="E526">
        <v>4</v>
      </c>
      <c r="F526" t="s">
        <v>223</v>
      </c>
      <c r="G526" t="s">
        <v>312</v>
      </c>
      <c r="H526" t="s">
        <v>810</v>
      </c>
      <c r="I526" t="s">
        <v>212</v>
      </c>
      <c r="J526" t="s">
        <v>213</v>
      </c>
      <c r="K526" t="s">
        <v>149</v>
      </c>
      <c r="M526" t="s">
        <v>76</v>
      </c>
      <c r="N526" t="s">
        <v>215</v>
      </c>
      <c r="O526" s="57">
        <v>46298.391689814816</v>
      </c>
      <c r="P526" s="57">
        <v>46298.520254629628</v>
      </c>
      <c r="Q526">
        <v>69402437</v>
      </c>
      <c r="S526">
        <v>143395109097</v>
      </c>
      <c r="T526" t="s">
        <v>1241</v>
      </c>
      <c r="U526" t="s">
        <v>2215</v>
      </c>
      <c r="V526" t="s">
        <v>2216</v>
      </c>
      <c r="Z526">
        <v>109.42910000000001</v>
      </c>
      <c r="AA526">
        <v>-7.4748000000000001</v>
      </c>
      <c r="AB526" t="s">
        <v>1244</v>
      </c>
      <c r="AC526" t="s">
        <v>283</v>
      </c>
      <c r="AL526" t="s">
        <v>217</v>
      </c>
      <c r="AM526" t="s">
        <v>2217</v>
      </c>
      <c r="AN526" t="s">
        <v>6</v>
      </c>
      <c r="AO526" s="57">
        <v>46091.392974537041</v>
      </c>
      <c r="AR526" t="s">
        <v>218</v>
      </c>
      <c r="AS526" t="s">
        <v>817</v>
      </c>
      <c r="AT526" t="s">
        <v>230</v>
      </c>
      <c r="AU526">
        <v>20261003</v>
      </c>
      <c r="AV526" t="s">
        <v>221</v>
      </c>
      <c r="AW526" t="s">
        <v>540</v>
      </c>
      <c r="AX526" t="s">
        <v>222</v>
      </c>
      <c r="BA526" s="57">
        <v>46298.291666666664</v>
      </c>
      <c r="BB526" t="s">
        <v>2217</v>
      </c>
      <c r="BC526">
        <v>2026</v>
      </c>
      <c r="BD526">
        <v>10</v>
      </c>
      <c r="BE526">
        <v>3</v>
      </c>
      <c r="BF526" s="6">
        <f t="shared" si="24"/>
        <v>46298</v>
      </c>
      <c r="BG526">
        <f t="shared" si="25"/>
        <v>-0.29166666666424135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1002624970</v>
      </c>
      <c r="C527">
        <v>3</v>
      </c>
      <c r="D527" t="s">
        <v>59</v>
      </c>
      <c r="E527">
        <v>4</v>
      </c>
      <c r="F527" t="s">
        <v>223</v>
      </c>
      <c r="G527" t="s">
        <v>312</v>
      </c>
      <c r="H527" t="s">
        <v>810</v>
      </c>
      <c r="I527" t="s">
        <v>212</v>
      </c>
      <c r="J527" t="s">
        <v>213</v>
      </c>
      <c r="K527" t="s">
        <v>149</v>
      </c>
      <c r="M527" t="s">
        <v>76</v>
      </c>
      <c r="N527" t="s">
        <v>563</v>
      </c>
      <c r="O527" s="57">
        <v>46301.683321759258</v>
      </c>
      <c r="P527" s="57">
        <v>46301.72047453704</v>
      </c>
      <c r="Q527">
        <v>69383033</v>
      </c>
      <c r="S527">
        <v>143395109256</v>
      </c>
      <c r="T527" t="s">
        <v>1716</v>
      </c>
      <c r="U527" t="s">
        <v>3538</v>
      </c>
      <c r="V527" t="s">
        <v>3539</v>
      </c>
      <c r="Z527">
        <v>109.42911700000001</v>
      </c>
      <c r="AA527">
        <v>-7.4734920000000002</v>
      </c>
      <c r="AB527" t="s">
        <v>1719</v>
      </c>
      <c r="AC527" t="s">
        <v>284</v>
      </c>
      <c r="AL527" t="s">
        <v>217</v>
      </c>
      <c r="AM527" t="s">
        <v>3540</v>
      </c>
      <c r="AN527" t="s">
        <v>6</v>
      </c>
      <c r="AO527" s="57">
        <v>46183.694976851853</v>
      </c>
      <c r="AR527" t="s">
        <v>218</v>
      </c>
      <c r="AS527" t="s">
        <v>817</v>
      </c>
      <c r="AT527" t="s">
        <v>230</v>
      </c>
      <c r="AU527">
        <v>20261006</v>
      </c>
      <c r="AV527" t="s">
        <v>221</v>
      </c>
      <c r="AW527" t="s">
        <v>3541</v>
      </c>
      <c r="AX527" t="s">
        <v>222</v>
      </c>
      <c r="BA527" s="57">
        <v>46301.291666666664</v>
      </c>
      <c r="BB527" t="s">
        <v>3540</v>
      </c>
      <c r="BC527">
        <v>2026</v>
      </c>
      <c r="BD527">
        <v>10</v>
      </c>
      <c r="BE527">
        <v>6</v>
      </c>
      <c r="BF527" s="6">
        <f t="shared" si="24"/>
        <v>46301</v>
      </c>
      <c r="BG527">
        <f t="shared" si="25"/>
        <v>-0.29166666666424135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1002617796</v>
      </c>
      <c r="C528">
        <v>3</v>
      </c>
      <c r="D528" t="s">
        <v>59</v>
      </c>
      <c r="E528">
        <v>4</v>
      </c>
      <c r="F528" t="s">
        <v>241</v>
      </c>
      <c r="G528" t="s">
        <v>819</v>
      </c>
      <c r="H528" t="s">
        <v>820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46296.5469212963</v>
      </c>
      <c r="P528" s="57">
        <v>46298.422037037039</v>
      </c>
      <c r="Q528">
        <v>69402334</v>
      </c>
      <c r="S528">
        <v>141373127777</v>
      </c>
      <c r="T528" t="s">
        <v>1246</v>
      </c>
      <c r="U528" t="s">
        <v>1247</v>
      </c>
      <c r="V528" t="s">
        <v>1248</v>
      </c>
      <c r="Z528">
        <v>109.89601554506299</v>
      </c>
      <c r="AA528">
        <v>-7.3708467491672396</v>
      </c>
      <c r="AB528" t="s">
        <v>1249</v>
      </c>
      <c r="AC528" t="s">
        <v>235</v>
      </c>
      <c r="AL528" t="s">
        <v>217</v>
      </c>
      <c r="AM528" t="s">
        <v>1250</v>
      </c>
      <c r="AN528" t="s">
        <v>6</v>
      </c>
      <c r="AO528" s="57">
        <v>46032.559305555558</v>
      </c>
      <c r="AP528" s="57">
        <v>46297.458333333336</v>
      </c>
      <c r="AR528" t="s">
        <v>218</v>
      </c>
      <c r="AS528" t="s">
        <v>219</v>
      </c>
      <c r="AT528" t="s">
        <v>342</v>
      </c>
      <c r="AU528">
        <v>20261003</v>
      </c>
      <c r="AV528" t="s">
        <v>221</v>
      </c>
      <c r="AW528" t="s">
        <v>854</v>
      </c>
      <c r="AX528" t="s">
        <v>222</v>
      </c>
      <c r="BA528" s="57">
        <v>46297.458333333336</v>
      </c>
      <c r="BB528" t="s">
        <v>1250</v>
      </c>
      <c r="BC528">
        <v>2026</v>
      </c>
      <c r="BD528">
        <v>10</v>
      </c>
      <c r="BE528">
        <v>3</v>
      </c>
      <c r="BF528" s="6">
        <f t="shared" si="24"/>
        <v>46298</v>
      </c>
      <c r="BG528">
        <f t="shared" si="25"/>
        <v>0.54166666666424135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1002623034</v>
      </c>
      <c r="C529">
        <v>3</v>
      </c>
      <c r="D529" t="s">
        <v>59</v>
      </c>
      <c r="E529">
        <v>4</v>
      </c>
      <c r="F529" t="s">
        <v>241</v>
      </c>
      <c r="G529" t="s">
        <v>819</v>
      </c>
      <c r="H529" t="s">
        <v>820</v>
      </c>
      <c r="I529" t="s">
        <v>212</v>
      </c>
      <c r="J529" t="s">
        <v>213</v>
      </c>
      <c r="K529" t="s">
        <v>149</v>
      </c>
      <c r="M529" t="s">
        <v>76</v>
      </c>
      <c r="N529" t="s">
        <v>215</v>
      </c>
      <c r="O529" s="57">
        <v>46300.671990740739</v>
      </c>
      <c r="P529" s="57">
        <v>46302.516377314816</v>
      </c>
      <c r="Q529">
        <v>69404535</v>
      </c>
      <c r="S529">
        <v>141373127568</v>
      </c>
      <c r="T529" t="s">
        <v>2928</v>
      </c>
      <c r="U529" t="s">
        <v>2929</v>
      </c>
      <c r="V529" t="s">
        <v>2930</v>
      </c>
      <c r="Z529">
        <v>109.79227716336</v>
      </c>
      <c r="AA529">
        <v>-7.4068808725651003</v>
      </c>
      <c r="AB529" t="s">
        <v>2931</v>
      </c>
      <c r="AC529" t="s">
        <v>284</v>
      </c>
      <c r="AL529" t="s">
        <v>217</v>
      </c>
      <c r="AM529" t="s">
        <v>2932</v>
      </c>
      <c r="AN529" t="s">
        <v>6</v>
      </c>
      <c r="AO529" s="57">
        <v>46152.684560185182</v>
      </c>
      <c r="AP529" s="57">
        <v>46302.333333333336</v>
      </c>
      <c r="AR529" t="s">
        <v>218</v>
      </c>
      <c r="AS529" t="s">
        <v>219</v>
      </c>
      <c r="AT529" t="s">
        <v>230</v>
      </c>
      <c r="AU529">
        <v>20261007</v>
      </c>
      <c r="AV529" t="s">
        <v>221</v>
      </c>
      <c r="AW529" t="s">
        <v>540</v>
      </c>
      <c r="AX529" t="s">
        <v>222</v>
      </c>
      <c r="BA529" s="57">
        <v>46302.333333333336</v>
      </c>
      <c r="BB529" t="s">
        <v>2932</v>
      </c>
      <c r="BC529">
        <v>2026</v>
      </c>
      <c r="BD529">
        <v>10</v>
      </c>
      <c r="BE529">
        <v>7</v>
      </c>
      <c r="BF529" s="6">
        <f t="shared" si="24"/>
        <v>46302</v>
      </c>
      <c r="BG529">
        <f t="shared" si="25"/>
        <v>-0.33333333333575865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1002621460</v>
      </c>
      <c r="C530">
        <v>3</v>
      </c>
      <c r="D530" t="s">
        <v>49</v>
      </c>
      <c r="E530">
        <v>4</v>
      </c>
      <c r="F530" t="s">
        <v>249</v>
      </c>
      <c r="G530" t="s">
        <v>2222</v>
      </c>
      <c r="H530" t="s">
        <v>2223</v>
      </c>
      <c r="I530" t="s">
        <v>212</v>
      </c>
      <c r="J530" t="s">
        <v>213</v>
      </c>
      <c r="K530" t="s">
        <v>149</v>
      </c>
      <c r="L530" t="s">
        <v>214</v>
      </c>
      <c r="M530" t="s">
        <v>836</v>
      </c>
      <c r="N530" t="s">
        <v>215</v>
      </c>
      <c r="O530" s="57">
        <v>46299.644895833335</v>
      </c>
      <c r="P530" s="57">
        <v>46301.39984953704</v>
      </c>
      <c r="Q530">
        <v>69403943</v>
      </c>
      <c r="S530">
        <v>146279106175</v>
      </c>
      <c r="T530" t="s">
        <v>2229</v>
      </c>
      <c r="U530" t="s">
        <v>2230</v>
      </c>
      <c r="V530" t="s">
        <v>2231</v>
      </c>
      <c r="Z530">
        <v>109.7709814</v>
      </c>
      <c r="AA530">
        <v>-6.9033647</v>
      </c>
      <c r="AB530" t="s">
        <v>2232</v>
      </c>
      <c r="AC530" t="s">
        <v>235</v>
      </c>
      <c r="AL530" t="s">
        <v>217</v>
      </c>
      <c r="AM530" t="s">
        <v>2233</v>
      </c>
      <c r="AN530" t="s">
        <v>6</v>
      </c>
      <c r="AO530" s="57">
        <v>46122.65283564815</v>
      </c>
      <c r="AP530" s="57">
        <v>46300.625</v>
      </c>
      <c r="AQ530" t="s">
        <v>841</v>
      </c>
      <c r="AR530" t="s">
        <v>14</v>
      </c>
      <c r="AS530" t="s">
        <v>219</v>
      </c>
      <c r="AT530" t="s">
        <v>230</v>
      </c>
      <c r="AV530" t="s">
        <v>837</v>
      </c>
      <c r="AW530" t="s">
        <v>2234</v>
      </c>
      <c r="AX530" t="s">
        <v>222</v>
      </c>
      <c r="BA530" s="57">
        <v>46300.625</v>
      </c>
      <c r="BB530" t="s">
        <v>2233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:61">
      <c r="A531">
        <v>530</v>
      </c>
      <c r="B531">
        <v>1002619427</v>
      </c>
      <c r="C531">
        <v>3</v>
      </c>
      <c r="D531" t="s">
        <v>49</v>
      </c>
      <c r="E531">
        <v>4</v>
      </c>
      <c r="F531" t="s">
        <v>249</v>
      </c>
      <c r="G531" t="s">
        <v>2222</v>
      </c>
      <c r="H531" t="s">
        <v>2223</v>
      </c>
      <c r="I531" t="s">
        <v>212</v>
      </c>
      <c r="J531" t="s">
        <v>213</v>
      </c>
      <c r="K531" t="s">
        <v>149</v>
      </c>
      <c r="M531" t="s">
        <v>76</v>
      </c>
      <c r="N531" t="s">
        <v>215</v>
      </c>
      <c r="O531" s="57">
        <v>46297.453460648147</v>
      </c>
      <c r="P531" s="57">
        <v>46297.533946759257</v>
      </c>
      <c r="Q531">
        <v>69401596</v>
      </c>
      <c r="S531">
        <v>146279106155</v>
      </c>
      <c r="T531" t="s">
        <v>2224</v>
      </c>
      <c r="U531" t="s">
        <v>2225</v>
      </c>
      <c r="V531" t="s">
        <v>2226</v>
      </c>
      <c r="Z531">
        <v>109.699314</v>
      </c>
      <c r="AA531">
        <v>-6.922612</v>
      </c>
      <c r="AB531" t="s">
        <v>2227</v>
      </c>
      <c r="AC531" t="s">
        <v>283</v>
      </c>
      <c r="AL531" t="s">
        <v>217</v>
      </c>
      <c r="AM531" t="s">
        <v>2228</v>
      </c>
      <c r="AN531" t="s">
        <v>6</v>
      </c>
      <c r="AO531" s="57">
        <v>46063.455081018517</v>
      </c>
      <c r="AR531" t="s">
        <v>218</v>
      </c>
      <c r="AS531" t="s">
        <v>219</v>
      </c>
      <c r="AT531" t="s">
        <v>230</v>
      </c>
      <c r="AU531">
        <v>20261002</v>
      </c>
      <c r="AV531" t="s">
        <v>221</v>
      </c>
      <c r="AW531" t="s">
        <v>1518</v>
      </c>
      <c r="AX531" t="s">
        <v>222</v>
      </c>
      <c r="BA531" s="57">
        <v>46297.291666666664</v>
      </c>
      <c r="BB531" t="s">
        <v>2228</v>
      </c>
      <c r="BC531">
        <v>2026</v>
      </c>
      <c r="BD531">
        <v>10</v>
      </c>
      <c r="BE531">
        <v>2</v>
      </c>
      <c r="BF531" s="6">
        <f t="shared" si="24"/>
        <v>46297</v>
      </c>
      <c r="BG531">
        <f t="shared" si="25"/>
        <v>-0.29166666666424135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1002621945</v>
      </c>
      <c r="C532">
        <v>3</v>
      </c>
      <c r="D532" t="s">
        <v>49</v>
      </c>
      <c r="E532">
        <v>4</v>
      </c>
      <c r="F532" t="s">
        <v>249</v>
      </c>
      <c r="G532" t="s">
        <v>2222</v>
      </c>
      <c r="H532" t="s">
        <v>2933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46300.436574074076</v>
      </c>
      <c r="P532" s="57">
        <v>46302.472650462965</v>
      </c>
      <c r="Q532">
        <v>69404159</v>
      </c>
      <c r="S532">
        <v>142200107073</v>
      </c>
      <c r="T532" t="s">
        <v>2934</v>
      </c>
      <c r="U532" t="s">
        <v>2935</v>
      </c>
      <c r="V532" t="s">
        <v>2936</v>
      </c>
      <c r="Z532">
        <v>109.902940392494</v>
      </c>
      <c r="AA532">
        <v>-6.9785114043369196</v>
      </c>
      <c r="AB532" t="s">
        <v>2937</v>
      </c>
      <c r="AC532" t="s">
        <v>216</v>
      </c>
      <c r="AL532" t="s">
        <v>217</v>
      </c>
      <c r="AM532" t="s">
        <v>2938</v>
      </c>
      <c r="AN532" t="s">
        <v>6</v>
      </c>
      <c r="AO532" s="57">
        <v>46152.444537037038</v>
      </c>
      <c r="AP532" s="57">
        <v>46301.333333333336</v>
      </c>
      <c r="AR532" t="s">
        <v>218</v>
      </c>
      <c r="AS532" t="s">
        <v>2939</v>
      </c>
      <c r="AT532" t="s">
        <v>230</v>
      </c>
      <c r="AU532">
        <v>20261007</v>
      </c>
      <c r="AV532" t="s">
        <v>221</v>
      </c>
      <c r="AW532" t="s">
        <v>880</v>
      </c>
      <c r="AX532" t="s">
        <v>222</v>
      </c>
      <c r="BA532" s="57">
        <v>46301.333333333336</v>
      </c>
      <c r="BB532" t="s">
        <v>2938</v>
      </c>
      <c r="BC532">
        <v>2026</v>
      </c>
      <c r="BD532">
        <v>10</v>
      </c>
      <c r="BE532">
        <v>7</v>
      </c>
      <c r="BF532" s="6">
        <f t="shared" si="24"/>
        <v>46302</v>
      </c>
      <c r="BG532">
        <f t="shared" si="25"/>
        <v>0.66666666666424135</v>
      </c>
      <c r="BH532" t="str">
        <f t="shared" si="26"/>
        <v>COMPLY</v>
      </c>
      <c r="BI532" t="e">
        <f>VLOOKUP(H532,Sheet2!$A$1:$B$270,2,FALSE)</f>
        <v>#N/A</v>
      </c>
    </row>
    <row r="533" spans="1:61">
      <c r="A533">
        <v>532</v>
      </c>
      <c r="B533">
        <v>1002622019</v>
      </c>
      <c r="C533">
        <v>3</v>
      </c>
      <c r="D533" t="s">
        <v>49</v>
      </c>
      <c r="E533">
        <v>4</v>
      </c>
      <c r="F533" t="s">
        <v>249</v>
      </c>
      <c r="G533" t="s">
        <v>2222</v>
      </c>
      <c r="H533" t="s">
        <v>2933</v>
      </c>
      <c r="I533" t="s">
        <v>212</v>
      </c>
      <c r="J533" t="s">
        <v>213</v>
      </c>
      <c r="K533" t="s">
        <v>149</v>
      </c>
      <c r="M533" t="s">
        <v>1583</v>
      </c>
      <c r="N533" t="s">
        <v>215</v>
      </c>
      <c r="O533" s="57">
        <v>46300.450069444443</v>
      </c>
      <c r="P533" s="57">
        <v>46300.450729166667</v>
      </c>
      <c r="Q533">
        <v>69404175</v>
      </c>
      <c r="S533">
        <v>142200107074</v>
      </c>
      <c r="T533" t="s">
        <v>2940</v>
      </c>
      <c r="Z533">
        <v>109.937</v>
      </c>
      <c r="AA533">
        <v>-7.0038999999999998</v>
      </c>
      <c r="AB533" t="s">
        <v>2941</v>
      </c>
      <c r="AC533" t="s">
        <v>283</v>
      </c>
      <c r="AO533" s="57">
        <v>46152.486157407409</v>
      </c>
      <c r="AR533" t="s">
        <v>6</v>
      </c>
      <c r="AS533" t="s">
        <v>2939</v>
      </c>
      <c r="AT533" t="s">
        <v>230</v>
      </c>
      <c r="AV533" t="s">
        <v>1586</v>
      </c>
      <c r="AW533" t="s">
        <v>1987</v>
      </c>
      <c r="AX533" t="s">
        <v>222</v>
      </c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:61">
      <c r="A534">
        <v>533</v>
      </c>
      <c r="B534">
        <v>1002620906</v>
      </c>
      <c r="C534">
        <v>3</v>
      </c>
      <c r="D534" t="s">
        <v>49</v>
      </c>
      <c r="E534">
        <v>4</v>
      </c>
      <c r="F534" t="s">
        <v>249</v>
      </c>
      <c r="G534" t="s">
        <v>249</v>
      </c>
      <c r="H534" t="s">
        <v>2235</v>
      </c>
      <c r="I534" t="s">
        <v>212</v>
      </c>
      <c r="J534" t="s">
        <v>213</v>
      </c>
      <c r="K534" t="s">
        <v>149</v>
      </c>
      <c r="L534" t="s">
        <v>214</v>
      </c>
      <c r="M534" t="s">
        <v>224</v>
      </c>
      <c r="N534" t="s">
        <v>215</v>
      </c>
      <c r="O534" s="57">
        <v>46298.499085648145</v>
      </c>
      <c r="P534" s="57">
        <v>46299.337777777779</v>
      </c>
      <c r="Q534">
        <v>69403556</v>
      </c>
      <c r="S534">
        <v>142202155134</v>
      </c>
      <c r="T534" t="s">
        <v>2236</v>
      </c>
      <c r="U534" t="s">
        <v>2237</v>
      </c>
      <c r="V534" t="s">
        <v>2238</v>
      </c>
      <c r="Z534">
        <v>109.664941</v>
      </c>
      <c r="AA534">
        <v>-6.9018560000000004</v>
      </c>
      <c r="AB534" t="s">
        <v>2239</v>
      </c>
      <c r="AC534" t="s">
        <v>235</v>
      </c>
      <c r="AL534" t="s">
        <v>217</v>
      </c>
      <c r="AM534" t="s">
        <v>2101</v>
      </c>
      <c r="AN534" t="s">
        <v>6</v>
      </c>
      <c r="AO534" s="57">
        <v>46091.517858796295</v>
      </c>
      <c r="AP534" s="57">
        <v>46299.333333333336</v>
      </c>
      <c r="AR534" t="s">
        <v>18</v>
      </c>
      <c r="AS534" t="s">
        <v>219</v>
      </c>
      <c r="AT534" t="s">
        <v>230</v>
      </c>
      <c r="AV534" t="s">
        <v>226</v>
      </c>
      <c r="AW534" t="s">
        <v>883</v>
      </c>
      <c r="AX534" t="s">
        <v>222</v>
      </c>
      <c r="BA534" s="57">
        <v>46299.333333333336</v>
      </c>
      <c r="BB534" t="s">
        <v>2101</v>
      </c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:61">
      <c r="A535">
        <v>534</v>
      </c>
      <c r="B535">
        <v>1002625609</v>
      </c>
      <c r="C535">
        <v>3</v>
      </c>
      <c r="D535" t="s">
        <v>49</v>
      </c>
      <c r="E535">
        <v>4</v>
      </c>
      <c r="F535" t="s">
        <v>249</v>
      </c>
      <c r="G535" t="s">
        <v>249</v>
      </c>
      <c r="H535" t="s">
        <v>2235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46302.43310185185</v>
      </c>
      <c r="P535" s="57">
        <v>46302.701226851852</v>
      </c>
      <c r="Q535">
        <v>69405564</v>
      </c>
      <c r="S535">
        <v>142202155166</v>
      </c>
      <c r="T535" t="s">
        <v>4238</v>
      </c>
      <c r="U535" t="s">
        <v>4239</v>
      </c>
      <c r="V535" t="s">
        <v>4240</v>
      </c>
      <c r="Z535">
        <v>109.675504</v>
      </c>
      <c r="AA535">
        <v>-6.8855170000000001</v>
      </c>
      <c r="AB535" t="s">
        <v>4241</v>
      </c>
      <c r="AC535" t="s">
        <v>235</v>
      </c>
      <c r="AL535" t="s">
        <v>217</v>
      </c>
      <c r="AM535" t="s">
        <v>4242</v>
      </c>
      <c r="AN535" t="s">
        <v>6</v>
      </c>
      <c r="AO535" s="57">
        <v>46213.434340277781</v>
      </c>
      <c r="AP535" s="57">
        <v>46303.333333333336</v>
      </c>
      <c r="AR535" t="s">
        <v>218</v>
      </c>
      <c r="AS535" t="s">
        <v>219</v>
      </c>
      <c r="AT535" t="s">
        <v>230</v>
      </c>
      <c r="AU535">
        <v>20261007</v>
      </c>
      <c r="AV535" t="s">
        <v>221</v>
      </c>
      <c r="AW535" t="s">
        <v>883</v>
      </c>
      <c r="AX535" t="s">
        <v>222</v>
      </c>
      <c r="BA535" s="57">
        <v>46303.333333333336</v>
      </c>
      <c r="BB535" t="s">
        <v>4242</v>
      </c>
      <c r="BC535">
        <v>2026</v>
      </c>
      <c r="BD535">
        <v>10</v>
      </c>
      <c r="BE535">
        <v>7</v>
      </c>
      <c r="BF535" s="6">
        <f t="shared" si="24"/>
        <v>46302</v>
      </c>
      <c r="BG535">
        <f t="shared" si="25"/>
        <v>-1.3333333333357587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1002627190</v>
      </c>
      <c r="C536">
        <v>3</v>
      </c>
      <c r="D536" t="s">
        <v>49</v>
      </c>
      <c r="E536">
        <v>4</v>
      </c>
      <c r="F536" t="s">
        <v>249</v>
      </c>
      <c r="G536" t="s">
        <v>249</v>
      </c>
      <c r="H536" t="s">
        <v>4243</v>
      </c>
      <c r="I536" t="s">
        <v>212</v>
      </c>
      <c r="J536" t="s">
        <v>213</v>
      </c>
      <c r="K536" t="s">
        <v>149</v>
      </c>
      <c r="L536" t="s">
        <v>214</v>
      </c>
      <c r="M536" t="s">
        <v>238</v>
      </c>
      <c r="N536" t="s">
        <v>215</v>
      </c>
      <c r="O536" s="57">
        <v>46303.386574074073</v>
      </c>
      <c r="P536" s="57">
        <v>46303.387511574074</v>
      </c>
      <c r="Q536">
        <v>69406244</v>
      </c>
      <c r="S536">
        <v>146285105127</v>
      </c>
      <c r="T536" t="s">
        <v>4244</v>
      </c>
      <c r="U536" t="s">
        <v>4245</v>
      </c>
      <c r="V536" t="s">
        <v>4246</v>
      </c>
      <c r="Z536">
        <v>109.64965400637701</v>
      </c>
      <c r="AA536">
        <v>-6.9521766185612197</v>
      </c>
      <c r="AB536" t="s">
        <v>4247</v>
      </c>
      <c r="AC536" t="s">
        <v>235</v>
      </c>
      <c r="AL536" t="s">
        <v>217</v>
      </c>
      <c r="AM536" t="s">
        <v>4248</v>
      </c>
      <c r="AN536" t="s">
        <v>6</v>
      </c>
      <c r="AO536" s="57">
        <v>46244.392905092594</v>
      </c>
      <c r="AP536" s="57">
        <v>46304.333333333336</v>
      </c>
      <c r="AR536" t="s">
        <v>239</v>
      </c>
      <c r="AS536" t="s">
        <v>4249</v>
      </c>
      <c r="AT536" t="s">
        <v>230</v>
      </c>
      <c r="AV536" t="s">
        <v>238</v>
      </c>
      <c r="AW536" t="s">
        <v>878</v>
      </c>
      <c r="AX536" t="s">
        <v>222</v>
      </c>
      <c r="BA536" s="57">
        <v>46304.333333333336</v>
      </c>
      <c r="BB536" t="s">
        <v>4248</v>
      </c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:61">
      <c r="A537">
        <v>536</v>
      </c>
      <c r="B537">
        <v>1002619770</v>
      </c>
      <c r="C537">
        <v>3</v>
      </c>
      <c r="D537" t="s">
        <v>49</v>
      </c>
      <c r="E537">
        <v>4</v>
      </c>
      <c r="F537" t="s">
        <v>249</v>
      </c>
      <c r="G537" t="s">
        <v>537</v>
      </c>
      <c r="H537" t="s">
        <v>2240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46297.55741898148</v>
      </c>
      <c r="P537" s="57">
        <v>46298.607372685183</v>
      </c>
      <c r="Q537">
        <v>69403042</v>
      </c>
      <c r="S537">
        <v>142211111694</v>
      </c>
      <c r="T537" t="s">
        <v>2241</v>
      </c>
      <c r="U537" t="s">
        <v>2242</v>
      </c>
      <c r="V537" t="s">
        <v>2243</v>
      </c>
      <c r="Z537">
        <v>109.53072899999999</v>
      </c>
      <c r="AA537">
        <v>-6.9079259999999998</v>
      </c>
      <c r="AB537" t="s">
        <v>2244</v>
      </c>
      <c r="AC537" t="s">
        <v>235</v>
      </c>
      <c r="AL537" t="s">
        <v>217</v>
      </c>
      <c r="AM537" t="s">
        <v>1513</v>
      </c>
      <c r="AN537" t="s">
        <v>6</v>
      </c>
      <c r="AO537" s="57">
        <v>46063.559317129628</v>
      </c>
      <c r="AP537" s="57">
        <v>46298.458333333336</v>
      </c>
      <c r="AR537" t="s">
        <v>218</v>
      </c>
      <c r="AS537" t="s">
        <v>219</v>
      </c>
      <c r="AT537" t="s">
        <v>230</v>
      </c>
      <c r="AU537">
        <v>20261003</v>
      </c>
      <c r="AV537" t="s">
        <v>221</v>
      </c>
      <c r="AW537" t="s">
        <v>879</v>
      </c>
      <c r="AX537" t="s">
        <v>222</v>
      </c>
      <c r="BA537" s="57">
        <v>46298.458333333336</v>
      </c>
      <c r="BB537" t="s">
        <v>1513</v>
      </c>
      <c r="BC537">
        <v>2026</v>
      </c>
      <c r="BD537">
        <v>10</v>
      </c>
      <c r="BE537">
        <v>3</v>
      </c>
      <c r="BF537" s="6">
        <f t="shared" si="24"/>
        <v>46298</v>
      </c>
      <c r="BG537">
        <f t="shared" si="25"/>
        <v>-0.45833333333575865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1002624429</v>
      </c>
      <c r="C538">
        <v>3</v>
      </c>
      <c r="D538" t="s">
        <v>49</v>
      </c>
      <c r="E538">
        <v>4</v>
      </c>
      <c r="F538" t="s">
        <v>249</v>
      </c>
      <c r="G538" t="s">
        <v>537</v>
      </c>
      <c r="H538" t="s">
        <v>2240</v>
      </c>
      <c r="I538" t="s">
        <v>212</v>
      </c>
      <c r="J538" t="s">
        <v>213</v>
      </c>
      <c r="K538" t="s">
        <v>149</v>
      </c>
      <c r="M538" t="s">
        <v>76</v>
      </c>
      <c r="N538" t="s">
        <v>215</v>
      </c>
      <c r="O538" s="57">
        <v>46301.580949074072</v>
      </c>
      <c r="P538" s="57">
        <v>46301.82503472222</v>
      </c>
      <c r="Q538">
        <v>69401160</v>
      </c>
      <c r="S538">
        <v>142211111698</v>
      </c>
      <c r="T538" t="s">
        <v>3542</v>
      </c>
      <c r="U538" t="s">
        <v>3543</v>
      </c>
      <c r="V538" t="s">
        <v>3544</v>
      </c>
      <c r="Z538">
        <v>109.56960100000001</v>
      </c>
      <c r="AA538">
        <v>-6.872064</v>
      </c>
      <c r="AB538" t="s">
        <v>3545</v>
      </c>
      <c r="AC538" t="s">
        <v>283</v>
      </c>
      <c r="AL538" t="s">
        <v>217</v>
      </c>
      <c r="AM538" t="s">
        <v>3546</v>
      </c>
      <c r="AN538" t="s">
        <v>6</v>
      </c>
      <c r="AO538" s="57">
        <v>46183.601145833331</v>
      </c>
      <c r="AR538" t="s">
        <v>218</v>
      </c>
      <c r="AS538" t="s">
        <v>219</v>
      </c>
      <c r="AT538" t="s">
        <v>230</v>
      </c>
      <c r="AU538">
        <v>20261006</v>
      </c>
      <c r="AV538" t="s">
        <v>221</v>
      </c>
      <c r="AW538" t="s">
        <v>3547</v>
      </c>
      <c r="AX538" t="s">
        <v>222</v>
      </c>
      <c r="BA538" s="57">
        <v>46301.291666666664</v>
      </c>
      <c r="BB538" t="s">
        <v>3546</v>
      </c>
      <c r="BC538">
        <v>2026</v>
      </c>
      <c r="BD538">
        <v>10</v>
      </c>
      <c r="BE538">
        <v>6</v>
      </c>
      <c r="BF538" s="6">
        <f t="shared" si="24"/>
        <v>46301</v>
      </c>
      <c r="BG538">
        <f t="shared" si="25"/>
        <v>-0.29166666666424135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1002625140</v>
      </c>
      <c r="C539">
        <v>3</v>
      </c>
      <c r="D539" t="s">
        <v>49</v>
      </c>
      <c r="E539">
        <v>4</v>
      </c>
      <c r="F539" t="s">
        <v>249</v>
      </c>
      <c r="G539" t="s">
        <v>537</v>
      </c>
      <c r="H539" t="s">
        <v>2240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46301.746689814812</v>
      </c>
      <c r="P539" s="57">
        <v>46302.387314814812</v>
      </c>
      <c r="Q539">
        <v>69401208</v>
      </c>
      <c r="R539" t="s">
        <v>3811</v>
      </c>
      <c r="S539">
        <v>-142211111699</v>
      </c>
      <c r="T539" t="s">
        <v>3542</v>
      </c>
      <c r="U539" t="s">
        <v>3543</v>
      </c>
      <c r="V539" t="s">
        <v>3548</v>
      </c>
      <c r="Z539">
        <v>109.569687</v>
      </c>
      <c r="AA539">
        <v>-6.8718329999999996</v>
      </c>
      <c r="AB539" t="s">
        <v>3549</v>
      </c>
      <c r="AC539" t="s">
        <v>283</v>
      </c>
      <c r="AL539" t="s">
        <v>217</v>
      </c>
      <c r="AM539" t="s">
        <v>3546</v>
      </c>
      <c r="AN539" t="s">
        <v>6</v>
      </c>
      <c r="AO539" s="57">
        <v>46183.757268518515</v>
      </c>
      <c r="AR539" t="s">
        <v>218</v>
      </c>
      <c r="AS539" t="s">
        <v>219</v>
      </c>
      <c r="AT539" t="s">
        <v>230</v>
      </c>
      <c r="AU539">
        <v>20261007</v>
      </c>
      <c r="AV539" t="s">
        <v>221</v>
      </c>
      <c r="AW539" t="s">
        <v>3550</v>
      </c>
      <c r="AX539" t="s">
        <v>222</v>
      </c>
      <c r="BA539" s="57">
        <v>46301.291666666664</v>
      </c>
      <c r="BB539" t="s">
        <v>3546</v>
      </c>
      <c r="BC539">
        <v>2026</v>
      </c>
      <c r="BD539">
        <v>10</v>
      </c>
      <c r="BE539">
        <v>7</v>
      </c>
      <c r="BF539" s="6">
        <f t="shared" si="24"/>
        <v>46302</v>
      </c>
      <c r="BG539">
        <f t="shared" si="25"/>
        <v>0.70833333333575865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1002625630</v>
      </c>
      <c r="C540">
        <v>3</v>
      </c>
      <c r="D540" t="s">
        <v>49</v>
      </c>
      <c r="E540">
        <v>4</v>
      </c>
      <c r="F540" t="s">
        <v>249</v>
      </c>
      <c r="G540" t="s">
        <v>537</v>
      </c>
      <c r="H540" t="s">
        <v>2240</v>
      </c>
      <c r="I540" t="s">
        <v>212</v>
      </c>
      <c r="J540" t="s">
        <v>213</v>
      </c>
      <c r="K540" t="s">
        <v>149</v>
      </c>
      <c r="M540" t="s">
        <v>538</v>
      </c>
      <c r="N540" t="s">
        <v>215</v>
      </c>
      <c r="O540" s="57">
        <v>46302.438113425924</v>
      </c>
      <c r="P540" s="57">
        <v>46302.692858796298</v>
      </c>
      <c r="Q540">
        <v>69401227</v>
      </c>
      <c r="T540" t="s">
        <v>3542</v>
      </c>
      <c r="V540" t="s">
        <v>4250</v>
      </c>
      <c r="Z540">
        <v>109.569705</v>
      </c>
      <c r="AA540">
        <v>-6.8715999999999999</v>
      </c>
      <c r="AB540" t="s">
        <v>4251</v>
      </c>
      <c r="AC540" t="s">
        <v>283</v>
      </c>
      <c r="AL540" t="s">
        <v>217</v>
      </c>
      <c r="AM540" t="s">
        <v>4252</v>
      </c>
      <c r="AN540" t="s">
        <v>6</v>
      </c>
      <c r="AO540" s="57">
        <v>46213.444687499999</v>
      </c>
      <c r="AP540" s="57">
        <v>46297</v>
      </c>
      <c r="AR540" t="s">
        <v>6</v>
      </c>
      <c r="AS540" t="s">
        <v>219</v>
      </c>
      <c r="AT540" t="s">
        <v>230</v>
      </c>
      <c r="AV540" t="s">
        <v>4253</v>
      </c>
      <c r="AW540" t="s">
        <v>1475</v>
      </c>
      <c r="AX540" t="s">
        <v>222</v>
      </c>
      <c r="BA540" s="57">
        <v>46297.458333333336</v>
      </c>
      <c r="BB540" t="s">
        <v>4252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:61">
      <c r="A541">
        <v>540</v>
      </c>
      <c r="B541">
        <v>1002625039</v>
      </c>
      <c r="C541">
        <v>3</v>
      </c>
      <c r="D541" t="s">
        <v>49</v>
      </c>
      <c r="E541">
        <v>4</v>
      </c>
      <c r="F541" t="s">
        <v>249</v>
      </c>
      <c r="G541" t="s">
        <v>537</v>
      </c>
      <c r="H541" t="s">
        <v>2245</v>
      </c>
      <c r="I541" t="s">
        <v>212</v>
      </c>
      <c r="J541" t="s">
        <v>213</v>
      </c>
      <c r="K541" t="s">
        <v>149</v>
      </c>
      <c r="M541" t="s">
        <v>1619</v>
      </c>
      <c r="N541" t="s">
        <v>215</v>
      </c>
      <c r="O541" s="57">
        <v>46301.701539351852</v>
      </c>
      <c r="P541" s="57">
        <v>46302.777800925927</v>
      </c>
      <c r="Q541">
        <v>69405324</v>
      </c>
      <c r="S541">
        <v>142278112955</v>
      </c>
      <c r="T541" t="s">
        <v>3551</v>
      </c>
      <c r="U541" t="s">
        <v>3552</v>
      </c>
      <c r="Z541">
        <v>109.3876746</v>
      </c>
      <c r="AA541">
        <v>-6.9008136000000002</v>
      </c>
      <c r="AB541" t="s">
        <v>3553</v>
      </c>
      <c r="AC541" t="s">
        <v>225</v>
      </c>
      <c r="AO541" s="57">
        <v>46183.705092592594</v>
      </c>
      <c r="AR541" t="s">
        <v>5</v>
      </c>
      <c r="AS541" t="s">
        <v>219</v>
      </c>
      <c r="AT541" t="s">
        <v>230</v>
      </c>
      <c r="AV541" t="s">
        <v>4254</v>
      </c>
      <c r="AW541" t="s">
        <v>540</v>
      </c>
      <c r="AX541" t="s">
        <v>222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:61">
      <c r="A542">
        <v>541</v>
      </c>
      <c r="B542">
        <v>1002625276</v>
      </c>
      <c r="C542">
        <v>3</v>
      </c>
      <c r="D542" t="s">
        <v>49</v>
      </c>
      <c r="E542">
        <v>4</v>
      </c>
      <c r="F542" t="s">
        <v>249</v>
      </c>
      <c r="G542" t="s">
        <v>537</v>
      </c>
      <c r="H542" t="s">
        <v>2245</v>
      </c>
      <c r="I542" t="s">
        <v>212</v>
      </c>
      <c r="J542" t="s">
        <v>213</v>
      </c>
      <c r="K542" t="s">
        <v>149</v>
      </c>
      <c r="M542" t="s">
        <v>4005</v>
      </c>
      <c r="N542" t="s">
        <v>563</v>
      </c>
      <c r="O542" s="57">
        <v>46302.346261574072</v>
      </c>
      <c r="P542" s="57">
        <v>46303.430590277778</v>
      </c>
      <c r="Q542">
        <v>69405447</v>
      </c>
      <c r="R542">
        <v>2846130312</v>
      </c>
      <c r="S542">
        <v>142278112956</v>
      </c>
      <c r="T542" t="s">
        <v>4255</v>
      </c>
      <c r="U542" t="s">
        <v>4256</v>
      </c>
      <c r="Z542">
        <v>109.383053</v>
      </c>
      <c r="AA542">
        <v>-6.8897760000000003</v>
      </c>
      <c r="AB542" t="s">
        <v>4257</v>
      </c>
      <c r="AC542" t="s">
        <v>283</v>
      </c>
      <c r="AO542" s="57">
        <v>46213.351041666669</v>
      </c>
      <c r="AR542" t="s">
        <v>5</v>
      </c>
      <c r="AS542" t="s">
        <v>219</v>
      </c>
      <c r="AT542" t="s">
        <v>230</v>
      </c>
      <c r="AV542" t="s">
        <v>4005</v>
      </c>
      <c r="AW542" t="s">
        <v>1587</v>
      </c>
      <c r="AX542" t="s">
        <v>222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:61">
      <c r="A543">
        <v>542</v>
      </c>
      <c r="B543">
        <v>1002618398</v>
      </c>
      <c r="C543">
        <v>3</v>
      </c>
      <c r="D543" t="s">
        <v>49</v>
      </c>
      <c r="E543">
        <v>4</v>
      </c>
      <c r="F543" t="s">
        <v>249</v>
      </c>
      <c r="G543" t="s">
        <v>537</v>
      </c>
      <c r="H543" t="s">
        <v>864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46296.651782407411</v>
      </c>
      <c r="P543" s="57">
        <v>46297.735312500001</v>
      </c>
      <c r="Q543">
        <v>69402551</v>
      </c>
      <c r="S543">
        <v>142213107480</v>
      </c>
      <c r="T543" t="s">
        <v>1251</v>
      </c>
      <c r="U543" t="s">
        <v>1252</v>
      </c>
      <c r="V543" t="s">
        <v>1253</v>
      </c>
      <c r="Z543">
        <v>109.260865</v>
      </c>
      <c r="AA543">
        <v>-7.074757</v>
      </c>
      <c r="AB543" t="s">
        <v>1254</v>
      </c>
      <c r="AC543" t="s">
        <v>235</v>
      </c>
      <c r="AL543" t="s">
        <v>217</v>
      </c>
      <c r="AM543" t="s">
        <v>1255</v>
      </c>
      <c r="AN543" t="s">
        <v>6</v>
      </c>
      <c r="AO543" s="57">
        <v>46032.653252314813</v>
      </c>
      <c r="AP543" s="57">
        <v>46297.625</v>
      </c>
      <c r="AR543" t="s">
        <v>218</v>
      </c>
      <c r="AS543" t="s">
        <v>865</v>
      </c>
      <c r="AT543" t="s">
        <v>230</v>
      </c>
      <c r="AU543">
        <v>20261002</v>
      </c>
      <c r="AV543" t="s">
        <v>221</v>
      </c>
      <c r="AW543" t="s">
        <v>880</v>
      </c>
      <c r="AX543" t="s">
        <v>222</v>
      </c>
      <c r="BA543" s="57">
        <v>46297.625</v>
      </c>
      <c r="BB543" t="s">
        <v>1255</v>
      </c>
      <c r="BC543">
        <v>2026</v>
      </c>
      <c r="BD543">
        <v>10</v>
      </c>
      <c r="BE543">
        <v>2</v>
      </c>
      <c r="BF543" s="6">
        <f t="shared" si="24"/>
        <v>46297</v>
      </c>
      <c r="BG543">
        <f t="shared" si="25"/>
        <v>-0.625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1002617123</v>
      </c>
      <c r="C544">
        <v>3</v>
      </c>
      <c r="D544" t="s">
        <v>59</v>
      </c>
      <c r="E544">
        <v>4</v>
      </c>
      <c r="F544" t="s">
        <v>223</v>
      </c>
      <c r="G544" t="s">
        <v>842</v>
      </c>
      <c r="H544" t="s">
        <v>866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46296.401087962964</v>
      </c>
      <c r="P544" s="57">
        <v>46296.659687500003</v>
      </c>
      <c r="Q544">
        <v>69402096</v>
      </c>
      <c r="S544">
        <v>146394105462</v>
      </c>
      <c r="T544" t="s">
        <v>1256</v>
      </c>
      <c r="U544" t="s">
        <v>1257</v>
      </c>
      <c r="V544" t="s">
        <v>1258</v>
      </c>
      <c r="Z544">
        <v>109.36051447203801</v>
      </c>
      <c r="AA544">
        <v>-7.3363168771240703</v>
      </c>
      <c r="AB544" t="s">
        <v>1259</v>
      </c>
      <c r="AC544" t="s">
        <v>235</v>
      </c>
      <c r="AL544" t="s">
        <v>217</v>
      </c>
      <c r="AM544" t="s">
        <v>1260</v>
      </c>
      <c r="AN544" t="s">
        <v>6</v>
      </c>
      <c r="AO544" s="57">
        <v>46032.413738425923</v>
      </c>
      <c r="AP544" s="57">
        <v>46297.333333333336</v>
      </c>
      <c r="AR544" t="s">
        <v>218</v>
      </c>
      <c r="AS544" t="s">
        <v>867</v>
      </c>
      <c r="AT544" t="s">
        <v>230</v>
      </c>
      <c r="AU544">
        <v>20261001</v>
      </c>
      <c r="AV544" t="s">
        <v>221</v>
      </c>
      <c r="AW544" t="s">
        <v>878</v>
      </c>
      <c r="AX544" t="s">
        <v>222</v>
      </c>
      <c r="BA544" s="57">
        <v>46297.333333333336</v>
      </c>
      <c r="BB544" t="s">
        <v>1260</v>
      </c>
      <c r="BC544">
        <v>2026</v>
      </c>
      <c r="BD544">
        <v>10</v>
      </c>
      <c r="BE544">
        <v>1</v>
      </c>
      <c r="BF544" s="6">
        <f t="shared" si="24"/>
        <v>46296</v>
      </c>
      <c r="BG544">
        <f t="shared" si="25"/>
        <v>-1.3333333333357587</v>
      </c>
      <c r="BH544" t="str">
        <f t="shared" si="26"/>
        <v>COMPLY</v>
      </c>
      <c r="BI544" t="e">
        <f>VLOOKUP(H544,Sheet2!$A$1:$B$270,2,FALSE)</f>
        <v>#N/A</v>
      </c>
    </row>
    <row r="545" spans="1:61">
      <c r="A545">
        <v>544</v>
      </c>
      <c r="B545">
        <v>1002623187</v>
      </c>
      <c r="C545">
        <v>3</v>
      </c>
      <c r="D545" t="s">
        <v>59</v>
      </c>
      <c r="E545">
        <v>4</v>
      </c>
      <c r="F545" t="s">
        <v>223</v>
      </c>
      <c r="G545" t="s">
        <v>842</v>
      </c>
      <c r="H545" t="s">
        <v>866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46300.706006944441</v>
      </c>
      <c r="P545" s="57">
        <v>46301.618136574078</v>
      </c>
      <c r="Q545">
        <v>69404588</v>
      </c>
      <c r="S545">
        <v>146394105824</v>
      </c>
      <c r="T545" t="s">
        <v>2942</v>
      </c>
      <c r="U545" t="s">
        <v>2943</v>
      </c>
      <c r="V545" t="s">
        <v>2944</v>
      </c>
      <c r="Z545">
        <v>109.36048541218</v>
      </c>
      <c r="AA545">
        <v>-7.3204639741467998</v>
      </c>
      <c r="AB545" t="s">
        <v>2945</v>
      </c>
      <c r="AC545" t="s">
        <v>216</v>
      </c>
      <c r="AL545" t="s">
        <v>217</v>
      </c>
      <c r="AM545" t="s">
        <v>2946</v>
      </c>
      <c r="AN545" t="s">
        <v>6</v>
      </c>
      <c r="AO545" s="57">
        <v>46152.726238425923</v>
      </c>
      <c r="AP545" s="57">
        <v>46304.458333333336</v>
      </c>
      <c r="AR545" t="s">
        <v>218</v>
      </c>
      <c r="AS545" t="s">
        <v>867</v>
      </c>
      <c r="AT545" t="s">
        <v>220</v>
      </c>
      <c r="AU545">
        <v>20261006</v>
      </c>
      <c r="AV545" t="s">
        <v>221</v>
      </c>
      <c r="AW545" t="s">
        <v>2947</v>
      </c>
      <c r="AX545" t="s">
        <v>222</v>
      </c>
      <c r="BA545" s="57">
        <v>46304.458333333336</v>
      </c>
      <c r="BB545" t="s">
        <v>2946</v>
      </c>
      <c r="BC545">
        <v>2026</v>
      </c>
      <c r="BD545">
        <v>10</v>
      </c>
      <c r="BE545">
        <v>6</v>
      </c>
      <c r="BF545" s="6">
        <f t="shared" si="24"/>
        <v>46301</v>
      </c>
      <c r="BG545">
        <f t="shared" si="25"/>
        <v>-3.4583333333357587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1002624084</v>
      </c>
      <c r="C546">
        <v>3</v>
      </c>
      <c r="D546" t="s">
        <v>59</v>
      </c>
      <c r="E546">
        <v>4</v>
      </c>
      <c r="F546" t="s">
        <v>223</v>
      </c>
      <c r="G546" t="s">
        <v>842</v>
      </c>
      <c r="H546" t="s">
        <v>866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46301.491435185184</v>
      </c>
      <c r="P546" s="57">
        <v>46302.519965277781</v>
      </c>
      <c r="Q546">
        <v>69404951</v>
      </c>
      <c r="S546">
        <v>146394105833</v>
      </c>
      <c r="T546" t="s">
        <v>3554</v>
      </c>
      <c r="U546" t="s">
        <v>3555</v>
      </c>
      <c r="V546" t="s">
        <v>3556</v>
      </c>
      <c r="Z546">
        <v>109.3351894</v>
      </c>
      <c r="AA546">
        <v>-7.2492799000000003</v>
      </c>
      <c r="AB546" t="s">
        <v>3557</v>
      </c>
      <c r="AC546" t="s">
        <v>235</v>
      </c>
      <c r="AL546" t="s">
        <v>217</v>
      </c>
      <c r="AM546" t="s">
        <v>3558</v>
      </c>
      <c r="AN546" t="s">
        <v>6</v>
      </c>
      <c r="AO546" s="57">
        <v>46183.517812500002</v>
      </c>
      <c r="AP546" s="57">
        <v>46307.333333333336</v>
      </c>
      <c r="AR546" t="s">
        <v>218</v>
      </c>
      <c r="AS546" t="s">
        <v>867</v>
      </c>
      <c r="AT546" t="s">
        <v>230</v>
      </c>
      <c r="AU546">
        <v>20261007</v>
      </c>
      <c r="AV546" t="s">
        <v>221</v>
      </c>
      <c r="AW546" t="s">
        <v>880</v>
      </c>
      <c r="AX546" t="s">
        <v>222</v>
      </c>
      <c r="BA546" s="57">
        <v>46307.333333333336</v>
      </c>
      <c r="BB546" t="s">
        <v>3558</v>
      </c>
      <c r="BC546">
        <v>2026</v>
      </c>
      <c r="BD546">
        <v>10</v>
      </c>
      <c r="BE546">
        <v>7</v>
      </c>
      <c r="BF546" s="6">
        <f t="shared" si="24"/>
        <v>46302</v>
      </c>
      <c r="BG546">
        <f t="shared" si="25"/>
        <v>-5.3333333333357587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1002625847</v>
      </c>
      <c r="C547">
        <v>3</v>
      </c>
      <c r="D547" t="s">
        <v>59</v>
      </c>
      <c r="E547">
        <v>4</v>
      </c>
      <c r="F547" t="s">
        <v>223</v>
      </c>
      <c r="G547" t="s">
        <v>842</v>
      </c>
      <c r="H547" t="s">
        <v>866</v>
      </c>
      <c r="I547" t="s">
        <v>212</v>
      </c>
      <c r="J547" t="s">
        <v>213</v>
      </c>
      <c r="K547" t="s">
        <v>149</v>
      </c>
      <c r="L547" t="s">
        <v>214</v>
      </c>
      <c r="M547" t="s">
        <v>238</v>
      </c>
      <c r="N547" t="s">
        <v>215</v>
      </c>
      <c r="O547" s="57">
        <v>46302.485185185185</v>
      </c>
      <c r="P547" s="57">
        <v>46302.486180555556</v>
      </c>
      <c r="Q547">
        <v>69405702</v>
      </c>
      <c r="S547">
        <v>146394106009</v>
      </c>
      <c r="T547" t="s">
        <v>4258</v>
      </c>
      <c r="U547" t="s">
        <v>4259</v>
      </c>
      <c r="V547" t="s">
        <v>4260</v>
      </c>
      <c r="Z547">
        <v>109.33972900000001</v>
      </c>
      <c r="AA547">
        <v>-7.3355528999999997</v>
      </c>
      <c r="AB547" t="s">
        <v>4261</v>
      </c>
      <c r="AC547" t="s">
        <v>235</v>
      </c>
      <c r="AL547" t="s">
        <v>217</v>
      </c>
      <c r="AM547" t="s">
        <v>4262</v>
      </c>
      <c r="AN547" t="s">
        <v>6</v>
      </c>
      <c r="AO547" s="57">
        <v>46213.486516203702</v>
      </c>
      <c r="AP547" s="57">
        <v>46308.333333333336</v>
      </c>
      <c r="AR547" t="s">
        <v>239</v>
      </c>
      <c r="AS547" t="s">
        <v>867</v>
      </c>
      <c r="AT547" t="s">
        <v>230</v>
      </c>
      <c r="AV547" t="s">
        <v>238</v>
      </c>
      <c r="AW547" t="s">
        <v>877</v>
      </c>
      <c r="AX547" t="s">
        <v>222</v>
      </c>
      <c r="BA547" s="57">
        <v>46308.333333333336</v>
      </c>
      <c r="BB547" t="s">
        <v>4262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:61">
      <c r="A548">
        <v>547</v>
      </c>
      <c r="B548">
        <v>1002623655</v>
      </c>
      <c r="C548">
        <v>3</v>
      </c>
      <c r="D548" t="s">
        <v>59</v>
      </c>
      <c r="E548">
        <v>4</v>
      </c>
      <c r="F548" t="s">
        <v>223</v>
      </c>
      <c r="G548" t="s">
        <v>842</v>
      </c>
      <c r="H548" t="s">
        <v>866</v>
      </c>
      <c r="I548" t="s">
        <v>212</v>
      </c>
      <c r="J548" t="s">
        <v>213</v>
      </c>
      <c r="K548" t="s">
        <v>149</v>
      </c>
      <c r="L548" t="s">
        <v>214</v>
      </c>
      <c r="M548" t="s">
        <v>1627</v>
      </c>
      <c r="N548" t="s">
        <v>215</v>
      </c>
      <c r="O548" s="57">
        <v>46301.405266203707</v>
      </c>
      <c r="P548" s="57">
        <v>46302.364247685182</v>
      </c>
      <c r="Q548">
        <v>69404718</v>
      </c>
      <c r="S548">
        <v>146394105829</v>
      </c>
      <c r="T548" t="s">
        <v>2942</v>
      </c>
      <c r="U548" t="s">
        <v>2943</v>
      </c>
      <c r="V548" t="s">
        <v>3559</v>
      </c>
      <c r="Z548">
        <v>109.360485350396</v>
      </c>
      <c r="AA548">
        <v>-7.3204641244823403</v>
      </c>
      <c r="AB548" t="s">
        <v>3560</v>
      </c>
      <c r="AC548" t="s">
        <v>3561</v>
      </c>
      <c r="AL548" t="s">
        <v>217</v>
      </c>
      <c r="AM548" t="s">
        <v>3562</v>
      </c>
      <c r="AN548" t="s">
        <v>6</v>
      </c>
      <c r="AO548" s="57">
        <v>46183.424027777779</v>
      </c>
      <c r="AP548" s="57">
        <v>46307.333333333336</v>
      </c>
      <c r="AR548" t="s">
        <v>12</v>
      </c>
      <c r="AS548" t="s">
        <v>867</v>
      </c>
      <c r="AT548" t="s">
        <v>220</v>
      </c>
      <c r="AV548" t="s">
        <v>3563</v>
      </c>
      <c r="AW548" t="s">
        <v>2947</v>
      </c>
      <c r="AX548" t="s">
        <v>222</v>
      </c>
      <c r="BA548" s="57">
        <v>46307.333333333336</v>
      </c>
      <c r="BB548" t="s">
        <v>3562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:61">
      <c r="A549">
        <v>548</v>
      </c>
      <c r="B549">
        <v>1002621485</v>
      </c>
      <c r="C549">
        <v>3</v>
      </c>
      <c r="D549" t="s">
        <v>59</v>
      </c>
      <c r="E549">
        <v>4</v>
      </c>
      <c r="F549" t="s">
        <v>223</v>
      </c>
      <c r="G549" t="s">
        <v>842</v>
      </c>
      <c r="H549" t="s">
        <v>2246</v>
      </c>
      <c r="I549" t="s">
        <v>212</v>
      </c>
      <c r="J549" t="s">
        <v>213</v>
      </c>
      <c r="K549" t="s">
        <v>149</v>
      </c>
      <c r="L549" t="s">
        <v>214</v>
      </c>
      <c r="M549" t="s">
        <v>1401</v>
      </c>
      <c r="N549" t="s">
        <v>215</v>
      </c>
      <c r="O549" s="57">
        <v>46299.681655092594</v>
      </c>
      <c r="P549" s="57">
        <v>46301.521805555552</v>
      </c>
      <c r="Q549">
        <v>69403964</v>
      </c>
      <c r="S549">
        <v>143363107711</v>
      </c>
      <c r="T549" t="s">
        <v>2252</v>
      </c>
      <c r="U549" t="s">
        <v>2253</v>
      </c>
      <c r="V549" t="s">
        <v>2254</v>
      </c>
      <c r="Z549">
        <v>109.33568583420001</v>
      </c>
      <c r="AA549">
        <v>-7.3552690626911001</v>
      </c>
      <c r="AB549" t="s">
        <v>2255</v>
      </c>
      <c r="AC549" t="s">
        <v>235</v>
      </c>
      <c r="AL549" t="s">
        <v>217</v>
      </c>
      <c r="AM549" t="s">
        <v>2256</v>
      </c>
      <c r="AN549" t="s">
        <v>6</v>
      </c>
      <c r="AO549" s="57">
        <v>46122.684537037036</v>
      </c>
      <c r="AP549" s="57">
        <v>46302.458333333336</v>
      </c>
      <c r="AQ549" t="s">
        <v>838</v>
      </c>
      <c r="AR549" t="s">
        <v>14</v>
      </c>
      <c r="AS549" t="s">
        <v>219</v>
      </c>
      <c r="AT549" t="s">
        <v>230</v>
      </c>
      <c r="AV549" t="s">
        <v>2948</v>
      </c>
      <c r="AW549" t="s">
        <v>883</v>
      </c>
      <c r="AX549" t="s">
        <v>222</v>
      </c>
      <c r="BA549" s="57">
        <v>46302.458333333336</v>
      </c>
      <c r="BB549" t="s">
        <v>2256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:61">
      <c r="A550">
        <v>549</v>
      </c>
      <c r="B550">
        <v>1002621483</v>
      </c>
      <c r="C550">
        <v>3</v>
      </c>
      <c r="D550" t="s">
        <v>59</v>
      </c>
      <c r="E550">
        <v>4</v>
      </c>
      <c r="F550" t="s">
        <v>223</v>
      </c>
      <c r="G550" t="s">
        <v>842</v>
      </c>
      <c r="H550" t="s">
        <v>2246</v>
      </c>
      <c r="I550" t="s">
        <v>212</v>
      </c>
      <c r="J550" t="s">
        <v>213</v>
      </c>
      <c r="K550" t="s">
        <v>149</v>
      </c>
      <c r="L550" t="s">
        <v>214</v>
      </c>
      <c r="M550" t="s">
        <v>1401</v>
      </c>
      <c r="N550" t="s">
        <v>215</v>
      </c>
      <c r="O550" s="57">
        <v>46299.682060185187</v>
      </c>
      <c r="P550" s="57">
        <v>46303.363171296296</v>
      </c>
      <c r="Q550">
        <v>69403964</v>
      </c>
      <c r="S550">
        <v>143363107711</v>
      </c>
      <c r="T550" t="s">
        <v>2252</v>
      </c>
      <c r="U550" t="s">
        <v>2253</v>
      </c>
      <c r="V550" t="s">
        <v>2254</v>
      </c>
      <c r="Z550">
        <v>109.333882</v>
      </c>
      <c r="AA550">
        <v>-7.3542860000000001</v>
      </c>
      <c r="AB550" t="s">
        <v>2255</v>
      </c>
      <c r="AC550" t="s">
        <v>235</v>
      </c>
      <c r="AL550" t="s">
        <v>217</v>
      </c>
      <c r="AM550" t="s">
        <v>2256</v>
      </c>
      <c r="AN550" t="s">
        <v>6</v>
      </c>
      <c r="AO550" s="57">
        <v>46122.684537037036</v>
      </c>
      <c r="AP550" s="57">
        <v>46302.458333333336</v>
      </c>
      <c r="AQ550" t="s">
        <v>838</v>
      </c>
      <c r="AR550" t="s">
        <v>14</v>
      </c>
      <c r="AS550" t="s">
        <v>219</v>
      </c>
      <c r="AT550" t="s">
        <v>230</v>
      </c>
      <c r="AV550" t="s">
        <v>4263</v>
      </c>
      <c r="AW550" t="s">
        <v>883</v>
      </c>
      <c r="AX550" t="s">
        <v>222</v>
      </c>
      <c r="BA550" s="57">
        <v>46302.458333333336</v>
      </c>
      <c r="BB550" t="s">
        <v>2256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:61">
      <c r="A551">
        <v>550</v>
      </c>
      <c r="B551">
        <v>1002627074</v>
      </c>
      <c r="C551">
        <v>3</v>
      </c>
      <c r="D551" t="s">
        <v>59</v>
      </c>
      <c r="E551">
        <v>4</v>
      </c>
      <c r="F551" t="s">
        <v>223</v>
      </c>
      <c r="G551" t="s">
        <v>842</v>
      </c>
      <c r="H551" t="s">
        <v>2246</v>
      </c>
      <c r="I551" t="s">
        <v>212</v>
      </c>
      <c r="J551" t="s">
        <v>213</v>
      </c>
      <c r="K551" t="s">
        <v>149</v>
      </c>
      <c r="M551" t="s">
        <v>224</v>
      </c>
      <c r="N551" t="s">
        <v>215</v>
      </c>
      <c r="O551" s="57">
        <v>46303.363171296296</v>
      </c>
      <c r="P551" s="57">
        <v>46303.367581018516</v>
      </c>
      <c r="Q551">
        <v>69403964</v>
      </c>
      <c r="S551">
        <v>143363106902</v>
      </c>
      <c r="T551" t="s">
        <v>2252</v>
      </c>
      <c r="U551" t="s">
        <v>4264</v>
      </c>
      <c r="V551" t="s">
        <v>4265</v>
      </c>
      <c r="Z551">
        <v>109.333882</v>
      </c>
      <c r="AA551">
        <v>-7.3542860000000001</v>
      </c>
      <c r="AB551" t="s">
        <v>2255</v>
      </c>
      <c r="AC551" t="s">
        <v>216</v>
      </c>
      <c r="AL551" t="s">
        <v>217</v>
      </c>
      <c r="AM551" t="s">
        <v>3566</v>
      </c>
      <c r="AN551" t="s">
        <v>6</v>
      </c>
      <c r="AO551" s="57">
        <v>46244.371828703705</v>
      </c>
      <c r="AR551" t="s">
        <v>18</v>
      </c>
      <c r="AS551" t="s">
        <v>219</v>
      </c>
      <c r="AT551" t="s">
        <v>230</v>
      </c>
      <c r="AV551" t="s">
        <v>226</v>
      </c>
      <c r="AW551" t="s">
        <v>540</v>
      </c>
      <c r="AX551" t="s">
        <v>222</v>
      </c>
      <c r="BA551" s="57">
        <v>46303.291666666664</v>
      </c>
      <c r="BB551" t="s">
        <v>3566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:61">
      <c r="A552">
        <v>551</v>
      </c>
      <c r="B552">
        <v>1002624013</v>
      </c>
      <c r="C552">
        <v>3</v>
      </c>
      <c r="D552" t="s">
        <v>59</v>
      </c>
      <c r="E552">
        <v>4</v>
      </c>
      <c r="F552" t="s">
        <v>223</v>
      </c>
      <c r="G552" t="s">
        <v>842</v>
      </c>
      <c r="H552" t="s">
        <v>2246</v>
      </c>
      <c r="I552" t="s">
        <v>212</v>
      </c>
      <c r="J552" t="s">
        <v>213</v>
      </c>
      <c r="K552" t="s">
        <v>149</v>
      </c>
      <c r="L552" t="s">
        <v>214</v>
      </c>
      <c r="M552" t="s">
        <v>839</v>
      </c>
      <c r="N552" t="s">
        <v>215</v>
      </c>
      <c r="O552" s="57">
        <v>46301.476851851854</v>
      </c>
      <c r="P552" s="57">
        <v>46303.390613425923</v>
      </c>
      <c r="Q552">
        <v>69404916</v>
      </c>
      <c r="S552">
        <v>143363107968</v>
      </c>
      <c r="T552" t="s">
        <v>3567</v>
      </c>
      <c r="U552" t="s">
        <v>3568</v>
      </c>
      <c r="V552" t="s">
        <v>3569</v>
      </c>
      <c r="Z552">
        <v>109.324795343933</v>
      </c>
      <c r="AA552">
        <v>-7.3572610444169602</v>
      </c>
      <c r="AB552" t="s">
        <v>3570</v>
      </c>
      <c r="AC552" t="s">
        <v>235</v>
      </c>
      <c r="AL552" t="s">
        <v>217</v>
      </c>
      <c r="AM552" t="s">
        <v>3571</v>
      </c>
      <c r="AN552" t="s">
        <v>6</v>
      </c>
      <c r="AO552" s="57">
        <v>46183.486203703702</v>
      </c>
      <c r="AP552" s="57">
        <v>46303.333333333336</v>
      </c>
      <c r="AQ552" t="s">
        <v>838</v>
      </c>
      <c r="AR552" t="s">
        <v>840</v>
      </c>
      <c r="AS552" t="s">
        <v>219</v>
      </c>
      <c r="AT552" t="s">
        <v>230</v>
      </c>
      <c r="AV552" t="s">
        <v>4266</v>
      </c>
      <c r="AW552" t="s">
        <v>877</v>
      </c>
      <c r="AX552" t="s">
        <v>222</v>
      </c>
      <c r="BA552" s="57">
        <v>46303.333333333336</v>
      </c>
      <c r="BB552" t="s">
        <v>3571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:61">
      <c r="A553">
        <v>552</v>
      </c>
      <c r="B553">
        <v>1002620790</v>
      </c>
      <c r="C553">
        <v>3</v>
      </c>
      <c r="D553" t="s">
        <v>59</v>
      </c>
      <c r="E553">
        <v>4</v>
      </c>
      <c r="F553" t="s">
        <v>223</v>
      </c>
      <c r="G553" t="s">
        <v>842</v>
      </c>
      <c r="H553" t="s">
        <v>2246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46298.407372685186</v>
      </c>
      <c r="P553" s="57">
        <v>46298.631886574076</v>
      </c>
      <c r="Q553">
        <v>69403497</v>
      </c>
      <c r="S553">
        <v>143363107600</v>
      </c>
      <c r="T553" t="s">
        <v>2247</v>
      </c>
      <c r="U553" t="s">
        <v>2248</v>
      </c>
      <c r="V553" t="s">
        <v>2249</v>
      </c>
      <c r="Z553">
        <v>109.350436981461</v>
      </c>
      <c r="AA553">
        <v>-7.3811161566138397</v>
      </c>
      <c r="AB553" t="s">
        <v>2250</v>
      </c>
      <c r="AC553" t="s">
        <v>235</v>
      </c>
      <c r="AL553" t="s">
        <v>217</v>
      </c>
      <c r="AM553" t="s">
        <v>2251</v>
      </c>
      <c r="AN553" t="s">
        <v>6</v>
      </c>
      <c r="AO553" s="57">
        <v>46091.413935185185</v>
      </c>
      <c r="AP553" s="57">
        <v>46299.458333333336</v>
      </c>
      <c r="AR553" t="s">
        <v>218</v>
      </c>
      <c r="AS553" t="s">
        <v>219</v>
      </c>
      <c r="AT553" t="s">
        <v>230</v>
      </c>
      <c r="AU553">
        <v>20261003</v>
      </c>
      <c r="AV553" t="s">
        <v>221</v>
      </c>
      <c r="AW553" t="s">
        <v>923</v>
      </c>
      <c r="AX553" t="s">
        <v>222</v>
      </c>
      <c r="BA553" s="57">
        <v>46299.458333333336</v>
      </c>
      <c r="BB553" t="s">
        <v>2251</v>
      </c>
      <c r="BC553">
        <v>2026</v>
      </c>
      <c r="BD553">
        <v>10</v>
      </c>
      <c r="BE553">
        <v>3</v>
      </c>
      <c r="BF553" s="6">
        <f t="shared" si="24"/>
        <v>46298</v>
      </c>
      <c r="BG553">
        <f t="shared" si="25"/>
        <v>-1.4583333333357587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1002624171</v>
      </c>
      <c r="C554">
        <v>3</v>
      </c>
      <c r="D554" t="s">
        <v>59</v>
      </c>
      <c r="E554">
        <v>4</v>
      </c>
      <c r="F554" t="s">
        <v>223</v>
      </c>
      <c r="G554" t="s">
        <v>842</v>
      </c>
      <c r="H554" t="s">
        <v>2246</v>
      </c>
      <c r="I554" t="s">
        <v>212</v>
      </c>
      <c r="J554" t="s">
        <v>213</v>
      </c>
      <c r="K554" t="s">
        <v>149</v>
      </c>
      <c r="M554" t="s">
        <v>76</v>
      </c>
      <c r="N554" t="s">
        <v>215</v>
      </c>
      <c r="O554" s="57">
        <v>46301.521817129629</v>
      </c>
      <c r="P554" s="57">
        <v>46301.62060185185</v>
      </c>
      <c r="Q554">
        <v>69403964</v>
      </c>
      <c r="S554">
        <v>143363107970</v>
      </c>
      <c r="T554" t="s">
        <v>2252</v>
      </c>
      <c r="U554" t="s">
        <v>3564</v>
      </c>
      <c r="V554" t="s">
        <v>3565</v>
      </c>
      <c r="Z554">
        <v>109.335765729109</v>
      </c>
      <c r="AA554">
        <v>-7.3558113326921601</v>
      </c>
      <c r="AB554" t="s">
        <v>2255</v>
      </c>
      <c r="AC554" t="s">
        <v>283</v>
      </c>
      <c r="AL554" t="s">
        <v>217</v>
      </c>
      <c r="AM554" t="s">
        <v>3566</v>
      </c>
      <c r="AN554" t="s">
        <v>6</v>
      </c>
      <c r="AO554" s="57">
        <v>46183.528067129628</v>
      </c>
      <c r="AR554" t="s">
        <v>218</v>
      </c>
      <c r="AS554" t="s">
        <v>219</v>
      </c>
      <c r="AT554" t="s">
        <v>230</v>
      </c>
      <c r="AU554">
        <v>20261006</v>
      </c>
      <c r="AV554" t="s">
        <v>221</v>
      </c>
      <c r="AW554" t="s">
        <v>539</v>
      </c>
      <c r="AX554" t="s">
        <v>222</v>
      </c>
      <c r="BA554" s="57">
        <v>46301.291666666664</v>
      </c>
      <c r="BB554" t="s">
        <v>3566</v>
      </c>
      <c r="BC554">
        <v>2026</v>
      </c>
      <c r="BD554">
        <v>10</v>
      </c>
      <c r="BE554">
        <v>6</v>
      </c>
      <c r="BF554" s="6">
        <f t="shared" si="24"/>
        <v>46301</v>
      </c>
      <c r="BG554">
        <f t="shared" si="25"/>
        <v>-0.29166666666424135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1002626411</v>
      </c>
      <c r="C555">
        <v>3</v>
      </c>
      <c r="D555" t="s">
        <v>59</v>
      </c>
      <c r="E555">
        <v>4</v>
      </c>
      <c r="F555" t="s">
        <v>223</v>
      </c>
      <c r="G555" t="s">
        <v>842</v>
      </c>
      <c r="H555" t="s">
        <v>2246</v>
      </c>
      <c r="I555" t="s">
        <v>212</v>
      </c>
      <c r="J555" t="s">
        <v>213</v>
      </c>
      <c r="K555" t="s">
        <v>149</v>
      </c>
      <c r="M555" t="s">
        <v>1627</v>
      </c>
      <c r="N555" t="s">
        <v>215</v>
      </c>
      <c r="O555" s="57">
        <v>46302.615474537037</v>
      </c>
      <c r="P555" s="57">
        <v>46302.615486111114</v>
      </c>
      <c r="Q555">
        <v>69385723</v>
      </c>
      <c r="S555">
        <v>143363106897</v>
      </c>
      <c r="T555" t="s">
        <v>4267</v>
      </c>
      <c r="U555" t="s">
        <v>4268</v>
      </c>
      <c r="V555" t="s">
        <v>4269</v>
      </c>
      <c r="Z555">
        <v>109.331622191856</v>
      </c>
      <c r="AA555">
        <v>-7.4732879609906604</v>
      </c>
      <c r="AB555" t="s">
        <v>4270</v>
      </c>
      <c r="AC555" t="s">
        <v>4271</v>
      </c>
      <c r="AM555" t="s">
        <v>4272</v>
      </c>
      <c r="AO555" s="57">
        <v>46213.621770833335</v>
      </c>
      <c r="AR555" t="s">
        <v>12</v>
      </c>
      <c r="AS555" t="s">
        <v>219</v>
      </c>
      <c r="AT555" t="s">
        <v>230</v>
      </c>
      <c r="AW555" t="s">
        <v>540</v>
      </c>
      <c r="AX555" t="s">
        <v>222</v>
      </c>
      <c r="BB555" t="s">
        <v>4272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:61">
      <c r="A556">
        <v>555</v>
      </c>
      <c r="B556">
        <v>1002618704</v>
      </c>
      <c r="C556">
        <v>3</v>
      </c>
      <c r="D556" t="s">
        <v>49</v>
      </c>
      <c r="E556">
        <v>4</v>
      </c>
      <c r="F556" t="s">
        <v>249</v>
      </c>
      <c r="G556" t="s">
        <v>536</v>
      </c>
      <c r="H556" t="s">
        <v>853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46296.718518518515</v>
      </c>
      <c r="P556" s="57">
        <v>46298.510393518518</v>
      </c>
      <c r="Q556">
        <v>69402619</v>
      </c>
      <c r="S556">
        <v>146284107775</v>
      </c>
      <c r="T556" t="s">
        <v>1261</v>
      </c>
      <c r="U556" t="s">
        <v>1262</v>
      </c>
      <c r="V556" t="s">
        <v>1263</v>
      </c>
      <c r="Z556">
        <v>109.067885</v>
      </c>
      <c r="AA556">
        <v>-6.8762809999999996</v>
      </c>
      <c r="AB556" t="s">
        <v>1264</v>
      </c>
      <c r="AC556" t="s">
        <v>235</v>
      </c>
      <c r="AL556" t="s">
        <v>217</v>
      </c>
      <c r="AM556" t="s">
        <v>1265</v>
      </c>
      <c r="AN556" t="s">
        <v>6</v>
      </c>
      <c r="AO556" s="57">
        <v>46032.726099537038</v>
      </c>
      <c r="AP556" s="57">
        <v>46298.333333333336</v>
      </c>
      <c r="AR556" t="s">
        <v>218</v>
      </c>
      <c r="AS556" t="s">
        <v>219</v>
      </c>
      <c r="AT556" t="s">
        <v>230</v>
      </c>
      <c r="AU556">
        <v>20261003</v>
      </c>
      <c r="AV556" t="s">
        <v>221</v>
      </c>
      <c r="AW556" t="s">
        <v>877</v>
      </c>
      <c r="AX556" t="s">
        <v>222</v>
      </c>
      <c r="BA556" s="57">
        <v>46298.333333333336</v>
      </c>
      <c r="BB556" t="s">
        <v>1265</v>
      </c>
      <c r="BC556">
        <v>2026</v>
      </c>
      <c r="BD556">
        <v>10</v>
      </c>
      <c r="BE556">
        <v>3</v>
      </c>
      <c r="BF556" s="6">
        <f t="shared" si="24"/>
        <v>46298</v>
      </c>
      <c r="BG556">
        <f t="shared" si="25"/>
        <v>-0.33333333333575865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1002618417</v>
      </c>
      <c r="C557">
        <v>3</v>
      </c>
      <c r="D557" t="s">
        <v>49</v>
      </c>
      <c r="E557">
        <v>4</v>
      </c>
      <c r="F557" t="s">
        <v>249</v>
      </c>
      <c r="G557" t="s">
        <v>536</v>
      </c>
      <c r="H557" t="s">
        <v>856</v>
      </c>
      <c r="I557" t="s">
        <v>212</v>
      </c>
      <c r="J557" t="s">
        <v>213</v>
      </c>
      <c r="K557" t="s">
        <v>149</v>
      </c>
      <c r="M557" t="s">
        <v>542</v>
      </c>
      <c r="N557" t="s">
        <v>215</v>
      </c>
      <c r="O557" s="57">
        <v>46296.655844907407</v>
      </c>
      <c r="P557" s="57">
        <v>46301.359479166669</v>
      </c>
      <c r="Q557">
        <v>69402558</v>
      </c>
      <c r="S557">
        <v>146281108645</v>
      </c>
      <c r="T557" t="s">
        <v>1266</v>
      </c>
      <c r="U557" t="s">
        <v>1267</v>
      </c>
      <c r="V557" t="s">
        <v>2257</v>
      </c>
      <c r="Z557">
        <v>109.0351962</v>
      </c>
      <c r="AA557">
        <v>-7.2957374000000002</v>
      </c>
      <c r="AB557" t="s">
        <v>1268</v>
      </c>
      <c r="AC557" t="s">
        <v>225</v>
      </c>
      <c r="AL557" t="s">
        <v>217</v>
      </c>
      <c r="AM557" t="s">
        <v>2258</v>
      </c>
      <c r="AN557" t="s">
        <v>6</v>
      </c>
      <c r="AO557" s="57">
        <v>46032.694421296299</v>
      </c>
      <c r="AP557" s="57">
        <v>46298.625</v>
      </c>
      <c r="AR557" t="s">
        <v>543</v>
      </c>
      <c r="AS557" t="s">
        <v>857</v>
      </c>
      <c r="AT557" t="s">
        <v>230</v>
      </c>
      <c r="AV557" t="s">
        <v>2643</v>
      </c>
      <c r="AW557" t="s">
        <v>540</v>
      </c>
      <c r="AX557" t="s">
        <v>222</v>
      </c>
      <c r="BA557" s="57">
        <v>46298.625</v>
      </c>
      <c r="BB557" t="s">
        <v>2258</v>
      </c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:61">
      <c r="A558">
        <v>557</v>
      </c>
      <c r="B558">
        <v>1002618251</v>
      </c>
      <c r="C558">
        <v>3</v>
      </c>
      <c r="D558" t="s">
        <v>49</v>
      </c>
      <c r="E558">
        <v>4</v>
      </c>
      <c r="F558" t="s">
        <v>249</v>
      </c>
      <c r="G558" t="s">
        <v>536</v>
      </c>
      <c r="H558" t="s">
        <v>856</v>
      </c>
      <c r="I558" t="s">
        <v>212</v>
      </c>
      <c r="J558" t="s">
        <v>213</v>
      </c>
      <c r="K558" t="s">
        <v>149</v>
      </c>
      <c r="M558" t="s">
        <v>2949</v>
      </c>
      <c r="N558" t="s">
        <v>215</v>
      </c>
      <c r="O558" s="57">
        <v>46296.630312499998</v>
      </c>
      <c r="P558" s="57">
        <v>46301.577118055553</v>
      </c>
      <c r="Q558">
        <v>69402491</v>
      </c>
      <c r="S558">
        <v>146281108643</v>
      </c>
      <c r="T558" t="s">
        <v>1266</v>
      </c>
      <c r="U558" t="s">
        <v>1267</v>
      </c>
      <c r="V558" t="s">
        <v>2259</v>
      </c>
      <c r="Z558">
        <v>109.0351962</v>
      </c>
      <c r="AA558">
        <v>-7.2957374000000002</v>
      </c>
      <c r="AB558" t="s">
        <v>1268</v>
      </c>
      <c r="AC558" t="s">
        <v>225</v>
      </c>
      <c r="AL558" t="s">
        <v>217</v>
      </c>
      <c r="AM558" t="s">
        <v>2260</v>
      </c>
      <c r="AN558" t="s">
        <v>6</v>
      </c>
      <c r="AO558" s="57">
        <v>46032.632627314815</v>
      </c>
      <c r="AP558" s="57">
        <v>46298.625</v>
      </c>
      <c r="AS558" t="s">
        <v>857</v>
      </c>
      <c r="AT558" t="s">
        <v>230</v>
      </c>
      <c r="AV558" t="s">
        <v>2949</v>
      </c>
      <c r="AW558" t="s">
        <v>540</v>
      </c>
      <c r="AX558" t="s">
        <v>222</v>
      </c>
      <c r="BA558" s="57">
        <v>46298.625</v>
      </c>
      <c r="BB558" t="s">
        <v>2260</v>
      </c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:61">
      <c r="A559">
        <v>558</v>
      </c>
      <c r="B559">
        <v>1002623265</v>
      </c>
      <c r="C559">
        <v>3</v>
      </c>
      <c r="D559" t="s">
        <v>49</v>
      </c>
      <c r="E559">
        <v>4</v>
      </c>
      <c r="F559" t="s">
        <v>249</v>
      </c>
      <c r="G559" t="s">
        <v>536</v>
      </c>
      <c r="H559" t="s">
        <v>856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46300.758101851854</v>
      </c>
      <c r="P559" s="57">
        <v>46301.505162037036</v>
      </c>
      <c r="Q559">
        <v>69404602</v>
      </c>
      <c r="S559">
        <v>146281107910</v>
      </c>
      <c r="T559" t="s">
        <v>2950</v>
      </c>
      <c r="U559" t="s">
        <v>2951</v>
      </c>
      <c r="V559" t="s">
        <v>2952</v>
      </c>
      <c r="Z559">
        <v>108.992575518786</v>
      </c>
      <c r="AA559">
        <v>-7.22661242174531</v>
      </c>
      <c r="AB559" t="s">
        <v>2953</v>
      </c>
      <c r="AC559" t="s">
        <v>216</v>
      </c>
      <c r="AL559" t="s">
        <v>217</v>
      </c>
      <c r="AM559" t="s">
        <v>2954</v>
      </c>
      <c r="AN559" t="s">
        <v>6</v>
      </c>
      <c r="AO559" s="57">
        <v>46152.767708333333</v>
      </c>
      <c r="AP559" s="57">
        <v>46301.625</v>
      </c>
      <c r="AR559" t="s">
        <v>218</v>
      </c>
      <c r="AS559" t="s">
        <v>857</v>
      </c>
      <c r="AT559" t="s">
        <v>342</v>
      </c>
      <c r="AU559">
        <v>20261006</v>
      </c>
      <c r="AV559" t="s">
        <v>221</v>
      </c>
      <c r="AW559" t="s">
        <v>2955</v>
      </c>
      <c r="AX559" t="s">
        <v>222</v>
      </c>
      <c r="BA559" s="57">
        <v>46301.625</v>
      </c>
      <c r="BB559" t="s">
        <v>2954</v>
      </c>
      <c r="BC559">
        <v>2026</v>
      </c>
      <c r="BD559">
        <v>10</v>
      </c>
      <c r="BE559">
        <v>6</v>
      </c>
      <c r="BF559" s="6">
        <f t="shared" si="24"/>
        <v>46301</v>
      </c>
      <c r="BG559">
        <f t="shared" si="25"/>
        <v>-0.625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1002625073</v>
      </c>
      <c r="C560">
        <v>3</v>
      </c>
      <c r="D560" t="s">
        <v>49</v>
      </c>
      <c r="E560">
        <v>4</v>
      </c>
      <c r="F560" t="s">
        <v>249</v>
      </c>
      <c r="G560" t="s">
        <v>536</v>
      </c>
      <c r="H560" t="s">
        <v>856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46301.708090277774</v>
      </c>
      <c r="P560" s="57">
        <v>46302.508379629631</v>
      </c>
      <c r="Q560">
        <v>69405339</v>
      </c>
      <c r="S560">
        <v>146281107963</v>
      </c>
      <c r="T560" t="s">
        <v>3572</v>
      </c>
      <c r="U560" t="s">
        <v>3573</v>
      </c>
      <c r="V560" t="s">
        <v>3574</v>
      </c>
      <c r="Z560">
        <v>109.041996</v>
      </c>
      <c r="AA560">
        <v>-7.3051760000000003</v>
      </c>
      <c r="AB560" t="s">
        <v>3575</v>
      </c>
      <c r="AC560" t="s">
        <v>235</v>
      </c>
      <c r="AL560" t="s">
        <v>217</v>
      </c>
      <c r="AM560" t="s">
        <v>3576</v>
      </c>
      <c r="AN560" t="s">
        <v>6</v>
      </c>
      <c r="AO560" s="57">
        <v>46183.725902777776</v>
      </c>
      <c r="AP560" s="57">
        <v>46302.625</v>
      </c>
      <c r="AR560" t="s">
        <v>218</v>
      </c>
      <c r="AS560" t="s">
        <v>857</v>
      </c>
      <c r="AT560" t="s">
        <v>230</v>
      </c>
      <c r="AU560">
        <v>20261007</v>
      </c>
      <c r="AV560" t="s">
        <v>221</v>
      </c>
      <c r="AW560" t="s">
        <v>883</v>
      </c>
      <c r="AX560" t="s">
        <v>222</v>
      </c>
      <c r="BA560" s="57">
        <v>46302.625</v>
      </c>
      <c r="BB560" t="s">
        <v>3576</v>
      </c>
      <c r="BC560">
        <v>2026</v>
      </c>
      <c r="BD560">
        <v>10</v>
      </c>
      <c r="BE560">
        <v>7</v>
      </c>
      <c r="BF560" s="6">
        <f t="shared" si="24"/>
        <v>46302</v>
      </c>
      <c r="BG560">
        <f t="shared" si="25"/>
        <v>-0.625</v>
      </c>
      <c r="BH560" t="str">
        <f t="shared" si="26"/>
        <v>COMPLY</v>
      </c>
      <c r="BI560" t="e">
        <f>VLOOKUP(H560,Sheet2!$A$1:$B$270,2,FALSE)</f>
        <v>#N/A</v>
      </c>
    </row>
    <row r="561" spans="1:61">
      <c r="A561">
        <v>560</v>
      </c>
      <c r="B561">
        <v>1002618002</v>
      </c>
      <c r="C561">
        <v>3</v>
      </c>
      <c r="D561" t="s">
        <v>49</v>
      </c>
      <c r="E561">
        <v>4</v>
      </c>
      <c r="F561" t="s">
        <v>249</v>
      </c>
      <c r="G561" t="s">
        <v>870</v>
      </c>
      <c r="H561" t="s">
        <v>893</v>
      </c>
      <c r="I561" t="s">
        <v>212</v>
      </c>
      <c r="J561" t="s">
        <v>213</v>
      </c>
      <c r="K561" t="s">
        <v>149</v>
      </c>
      <c r="M561" t="s">
        <v>1401</v>
      </c>
      <c r="N561" t="s">
        <v>895</v>
      </c>
      <c r="O561" s="57">
        <v>46296.586423611108</v>
      </c>
      <c r="P561" s="57">
        <v>46300.70484953704</v>
      </c>
      <c r="Q561">
        <v>69396047</v>
      </c>
      <c r="S561">
        <v>142203104994</v>
      </c>
      <c r="T561" t="s">
        <v>894</v>
      </c>
      <c r="U561" t="s">
        <v>1269</v>
      </c>
      <c r="V561" t="s">
        <v>1270</v>
      </c>
      <c r="Z561">
        <v>109.1015592</v>
      </c>
      <c r="AA561">
        <v>-6.8686486999999996</v>
      </c>
      <c r="AB561" t="s">
        <v>1271</v>
      </c>
      <c r="AC561" t="s">
        <v>225</v>
      </c>
      <c r="AL561" t="s">
        <v>217</v>
      </c>
      <c r="AM561" t="s">
        <v>1272</v>
      </c>
      <c r="AN561" t="s">
        <v>6</v>
      </c>
      <c r="AO561" s="57">
        <v>46032.590474537035</v>
      </c>
      <c r="AP561" s="57">
        <v>46298.333333333336</v>
      </c>
      <c r="AQ561" t="s">
        <v>838</v>
      </c>
      <c r="AR561" t="s">
        <v>14</v>
      </c>
      <c r="AS561" t="s">
        <v>219</v>
      </c>
      <c r="AT561" t="s">
        <v>230</v>
      </c>
      <c r="AV561" t="s">
        <v>2956</v>
      </c>
      <c r="AW561" t="s">
        <v>540</v>
      </c>
      <c r="AX561" t="s">
        <v>222</v>
      </c>
      <c r="BA561" s="57">
        <v>46298.333333333336</v>
      </c>
      <c r="BB561" t="s">
        <v>1272</v>
      </c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:61">
      <c r="A562">
        <v>561</v>
      </c>
      <c r="B562">
        <v>1002617834</v>
      </c>
      <c r="C562">
        <v>3</v>
      </c>
      <c r="D562" t="s">
        <v>49</v>
      </c>
      <c r="E562">
        <v>4</v>
      </c>
      <c r="F562" t="s">
        <v>249</v>
      </c>
      <c r="G562" t="s">
        <v>870</v>
      </c>
      <c r="H562" t="s">
        <v>893</v>
      </c>
      <c r="I562" t="s">
        <v>212</v>
      </c>
      <c r="J562" t="s">
        <v>213</v>
      </c>
      <c r="K562" t="s">
        <v>149</v>
      </c>
      <c r="M562" t="s">
        <v>1401</v>
      </c>
      <c r="N562" t="s">
        <v>895</v>
      </c>
      <c r="O562" s="57">
        <v>46296.557685185187</v>
      </c>
      <c r="P562" s="57">
        <v>46300.388692129629</v>
      </c>
      <c r="Q562">
        <v>69396047</v>
      </c>
      <c r="S562">
        <v>142203104993</v>
      </c>
      <c r="T562" t="s">
        <v>894</v>
      </c>
      <c r="U562" t="s">
        <v>896</v>
      </c>
      <c r="V562" t="s">
        <v>1273</v>
      </c>
      <c r="Z562">
        <v>109.1015592</v>
      </c>
      <c r="AA562">
        <v>-6.8686486999999996</v>
      </c>
      <c r="AB562" t="s">
        <v>1274</v>
      </c>
      <c r="AC562" t="s">
        <v>225</v>
      </c>
      <c r="AL562" t="s">
        <v>217</v>
      </c>
      <c r="AM562" t="s">
        <v>1272</v>
      </c>
      <c r="AN562" t="s">
        <v>6</v>
      </c>
      <c r="AO562" s="57">
        <v>46032.559305555558</v>
      </c>
      <c r="AP562" s="57">
        <v>46298.333333333336</v>
      </c>
      <c r="AQ562" t="s">
        <v>838</v>
      </c>
      <c r="AR562" t="s">
        <v>14</v>
      </c>
      <c r="AS562" t="s">
        <v>219</v>
      </c>
      <c r="AT562" t="s">
        <v>230</v>
      </c>
      <c r="AV562" t="s">
        <v>2957</v>
      </c>
      <c r="AW562" t="s">
        <v>540</v>
      </c>
      <c r="AX562" t="s">
        <v>222</v>
      </c>
      <c r="BA562" s="57">
        <v>46298.333333333336</v>
      </c>
      <c r="BB562" t="s">
        <v>1272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:61">
      <c r="A563">
        <v>562</v>
      </c>
      <c r="B563">
        <v>1002623181</v>
      </c>
      <c r="C563">
        <v>3</v>
      </c>
      <c r="D563" t="s">
        <v>49</v>
      </c>
      <c r="E563">
        <v>4</v>
      </c>
      <c r="F563" t="s">
        <v>249</v>
      </c>
      <c r="G563" t="s">
        <v>870</v>
      </c>
      <c r="H563" t="s">
        <v>893</v>
      </c>
      <c r="I563" t="s">
        <v>212</v>
      </c>
      <c r="J563" t="s">
        <v>213</v>
      </c>
      <c r="K563" t="s">
        <v>149</v>
      </c>
      <c r="M563" t="s">
        <v>76</v>
      </c>
      <c r="N563" t="s">
        <v>895</v>
      </c>
      <c r="O563" s="57">
        <v>46300.704861111109</v>
      </c>
      <c r="P563" s="57">
        <v>46300.747523148151</v>
      </c>
      <c r="Q563">
        <v>69396047</v>
      </c>
      <c r="S563">
        <v>142203103734</v>
      </c>
      <c r="T563" t="s">
        <v>894</v>
      </c>
      <c r="U563" t="s">
        <v>2958</v>
      </c>
      <c r="V563" t="s">
        <v>2959</v>
      </c>
      <c r="Z563">
        <v>109.1015592</v>
      </c>
      <c r="AA563">
        <v>-6.8686486999999996</v>
      </c>
      <c r="AB563" t="s">
        <v>1271</v>
      </c>
      <c r="AC563" t="s">
        <v>225</v>
      </c>
      <c r="AL563" t="s">
        <v>217</v>
      </c>
      <c r="AM563" t="s">
        <v>2960</v>
      </c>
      <c r="AN563" t="s">
        <v>6</v>
      </c>
      <c r="AO563" s="57">
        <v>46152.726238425923</v>
      </c>
      <c r="AR563" t="s">
        <v>218</v>
      </c>
      <c r="AS563" t="s">
        <v>219</v>
      </c>
      <c r="AT563" t="s">
        <v>230</v>
      </c>
      <c r="AU563">
        <v>20261005</v>
      </c>
      <c r="AV563" t="s">
        <v>221</v>
      </c>
      <c r="AW563" t="s">
        <v>577</v>
      </c>
      <c r="AX563" t="s">
        <v>222</v>
      </c>
      <c r="BA563" s="57">
        <v>46300.291666666664</v>
      </c>
      <c r="BB563" t="s">
        <v>2960</v>
      </c>
      <c r="BC563">
        <v>2026</v>
      </c>
      <c r="BD563">
        <v>10</v>
      </c>
      <c r="BE563">
        <v>5</v>
      </c>
      <c r="BF563" s="6">
        <f t="shared" si="24"/>
        <v>46300</v>
      </c>
      <c r="BG563">
        <f t="shared" si="25"/>
        <v>-0.29166666666424135</v>
      </c>
      <c r="BH563" t="str">
        <f t="shared" si="26"/>
        <v>COMPLY</v>
      </c>
      <c r="BI563" t="e">
        <f>VLOOKUP(H563,Sheet2!$A$1:$B$270,2,FALSE)</f>
        <v>#N/A</v>
      </c>
    </row>
    <row r="564" spans="1:61">
      <c r="A564">
        <v>563</v>
      </c>
      <c r="B564">
        <v>1002621714</v>
      </c>
      <c r="C564">
        <v>3</v>
      </c>
      <c r="D564" t="s">
        <v>49</v>
      </c>
      <c r="E564">
        <v>4</v>
      </c>
      <c r="F564" t="s">
        <v>249</v>
      </c>
      <c r="G564" t="s">
        <v>870</v>
      </c>
      <c r="H564" t="s">
        <v>893</v>
      </c>
      <c r="I564" t="s">
        <v>212</v>
      </c>
      <c r="J564" t="s">
        <v>213</v>
      </c>
      <c r="K564" t="s">
        <v>149</v>
      </c>
      <c r="M564" t="s">
        <v>76</v>
      </c>
      <c r="N564" t="s">
        <v>895</v>
      </c>
      <c r="O564" s="57">
        <v>46300.388692129629</v>
      </c>
      <c r="P564" s="57">
        <v>46300.843217592592</v>
      </c>
      <c r="Q564">
        <v>69396047</v>
      </c>
      <c r="S564">
        <v>142203103732</v>
      </c>
      <c r="T564" t="s">
        <v>894</v>
      </c>
      <c r="U564" t="s">
        <v>2958</v>
      </c>
      <c r="V564" t="s">
        <v>2961</v>
      </c>
      <c r="Z564">
        <v>109.101286</v>
      </c>
      <c r="AA564">
        <v>-6.8686780000000001</v>
      </c>
      <c r="AB564" t="s">
        <v>1274</v>
      </c>
      <c r="AC564" t="s">
        <v>225</v>
      </c>
      <c r="AL564" t="s">
        <v>217</v>
      </c>
      <c r="AM564" t="s">
        <v>2960</v>
      </c>
      <c r="AN564" t="s">
        <v>6</v>
      </c>
      <c r="AO564" s="57">
        <v>46152.392511574071</v>
      </c>
      <c r="AR564" t="s">
        <v>218</v>
      </c>
      <c r="AS564" t="s">
        <v>219</v>
      </c>
      <c r="AT564" t="s">
        <v>230</v>
      </c>
      <c r="AU564">
        <v>20261005</v>
      </c>
      <c r="AV564" t="s">
        <v>221</v>
      </c>
      <c r="AW564" t="s">
        <v>577</v>
      </c>
      <c r="AX564" t="s">
        <v>222</v>
      </c>
      <c r="BA564" s="57">
        <v>46300.291666666664</v>
      </c>
      <c r="BB564" t="s">
        <v>2960</v>
      </c>
      <c r="BC564">
        <v>2026</v>
      </c>
      <c r="BD564">
        <v>10</v>
      </c>
      <c r="BE564">
        <v>5</v>
      </c>
      <c r="BF564" s="6">
        <f t="shared" si="24"/>
        <v>46300</v>
      </c>
      <c r="BG564">
        <f t="shared" si="25"/>
        <v>-0.29166666666424135</v>
      </c>
      <c r="BH564" t="str">
        <f t="shared" si="26"/>
        <v>COMPLY</v>
      </c>
      <c r="BI564" t="e">
        <f>VLOOKUP(H564,Sheet2!$A$1:$B$270,2,FALSE)</f>
        <v>#N/A</v>
      </c>
    </row>
    <row r="565" spans="1:61">
      <c r="A565">
        <v>564</v>
      </c>
      <c r="B565">
        <v>1002622772</v>
      </c>
      <c r="C565">
        <v>3</v>
      </c>
      <c r="D565" t="s">
        <v>49</v>
      </c>
      <c r="E565">
        <v>4</v>
      </c>
      <c r="F565" t="s">
        <v>249</v>
      </c>
      <c r="G565" t="s">
        <v>870</v>
      </c>
      <c r="H565" t="s">
        <v>893</v>
      </c>
      <c r="I565" t="s">
        <v>212</v>
      </c>
      <c r="J565" t="s">
        <v>213</v>
      </c>
      <c r="K565" t="s">
        <v>149</v>
      </c>
      <c r="M565" t="s">
        <v>76</v>
      </c>
      <c r="N565" t="s">
        <v>895</v>
      </c>
      <c r="O565" s="57">
        <v>46300.627083333333</v>
      </c>
      <c r="P565" s="57">
        <v>46300.84171296296</v>
      </c>
      <c r="Q565">
        <v>69396047</v>
      </c>
      <c r="S565">
        <v>142203103733</v>
      </c>
      <c r="T565" t="s">
        <v>894</v>
      </c>
      <c r="U565" t="s">
        <v>896</v>
      </c>
      <c r="V565" t="s">
        <v>2962</v>
      </c>
      <c r="Z565">
        <v>109.101602</v>
      </c>
      <c r="AA565">
        <v>-6.868951</v>
      </c>
      <c r="AB565" t="s">
        <v>2963</v>
      </c>
      <c r="AC565" t="s">
        <v>225</v>
      </c>
      <c r="AL565" t="s">
        <v>217</v>
      </c>
      <c r="AM565" t="s">
        <v>2960</v>
      </c>
      <c r="AN565" t="s">
        <v>6</v>
      </c>
      <c r="AO565" s="57">
        <v>46152.632743055554</v>
      </c>
      <c r="AR565" t="s">
        <v>218</v>
      </c>
      <c r="AS565" t="s">
        <v>219</v>
      </c>
      <c r="AT565" t="s">
        <v>230</v>
      </c>
      <c r="AU565">
        <v>20261005</v>
      </c>
      <c r="AV565" t="s">
        <v>221</v>
      </c>
      <c r="AW565" t="s">
        <v>577</v>
      </c>
      <c r="AX565" t="s">
        <v>222</v>
      </c>
      <c r="BA565" s="57">
        <v>46300.291666666664</v>
      </c>
      <c r="BB565" t="s">
        <v>2960</v>
      </c>
      <c r="BC565">
        <v>2026</v>
      </c>
      <c r="BD565">
        <v>10</v>
      </c>
      <c r="BE565">
        <v>5</v>
      </c>
      <c r="BF565" s="6">
        <f t="shared" si="24"/>
        <v>46300</v>
      </c>
      <c r="BG565">
        <f t="shared" si="25"/>
        <v>-0.29166666666424135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1002619976</v>
      </c>
      <c r="C566">
        <v>3</v>
      </c>
      <c r="D566" t="s">
        <v>49</v>
      </c>
      <c r="E566">
        <v>4</v>
      </c>
      <c r="F566" t="s">
        <v>249</v>
      </c>
      <c r="G566" t="s">
        <v>870</v>
      </c>
      <c r="H566" t="s">
        <v>2261</v>
      </c>
      <c r="I566" t="s">
        <v>212</v>
      </c>
      <c r="J566" t="s">
        <v>213</v>
      </c>
      <c r="K566" t="s">
        <v>149</v>
      </c>
      <c r="M566" t="s">
        <v>1401</v>
      </c>
      <c r="N566" t="s">
        <v>215</v>
      </c>
      <c r="O566" s="57">
        <v>46297.59915509259</v>
      </c>
      <c r="P566" s="57">
        <v>46301.529398148145</v>
      </c>
      <c r="Q566">
        <v>69403140</v>
      </c>
      <c r="S566">
        <v>142212128257</v>
      </c>
      <c r="T566" t="s">
        <v>2262</v>
      </c>
      <c r="U566" t="s">
        <v>2263</v>
      </c>
      <c r="V566" t="s">
        <v>2264</v>
      </c>
      <c r="Z566">
        <v>109.1858625</v>
      </c>
      <c r="AA566">
        <v>-6.8979358</v>
      </c>
      <c r="AB566" t="s">
        <v>2265</v>
      </c>
      <c r="AC566" t="s">
        <v>225</v>
      </c>
      <c r="AL566" t="s">
        <v>217</v>
      </c>
      <c r="AM566" t="s">
        <v>2266</v>
      </c>
      <c r="AN566" t="s">
        <v>6</v>
      </c>
      <c r="AO566" s="57">
        <v>46063.61105324074</v>
      </c>
      <c r="AP566" s="57">
        <v>46300.333333333336</v>
      </c>
      <c r="AQ566" t="s">
        <v>838</v>
      </c>
      <c r="AR566" t="s">
        <v>14</v>
      </c>
      <c r="AS566" t="s">
        <v>219</v>
      </c>
      <c r="AT566" t="s">
        <v>230</v>
      </c>
      <c r="AV566" t="s">
        <v>2964</v>
      </c>
      <c r="AW566" t="s">
        <v>541</v>
      </c>
      <c r="AX566" t="s">
        <v>222</v>
      </c>
      <c r="BA566" s="57">
        <v>46300.333333333336</v>
      </c>
      <c r="BB566" t="s">
        <v>2266</v>
      </c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:61">
      <c r="A567">
        <v>566</v>
      </c>
      <c r="B567">
        <v>1002625905</v>
      </c>
      <c r="C567">
        <v>3</v>
      </c>
      <c r="D567" t="s">
        <v>49</v>
      </c>
      <c r="E567">
        <v>4</v>
      </c>
      <c r="F567" t="s">
        <v>249</v>
      </c>
      <c r="G567" t="s">
        <v>870</v>
      </c>
      <c r="H567" t="s">
        <v>2261</v>
      </c>
      <c r="I567" t="s">
        <v>212</v>
      </c>
      <c r="J567" t="s">
        <v>213</v>
      </c>
      <c r="K567" t="s">
        <v>149</v>
      </c>
      <c r="L567" t="s">
        <v>214</v>
      </c>
      <c r="M567" t="s">
        <v>839</v>
      </c>
      <c r="N567" t="s">
        <v>215</v>
      </c>
      <c r="O567" s="57">
        <v>46302.497002314813</v>
      </c>
      <c r="P567" s="57">
        <v>46303.378067129626</v>
      </c>
      <c r="Q567">
        <v>69405734</v>
      </c>
      <c r="S567">
        <v>142212128320</v>
      </c>
      <c r="T567" t="s">
        <v>4273</v>
      </c>
      <c r="U567" t="s">
        <v>4274</v>
      </c>
      <c r="V567" t="s">
        <v>4275</v>
      </c>
      <c r="Z567">
        <v>109.13191399999999</v>
      </c>
      <c r="AA567">
        <v>-6.8664100000000001</v>
      </c>
      <c r="AB567" t="s">
        <v>4276</v>
      </c>
      <c r="AC567" t="s">
        <v>235</v>
      </c>
      <c r="AL567" t="s">
        <v>217</v>
      </c>
      <c r="AM567" t="s">
        <v>3947</v>
      </c>
      <c r="AN567" t="s">
        <v>6</v>
      </c>
      <c r="AO567" s="57">
        <v>46213.507164351853</v>
      </c>
      <c r="AP567" s="57">
        <v>46303.333333333336</v>
      </c>
      <c r="AQ567" t="s">
        <v>841</v>
      </c>
      <c r="AR567" t="s">
        <v>840</v>
      </c>
      <c r="AS567" t="s">
        <v>219</v>
      </c>
      <c r="AT567" t="s">
        <v>230</v>
      </c>
      <c r="AV567" t="s">
        <v>4277</v>
      </c>
      <c r="AW567" t="s">
        <v>923</v>
      </c>
      <c r="AX567" t="s">
        <v>222</v>
      </c>
      <c r="BA567" s="57">
        <v>46303.333333333336</v>
      </c>
      <c r="BB567" t="s">
        <v>3947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:61">
      <c r="A568">
        <v>567</v>
      </c>
      <c r="B568">
        <v>1002622505</v>
      </c>
      <c r="C568">
        <v>3</v>
      </c>
      <c r="D568" t="s">
        <v>49</v>
      </c>
      <c r="E568">
        <v>4</v>
      </c>
      <c r="F568" t="s">
        <v>249</v>
      </c>
      <c r="G568" t="s">
        <v>870</v>
      </c>
      <c r="H568" t="s">
        <v>2261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46300.57608796296</v>
      </c>
      <c r="P568" s="57">
        <v>46301.676608796297</v>
      </c>
      <c r="Q568">
        <v>69404376</v>
      </c>
      <c r="S568">
        <v>142212128298</v>
      </c>
      <c r="T568" t="s">
        <v>2073</v>
      </c>
      <c r="U568" t="s">
        <v>2965</v>
      </c>
      <c r="V568" t="s">
        <v>2966</v>
      </c>
      <c r="Z568">
        <v>109.1360463</v>
      </c>
      <c r="AA568">
        <v>-6.8763038999999999</v>
      </c>
      <c r="AB568" t="s">
        <v>2967</v>
      </c>
      <c r="AC568" t="s">
        <v>235</v>
      </c>
      <c r="AL568" t="s">
        <v>217</v>
      </c>
      <c r="AM568" t="s">
        <v>2968</v>
      </c>
      <c r="AN568" t="s">
        <v>6</v>
      </c>
      <c r="AO568" s="57">
        <v>46152.601203703707</v>
      </c>
      <c r="AP568" s="57">
        <v>46301.458333333336</v>
      </c>
      <c r="AR568" t="s">
        <v>218</v>
      </c>
      <c r="AS568" t="s">
        <v>219</v>
      </c>
      <c r="AT568" t="s">
        <v>230</v>
      </c>
      <c r="AU568">
        <v>20261006</v>
      </c>
      <c r="AV568" t="s">
        <v>221</v>
      </c>
      <c r="AW568" t="s">
        <v>880</v>
      </c>
      <c r="AX568" t="s">
        <v>222</v>
      </c>
      <c r="BA568" s="57">
        <v>46301.458333333336</v>
      </c>
      <c r="BB568" t="s">
        <v>2968</v>
      </c>
      <c r="BC568">
        <v>2026</v>
      </c>
      <c r="BD568">
        <v>10</v>
      </c>
      <c r="BE568">
        <v>6</v>
      </c>
      <c r="BF568" s="6">
        <f t="shared" si="24"/>
        <v>46301</v>
      </c>
      <c r="BG568">
        <f t="shared" si="25"/>
        <v>-0.45833333333575865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568</v>
      </c>
      <c r="B569">
        <v>1002624189</v>
      </c>
      <c r="C569">
        <v>3</v>
      </c>
      <c r="D569" t="s">
        <v>49</v>
      </c>
      <c r="E569">
        <v>4</v>
      </c>
      <c r="F569" t="s">
        <v>249</v>
      </c>
      <c r="G569" t="s">
        <v>870</v>
      </c>
      <c r="H569" t="s">
        <v>2261</v>
      </c>
      <c r="I569" t="s">
        <v>212</v>
      </c>
      <c r="J569" t="s">
        <v>213</v>
      </c>
      <c r="K569" t="s">
        <v>149</v>
      </c>
      <c r="M569" t="s">
        <v>76</v>
      </c>
      <c r="N569" t="s">
        <v>215</v>
      </c>
      <c r="O569" s="57">
        <v>46301.529398148145</v>
      </c>
      <c r="P569" s="57">
        <v>46301.579398148147</v>
      </c>
      <c r="Q569">
        <v>69403140</v>
      </c>
      <c r="S569">
        <v>142212128315</v>
      </c>
      <c r="T569" t="s">
        <v>2262</v>
      </c>
      <c r="U569" t="s">
        <v>3582</v>
      </c>
      <c r="V569" t="s">
        <v>3583</v>
      </c>
      <c r="Z569">
        <v>109.2059342</v>
      </c>
      <c r="AA569">
        <v>-6.8678024999999998</v>
      </c>
      <c r="AB569" t="s">
        <v>2265</v>
      </c>
      <c r="AC569" t="s">
        <v>225</v>
      </c>
      <c r="AL569" t="s">
        <v>217</v>
      </c>
      <c r="AM569" t="s">
        <v>3584</v>
      </c>
      <c r="AN569" t="s">
        <v>6</v>
      </c>
      <c r="AO569" s="57">
        <v>46183.559259259258</v>
      </c>
      <c r="AR569" t="s">
        <v>218</v>
      </c>
      <c r="AS569" t="s">
        <v>219</v>
      </c>
      <c r="AT569" t="s">
        <v>230</v>
      </c>
      <c r="AU569">
        <v>20261006</v>
      </c>
      <c r="AV569" t="s">
        <v>221</v>
      </c>
      <c r="AW569" t="s">
        <v>577</v>
      </c>
      <c r="AX569" t="s">
        <v>222</v>
      </c>
      <c r="BA569" s="57">
        <v>46301.291666666664</v>
      </c>
      <c r="BB569" t="s">
        <v>3584</v>
      </c>
      <c r="BC569">
        <v>2026</v>
      </c>
      <c r="BD569">
        <v>10</v>
      </c>
      <c r="BE569">
        <v>6</v>
      </c>
      <c r="BF569" s="6">
        <f t="shared" si="24"/>
        <v>46301</v>
      </c>
      <c r="BG569">
        <f t="shared" si="25"/>
        <v>-0.29166666666424135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1002623481</v>
      </c>
      <c r="C570">
        <v>3</v>
      </c>
      <c r="D570" t="s">
        <v>49</v>
      </c>
      <c r="E570">
        <v>4</v>
      </c>
      <c r="F570" t="s">
        <v>249</v>
      </c>
      <c r="G570" t="s">
        <v>870</v>
      </c>
      <c r="H570" t="s">
        <v>2261</v>
      </c>
      <c r="I570" t="s">
        <v>212</v>
      </c>
      <c r="J570" t="s">
        <v>213</v>
      </c>
      <c r="K570" t="s">
        <v>149</v>
      </c>
      <c r="M570" t="s">
        <v>76</v>
      </c>
      <c r="N570" t="s">
        <v>215</v>
      </c>
      <c r="O570" s="57">
        <v>46301.37122685185</v>
      </c>
      <c r="P570" s="57">
        <v>46302.789641203701</v>
      </c>
      <c r="Q570">
        <v>69404695</v>
      </c>
      <c r="S570">
        <v>142212128308</v>
      </c>
      <c r="T570" t="s">
        <v>3577</v>
      </c>
      <c r="U570" t="s">
        <v>3578</v>
      </c>
      <c r="V570" t="s">
        <v>3579</v>
      </c>
      <c r="Z570">
        <v>109.11524799999999</v>
      </c>
      <c r="AA570">
        <v>-6.8683915999999998</v>
      </c>
      <c r="AB570" t="s">
        <v>3580</v>
      </c>
      <c r="AC570" t="s">
        <v>225</v>
      </c>
      <c r="AL570" t="s">
        <v>217</v>
      </c>
      <c r="AM570" t="s">
        <v>3581</v>
      </c>
      <c r="AN570" t="s">
        <v>6</v>
      </c>
      <c r="AO570" s="57">
        <v>46183.392407407409</v>
      </c>
      <c r="AP570" s="57">
        <v>46302.333333333336</v>
      </c>
      <c r="AR570" t="s">
        <v>218</v>
      </c>
      <c r="AS570" t="s">
        <v>219</v>
      </c>
      <c r="AT570" t="s">
        <v>230</v>
      </c>
      <c r="AU570">
        <v>20261007</v>
      </c>
      <c r="AV570" t="s">
        <v>221</v>
      </c>
      <c r="AW570" t="s">
        <v>539</v>
      </c>
      <c r="AX570" t="s">
        <v>222</v>
      </c>
      <c r="BA570" s="57">
        <v>46302.333333333336</v>
      </c>
      <c r="BB570" t="s">
        <v>3581</v>
      </c>
      <c r="BC570">
        <v>2026</v>
      </c>
      <c r="BD570">
        <v>10</v>
      </c>
      <c r="BE570">
        <v>7</v>
      </c>
      <c r="BF570" s="6">
        <f t="shared" si="24"/>
        <v>46302</v>
      </c>
      <c r="BG570">
        <f t="shared" si="25"/>
        <v>-0.33333333333575865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1002626915</v>
      </c>
      <c r="C571">
        <v>3</v>
      </c>
      <c r="D571" t="s">
        <v>49</v>
      </c>
      <c r="E571">
        <v>4</v>
      </c>
      <c r="F571" t="s">
        <v>249</v>
      </c>
      <c r="G571" t="s">
        <v>870</v>
      </c>
      <c r="H571" t="s">
        <v>2261</v>
      </c>
      <c r="I571" t="s">
        <v>212</v>
      </c>
      <c r="J571" t="s">
        <v>213</v>
      </c>
      <c r="K571" t="s">
        <v>149</v>
      </c>
      <c r="L571" t="s">
        <v>214</v>
      </c>
      <c r="M571" t="s">
        <v>238</v>
      </c>
      <c r="N571" t="s">
        <v>215</v>
      </c>
      <c r="O571" s="57">
        <v>46302.763657407406</v>
      </c>
      <c r="P571" s="57">
        <v>46302.765289351853</v>
      </c>
      <c r="Q571">
        <v>69406144</v>
      </c>
      <c r="S571">
        <v>142212128328</v>
      </c>
      <c r="T571" t="s">
        <v>4278</v>
      </c>
      <c r="U571" t="s">
        <v>4279</v>
      </c>
      <c r="V571" t="s">
        <v>4280</v>
      </c>
      <c r="Z571">
        <v>109.110519960522</v>
      </c>
      <c r="AA571">
        <v>-6.8511951410548999</v>
      </c>
      <c r="AB571" t="s">
        <v>4281</v>
      </c>
      <c r="AC571" t="s">
        <v>216</v>
      </c>
      <c r="AL571" t="s">
        <v>217</v>
      </c>
      <c r="AM571" t="s">
        <v>4282</v>
      </c>
      <c r="AN571" t="s">
        <v>6</v>
      </c>
      <c r="AO571" s="57">
        <v>46213.767291666663</v>
      </c>
      <c r="AP571" s="57">
        <v>46303.625</v>
      </c>
      <c r="AR571" t="s">
        <v>239</v>
      </c>
      <c r="AS571" t="s">
        <v>219</v>
      </c>
      <c r="AT571" t="s">
        <v>230</v>
      </c>
      <c r="AV571" t="s">
        <v>238</v>
      </c>
      <c r="AW571" t="s">
        <v>877</v>
      </c>
      <c r="AX571" t="s">
        <v>222</v>
      </c>
      <c r="BA571" s="57">
        <v>46303.625</v>
      </c>
      <c r="BB571" t="s">
        <v>4282</v>
      </c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e">
        <f>VLOOKUP(H571,Sheet2!$A$1:$B$270,2,FALSE)</f>
        <v>#N/A</v>
      </c>
    </row>
    <row r="572" spans="1:61">
      <c r="A572">
        <v>571</v>
      </c>
      <c r="B572">
        <v>1002618011</v>
      </c>
      <c r="C572">
        <v>3</v>
      </c>
      <c r="D572" t="s">
        <v>49</v>
      </c>
      <c r="E572">
        <v>4</v>
      </c>
      <c r="F572" t="s">
        <v>249</v>
      </c>
      <c r="G572" t="s">
        <v>252</v>
      </c>
      <c r="H572" t="s">
        <v>795</v>
      </c>
      <c r="I572" t="s">
        <v>212</v>
      </c>
      <c r="J572" t="s">
        <v>213</v>
      </c>
      <c r="K572" t="s">
        <v>149</v>
      </c>
      <c r="L572" t="s">
        <v>214</v>
      </c>
      <c r="M572" t="s">
        <v>1401</v>
      </c>
      <c r="N572" t="s">
        <v>215</v>
      </c>
      <c r="O572" s="57">
        <v>46296.586504629631</v>
      </c>
      <c r="P572" s="57">
        <v>46300.547129629631</v>
      </c>
      <c r="Q572">
        <v>69402401</v>
      </c>
      <c r="S572">
        <v>142206131448</v>
      </c>
      <c r="T572" t="s">
        <v>1275</v>
      </c>
      <c r="U572" t="s">
        <v>1276</v>
      </c>
      <c r="V572" t="s">
        <v>1277</v>
      </c>
      <c r="Z572">
        <v>109.150515</v>
      </c>
      <c r="AA572">
        <v>-7.1563602999999896</v>
      </c>
      <c r="AB572" t="s">
        <v>1278</v>
      </c>
      <c r="AC572" t="s">
        <v>235</v>
      </c>
      <c r="AL572" t="s">
        <v>217</v>
      </c>
      <c r="AM572" t="s">
        <v>1279</v>
      </c>
      <c r="AN572" t="s">
        <v>6</v>
      </c>
      <c r="AO572" s="57">
        <v>46032.590474537035</v>
      </c>
      <c r="AP572" s="57">
        <v>46297.458333333336</v>
      </c>
      <c r="AR572" t="s">
        <v>14</v>
      </c>
      <c r="AS572" t="s">
        <v>219</v>
      </c>
      <c r="AT572" t="s">
        <v>230</v>
      </c>
      <c r="AV572" t="s">
        <v>2969</v>
      </c>
      <c r="AW572" t="s">
        <v>880</v>
      </c>
      <c r="AX572" t="s">
        <v>222</v>
      </c>
      <c r="BA572" s="57">
        <v>46297.458333333336</v>
      </c>
      <c r="BB572" t="s">
        <v>1279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:61">
      <c r="A573">
        <v>572</v>
      </c>
      <c r="B573">
        <v>1002619152</v>
      </c>
      <c r="C573">
        <v>3</v>
      </c>
      <c r="D573" t="s">
        <v>49</v>
      </c>
      <c r="E573">
        <v>4</v>
      </c>
      <c r="F573" t="s">
        <v>249</v>
      </c>
      <c r="G573" t="s">
        <v>252</v>
      </c>
      <c r="H573" t="s">
        <v>795</v>
      </c>
      <c r="I573" t="s">
        <v>212</v>
      </c>
      <c r="J573" t="s">
        <v>213</v>
      </c>
      <c r="K573" t="s">
        <v>149</v>
      </c>
      <c r="L573" t="s">
        <v>214</v>
      </c>
      <c r="M573" t="s">
        <v>1401</v>
      </c>
      <c r="N573" t="s">
        <v>215</v>
      </c>
      <c r="O573" s="57">
        <v>46297.399710648147</v>
      </c>
      <c r="P573" s="57">
        <v>46300.655081018522</v>
      </c>
      <c r="Q573">
        <v>69402809</v>
      </c>
      <c r="S573">
        <v>142206131450</v>
      </c>
      <c r="T573" t="s">
        <v>2267</v>
      </c>
      <c r="U573" t="s">
        <v>2268</v>
      </c>
      <c r="V573" t="s">
        <v>2269</v>
      </c>
      <c r="Z573">
        <v>109.114648886024</v>
      </c>
      <c r="AA573">
        <v>-7.0479969286918296</v>
      </c>
      <c r="AB573" t="s">
        <v>2270</v>
      </c>
      <c r="AC573" t="s">
        <v>216</v>
      </c>
      <c r="AL573" t="s">
        <v>217</v>
      </c>
      <c r="AM573" t="s">
        <v>2271</v>
      </c>
      <c r="AN573" t="s">
        <v>6</v>
      </c>
      <c r="AO573" s="57">
        <v>46063.403113425928</v>
      </c>
      <c r="AP573" s="57">
        <v>46298.333333333336</v>
      </c>
      <c r="AQ573" t="s">
        <v>841</v>
      </c>
      <c r="AR573" t="s">
        <v>14</v>
      </c>
      <c r="AS573" t="s">
        <v>219</v>
      </c>
      <c r="AT573" t="s">
        <v>230</v>
      </c>
      <c r="AV573" t="s">
        <v>2970</v>
      </c>
      <c r="AW573" t="s">
        <v>876</v>
      </c>
      <c r="AX573" t="s">
        <v>222</v>
      </c>
      <c r="BA573" s="57">
        <v>46298.333333333336</v>
      </c>
      <c r="BB573" t="s">
        <v>2271</v>
      </c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:61">
      <c r="A574">
        <v>573</v>
      </c>
      <c r="B574">
        <v>1002623785</v>
      </c>
      <c r="C574">
        <v>3</v>
      </c>
      <c r="D574" t="s">
        <v>49</v>
      </c>
      <c r="E574">
        <v>4</v>
      </c>
      <c r="F574" t="s">
        <v>249</v>
      </c>
      <c r="G574" t="s">
        <v>252</v>
      </c>
      <c r="H574" t="s">
        <v>795</v>
      </c>
      <c r="I574" t="s">
        <v>212</v>
      </c>
      <c r="J574" t="s">
        <v>213</v>
      </c>
      <c r="K574" t="s">
        <v>149</v>
      </c>
      <c r="L574" t="s">
        <v>214</v>
      </c>
      <c r="M574" t="s">
        <v>224</v>
      </c>
      <c r="N574" t="s">
        <v>215</v>
      </c>
      <c r="O574" s="57">
        <v>46301.430324074077</v>
      </c>
      <c r="P574" s="57">
        <v>46302.389050925929</v>
      </c>
      <c r="Q574">
        <v>69404805</v>
      </c>
      <c r="S574">
        <v>142206131463</v>
      </c>
      <c r="T574" t="s">
        <v>3585</v>
      </c>
      <c r="U574" t="s">
        <v>3586</v>
      </c>
      <c r="V574" t="s">
        <v>3587</v>
      </c>
      <c r="Z574">
        <v>108.97767399999999</v>
      </c>
      <c r="AA574">
        <v>-7.09239</v>
      </c>
      <c r="AB574" t="s">
        <v>3588</v>
      </c>
      <c r="AC574" t="s">
        <v>235</v>
      </c>
      <c r="AL574" t="s">
        <v>217</v>
      </c>
      <c r="AM574" t="s">
        <v>3215</v>
      </c>
      <c r="AN574" t="s">
        <v>6</v>
      </c>
      <c r="AO574" s="57">
        <v>46183.433946759258</v>
      </c>
      <c r="AP574" s="57">
        <v>46302.333333333336</v>
      </c>
      <c r="AR574" t="s">
        <v>18</v>
      </c>
      <c r="AS574" t="s">
        <v>219</v>
      </c>
      <c r="AT574" t="s">
        <v>230</v>
      </c>
      <c r="AV574" t="s">
        <v>226</v>
      </c>
      <c r="AW574" t="s">
        <v>876</v>
      </c>
      <c r="AX574" t="s">
        <v>222</v>
      </c>
      <c r="BA574" s="57">
        <v>46302.333333333336</v>
      </c>
      <c r="BB574" t="s">
        <v>3215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:61">
      <c r="A575">
        <v>574</v>
      </c>
      <c r="B575">
        <v>1002621459</v>
      </c>
      <c r="C575">
        <v>3</v>
      </c>
      <c r="D575" t="s">
        <v>49</v>
      </c>
      <c r="E575">
        <v>4</v>
      </c>
      <c r="F575" t="s">
        <v>249</v>
      </c>
      <c r="G575" t="s">
        <v>252</v>
      </c>
      <c r="H575" t="s">
        <v>795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46299.644837962966</v>
      </c>
      <c r="P575" s="57">
        <v>46300.535590277781</v>
      </c>
      <c r="Q575">
        <v>69403954</v>
      </c>
      <c r="S575">
        <v>142206131459</v>
      </c>
      <c r="T575" t="s">
        <v>2272</v>
      </c>
      <c r="U575" t="s">
        <v>2971</v>
      </c>
      <c r="V575" t="s">
        <v>2273</v>
      </c>
      <c r="Z575">
        <v>109.025111</v>
      </c>
      <c r="AA575">
        <v>-7.0946629999999997</v>
      </c>
      <c r="AB575" t="s">
        <v>2274</v>
      </c>
      <c r="AC575" t="s">
        <v>235</v>
      </c>
      <c r="AL575" t="s">
        <v>217</v>
      </c>
      <c r="AM575" t="s">
        <v>2275</v>
      </c>
      <c r="AN575" t="s">
        <v>6</v>
      </c>
      <c r="AO575" s="57">
        <v>46122.65283564815</v>
      </c>
      <c r="AP575" s="57">
        <v>46300.625</v>
      </c>
      <c r="AR575" t="s">
        <v>218</v>
      </c>
      <c r="AS575" t="s">
        <v>219</v>
      </c>
      <c r="AT575" t="s">
        <v>230</v>
      </c>
      <c r="AU575">
        <v>20261005</v>
      </c>
      <c r="AV575" t="s">
        <v>221</v>
      </c>
      <c r="AW575" t="s">
        <v>886</v>
      </c>
      <c r="AX575" t="s">
        <v>222</v>
      </c>
      <c r="BA575" s="57">
        <v>46300.625</v>
      </c>
      <c r="BB575" t="s">
        <v>2275</v>
      </c>
      <c r="BC575">
        <v>2026</v>
      </c>
      <c r="BD575">
        <v>10</v>
      </c>
      <c r="BE575">
        <v>5</v>
      </c>
      <c r="BF575" s="6">
        <f t="shared" si="24"/>
        <v>46300</v>
      </c>
      <c r="BG575">
        <f t="shared" si="25"/>
        <v>-0.625</v>
      </c>
      <c r="BH575" t="str">
        <f t="shared" si="26"/>
        <v>COMPLY</v>
      </c>
      <c r="BI575" t="e">
        <f>VLOOKUP(H575,Sheet2!$A$1:$B$270,2,FALSE)</f>
        <v>#N/A</v>
      </c>
    </row>
    <row r="576" spans="1:61">
      <c r="A576">
        <v>575</v>
      </c>
      <c r="B576">
        <v>1002622376</v>
      </c>
      <c r="C576">
        <v>3</v>
      </c>
      <c r="D576" t="s">
        <v>49</v>
      </c>
      <c r="E576">
        <v>4</v>
      </c>
      <c r="F576" t="s">
        <v>249</v>
      </c>
      <c r="G576" t="s">
        <v>252</v>
      </c>
      <c r="H576" t="s">
        <v>795</v>
      </c>
      <c r="I576" t="s">
        <v>212</v>
      </c>
      <c r="J576" t="s">
        <v>213</v>
      </c>
      <c r="K576" t="s">
        <v>149</v>
      </c>
      <c r="M576" t="s">
        <v>76</v>
      </c>
      <c r="N576" t="s">
        <v>215</v>
      </c>
      <c r="O576" s="57">
        <v>46300.5471412037</v>
      </c>
      <c r="P576" s="57">
        <v>46300.60832175926</v>
      </c>
      <c r="Q576">
        <v>69402401</v>
      </c>
      <c r="S576">
        <v>142206131460</v>
      </c>
      <c r="T576" t="s">
        <v>1275</v>
      </c>
      <c r="U576" t="s">
        <v>2972</v>
      </c>
      <c r="V576" t="s">
        <v>2973</v>
      </c>
      <c r="Z576">
        <v>109.150226</v>
      </c>
      <c r="AA576">
        <v>-7.1547739999999997</v>
      </c>
      <c r="AB576" t="s">
        <v>1278</v>
      </c>
      <c r="AC576" t="s">
        <v>283</v>
      </c>
      <c r="AL576" t="s">
        <v>217</v>
      </c>
      <c r="AM576" t="s">
        <v>2974</v>
      </c>
      <c r="AN576" t="s">
        <v>6</v>
      </c>
      <c r="AO576" s="57">
        <v>46152.569618055553</v>
      </c>
      <c r="AR576" t="s">
        <v>218</v>
      </c>
      <c r="AS576" t="s">
        <v>219</v>
      </c>
      <c r="AT576" t="s">
        <v>230</v>
      </c>
      <c r="AU576">
        <v>20261005</v>
      </c>
      <c r="AV576" t="s">
        <v>221</v>
      </c>
      <c r="AW576" t="s">
        <v>540</v>
      </c>
      <c r="AX576" t="s">
        <v>222</v>
      </c>
      <c r="BA576" s="57">
        <v>46300.291666666664</v>
      </c>
      <c r="BB576" t="s">
        <v>2974</v>
      </c>
      <c r="BC576">
        <v>2026</v>
      </c>
      <c r="BD576">
        <v>10</v>
      </c>
      <c r="BE576">
        <v>5</v>
      </c>
      <c r="BF576" s="6">
        <f t="shared" si="24"/>
        <v>46300</v>
      </c>
      <c r="BG576">
        <f t="shared" si="25"/>
        <v>-0.29166666666424135</v>
      </c>
      <c r="BH576" t="str">
        <f t="shared" si="26"/>
        <v>COMPLY</v>
      </c>
      <c r="BI576" t="e">
        <f>VLOOKUP(H576,Sheet2!$A$1:$B$270,2,FALSE)</f>
        <v>#N/A</v>
      </c>
    </row>
    <row r="577" spans="1:61">
      <c r="A577">
        <v>576</v>
      </c>
      <c r="B577">
        <v>1002622928</v>
      </c>
      <c r="C577">
        <v>3</v>
      </c>
      <c r="D577" t="s">
        <v>49</v>
      </c>
      <c r="E577">
        <v>4</v>
      </c>
      <c r="F577" t="s">
        <v>249</v>
      </c>
      <c r="G577" t="s">
        <v>252</v>
      </c>
      <c r="H577" t="s">
        <v>795</v>
      </c>
      <c r="I577" t="s">
        <v>212</v>
      </c>
      <c r="J577" t="s">
        <v>213</v>
      </c>
      <c r="K577" t="s">
        <v>149</v>
      </c>
      <c r="M577" t="s">
        <v>76</v>
      </c>
      <c r="N577" t="s">
        <v>215</v>
      </c>
      <c r="O577" s="57">
        <v>46300.655092592591</v>
      </c>
      <c r="P577" s="57">
        <v>46300.740567129629</v>
      </c>
      <c r="Q577">
        <v>69402809</v>
      </c>
      <c r="S577">
        <v>142206131461</v>
      </c>
      <c r="T577" t="s">
        <v>2267</v>
      </c>
      <c r="U577" t="s">
        <v>2975</v>
      </c>
      <c r="V577" t="s">
        <v>2976</v>
      </c>
      <c r="Z577">
        <v>109.114581044543</v>
      </c>
      <c r="AA577">
        <v>-7.0474209618124197</v>
      </c>
      <c r="AB577" t="s">
        <v>2270</v>
      </c>
      <c r="AC577" t="s">
        <v>216</v>
      </c>
      <c r="AL577" t="s">
        <v>217</v>
      </c>
      <c r="AM577" t="s">
        <v>2977</v>
      </c>
      <c r="AN577" t="s">
        <v>6</v>
      </c>
      <c r="AO577" s="57">
        <v>46152.684560185182</v>
      </c>
      <c r="AR577" t="s">
        <v>218</v>
      </c>
      <c r="AS577" t="s">
        <v>219</v>
      </c>
      <c r="AT577" t="s">
        <v>230</v>
      </c>
      <c r="AU577">
        <v>20261005</v>
      </c>
      <c r="AV577" t="s">
        <v>221</v>
      </c>
      <c r="AW577" t="s">
        <v>540</v>
      </c>
      <c r="AX577" t="s">
        <v>222</v>
      </c>
      <c r="BA577" s="57">
        <v>46300.291666666664</v>
      </c>
      <c r="BB577" t="s">
        <v>2977</v>
      </c>
      <c r="BC577">
        <v>2026</v>
      </c>
      <c r="BD577">
        <v>10</v>
      </c>
      <c r="BE577">
        <v>5</v>
      </c>
      <c r="BF577" s="6">
        <f t="shared" si="24"/>
        <v>46300</v>
      </c>
      <c r="BG577">
        <f t="shared" si="25"/>
        <v>-0.29166666666424135</v>
      </c>
      <c r="BH577" t="str">
        <f t="shared" si="26"/>
        <v>COMPLY</v>
      </c>
      <c r="BI577" t="e">
        <f>VLOOKUP(H577,Sheet2!$A$1:$B$270,2,FALSE)</f>
        <v>#N/A</v>
      </c>
    </row>
    <row r="578" spans="1:61">
      <c r="A578">
        <v>577</v>
      </c>
      <c r="B578">
        <v>1002626857</v>
      </c>
      <c r="C578">
        <v>3</v>
      </c>
      <c r="D578" t="s">
        <v>49</v>
      </c>
      <c r="E578">
        <v>4</v>
      </c>
      <c r="F578" t="s">
        <v>249</v>
      </c>
      <c r="G578" t="s">
        <v>252</v>
      </c>
      <c r="H578" t="s">
        <v>795</v>
      </c>
      <c r="I578" t="s">
        <v>212</v>
      </c>
      <c r="J578" t="s">
        <v>213</v>
      </c>
      <c r="K578" t="s">
        <v>149</v>
      </c>
      <c r="L578" t="s">
        <v>214</v>
      </c>
      <c r="M578" t="s">
        <v>238</v>
      </c>
      <c r="N578" t="s">
        <v>215</v>
      </c>
      <c r="O578" s="57">
        <v>46302.714282407411</v>
      </c>
      <c r="P578" s="57">
        <v>46302.715300925927</v>
      </c>
      <c r="Q578">
        <v>69406126</v>
      </c>
      <c r="S578">
        <v>142206131464</v>
      </c>
      <c r="T578" t="s">
        <v>4283</v>
      </c>
      <c r="U578" t="s">
        <v>4284</v>
      </c>
      <c r="V578" t="s">
        <v>4285</v>
      </c>
      <c r="Z578">
        <v>109.030790962278</v>
      </c>
      <c r="AA578">
        <v>-7.0439620733419197</v>
      </c>
      <c r="AB578" t="s">
        <v>4286</v>
      </c>
      <c r="AC578" t="s">
        <v>216</v>
      </c>
      <c r="AL578" t="s">
        <v>217</v>
      </c>
      <c r="AM578" t="s">
        <v>4287</v>
      </c>
      <c r="AN578" t="s">
        <v>6</v>
      </c>
      <c r="AO578" s="57">
        <v>46213.736238425925</v>
      </c>
      <c r="AP578" s="57">
        <v>46303.625</v>
      </c>
      <c r="AR578" t="s">
        <v>239</v>
      </c>
      <c r="AS578" t="s">
        <v>219</v>
      </c>
      <c r="AT578" t="s">
        <v>230</v>
      </c>
      <c r="AV578" t="s">
        <v>238</v>
      </c>
      <c r="AW578" t="s">
        <v>880</v>
      </c>
      <c r="AX578" t="s">
        <v>222</v>
      </c>
      <c r="BA578" s="57">
        <v>46303.625</v>
      </c>
      <c r="BB578" t="s">
        <v>4287</v>
      </c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:61">
      <c r="A579">
        <v>578</v>
      </c>
      <c r="B579">
        <v>1002627083</v>
      </c>
      <c r="C579">
        <v>3</v>
      </c>
      <c r="D579" t="s">
        <v>49</v>
      </c>
      <c r="E579">
        <v>4</v>
      </c>
      <c r="F579" t="s">
        <v>249</v>
      </c>
      <c r="G579" t="s">
        <v>252</v>
      </c>
      <c r="H579" t="s">
        <v>795</v>
      </c>
      <c r="I579" t="s">
        <v>212</v>
      </c>
      <c r="J579" t="s">
        <v>213</v>
      </c>
      <c r="K579" t="s">
        <v>149</v>
      </c>
      <c r="L579" t="s">
        <v>214</v>
      </c>
      <c r="M579" t="s">
        <v>238</v>
      </c>
      <c r="N579" t="s">
        <v>215</v>
      </c>
      <c r="O579" s="57">
        <v>46303.362210648149</v>
      </c>
      <c r="P579" s="57">
        <v>46303.363946759258</v>
      </c>
      <c r="Q579">
        <v>69406218</v>
      </c>
      <c r="S579">
        <v>142206131465</v>
      </c>
      <c r="T579" t="s">
        <v>4288</v>
      </c>
      <c r="U579" t="s">
        <v>4289</v>
      </c>
      <c r="V579" t="s">
        <v>4290</v>
      </c>
      <c r="Z579">
        <v>109.03451789170499</v>
      </c>
      <c r="AA579">
        <v>-7.0716829434104502</v>
      </c>
      <c r="AB579" t="s">
        <v>4291</v>
      </c>
      <c r="AC579" t="s">
        <v>216</v>
      </c>
      <c r="AL579" t="s">
        <v>217</v>
      </c>
      <c r="AM579" t="s">
        <v>4292</v>
      </c>
      <c r="AN579" t="s">
        <v>6</v>
      </c>
      <c r="AO579" s="57">
        <v>46244.371828703705</v>
      </c>
      <c r="AP579" s="57">
        <v>46305.333333333336</v>
      </c>
      <c r="AR579" t="s">
        <v>239</v>
      </c>
      <c r="AS579" t="s">
        <v>219</v>
      </c>
      <c r="AT579" t="s">
        <v>230</v>
      </c>
      <c r="AV579" t="s">
        <v>238</v>
      </c>
      <c r="AW579" t="s">
        <v>880</v>
      </c>
      <c r="AX579" t="s">
        <v>222</v>
      </c>
      <c r="BA579" s="57">
        <v>46305.333333333336</v>
      </c>
      <c r="BB579" t="s">
        <v>4292</v>
      </c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:61">
      <c r="A580">
        <v>579</v>
      </c>
      <c r="B580">
        <v>1002624054</v>
      </c>
      <c r="C580">
        <v>3</v>
      </c>
      <c r="D580" t="s">
        <v>55</v>
      </c>
      <c r="E580">
        <v>5</v>
      </c>
      <c r="F580" t="s">
        <v>260</v>
      </c>
      <c r="G580" t="s">
        <v>128</v>
      </c>
      <c r="H580" t="s">
        <v>304</v>
      </c>
      <c r="I580" t="s">
        <v>212</v>
      </c>
      <c r="J580" t="s">
        <v>213</v>
      </c>
      <c r="K580" t="s">
        <v>149</v>
      </c>
      <c r="M580" t="s">
        <v>279</v>
      </c>
      <c r="N580" t="s">
        <v>563</v>
      </c>
      <c r="O580" s="57">
        <v>46301.489398148151</v>
      </c>
      <c r="P580" s="57">
        <v>46301.814976851849</v>
      </c>
      <c r="Q580">
        <v>69404928</v>
      </c>
      <c r="S580">
        <v>152417234448</v>
      </c>
      <c r="T580" t="s">
        <v>3589</v>
      </c>
      <c r="U580" t="s">
        <v>3590</v>
      </c>
      <c r="V580" t="s">
        <v>3591</v>
      </c>
      <c r="Z580">
        <v>112.6595671</v>
      </c>
      <c r="AA580">
        <v>-7.3473457</v>
      </c>
      <c r="AB580" t="s">
        <v>3592</v>
      </c>
      <c r="AC580" t="s">
        <v>225</v>
      </c>
      <c r="AL580" t="s">
        <v>217</v>
      </c>
      <c r="AM580" t="s">
        <v>3593</v>
      </c>
      <c r="AN580" t="s">
        <v>6</v>
      </c>
      <c r="AO580" s="57">
        <v>46183.517812500002</v>
      </c>
      <c r="AP580" s="57">
        <v>46303.333333333336</v>
      </c>
      <c r="AR580" t="s">
        <v>239</v>
      </c>
      <c r="AS580" t="s">
        <v>578</v>
      </c>
      <c r="AT580" t="s">
        <v>220</v>
      </c>
      <c r="AV580" t="s">
        <v>3594</v>
      </c>
      <c r="AW580" t="s">
        <v>540</v>
      </c>
      <c r="AX580" t="s">
        <v>222</v>
      </c>
      <c r="BA580" s="57">
        <v>46303.333333333336</v>
      </c>
      <c r="BB580" t="s">
        <v>3593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str">
        <f>VLOOKUP(H580,Sheet2!$A$1:$B$270,2,FALSE)</f>
        <v>SURABAYA UTARA</v>
      </c>
    </row>
    <row r="581" spans="1:61">
      <c r="A581">
        <v>580</v>
      </c>
      <c r="B581">
        <v>1002617816</v>
      </c>
      <c r="C581">
        <v>3</v>
      </c>
      <c r="D581" t="s">
        <v>55</v>
      </c>
      <c r="E581">
        <v>5</v>
      </c>
      <c r="F581" t="s">
        <v>260</v>
      </c>
      <c r="G581" t="s">
        <v>122</v>
      </c>
      <c r="H581" t="s">
        <v>290</v>
      </c>
      <c r="I581" t="s">
        <v>212</v>
      </c>
      <c r="J581" t="s">
        <v>213</v>
      </c>
      <c r="K581" t="s">
        <v>149</v>
      </c>
      <c r="M581" t="s">
        <v>76</v>
      </c>
      <c r="N581" t="s">
        <v>215</v>
      </c>
      <c r="O581" s="57">
        <v>46296.552708333336</v>
      </c>
      <c r="P581" s="57">
        <v>46296.767199074071</v>
      </c>
      <c r="Q581">
        <v>69395522</v>
      </c>
      <c r="S581">
        <v>152446246558</v>
      </c>
      <c r="T581" t="s">
        <v>897</v>
      </c>
      <c r="U581" t="s">
        <v>1280</v>
      </c>
      <c r="V581" t="s">
        <v>1281</v>
      </c>
      <c r="Z581">
        <v>112.56014380000001</v>
      </c>
      <c r="AA581">
        <v>-7.2764436999999997</v>
      </c>
      <c r="AB581" t="s">
        <v>898</v>
      </c>
      <c r="AC581" t="s">
        <v>216</v>
      </c>
      <c r="AL581" t="s">
        <v>217</v>
      </c>
      <c r="AM581" t="s">
        <v>1282</v>
      </c>
      <c r="AN581" t="s">
        <v>6</v>
      </c>
      <c r="AO581" s="57">
        <v>46032.559305555558</v>
      </c>
      <c r="AR581" t="s">
        <v>218</v>
      </c>
      <c r="AS581" t="s">
        <v>827</v>
      </c>
      <c r="AT581" t="s">
        <v>230</v>
      </c>
      <c r="AU581">
        <v>20261001</v>
      </c>
      <c r="AV581" t="s">
        <v>221</v>
      </c>
      <c r="AW581" t="s">
        <v>577</v>
      </c>
      <c r="AX581" t="s">
        <v>222</v>
      </c>
      <c r="BA581" s="57">
        <v>46296.291666666664</v>
      </c>
      <c r="BB581" t="s">
        <v>1282</v>
      </c>
      <c r="BC581">
        <v>2026</v>
      </c>
      <c r="BD581">
        <v>10</v>
      </c>
      <c r="BE581">
        <v>1</v>
      </c>
      <c r="BF581" s="6">
        <f t="shared" si="27"/>
        <v>46296</v>
      </c>
      <c r="BG581">
        <f t="shared" si="28"/>
        <v>-0.29166666666424135</v>
      </c>
      <c r="BH581" t="str">
        <f t="shared" si="29"/>
        <v>COMPLY</v>
      </c>
      <c r="BI581" t="str">
        <f>VLOOKUP(H581,Sheet2!$A$1:$B$270,2,FALSE)</f>
        <v>GRESIK</v>
      </c>
    </row>
    <row r="582" spans="1:61">
      <c r="A582">
        <v>581</v>
      </c>
      <c r="B582">
        <v>1002620964</v>
      </c>
      <c r="C582">
        <v>3</v>
      </c>
      <c r="D582" t="s">
        <v>55</v>
      </c>
      <c r="E582">
        <v>5</v>
      </c>
      <c r="F582" t="s">
        <v>260</v>
      </c>
      <c r="G582" t="s">
        <v>122</v>
      </c>
      <c r="H582" t="s">
        <v>345</v>
      </c>
      <c r="I582" t="s">
        <v>212</v>
      </c>
      <c r="J582" t="s">
        <v>213</v>
      </c>
      <c r="K582" t="s">
        <v>149</v>
      </c>
      <c r="L582" t="s">
        <v>214</v>
      </c>
      <c r="M582" t="s">
        <v>1401</v>
      </c>
      <c r="N582" t="s">
        <v>215</v>
      </c>
      <c r="O582" s="57">
        <v>46298.544907407406</v>
      </c>
      <c r="P582" s="57">
        <v>46300.488368055558</v>
      </c>
      <c r="Q582">
        <v>69403582</v>
      </c>
      <c r="S582">
        <v>152421262601</v>
      </c>
      <c r="T582" t="s">
        <v>2276</v>
      </c>
      <c r="U582" t="s">
        <v>2277</v>
      </c>
      <c r="V582" t="s">
        <v>2278</v>
      </c>
      <c r="Z582">
        <v>112.6158289</v>
      </c>
      <c r="AA582">
        <v>-7.1516697000000002</v>
      </c>
      <c r="AB582" t="s">
        <v>2279</v>
      </c>
      <c r="AC582" t="s">
        <v>216</v>
      </c>
      <c r="AL582" t="s">
        <v>217</v>
      </c>
      <c r="AM582" t="s">
        <v>1469</v>
      </c>
      <c r="AN582" t="s">
        <v>6</v>
      </c>
      <c r="AO582" s="57">
        <v>46091.549074074072</v>
      </c>
      <c r="AP582" s="57">
        <v>46299.458333333336</v>
      </c>
      <c r="AQ582" t="s">
        <v>841</v>
      </c>
      <c r="AR582" t="s">
        <v>14</v>
      </c>
      <c r="AS582" t="s">
        <v>122</v>
      </c>
      <c r="AT582" t="s">
        <v>230</v>
      </c>
      <c r="AV582" t="s">
        <v>2978</v>
      </c>
      <c r="AW582" t="s">
        <v>923</v>
      </c>
      <c r="AX582" t="s">
        <v>222</v>
      </c>
      <c r="BA582" s="57">
        <v>46299.458333333336</v>
      </c>
      <c r="BB582" t="s">
        <v>1469</v>
      </c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str">
        <f>VLOOKUP(H582,Sheet2!$A$1:$B$270,2,FALSE)</f>
        <v>GRESIK</v>
      </c>
    </row>
    <row r="583" spans="1:61">
      <c r="A583">
        <v>582</v>
      </c>
      <c r="B583">
        <v>1002625836</v>
      </c>
      <c r="C583">
        <v>3</v>
      </c>
      <c r="D583" t="s">
        <v>55</v>
      </c>
      <c r="E583">
        <v>5</v>
      </c>
      <c r="F583" t="s">
        <v>260</v>
      </c>
      <c r="G583" t="s">
        <v>122</v>
      </c>
      <c r="H583" t="s">
        <v>345</v>
      </c>
      <c r="I583" t="s">
        <v>212</v>
      </c>
      <c r="J583" t="s">
        <v>213</v>
      </c>
      <c r="K583" t="s">
        <v>149</v>
      </c>
      <c r="L583" t="s">
        <v>214</v>
      </c>
      <c r="M583" t="s">
        <v>224</v>
      </c>
      <c r="N583" t="s">
        <v>215</v>
      </c>
      <c r="O583" s="57">
        <v>46302.483113425929</v>
      </c>
      <c r="P583" s="57">
        <v>46303.344097222223</v>
      </c>
      <c r="Q583">
        <v>69405698</v>
      </c>
      <c r="S583">
        <v>152421263137</v>
      </c>
      <c r="T583" t="s">
        <v>4293</v>
      </c>
      <c r="U583" t="s">
        <v>4294</v>
      </c>
      <c r="V583" t="s">
        <v>4295</v>
      </c>
      <c r="Z583">
        <v>112.63441</v>
      </c>
      <c r="AA583">
        <v>-7.1603889999999897</v>
      </c>
      <c r="AB583" t="s">
        <v>4296</v>
      </c>
      <c r="AC583" t="s">
        <v>216</v>
      </c>
      <c r="AL583" t="s">
        <v>217</v>
      </c>
      <c r="AM583" t="s">
        <v>4297</v>
      </c>
      <c r="AN583" t="s">
        <v>6</v>
      </c>
      <c r="AO583" s="57">
        <v>46213.486516203702</v>
      </c>
      <c r="AP583" s="57">
        <v>46303.333333333336</v>
      </c>
      <c r="AR583" t="s">
        <v>18</v>
      </c>
      <c r="AS583" t="s">
        <v>122</v>
      </c>
      <c r="AT583" t="s">
        <v>230</v>
      </c>
      <c r="AV583" t="s">
        <v>226</v>
      </c>
      <c r="AW583" t="s">
        <v>923</v>
      </c>
      <c r="AX583" t="s">
        <v>222</v>
      </c>
      <c r="BA583" s="57">
        <v>46303.333333333336</v>
      </c>
      <c r="BB583" t="s">
        <v>4297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str">
        <f>VLOOKUP(H583,Sheet2!$A$1:$B$270,2,FALSE)</f>
        <v>GRESIK</v>
      </c>
    </row>
    <row r="584" spans="1:61">
      <c r="A584">
        <v>583</v>
      </c>
      <c r="B584">
        <v>1002619756</v>
      </c>
      <c r="C584">
        <v>3</v>
      </c>
      <c r="D584" t="s">
        <v>55</v>
      </c>
      <c r="E584">
        <v>5</v>
      </c>
      <c r="F584" t="s">
        <v>260</v>
      </c>
      <c r="G584" t="s">
        <v>122</v>
      </c>
      <c r="H584" t="s">
        <v>345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46297.555324074077</v>
      </c>
      <c r="P584" s="57">
        <v>46298.927268518521</v>
      </c>
      <c r="Q584">
        <v>69403037</v>
      </c>
      <c r="S584">
        <v>152421263061</v>
      </c>
      <c r="T584" t="s">
        <v>2280</v>
      </c>
      <c r="U584" t="s">
        <v>2281</v>
      </c>
      <c r="V584" t="s">
        <v>2282</v>
      </c>
      <c r="Z584">
        <v>112.656991034746</v>
      </c>
      <c r="AA584">
        <v>-7.1561525661912597</v>
      </c>
      <c r="AB584" t="s">
        <v>2283</v>
      </c>
      <c r="AC584" t="s">
        <v>216</v>
      </c>
      <c r="AL584" t="s">
        <v>217</v>
      </c>
      <c r="AM584" t="s">
        <v>1513</v>
      </c>
      <c r="AN584" t="s">
        <v>6</v>
      </c>
      <c r="AO584" s="57">
        <v>46063.559317129628</v>
      </c>
      <c r="AP584" s="57">
        <v>46298.458333333336</v>
      </c>
      <c r="AR584" t="s">
        <v>218</v>
      </c>
      <c r="AS584" t="s">
        <v>122</v>
      </c>
      <c r="AT584" t="s">
        <v>230</v>
      </c>
      <c r="AU584">
        <v>20261003</v>
      </c>
      <c r="AV584" t="s">
        <v>221</v>
      </c>
      <c r="AW584" t="s">
        <v>877</v>
      </c>
      <c r="AX584" t="s">
        <v>222</v>
      </c>
      <c r="BA584" s="57">
        <v>46298.458333333336</v>
      </c>
      <c r="BB584" t="s">
        <v>1513</v>
      </c>
      <c r="BC584">
        <v>2026</v>
      </c>
      <c r="BD584">
        <v>10</v>
      </c>
      <c r="BE584">
        <v>3</v>
      </c>
      <c r="BF584" s="6">
        <f t="shared" si="27"/>
        <v>46298</v>
      </c>
      <c r="BG584">
        <f t="shared" si="28"/>
        <v>-0.45833333333575865</v>
      </c>
      <c r="BH584" t="str">
        <f t="shared" si="29"/>
        <v>COMPLY</v>
      </c>
      <c r="BI584" t="str">
        <f>VLOOKUP(H584,Sheet2!$A$1:$B$270,2,FALSE)</f>
        <v>GRESIK</v>
      </c>
    </row>
    <row r="585" spans="1:61">
      <c r="A585">
        <v>584</v>
      </c>
      <c r="B585">
        <v>1002619741</v>
      </c>
      <c r="C585">
        <v>3</v>
      </c>
      <c r="D585" t="s">
        <v>55</v>
      </c>
      <c r="E585">
        <v>5</v>
      </c>
      <c r="F585" t="s">
        <v>260</v>
      </c>
      <c r="G585" t="s">
        <v>122</v>
      </c>
      <c r="H585" t="s">
        <v>345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46297.551168981481</v>
      </c>
      <c r="P585" s="57">
        <v>46298.669444444444</v>
      </c>
      <c r="Q585">
        <v>69403055</v>
      </c>
      <c r="S585">
        <v>152421261490</v>
      </c>
      <c r="T585" t="s">
        <v>2284</v>
      </c>
      <c r="U585" t="s">
        <v>2281</v>
      </c>
      <c r="V585" t="s">
        <v>2285</v>
      </c>
      <c r="Z585">
        <v>112.65705406665801</v>
      </c>
      <c r="AA585">
        <v>-7.1562443815661396</v>
      </c>
      <c r="AB585" t="s">
        <v>2286</v>
      </c>
      <c r="AC585" t="s">
        <v>216</v>
      </c>
      <c r="AL585" t="s">
        <v>217</v>
      </c>
      <c r="AM585" t="s">
        <v>1513</v>
      </c>
      <c r="AN585" t="s">
        <v>6</v>
      </c>
      <c r="AO585" s="57">
        <v>46063.559317129628</v>
      </c>
      <c r="AP585" s="57">
        <v>46298.458333333336</v>
      </c>
      <c r="AR585" t="s">
        <v>218</v>
      </c>
      <c r="AS585" t="s">
        <v>122</v>
      </c>
      <c r="AT585" t="s">
        <v>230</v>
      </c>
      <c r="AU585">
        <v>20261003</v>
      </c>
      <c r="AV585" t="s">
        <v>221</v>
      </c>
      <c r="AW585" t="s">
        <v>877</v>
      </c>
      <c r="AX585" t="s">
        <v>222</v>
      </c>
      <c r="BA585" s="57">
        <v>46298.458333333336</v>
      </c>
      <c r="BB585" t="s">
        <v>1513</v>
      </c>
      <c r="BC585">
        <v>2026</v>
      </c>
      <c r="BD585">
        <v>10</v>
      </c>
      <c r="BE585">
        <v>3</v>
      </c>
      <c r="BF585" s="6">
        <f t="shared" si="27"/>
        <v>46298</v>
      </c>
      <c r="BG585">
        <f t="shared" si="28"/>
        <v>-0.45833333333575865</v>
      </c>
      <c r="BH585" t="str">
        <f t="shared" si="29"/>
        <v>COMPLY</v>
      </c>
      <c r="BI585" t="str">
        <f>VLOOKUP(H585,Sheet2!$A$1:$B$270,2,FALSE)</f>
        <v>GRESIK</v>
      </c>
    </row>
    <row r="586" spans="1:61">
      <c r="A586">
        <v>585</v>
      </c>
      <c r="B586">
        <v>1002621549</v>
      </c>
      <c r="C586">
        <v>3</v>
      </c>
      <c r="D586" t="s">
        <v>55</v>
      </c>
      <c r="E586">
        <v>5</v>
      </c>
      <c r="F586" t="s">
        <v>260</v>
      </c>
      <c r="G586" t="s">
        <v>122</v>
      </c>
      <c r="H586" t="s">
        <v>345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46300.330324074072</v>
      </c>
      <c r="P586" s="57">
        <v>46300.878993055558</v>
      </c>
      <c r="Q586">
        <v>69404013</v>
      </c>
      <c r="S586">
        <v>152421263085</v>
      </c>
      <c r="T586" t="s">
        <v>2979</v>
      </c>
      <c r="U586" t="s">
        <v>2980</v>
      </c>
      <c r="V586" t="s">
        <v>2981</v>
      </c>
      <c r="Z586">
        <v>112.65444863587599</v>
      </c>
      <c r="AA586">
        <v>-7.1678522243173699</v>
      </c>
      <c r="AB586" t="s">
        <v>2982</v>
      </c>
      <c r="AC586" t="s">
        <v>216</v>
      </c>
      <c r="AL586" t="s">
        <v>217</v>
      </c>
      <c r="AM586" t="s">
        <v>2983</v>
      </c>
      <c r="AN586" t="s">
        <v>6</v>
      </c>
      <c r="AO586" s="57">
        <v>46152.361574074072</v>
      </c>
      <c r="AP586" s="57">
        <v>46301.333333333336</v>
      </c>
      <c r="AR586" t="s">
        <v>218</v>
      </c>
      <c r="AS586" t="s">
        <v>122</v>
      </c>
      <c r="AT586" t="s">
        <v>230</v>
      </c>
      <c r="AU586">
        <v>20261005</v>
      </c>
      <c r="AV586" t="s">
        <v>221</v>
      </c>
      <c r="AW586" t="s">
        <v>875</v>
      </c>
      <c r="AX586" t="s">
        <v>222</v>
      </c>
      <c r="BA586" s="57">
        <v>46301.333333333336</v>
      </c>
      <c r="BB586" t="s">
        <v>2983</v>
      </c>
      <c r="BC586">
        <v>2026</v>
      </c>
      <c r="BD586">
        <v>10</v>
      </c>
      <c r="BE586">
        <v>5</v>
      </c>
      <c r="BF586" s="6">
        <f t="shared" si="27"/>
        <v>46300</v>
      </c>
      <c r="BG586">
        <f t="shared" si="28"/>
        <v>-1.3333333333357587</v>
      </c>
      <c r="BH586" t="str">
        <f t="shared" si="29"/>
        <v>COMPLY</v>
      </c>
      <c r="BI586" t="str">
        <f>VLOOKUP(H586,Sheet2!$A$1:$B$270,2,FALSE)</f>
        <v>GRESIK</v>
      </c>
    </row>
    <row r="587" spans="1:61">
      <c r="A587">
        <v>586</v>
      </c>
      <c r="B587">
        <v>1002622200</v>
      </c>
      <c r="C587">
        <v>3</v>
      </c>
      <c r="D587" t="s">
        <v>55</v>
      </c>
      <c r="E587">
        <v>5</v>
      </c>
      <c r="F587" t="s">
        <v>260</v>
      </c>
      <c r="G587" t="s">
        <v>122</v>
      </c>
      <c r="H587" t="s">
        <v>345</v>
      </c>
      <c r="I587" t="s">
        <v>212</v>
      </c>
      <c r="J587" t="s">
        <v>213</v>
      </c>
      <c r="K587" t="s">
        <v>149</v>
      </c>
      <c r="M587" t="s">
        <v>76</v>
      </c>
      <c r="N587" t="s">
        <v>215</v>
      </c>
      <c r="O587" s="57">
        <v>46300.488368055558</v>
      </c>
      <c r="P587" s="57">
        <v>46300.819224537037</v>
      </c>
      <c r="Q587">
        <v>69403582</v>
      </c>
      <c r="S587">
        <v>152421263096</v>
      </c>
      <c r="T587" t="s">
        <v>2276</v>
      </c>
      <c r="U587" t="s">
        <v>2984</v>
      </c>
      <c r="V587" t="s">
        <v>2985</v>
      </c>
      <c r="Z587">
        <v>112.615132</v>
      </c>
      <c r="AA587">
        <v>-7.1530110000000002</v>
      </c>
      <c r="AB587" t="s">
        <v>2279</v>
      </c>
      <c r="AC587" t="s">
        <v>216</v>
      </c>
      <c r="AL587" t="s">
        <v>217</v>
      </c>
      <c r="AM587" t="s">
        <v>2522</v>
      </c>
      <c r="AN587" t="s">
        <v>6</v>
      </c>
      <c r="AO587" s="57">
        <v>46152.496620370373</v>
      </c>
      <c r="AR587" t="s">
        <v>218</v>
      </c>
      <c r="AS587" t="s">
        <v>122</v>
      </c>
      <c r="AT587" t="s">
        <v>230</v>
      </c>
      <c r="AU587">
        <v>20261005</v>
      </c>
      <c r="AV587" t="s">
        <v>221</v>
      </c>
      <c r="AW587" t="s">
        <v>540</v>
      </c>
      <c r="AX587" t="s">
        <v>222</v>
      </c>
      <c r="BA587" s="57">
        <v>46300.291666666664</v>
      </c>
      <c r="BB587" t="s">
        <v>2522</v>
      </c>
      <c r="BC587">
        <v>2026</v>
      </c>
      <c r="BD587">
        <v>10</v>
      </c>
      <c r="BE587">
        <v>5</v>
      </c>
      <c r="BF587" s="6">
        <f t="shared" si="27"/>
        <v>46300</v>
      </c>
      <c r="BG587">
        <f t="shared" si="28"/>
        <v>-0.29166666666424135</v>
      </c>
      <c r="BH587" t="str">
        <f t="shared" si="29"/>
        <v>COMPLY</v>
      </c>
      <c r="BI587" t="str">
        <f>VLOOKUP(H587,Sheet2!$A$1:$B$270,2,FALSE)</f>
        <v>GRESIK</v>
      </c>
    </row>
    <row r="588" spans="1:61">
      <c r="A588">
        <v>587</v>
      </c>
      <c r="B588">
        <v>1002624255</v>
      </c>
      <c r="C588">
        <v>3</v>
      </c>
      <c r="D588" t="s">
        <v>55</v>
      </c>
      <c r="E588">
        <v>5</v>
      </c>
      <c r="F588" t="s">
        <v>260</v>
      </c>
      <c r="G588" t="s">
        <v>122</v>
      </c>
      <c r="H588" t="s">
        <v>345</v>
      </c>
      <c r="I588" t="s">
        <v>212</v>
      </c>
      <c r="J588" t="s">
        <v>213</v>
      </c>
      <c r="K588" t="s">
        <v>149</v>
      </c>
      <c r="M588" t="s">
        <v>76</v>
      </c>
      <c r="N588" t="s">
        <v>215</v>
      </c>
      <c r="O588" s="57">
        <v>46301.550844907404</v>
      </c>
      <c r="P588" s="57">
        <v>46301.638935185183</v>
      </c>
      <c r="Q588">
        <v>69401935</v>
      </c>
      <c r="S588">
        <v>152421263115</v>
      </c>
      <c r="T588" t="s">
        <v>3595</v>
      </c>
      <c r="U588" t="s">
        <v>3596</v>
      </c>
      <c r="V588" t="s">
        <v>3597</v>
      </c>
      <c r="Z588">
        <v>112.620654</v>
      </c>
      <c r="AA588">
        <v>-7.1771700000000003</v>
      </c>
      <c r="AB588" t="s">
        <v>3598</v>
      </c>
      <c r="AC588" t="s">
        <v>216</v>
      </c>
      <c r="AL588" t="s">
        <v>217</v>
      </c>
      <c r="AM588" t="s">
        <v>3599</v>
      </c>
      <c r="AN588" t="s">
        <v>6</v>
      </c>
      <c r="AO588" s="57">
        <v>46183.559259259258</v>
      </c>
      <c r="AR588" t="s">
        <v>218</v>
      </c>
      <c r="AS588" t="s">
        <v>122</v>
      </c>
      <c r="AT588" t="s">
        <v>342</v>
      </c>
      <c r="AU588">
        <v>20261006</v>
      </c>
      <c r="AV588" t="s">
        <v>221</v>
      </c>
      <c r="AW588" t="s">
        <v>540</v>
      </c>
      <c r="AX588" t="s">
        <v>222</v>
      </c>
      <c r="BA588" s="57">
        <v>46301.291666666664</v>
      </c>
      <c r="BB588" t="s">
        <v>3599</v>
      </c>
      <c r="BC588">
        <v>2026</v>
      </c>
      <c r="BD588">
        <v>10</v>
      </c>
      <c r="BE588">
        <v>6</v>
      </c>
      <c r="BF588" s="6">
        <f t="shared" si="27"/>
        <v>46301</v>
      </c>
      <c r="BG588">
        <f t="shared" si="28"/>
        <v>-0.29166666666424135</v>
      </c>
      <c r="BH588" t="str">
        <f t="shared" si="29"/>
        <v>COMPLY</v>
      </c>
      <c r="BI588" t="str">
        <f>VLOOKUP(H588,Sheet2!$A$1:$B$270,2,FALSE)</f>
        <v>GRESIK</v>
      </c>
    </row>
    <row r="589" spans="1:61">
      <c r="A589">
        <v>588</v>
      </c>
      <c r="B589">
        <v>1002623894</v>
      </c>
      <c r="C589">
        <v>3</v>
      </c>
      <c r="D589" t="s">
        <v>55</v>
      </c>
      <c r="E589">
        <v>5</v>
      </c>
      <c r="F589" t="s">
        <v>260</v>
      </c>
      <c r="G589" t="s">
        <v>122</v>
      </c>
      <c r="H589" t="s">
        <v>345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46301.451099537036</v>
      </c>
      <c r="P589" s="57">
        <v>46301.66814814815</v>
      </c>
      <c r="Q589">
        <v>69404870</v>
      </c>
      <c r="S589">
        <v>152421263118</v>
      </c>
      <c r="T589" t="s">
        <v>3600</v>
      </c>
      <c r="U589" t="s">
        <v>3601</v>
      </c>
      <c r="V589" t="s">
        <v>3602</v>
      </c>
      <c r="Z589">
        <v>112.615219987928</v>
      </c>
      <c r="AA589">
        <v>-7.1474336807550101</v>
      </c>
      <c r="AB589" t="s">
        <v>3603</v>
      </c>
      <c r="AC589" t="s">
        <v>216</v>
      </c>
      <c r="AL589" t="s">
        <v>217</v>
      </c>
      <c r="AM589" t="s">
        <v>3604</v>
      </c>
      <c r="AN589" t="s">
        <v>6</v>
      </c>
      <c r="AO589" s="57">
        <v>46183.454942129632</v>
      </c>
      <c r="AP589" s="57">
        <v>46302.333333333336</v>
      </c>
      <c r="AR589" t="s">
        <v>218</v>
      </c>
      <c r="AS589" t="s">
        <v>122</v>
      </c>
      <c r="AT589" t="s">
        <v>342</v>
      </c>
      <c r="AU589">
        <v>20261006</v>
      </c>
      <c r="AV589" t="s">
        <v>221</v>
      </c>
      <c r="AW589" t="s">
        <v>3416</v>
      </c>
      <c r="AX589" t="s">
        <v>222</v>
      </c>
      <c r="BA589" s="57">
        <v>46302.333333333336</v>
      </c>
      <c r="BB589" t="s">
        <v>3604</v>
      </c>
      <c r="BC589">
        <v>2026</v>
      </c>
      <c r="BD589">
        <v>10</v>
      </c>
      <c r="BE589">
        <v>6</v>
      </c>
      <c r="BF589" s="6">
        <f t="shared" si="27"/>
        <v>46301</v>
      </c>
      <c r="BG589">
        <f t="shared" si="28"/>
        <v>-1.3333333333357587</v>
      </c>
      <c r="BH589" t="str">
        <f t="shared" si="29"/>
        <v>COMPLY</v>
      </c>
      <c r="BI589" t="str">
        <f>VLOOKUP(H589,Sheet2!$A$1:$B$270,2,FALSE)</f>
        <v>GRESIK</v>
      </c>
    </row>
    <row r="590" spans="1:61">
      <c r="A590">
        <v>589</v>
      </c>
      <c r="B590">
        <v>1002625436</v>
      </c>
      <c r="C590">
        <v>3</v>
      </c>
      <c r="D590" t="s">
        <v>55</v>
      </c>
      <c r="E590">
        <v>5</v>
      </c>
      <c r="F590" t="s">
        <v>260</v>
      </c>
      <c r="G590" t="s">
        <v>122</v>
      </c>
      <c r="H590" t="s">
        <v>451</v>
      </c>
      <c r="I590" t="s">
        <v>212</v>
      </c>
      <c r="J590" t="s">
        <v>213</v>
      </c>
      <c r="K590" t="s">
        <v>149</v>
      </c>
      <c r="L590" t="s">
        <v>214</v>
      </c>
      <c r="M590" t="s">
        <v>839</v>
      </c>
      <c r="N590" t="s">
        <v>215</v>
      </c>
      <c r="O590" s="57">
        <v>46302.394143518519</v>
      </c>
      <c r="P590" s="57">
        <v>46303.336944444447</v>
      </c>
      <c r="Q590">
        <v>69405483</v>
      </c>
      <c r="S590">
        <v>152442203155</v>
      </c>
      <c r="T590" t="s">
        <v>4298</v>
      </c>
      <c r="U590" t="s">
        <v>4299</v>
      </c>
      <c r="V590" t="s">
        <v>4300</v>
      </c>
      <c r="Z590">
        <v>112.56360650000001</v>
      </c>
      <c r="AA590">
        <v>-7.2918309999999904</v>
      </c>
      <c r="AB590" t="s">
        <v>4301</v>
      </c>
      <c r="AC590" t="s">
        <v>216</v>
      </c>
      <c r="AL590" t="s">
        <v>217</v>
      </c>
      <c r="AM590" t="s">
        <v>4302</v>
      </c>
      <c r="AN590" t="s">
        <v>6</v>
      </c>
      <c r="AO590" s="57">
        <v>46213.402939814812</v>
      </c>
      <c r="AP590" s="57">
        <v>46303.333333333336</v>
      </c>
      <c r="AQ590" t="s">
        <v>841</v>
      </c>
      <c r="AR590" t="s">
        <v>1433</v>
      </c>
      <c r="AS590" t="s">
        <v>827</v>
      </c>
      <c r="AT590" t="s">
        <v>230</v>
      </c>
      <c r="AV590" t="s">
        <v>4303</v>
      </c>
      <c r="AW590" t="s">
        <v>883</v>
      </c>
      <c r="AX590" t="s">
        <v>222</v>
      </c>
      <c r="BA590" s="57">
        <v>46303.333333333336</v>
      </c>
      <c r="BB590" t="s">
        <v>4302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GRESIK</v>
      </c>
    </row>
    <row r="591" spans="1:61">
      <c r="A591">
        <v>590</v>
      </c>
      <c r="B591">
        <v>1002625430</v>
      </c>
      <c r="C591">
        <v>3</v>
      </c>
      <c r="D591" t="s">
        <v>55</v>
      </c>
      <c r="E591">
        <v>5</v>
      </c>
      <c r="F591" t="s">
        <v>260</v>
      </c>
      <c r="G591" t="s">
        <v>122</v>
      </c>
      <c r="H591" t="s">
        <v>451</v>
      </c>
      <c r="I591" t="s">
        <v>212</v>
      </c>
      <c r="J591" t="s">
        <v>213</v>
      </c>
      <c r="K591" t="s">
        <v>149</v>
      </c>
      <c r="L591" t="s">
        <v>214</v>
      </c>
      <c r="M591" t="s">
        <v>836</v>
      </c>
      <c r="N591" t="s">
        <v>215</v>
      </c>
      <c r="O591" s="57">
        <v>46302.394571759258</v>
      </c>
      <c r="P591" s="57">
        <v>46303.428773148145</v>
      </c>
      <c r="Q591">
        <v>69405483</v>
      </c>
      <c r="S591">
        <v>152442203155</v>
      </c>
      <c r="T591" t="s">
        <v>4298</v>
      </c>
      <c r="U591" t="s">
        <v>4299</v>
      </c>
      <c r="V591" t="s">
        <v>4300</v>
      </c>
      <c r="Z591">
        <v>112.56360650000001</v>
      </c>
      <c r="AA591">
        <v>-7.2918309999999904</v>
      </c>
      <c r="AB591" t="s">
        <v>4301</v>
      </c>
      <c r="AC591" t="s">
        <v>216</v>
      </c>
      <c r="AL591" t="s">
        <v>217</v>
      </c>
      <c r="AM591" t="s">
        <v>4302</v>
      </c>
      <c r="AN591" t="s">
        <v>6</v>
      </c>
      <c r="AO591" s="57">
        <v>46213.402939814812</v>
      </c>
      <c r="AP591" s="57">
        <v>46303.333333333336</v>
      </c>
      <c r="AQ591" t="s">
        <v>841</v>
      </c>
      <c r="AR591" t="s">
        <v>14</v>
      </c>
      <c r="AS591" t="s">
        <v>827</v>
      </c>
      <c r="AT591" t="s">
        <v>230</v>
      </c>
      <c r="AV591" t="s">
        <v>837</v>
      </c>
      <c r="AW591" t="s">
        <v>883</v>
      </c>
      <c r="AX591" t="s">
        <v>222</v>
      </c>
      <c r="BA591" s="57">
        <v>46303.333333333336</v>
      </c>
      <c r="BB591" t="s">
        <v>4302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GRESIK</v>
      </c>
    </row>
    <row r="592" spans="1:61">
      <c r="A592">
        <v>591</v>
      </c>
      <c r="B592">
        <v>1002622726</v>
      </c>
      <c r="C592">
        <v>3</v>
      </c>
      <c r="D592" t="s">
        <v>55</v>
      </c>
      <c r="E592">
        <v>5</v>
      </c>
      <c r="F592" t="s">
        <v>260</v>
      </c>
      <c r="G592" t="s">
        <v>122</v>
      </c>
      <c r="H592" t="s">
        <v>451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46300.617812500001</v>
      </c>
      <c r="P592" s="57">
        <v>46301.574293981481</v>
      </c>
      <c r="Q592">
        <v>69404422</v>
      </c>
      <c r="S592">
        <v>152442202249</v>
      </c>
      <c r="T592" t="s">
        <v>2986</v>
      </c>
      <c r="U592" t="s">
        <v>2987</v>
      </c>
      <c r="V592" t="s">
        <v>2988</v>
      </c>
      <c r="Z592">
        <v>112.588024</v>
      </c>
      <c r="AA592">
        <v>-7.2939790000000002</v>
      </c>
      <c r="AB592" t="s">
        <v>2989</v>
      </c>
      <c r="AC592" t="s">
        <v>235</v>
      </c>
      <c r="AL592" t="s">
        <v>217</v>
      </c>
      <c r="AM592" t="s">
        <v>2968</v>
      </c>
      <c r="AN592" t="s">
        <v>6</v>
      </c>
      <c r="AO592" s="57">
        <v>46152.632743055554</v>
      </c>
      <c r="AP592" s="57">
        <v>46301.458333333336</v>
      </c>
      <c r="AR592" t="s">
        <v>218</v>
      </c>
      <c r="AS592" t="s">
        <v>827</v>
      </c>
      <c r="AT592" t="s">
        <v>230</v>
      </c>
      <c r="AU592">
        <v>20261006</v>
      </c>
      <c r="AV592" t="s">
        <v>221</v>
      </c>
      <c r="AW592" t="s">
        <v>2990</v>
      </c>
      <c r="AX592" t="s">
        <v>222</v>
      </c>
      <c r="BA592" s="57">
        <v>46301.458333333336</v>
      </c>
      <c r="BB592" t="s">
        <v>2968</v>
      </c>
      <c r="BC592">
        <v>2026</v>
      </c>
      <c r="BD592">
        <v>10</v>
      </c>
      <c r="BE592">
        <v>6</v>
      </c>
      <c r="BF592" s="6">
        <f t="shared" si="27"/>
        <v>46301</v>
      </c>
      <c r="BG592">
        <f t="shared" si="28"/>
        <v>-0.45833333333575865</v>
      </c>
      <c r="BH592" t="str">
        <f t="shared" si="29"/>
        <v>COMPLY</v>
      </c>
      <c r="BI592" t="str">
        <f>VLOOKUP(H592,Sheet2!$A$1:$B$270,2,FALSE)</f>
        <v>GRESIK</v>
      </c>
    </row>
    <row r="593" spans="1:61">
      <c r="A593">
        <v>592</v>
      </c>
      <c r="B593">
        <v>1002623832</v>
      </c>
      <c r="C593">
        <v>3</v>
      </c>
      <c r="D593" t="s">
        <v>55</v>
      </c>
      <c r="E593">
        <v>5</v>
      </c>
      <c r="F593" t="s">
        <v>260</v>
      </c>
      <c r="G593" t="s">
        <v>122</v>
      </c>
      <c r="H593" t="s">
        <v>451</v>
      </c>
      <c r="I593" t="s">
        <v>212</v>
      </c>
      <c r="J593" t="s">
        <v>213</v>
      </c>
      <c r="K593" t="s">
        <v>149</v>
      </c>
      <c r="M593" t="s">
        <v>279</v>
      </c>
      <c r="N593" t="s">
        <v>215</v>
      </c>
      <c r="O593" s="57">
        <v>46301.437824074077</v>
      </c>
      <c r="P593" s="57">
        <v>46301.638842592591</v>
      </c>
      <c r="Q593">
        <v>69404816</v>
      </c>
      <c r="S593">
        <v>152442203011</v>
      </c>
      <c r="T593" t="s">
        <v>3605</v>
      </c>
      <c r="U593" t="s">
        <v>3606</v>
      </c>
      <c r="V593" t="s">
        <v>3607</v>
      </c>
      <c r="Z593">
        <v>112.6169384</v>
      </c>
      <c r="AA593">
        <v>-7.3047352999999999</v>
      </c>
      <c r="AB593" t="s">
        <v>3608</v>
      </c>
      <c r="AC593" t="s">
        <v>284</v>
      </c>
      <c r="AL593" t="s">
        <v>217</v>
      </c>
      <c r="AM593" t="s">
        <v>3609</v>
      </c>
      <c r="AN593" t="s">
        <v>6</v>
      </c>
      <c r="AO593" s="57">
        <v>46183.444699074076</v>
      </c>
      <c r="AP593" s="57">
        <v>46302.333333333336</v>
      </c>
      <c r="AR593" t="s">
        <v>239</v>
      </c>
      <c r="AS593" t="s">
        <v>827</v>
      </c>
      <c r="AT593" t="s">
        <v>230</v>
      </c>
      <c r="AV593" t="s">
        <v>3594</v>
      </c>
      <c r="AW593" t="s">
        <v>540</v>
      </c>
      <c r="AX593" t="s">
        <v>222</v>
      </c>
      <c r="BA593" s="57">
        <v>46302.333333333336</v>
      </c>
      <c r="BB593" t="s">
        <v>3609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str">
        <f>VLOOKUP(H593,Sheet2!$A$1:$B$270,2,FALSE)</f>
        <v>GRESIK</v>
      </c>
    </row>
    <row r="594" spans="1:61">
      <c r="A594">
        <v>593</v>
      </c>
      <c r="B594">
        <v>1002617352</v>
      </c>
      <c r="C594">
        <v>3</v>
      </c>
      <c r="D594" t="s">
        <v>55</v>
      </c>
      <c r="E594">
        <v>5</v>
      </c>
      <c r="F594" t="s">
        <v>260</v>
      </c>
      <c r="G594" t="s">
        <v>122</v>
      </c>
      <c r="H594" t="s">
        <v>472</v>
      </c>
      <c r="I594" t="s">
        <v>212</v>
      </c>
      <c r="J594" t="s">
        <v>213</v>
      </c>
      <c r="K594" t="s">
        <v>149</v>
      </c>
      <c r="M594" t="s">
        <v>76</v>
      </c>
      <c r="N594" t="s">
        <v>215</v>
      </c>
      <c r="O594" s="57">
        <v>46296.44462962963</v>
      </c>
      <c r="P594" s="57">
        <v>46296.565462962964</v>
      </c>
      <c r="Q594">
        <v>69379599</v>
      </c>
      <c r="S594">
        <v>152453208697</v>
      </c>
      <c r="T594" t="s">
        <v>1283</v>
      </c>
      <c r="U594" t="s">
        <v>915</v>
      </c>
      <c r="V594" t="s">
        <v>1284</v>
      </c>
      <c r="Z594">
        <v>112.71185159683201</v>
      </c>
      <c r="AA594">
        <v>-5.83253487701701</v>
      </c>
      <c r="AB594" t="s">
        <v>1285</v>
      </c>
      <c r="AC594" t="s">
        <v>216</v>
      </c>
      <c r="AL594" t="s">
        <v>217</v>
      </c>
      <c r="AM594" t="s">
        <v>1286</v>
      </c>
      <c r="AN594" t="s">
        <v>6</v>
      </c>
      <c r="AO594" s="57">
        <v>46032.486342592594</v>
      </c>
      <c r="AR594" t="s">
        <v>218</v>
      </c>
      <c r="AS594" t="s">
        <v>122</v>
      </c>
      <c r="AT594" t="s">
        <v>230</v>
      </c>
      <c r="AU594">
        <v>20261001</v>
      </c>
      <c r="AV594" t="s">
        <v>221</v>
      </c>
      <c r="AW594" t="s">
        <v>541</v>
      </c>
      <c r="AX594" t="s">
        <v>222</v>
      </c>
      <c r="BA594" s="57">
        <v>46296.291666666664</v>
      </c>
      <c r="BB594" t="s">
        <v>1286</v>
      </c>
      <c r="BC594">
        <v>2026</v>
      </c>
      <c r="BD594">
        <v>10</v>
      </c>
      <c r="BE594">
        <v>1</v>
      </c>
      <c r="BF594" s="6">
        <f t="shared" si="27"/>
        <v>46296</v>
      </c>
      <c r="BG594">
        <f t="shared" si="28"/>
        <v>-0.29166666666424135</v>
      </c>
      <c r="BH594" t="str">
        <f t="shared" si="29"/>
        <v>COMPLY</v>
      </c>
      <c r="BI594" t="str">
        <f>VLOOKUP(H594,Sheet2!$A$1:$B$270,2,FALSE)</f>
        <v>GRESIK</v>
      </c>
    </row>
    <row r="595" spans="1:61">
      <c r="A595">
        <v>594</v>
      </c>
      <c r="B595">
        <v>1002627224</v>
      </c>
      <c r="C595">
        <v>3</v>
      </c>
      <c r="D595" t="s">
        <v>55</v>
      </c>
      <c r="E595">
        <v>5</v>
      </c>
      <c r="F595" t="s">
        <v>260</v>
      </c>
      <c r="G595" t="s">
        <v>122</v>
      </c>
      <c r="H595" t="s">
        <v>472</v>
      </c>
      <c r="I595" t="s">
        <v>212</v>
      </c>
      <c r="J595" t="s">
        <v>213</v>
      </c>
      <c r="K595" t="s">
        <v>149</v>
      </c>
      <c r="M595" t="s">
        <v>3149</v>
      </c>
      <c r="N595" t="s">
        <v>215</v>
      </c>
      <c r="O595" s="57">
        <v>46303.396701388891</v>
      </c>
      <c r="P595" s="57">
        <v>46303.39875</v>
      </c>
      <c r="Q595">
        <v>69406255</v>
      </c>
      <c r="S595">
        <v>152453208877</v>
      </c>
      <c r="T595" t="s">
        <v>4304</v>
      </c>
      <c r="U595" t="s">
        <v>4305</v>
      </c>
      <c r="Z595">
        <v>112.72788041004</v>
      </c>
      <c r="AA595">
        <v>-5.8068223217542796</v>
      </c>
      <c r="AB595" t="s">
        <v>4306</v>
      </c>
      <c r="AC595" t="s">
        <v>229</v>
      </c>
      <c r="AO595" s="57">
        <v>46244.403275462966</v>
      </c>
      <c r="AR595" t="s">
        <v>325</v>
      </c>
      <c r="AS595" t="s">
        <v>122</v>
      </c>
      <c r="AT595" t="s">
        <v>230</v>
      </c>
      <c r="AV595" t="s">
        <v>3150</v>
      </c>
      <c r="AW595" t="s">
        <v>539</v>
      </c>
      <c r="AX595" t="s">
        <v>222</v>
      </c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str">
        <f>VLOOKUP(H595,Sheet2!$A$1:$B$270,2,FALSE)</f>
        <v>GRESIK</v>
      </c>
    </row>
    <row r="596" spans="1:61">
      <c r="A596">
        <v>595</v>
      </c>
      <c r="B596">
        <v>1002622475</v>
      </c>
      <c r="C596">
        <v>3</v>
      </c>
      <c r="D596" t="s">
        <v>55</v>
      </c>
      <c r="E596">
        <v>5</v>
      </c>
      <c r="F596" t="s">
        <v>260</v>
      </c>
      <c r="G596" t="s">
        <v>122</v>
      </c>
      <c r="H596" t="s">
        <v>346</v>
      </c>
      <c r="I596" t="s">
        <v>212</v>
      </c>
      <c r="J596" t="s">
        <v>213</v>
      </c>
      <c r="K596" t="s">
        <v>149</v>
      </c>
      <c r="L596" t="s">
        <v>214</v>
      </c>
      <c r="M596" t="s">
        <v>1401</v>
      </c>
      <c r="N596" t="s">
        <v>215</v>
      </c>
      <c r="O596" s="57">
        <v>46300.569837962961</v>
      </c>
      <c r="P596" s="57">
        <v>46302.563287037039</v>
      </c>
      <c r="Q596">
        <v>69404368</v>
      </c>
      <c r="S596">
        <v>152451212263</v>
      </c>
      <c r="T596" t="s">
        <v>3000</v>
      </c>
      <c r="U596" t="s">
        <v>3001</v>
      </c>
      <c r="V596" t="s">
        <v>3002</v>
      </c>
      <c r="Z596">
        <v>112.56409138441001</v>
      </c>
      <c r="AA596">
        <v>-6.9887922448420801</v>
      </c>
      <c r="AB596" t="s">
        <v>3003</v>
      </c>
      <c r="AC596" t="s">
        <v>216</v>
      </c>
      <c r="AL596" t="s">
        <v>217</v>
      </c>
      <c r="AM596" t="s">
        <v>3004</v>
      </c>
      <c r="AN596" t="s">
        <v>6</v>
      </c>
      <c r="AO596" s="57">
        <v>46152.601203703707</v>
      </c>
      <c r="AP596" s="57">
        <v>46301.458333333336</v>
      </c>
      <c r="AQ596" t="s">
        <v>841</v>
      </c>
      <c r="AR596" t="s">
        <v>14</v>
      </c>
      <c r="AS596" t="s">
        <v>122</v>
      </c>
      <c r="AT596" t="s">
        <v>230</v>
      </c>
      <c r="AV596" t="s">
        <v>3610</v>
      </c>
      <c r="AW596" t="s">
        <v>875</v>
      </c>
      <c r="AX596" t="s">
        <v>222</v>
      </c>
      <c r="BA596" s="57">
        <v>46301.458333333336</v>
      </c>
      <c r="BB596" t="s">
        <v>3004</v>
      </c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str">
        <f>VLOOKUP(H596,Sheet2!$A$1:$B$270,2,FALSE)</f>
        <v>GRESIK</v>
      </c>
    </row>
    <row r="597" spans="1:61">
      <c r="A597">
        <v>596</v>
      </c>
      <c r="B597">
        <v>1002622683</v>
      </c>
      <c r="C597">
        <v>3</v>
      </c>
      <c r="D597" t="s">
        <v>55</v>
      </c>
      <c r="E597">
        <v>5</v>
      </c>
      <c r="F597" t="s">
        <v>260</v>
      </c>
      <c r="G597" t="s">
        <v>122</v>
      </c>
      <c r="H597" t="s">
        <v>346</v>
      </c>
      <c r="I597" t="s">
        <v>212</v>
      </c>
      <c r="J597" t="s">
        <v>213</v>
      </c>
      <c r="K597" t="s">
        <v>149</v>
      </c>
      <c r="L597" t="s">
        <v>214</v>
      </c>
      <c r="M597" t="s">
        <v>1401</v>
      </c>
      <c r="N597" t="s">
        <v>215</v>
      </c>
      <c r="O597" s="57">
        <v>46300.605949074074</v>
      </c>
      <c r="P597" s="57">
        <v>46302.396249999998</v>
      </c>
      <c r="Q597">
        <v>69404437</v>
      </c>
      <c r="S597">
        <v>152451212264</v>
      </c>
      <c r="T597" t="s">
        <v>2991</v>
      </c>
      <c r="U597" t="s">
        <v>2992</v>
      </c>
      <c r="V597" t="s">
        <v>2993</v>
      </c>
      <c r="Z597">
        <v>112.564478963613</v>
      </c>
      <c r="AA597">
        <v>-6.98964483927484</v>
      </c>
      <c r="AB597" t="s">
        <v>2994</v>
      </c>
      <c r="AC597" t="s">
        <v>216</v>
      </c>
      <c r="AL597" t="s">
        <v>217</v>
      </c>
      <c r="AM597" t="s">
        <v>2995</v>
      </c>
      <c r="AN597" t="s">
        <v>6</v>
      </c>
      <c r="AO597" s="57">
        <v>46152.611331018517</v>
      </c>
      <c r="AP597" s="57">
        <v>46301.458333333336</v>
      </c>
      <c r="AQ597" t="s">
        <v>841</v>
      </c>
      <c r="AR597" t="s">
        <v>14</v>
      </c>
      <c r="AS597" t="s">
        <v>122</v>
      </c>
      <c r="AT597" t="s">
        <v>230</v>
      </c>
      <c r="AV597" t="s">
        <v>3611</v>
      </c>
      <c r="AW597" t="s">
        <v>875</v>
      </c>
      <c r="AX597" t="s">
        <v>222</v>
      </c>
      <c r="BA597" s="57">
        <v>46301.458333333336</v>
      </c>
      <c r="BB597" t="s">
        <v>2995</v>
      </c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str">
        <f>VLOOKUP(H597,Sheet2!$A$1:$B$270,2,FALSE)</f>
        <v>GRESIK</v>
      </c>
    </row>
    <row r="598" spans="1:61">
      <c r="A598">
        <v>597</v>
      </c>
      <c r="B598">
        <v>1002621551</v>
      </c>
      <c r="C598">
        <v>3</v>
      </c>
      <c r="D598" t="s">
        <v>55</v>
      </c>
      <c r="E598">
        <v>5</v>
      </c>
      <c r="F598" t="s">
        <v>260</v>
      </c>
      <c r="G598" t="s">
        <v>122</v>
      </c>
      <c r="H598" t="s">
        <v>346</v>
      </c>
      <c r="I598" t="s">
        <v>212</v>
      </c>
      <c r="J598" t="s">
        <v>213</v>
      </c>
      <c r="K598" t="s">
        <v>149</v>
      </c>
      <c r="L598" t="s">
        <v>214</v>
      </c>
      <c r="M598" t="s">
        <v>224</v>
      </c>
      <c r="N598" t="s">
        <v>215</v>
      </c>
      <c r="O598" s="57">
        <v>46300.331018518518</v>
      </c>
      <c r="P598" s="57">
        <v>46301.341840277775</v>
      </c>
      <c r="Q598">
        <v>69404014</v>
      </c>
      <c r="S598">
        <v>152451212260</v>
      </c>
      <c r="T598" t="s">
        <v>2996</v>
      </c>
      <c r="U598" t="s">
        <v>2997</v>
      </c>
      <c r="V598" t="s">
        <v>2998</v>
      </c>
      <c r="Z598">
        <v>112.488891</v>
      </c>
      <c r="AA598">
        <v>-6.9034129999999996</v>
      </c>
      <c r="AB598" t="s">
        <v>2999</v>
      </c>
      <c r="AC598" t="s">
        <v>235</v>
      </c>
      <c r="AL598" t="s">
        <v>217</v>
      </c>
      <c r="AM598" t="s">
        <v>2551</v>
      </c>
      <c r="AN598" t="s">
        <v>6</v>
      </c>
      <c r="AO598" s="57">
        <v>46152.361574074072</v>
      </c>
      <c r="AP598" s="57">
        <v>46301.333333333336</v>
      </c>
      <c r="AR598" t="s">
        <v>18</v>
      </c>
      <c r="AS598" t="s">
        <v>122</v>
      </c>
      <c r="AT598" t="s">
        <v>230</v>
      </c>
      <c r="AV598" t="s">
        <v>226</v>
      </c>
      <c r="AW598" t="s">
        <v>875</v>
      </c>
      <c r="AX598" t="s">
        <v>222</v>
      </c>
      <c r="BA598" s="57">
        <v>46301.333333333336</v>
      </c>
      <c r="BB598" t="s">
        <v>2551</v>
      </c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str">
        <f>VLOOKUP(H598,Sheet2!$A$1:$B$270,2,FALSE)</f>
        <v>GRESIK</v>
      </c>
    </row>
    <row r="599" spans="1:61">
      <c r="A599">
        <v>598</v>
      </c>
      <c r="B599">
        <v>1002619716</v>
      </c>
      <c r="C599">
        <v>3</v>
      </c>
      <c r="D599" t="s">
        <v>55</v>
      </c>
      <c r="E599">
        <v>5</v>
      </c>
      <c r="F599" t="s">
        <v>260</v>
      </c>
      <c r="G599" t="s">
        <v>122</v>
      </c>
      <c r="H599" t="s">
        <v>346</v>
      </c>
      <c r="I599" t="s">
        <v>212</v>
      </c>
      <c r="J599" t="s">
        <v>213</v>
      </c>
      <c r="K599" t="s">
        <v>149</v>
      </c>
      <c r="L599" t="s">
        <v>214</v>
      </c>
      <c r="M599" t="s">
        <v>836</v>
      </c>
      <c r="N599" t="s">
        <v>215</v>
      </c>
      <c r="O599" s="57">
        <v>46297.544907407406</v>
      </c>
      <c r="P599" s="57">
        <v>46303.428900462961</v>
      </c>
      <c r="Q599">
        <v>69403032</v>
      </c>
      <c r="S599">
        <v>152451212250</v>
      </c>
      <c r="T599" t="s">
        <v>2287</v>
      </c>
      <c r="U599" t="s">
        <v>2288</v>
      </c>
      <c r="V599" t="s">
        <v>2289</v>
      </c>
      <c r="Z599">
        <v>112.5073397</v>
      </c>
      <c r="AA599">
        <v>-7.0084664999999999</v>
      </c>
      <c r="AB599" t="s">
        <v>2290</v>
      </c>
      <c r="AC599" t="s">
        <v>216</v>
      </c>
      <c r="AL599" t="s">
        <v>217</v>
      </c>
      <c r="AM599" t="s">
        <v>1513</v>
      </c>
      <c r="AN599" t="s">
        <v>6</v>
      </c>
      <c r="AO599" s="57">
        <v>46063.549375000002</v>
      </c>
      <c r="AP599" s="57">
        <v>46298.458333333336</v>
      </c>
      <c r="AQ599" t="s">
        <v>841</v>
      </c>
      <c r="AR599" t="s">
        <v>14</v>
      </c>
      <c r="AS599" t="s">
        <v>122</v>
      </c>
      <c r="AT599" t="s">
        <v>230</v>
      </c>
      <c r="AV599" t="s">
        <v>837</v>
      </c>
      <c r="AW599" t="s">
        <v>877</v>
      </c>
      <c r="AX599" t="s">
        <v>222</v>
      </c>
      <c r="BA599" s="57">
        <v>46298.458333333336</v>
      </c>
      <c r="BB599" t="s">
        <v>1513</v>
      </c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str">
        <f>VLOOKUP(H599,Sheet2!$A$1:$B$270,2,FALSE)</f>
        <v>GRESIK</v>
      </c>
    </row>
    <row r="600" spans="1:61">
      <c r="A600">
        <v>599</v>
      </c>
      <c r="B600">
        <v>1002621109</v>
      </c>
      <c r="C600">
        <v>3</v>
      </c>
      <c r="D600" t="s">
        <v>55</v>
      </c>
      <c r="E600">
        <v>5</v>
      </c>
      <c r="F600" t="s">
        <v>260</v>
      </c>
      <c r="G600" t="s">
        <v>122</v>
      </c>
      <c r="H600" t="s">
        <v>346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46298.664305555554</v>
      </c>
      <c r="P600" s="57">
        <v>46299.725486111114</v>
      </c>
      <c r="Q600">
        <v>69403715</v>
      </c>
      <c r="S600">
        <v>152451212256</v>
      </c>
      <c r="T600" t="s">
        <v>2291</v>
      </c>
      <c r="U600" t="s">
        <v>2292</v>
      </c>
      <c r="V600" t="s">
        <v>2293</v>
      </c>
      <c r="Z600">
        <v>112.429598</v>
      </c>
      <c r="AA600">
        <v>-6.9670620000000003</v>
      </c>
      <c r="AB600" t="s">
        <v>2294</v>
      </c>
      <c r="AC600" t="s">
        <v>235</v>
      </c>
      <c r="AL600" t="s">
        <v>217</v>
      </c>
      <c r="AM600" t="s">
        <v>2295</v>
      </c>
      <c r="AN600" t="s">
        <v>6</v>
      </c>
      <c r="AO600" s="57">
        <v>46091.684004629627</v>
      </c>
      <c r="AP600" s="57">
        <v>46299.625</v>
      </c>
      <c r="AR600" t="s">
        <v>218</v>
      </c>
      <c r="AS600" t="s">
        <v>122</v>
      </c>
      <c r="AT600" t="s">
        <v>230</v>
      </c>
      <c r="AU600">
        <v>20261004</v>
      </c>
      <c r="AV600" t="s">
        <v>221</v>
      </c>
      <c r="AW600" t="s">
        <v>883</v>
      </c>
      <c r="AX600" t="s">
        <v>222</v>
      </c>
      <c r="BA600" s="57">
        <v>46299.625</v>
      </c>
      <c r="BB600" t="s">
        <v>2295</v>
      </c>
      <c r="BC600">
        <v>2026</v>
      </c>
      <c r="BD600">
        <v>10</v>
      </c>
      <c r="BE600">
        <v>4</v>
      </c>
      <c r="BF600" s="6">
        <f t="shared" si="27"/>
        <v>46299</v>
      </c>
      <c r="BG600">
        <f t="shared" si="28"/>
        <v>-0.625</v>
      </c>
      <c r="BH600" t="str">
        <f t="shared" si="29"/>
        <v>COMPLY</v>
      </c>
      <c r="BI600" t="str">
        <f>VLOOKUP(H600,Sheet2!$A$1:$B$270,2,FALSE)</f>
        <v>GRESIK</v>
      </c>
    </row>
    <row r="601" spans="1:61">
      <c r="A601">
        <v>600</v>
      </c>
      <c r="B601">
        <v>1002626133</v>
      </c>
      <c r="C601">
        <v>3</v>
      </c>
      <c r="D601" t="s">
        <v>55</v>
      </c>
      <c r="E601">
        <v>5</v>
      </c>
      <c r="F601" t="s">
        <v>260</v>
      </c>
      <c r="G601" t="s">
        <v>122</v>
      </c>
      <c r="H601" t="s">
        <v>346</v>
      </c>
      <c r="I601" t="s">
        <v>212</v>
      </c>
      <c r="J601" t="s">
        <v>213</v>
      </c>
      <c r="K601" t="s">
        <v>149</v>
      </c>
      <c r="M601" t="s">
        <v>76</v>
      </c>
      <c r="N601" t="s">
        <v>215</v>
      </c>
      <c r="O601" s="57">
        <v>46302.563298611109</v>
      </c>
      <c r="P601" s="57">
        <v>46302.73914351852</v>
      </c>
      <c r="Q601">
        <v>69404368</v>
      </c>
      <c r="S601">
        <v>152451212267</v>
      </c>
      <c r="T601" t="s">
        <v>3000</v>
      </c>
      <c r="U601" t="s">
        <v>4307</v>
      </c>
      <c r="V601" t="s">
        <v>4308</v>
      </c>
      <c r="Z601">
        <v>112.563985</v>
      </c>
      <c r="AA601">
        <v>-6.9890699999999999</v>
      </c>
      <c r="AB601" t="s">
        <v>3003</v>
      </c>
      <c r="AC601" t="s">
        <v>216</v>
      </c>
      <c r="AL601" t="s">
        <v>217</v>
      </c>
      <c r="AM601" t="s">
        <v>4309</v>
      </c>
      <c r="AN601" t="s">
        <v>6</v>
      </c>
      <c r="AO601" s="57">
        <v>46213.56962962963</v>
      </c>
      <c r="AR601" t="s">
        <v>218</v>
      </c>
      <c r="AS601" t="s">
        <v>122</v>
      </c>
      <c r="AT601" t="s">
        <v>230</v>
      </c>
      <c r="AU601">
        <v>20261007</v>
      </c>
      <c r="AV601" t="s">
        <v>221</v>
      </c>
      <c r="AW601" t="s">
        <v>577</v>
      </c>
      <c r="AX601" t="s">
        <v>222</v>
      </c>
      <c r="BA601" s="57">
        <v>46302.291666666664</v>
      </c>
      <c r="BB601" t="s">
        <v>4309</v>
      </c>
      <c r="BC601">
        <v>2026</v>
      </c>
      <c r="BD601">
        <v>10</v>
      </c>
      <c r="BE601">
        <v>7</v>
      </c>
      <c r="BF601" s="6">
        <f t="shared" si="27"/>
        <v>46302</v>
      </c>
      <c r="BG601">
        <f t="shared" si="28"/>
        <v>-0.29166666666424135</v>
      </c>
      <c r="BH601" t="str">
        <f t="shared" si="29"/>
        <v>COMPLY</v>
      </c>
      <c r="BI601" t="str">
        <f>VLOOKUP(H601,Sheet2!$A$1:$B$270,2,FALSE)</f>
        <v>GRESIK</v>
      </c>
    </row>
    <row r="602" spans="1:61">
      <c r="A602">
        <v>601</v>
      </c>
      <c r="B602">
        <v>1002625438</v>
      </c>
      <c r="C602">
        <v>3</v>
      </c>
      <c r="D602" t="s">
        <v>55</v>
      </c>
      <c r="E602">
        <v>5</v>
      </c>
      <c r="F602" t="s">
        <v>260</v>
      </c>
      <c r="G602" t="s">
        <v>122</v>
      </c>
      <c r="H602" t="s">
        <v>346</v>
      </c>
      <c r="I602" t="s">
        <v>212</v>
      </c>
      <c r="J602" t="s">
        <v>213</v>
      </c>
      <c r="K602" t="s">
        <v>149</v>
      </c>
      <c r="M602" t="s">
        <v>76</v>
      </c>
      <c r="N602" t="s">
        <v>215</v>
      </c>
      <c r="O602" s="57">
        <v>46302.396261574075</v>
      </c>
      <c r="P602" s="57">
        <v>46302.625648148147</v>
      </c>
      <c r="Q602">
        <v>69404437</v>
      </c>
      <c r="S602">
        <v>152451212269</v>
      </c>
      <c r="T602" t="s">
        <v>2991</v>
      </c>
      <c r="U602" t="s">
        <v>4307</v>
      </c>
      <c r="V602" t="s">
        <v>4310</v>
      </c>
      <c r="Z602">
        <v>112.564224</v>
      </c>
      <c r="AA602">
        <v>-6.9891540000000001</v>
      </c>
      <c r="AB602" t="s">
        <v>2994</v>
      </c>
      <c r="AC602" t="s">
        <v>216</v>
      </c>
      <c r="AL602" t="s">
        <v>217</v>
      </c>
      <c r="AM602" t="s">
        <v>4311</v>
      </c>
      <c r="AN602" t="s">
        <v>6</v>
      </c>
      <c r="AO602" s="57">
        <v>46213.402939814812</v>
      </c>
      <c r="AR602" t="s">
        <v>218</v>
      </c>
      <c r="AS602" t="s">
        <v>122</v>
      </c>
      <c r="AT602" t="s">
        <v>230</v>
      </c>
      <c r="AU602">
        <v>20261007</v>
      </c>
      <c r="AV602" t="s">
        <v>221</v>
      </c>
      <c r="AW602" t="s">
        <v>851</v>
      </c>
      <c r="AX602" t="s">
        <v>222</v>
      </c>
      <c r="BA602" s="57">
        <v>46302.291666666664</v>
      </c>
      <c r="BB602" t="s">
        <v>4311</v>
      </c>
      <c r="BC602">
        <v>2026</v>
      </c>
      <c r="BD602">
        <v>10</v>
      </c>
      <c r="BE602">
        <v>7</v>
      </c>
      <c r="BF602" s="6">
        <f t="shared" si="27"/>
        <v>46302</v>
      </c>
      <c r="BG602">
        <f t="shared" si="28"/>
        <v>-0.29166666666424135</v>
      </c>
      <c r="BH602" t="str">
        <f t="shared" si="29"/>
        <v>COMPLY</v>
      </c>
      <c r="BI602" t="str">
        <f>VLOOKUP(H602,Sheet2!$A$1:$B$270,2,FALSE)</f>
        <v>GRESIK</v>
      </c>
    </row>
    <row r="603" spans="1:61">
      <c r="A603">
        <v>602</v>
      </c>
      <c r="B603">
        <v>1002618083</v>
      </c>
      <c r="C603">
        <v>3</v>
      </c>
      <c r="D603" t="s">
        <v>55</v>
      </c>
      <c r="E603">
        <v>5</v>
      </c>
      <c r="F603" t="s">
        <v>260</v>
      </c>
      <c r="G603" t="s">
        <v>125</v>
      </c>
      <c r="H603" t="s">
        <v>323</v>
      </c>
      <c r="I603" t="s">
        <v>212</v>
      </c>
      <c r="J603" t="s">
        <v>213</v>
      </c>
      <c r="K603" t="s">
        <v>149</v>
      </c>
      <c r="M603" t="s">
        <v>1401</v>
      </c>
      <c r="N603" t="s">
        <v>215</v>
      </c>
      <c r="O603" s="57">
        <v>46296.599189814813</v>
      </c>
      <c r="P603" s="57">
        <v>46300.636331018519</v>
      </c>
      <c r="Q603">
        <v>69402452</v>
      </c>
      <c r="S603">
        <v>152441211669</v>
      </c>
      <c r="T603" t="s">
        <v>1287</v>
      </c>
      <c r="U603" t="s">
        <v>1288</v>
      </c>
      <c r="V603" t="s">
        <v>1289</v>
      </c>
      <c r="Z603">
        <v>112.2702089</v>
      </c>
      <c r="AA603">
        <v>-7.3003412000000001</v>
      </c>
      <c r="AB603" t="s">
        <v>1290</v>
      </c>
      <c r="AC603" t="s">
        <v>229</v>
      </c>
      <c r="AL603" t="s">
        <v>217</v>
      </c>
      <c r="AM603" t="s">
        <v>1291</v>
      </c>
      <c r="AN603" t="s">
        <v>6</v>
      </c>
      <c r="AO603" s="57">
        <v>46032.611296296294</v>
      </c>
      <c r="AP603" s="57">
        <v>46297.625</v>
      </c>
      <c r="AQ603" t="s">
        <v>838</v>
      </c>
      <c r="AR603" t="s">
        <v>14</v>
      </c>
      <c r="AS603" t="s">
        <v>219</v>
      </c>
      <c r="AT603" t="s">
        <v>230</v>
      </c>
      <c r="AV603" t="s">
        <v>3005</v>
      </c>
      <c r="AW603" t="s">
        <v>541</v>
      </c>
      <c r="AX603" t="s">
        <v>222</v>
      </c>
      <c r="BA603" s="57">
        <v>46297.625</v>
      </c>
      <c r="BB603" t="s">
        <v>1291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GRESIK</v>
      </c>
    </row>
    <row r="604" spans="1:61">
      <c r="A604">
        <v>603</v>
      </c>
      <c r="B604">
        <v>1002625399</v>
      </c>
      <c r="C604">
        <v>3</v>
      </c>
      <c r="D604" t="s">
        <v>55</v>
      </c>
      <c r="E604">
        <v>5</v>
      </c>
      <c r="F604" t="s">
        <v>260</v>
      </c>
      <c r="G604" t="s">
        <v>125</v>
      </c>
      <c r="H604" t="s">
        <v>323</v>
      </c>
      <c r="I604" t="s">
        <v>212</v>
      </c>
      <c r="J604" t="s">
        <v>213</v>
      </c>
      <c r="K604" t="s">
        <v>149</v>
      </c>
      <c r="M604" t="s">
        <v>224</v>
      </c>
      <c r="N604" t="s">
        <v>215</v>
      </c>
      <c r="O604" s="57">
        <v>46302.387592592589</v>
      </c>
      <c r="P604" s="57">
        <v>46303.424421296295</v>
      </c>
      <c r="Q604">
        <v>69405486</v>
      </c>
      <c r="S604">
        <v>152441211321</v>
      </c>
      <c r="T604" t="s">
        <v>4312</v>
      </c>
      <c r="U604" t="s">
        <v>4313</v>
      </c>
      <c r="V604" t="s">
        <v>4314</v>
      </c>
      <c r="Z604">
        <v>112.2235337</v>
      </c>
      <c r="AA604">
        <v>-7.3343007</v>
      </c>
      <c r="AB604" t="s">
        <v>4315</v>
      </c>
      <c r="AC604" t="s">
        <v>229</v>
      </c>
      <c r="AL604" t="s">
        <v>217</v>
      </c>
      <c r="AM604" t="s">
        <v>4316</v>
      </c>
      <c r="AN604" t="s">
        <v>6</v>
      </c>
      <c r="AO604" s="57">
        <v>46213.392731481479</v>
      </c>
      <c r="AP604" s="57">
        <v>46303.416666666664</v>
      </c>
      <c r="AR604" t="s">
        <v>18</v>
      </c>
      <c r="AS604" t="s">
        <v>219</v>
      </c>
      <c r="AT604" t="s">
        <v>230</v>
      </c>
      <c r="AV604" t="s">
        <v>226</v>
      </c>
      <c r="AW604" t="s">
        <v>2457</v>
      </c>
      <c r="AX604" t="s">
        <v>222</v>
      </c>
      <c r="BA604" s="57">
        <v>46303.416666666664</v>
      </c>
      <c r="BB604" t="s">
        <v>4316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str">
        <f>VLOOKUP(H604,Sheet2!$A$1:$B$270,2,FALSE)</f>
        <v>GRESIK</v>
      </c>
    </row>
    <row r="605" spans="1:61">
      <c r="A605">
        <v>604</v>
      </c>
      <c r="B605">
        <v>1002622039</v>
      </c>
      <c r="C605">
        <v>3</v>
      </c>
      <c r="D605" t="s">
        <v>55</v>
      </c>
      <c r="E605">
        <v>5</v>
      </c>
      <c r="F605" t="s">
        <v>260</v>
      </c>
      <c r="G605" t="s">
        <v>125</v>
      </c>
      <c r="H605" t="s">
        <v>323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46300.451793981483</v>
      </c>
      <c r="P605" s="57">
        <v>46301.643923611111</v>
      </c>
      <c r="Q605">
        <v>69404193</v>
      </c>
      <c r="S605">
        <v>152441211843</v>
      </c>
      <c r="T605" t="s">
        <v>3008</v>
      </c>
      <c r="U605" t="s">
        <v>3009</v>
      </c>
      <c r="V605" t="s">
        <v>3010</v>
      </c>
      <c r="Z605">
        <v>112.163363</v>
      </c>
      <c r="AA605">
        <v>-7.1239169999999996</v>
      </c>
      <c r="AB605" t="s">
        <v>3011</v>
      </c>
      <c r="AC605" t="s">
        <v>235</v>
      </c>
      <c r="AL605" t="s">
        <v>217</v>
      </c>
      <c r="AM605" t="s">
        <v>3012</v>
      </c>
      <c r="AN605" t="s">
        <v>6</v>
      </c>
      <c r="AO605" s="57">
        <v>46152.486157407409</v>
      </c>
      <c r="AP605" s="57">
        <v>46301.416666666664</v>
      </c>
      <c r="AR605" t="s">
        <v>218</v>
      </c>
      <c r="AS605" t="s">
        <v>219</v>
      </c>
      <c r="AT605" t="s">
        <v>230</v>
      </c>
      <c r="AU605">
        <v>20261006</v>
      </c>
      <c r="AV605" t="s">
        <v>221</v>
      </c>
      <c r="AW605" t="s">
        <v>877</v>
      </c>
      <c r="AX605" t="s">
        <v>222</v>
      </c>
      <c r="BA605" s="57">
        <v>46301.416666666664</v>
      </c>
      <c r="BB605" t="s">
        <v>3012</v>
      </c>
      <c r="BC605">
        <v>2026</v>
      </c>
      <c r="BD605">
        <v>10</v>
      </c>
      <c r="BE605">
        <v>6</v>
      </c>
      <c r="BF605" s="6">
        <f t="shared" si="27"/>
        <v>46301</v>
      </c>
      <c r="BG605">
        <f t="shared" si="28"/>
        <v>-0.41666666666424135</v>
      </c>
      <c r="BH605" t="str">
        <f t="shared" si="29"/>
        <v>COMPLY</v>
      </c>
      <c r="BI605" t="str">
        <f>VLOOKUP(H605,Sheet2!$A$1:$B$270,2,FALSE)</f>
        <v>GRESIK</v>
      </c>
    </row>
    <row r="606" spans="1:61">
      <c r="A606">
        <v>605</v>
      </c>
      <c r="B606">
        <v>1002622810</v>
      </c>
      <c r="C606">
        <v>3</v>
      </c>
      <c r="D606" t="s">
        <v>55</v>
      </c>
      <c r="E606">
        <v>5</v>
      </c>
      <c r="F606" t="s">
        <v>260</v>
      </c>
      <c r="G606" t="s">
        <v>125</v>
      </c>
      <c r="H606" t="s">
        <v>323</v>
      </c>
      <c r="I606" t="s">
        <v>212</v>
      </c>
      <c r="J606" t="s">
        <v>213</v>
      </c>
      <c r="K606" t="s">
        <v>149</v>
      </c>
      <c r="M606" t="s">
        <v>76</v>
      </c>
      <c r="N606" t="s">
        <v>215</v>
      </c>
      <c r="O606" s="57">
        <v>46300.636331018519</v>
      </c>
      <c r="P606" s="57">
        <v>46300.669814814813</v>
      </c>
      <c r="Q606">
        <v>69402452</v>
      </c>
      <c r="S606">
        <v>152441211844</v>
      </c>
      <c r="T606" t="s">
        <v>1287</v>
      </c>
      <c r="U606" t="s">
        <v>1288</v>
      </c>
      <c r="V606" t="s">
        <v>3006</v>
      </c>
      <c r="Z606">
        <v>112.270158</v>
      </c>
      <c r="AA606">
        <v>-7.300332</v>
      </c>
      <c r="AB606" t="s">
        <v>1290</v>
      </c>
      <c r="AC606" t="s">
        <v>229</v>
      </c>
      <c r="AL606" t="s">
        <v>217</v>
      </c>
      <c r="AM606" t="s">
        <v>3007</v>
      </c>
      <c r="AN606" t="s">
        <v>6</v>
      </c>
      <c r="AO606" s="57">
        <v>46152.642523148148</v>
      </c>
      <c r="AR606" t="s">
        <v>218</v>
      </c>
      <c r="AS606" t="s">
        <v>219</v>
      </c>
      <c r="AT606" t="s">
        <v>230</v>
      </c>
      <c r="AU606">
        <v>20261005</v>
      </c>
      <c r="AV606" t="s">
        <v>221</v>
      </c>
      <c r="AW606" t="s">
        <v>861</v>
      </c>
      <c r="AX606" t="s">
        <v>222</v>
      </c>
      <c r="BA606" s="57">
        <v>46300.291666666664</v>
      </c>
      <c r="BB606" t="s">
        <v>3007</v>
      </c>
      <c r="BC606">
        <v>2026</v>
      </c>
      <c r="BD606">
        <v>10</v>
      </c>
      <c r="BE606">
        <v>5</v>
      </c>
      <c r="BF606" s="6">
        <f t="shared" si="27"/>
        <v>46300</v>
      </c>
      <c r="BG606">
        <f t="shared" si="28"/>
        <v>-0.29166666666424135</v>
      </c>
      <c r="BH606" t="str">
        <f t="shared" si="29"/>
        <v>COMPLY</v>
      </c>
      <c r="BI606" t="str">
        <f>VLOOKUP(H606,Sheet2!$A$1:$B$270,2,FALSE)</f>
        <v>GRESIK</v>
      </c>
    </row>
    <row r="607" spans="1:61">
      <c r="A607">
        <v>606</v>
      </c>
      <c r="B607">
        <v>1002617657</v>
      </c>
      <c r="C607">
        <v>3</v>
      </c>
      <c r="D607" t="s">
        <v>55</v>
      </c>
      <c r="E607">
        <v>5</v>
      </c>
      <c r="F607" t="s">
        <v>260</v>
      </c>
      <c r="G607" t="s">
        <v>125</v>
      </c>
      <c r="H607" t="s">
        <v>405</v>
      </c>
      <c r="I607" t="s">
        <v>212</v>
      </c>
      <c r="J607" t="s">
        <v>213</v>
      </c>
      <c r="K607" t="s">
        <v>149</v>
      </c>
      <c r="L607" t="s">
        <v>214</v>
      </c>
      <c r="M607" t="s">
        <v>839</v>
      </c>
      <c r="N607" t="s">
        <v>215</v>
      </c>
      <c r="O607" s="57">
        <v>46296.491365740738</v>
      </c>
      <c r="P607" s="57">
        <v>46297.509652777779</v>
      </c>
      <c r="Q607">
        <v>69402283</v>
      </c>
      <c r="S607">
        <v>152448204121</v>
      </c>
      <c r="T607" t="s">
        <v>1292</v>
      </c>
      <c r="U607" t="s">
        <v>1293</v>
      </c>
      <c r="V607" t="s">
        <v>1294</v>
      </c>
      <c r="Z607">
        <v>112.357741</v>
      </c>
      <c r="AA607">
        <v>-6.8665966999999997</v>
      </c>
      <c r="AB607" t="s">
        <v>1295</v>
      </c>
      <c r="AC607" t="s">
        <v>235</v>
      </c>
      <c r="AL607" t="s">
        <v>217</v>
      </c>
      <c r="AM607" t="s">
        <v>1296</v>
      </c>
      <c r="AN607" t="s">
        <v>6</v>
      </c>
      <c r="AO607" s="57">
        <v>46032.517557870371</v>
      </c>
      <c r="AP607" s="57">
        <v>46297.416666666664</v>
      </c>
      <c r="AQ607" t="s">
        <v>838</v>
      </c>
      <c r="AR607" t="s">
        <v>840</v>
      </c>
      <c r="AS607" t="s">
        <v>219</v>
      </c>
      <c r="AT607" t="s">
        <v>230</v>
      </c>
      <c r="AV607" t="s">
        <v>1297</v>
      </c>
      <c r="AW607" t="s">
        <v>886</v>
      </c>
      <c r="AX607" t="s">
        <v>222</v>
      </c>
      <c r="BA607" s="57">
        <v>46297.416666666664</v>
      </c>
      <c r="BB607" t="s">
        <v>1296</v>
      </c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str">
        <f>VLOOKUP(H607,Sheet2!$A$1:$B$270,2,FALSE)</f>
        <v>GRESIK</v>
      </c>
    </row>
    <row r="608" spans="1:61">
      <c r="A608">
        <v>607</v>
      </c>
      <c r="B608">
        <v>1002621212</v>
      </c>
      <c r="C608">
        <v>3</v>
      </c>
      <c r="D608" t="s">
        <v>55</v>
      </c>
      <c r="E608">
        <v>5</v>
      </c>
      <c r="F608" t="s">
        <v>260</v>
      </c>
      <c r="G608" t="s">
        <v>125</v>
      </c>
      <c r="H608" t="s">
        <v>405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46298.817824074074</v>
      </c>
      <c r="P608" s="57">
        <v>46300.619398148148</v>
      </c>
      <c r="Q608">
        <v>69403778</v>
      </c>
      <c r="S608">
        <v>152448204125</v>
      </c>
      <c r="T608" t="s">
        <v>2300</v>
      </c>
      <c r="U608" t="s">
        <v>1293</v>
      </c>
      <c r="V608" t="s">
        <v>2301</v>
      </c>
      <c r="Z608">
        <v>112.35696</v>
      </c>
      <c r="AA608">
        <v>-6.8674280000000003</v>
      </c>
      <c r="AB608" t="s">
        <v>2302</v>
      </c>
      <c r="AC608" t="s">
        <v>235</v>
      </c>
      <c r="AL608" t="s">
        <v>217</v>
      </c>
      <c r="AM608" t="s">
        <v>2303</v>
      </c>
      <c r="AN608" t="s">
        <v>6</v>
      </c>
      <c r="AO608" s="57">
        <v>46091.819525462961</v>
      </c>
      <c r="AP608" s="57">
        <v>46300.416666666664</v>
      </c>
      <c r="AR608" t="s">
        <v>218</v>
      </c>
      <c r="AS608" t="s">
        <v>219</v>
      </c>
      <c r="AT608" t="s">
        <v>230</v>
      </c>
      <c r="AU608">
        <v>20261005</v>
      </c>
      <c r="AV608" t="s">
        <v>221</v>
      </c>
      <c r="AW608" t="s">
        <v>875</v>
      </c>
      <c r="AX608" t="s">
        <v>222</v>
      </c>
      <c r="BA608" s="57">
        <v>46300.416666666664</v>
      </c>
      <c r="BB608" t="s">
        <v>2303</v>
      </c>
      <c r="BC608">
        <v>2026</v>
      </c>
      <c r="BD608">
        <v>10</v>
      </c>
      <c r="BE608">
        <v>5</v>
      </c>
      <c r="BF608" s="6">
        <f t="shared" si="27"/>
        <v>46300</v>
      </c>
      <c r="BG608">
        <f t="shared" si="28"/>
        <v>-0.41666666666424135</v>
      </c>
      <c r="BH608" t="str">
        <f t="shared" si="29"/>
        <v>COMPLY</v>
      </c>
      <c r="BI608" t="str">
        <f>VLOOKUP(H608,Sheet2!$A$1:$B$270,2,FALSE)</f>
        <v>GRESIK</v>
      </c>
    </row>
    <row r="609" spans="1:61">
      <c r="A609">
        <v>608</v>
      </c>
      <c r="B609">
        <v>1002621184</v>
      </c>
      <c r="C609">
        <v>3</v>
      </c>
      <c r="D609" t="s">
        <v>55</v>
      </c>
      <c r="E609">
        <v>5</v>
      </c>
      <c r="F609" t="s">
        <v>260</v>
      </c>
      <c r="G609" t="s">
        <v>125</v>
      </c>
      <c r="H609" t="s">
        <v>405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46298.757337962961</v>
      </c>
      <c r="P609" s="57">
        <v>46299.864108796297</v>
      </c>
      <c r="Q609">
        <v>69403752</v>
      </c>
      <c r="S609">
        <v>152448204124</v>
      </c>
      <c r="T609" t="s">
        <v>2296</v>
      </c>
      <c r="U609" t="s">
        <v>2297</v>
      </c>
      <c r="V609" t="s">
        <v>2298</v>
      </c>
      <c r="Z609">
        <v>112.352554</v>
      </c>
      <c r="AA609">
        <v>-6.8694839999999999</v>
      </c>
      <c r="AB609" t="s">
        <v>2299</v>
      </c>
      <c r="AC609" t="s">
        <v>235</v>
      </c>
      <c r="AL609" t="s">
        <v>217</v>
      </c>
      <c r="AM609" t="s">
        <v>1426</v>
      </c>
      <c r="AN609" t="s">
        <v>6</v>
      </c>
      <c r="AO609" s="57">
        <v>46091.778020833335</v>
      </c>
      <c r="AP609" s="57">
        <v>46299.625</v>
      </c>
      <c r="AR609" t="s">
        <v>218</v>
      </c>
      <c r="AS609" t="s">
        <v>219</v>
      </c>
      <c r="AT609" t="s">
        <v>230</v>
      </c>
      <c r="AU609">
        <v>20261004</v>
      </c>
      <c r="AV609" t="s">
        <v>221</v>
      </c>
      <c r="AW609" t="s">
        <v>877</v>
      </c>
      <c r="AX609" t="s">
        <v>222</v>
      </c>
      <c r="BA609" s="57">
        <v>46299.625</v>
      </c>
      <c r="BB609" t="s">
        <v>1426</v>
      </c>
      <c r="BC609">
        <v>2026</v>
      </c>
      <c r="BD609">
        <v>10</v>
      </c>
      <c r="BE609">
        <v>4</v>
      </c>
      <c r="BF609" s="6">
        <f t="shared" si="27"/>
        <v>46299</v>
      </c>
      <c r="BG609">
        <f t="shared" si="28"/>
        <v>-0.625</v>
      </c>
      <c r="BH609" t="str">
        <f t="shared" si="29"/>
        <v>COMPLY</v>
      </c>
      <c r="BI609" t="str">
        <f>VLOOKUP(H609,Sheet2!$A$1:$B$270,2,FALSE)</f>
        <v>GRESIK</v>
      </c>
    </row>
    <row r="610" spans="1:61">
      <c r="A610">
        <v>609</v>
      </c>
      <c r="B610">
        <v>1002625131</v>
      </c>
      <c r="C610">
        <v>3</v>
      </c>
      <c r="D610" t="s">
        <v>55</v>
      </c>
      <c r="E610">
        <v>5</v>
      </c>
      <c r="F610" t="s">
        <v>260</v>
      </c>
      <c r="G610" t="s">
        <v>125</v>
      </c>
      <c r="H610" t="s">
        <v>403</v>
      </c>
      <c r="I610" t="s">
        <v>212</v>
      </c>
      <c r="J610" t="s">
        <v>213</v>
      </c>
      <c r="K610" t="s">
        <v>149</v>
      </c>
      <c r="L610" t="s">
        <v>214</v>
      </c>
      <c r="M610" t="s">
        <v>224</v>
      </c>
      <c r="N610" t="s">
        <v>215</v>
      </c>
      <c r="O610" s="57">
        <v>46301.740694444445</v>
      </c>
      <c r="P610" s="57">
        <v>46302.710196759261</v>
      </c>
      <c r="Q610">
        <v>69405385</v>
      </c>
      <c r="S610">
        <v>152433910168</v>
      </c>
      <c r="T610" t="s">
        <v>3612</v>
      </c>
      <c r="U610" t="s">
        <v>3613</v>
      </c>
      <c r="V610" t="s">
        <v>3617</v>
      </c>
      <c r="Z610">
        <v>112.3743056</v>
      </c>
      <c r="AA610">
        <v>-7.2401111</v>
      </c>
      <c r="AB610" t="s">
        <v>3618</v>
      </c>
      <c r="AC610" t="s">
        <v>235</v>
      </c>
      <c r="AL610" t="s">
        <v>217</v>
      </c>
      <c r="AM610" t="s">
        <v>3616</v>
      </c>
      <c r="AN610" t="s">
        <v>6</v>
      </c>
      <c r="AO610" s="57">
        <v>46183.746932870374</v>
      </c>
      <c r="AP610" s="57">
        <v>46302.625</v>
      </c>
      <c r="AR610" t="s">
        <v>18</v>
      </c>
      <c r="AS610" t="s">
        <v>125</v>
      </c>
      <c r="AT610" t="s">
        <v>230</v>
      </c>
      <c r="AV610" t="s">
        <v>226</v>
      </c>
      <c r="AW610" t="s">
        <v>879</v>
      </c>
      <c r="AX610" t="s">
        <v>222</v>
      </c>
      <c r="BA610" s="57">
        <v>46302.625</v>
      </c>
      <c r="BB610" t="s">
        <v>3616</v>
      </c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str">
        <f>VLOOKUP(H610,Sheet2!$A$1:$B$270,2,FALSE)</f>
        <v>GRESIK</v>
      </c>
    </row>
    <row r="611" spans="1:61">
      <c r="A611">
        <v>610</v>
      </c>
      <c r="B611">
        <v>1002620721</v>
      </c>
      <c r="C611">
        <v>3</v>
      </c>
      <c r="D611" t="s">
        <v>55</v>
      </c>
      <c r="E611">
        <v>5</v>
      </c>
      <c r="F611" t="s">
        <v>260</v>
      </c>
      <c r="G611" t="s">
        <v>125</v>
      </c>
      <c r="H611" t="s">
        <v>403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46298.339282407411</v>
      </c>
      <c r="P611" s="57">
        <v>46298.678252314814</v>
      </c>
      <c r="Q611">
        <v>69403433</v>
      </c>
      <c r="S611">
        <v>152433910146</v>
      </c>
      <c r="T611" t="s">
        <v>2304</v>
      </c>
      <c r="U611" t="s">
        <v>2305</v>
      </c>
      <c r="V611" t="s">
        <v>2306</v>
      </c>
      <c r="Z611">
        <v>112.41707599999999</v>
      </c>
      <c r="AA611">
        <v>-7.1212439999999999</v>
      </c>
      <c r="AB611" t="s">
        <v>2307</v>
      </c>
      <c r="AC611" t="s">
        <v>235</v>
      </c>
      <c r="AL611" t="s">
        <v>217</v>
      </c>
      <c r="AM611" t="s">
        <v>2308</v>
      </c>
      <c r="AN611" t="s">
        <v>6</v>
      </c>
      <c r="AO611" s="57">
        <v>46091.340624999997</v>
      </c>
      <c r="AP611" s="57">
        <v>46299.416666666664</v>
      </c>
      <c r="AR611" t="s">
        <v>218</v>
      </c>
      <c r="AS611" t="s">
        <v>125</v>
      </c>
      <c r="AT611" t="s">
        <v>230</v>
      </c>
      <c r="AU611">
        <v>20261003</v>
      </c>
      <c r="AV611" t="s">
        <v>221</v>
      </c>
      <c r="AW611" t="s">
        <v>877</v>
      </c>
      <c r="AX611" t="s">
        <v>222</v>
      </c>
      <c r="BA611" s="57">
        <v>46299.416666666664</v>
      </c>
      <c r="BB611" t="s">
        <v>2308</v>
      </c>
      <c r="BC611">
        <v>2026</v>
      </c>
      <c r="BD611">
        <v>10</v>
      </c>
      <c r="BE611">
        <v>3</v>
      </c>
      <c r="BF611" s="6">
        <f t="shared" si="27"/>
        <v>46298</v>
      </c>
      <c r="BG611">
        <f t="shared" si="28"/>
        <v>-1.4166666666642413</v>
      </c>
      <c r="BH611" t="str">
        <f t="shared" si="29"/>
        <v>COMPLY</v>
      </c>
      <c r="BI611" t="str">
        <f>VLOOKUP(H611,Sheet2!$A$1:$B$270,2,FALSE)</f>
        <v>GRESIK</v>
      </c>
    </row>
    <row r="612" spans="1:61">
      <c r="A612">
        <v>611</v>
      </c>
      <c r="B612">
        <v>1002621048</v>
      </c>
      <c r="C612">
        <v>3</v>
      </c>
      <c r="D612" t="s">
        <v>55</v>
      </c>
      <c r="E612">
        <v>5</v>
      </c>
      <c r="F612" t="s">
        <v>260</v>
      </c>
      <c r="G612" t="s">
        <v>125</v>
      </c>
      <c r="H612" t="s">
        <v>403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46298.605254629627</v>
      </c>
      <c r="P612" s="57">
        <v>46299.655821759261</v>
      </c>
      <c r="Q612">
        <v>69403665</v>
      </c>
      <c r="S612">
        <v>152433910259</v>
      </c>
      <c r="T612" t="s">
        <v>2309</v>
      </c>
      <c r="U612" t="s">
        <v>2310</v>
      </c>
      <c r="V612" t="s">
        <v>2311</v>
      </c>
      <c r="Z612">
        <v>112.4429966</v>
      </c>
      <c r="AA612">
        <v>-7.1163000999999904</v>
      </c>
      <c r="AB612" t="s">
        <v>2312</v>
      </c>
      <c r="AC612" t="s">
        <v>216</v>
      </c>
      <c r="AL612" t="s">
        <v>217</v>
      </c>
      <c r="AM612" t="s">
        <v>2313</v>
      </c>
      <c r="AN612" t="s">
        <v>6</v>
      </c>
      <c r="AO612" s="57">
        <v>46091.610972222225</v>
      </c>
      <c r="AP612" s="57">
        <v>46299.458333333336</v>
      </c>
      <c r="AR612" t="s">
        <v>218</v>
      </c>
      <c r="AS612" t="s">
        <v>125</v>
      </c>
      <c r="AT612" t="s">
        <v>230</v>
      </c>
      <c r="AU612">
        <v>20261004</v>
      </c>
      <c r="AV612" t="s">
        <v>221</v>
      </c>
      <c r="AW612" t="s">
        <v>875</v>
      </c>
      <c r="AX612" t="s">
        <v>222</v>
      </c>
      <c r="BA612" s="57">
        <v>46299.458333333336</v>
      </c>
      <c r="BB612" t="s">
        <v>2313</v>
      </c>
      <c r="BC612">
        <v>2026</v>
      </c>
      <c r="BD612">
        <v>10</v>
      </c>
      <c r="BE612">
        <v>4</v>
      </c>
      <c r="BF612" s="6">
        <f t="shared" si="27"/>
        <v>46299</v>
      </c>
      <c r="BG612">
        <f t="shared" si="28"/>
        <v>-0.45833333333575865</v>
      </c>
      <c r="BH612" t="str">
        <f t="shared" si="29"/>
        <v>COMPLY</v>
      </c>
      <c r="BI612" t="str">
        <f>VLOOKUP(H612,Sheet2!$A$1:$B$270,2,FALSE)</f>
        <v>GRESIK</v>
      </c>
    </row>
    <row r="613" spans="1:61">
      <c r="A613">
        <v>612</v>
      </c>
      <c r="B613">
        <v>1002620908</v>
      </c>
      <c r="C613">
        <v>3</v>
      </c>
      <c r="D613" t="s">
        <v>55</v>
      </c>
      <c r="E613">
        <v>5</v>
      </c>
      <c r="F613" t="s">
        <v>260</v>
      </c>
      <c r="G613" t="s">
        <v>125</v>
      </c>
      <c r="H613" t="s">
        <v>403</v>
      </c>
      <c r="I613" t="s">
        <v>212</v>
      </c>
      <c r="J613" t="s">
        <v>213</v>
      </c>
      <c r="K613" t="s">
        <v>149</v>
      </c>
      <c r="L613" t="s">
        <v>214</v>
      </c>
      <c r="M613" t="s">
        <v>76</v>
      </c>
      <c r="N613" t="s">
        <v>215</v>
      </c>
      <c r="O613" s="57">
        <v>46298.499768518515</v>
      </c>
      <c r="P613" s="57">
        <v>46299.654629629629</v>
      </c>
      <c r="Q613">
        <v>69403557</v>
      </c>
      <c r="S613">
        <v>152433910148</v>
      </c>
      <c r="T613" t="s">
        <v>2314</v>
      </c>
      <c r="U613" t="s">
        <v>2315</v>
      </c>
      <c r="V613" t="s">
        <v>2316</v>
      </c>
      <c r="Z613">
        <v>112.459167055785</v>
      </c>
      <c r="AA613">
        <v>-7.0725699891390503</v>
      </c>
      <c r="AB613" t="s">
        <v>2317</v>
      </c>
      <c r="AC613" t="s">
        <v>216</v>
      </c>
      <c r="AL613" t="s">
        <v>217</v>
      </c>
      <c r="AM613" t="s">
        <v>2308</v>
      </c>
      <c r="AN613" t="s">
        <v>6</v>
      </c>
      <c r="AO613" s="57">
        <v>46091.517858796295</v>
      </c>
      <c r="AP613" s="57">
        <v>46299.416666666664</v>
      </c>
      <c r="AR613" t="s">
        <v>218</v>
      </c>
      <c r="AS613" t="s">
        <v>125</v>
      </c>
      <c r="AT613" t="s">
        <v>230</v>
      </c>
      <c r="AU613">
        <v>20261004</v>
      </c>
      <c r="AV613" t="s">
        <v>221</v>
      </c>
      <c r="AW613" t="s">
        <v>876</v>
      </c>
      <c r="AX613" t="s">
        <v>222</v>
      </c>
      <c r="BA613" s="57">
        <v>46299.416666666664</v>
      </c>
      <c r="BB613" t="s">
        <v>2308</v>
      </c>
      <c r="BC613">
        <v>2026</v>
      </c>
      <c r="BD613">
        <v>10</v>
      </c>
      <c r="BE613">
        <v>4</v>
      </c>
      <c r="BF613" s="6">
        <f t="shared" si="27"/>
        <v>46299</v>
      </c>
      <c r="BG613">
        <f t="shared" si="28"/>
        <v>-0.41666666666424135</v>
      </c>
      <c r="BH613" t="str">
        <f t="shared" si="29"/>
        <v>COMPLY</v>
      </c>
      <c r="BI613" t="str">
        <f>VLOOKUP(H613,Sheet2!$A$1:$B$270,2,FALSE)</f>
        <v>GRESIK</v>
      </c>
    </row>
    <row r="614" spans="1:61">
      <c r="A614">
        <v>613</v>
      </c>
      <c r="B614">
        <v>1002625133</v>
      </c>
      <c r="C614">
        <v>3</v>
      </c>
      <c r="D614" t="s">
        <v>55</v>
      </c>
      <c r="E614">
        <v>5</v>
      </c>
      <c r="F614" t="s">
        <v>260</v>
      </c>
      <c r="G614" t="s">
        <v>125</v>
      </c>
      <c r="H614" t="s">
        <v>403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46301.741423611114</v>
      </c>
      <c r="P614" s="57">
        <v>46302.649965277778</v>
      </c>
      <c r="Q614">
        <v>69405386</v>
      </c>
      <c r="S614">
        <v>152433910269</v>
      </c>
      <c r="T614" t="s">
        <v>3612</v>
      </c>
      <c r="U614" t="s">
        <v>3613</v>
      </c>
      <c r="V614" t="s">
        <v>3614</v>
      </c>
      <c r="Z614">
        <v>112.3743056</v>
      </c>
      <c r="AA614">
        <v>-7.2401111</v>
      </c>
      <c r="AB614" t="s">
        <v>3615</v>
      </c>
      <c r="AC614" t="s">
        <v>235</v>
      </c>
      <c r="AL614" t="s">
        <v>217</v>
      </c>
      <c r="AM614" t="s">
        <v>3616</v>
      </c>
      <c r="AN614" t="s">
        <v>6</v>
      </c>
      <c r="AO614" s="57">
        <v>46183.746932870374</v>
      </c>
      <c r="AP614" s="57">
        <v>46302.625</v>
      </c>
      <c r="AR614" t="s">
        <v>218</v>
      </c>
      <c r="AS614" t="s">
        <v>125</v>
      </c>
      <c r="AT614" t="s">
        <v>230</v>
      </c>
      <c r="AU614">
        <v>20261007</v>
      </c>
      <c r="AV614" t="s">
        <v>221</v>
      </c>
      <c r="AW614" t="s">
        <v>879</v>
      </c>
      <c r="AX614" t="s">
        <v>222</v>
      </c>
      <c r="BA614" s="57">
        <v>46302.625</v>
      </c>
      <c r="BB614" t="s">
        <v>3616</v>
      </c>
      <c r="BC614">
        <v>2026</v>
      </c>
      <c r="BD614">
        <v>10</v>
      </c>
      <c r="BE614">
        <v>7</v>
      </c>
      <c r="BF614" s="6">
        <f t="shared" si="27"/>
        <v>46302</v>
      </c>
      <c r="BG614">
        <f t="shared" si="28"/>
        <v>-0.625</v>
      </c>
      <c r="BH614" t="str">
        <f t="shared" si="29"/>
        <v>COMPLY</v>
      </c>
      <c r="BI614" t="str">
        <f>VLOOKUP(H614,Sheet2!$A$1:$B$270,2,FALSE)</f>
        <v>GRESIK</v>
      </c>
    </row>
    <row r="615" spans="1:61">
      <c r="A615">
        <v>614</v>
      </c>
      <c r="B615">
        <v>1002621696</v>
      </c>
      <c r="C615">
        <v>3</v>
      </c>
      <c r="D615" t="s">
        <v>55</v>
      </c>
      <c r="E615">
        <v>5</v>
      </c>
      <c r="F615" t="s">
        <v>260</v>
      </c>
      <c r="G615" t="s">
        <v>125</v>
      </c>
      <c r="H615" t="s">
        <v>403</v>
      </c>
      <c r="I615" t="s">
        <v>212</v>
      </c>
      <c r="J615" t="s">
        <v>213</v>
      </c>
      <c r="K615" t="s">
        <v>149</v>
      </c>
      <c r="L615" t="s">
        <v>214</v>
      </c>
      <c r="M615" t="s">
        <v>279</v>
      </c>
      <c r="N615" t="s">
        <v>215</v>
      </c>
      <c r="O615" s="57">
        <v>46300.383738425924</v>
      </c>
      <c r="P615" s="57">
        <v>46301.377442129633</v>
      </c>
      <c r="Q615">
        <v>69404053</v>
      </c>
      <c r="S615">
        <v>152433910263</v>
      </c>
      <c r="T615" t="s">
        <v>3013</v>
      </c>
      <c r="U615" t="s">
        <v>3014</v>
      </c>
      <c r="V615" t="s">
        <v>3015</v>
      </c>
      <c r="Z615">
        <v>112.476389</v>
      </c>
      <c r="AA615">
        <v>-7.1283450000000004</v>
      </c>
      <c r="AB615" t="s">
        <v>3016</v>
      </c>
      <c r="AC615" t="s">
        <v>235</v>
      </c>
      <c r="AL615" t="s">
        <v>217</v>
      </c>
      <c r="AM615" t="s">
        <v>3017</v>
      </c>
      <c r="AN615" t="s">
        <v>6</v>
      </c>
      <c r="AO615" s="57">
        <v>46152.392511574071</v>
      </c>
      <c r="AP615" s="57">
        <v>46301.416666666664</v>
      </c>
      <c r="AR615" t="s">
        <v>239</v>
      </c>
      <c r="AS615" t="s">
        <v>125</v>
      </c>
      <c r="AT615" t="s">
        <v>230</v>
      </c>
      <c r="AV615" t="s">
        <v>3018</v>
      </c>
      <c r="AW615" t="s">
        <v>886</v>
      </c>
      <c r="AX615" t="s">
        <v>222</v>
      </c>
      <c r="BA615" s="57">
        <v>46301.416666666664</v>
      </c>
      <c r="BB615" t="s">
        <v>3017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str">
        <f>VLOOKUP(H615,Sheet2!$A$1:$B$270,2,FALSE)</f>
        <v>GRESIK</v>
      </c>
    </row>
    <row r="616" spans="1:61">
      <c r="A616">
        <v>615</v>
      </c>
      <c r="B616">
        <v>1002621687</v>
      </c>
      <c r="C616">
        <v>3</v>
      </c>
      <c r="D616" t="s">
        <v>55</v>
      </c>
      <c r="E616">
        <v>5</v>
      </c>
      <c r="F616" t="s">
        <v>260</v>
      </c>
      <c r="G616" t="s">
        <v>125</v>
      </c>
      <c r="H616" t="s">
        <v>403</v>
      </c>
      <c r="I616" t="s">
        <v>212</v>
      </c>
      <c r="J616" t="s">
        <v>213</v>
      </c>
      <c r="K616" t="s">
        <v>149</v>
      </c>
      <c r="L616" t="s">
        <v>214</v>
      </c>
      <c r="M616" t="s">
        <v>279</v>
      </c>
      <c r="N616" t="s">
        <v>215</v>
      </c>
      <c r="O616" s="57">
        <v>46300.383171296293</v>
      </c>
      <c r="P616" s="57">
        <v>46301.378101851849</v>
      </c>
      <c r="Q616">
        <v>69404053</v>
      </c>
      <c r="S616">
        <v>152433910263</v>
      </c>
      <c r="T616" t="s">
        <v>3013</v>
      </c>
      <c r="U616" t="s">
        <v>3014</v>
      </c>
      <c r="V616" t="s">
        <v>3015</v>
      </c>
      <c r="Z616">
        <v>112.476389</v>
      </c>
      <c r="AA616">
        <v>-7.1283450000000004</v>
      </c>
      <c r="AB616" t="s">
        <v>3016</v>
      </c>
      <c r="AC616" t="s">
        <v>235</v>
      </c>
      <c r="AL616" t="s">
        <v>217</v>
      </c>
      <c r="AM616" t="s">
        <v>3017</v>
      </c>
      <c r="AN616" t="s">
        <v>6</v>
      </c>
      <c r="AO616" s="57">
        <v>46152.392511574071</v>
      </c>
      <c r="AP616" s="57">
        <v>46301.416666666664</v>
      </c>
      <c r="AR616" t="s">
        <v>239</v>
      </c>
      <c r="AS616" t="s">
        <v>125</v>
      </c>
      <c r="AT616" t="s">
        <v>230</v>
      </c>
      <c r="AV616" t="s">
        <v>3018</v>
      </c>
      <c r="AW616" t="s">
        <v>886</v>
      </c>
      <c r="AX616" t="s">
        <v>222</v>
      </c>
      <c r="BA616" s="57">
        <v>46301.416666666664</v>
      </c>
      <c r="BB616" t="s">
        <v>3017</v>
      </c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str">
        <f>VLOOKUP(H616,Sheet2!$A$1:$B$270,2,FALSE)</f>
        <v>GRESIK</v>
      </c>
    </row>
    <row r="617" spans="1:61">
      <c r="A617">
        <v>616</v>
      </c>
      <c r="B617">
        <v>1002626494</v>
      </c>
      <c r="C617">
        <v>3</v>
      </c>
      <c r="D617" t="s">
        <v>38</v>
      </c>
      <c r="E617">
        <v>5</v>
      </c>
      <c r="F617" t="s">
        <v>92</v>
      </c>
      <c r="G617" t="s">
        <v>89</v>
      </c>
      <c r="H617" t="s">
        <v>397</v>
      </c>
      <c r="I617" t="s">
        <v>212</v>
      </c>
      <c r="J617" t="s">
        <v>213</v>
      </c>
      <c r="K617" t="s">
        <v>149</v>
      </c>
      <c r="M617" t="s">
        <v>238</v>
      </c>
      <c r="N617" t="s">
        <v>215</v>
      </c>
      <c r="O617" s="57">
        <v>46302.633703703701</v>
      </c>
      <c r="P617" s="57">
        <v>46302.697291666664</v>
      </c>
      <c r="Q617">
        <v>69405984</v>
      </c>
      <c r="S617">
        <v>152609258958</v>
      </c>
      <c r="T617" t="s">
        <v>4317</v>
      </c>
      <c r="U617" t="s">
        <v>4318</v>
      </c>
      <c r="V617" t="s">
        <v>4319</v>
      </c>
      <c r="Z617">
        <v>111.85586290000001</v>
      </c>
      <c r="AA617">
        <v>-7.2369995999999999</v>
      </c>
      <c r="AB617" t="s">
        <v>4320</v>
      </c>
      <c r="AC617" t="s">
        <v>229</v>
      </c>
      <c r="AL617" t="s">
        <v>217</v>
      </c>
      <c r="AM617" t="s">
        <v>4321</v>
      </c>
      <c r="AN617" t="s">
        <v>6</v>
      </c>
      <c r="AO617" s="57">
        <v>46213.642511574071</v>
      </c>
      <c r="AP617" s="57">
        <v>46303.625</v>
      </c>
      <c r="AR617" t="s">
        <v>239</v>
      </c>
      <c r="AS617" t="s">
        <v>219</v>
      </c>
      <c r="AT617" t="s">
        <v>230</v>
      </c>
      <c r="AV617" t="s">
        <v>238</v>
      </c>
      <c r="AW617" t="s">
        <v>1572</v>
      </c>
      <c r="AX617" t="s">
        <v>222</v>
      </c>
      <c r="BA617" s="57">
        <v>46303.625</v>
      </c>
      <c r="BB617" t="s">
        <v>4321</v>
      </c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str">
        <f>VLOOKUP(H617,Sheet2!$A$1:$B$270,2,FALSE)</f>
        <v>BOJONEGORO</v>
      </c>
    </row>
    <row r="618" spans="1:61">
      <c r="A618">
        <v>617</v>
      </c>
      <c r="B618">
        <v>1002616866</v>
      </c>
      <c r="C618">
        <v>3</v>
      </c>
      <c r="D618" t="s">
        <v>38</v>
      </c>
      <c r="E618">
        <v>5</v>
      </c>
      <c r="F618" t="s">
        <v>92</v>
      </c>
      <c r="G618" t="s">
        <v>89</v>
      </c>
      <c r="H618" t="s">
        <v>358</v>
      </c>
      <c r="I618" t="s">
        <v>212</v>
      </c>
      <c r="J618" t="s">
        <v>213</v>
      </c>
      <c r="K618" t="s">
        <v>149</v>
      </c>
      <c r="M618" t="s">
        <v>76</v>
      </c>
      <c r="N618" t="s">
        <v>215</v>
      </c>
      <c r="O618" s="57">
        <v>46296.348449074074</v>
      </c>
      <c r="P618" s="57">
        <v>46296.564571759256</v>
      </c>
      <c r="Q618">
        <v>69389383</v>
      </c>
      <c r="S618">
        <v>152644205147</v>
      </c>
      <c r="T618" t="s">
        <v>888</v>
      </c>
      <c r="U618" t="s">
        <v>926</v>
      </c>
      <c r="V618" t="s">
        <v>1298</v>
      </c>
      <c r="Z618">
        <v>111.616111</v>
      </c>
      <c r="AA618">
        <v>-7.268052</v>
      </c>
      <c r="AB618" t="s">
        <v>889</v>
      </c>
      <c r="AC618" t="s">
        <v>229</v>
      </c>
      <c r="AL618" t="s">
        <v>217</v>
      </c>
      <c r="AM618" t="s">
        <v>936</v>
      </c>
      <c r="AN618" t="s">
        <v>6</v>
      </c>
      <c r="AO618" s="57">
        <v>46032.351168981484</v>
      </c>
      <c r="AR618" t="s">
        <v>218</v>
      </c>
      <c r="AS618" t="s">
        <v>822</v>
      </c>
      <c r="AT618" t="s">
        <v>230</v>
      </c>
      <c r="AU618">
        <v>20261001</v>
      </c>
      <c r="AV618" t="s">
        <v>221</v>
      </c>
      <c r="AW618" t="s">
        <v>559</v>
      </c>
      <c r="AX618" t="s">
        <v>222</v>
      </c>
      <c r="BA618" s="57">
        <v>46296.291666666664</v>
      </c>
      <c r="BB618" t="s">
        <v>936</v>
      </c>
      <c r="BC618">
        <v>2026</v>
      </c>
      <c r="BD618">
        <v>10</v>
      </c>
      <c r="BE618">
        <v>1</v>
      </c>
      <c r="BF618" s="6">
        <f t="shared" si="27"/>
        <v>46296</v>
      </c>
      <c r="BG618">
        <f t="shared" si="28"/>
        <v>-0.29166666666424135</v>
      </c>
      <c r="BH618" t="str">
        <f t="shared" si="29"/>
        <v>COMPLY</v>
      </c>
      <c r="BI618" t="str">
        <f>VLOOKUP(H618,Sheet2!$A$1:$B$270,2,FALSE)</f>
        <v>BOJONEGORO</v>
      </c>
    </row>
    <row r="619" spans="1:61">
      <c r="A619">
        <v>618</v>
      </c>
      <c r="B619">
        <v>1002619889</v>
      </c>
      <c r="C619">
        <v>3</v>
      </c>
      <c r="D619" t="s">
        <v>38</v>
      </c>
      <c r="E619">
        <v>5</v>
      </c>
      <c r="F619" t="s">
        <v>92</v>
      </c>
      <c r="G619" t="s">
        <v>89</v>
      </c>
      <c r="H619" t="s">
        <v>358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46297.582418981481</v>
      </c>
      <c r="P619" s="57">
        <v>46297.761770833335</v>
      </c>
      <c r="Q619">
        <v>69403109</v>
      </c>
      <c r="S619">
        <v>152644205152</v>
      </c>
      <c r="T619" t="s">
        <v>2318</v>
      </c>
      <c r="U619" t="s">
        <v>2319</v>
      </c>
      <c r="V619" t="s">
        <v>2320</v>
      </c>
      <c r="Z619">
        <v>111.5951649</v>
      </c>
      <c r="AA619">
        <v>-7.295852</v>
      </c>
      <c r="AB619" t="s">
        <v>2321</v>
      </c>
      <c r="AC619" t="s">
        <v>235</v>
      </c>
      <c r="AL619" t="s">
        <v>217</v>
      </c>
      <c r="AM619" t="s">
        <v>2322</v>
      </c>
      <c r="AN619" t="s">
        <v>6</v>
      </c>
      <c r="AO619" s="57">
        <v>46063.61105324074</v>
      </c>
      <c r="AP619" s="57">
        <v>46298.458333333336</v>
      </c>
      <c r="AR619" t="s">
        <v>218</v>
      </c>
      <c r="AS619" t="s">
        <v>822</v>
      </c>
      <c r="AT619" t="s">
        <v>230</v>
      </c>
      <c r="AU619">
        <v>20261002</v>
      </c>
      <c r="AV619" t="s">
        <v>221</v>
      </c>
      <c r="AW619" t="s">
        <v>879</v>
      </c>
      <c r="AX619" t="s">
        <v>222</v>
      </c>
      <c r="BA619" s="57">
        <v>46298.458333333336</v>
      </c>
      <c r="BB619" t="s">
        <v>2322</v>
      </c>
      <c r="BC619">
        <v>2026</v>
      </c>
      <c r="BD619">
        <v>10</v>
      </c>
      <c r="BE619">
        <v>2</v>
      </c>
      <c r="BF619" s="6">
        <f t="shared" si="27"/>
        <v>46297</v>
      </c>
      <c r="BG619">
        <f t="shared" si="28"/>
        <v>-1.4583333333357587</v>
      </c>
      <c r="BH619" t="str">
        <f t="shared" si="29"/>
        <v>COMPLY</v>
      </c>
      <c r="BI619" t="str">
        <f>VLOOKUP(H619,Sheet2!$A$1:$B$270,2,FALSE)</f>
        <v>BOJONEGORO</v>
      </c>
    </row>
    <row r="620" spans="1:61">
      <c r="A620">
        <v>619</v>
      </c>
      <c r="B620">
        <v>1002625966</v>
      </c>
      <c r="C620">
        <v>3</v>
      </c>
      <c r="D620" t="s">
        <v>38</v>
      </c>
      <c r="E620">
        <v>5</v>
      </c>
      <c r="F620" t="s">
        <v>92</v>
      </c>
      <c r="G620" t="s">
        <v>89</v>
      </c>
      <c r="H620" t="s">
        <v>358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46302.516388888886</v>
      </c>
      <c r="P620" s="57">
        <v>46302.791898148149</v>
      </c>
      <c r="Q620">
        <v>69405786</v>
      </c>
      <c r="S620">
        <v>152644205332</v>
      </c>
      <c r="T620" t="s">
        <v>4322</v>
      </c>
      <c r="U620" t="s">
        <v>2319</v>
      </c>
      <c r="V620" t="s">
        <v>4323</v>
      </c>
      <c r="Z620">
        <v>111.593763</v>
      </c>
      <c r="AA620">
        <v>-7.295064</v>
      </c>
      <c r="AB620" t="s">
        <v>4324</v>
      </c>
      <c r="AC620" t="s">
        <v>235</v>
      </c>
      <c r="AL620" t="s">
        <v>217</v>
      </c>
      <c r="AM620" t="s">
        <v>4325</v>
      </c>
      <c r="AN620" t="s">
        <v>6</v>
      </c>
      <c r="AO620" s="57">
        <v>46213.517812500002</v>
      </c>
      <c r="AP620" s="57">
        <v>46304.458333333336</v>
      </c>
      <c r="AR620" t="s">
        <v>218</v>
      </c>
      <c r="AS620" t="s">
        <v>822</v>
      </c>
      <c r="AT620" t="s">
        <v>230</v>
      </c>
      <c r="AU620">
        <v>20261007</v>
      </c>
      <c r="AV620" t="s">
        <v>221</v>
      </c>
      <c r="AW620" t="s">
        <v>879</v>
      </c>
      <c r="AX620" t="s">
        <v>222</v>
      </c>
      <c r="BA620" s="57">
        <v>46304.458333333336</v>
      </c>
      <c r="BB620" t="s">
        <v>4325</v>
      </c>
      <c r="BC620">
        <v>2026</v>
      </c>
      <c r="BD620">
        <v>10</v>
      </c>
      <c r="BE620">
        <v>7</v>
      </c>
      <c r="BF620" s="6">
        <f t="shared" si="27"/>
        <v>46302</v>
      </c>
      <c r="BG620">
        <f t="shared" si="28"/>
        <v>-2.4583333333357587</v>
      </c>
      <c r="BH620" t="str">
        <f t="shared" si="29"/>
        <v>COMPLY</v>
      </c>
      <c r="BI620" t="str">
        <f>VLOOKUP(H620,Sheet2!$A$1:$B$270,2,FALSE)</f>
        <v>BOJONEGORO</v>
      </c>
    </row>
    <row r="621" spans="1:61">
      <c r="A621">
        <v>620</v>
      </c>
      <c r="B621">
        <v>1002617935</v>
      </c>
      <c r="C621">
        <v>3</v>
      </c>
      <c r="D621" t="s">
        <v>38</v>
      </c>
      <c r="E621">
        <v>5</v>
      </c>
      <c r="F621" t="s">
        <v>92</v>
      </c>
      <c r="G621" t="s">
        <v>89</v>
      </c>
      <c r="H621" t="s">
        <v>395</v>
      </c>
      <c r="I621" t="s">
        <v>212</v>
      </c>
      <c r="J621" t="s">
        <v>213</v>
      </c>
      <c r="K621" t="s">
        <v>149</v>
      </c>
      <c r="L621" t="s">
        <v>214</v>
      </c>
      <c r="M621" t="s">
        <v>1401</v>
      </c>
      <c r="N621" t="s">
        <v>215</v>
      </c>
      <c r="O621" s="57">
        <v>46296.57471064815</v>
      </c>
      <c r="P621" s="57">
        <v>46300.34715277778</v>
      </c>
      <c r="Q621">
        <v>69402382</v>
      </c>
      <c r="S621">
        <v>152642208838</v>
      </c>
      <c r="T621" t="s">
        <v>1299</v>
      </c>
      <c r="U621" t="s">
        <v>1300</v>
      </c>
      <c r="V621" t="s">
        <v>1301</v>
      </c>
      <c r="Z621">
        <v>112.04554980971299</v>
      </c>
      <c r="AA621">
        <v>-7.3014816862188603</v>
      </c>
      <c r="AB621" t="s">
        <v>1302</v>
      </c>
      <c r="AC621" t="s">
        <v>235</v>
      </c>
      <c r="AL621" t="s">
        <v>217</v>
      </c>
      <c r="AM621" t="s">
        <v>981</v>
      </c>
      <c r="AN621" t="s">
        <v>6</v>
      </c>
      <c r="AO621" s="57">
        <v>46032.579872685186</v>
      </c>
      <c r="AP621" s="57">
        <v>46297.625</v>
      </c>
      <c r="AR621" t="s">
        <v>14</v>
      </c>
      <c r="AS621" t="s">
        <v>822</v>
      </c>
      <c r="AT621" t="s">
        <v>220</v>
      </c>
      <c r="AV621" t="s">
        <v>2323</v>
      </c>
      <c r="AW621" t="s">
        <v>1303</v>
      </c>
      <c r="AX621" t="s">
        <v>222</v>
      </c>
      <c r="BA621" s="57">
        <v>46297.625</v>
      </c>
      <c r="BB621" t="s">
        <v>981</v>
      </c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str">
        <f>VLOOKUP(H621,Sheet2!$A$1:$B$270,2,FALSE)</f>
        <v>BOJONEGORO</v>
      </c>
    </row>
    <row r="622" spans="1:61">
      <c r="A622">
        <v>621</v>
      </c>
      <c r="B622">
        <v>1002618689</v>
      </c>
      <c r="C622">
        <v>3</v>
      </c>
      <c r="D622" t="s">
        <v>38</v>
      </c>
      <c r="E622">
        <v>5</v>
      </c>
      <c r="F622" t="s">
        <v>92</v>
      </c>
      <c r="G622" t="s">
        <v>89</v>
      </c>
      <c r="H622" t="s">
        <v>395</v>
      </c>
      <c r="I622" t="s">
        <v>212</v>
      </c>
      <c r="J622" t="s">
        <v>213</v>
      </c>
      <c r="K622" t="s">
        <v>149</v>
      </c>
      <c r="L622" t="s">
        <v>214</v>
      </c>
      <c r="M622" t="s">
        <v>1401</v>
      </c>
      <c r="N622" t="s">
        <v>215</v>
      </c>
      <c r="O622" s="57">
        <v>46296.712199074071</v>
      </c>
      <c r="P622" s="57">
        <v>46300.459236111114</v>
      </c>
      <c r="Q622">
        <v>69402583</v>
      </c>
      <c r="S622">
        <v>152642208839</v>
      </c>
      <c r="T622" t="s">
        <v>1299</v>
      </c>
      <c r="U622" t="s">
        <v>1300</v>
      </c>
      <c r="V622" t="s">
        <v>1304</v>
      </c>
      <c r="Z622">
        <v>112.045515559278</v>
      </c>
      <c r="AA622">
        <v>-7.3014879263283801</v>
      </c>
      <c r="AB622" t="s">
        <v>1305</v>
      </c>
      <c r="AC622" t="s">
        <v>235</v>
      </c>
      <c r="AL622" t="s">
        <v>217</v>
      </c>
      <c r="AM622" t="s">
        <v>1306</v>
      </c>
      <c r="AN622" t="s">
        <v>6</v>
      </c>
      <c r="AO622" s="57">
        <v>46032.726099537038</v>
      </c>
      <c r="AP622" s="57">
        <v>46297.625</v>
      </c>
      <c r="AR622" t="s">
        <v>14</v>
      </c>
      <c r="AS622" t="s">
        <v>822</v>
      </c>
      <c r="AT622" t="s">
        <v>220</v>
      </c>
      <c r="AV622" t="s">
        <v>3019</v>
      </c>
      <c r="AW622" t="s">
        <v>1303</v>
      </c>
      <c r="AX622" t="s">
        <v>222</v>
      </c>
      <c r="BA622" s="57">
        <v>46297.625</v>
      </c>
      <c r="BB622" t="s">
        <v>1306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str">
        <f>VLOOKUP(H622,Sheet2!$A$1:$B$270,2,FALSE)</f>
        <v>BOJONEGORO</v>
      </c>
    </row>
    <row r="623" spans="1:61">
      <c r="A623">
        <v>622</v>
      </c>
      <c r="B623">
        <v>1002620679</v>
      </c>
      <c r="C623">
        <v>3</v>
      </c>
      <c r="D623" t="s">
        <v>38</v>
      </c>
      <c r="E623">
        <v>5</v>
      </c>
      <c r="F623" t="s">
        <v>92</v>
      </c>
      <c r="G623" t="s">
        <v>89</v>
      </c>
      <c r="H623" t="s">
        <v>395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46297.817812499998</v>
      </c>
      <c r="P623" s="57">
        <v>46299.804861111108</v>
      </c>
      <c r="Q623">
        <v>69403416</v>
      </c>
      <c r="S623">
        <v>152642208842</v>
      </c>
      <c r="T623" t="s">
        <v>2324</v>
      </c>
      <c r="U623" t="s">
        <v>2325</v>
      </c>
      <c r="V623" t="s">
        <v>2326</v>
      </c>
      <c r="Z623">
        <v>111.99835617095199</v>
      </c>
      <c r="AA623">
        <v>-7.1778876769172797</v>
      </c>
      <c r="AB623" t="s">
        <v>2327</v>
      </c>
      <c r="AC623" t="s">
        <v>235</v>
      </c>
      <c r="AL623" t="s">
        <v>217</v>
      </c>
      <c r="AM623" t="s">
        <v>2208</v>
      </c>
      <c r="AN623" t="s">
        <v>6</v>
      </c>
      <c r="AO623" s="57">
        <v>46063.819363425922</v>
      </c>
      <c r="AP623" s="57">
        <v>46299.333333333336</v>
      </c>
      <c r="AR623" t="s">
        <v>218</v>
      </c>
      <c r="AS623" t="s">
        <v>822</v>
      </c>
      <c r="AT623" t="s">
        <v>342</v>
      </c>
      <c r="AU623">
        <v>20261004</v>
      </c>
      <c r="AV623" t="s">
        <v>221</v>
      </c>
      <c r="AW623" t="s">
        <v>2328</v>
      </c>
      <c r="AX623" t="s">
        <v>222</v>
      </c>
      <c r="BA623" s="57">
        <v>46299.333333333336</v>
      </c>
      <c r="BB623" t="s">
        <v>2208</v>
      </c>
      <c r="BC623">
        <v>2026</v>
      </c>
      <c r="BD623">
        <v>10</v>
      </c>
      <c r="BE623">
        <v>4</v>
      </c>
      <c r="BF623" s="6">
        <f t="shared" si="27"/>
        <v>46299</v>
      </c>
      <c r="BG623">
        <f t="shared" si="28"/>
        <v>-0.33333333333575865</v>
      </c>
      <c r="BH623" t="str">
        <f t="shared" si="29"/>
        <v>COMPLY</v>
      </c>
      <c r="BI623" t="str">
        <f>VLOOKUP(H623,Sheet2!$A$1:$B$270,2,FALSE)</f>
        <v>BOJONEGORO</v>
      </c>
    </row>
    <row r="624" spans="1:61">
      <c r="A624">
        <v>623</v>
      </c>
      <c r="B624">
        <v>1002621574</v>
      </c>
      <c r="C624">
        <v>3</v>
      </c>
      <c r="D624" t="s">
        <v>38</v>
      </c>
      <c r="E624">
        <v>5</v>
      </c>
      <c r="F624" t="s">
        <v>92</v>
      </c>
      <c r="G624" t="s">
        <v>89</v>
      </c>
      <c r="H624" t="s">
        <v>395</v>
      </c>
      <c r="I624" t="s">
        <v>212</v>
      </c>
      <c r="J624" t="s">
        <v>213</v>
      </c>
      <c r="K624" t="s">
        <v>149</v>
      </c>
      <c r="M624" t="s">
        <v>76</v>
      </c>
      <c r="N624" t="s">
        <v>215</v>
      </c>
      <c r="O624" s="57">
        <v>46300.34716435185</v>
      </c>
      <c r="P624" s="57">
        <v>46300.703958333332</v>
      </c>
      <c r="Q624">
        <v>69402382</v>
      </c>
      <c r="S624">
        <v>152642208843</v>
      </c>
      <c r="T624" t="s">
        <v>1299</v>
      </c>
      <c r="U624" t="s">
        <v>3020</v>
      </c>
      <c r="V624" t="s">
        <v>3021</v>
      </c>
      <c r="Z624">
        <v>112.02802800000001</v>
      </c>
      <c r="AA624">
        <v>-7.3017859999999999</v>
      </c>
      <c r="AB624" t="s">
        <v>1302</v>
      </c>
      <c r="AC624" t="s">
        <v>229</v>
      </c>
      <c r="AL624" t="s">
        <v>217</v>
      </c>
      <c r="AM624" t="s">
        <v>3022</v>
      </c>
      <c r="AN624" t="s">
        <v>6</v>
      </c>
      <c r="AO624" s="57">
        <v>46152.361574074072</v>
      </c>
      <c r="AR624" t="s">
        <v>218</v>
      </c>
      <c r="AS624" t="s">
        <v>822</v>
      </c>
      <c r="AT624" t="s">
        <v>220</v>
      </c>
      <c r="AU624">
        <v>20261005</v>
      </c>
      <c r="AV624" t="s">
        <v>221</v>
      </c>
      <c r="AW624" t="s">
        <v>540</v>
      </c>
      <c r="AX624" t="s">
        <v>222</v>
      </c>
      <c r="BA624" s="57">
        <v>46300.291666666664</v>
      </c>
      <c r="BB624" t="s">
        <v>3022</v>
      </c>
      <c r="BC624">
        <v>2026</v>
      </c>
      <c r="BD624">
        <v>10</v>
      </c>
      <c r="BE624">
        <v>5</v>
      </c>
      <c r="BF624" s="6">
        <f t="shared" si="27"/>
        <v>46300</v>
      </c>
      <c r="BG624">
        <f t="shared" si="28"/>
        <v>-0.29166666666424135</v>
      </c>
      <c r="BH624" t="str">
        <f t="shared" si="29"/>
        <v>COMPLY</v>
      </c>
      <c r="BI624" t="str">
        <f>VLOOKUP(H624,Sheet2!$A$1:$B$270,2,FALSE)</f>
        <v>BOJONEGORO</v>
      </c>
    </row>
    <row r="625" spans="1:61">
      <c r="A625">
        <v>624</v>
      </c>
      <c r="B625">
        <v>1002622068</v>
      </c>
      <c r="C625">
        <v>3</v>
      </c>
      <c r="D625" t="s">
        <v>38</v>
      </c>
      <c r="E625">
        <v>5</v>
      </c>
      <c r="F625" t="s">
        <v>92</v>
      </c>
      <c r="G625" t="s">
        <v>89</v>
      </c>
      <c r="H625" t="s">
        <v>395</v>
      </c>
      <c r="I625" t="s">
        <v>212</v>
      </c>
      <c r="J625" t="s">
        <v>213</v>
      </c>
      <c r="K625" t="s">
        <v>149</v>
      </c>
      <c r="M625" t="s">
        <v>76</v>
      </c>
      <c r="N625" t="s">
        <v>215</v>
      </c>
      <c r="O625" s="57">
        <v>46300.459236111114</v>
      </c>
      <c r="P625" s="57">
        <v>46300.819340277776</v>
      </c>
      <c r="Q625">
        <v>69402583</v>
      </c>
      <c r="S625">
        <v>152642208844</v>
      </c>
      <c r="T625" t="s">
        <v>1299</v>
      </c>
      <c r="U625" t="s">
        <v>3020</v>
      </c>
      <c r="V625" t="s">
        <v>3023</v>
      </c>
      <c r="Z625">
        <v>112.02802800000001</v>
      </c>
      <c r="AA625">
        <v>-7.3017859999999999</v>
      </c>
      <c r="AB625" t="s">
        <v>1305</v>
      </c>
      <c r="AC625" t="s">
        <v>229</v>
      </c>
      <c r="AL625" t="s">
        <v>217</v>
      </c>
      <c r="AM625" t="s">
        <v>3024</v>
      </c>
      <c r="AN625" t="s">
        <v>6</v>
      </c>
      <c r="AO625" s="57">
        <v>46152.486157407409</v>
      </c>
      <c r="AR625" t="s">
        <v>218</v>
      </c>
      <c r="AS625" t="s">
        <v>822</v>
      </c>
      <c r="AT625" t="s">
        <v>220</v>
      </c>
      <c r="AU625">
        <v>20261005</v>
      </c>
      <c r="AV625" t="s">
        <v>221</v>
      </c>
      <c r="AW625" t="s">
        <v>3025</v>
      </c>
      <c r="AX625" t="s">
        <v>222</v>
      </c>
      <c r="BA625" s="57">
        <v>46300.291666666664</v>
      </c>
      <c r="BB625" t="s">
        <v>3024</v>
      </c>
      <c r="BC625">
        <v>2026</v>
      </c>
      <c r="BD625">
        <v>10</v>
      </c>
      <c r="BE625">
        <v>5</v>
      </c>
      <c r="BF625" s="6">
        <f t="shared" si="27"/>
        <v>46300</v>
      </c>
      <c r="BG625">
        <f t="shared" si="28"/>
        <v>-0.29166666666424135</v>
      </c>
      <c r="BH625" t="str">
        <f t="shared" si="29"/>
        <v>COMPLY</v>
      </c>
      <c r="BI625" t="str">
        <f>VLOOKUP(H625,Sheet2!$A$1:$B$270,2,FALSE)</f>
        <v>BOJONEGORO</v>
      </c>
    </row>
    <row r="626" spans="1:61">
      <c r="A626">
        <v>625</v>
      </c>
      <c r="B626">
        <v>1002626340</v>
      </c>
      <c r="C626">
        <v>3</v>
      </c>
      <c r="D626" t="s">
        <v>38</v>
      </c>
      <c r="E626">
        <v>5</v>
      </c>
      <c r="F626" t="s">
        <v>92</v>
      </c>
      <c r="G626" t="s">
        <v>89</v>
      </c>
      <c r="H626" t="s">
        <v>395</v>
      </c>
      <c r="I626" t="s">
        <v>212</v>
      </c>
      <c r="J626" t="s">
        <v>213</v>
      </c>
      <c r="K626" t="s">
        <v>149</v>
      </c>
      <c r="L626" t="s">
        <v>214</v>
      </c>
      <c r="M626" t="s">
        <v>238</v>
      </c>
      <c r="N626" t="s">
        <v>215</v>
      </c>
      <c r="O626" s="57">
        <v>46302.598321759258</v>
      </c>
      <c r="P626" s="57">
        <v>46302.600011574075</v>
      </c>
      <c r="Q626">
        <v>69405929</v>
      </c>
      <c r="S626">
        <v>152642209016</v>
      </c>
      <c r="T626" t="s">
        <v>4326</v>
      </c>
      <c r="U626" t="s">
        <v>4327</v>
      </c>
      <c r="V626" t="s">
        <v>4328</v>
      </c>
      <c r="Z626">
        <v>111.962536</v>
      </c>
      <c r="AA626">
        <v>-7.1918920000000002</v>
      </c>
      <c r="AB626" t="s">
        <v>4329</v>
      </c>
      <c r="AC626" t="s">
        <v>235</v>
      </c>
      <c r="AL626" t="s">
        <v>217</v>
      </c>
      <c r="AM626" t="s">
        <v>3730</v>
      </c>
      <c r="AN626" t="s">
        <v>6</v>
      </c>
      <c r="AO626" s="57">
        <v>46213.601053240738</v>
      </c>
      <c r="AP626" s="57">
        <v>46303.458333333336</v>
      </c>
      <c r="AR626" t="s">
        <v>239</v>
      </c>
      <c r="AS626" t="s">
        <v>822</v>
      </c>
      <c r="AT626" t="s">
        <v>230</v>
      </c>
      <c r="AV626" t="s">
        <v>238</v>
      </c>
      <c r="AW626" t="s">
        <v>883</v>
      </c>
      <c r="AX626" t="s">
        <v>222</v>
      </c>
      <c r="BA626" s="57">
        <v>46303.458333333336</v>
      </c>
      <c r="BB626" t="s">
        <v>3730</v>
      </c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str">
        <f>VLOOKUP(H626,Sheet2!$A$1:$B$270,2,FALSE)</f>
        <v>BOJONEGORO</v>
      </c>
    </row>
    <row r="627" spans="1:61">
      <c r="A627">
        <v>626</v>
      </c>
      <c r="B627">
        <v>1002626525</v>
      </c>
      <c r="C627">
        <v>3</v>
      </c>
      <c r="D627" t="s">
        <v>38</v>
      </c>
      <c r="E627">
        <v>5</v>
      </c>
      <c r="F627" t="s">
        <v>92</v>
      </c>
      <c r="G627" t="s">
        <v>97</v>
      </c>
      <c r="H627" t="s">
        <v>340</v>
      </c>
      <c r="I627" t="s">
        <v>212</v>
      </c>
      <c r="J627" t="s">
        <v>213</v>
      </c>
      <c r="K627" t="s">
        <v>149</v>
      </c>
      <c r="L627" t="s">
        <v>214</v>
      </c>
      <c r="M627" t="s">
        <v>542</v>
      </c>
      <c r="N627" t="s">
        <v>215</v>
      </c>
      <c r="O627" s="57">
        <v>46302.63721064815</v>
      </c>
      <c r="P627" s="57">
        <v>46303.417557870373</v>
      </c>
      <c r="Q627">
        <v>69405960</v>
      </c>
      <c r="S627">
        <v>152648207781</v>
      </c>
      <c r="T627" t="s">
        <v>4330</v>
      </c>
      <c r="U627" t="s">
        <v>4331</v>
      </c>
      <c r="V627" t="s">
        <v>4332</v>
      </c>
      <c r="Z627">
        <v>111.74903746694299</v>
      </c>
      <c r="AA627">
        <v>-6.7739336457855703</v>
      </c>
      <c r="AB627" t="s">
        <v>4333</v>
      </c>
      <c r="AC627" t="s">
        <v>216</v>
      </c>
      <c r="AL627" t="s">
        <v>217</v>
      </c>
      <c r="AM627" t="s">
        <v>4334</v>
      </c>
      <c r="AN627" t="s">
        <v>6</v>
      </c>
      <c r="AO627" s="57">
        <v>46213.642511574071</v>
      </c>
      <c r="AP627" s="57">
        <v>46303.625</v>
      </c>
      <c r="AR627" t="s">
        <v>543</v>
      </c>
      <c r="AS627" t="s">
        <v>844</v>
      </c>
      <c r="AT627" t="s">
        <v>230</v>
      </c>
      <c r="AV627" t="s">
        <v>2643</v>
      </c>
      <c r="AW627" t="s">
        <v>886</v>
      </c>
      <c r="AX627" t="s">
        <v>222</v>
      </c>
      <c r="BA627" s="57">
        <v>46303.625</v>
      </c>
      <c r="BB627" t="s">
        <v>4334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str">
        <f>VLOOKUP(H627,Sheet2!$A$1:$B$270,2,FALSE)</f>
        <v>BOJONEGORO</v>
      </c>
    </row>
    <row r="628" spans="1:61">
      <c r="A628">
        <v>627</v>
      </c>
      <c r="B628">
        <v>1002618507</v>
      </c>
      <c r="C628">
        <v>3</v>
      </c>
      <c r="D628" t="s">
        <v>38</v>
      </c>
      <c r="E628">
        <v>5</v>
      </c>
      <c r="F628" t="s">
        <v>92</v>
      </c>
      <c r="G628" t="s">
        <v>97</v>
      </c>
      <c r="H628" t="s">
        <v>340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46296.671979166669</v>
      </c>
      <c r="P628" s="57">
        <v>46297.869259259256</v>
      </c>
      <c r="Q628">
        <v>69402589</v>
      </c>
      <c r="S628">
        <v>152648207777</v>
      </c>
      <c r="T628" t="s">
        <v>1307</v>
      </c>
      <c r="U628" t="s">
        <v>1308</v>
      </c>
      <c r="V628" t="s">
        <v>1309</v>
      </c>
      <c r="Z628">
        <v>111.68781199999999</v>
      </c>
      <c r="AA628">
        <v>-6.7522900000000003</v>
      </c>
      <c r="AB628" t="s">
        <v>1310</v>
      </c>
      <c r="AC628" t="s">
        <v>235</v>
      </c>
      <c r="AL628" t="s">
        <v>217</v>
      </c>
      <c r="AM628" t="s">
        <v>981</v>
      </c>
      <c r="AN628" t="s">
        <v>6</v>
      </c>
      <c r="AO628" s="57">
        <v>46032.694421296299</v>
      </c>
      <c r="AP628" s="57">
        <v>46297.625</v>
      </c>
      <c r="AR628" t="s">
        <v>218</v>
      </c>
      <c r="AS628" t="s">
        <v>844</v>
      </c>
      <c r="AT628" t="s">
        <v>230</v>
      </c>
      <c r="AU628">
        <v>20261002</v>
      </c>
      <c r="AV628" t="s">
        <v>221</v>
      </c>
      <c r="AW628" t="s">
        <v>923</v>
      </c>
      <c r="AX628" t="s">
        <v>222</v>
      </c>
      <c r="BA628" s="57">
        <v>46297.625</v>
      </c>
      <c r="BB628" t="s">
        <v>981</v>
      </c>
      <c r="BC628">
        <v>2026</v>
      </c>
      <c r="BD628">
        <v>10</v>
      </c>
      <c r="BE628">
        <v>2</v>
      </c>
      <c r="BF628" s="6">
        <f t="shared" si="27"/>
        <v>46297</v>
      </c>
      <c r="BG628">
        <f t="shared" si="28"/>
        <v>-0.625</v>
      </c>
      <c r="BH628" t="str">
        <f t="shared" si="29"/>
        <v>COMPLY</v>
      </c>
      <c r="BI628" t="str">
        <f>VLOOKUP(H628,Sheet2!$A$1:$B$270,2,FALSE)</f>
        <v>BOJONEGORO</v>
      </c>
    </row>
    <row r="629" spans="1:61">
      <c r="A629">
        <v>628</v>
      </c>
      <c r="B629">
        <v>1002620249</v>
      </c>
      <c r="C629">
        <v>3</v>
      </c>
      <c r="D629" t="s">
        <v>38</v>
      </c>
      <c r="E629">
        <v>5</v>
      </c>
      <c r="F629" t="s">
        <v>92</v>
      </c>
      <c r="G629" t="s">
        <v>97</v>
      </c>
      <c r="H629" t="s">
        <v>340</v>
      </c>
      <c r="I629" t="s">
        <v>212</v>
      </c>
      <c r="J629" t="s">
        <v>213</v>
      </c>
      <c r="K629" t="s">
        <v>149</v>
      </c>
      <c r="M629" t="s">
        <v>76</v>
      </c>
      <c r="N629" t="s">
        <v>215</v>
      </c>
      <c r="O629" s="57">
        <v>46297.642881944441</v>
      </c>
      <c r="P629" s="57">
        <v>46297.731145833335</v>
      </c>
      <c r="Q629">
        <v>69401833</v>
      </c>
      <c r="S629">
        <v>152648207776</v>
      </c>
      <c r="T629" t="s">
        <v>2329</v>
      </c>
      <c r="U629" t="s">
        <v>2330</v>
      </c>
      <c r="V629" t="s">
        <v>2331</v>
      </c>
      <c r="Z629">
        <v>111.712479</v>
      </c>
      <c r="AA629">
        <v>-6.7675400000000003</v>
      </c>
      <c r="AB629" t="s">
        <v>2332</v>
      </c>
      <c r="AC629" t="s">
        <v>229</v>
      </c>
      <c r="AL629" t="s">
        <v>217</v>
      </c>
      <c r="AM629" t="s">
        <v>2333</v>
      </c>
      <c r="AN629" t="s">
        <v>6</v>
      </c>
      <c r="AO629" s="57">
        <v>46063.652951388889</v>
      </c>
      <c r="AR629" t="s">
        <v>218</v>
      </c>
      <c r="AS629" t="s">
        <v>844</v>
      </c>
      <c r="AT629" t="s">
        <v>230</v>
      </c>
      <c r="AU629">
        <v>20261002</v>
      </c>
      <c r="AV629" t="s">
        <v>221</v>
      </c>
      <c r="AW629" t="s">
        <v>541</v>
      </c>
      <c r="AX629" t="s">
        <v>222</v>
      </c>
      <c r="BA629" s="57">
        <v>46297.291666666664</v>
      </c>
      <c r="BB629" t="s">
        <v>2333</v>
      </c>
      <c r="BC629">
        <v>2026</v>
      </c>
      <c r="BD629">
        <v>10</v>
      </c>
      <c r="BE629">
        <v>2</v>
      </c>
      <c r="BF629" s="6">
        <f t="shared" si="27"/>
        <v>46297</v>
      </c>
      <c r="BG629">
        <f t="shared" si="28"/>
        <v>-0.29166666666424135</v>
      </c>
      <c r="BH629" t="str">
        <f t="shared" si="29"/>
        <v>COMPLY</v>
      </c>
      <c r="BI629" t="str">
        <f>VLOOKUP(H629,Sheet2!$A$1:$B$270,2,FALSE)</f>
        <v>BOJONEGORO</v>
      </c>
    </row>
    <row r="630" spans="1:61">
      <c r="A630">
        <v>629</v>
      </c>
      <c r="B630">
        <v>1002622521</v>
      </c>
      <c r="C630">
        <v>3</v>
      </c>
      <c r="D630" t="s">
        <v>38</v>
      </c>
      <c r="E630">
        <v>5</v>
      </c>
      <c r="F630" t="s">
        <v>92</v>
      </c>
      <c r="G630" t="s">
        <v>97</v>
      </c>
      <c r="H630" t="s">
        <v>388</v>
      </c>
      <c r="I630" t="s">
        <v>212</v>
      </c>
      <c r="J630" t="s">
        <v>213</v>
      </c>
      <c r="K630" t="s">
        <v>149</v>
      </c>
      <c r="L630" t="s">
        <v>214</v>
      </c>
      <c r="M630" t="s">
        <v>2117</v>
      </c>
      <c r="N630" t="s">
        <v>215</v>
      </c>
      <c r="O630" s="57">
        <v>46300.578101851854</v>
      </c>
      <c r="P630" s="57">
        <v>46300.62159722222</v>
      </c>
      <c r="Q630">
        <v>69402092</v>
      </c>
      <c r="T630" t="s">
        <v>1311</v>
      </c>
      <c r="V630" t="s">
        <v>1313</v>
      </c>
      <c r="Z630">
        <v>111.79942</v>
      </c>
      <c r="AA630">
        <v>-7.0246399999999998</v>
      </c>
      <c r="AB630" t="s">
        <v>1314</v>
      </c>
      <c r="AC630" t="s">
        <v>235</v>
      </c>
      <c r="AL630" t="s">
        <v>217</v>
      </c>
      <c r="AM630" t="s">
        <v>1315</v>
      </c>
      <c r="AN630" t="s">
        <v>6</v>
      </c>
      <c r="AO630" s="57">
        <v>46152.601203703707</v>
      </c>
      <c r="AP630" s="57">
        <v>46297</v>
      </c>
      <c r="AR630" t="s">
        <v>543</v>
      </c>
      <c r="AS630" t="s">
        <v>844</v>
      </c>
      <c r="AT630" t="s">
        <v>230</v>
      </c>
      <c r="AV630" t="s">
        <v>2122</v>
      </c>
      <c r="AW630" t="s">
        <v>882</v>
      </c>
      <c r="AX630" t="s">
        <v>222</v>
      </c>
      <c r="BA630" s="57">
        <v>46297.333333333336</v>
      </c>
      <c r="BB630" t="s">
        <v>1315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str">
        <f>VLOOKUP(H630,Sheet2!$A$1:$B$270,2,FALSE)</f>
        <v>BOJONEGORO</v>
      </c>
    </row>
    <row r="631" spans="1:61">
      <c r="A631">
        <v>630</v>
      </c>
      <c r="B631">
        <v>1002617098</v>
      </c>
      <c r="C631">
        <v>3</v>
      </c>
      <c r="D631" t="s">
        <v>38</v>
      </c>
      <c r="E631">
        <v>5</v>
      </c>
      <c r="F631" t="s">
        <v>92</v>
      </c>
      <c r="G631" t="s">
        <v>97</v>
      </c>
      <c r="H631" t="s">
        <v>388</v>
      </c>
      <c r="I631" t="s">
        <v>212</v>
      </c>
      <c r="J631" t="s">
        <v>213</v>
      </c>
      <c r="K631" t="s">
        <v>149</v>
      </c>
      <c r="L631" t="s">
        <v>214</v>
      </c>
      <c r="M631" t="s">
        <v>1921</v>
      </c>
      <c r="N631" t="s">
        <v>215</v>
      </c>
      <c r="O631" s="57">
        <v>46296.397013888891</v>
      </c>
      <c r="P631" s="57">
        <v>46300.578796296293</v>
      </c>
      <c r="Q631">
        <v>69402092</v>
      </c>
      <c r="S631">
        <v>152645203155</v>
      </c>
      <c r="T631" t="s">
        <v>1311</v>
      </c>
      <c r="U631" t="s">
        <v>1312</v>
      </c>
      <c r="V631" t="s">
        <v>1313</v>
      </c>
      <c r="Z631">
        <v>111.79942200000001</v>
      </c>
      <c r="AA631">
        <v>-7.0242979999999999</v>
      </c>
      <c r="AB631" t="s">
        <v>1314</v>
      </c>
      <c r="AC631" t="s">
        <v>235</v>
      </c>
      <c r="AL631" t="s">
        <v>217</v>
      </c>
      <c r="AM631" t="s">
        <v>1315</v>
      </c>
      <c r="AN631" t="s">
        <v>6</v>
      </c>
      <c r="AO631" s="57">
        <v>46032.413738425923</v>
      </c>
      <c r="AP631" s="57">
        <v>46297.333333333336</v>
      </c>
      <c r="AQ631" t="s">
        <v>838</v>
      </c>
      <c r="AR631" t="s">
        <v>12</v>
      </c>
      <c r="AS631" t="s">
        <v>844</v>
      </c>
      <c r="AT631" t="s">
        <v>230</v>
      </c>
      <c r="AV631" t="s">
        <v>1628</v>
      </c>
      <c r="AW631" t="s">
        <v>882</v>
      </c>
      <c r="AX631" t="s">
        <v>222</v>
      </c>
      <c r="BA631" s="57">
        <v>46297.333333333336</v>
      </c>
      <c r="BB631" t="s">
        <v>1315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str">
        <f>VLOOKUP(H631,Sheet2!$A$1:$B$270,2,FALSE)</f>
        <v>BOJONEGORO</v>
      </c>
    </row>
    <row r="632" spans="1:61">
      <c r="A632">
        <v>631</v>
      </c>
      <c r="B632">
        <v>1002624365</v>
      </c>
      <c r="C632">
        <v>3</v>
      </c>
      <c r="D632" t="s">
        <v>38</v>
      </c>
      <c r="E632">
        <v>5</v>
      </c>
      <c r="F632" t="s">
        <v>92</v>
      </c>
      <c r="G632" t="s">
        <v>97</v>
      </c>
      <c r="H632" t="s">
        <v>508</v>
      </c>
      <c r="I632" t="s">
        <v>212</v>
      </c>
      <c r="J632" t="s">
        <v>213</v>
      </c>
      <c r="K632" t="s">
        <v>149</v>
      </c>
      <c r="L632" t="s">
        <v>214</v>
      </c>
      <c r="M632" t="s">
        <v>839</v>
      </c>
      <c r="N632" t="s">
        <v>215</v>
      </c>
      <c r="O632" s="57">
        <v>46301.569849537038</v>
      </c>
      <c r="P632" s="57">
        <v>46302.689618055556</v>
      </c>
      <c r="Q632">
        <v>69405069</v>
      </c>
      <c r="S632">
        <v>152649201761</v>
      </c>
      <c r="T632" t="s">
        <v>3619</v>
      </c>
      <c r="U632" t="s">
        <v>3620</v>
      </c>
      <c r="V632" t="s">
        <v>3621</v>
      </c>
      <c r="Z632">
        <v>111.803967330463</v>
      </c>
      <c r="AA632">
        <v>-6.8600011957564302</v>
      </c>
      <c r="AB632" t="s">
        <v>3622</v>
      </c>
      <c r="AC632" t="s">
        <v>235</v>
      </c>
      <c r="AL632" t="s">
        <v>217</v>
      </c>
      <c r="AM632" t="s">
        <v>3456</v>
      </c>
      <c r="AN632" t="s">
        <v>6</v>
      </c>
      <c r="AO632" s="57">
        <v>46183.601145833331</v>
      </c>
      <c r="AP632" s="57">
        <v>46302.458333333336</v>
      </c>
      <c r="AQ632" t="s">
        <v>841</v>
      </c>
      <c r="AR632" t="s">
        <v>840</v>
      </c>
      <c r="AS632" t="s">
        <v>844</v>
      </c>
      <c r="AT632" t="s">
        <v>220</v>
      </c>
      <c r="AV632" t="s">
        <v>4335</v>
      </c>
      <c r="AW632" t="s">
        <v>1303</v>
      </c>
      <c r="AX632" t="s">
        <v>222</v>
      </c>
      <c r="BA632" s="57">
        <v>46302.458333333336</v>
      </c>
      <c r="BB632" t="s">
        <v>3456</v>
      </c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str">
        <f>VLOOKUP(H632,Sheet2!$A$1:$B$270,2,FALSE)</f>
        <v>BOJONEGORO</v>
      </c>
    </row>
    <row r="633" spans="1:61">
      <c r="A633">
        <v>632</v>
      </c>
      <c r="B633">
        <v>1002623571</v>
      </c>
      <c r="C633">
        <v>3</v>
      </c>
      <c r="D633" t="s">
        <v>38</v>
      </c>
      <c r="E633">
        <v>5</v>
      </c>
      <c r="F633" t="s">
        <v>92</v>
      </c>
      <c r="G633" t="s">
        <v>97</v>
      </c>
      <c r="H633" t="s">
        <v>508</v>
      </c>
      <c r="I633" t="s">
        <v>212</v>
      </c>
      <c r="J633" t="s">
        <v>213</v>
      </c>
      <c r="K633" t="s">
        <v>149</v>
      </c>
      <c r="L633" t="s">
        <v>214</v>
      </c>
      <c r="M633" t="s">
        <v>4336</v>
      </c>
      <c r="N633" t="s">
        <v>215</v>
      </c>
      <c r="O633" s="57">
        <v>46301.388599537036</v>
      </c>
      <c r="P633" s="57">
        <v>46303.429097222222</v>
      </c>
      <c r="Q633">
        <v>69404737</v>
      </c>
      <c r="S633">
        <v>152649201760</v>
      </c>
      <c r="T633" t="s">
        <v>3623</v>
      </c>
      <c r="U633" t="s">
        <v>3620</v>
      </c>
      <c r="V633" t="s">
        <v>3624</v>
      </c>
      <c r="Z633">
        <v>111.803969170377</v>
      </c>
      <c r="AA633">
        <v>-6.8599973565457404</v>
      </c>
      <c r="AB633" t="s">
        <v>3625</v>
      </c>
      <c r="AC633" t="s">
        <v>235</v>
      </c>
      <c r="AL633" t="s">
        <v>217</v>
      </c>
      <c r="AM633" t="s">
        <v>3215</v>
      </c>
      <c r="AN633" t="s">
        <v>6</v>
      </c>
      <c r="AO633" s="57">
        <v>46183.392407407409</v>
      </c>
      <c r="AP633" s="57">
        <v>46302.333333333336</v>
      </c>
      <c r="AQ633" t="s">
        <v>841</v>
      </c>
      <c r="AR633" t="s">
        <v>14</v>
      </c>
      <c r="AS633" t="s">
        <v>844</v>
      </c>
      <c r="AT633" t="s">
        <v>220</v>
      </c>
      <c r="AV633" t="s">
        <v>4337</v>
      </c>
      <c r="AW633" t="s">
        <v>1303</v>
      </c>
      <c r="AX633" t="s">
        <v>222</v>
      </c>
      <c r="BA633" s="57">
        <v>46302.333333333336</v>
      </c>
      <c r="BB633" t="s">
        <v>3215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str">
        <f>VLOOKUP(H633,Sheet2!$A$1:$B$270,2,FALSE)</f>
        <v>BOJONEGORO</v>
      </c>
    </row>
    <row r="634" spans="1:61">
      <c r="A634">
        <v>633</v>
      </c>
      <c r="B634">
        <v>1002624815</v>
      </c>
      <c r="C634">
        <v>3</v>
      </c>
      <c r="D634" t="s">
        <v>38</v>
      </c>
      <c r="E634">
        <v>5</v>
      </c>
      <c r="F634" t="s">
        <v>92</v>
      </c>
      <c r="G634" t="s">
        <v>97</v>
      </c>
      <c r="H634" t="s">
        <v>297</v>
      </c>
      <c r="I634" t="s">
        <v>212</v>
      </c>
      <c r="J634" t="s">
        <v>213</v>
      </c>
      <c r="K634" t="s">
        <v>149</v>
      </c>
      <c r="L634" t="s">
        <v>214</v>
      </c>
      <c r="M634" t="s">
        <v>224</v>
      </c>
      <c r="N634" t="s">
        <v>215</v>
      </c>
      <c r="O634" s="57">
        <v>46301.653252314813</v>
      </c>
      <c r="P634" s="57">
        <v>46303.337604166663</v>
      </c>
      <c r="Q634">
        <v>69405265</v>
      </c>
      <c r="S634">
        <v>152647206563</v>
      </c>
      <c r="T634" t="s">
        <v>3626</v>
      </c>
      <c r="U634" t="s">
        <v>3627</v>
      </c>
      <c r="V634" t="s">
        <v>3628</v>
      </c>
      <c r="Z634">
        <v>112.002631270227</v>
      </c>
      <c r="AA634">
        <v>-6.8304083520787504</v>
      </c>
      <c r="AB634" t="s">
        <v>3629</v>
      </c>
      <c r="AC634" t="s">
        <v>235</v>
      </c>
      <c r="AL634" t="s">
        <v>217</v>
      </c>
      <c r="AM634" t="s">
        <v>3630</v>
      </c>
      <c r="AN634" t="s">
        <v>6</v>
      </c>
      <c r="AO634" s="57">
        <v>46183.663668981484</v>
      </c>
      <c r="AP634" s="57">
        <v>46303.333333333336</v>
      </c>
      <c r="AR634" t="s">
        <v>18</v>
      </c>
      <c r="AS634" t="s">
        <v>844</v>
      </c>
      <c r="AT634" t="s">
        <v>220</v>
      </c>
      <c r="AV634" t="s">
        <v>226</v>
      </c>
      <c r="AW634" t="s">
        <v>3631</v>
      </c>
      <c r="AX634" t="s">
        <v>222</v>
      </c>
      <c r="BA634" s="57">
        <v>46303.333333333336</v>
      </c>
      <c r="BB634" t="s">
        <v>3630</v>
      </c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str">
        <f>VLOOKUP(H634,Sheet2!$A$1:$B$270,2,FALSE)</f>
        <v>BOJONEGORO</v>
      </c>
    </row>
    <row r="635" spans="1:61">
      <c r="A635">
        <v>634</v>
      </c>
      <c r="B635">
        <v>1002626272</v>
      </c>
      <c r="C635">
        <v>3</v>
      </c>
      <c r="D635" t="s">
        <v>38</v>
      </c>
      <c r="E635">
        <v>5</v>
      </c>
      <c r="F635" t="s">
        <v>92</v>
      </c>
      <c r="G635" t="s">
        <v>97</v>
      </c>
      <c r="H635" t="s">
        <v>297</v>
      </c>
      <c r="I635" t="s">
        <v>212</v>
      </c>
      <c r="J635" t="s">
        <v>213</v>
      </c>
      <c r="K635" t="s">
        <v>149</v>
      </c>
      <c r="M635" t="s">
        <v>3149</v>
      </c>
      <c r="N635" t="s">
        <v>215</v>
      </c>
      <c r="O635" s="57">
        <v>46302.586770833332</v>
      </c>
      <c r="P635" s="57">
        <v>46302.587916666664</v>
      </c>
      <c r="Q635">
        <v>69405907</v>
      </c>
      <c r="S635">
        <v>152647206564</v>
      </c>
      <c r="T635" t="s">
        <v>4338</v>
      </c>
      <c r="U635" t="s">
        <v>4339</v>
      </c>
      <c r="Z635">
        <v>112.00596</v>
      </c>
      <c r="AA635">
        <v>-6.8285400000000003</v>
      </c>
      <c r="AB635" t="s">
        <v>4340</v>
      </c>
      <c r="AC635" t="s">
        <v>284</v>
      </c>
      <c r="AO635" s="57">
        <v>46213.59065972222</v>
      </c>
      <c r="AR635" t="s">
        <v>325</v>
      </c>
      <c r="AS635" t="s">
        <v>844</v>
      </c>
      <c r="AT635" t="s">
        <v>230</v>
      </c>
      <c r="AV635" t="s">
        <v>3150</v>
      </c>
      <c r="AW635" t="s">
        <v>541</v>
      </c>
      <c r="AX635" t="s">
        <v>222</v>
      </c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str">
        <f>VLOOKUP(H635,Sheet2!$A$1:$B$270,2,FALSE)</f>
        <v>BOJONEGORO</v>
      </c>
    </row>
    <row r="636" spans="1:61">
      <c r="A636">
        <v>635</v>
      </c>
      <c r="B636">
        <v>1002616902</v>
      </c>
      <c r="C636">
        <v>3</v>
      </c>
      <c r="D636" t="s">
        <v>38</v>
      </c>
      <c r="E636">
        <v>5</v>
      </c>
      <c r="F636" t="s">
        <v>92</v>
      </c>
      <c r="G636" t="s">
        <v>97</v>
      </c>
      <c r="H636" t="s">
        <v>461</v>
      </c>
      <c r="I636" t="s">
        <v>212</v>
      </c>
      <c r="J636" t="s">
        <v>213</v>
      </c>
      <c r="K636" t="s">
        <v>149</v>
      </c>
      <c r="M636" t="s">
        <v>76</v>
      </c>
      <c r="N636" t="s">
        <v>215</v>
      </c>
      <c r="O636" s="57">
        <v>46296.358287037037</v>
      </c>
      <c r="P636" s="57">
        <v>46297.448020833333</v>
      </c>
      <c r="Q636">
        <v>69402022</v>
      </c>
      <c r="S636">
        <v>152646206273</v>
      </c>
      <c r="T636" t="s">
        <v>1316</v>
      </c>
      <c r="U636" t="s">
        <v>1317</v>
      </c>
      <c r="V636" t="s">
        <v>1318</v>
      </c>
      <c r="Z636">
        <v>111.96432128548599</v>
      </c>
      <c r="AA636">
        <v>-7.0930767066443199</v>
      </c>
      <c r="AB636" t="s">
        <v>1319</v>
      </c>
      <c r="AC636" t="s">
        <v>284</v>
      </c>
      <c r="AL636" t="s">
        <v>217</v>
      </c>
      <c r="AM636" t="s">
        <v>1320</v>
      </c>
      <c r="AN636" t="s">
        <v>6</v>
      </c>
      <c r="AO636" s="57">
        <v>46032.392847222225</v>
      </c>
      <c r="AP636" s="57">
        <v>46297.333333333336</v>
      </c>
      <c r="AR636" t="s">
        <v>218</v>
      </c>
      <c r="AS636" t="s">
        <v>844</v>
      </c>
      <c r="AT636" t="s">
        <v>230</v>
      </c>
      <c r="AU636">
        <v>20261002</v>
      </c>
      <c r="AV636" t="s">
        <v>221</v>
      </c>
      <c r="AW636" t="s">
        <v>540</v>
      </c>
      <c r="AX636" t="s">
        <v>222</v>
      </c>
      <c r="BA636" s="57">
        <v>46297.333333333336</v>
      </c>
      <c r="BB636" t="s">
        <v>1320</v>
      </c>
      <c r="BC636">
        <v>2026</v>
      </c>
      <c r="BD636">
        <v>10</v>
      </c>
      <c r="BE636">
        <v>2</v>
      </c>
      <c r="BF636" s="6">
        <f t="shared" si="27"/>
        <v>46297</v>
      </c>
      <c r="BG636">
        <f t="shared" si="28"/>
        <v>-0.33333333333575865</v>
      </c>
      <c r="BH636" t="str">
        <f t="shared" si="29"/>
        <v>COMPLY</v>
      </c>
      <c r="BI636" t="str">
        <f>VLOOKUP(H636,Sheet2!$A$1:$B$270,2,FALSE)</f>
        <v>BOJONEGORO</v>
      </c>
    </row>
    <row r="637" spans="1:61">
      <c r="A637">
        <v>636</v>
      </c>
      <c r="B637">
        <v>1002621096</v>
      </c>
      <c r="C637">
        <v>3</v>
      </c>
      <c r="D637" t="s">
        <v>38</v>
      </c>
      <c r="E637">
        <v>5</v>
      </c>
      <c r="F637" t="s">
        <v>92</v>
      </c>
      <c r="G637" t="s">
        <v>97</v>
      </c>
      <c r="H637" t="s">
        <v>461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46298.658101851855</v>
      </c>
      <c r="P637" s="57">
        <v>46300.433067129627</v>
      </c>
      <c r="Q637">
        <v>69403698</v>
      </c>
      <c r="S637">
        <v>152646206276</v>
      </c>
      <c r="T637" t="s">
        <v>2334</v>
      </c>
      <c r="U637" t="s">
        <v>2335</v>
      </c>
      <c r="V637" t="s">
        <v>2336</v>
      </c>
      <c r="Z637">
        <v>111.99862266222701</v>
      </c>
      <c r="AA637">
        <v>-7.0649775207912899</v>
      </c>
      <c r="AB637" t="s">
        <v>2337</v>
      </c>
      <c r="AC637" t="s">
        <v>235</v>
      </c>
      <c r="AL637" t="s">
        <v>217</v>
      </c>
      <c r="AM637" t="s">
        <v>2338</v>
      </c>
      <c r="AN637" t="s">
        <v>6</v>
      </c>
      <c r="AO637" s="57">
        <v>46091.663622685184</v>
      </c>
      <c r="AP637" s="57">
        <v>46299.625</v>
      </c>
      <c r="AR637" t="s">
        <v>218</v>
      </c>
      <c r="AS637" t="s">
        <v>844</v>
      </c>
      <c r="AT637" t="s">
        <v>230</v>
      </c>
      <c r="AU637">
        <v>20261005</v>
      </c>
      <c r="AV637" t="s">
        <v>221</v>
      </c>
      <c r="AW637" t="s">
        <v>880</v>
      </c>
      <c r="AX637" t="s">
        <v>222</v>
      </c>
      <c r="BA637" s="57">
        <v>46299.625</v>
      </c>
      <c r="BB637" t="s">
        <v>2338</v>
      </c>
      <c r="BC637">
        <v>2026</v>
      </c>
      <c r="BD637">
        <v>10</v>
      </c>
      <c r="BE637">
        <v>5</v>
      </c>
      <c r="BF637" s="6">
        <f t="shared" si="27"/>
        <v>46300</v>
      </c>
      <c r="BG637">
        <f t="shared" si="28"/>
        <v>0.375</v>
      </c>
      <c r="BH637" t="str">
        <f t="shared" si="29"/>
        <v>COMPLY</v>
      </c>
      <c r="BI637" t="str">
        <f>VLOOKUP(H637,Sheet2!$A$1:$B$270,2,FALSE)</f>
        <v>BOJONEGORO</v>
      </c>
    </row>
    <row r="638" spans="1:61">
      <c r="A638">
        <v>637</v>
      </c>
      <c r="B638">
        <v>1002626367</v>
      </c>
      <c r="C638">
        <v>3</v>
      </c>
      <c r="D638" t="s">
        <v>38</v>
      </c>
      <c r="E638">
        <v>5</v>
      </c>
      <c r="F638" t="s">
        <v>92</v>
      </c>
      <c r="G638" t="s">
        <v>97</v>
      </c>
      <c r="H638" t="s">
        <v>461</v>
      </c>
      <c r="I638" t="s">
        <v>212</v>
      </c>
      <c r="J638" t="s">
        <v>213</v>
      </c>
      <c r="K638" t="s">
        <v>149</v>
      </c>
      <c r="L638" t="s">
        <v>214</v>
      </c>
      <c r="M638" t="s">
        <v>255</v>
      </c>
      <c r="N638" t="s">
        <v>215</v>
      </c>
      <c r="O638" s="57">
        <v>46302.603888888887</v>
      </c>
      <c r="P638" s="57">
        <v>46303.411944444444</v>
      </c>
      <c r="Q638">
        <v>69405937</v>
      </c>
      <c r="S638">
        <v>152646203598</v>
      </c>
      <c r="T638" t="s">
        <v>4341</v>
      </c>
      <c r="U638" t="s">
        <v>4342</v>
      </c>
      <c r="V638" t="s">
        <v>4343</v>
      </c>
      <c r="Z638">
        <v>112.130394</v>
      </c>
      <c r="AA638">
        <v>-7.0020870000000004</v>
      </c>
      <c r="AB638" t="s">
        <v>4344</v>
      </c>
      <c r="AC638" t="s">
        <v>235</v>
      </c>
      <c r="AL638" t="s">
        <v>217</v>
      </c>
      <c r="AM638" t="s">
        <v>4345</v>
      </c>
      <c r="AN638" t="s">
        <v>6</v>
      </c>
      <c r="AO638" s="57">
        <v>46213.611087962963</v>
      </c>
      <c r="AP638" s="57">
        <v>46303.458333333336</v>
      </c>
      <c r="AR638" t="s">
        <v>256</v>
      </c>
      <c r="AS638" t="s">
        <v>844</v>
      </c>
      <c r="AT638" t="s">
        <v>230</v>
      </c>
      <c r="AV638" t="s">
        <v>257</v>
      </c>
      <c r="AW638" t="s">
        <v>883</v>
      </c>
      <c r="AX638" t="s">
        <v>222</v>
      </c>
      <c r="BA638" s="57">
        <v>46303.458333333336</v>
      </c>
      <c r="BB638" t="s">
        <v>4345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str">
        <f>VLOOKUP(H638,Sheet2!$A$1:$B$270,2,FALSE)</f>
        <v>BOJONEGORO</v>
      </c>
    </row>
    <row r="639" spans="1:61">
      <c r="A639">
        <v>638</v>
      </c>
      <c r="B639">
        <v>1002627207</v>
      </c>
      <c r="C639">
        <v>3</v>
      </c>
      <c r="D639" t="s">
        <v>38</v>
      </c>
      <c r="E639">
        <v>5</v>
      </c>
      <c r="F639" t="s">
        <v>92</v>
      </c>
      <c r="G639" t="s">
        <v>97</v>
      </c>
      <c r="H639" t="s">
        <v>251</v>
      </c>
      <c r="I639" t="s">
        <v>212</v>
      </c>
      <c r="J639" t="s">
        <v>213</v>
      </c>
      <c r="K639" t="s">
        <v>149</v>
      </c>
      <c r="M639" t="s">
        <v>3149</v>
      </c>
      <c r="N639" t="s">
        <v>215</v>
      </c>
      <c r="O639" s="57">
        <v>46303.391203703701</v>
      </c>
      <c r="P639" s="57">
        <v>46303.393449074072</v>
      </c>
      <c r="Q639">
        <v>69406269</v>
      </c>
      <c r="S639">
        <v>152612240636</v>
      </c>
      <c r="T639" t="s">
        <v>4346</v>
      </c>
      <c r="U639" t="s">
        <v>4347</v>
      </c>
      <c r="Z639">
        <v>112.134296894073</v>
      </c>
      <c r="AA639">
        <v>-6.9069785693089401</v>
      </c>
      <c r="AB639" t="s">
        <v>4348</v>
      </c>
      <c r="AC639" t="s">
        <v>229</v>
      </c>
      <c r="AO639" s="57">
        <v>46244.392905092594</v>
      </c>
      <c r="AR639" t="s">
        <v>325</v>
      </c>
      <c r="AS639" t="s">
        <v>219</v>
      </c>
      <c r="AT639" t="s">
        <v>230</v>
      </c>
      <c r="AV639" t="s">
        <v>3150</v>
      </c>
      <c r="AW639" t="s">
        <v>540</v>
      </c>
      <c r="AX639" t="s">
        <v>222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str">
        <f>VLOOKUP(H639,Sheet2!$A$1:$B$270,2,FALSE)</f>
        <v>BOJONEGORO</v>
      </c>
    </row>
    <row r="640" spans="1:61">
      <c r="A640">
        <v>639</v>
      </c>
      <c r="B640">
        <v>1002627221</v>
      </c>
      <c r="C640">
        <v>3</v>
      </c>
      <c r="D640" t="s">
        <v>38</v>
      </c>
      <c r="E640">
        <v>5</v>
      </c>
      <c r="F640" t="s">
        <v>92</v>
      </c>
      <c r="G640" t="s">
        <v>97</v>
      </c>
      <c r="H640" t="s">
        <v>251</v>
      </c>
      <c r="I640" t="s">
        <v>212</v>
      </c>
      <c r="J640" t="s">
        <v>213</v>
      </c>
      <c r="K640" t="s">
        <v>149</v>
      </c>
      <c r="M640" t="s">
        <v>3149</v>
      </c>
      <c r="N640" t="s">
        <v>215</v>
      </c>
      <c r="O640" s="57">
        <v>46303.394583333335</v>
      </c>
      <c r="P640" s="57">
        <v>46303.396226851852</v>
      </c>
      <c r="Q640">
        <v>69406278</v>
      </c>
      <c r="S640">
        <v>152612240637</v>
      </c>
      <c r="T640" t="s">
        <v>4346</v>
      </c>
      <c r="U640" t="s">
        <v>4347</v>
      </c>
      <c r="Z640">
        <v>112.134082317352</v>
      </c>
      <c r="AA640">
        <v>-6.9067442478295096</v>
      </c>
      <c r="AB640" t="s">
        <v>4348</v>
      </c>
      <c r="AC640" t="s">
        <v>229</v>
      </c>
      <c r="AO640" s="57">
        <v>46244.403275462966</v>
      </c>
      <c r="AR640" t="s">
        <v>325</v>
      </c>
      <c r="AS640" t="s">
        <v>219</v>
      </c>
      <c r="AT640" t="s">
        <v>230</v>
      </c>
      <c r="AV640" t="s">
        <v>3150</v>
      </c>
      <c r="AW640" t="s">
        <v>540</v>
      </c>
      <c r="AX640" t="s">
        <v>222</v>
      </c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str">
        <f>VLOOKUP(H640,Sheet2!$A$1:$B$270,2,FALSE)</f>
        <v>BOJONEGORO</v>
      </c>
    </row>
    <row r="641" spans="1:61">
      <c r="A641">
        <v>640</v>
      </c>
      <c r="B641">
        <v>1002617187</v>
      </c>
      <c r="C641">
        <v>3</v>
      </c>
      <c r="D641" t="s">
        <v>45</v>
      </c>
      <c r="E641">
        <v>5</v>
      </c>
      <c r="F641" t="s">
        <v>113</v>
      </c>
      <c r="G641" t="s">
        <v>109</v>
      </c>
      <c r="H641" t="s">
        <v>300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46296.410127314812</v>
      </c>
      <c r="P641" s="57">
        <v>46297.902013888888</v>
      </c>
      <c r="Q641">
        <v>69402104</v>
      </c>
      <c r="S641">
        <v>172521216812</v>
      </c>
      <c r="T641" t="s">
        <v>1321</v>
      </c>
      <c r="U641" t="s">
        <v>1322</v>
      </c>
      <c r="V641" t="s">
        <v>1323</v>
      </c>
      <c r="Z641">
        <v>124.890847764909</v>
      </c>
      <c r="AA641">
        <v>-9.0988937736841393</v>
      </c>
      <c r="AB641" t="s">
        <v>1324</v>
      </c>
      <c r="AC641" t="s">
        <v>216</v>
      </c>
      <c r="AL641" t="s">
        <v>217</v>
      </c>
      <c r="AM641" t="s">
        <v>1325</v>
      </c>
      <c r="AN641" t="s">
        <v>6</v>
      </c>
      <c r="AO641" s="57">
        <v>46032.413738425923</v>
      </c>
      <c r="AP641" s="57">
        <v>46298.625</v>
      </c>
      <c r="AR641" t="s">
        <v>218</v>
      </c>
      <c r="AS641" t="s">
        <v>219</v>
      </c>
      <c r="AT641" t="s">
        <v>230</v>
      </c>
      <c r="AU641">
        <v>20261002</v>
      </c>
      <c r="AV641" t="s">
        <v>221</v>
      </c>
      <c r="AW641" t="s">
        <v>884</v>
      </c>
      <c r="AX641" t="s">
        <v>222</v>
      </c>
      <c r="BA641" s="57">
        <v>46298.625</v>
      </c>
      <c r="BB641" t="s">
        <v>1325</v>
      </c>
      <c r="BC641">
        <v>2026</v>
      </c>
      <c r="BD641">
        <v>10</v>
      </c>
      <c r="BE641">
        <v>2</v>
      </c>
      <c r="BF641" s="6">
        <f t="shared" si="27"/>
        <v>46297</v>
      </c>
      <c r="BG641">
        <f t="shared" si="28"/>
        <v>-1.625</v>
      </c>
      <c r="BH641" t="str">
        <f t="shared" si="29"/>
        <v>COMPLY</v>
      </c>
      <c r="BI641" t="str">
        <f>VLOOKUP(H641,Sheet2!$A$1:$B$270,2,FALSE)</f>
        <v>ATAMBUA</v>
      </c>
    </row>
    <row r="642" spans="1:61">
      <c r="A642">
        <v>641</v>
      </c>
      <c r="B642">
        <v>1002617177</v>
      </c>
      <c r="C642">
        <v>3</v>
      </c>
      <c r="D642" t="s">
        <v>45</v>
      </c>
      <c r="E642">
        <v>5</v>
      </c>
      <c r="F642" t="s">
        <v>113</v>
      </c>
      <c r="G642" t="s">
        <v>113</v>
      </c>
      <c r="H642" t="s">
        <v>315</v>
      </c>
      <c r="I642" t="s">
        <v>212</v>
      </c>
      <c r="J642" t="s">
        <v>213</v>
      </c>
      <c r="K642" t="s">
        <v>149</v>
      </c>
      <c r="M642" t="s">
        <v>224</v>
      </c>
      <c r="N642" t="s">
        <v>895</v>
      </c>
      <c r="O642" s="57">
        <v>46296.409583333334</v>
      </c>
      <c r="P642" s="57">
        <v>46300.393182870372</v>
      </c>
      <c r="Q642">
        <v>69402110</v>
      </c>
      <c r="S642">
        <v>172503813931</v>
      </c>
      <c r="T642" t="s">
        <v>1326</v>
      </c>
      <c r="U642" t="s">
        <v>1327</v>
      </c>
      <c r="V642" t="s">
        <v>1328</v>
      </c>
      <c r="Z642">
        <v>123.6427059</v>
      </c>
      <c r="AA642">
        <v>-10.156912699999999</v>
      </c>
      <c r="AB642" t="s">
        <v>1329</v>
      </c>
      <c r="AC642" t="s">
        <v>283</v>
      </c>
      <c r="AL642" t="s">
        <v>217</v>
      </c>
      <c r="AM642" t="s">
        <v>1330</v>
      </c>
      <c r="AN642" t="s">
        <v>6</v>
      </c>
      <c r="AO642" s="57">
        <v>46032.413738425923</v>
      </c>
      <c r="AP642" s="57">
        <v>46297.458333333336</v>
      </c>
      <c r="AR642" t="s">
        <v>18</v>
      </c>
      <c r="AS642" t="s">
        <v>113</v>
      </c>
      <c r="AT642" t="s">
        <v>230</v>
      </c>
      <c r="AV642" t="s">
        <v>226</v>
      </c>
      <c r="AW642" t="s">
        <v>540</v>
      </c>
      <c r="AX642" t="s">
        <v>222</v>
      </c>
      <c r="BA642" s="57">
        <v>46297.458333333336</v>
      </c>
      <c r="BB642" t="s">
        <v>1330</v>
      </c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str">
        <f>VLOOKUP(H642,Sheet2!$A$1:$B$270,2,FALSE)</f>
        <v>KUPANG</v>
      </c>
    </row>
    <row r="643" spans="1:61">
      <c r="A643">
        <v>642</v>
      </c>
      <c r="B643">
        <v>1002617257</v>
      </c>
      <c r="C643">
        <v>3</v>
      </c>
      <c r="D643" t="s">
        <v>45</v>
      </c>
      <c r="E643">
        <v>5</v>
      </c>
      <c r="F643" t="s">
        <v>113</v>
      </c>
      <c r="G643" t="s">
        <v>113</v>
      </c>
      <c r="H643" t="s">
        <v>315</v>
      </c>
      <c r="I643" t="s">
        <v>212</v>
      </c>
      <c r="J643" t="s">
        <v>213</v>
      </c>
      <c r="K643" t="s">
        <v>149</v>
      </c>
      <c r="L643" t="s">
        <v>214</v>
      </c>
      <c r="M643" t="s">
        <v>542</v>
      </c>
      <c r="N643" t="s">
        <v>215</v>
      </c>
      <c r="O643" s="57">
        <v>46296.422013888892</v>
      </c>
      <c r="P643" s="57">
        <v>46296.422025462962</v>
      </c>
      <c r="Q643">
        <v>69397425</v>
      </c>
      <c r="T643" t="s">
        <v>903</v>
      </c>
      <c r="V643" t="s">
        <v>904</v>
      </c>
      <c r="Z643">
        <v>123.67400000000001</v>
      </c>
      <c r="AA643">
        <v>-10.186500000000001</v>
      </c>
      <c r="AB643" t="s">
        <v>905</v>
      </c>
      <c r="AC643" t="s">
        <v>216</v>
      </c>
      <c r="AL643" t="s">
        <v>217</v>
      </c>
      <c r="AM643" t="s">
        <v>902</v>
      </c>
      <c r="AN643" t="s">
        <v>6</v>
      </c>
      <c r="AO643" s="57">
        <v>46032.434247685182</v>
      </c>
      <c r="AP643" s="57">
        <v>46290</v>
      </c>
      <c r="AR643" t="s">
        <v>543</v>
      </c>
      <c r="AS643" t="s">
        <v>113</v>
      </c>
      <c r="AT643" t="s">
        <v>230</v>
      </c>
      <c r="AV643" t="s">
        <v>1331</v>
      </c>
      <c r="AW643" t="s">
        <v>883</v>
      </c>
      <c r="AX643" t="s">
        <v>222</v>
      </c>
      <c r="BA643" s="57">
        <v>46290.333333333336</v>
      </c>
      <c r="BB643" t="s">
        <v>902</v>
      </c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str">
        <f>VLOOKUP(H643,Sheet2!$A$1:$B$270,2,FALSE)</f>
        <v>KUPANG</v>
      </c>
    </row>
    <row r="644" spans="1:61">
      <c r="A644">
        <v>643</v>
      </c>
      <c r="B644">
        <v>1002619312</v>
      </c>
      <c r="C644">
        <v>3</v>
      </c>
      <c r="D644" t="s">
        <v>45</v>
      </c>
      <c r="E644">
        <v>5</v>
      </c>
      <c r="F644" t="s">
        <v>113</v>
      </c>
      <c r="G644" t="s">
        <v>113</v>
      </c>
      <c r="H644" t="s">
        <v>406</v>
      </c>
      <c r="I644" t="s">
        <v>212</v>
      </c>
      <c r="J644" t="s">
        <v>213</v>
      </c>
      <c r="K644" t="s">
        <v>149</v>
      </c>
      <c r="L644" t="s">
        <v>214</v>
      </c>
      <c r="M644" t="s">
        <v>224</v>
      </c>
      <c r="N644" t="s">
        <v>215</v>
      </c>
      <c r="O644" s="57">
        <v>46297.432395833333</v>
      </c>
      <c r="P644" s="57">
        <v>46300.905092592591</v>
      </c>
      <c r="Q644">
        <v>69402857</v>
      </c>
      <c r="S644">
        <v>172502813390</v>
      </c>
      <c r="T644" t="s">
        <v>2339</v>
      </c>
      <c r="U644" t="s">
        <v>2340</v>
      </c>
      <c r="V644" t="s">
        <v>2341</v>
      </c>
      <c r="Z644">
        <v>123.6307018</v>
      </c>
      <c r="AA644">
        <v>-10.167846000000001</v>
      </c>
      <c r="AB644" t="s">
        <v>2342</v>
      </c>
      <c r="AC644" t="s">
        <v>235</v>
      </c>
      <c r="AL644" t="s">
        <v>217</v>
      </c>
      <c r="AM644" t="s">
        <v>1862</v>
      </c>
      <c r="AN644" t="s">
        <v>6</v>
      </c>
      <c r="AO644" s="57">
        <v>46063.444386574076</v>
      </c>
      <c r="AP644" s="57">
        <v>46298.333333333336</v>
      </c>
      <c r="AR644" t="s">
        <v>18</v>
      </c>
      <c r="AS644" t="s">
        <v>113</v>
      </c>
      <c r="AT644" t="s">
        <v>230</v>
      </c>
      <c r="AV644" t="s">
        <v>226</v>
      </c>
      <c r="AW644" t="s">
        <v>877</v>
      </c>
      <c r="AX644" t="s">
        <v>222</v>
      </c>
      <c r="BA644" s="57">
        <v>46298.333333333336</v>
      </c>
      <c r="BB644" t="s">
        <v>1862</v>
      </c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str">
        <f>VLOOKUP(H644,Sheet2!$A$1:$B$270,2,FALSE)</f>
        <v>KUPANG</v>
      </c>
    </row>
    <row r="645" spans="1:61">
      <c r="A645">
        <v>644</v>
      </c>
      <c r="B645">
        <v>1002624008</v>
      </c>
      <c r="C645">
        <v>3</v>
      </c>
      <c r="D645" t="s">
        <v>45</v>
      </c>
      <c r="E645">
        <v>5</v>
      </c>
      <c r="F645" t="s">
        <v>113</v>
      </c>
      <c r="G645" t="s">
        <v>113</v>
      </c>
      <c r="H645" t="s">
        <v>406</v>
      </c>
      <c r="I645" t="s">
        <v>212</v>
      </c>
      <c r="J645" t="s">
        <v>213</v>
      </c>
      <c r="K645" t="s">
        <v>149</v>
      </c>
      <c r="L645" t="s">
        <v>214</v>
      </c>
      <c r="M645" t="s">
        <v>224</v>
      </c>
      <c r="N645" t="s">
        <v>215</v>
      </c>
      <c r="O645" s="57">
        <v>46301.476168981484</v>
      </c>
      <c r="P645" s="57">
        <v>46302.395486111112</v>
      </c>
      <c r="Q645">
        <v>69404913</v>
      </c>
      <c r="S645">
        <v>172502813401</v>
      </c>
      <c r="T645" t="s">
        <v>3632</v>
      </c>
      <c r="U645" t="s">
        <v>3633</v>
      </c>
      <c r="V645" t="s">
        <v>3634</v>
      </c>
      <c r="Z645">
        <v>123.6228907</v>
      </c>
      <c r="AA645">
        <v>-10.187469800000001</v>
      </c>
      <c r="AB645" t="s">
        <v>3635</v>
      </c>
      <c r="AC645" t="s">
        <v>235</v>
      </c>
      <c r="AL645" t="s">
        <v>217</v>
      </c>
      <c r="AM645" t="s">
        <v>3410</v>
      </c>
      <c r="AN645" t="s">
        <v>6</v>
      </c>
      <c r="AO645" s="57">
        <v>46183.486203703702</v>
      </c>
      <c r="AP645" s="57">
        <v>46302.333333333336</v>
      </c>
      <c r="AR645" t="s">
        <v>18</v>
      </c>
      <c r="AS645" t="s">
        <v>113</v>
      </c>
      <c r="AT645" t="s">
        <v>230</v>
      </c>
      <c r="AV645" t="s">
        <v>226</v>
      </c>
      <c r="AW645" t="s">
        <v>877</v>
      </c>
      <c r="AX645" t="s">
        <v>222</v>
      </c>
      <c r="BA645" s="57">
        <v>46302.333333333336</v>
      </c>
      <c r="BB645" t="s">
        <v>3410</v>
      </c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str">
        <f>VLOOKUP(H645,Sheet2!$A$1:$B$270,2,FALSE)</f>
        <v>KUPANG</v>
      </c>
    </row>
    <row r="646" spans="1:61">
      <c r="A646">
        <v>645</v>
      </c>
      <c r="B646">
        <v>1002624124</v>
      </c>
      <c r="C646">
        <v>3</v>
      </c>
      <c r="D646" t="s">
        <v>45</v>
      </c>
      <c r="E646">
        <v>5</v>
      </c>
      <c r="F646" t="s">
        <v>113</v>
      </c>
      <c r="G646" t="s">
        <v>113</v>
      </c>
      <c r="H646" t="s">
        <v>406</v>
      </c>
      <c r="I646" t="s">
        <v>212</v>
      </c>
      <c r="J646" t="s">
        <v>213</v>
      </c>
      <c r="K646" t="s">
        <v>149</v>
      </c>
      <c r="L646" t="s">
        <v>214</v>
      </c>
      <c r="M646" t="s">
        <v>224</v>
      </c>
      <c r="N646" t="s">
        <v>215</v>
      </c>
      <c r="O646" s="57">
        <v>46301.501851851855</v>
      </c>
      <c r="P646" s="57">
        <v>46302.398310185185</v>
      </c>
      <c r="Q646">
        <v>69404959</v>
      </c>
      <c r="S646">
        <v>172502813403</v>
      </c>
      <c r="T646" t="s">
        <v>3636</v>
      </c>
      <c r="U646" t="s">
        <v>3637</v>
      </c>
      <c r="V646" t="s">
        <v>3638</v>
      </c>
      <c r="Z646">
        <v>123.6207824</v>
      </c>
      <c r="AA646">
        <v>-10.1882503</v>
      </c>
      <c r="AB646" t="s">
        <v>3639</v>
      </c>
      <c r="AC646" t="s">
        <v>235</v>
      </c>
      <c r="AL646" t="s">
        <v>217</v>
      </c>
      <c r="AM646" t="s">
        <v>3640</v>
      </c>
      <c r="AN646" t="s">
        <v>6</v>
      </c>
      <c r="AO646" s="57">
        <v>46183.517812500002</v>
      </c>
      <c r="AP646" s="57">
        <v>46302.333333333336</v>
      </c>
      <c r="AR646" t="s">
        <v>18</v>
      </c>
      <c r="AS646" t="s">
        <v>113</v>
      </c>
      <c r="AT646" t="s">
        <v>230</v>
      </c>
      <c r="AV646" t="s">
        <v>226</v>
      </c>
      <c r="AW646" t="s">
        <v>877</v>
      </c>
      <c r="AX646" t="s">
        <v>222</v>
      </c>
      <c r="BA646" s="57">
        <v>46302.333333333336</v>
      </c>
      <c r="BB646" t="s">
        <v>3640</v>
      </c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str">
        <f>VLOOKUP(H646,Sheet2!$A$1:$B$270,2,FALSE)</f>
        <v>KUPANG</v>
      </c>
    </row>
    <row r="647" spans="1:61">
      <c r="A647">
        <v>646</v>
      </c>
      <c r="B647">
        <v>1002625179</v>
      </c>
      <c r="C647">
        <v>3</v>
      </c>
      <c r="D647" t="s">
        <v>45</v>
      </c>
      <c r="E647">
        <v>5</v>
      </c>
      <c r="F647" t="s">
        <v>113</v>
      </c>
      <c r="G647" t="s">
        <v>113</v>
      </c>
      <c r="H647" t="s">
        <v>406</v>
      </c>
      <c r="I647" t="s">
        <v>212</v>
      </c>
      <c r="J647" t="s">
        <v>213</v>
      </c>
      <c r="K647" t="s">
        <v>149</v>
      </c>
      <c r="L647" t="s">
        <v>214</v>
      </c>
      <c r="M647" t="s">
        <v>224</v>
      </c>
      <c r="N647" t="s">
        <v>215</v>
      </c>
      <c r="O647" s="57">
        <v>46301.785115740742</v>
      </c>
      <c r="P647" s="57">
        <v>46302.639143518521</v>
      </c>
      <c r="Q647">
        <v>69405405</v>
      </c>
      <c r="S647">
        <v>172502813588</v>
      </c>
      <c r="T647" t="s">
        <v>3641</v>
      </c>
      <c r="U647" t="s">
        <v>3642</v>
      </c>
      <c r="V647" t="s">
        <v>3643</v>
      </c>
      <c r="Z647">
        <v>123.61342351936101</v>
      </c>
      <c r="AA647">
        <v>-10.1544614454676</v>
      </c>
      <c r="AB647" t="s">
        <v>3644</v>
      </c>
      <c r="AC647" t="s">
        <v>235</v>
      </c>
      <c r="AL647" t="s">
        <v>217</v>
      </c>
      <c r="AM647" t="s">
        <v>3645</v>
      </c>
      <c r="AN647" t="s">
        <v>6</v>
      </c>
      <c r="AO647" s="57">
        <v>46183.788287037038</v>
      </c>
      <c r="AP647" s="57">
        <v>46302.625</v>
      </c>
      <c r="AR647" t="s">
        <v>18</v>
      </c>
      <c r="AS647" t="s">
        <v>113</v>
      </c>
      <c r="AT647" t="s">
        <v>230</v>
      </c>
      <c r="AV647" t="s">
        <v>226</v>
      </c>
      <c r="AW647" t="s">
        <v>236</v>
      </c>
      <c r="AX647" t="s">
        <v>222</v>
      </c>
      <c r="BA647" s="57">
        <v>46302.625</v>
      </c>
      <c r="BB647" t="s">
        <v>3645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str">
        <f>VLOOKUP(H647,Sheet2!$A$1:$B$270,2,FALSE)</f>
        <v>KUPANG</v>
      </c>
    </row>
    <row r="648" spans="1:61">
      <c r="A648">
        <v>647</v>
      </c>
      <c r="B648">
        <v>1002617806</v>
      </c>
      <c r="C648">
        <v>3</v>
      </c>
      <c r="D648" t="s">
        <v>45</v>
      </c>
      <c r="E648">
        <v>5</v>
      </c>
      <c r="F648" t="s">
        <v>113</v>
      </c>
      <c r="G648" t="s">
        <v>113</v>
      </c>
      <c r="H648" t="s">
        <v>406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46296.549062500002</v>
      </c>
      <c r="P648" s="57">
        <v>46297.770231481481</v>
      </c>
      <c r="Q648">
        <v>69402338</v>
      </c>
      <c r="S648">
        <v>172502813927</v>
      </c>
      <c r="T648" t="s">
        <v>1332</v>
      </c>
      <c r="U648" t="s">
        <v>1333</v>
      </c>
      <c r="V648" t="s">
        <v>1334</v>
      </c>
      <c r="Z648">
        <v>123.6017471</v>
      </c>
      <c r="AA648">
        <v>-10.176331599999999</v>
      </c>
      <c r="AB648" t="s">
        <v>1335</v>
      </c>
      <c r="AC648" t="s">
        <v>235</v>
      </c>
      <c r="AL648" t="s">
        <v>217</v>
      </c>
      <c r="AM648" t="s">
        <v>1336</v>
      </c>
      <c r="AN648" t="s">
        <v>6</v>
      </c>
      <c r="AO648" s="57">
        <v>46032.559305555558</v>
      </c>
      <c r="AP648" s="57">
        <v>46297.458333333336</v>
      </c>
      <c r="AR648" t="s">
        <v>218</v>
      </c>
      <c r="AS648" t="s">
        <v>113</v>
      </c>
      <c r="AT648" t="s">
        <v>230</v>
      </c>
      <c r="AU648">
        <v>20261002</v>
      </c>
      <c r="AV648" t="s">
        <v>221</v>
      </c>
      <c r="AW648" t="s">
        <v>802</v>
      </c>
      <c r="AX648" t="s">
        <v>222</v>
      </c>
      <c r="BA648" s="57">
        <v>46297.458333333336</v>
      </c>
      <c r="BB648" t="s">
        <v>1336</v>
      </c>
      <c r="BC648">
        <v>2026</v>
      </c>
      <c r="BD648">
        <v>10</v>
      </c>
      <c r="BE648">
        <v>2</v>
      </c>
      <c r="BF648" s="6">
        <f t="shared" si="30"/>
        <v>46297</v>
      </c>
      <c r="BG648">
        <f t="shared" si="31"/>
        <v>-0.45833333333575865</v>
      </c>
      <c r="BH648" t="str">
        <f t="shared" si="32"/>
        <v>COMPLY</v>
      </c>
      <c r="BI648" t="str">
        <f>VLOOKUP(H648,Sheet2!$A$1:$B$270,2,FALSE)</f>
        <v>KUPANG</v>
      </c>
    </row>
    <row r="649" spans="1:61">
      <c r="A649">
        <v>648</v>
      </c>
      <c r="B649">
        <v>1002618763</v>
      </c>
      <c r="C649">
        <v>3</v>
      </c>
      <c r="D649" t="s">
        <v>45</v>
      </c>
      <c r="E649">
        <v>5</v>
      </c>
      <c r="F649" t="s">
        <v>113</v>
      </c>
      <c r="G649" t="s">
        <v>113</v>
      </c>
      <c r="H649" t="s">
        <v>406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46296.743506944447</v>
      </c>
      <c r="P649" s="57">
        <v>46301.748402777775</v>
      </c>
      <c r="Q649">
        <v>69402662</v>
      </c>
      <c r="S649">
        <v>172502813216</v>
      </c>
      <c r="T649" t="s">
        <v>1337</v>
      </c>
      <c r="U649" t="s">
        <v>1338</v>
      </c>
      <c r="V649" t="s">
        <v>1339</v>
      </c>
      <c r="Z649">
        <v>123.59496660000001</v>
      </c>
      <c r="AA649">
        <v>-10.156082100000001</v>
      </c>
      <c r="AB649" t="s">
        <v>1340</v>
      </c>
      <c r="AC649" t="s">
        <v>216</v>
      </c>
      <c r="AL649" t="s">
        <v>217</v>
      </c>
      <c r="AM649" t="s">
        <v>1341</v>
      </c>
      <c r="AN649" t="s">
        <v>6</v>
      </c>
      <c r="AO649" s="57">
        <v>46032.746898148151</v>
      </c>
      <c r="AP649" s="57">
        <v>46297.625</v>
      </c>
      <c r="AR649" t="s">
        <v>218</v>
      </c>
      <c r="AS649" t="s">
        <v>113</v>
      </c>
      <c r="AT649" t="s">
        <v>230</v>
      </c>
      <c r="AU649">
        <v>20261006</v>
      </c>
      <c r="AV649" t="s">
        <v>221</v>
      </c>
      <c r="AW649" t="s">
        <v>876</v>
      </c>
      <c r="AX649" t="s">
        <v>222</v>
      </c>
      <c r="BA649" s="57">
        <v>46297.625</v>
      </c>
      <c r="BB649" t="s">
        <v>1341</v>
      </c>
      <c r="BC649">
        <v>2026</v>
      </c>
      <c r="BD649">
        <v>10</v>
      </c>
      <c r="BE649">
        <v>6</v>
      </c>
      <c r="BF649" s="6">
        <f t="shared" si="30"/>
        <v>46301</v>
      </c>
      <c r="BG649">
        <f t="shared" si="31"/>
        <v>3.375</v>
      </c>
      <c r="BH649" t="str">
        <f t="shared" si="32"/>
        <v>NOT COMPLY</v>
      </c>
      <c r="BI649" t="str">
        <f>VLOOKUP(H649,Sheet2!$A$1:$B$270,2,FALSE)</f>
        <v>KUPANG</v>
      </c>
    </row>
    <row r="650" spans="1:61">
      <c r="A650">
        <v>649</v>
      </c>
      <c r="B650">
        <v>1002620236</v>
      </c>
      <c r="C650">
        <v>3</v>
      </c>
      <c r="D650" t="s">
        <v>45</v>
      </c>
      <c r="E650">
        <v>5</v>
      </c>
      <c r="F650" t="s">
        <v>113</v>
      </c>
      <c r="G650" t="s">
        <v>113</v>
      </c>
      <c r="H650" t="s">
        <v>406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46297.640740740739</v>
      </c>
      <c r="P650" s="57">
        <v>46300.491608796299</v>
      </c>
      <c r="Q650">
        <v>69403258</v>
      </c>
      <c r="S650">
        <v>172502813396</v>
      </c>
      <c r="T650" t="s">
        <v>2343</v>
      </c>
      <c r="U650" t="s">
        <v>2344</v>
      </c>
      <c r="V650" t="s">
        <v>2345</v>
      </c>
      <c r="Z650">
        <v>123.61100709999999</v>
      </c>
      <c r="AA650">
        <v>-10.1728284</v>
      </c>
      <c r="AB650" t="s">
        <v>2346</v>
      </c>
      <c r="AC650" t="s">
        <v>235</v>
      </c>
      <c r="AL650" t="s">
        <v>217</v>
      </c>
      <c r="AM650" t="s">
        <v>2347</v>
      </c>
      <c r="AN650" t="s">
        <v>6</v>
      </c>
      <c r="AO650" s="57">
        <v>46063.652951388889</v>
      </c>
      <c r="AP650" s="57">
        <v>46298.625</v>
      </c>
      <c r="AR650" t="s">
        <v>218</v>
      </c>
      <c r="AS650" t="s">
        <v>113</v>
      </c>
      <c r="AT650" t="s">
        <v>230</v>
      </c>
      <c r="AU650">
        <v>20261005</v>
      </c>
      <c r="AV650" t="s">
        <v>221</v>
      </c>
      <c r="AW650" t="s">
        <v>923</v>
      </c>
      <c r="AX650" t="s">
        <v>222</v>
      </c>
      <c r="BA650" s="57">
        <v>46298.625</v>
      </c>
      <c r="BB650" t="s">
        <v>2347</v>
      </c>
      <c r="BC650">
        <v>2026</v>
      </c>
      <c r="BD650">
        <v>10</v>
      </c>
      <c r="BE650">
        <v>5</v>
      </c>
      <c r="BF650" s="6">
        <f t="shared" si="30"/>
        <v>46300</v>
      </c>
      <c r="BG650">
        <f t="shared" si="31"/>
        <v>1.375</v>
      </c>
      <c r="BH650" t="str">
        <f t="shared" si="32"/>
        <v>NOT COMPLY</v>
      </c>
      <c r="BI650" t="str">
        <f>VLOOKUP(H650,Sheet2!$A$1:$B$270,2,FALSE)</f>
        <v>KUPANG</v>
      </c>
    </row>
    <row r="651" spans="1:61">
      <c r="A651">
        <v>650</v>
      </c>
      <c r="B651">
        <v>1002620326</v>
      </c>
      <c r="C651">
        <v>3</v>
      </c>
      <c r="D651" t="s">
        <v>45</v>
      </c>
      <c r="E651">
        <v>5</v>
      </c>
      <c r="F651" t="s">
        <v>113</v>
      </c>
      <c r="G651" t="s">
        <v>113</v>
      </c>
      <c r="H651" t="s">
        <v>406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46297.657337962963</v>
      </c>
      <c r="P651" s="57">
        <v>46300.673402777778</v>
      </c>
      <c r="Q651">
        <v>69403285</v>
      </c>
      <c r="S651">
        <v>172502813398</v>
      </c>
      <c r="T651" t="s">
        <v>2348</v>
      </c>
      <c r="U651" t="s">
        <v>2349</v>
      </c>
      <c r="V651" t="s">
        <v>2350</v>
      </c>
      <c r="Z651">
        <v>123.613508082926</v>
      </c>
      <c r="AA651">
        <v>-10.1786373183068</v>
      </c>
      <c r="AB651" t="s">
        <v>2351</v>
      </c>
      <c r="AC651" t="s">
        <v>216</v>
      </c>
      <c r="AL651" t="s">
        <v>217</v>
      </c>
      <c r="AM651" t="s">
        <v>2352</v>
      </c>
      <c r="AN651" t="s">
        <v>6</v>
      </c>
      <c r="AO651" s="57">
        <v>46063.663495370369</v>
      </c>
      <c r="AP651" s="57">
        <v>46298.625</v>
      </c>
      <c r="AR651" t="s">
        <v>218</v>
      </c>
      <c r="AS651" t="s">
        <v>113</v>
      </c>
      <c r="AT651" t="s">
        <v>230</v>
      </c>
      <c r="AU651">
        <v>20261005</v>
      </c>
      <c r="AV651" t="s">
        <v>221</v>
      </c>
      <c r="AW651" t="s">
        <v>883</v>
      </c>
      <c r="AX651" t="s">
        <v>222</v>
      </c>
      <c r="BA651" s="57">
        <v>46298.625</v>
      </c>
      <c r="BB651" t="s">
        <v>2352</v>
      </c>
      <c r="BC651">
        <v>2026</v>
      </c>
      <c r="BD651">
        <v>10</v>
      </c>
      <c r="BE651">
        <v>5</v>
      </c>
      <c r="BF651" s="6">
        <f t="shared" si="30"/>
        <v>46300</v>
      </c>
      <c r="BG651">
        <f t="shared" si="31"/>
        <v>1.375</v>
      </c>
      <c r="BH651" t="str">
        <f t="shared" si="32"/>
        <v>NOT COMPLY</v>
      </c>
      <c r="BI651" t="str">
        <f>VLOOKUP(H651,Sheet2!$A$1:$B$270,2,FALSE)</f>
        <v>KUPANG</v>
      </c>
    </row>
    <row r="652" spans="1:61">
      <c r="A652">
        <v>651</v>
      </c>
      <c r="B652">
        <v>1002621034</v>
      </c>
      <c r="C652">
        <v>3</v>
      </c>
      <c r="D652" t="s">
        <v>45</v>
      </c>
      <c r="E652">
        <v>5</v>
      </c>
      <c r="F652" t="s">
        <v>113</v>
      </c>
      <c r="G652" t="s">
        <v>113</v>
      </c>
      <c r="H652" t="s">
        <v>406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46298.593506944446</v>
      </c>
      <c r="P652" s="57">
        <v>46302.682199074072</v>
      </c>
      <c r="Q652">
        <v>69403649</v>
      </c>
      <c r="S652">
        <v>172502813753</v>
      </c>
      <c r="T652" t="s">
        <v>2353</v>
      </c>
      <c r="U652" t="s">
        <v>2354</v>
      </c>
      <c r="V652" t="s">
        <v>2355</v>
      </c>
      <c r="Z652">
        <v>123.613802455365</v>
      </c>
      <c r="AA652">
        <v>-10.2085447515353</v>
      </c>
      <c r="AB652" t="s">
        <v>2356</v>
      </c>
      <c r="AC652" t="s">
        <v>216</v>
      </c>
      <c r="AL652" t="s">
        <v>217</v>
      </c>
      <c r="AM652" t="s">
        <v>2357</v>
      </c>
      <c r="AN652" t="s">
        <v>6</v>
      </c>
      <c r="AO652" s="57">
        <v>46091.600613425922</v>
      </c>
      <c r="AP652" s="57">
        <v>46300.333333333336</v>
      </c>
      <c r="AR652" t="s">
        <v>218</v>
      </c>
      <c r="AS652" t="s">
        <v>113</v>
      </c>
      <c r="AT652" t="s">
        <v>230</v>
      </c>
      <c r="AU652">
        <v>20261007</v>
      </c>
      <c r="AV652" t="s">
        <v>221</v>
      </c>
      <c r="AW652" t="s">
        <v>880</v>
      </c>
      <c r="AX652" t="s">
        <v>222</v>
      </c>
      <c r="BA652" s="57">
        <v>46300.333333333336</v>
      </c>
      <c r="BB652" t="s">
        <v>2357</v>
      </c>
      <c r="BC652">
        <v>2026</v>
      </c>
      <c r="BD652">
        <v>10</v>
      </c>
      <c r="BE652">
        <v>7</v>
      </c>
      <c r="BF652" s="6">
        <f t="shared" si="30"/>
        <v>46302</v>
      </c>
      <c r="BG652">
        <f t="shared" si="31"/>
        <v>1.6666666666642413</v>
      </c>
      <c r="BH652" t="str">
        <f t="shared" si="32"/>
        <v>NOT COMPLY</v>
      </c>
      <c r="BI652" t="str">
        <f>VLOOKUP(H652,Sheet2!$A$1:$B$270,2,FALSE)</f>
        <v>KUPANG</v>
      </c>
    </row>
    <row r="653" spans="1:61">
      <c r="A653">
        <v>652</v>
      </c>
      <c r="B653">
        <v>1002620003</v>
      </c>
      <c r="C653">
        <v>3</v>
      </c>
      <c r="D653" t="s">
        <v>45</v>
      </c>
      <c r="E653">
        <v>5</v>
      </c>
      <c r="F653" t="s">
        <v>113</v>
      </c>
      <c r="G653" t="s">
        <v>120</v>
      </c>
      <c r="H653" t="s">
        <v>465</v>
      </c>
      <c r="I653" t="s">
        <v>212</v>
      </c>
      <c r="J653" t="s">
        <v>213</v>
      </c>
      <c r="K653" t="s">
        <v>149</v>
      </c>
      <c r="M653" t="s">
        <v>1627</v>
      </c>
      <c r="N653" t="s">
        <v>215</v>
      </c>
      <c r="O653" s="57">
        <v>46297.603761574072</v>
      </c>
      <c r="P653" s="57">
        <v>46301.083715277775</v>
      </c>
      <c r="Q653">
        <v>69403166</v>
      </c>
      <c r="S653">
        <v>172504801744</v>
      </c>
      <c r="T653" t="s">
        <v>2358</v>
      </c>
      <c r="U653" t="s">
        <v>2359</v>
      </c>
      <c r="Z653">
        <v>121.91690537228099</v>
      </c>
      <c r="AA653">
        <v>-10.446968552249499</v>
      </c>
      <c r="AB653" t="s">
        <v>2360</v>
      </c>
      <c r="AC653" t="s">
        <v>2361</v>
      </c>
      <c r="AO653" s="57">
        <v>46063.61105324074</v>
      </c>
      <c r="AR653" t="s">
        <v>1632</v>
      </c>
      <c r="AS653" t="s">
        <v>219</v>
      </c>
      <c r="AT653" t="s">
        <v>230</v>
      </c>
      <c r="AV653" t="s">
        <v>3026</v>
      </c>
      <c r="AW653" t="s">
        <v>1475</v>
      </c>
      <c r="AX653" t="s">
        <v>222</v>
      </c>
      <c r="AZ653" t="s">
        <v>3026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str">
        <f>VLOOKUP(H653,Sheet2!$A$1:$B$270,2,FALSE)</f>
        <v>WAINGAPU</v>
      </c>
    </row>
    <row r="654" spans="1:61">
      <c r="A654">
        <v>653</v>
      </c>
      <c r="B654">
        <v>1002620730</v>
      </c>
      <c r="C654">
        <v>3</v>
      </c>
      <c r="D654" t="s">
        <v>45</v>
      </c>
      <c r="E654">
        <v>5</v>
      </c>
      <c r="F654" t="s">
        <v>113</v>
      </c>
      <c r="G654" t="s">
        <v>119</v>
      </c>
      <c r="H654" t="s">
        <v>367</v>
      </c>
      <c r="I654" t="s">
        <v>212</v>
      </c>
      <c r="J654" t="s">
        <v>213</v>
      </c>
      <c r="K654" t="s">
        <v>149</v>
      </c>
      <c r="L654" t="s">
        <v>214</v>
      </c>
      <c r="M654" t="s">
        <v>839</v>
      </c>
      <c r="N654" t="s">
        <v>215</v>
      </c>
      <c r="O654" s="57">
        <v>46298.349004629628</v>
      </c>
      <c r="P654" s="57">
        <v>46300.46837962963</v>
      </c>
      <c r="Q654">
        <v>69403453</v>
      </c>
      <c r="S654">
        <v>172516597755</v>
      </c>
      <c r="T654" t="s">
        <v>2362</v>
      </c>
      <c r="U654" t="s">
        <v>2369</v>
      </c>
      <c r="V654" t="s">
        <v>2370</v>
      </c>
      <c r="Z654">
        <v>119.385746368753</v>
      </c>
      <c r="AA654">
        <v>-9.6342574625225499</v>
      </c>
      <c r="AB654" t="s">
        <v>2371</v>
      </c>
      <c r="AC654" t="s">
        <v>235</v>
      </c>
      <c r="AL654" t="s">
        <v>217</v>
      </c>
      <c r="AM654" t="s">
        <v>2372</v>
      </c>
      <c r="AN654" t="s">
        <v>6</v>
      </c>
      <c r="AO654" s="57">
        <v>46091.350902777776</v>
      </c>
      <c r="AP654" s="57">
        <v>46301.333333333336</v>
      </c>
      <c r="AQ654" t="s">
        <v>841</v>
      </c>
      <c r="AR654" t="s">
        <v>840</v>
      </c>
      <c r="AS654" t="s">
        <v>119</v>
      </c>
      <c r="AT654" t="s">
        <v>2367</v>
      </c>
      <c r="AV654" t="s">
        <v>3027</v>
      </c>
      <c r="AW654" t="s">
        <v>2373</v>
      </c>
      <c r="AX654" t="s">
        <v>222</v>
      </c>
      <c r="BA654" s="57">
        <v>46301.333333333336</v>
      </c>
      <c r="BB654" t="s">
        <v>2372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str">
        <f>VLOOKUP(H654,Sheet2!$A$1:$B$270,2,FALSE)</f>
        <v>WAINGAPU</v>
      </c>
    </row>
    <row r="655" spans="1:61">
      <c r="A655">
        <v>654</v>
      </c>
      <c r="B655">
        <v>1002620421</v>
      </c>
      <c r="C655">
        <v>3</v>
      </c>
      <c r="D655" t="s">
        <v>45</v>
      </c>
      <c r="E655">
        <v>5</v>
      </c>
      <c r="F655" t="s">
        <v>113</v>
      </c>
      <c r="G655" t="s">
        <v>119</v>
      </c>
      <c r="H655" t="s">
        <v>367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46297.681006944447</v>
      </c>
      <c r="P655" s="57">
        <v>46298.696226851855</v>
      </c>
      <c r="Q655">
        <v>69403298</v>
      </c>
      <c r="S655">
        <v>172516597756</v>
      </c>
      <c r="T655" t="s">
        <v>2362</v>
      </c>
      <c r="U655" t="s">
        <v>2363</v>
      </c>
      <c r="V655" t="s">
        <v>2364</v>
      </c>
      <c r="Z655">
        <v>119.38501599999999</v>
      </c>
      <c r="AA655">
        <v>-9.6343960000000006</v>
      </c>
      <c r="AB655" t="s">
        <v>2365</v>
      </c>
      <c r="AC655" t="s">
        <v>235</v>
      </c>
      <c r="AL655" t="s">
        <v>217</v>
      </c>
      <c r="AM655" t="s">
        <v>2366</v>
      </c>
      <c r="AN655" t="s">
        <v>6</v>
      </c>
      <c r="AO655" s="57">
        <v>46063.684548611112</v>
      </c>
      <c r="AP655" s="57">
        <v>46298.625</v>
      </c>
      <c r="AR655" t="s">
        <v>218</v>
      </c>
      <c r="AS655" t="s">
        <v>119</v>
      </c>
      <c r="AT655" t="s">
        <v>2367</v>
      </c>
      <c r="AU655">
        <v>20261003</v>
      </c>
      <c r="AV655" t="s">
        <v>221</v>
      </c>
      <c r="AW655" t="s">
        <v>2368</v>
      </c>
      <c r="AX655" t="s">
        <v>222</v>
      </c>
      <c r="BA655" s="57">
        <v>46298.625</v>
      </c>
      <c r="BB655" t="s">
        <v>2366</v>
      </c>
      <c r="BC655">
        <v>2026</v>
      </c>
      <c r="BD655">
        <v>10</v>
      </c>
      <c r="BE655">
        <v>3</v>
      </c>
      <c r="BF655" s="6">
        <f t="shared" si="30"/>
        <v>46298</v>
      </c>
      <c r="BG655">
        <f t="shared" si="31"/>
        <v>-0.625</v>
      </c>
      <c r="BH655" t="str">
        <f t="shared" si="32"/>
        <v>COMPLY</v>
      </c>
      <c r="BI655" t="str">
        <f>VLOOKUP(H655,Sheet2!$A$1:$B$270,2,FALSE)</f>
        <v>WAINGAPU</v>
      </c>
    </row>
    <row r="656" spans="1:61">
      <c r="A656">
        <v>655</v>
      </c>
      <c r="B656">
        <v>1002624149</v>
      </c>
      <c r="C656">
        <v>3</v>
      </c>
      <c r="D656" t="s">
        <v>45</v>
      </c>
      <c r="E656">
        <v>5</v>
      </c>
      <c r="F656" t="s">
        <v>113</v>
      </c>
      <c r="G656" t="s">
        <v>120</v>
      </c>
      <c r="H656" t="s">
        <v>310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46301.51358796296</v>
      </c>
      <c r="P656" s="57">
        <v>46302.647106481483</v>
      </c>
      <c r="Q656">
        <v>69404986</v>
      </c>
      <c r="S656">
        <v>172517222773</v>
      </c>
      <c r="T656" t="s">
        <v>3646</v>
      </c>
      <c r="U656" t="s">
        <v>3647</v>
      </c>
      <c r="V656" t="s">
        <v>3648</v>
      </c>
      <c r="Z656">
        <v>120.2620086</v>
      </c>
      <c r="AA656">
        <v>-9.6544629000000004</v>
      </c>
      <c r="AB656" t="s">
        <v>3649</v>
      </c>
      <c r="AC656" t="s">
        <v>235</v>
      </c>
      <c r="AL656" t="s">
        <v>217</v>
      </c>
      <c r="AM656" t="s">
        <v>3650</v>
      </c>
      <c r="AN656" t="s">
        <v>6</v>
      </c>
      <c r="AO656" s="57">
        <v>46183.517812500002</v>
      </c>
      <c r="AP656" s="57">
        <v>46302.625</v>
      </c>
      <c r="AR656" t="s">
        <v>218</v>
      </c>
      <c r="AS656" t="s">
        <v>219</v>
      </c>
      <c r="AT656" t="s">
        <v>230</v>
      </c>
      <c r="AU656">
        <v>20261007</v>
      </c>
      <c r="AV656" t="s">
        <v>221</v>
      </c>
      <c r="AW656" t="s">
        <v>880</v>
      </c>
      <c r="AX656" t="s">
        <v>222</v>
      </c>
      <c r="BA656" s="57">
        <v>46302.625</v>
      </c>
      <c r="BB656" t="s">
        <v>3650</v>
      </c>
      <c r="BC656">
        <v>2026</v>
      </c>
      <c r="BD656">
        <v>10</v>
      </c>
      <c r="BE656">
        <v>7</v>
      </c>
      <c r="BF656" s="6">
        <f t="shared" si="30"/>
        <v>46302</v>
      </c>
      <c r="BG656">
        <f t="shared" si="31"/>
        <v>-0.625</v>
      </c>
      <c r="BH656" t="str">
        <f t="shared" si="32"/>
        <v>COMPLY</v>
      </c>
      <c r="BI656" t="str">
        <f>VLOOKUP(H656,Sheet2!$A$1:$B$270,2,FALSE)</f>
        <v>WAINGAPU</v>
      </c>
    </row>
    <row r="657" spans="1:61">
      <c r="A657">
        <v>656</v>
      </c>
      <c r="B657">
        <v>1002624398</v>
      </c>
      <c r="C657">
        <v>3</v>
      </c>
      <c r="D657" t="s">
        <v>42</v>
      </c>
      <c r="E657">
        <v>5</v>
      </c>
      <c r="F657" t="s">
        <v>102</v>
      </c>
      <c r="G657" t="s">
        <v>99</v>
      </c>
      <c r="H657" t="s">
        <v>373</v>
      </c>
      <c r="I657" t="s">
        <v>212</v>
      </c>
      <c r="J657" t="s">
        <v>213</v>
      </c>
      <c r="K657" t="s">
        <v>149</v>
      </c>
      <c r="L657" t="s">
        <v>214</v>
      </c>
      <c r="M657" t="s">
        <v>839</v>
      </c>
      <c r="N657" t="s">
        <v>215</v>
      </c>
      <c r="O657" s="57">
        <v>46301.57476851852</v>
      </c>
      <c r="P657" s="57">
        <v>46302.602430555555</v>
      </c>
      <c r="Q657">
        <v>69405078</v>
      </c>
      <c r="S657">
        <v>152524211051</v>
      </c>
      <c r="T657" t="s">
        <v>3651</v>
      </c>
      <c r="U657" t="s">
        <v>3652</v>
      </c>
      <c r="V657" t="s">
        <v>3653</v>
      </c>
      <c r="Z657">
        <v>114.176154993474</v>
      </c>
      <c r="AA657">
        <v>-8.4304671780619493</v>
      </c>
      <c r="AB657" t="s">
        <v>3654</v>
      </c>
      <c r="AC657" t="s">
        <v>216</v>
      </c>
      <c r="AL657" t="s">
        <v>217</v>
      </c>
      <c r="AM657" t="s">
        <v>3456</v>
      </c>
      <c r="AN657" t="s">
        <v>6</v>
      </c>
      <c r="AO657" s="57">
        <v>46183.601145833331</v>
      </c>
      <c r="AP657" s="57">
        <v>46302.458333333336</v>
      </c>
      <c r="AQ657" t="s">
        <v>841</v>
      </c>
      <c r="AR657" t="s">
        <v>840</v>
      </c>
      <c r="AS657" t="s">
        <v>556</v>
      </c>
      <c r="AT657" t="s">
        <v>220</v>
      </c>
      <c r="AV657" t="s">
        <v>4349</v>
      </c>
      <c r="AW657" t="s">
        <v>3655</v>
      </c>
      <c r="AX657" t="s">
        <v>222</v>
      </c>
      <c r="BA657" s="57">
        <v>46302.458333333336</v>
      </c>
      <c r="BB657" t="s">
        <v>3456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BANYUWANGI</v>
      </c>
    </row>
    <row r="658" spans="1:61">
      <c r="A658">
        <v>657</v>
      </c>
      <c r="B658">
        <v>1002625846</v>
      </c>
      <c r="C658">
        <v>3</v>
      </c>
      <c r="D658" t="s">
        <v>42</v>
      </c>
      <c r="E658">
        <v>5</v>
      </c>
      <c r="F658" t="s">
        <v>102</v>
      </c>
      <c r="G658" t="s">
        <v>99</v>
      </c>
      <c r="H658" t="s">
        <v>373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46302.485115740739</v>
      </c>
      <c r="P658" s="57">
        <v>46302.611724537041</v>
      </c>
      <c r="Q658">
        <v>69405701</v>
      </c>
      <c r="S658">
        <v>152524211220</v>
      </c>
      <c r="T658" t="s">
        <v>4350</v>
      </c>
      <c r="U658" t="s">
        <v>3652</v>
      </c>
      <c r="V658" t="s">
        <v>4351</v>
      </c>
      <c r="Z658">
        <v>114.175707</v>
      </c>
      <c r="AA658">
        <v>-8.4298634999999997</v>
      </c>
      <c r="AB658" t="s">
        <v>4352</v>
      </c>
      <c r="AC658" t="s">
        <v>235</v>
      </c>
      <c r="AL658" t="s">
        <v>217</v>
      </c>
      <c r="AM658" t="s">
        <v>3841</v>
      </c>
      <c r="AN658" t="s">
        <v>6</v>
      </c>
      <c r="AO658" s="57">
        <v>46213.486516203702</v>
      </c>
      <c r="AP658" s="57">
        <v>46303.333333333336</v>
      </c>
      <c r="AR658" t="s">
        <v>218</v>
      </c>
      <c r="AS658" t="s">
        <v>556</v>
      </c>
      <c r="AT658" t="s">
        <v>230</v>
      </c>
      <c r="AU658">
        <v>20261007</v>
      </c>
      <c r="AV658" t="s">
        <v>221</v>
      </c>
      <c r="AW658" t="s">
        <v>1853</v>
      </c>
      <c r="AX658" t="s">
        <v>222</v>
      </c>
      <c r="BA658" s="57">
        <v>46303.333333333336</v>
      </c>
      <c r="BB658" t="s">
        <v>3841</v>
      </c>
      <c r="BC658">
        <v>2026</v>
      </c>
      <c r="BD658">
        <v>10</v>
      </c>
      <c r="BE658">
        <v>7</v>
      </c>
      <c r="BF658" s="6">
        <f t="shared" si="30"/>
        <v>46302</v>
      </c>
      <c r="BG658">
        <f t="shared" si="31"/>
        <v>-1.3333333333357587</v>
      </c>
      <c r="BH658" t="str">
        <f t="shared" si="32"/>
        <v>COMPLY</v>
      </c>
      <c r="BI658" t="str">
        <f>VLOOKUP(H658,Sheet2!$A$1:$B$270,2,FALSE)</f>
        <v>BANYUWANGI</v>
      </c>
    </row>
    <row r="659" spans="1:61">
      <c r="A659">
        <v>658</v>
      </c>
      <c r="B659">
        <v>1002624219</v>
      </c>
      <c r="C659">
        <v>3</v>
      </c>
      <c r="D659" t="s">
        <v>42</v>
      </c>
      <c r="E659">
        <v>5</v>
      </c>
      <c r="F659" t="s">
        <v>102</v>
      </c>
      <c r="G659" t="s">
        <v>99</v>
      </c>
      <c r="H659" t="s">
        <v>463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46301.540682870371</v>
      </c>
      <c r="P659" s="57">
        <v>46301.790162037039</v>
      </c>
      <c r="Q659">
        <v>69404978</v>
      </c>
      <c r="S659">
        <v>152523202056</v>
      </c>
      <c r="T659" t="s">
        <v>3656</v>
      </c>
      <c r="U659" t="s">
        <v>3657</v>
      </c>
      <c r="V659" t="s">
        <v>3658</v>
      </c>
      <c r="Z659">
        <v>114.112551435828</v>
      </c>
      <c r="AA659">
        <v>-8.2821713072810308</v>
      </c>
      <c r="AB659" t="s">
        <v>3659</v>
      </c>
      <c r="AC659" t="s">
        <v>216</v>
      </c>
      <c r="AL659" t="s">
        <v>217</v>
      </c>
      <c r="AM659" t="s">
        <v>3456</v>
      </c>
      <c r="AN659" t="s">
        <v>6</v>
      </c>
      <c r="AO659" s="57">
        <v>46183.559259259258</v>
      </c>
      <c r="AP659" s="57">
        <v>46302.458333333336</v>
      </c>
      <c r="AR659" t="s">
        <v>218</v>
      </c>
      <c r="AS659" t="s">
        <v>556</v>
      </c>
      <c r="AT659" t="s">
        <v>230</v>
      </c>
      <c r="AU659">
        <v>20261006</v>
      </c>
      <c r="AV659" t="s">
        <v>221</v>
      </c>
      <c r="AW659" t="s">
        <v>875</v>
      </c>
      <c r="AX659" t="s">
        <v>222</v>
      </c>
      <c r="BA659" s="57">
        <v>46302.458333333336</v>
      </c>
      <c r="BB659" t="s">
        <v>3456</v>
      </c>
      <c r="BC659">
        <v>2026</v>
      </c>
      <c r="BD659">
        <v>10</v>
      </c>
      <c r="BE659">
        <v>6</v>
      </c>
      <c r="BF659" s="6">
        <f t="shared" si="30"/>
        <v>46301</v>
      </c>
      <c r="BG659">
        <f t="shared" si="31"/>
        <v>-1.4583333333357587</v>
      </c>
      <c r="BH659" t="str">
        <f t="shared" si="32"/>
        <v>COMPLY</v>
      </c>
      <c r="BI659" t="str">
        <f>VLOOKUP(H659,Sheet2!$A$1:$B$270,2,FALSE)</f>
        <v>BANYUWANGI</v>
      </c>
    </row>
    <row r="660" spans="1:61">
      <c r="A660">
        <v>659</v>
      </c>
      <c r="B660">
        <v>1002621356</v>
      </c>
      <c r="C660">
        <v>3</v>
      </c>
      <c r="D660" t="s">
        <v>42</v>
      </c>
      <c r="E660">
        <v>5</v>
      </c>
      <c r="F660" t="s">
        <v>102</v>
      </c>
      <c r="G660" t="s">
        <v>99</v>
      </c>
      <c r="H660" t="s">
        <v>489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46299.518495370372</v>
      </c>
      <c r="P660" s="57">
        <v>46301.567256944443</v>
      </c>
      <c r="Q660">
        <v>69403861</v>
      </c>
      <c r="S660">
        <v>152520202480</v>
      </c>
      <c r="T660" t="s">
        <v>2374</v>
      </c>
      <c r="U660" t="s">
        <v>2375</v>
      </c>
      <c r="V660" t="s">
        <v>2376</v>
      </c>
      <c r="Z660">
        <v>113.982499502599</v>
      </c>
      <c r="AA660">
        <v>-8.29811331704847</v>
      </c>
      <c r="AB660" t="s">
        <v>2377</v>
      </c>
      <c r="AC660" t="s">
        <v>216</v>
      </c>
      <c r="AL660" t="s">
        <v>217</v>
      </c>
      <c r="AM660" t="s">
        <v>2378</v>
      </c>
      <c r="AN660" t="s">
        <v>6</v>
      </c>
      <c r="AO660" s="57">
        <v>46122.528171296297</v>
      </c>
      <c r="AP660" s="57">
        <v>46300.458333333336</v>
      </c>
      <c r="AR660" t="s">
        <v>218</v>
      </c>
      <c r="AS660" t="s">
        <v>556</v>
      </c>
      <c r="AT660" t="s">
        <v>230</v>
      </c>
      <c r="AU660">
        <v>20261006</v>
      </c>
      <c r="AV660" t="s">
        <v>221</v>
      </c>
      <c r="AW660" t="s">
        <v>875</v>
      </c>
      <c r="AX660" t="s">
        <v>222</v>
      </c>
      <c r="BA660" s="57">
        <v>46300.458333333336</v>
      </c>
      <c r="BB660" t="s">
        <v>2378</v>
      </c>
      <c r="BC660">
        <v>2026</v>
      </c>
      <c r="BD660">
        <v>10</v>
      </c>
      <c r="BE660">
        <v>6</v>
      </c>
      <c r="BF660" s="6">
        <f t="shared" si="30"/>
        <v>46301</v>
      </c>
      <c r="BG660">
        <f t="shared" si="31"/>
        <v>0.54166666666424135</v>
      </c>
      <c r="BH660" t="str">
        <f t="shared" si="32"/>
        <v>COMPLY</v>
      </c>
      <c r="BI660" t="str">
        <f>VLOOKUP(H660,Sheet2!$A$1:$B$270,2,FALSE)</f>
        <v>BANYUWANGI</v>
      </c>
    </row>
    <row r="661" spans="1:61">
      <c r="A661">
        <v>660</v>
      </c>
      <c r="B661">
        <v>1002618758</v>
      </c>
      <c r="C661">
        <v>3</v>
      </c>
      <c r="D661" t="s">
        <v>42</v>
      </c>
      <c r="E661">
        <v>5</v>
      </c>
      <c r="F661" t="s">
        <v>102</v>
      </c>
      <c r="G661" t="s">
        <v>99</v>
      </c>
      <c r="H661" t="s">
        <v>488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46296.742754629631</v>
      </c>
      <c r="P661" s="57">
        <v>46297.480393518519</v>
      </c>
      <c r="Q661">
        <v>69402657</v>
      </c>
      <c r="S661">
        <v>152521203623</v>
      </c>
      <c r="T661" t="s">
        <v>1342</v>
      </c>
      <c r="U661" t="s">
        <v>1343</v>
      </c>
      <c r="V661" t="s">
        <v>1344</v>
      </c>
      <c r="Z661">
        <v>114.048638418316</v>
      </c>
      <c r="AA661">
        <v>-8.5835215538648306</v>
      </c>
      <c r="AB661" t="s">
        <v>1345</v>
      </c>
      <c r="AC661" t="s">
        <v>216</v>
      </c>
      <c r="AL661" t="s">
        <v>217</v>
      </c>
      <c r="AM661" t="s">
        <v>1346</v>
      </c>
      <c r="AN661" t="s">
        <v>6</v>
      </c>
      <c r="AO661" s="57">
        <v>46032.746898148151</v>
      </c>
      <c r="AP661" s="57">
        <v>46297.625</v>
      </c>
      <c r="AR661" t="s">
        <v>218</v>
      </c>
      <c r="AS661" t="s">
        <v>556</v>
      </c>
      <c r="AT661" t="s">
        <v>230</v>
      </c>
      <c r="AU661">
        <v>20261002</v>
      </c>
      <c r="AV661" t="s">
        <v>221</v>
      </c>
      <c r="AW661" t="s">
        <v>875</v>
      </c>
      <c r="AX661" t="s">
        <v>222</v>
      </c>
      <c r="BA661" s="57">
        <v>46297.625</v>
      </c>
      <c r="BB661" t="s">
        <v>1346</v>
      </c>
      <c r="BC661">
        <v>2026</v>
      </c>
      <c r="BD661">
        <v>10</v>
      </c>
      <c r="BE661">
        <v>2</v>
      </c>
      <c r="BF661" s="6">
        <f t="shared" si="30"/>
        <v>46297</v>
      </c>
      <c r="BG661">
        <f t="shared" si="31"/>
        <v>-0.625</v>
      </c>
      <c r="BH661" t="str">
        <f t="shared" si="32"/>
        <v>COMPLY</v>
      </c>
      <c r="BI661" t="str">
        <f>VLOOKUP(H661,Sheet2!$A$1:$B$270,2,FALSE)</f>
        <v>BANYUWANGI</v>
      </c>
    </row>
    <row r="662" spans="1:61">
      <c r="A662">
        <v>661</v>
      </c>
      <c r="B662">
        <v>1002622458</v>
      </c>
      <c r="C662">
        <v>3</v>
      </c>
      <c r="D662" t="s">
        <v>42</v>
      </c>
      <c r="E662">
        <v>5</v>
      </c>
      <c r="F662" t="s">
        <v>102</v>
      </c>
      <c r="G662" t="s">
        <v>99</v>
      </c>
      <c r="H662" t="s">
        <v>448</v>
      </c>
      <c r="I662" t="s">
        <v>212</v>
      </c>
      <c r="J662" t="s">
        <v>213</v>
      </c>
      <c r="K662" t="s">
        <v>149</v>
      </c>
      <c r="M662" t="s">
        <v>76</v>
      </c>
      <c r="N662" t="s">
        <v>215</v>
      </c>
      <c r="O662" s="57">
        <v>46300.56758101852</v>
      </c>
      <c r="P662" s="57">
        <v>46302.388761574075</v>
      </c>
      <c r="Q662">
        <v>69404365</v>
      </c>
      <c r="S662">
        <v>152518202041</v>
      </c>
      <c r="T662" t="s">
        <v>3028</v>
      </c>
      <c r="U662" t="s">
        <v>3029</v>
      </c>
      <c r="V662" t="s">
        <v>3030</v>
      </c>
      <c r="Z662">
        <v>114.40366419999999</v>
      </c>
      <c r="AA662">
        <v>-7.9987057999999998</v>
      </c>
      <c r="AB662" t="s">
        <v>3031</v>
      </c>
      <c r="AC662" t="s">
        <v>284</v>
      </c>
      <c r="AL662" t="s">
        <v>217</v>
      </c>
      <c r="AM662" t="s">
        <v>3032</v>
      </c>
      <c r="AN662" t="s">
        <v>6</v>
      </c>
      <c r="AO662" s="57">
        <v>46152.569618055553</v>
      </c>
      <c r="AP662" s="57">
        <v>46301.625</v>
      </c>
      <c r="AR662" t="s">
        <v>218</v>
      </c>
      <c r="AS662" t="s">
        <v>99</v>
      </c>
      <c r="AT662" t="s">
        <v>230</v>
      </c>
      <c r="AU662">
        <v>20261007</v>
      </c>
      <c r="AV662" t="s">
        <v>221</v>
      </c>
      <c r="AW662" t="s">
        <v>539</v>
      </c>
      <c r="AX662" t="s">
        <v>222</v>
      </c>
      <c r="BA662" s="57">
        <v>46301.625</v>
      </c>
      <c r="BB662" t="s">
        <v>3032</v>
      </c>
      <c r="BC662">
        <v>2026</v>
      </c>
      <c r="BD662">
        <v>10</v>
      </c>
      <c r="BE662">
        <v>7</v>
      </c>
      <c r="BF662" s="6">
        <f t="shared" si="30"/>
        <v>46302</v>
      </c>
      <c r="BG662">
        <f t="shared" si="31"/>
        <v>0.375</v>
      </c>
      <c r="BH662" t="str">
        <f t="shared" si="32"/>
        <v>COMPLY</v>
      </c>
      <c r="BI662" t="str">
        <f>VLOOKUP(H662,Sheet2!$A$1:$B$270,2,FALSE)</f>
        <v>BANYUWANGI</v>
      </c>
    </row>
    <row r="663" spans="1:61">
      <c r="A663">
        <v>662</v>
      </c>
      <c r="B663">
        <v>1002620410</v>
      </c>
      <c r="C663">
        <v>3</v>
      </c>
      <c r="D663" t="s">
        <v>42</v>
      </c>
      <c r="E663">
        <v>5</v>
      </c>
      <c r="F663" t="s">
        <v>102</v>
      </c>
      <c r="G663" t="s">
        <v>100</v>
      </c>
      <c r="H663" t="s">
        <v>275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46297.676099537035</v>
      </c>
      <c r="P663" s="57">
        <v>46298.581689814811</v>
      </c>
      <c r="Q663">
        <v>69403306</v>
      </c>
      <c r="S663">
        <v>152507223987</v>
      </c>
      <c r="T663" t="s">
        <v>2379</v>
      </c>
      <c r="U663" t="s">
        <v>2380</v>
      </c>
      <c r="V663" t="s">
        <v>2381</v>
      </c>
      <c r="Z663">
        <v>113.9235102</v>
      </c>
      <c r="AA663">
        <v>-7.8683870000000002</v>
      </c>
      <c r="AB663" t="s">
        <v>2382</v>
      </c>
      <c r="AC663" t="s">
        <v>235</v>
      </c>
      <c r="AL663" t="s">
        <v>217</v>
      </c>
      <c r="AM663" t="s">
        <v>2383</v>
      </c>
      <c r="AN663" t="s">
        <v>6</v>
      </c>
      <c r="AO663" s="57">
        <v>46063.684548611112</v>
      </c>
      <c r="AP663" s="57">
        <v>46298.625</v>
      </c>
      <c r="AR663" t="s">
        <v>218</v>
      </c>
      <c r="AS663" t="s">
        <v>100</v>
      </c>
      <c r="AT663" t="s">
        <v>230</v>
      </c>
      <c r="AU663">
        <v>20261003</v>
      </c>
      <c r="AV663" t="s">
        <v>221</v>
      </c>
      <c r="AW663" t="s">
        <v>881</v>
      </c>
      <c r="AX663" t="s">
        <v>222</v>
      </c>
      <c r="BA663" s="57">
        <v>46298.625</v>
      </c>
      <c r="BB663" t="s">
        <v>2383</v>
      </c>
      <c r="BC663">
        <v>2026</v>
      </c>
      <c r="BD663">
        <v>10</v>
      </c>
      <c r="BE663">
        <v>3</v>
      </c>
      <c r="BF663" s="6">
        <f t="shared" si="30"/>
        <v>46298</v>
      </c>
      <c r="BG663">
        <f t="shared" si="31"/>
        <v>-0.625</v>
      </c>
      <c r="BH663" t="str">
        <f t="shared" si="32"/>
        <v>COMPLY</v>
      </c>
      <c r="BI663" t="str">
        <f>VLOOKUP(H663,Sheet2!$A$1:$B$270,2,FALSE)</f>
        <v>JEMBER</v>
      </c>
    </row>
    <row r="664" spans="1:61">
      <c r="A664">
        <v>663</v>
      </c>
      <c r="B664">
        <v>1002621925</v>
      </c>
      <c r="C664">
        <v>3</v>
      </c>
      <c r="D664" t="s">
        <v>42</v>
      </c>
      <c r="E664">
        <v>5</v>
      </c>
      <c r="F664" t="s">
        <v>102</v>
      </c>
      <c r="G664" t="s">
        <v>100</v>
      </c>
      <c r="H664" t="s">
        <v>275</v>
      </c>
      <c r="I664" t="s">
        <v>212</v>
      </c>
      <c r="J664" t="s">
        <v>213</v>
      </c>
      <c r="K664" t="s">
        <v>149</v>
      </c>
      <c r="L664" t="s">
        <v>214</v>
      </c>
      <c r="M664" t="s">
        <v>76</v>
      </c>
      <c r="N664" t="s">
        <v>215</v>
      </c>
      <c r="O664" s="57">
        <v>46300.43236111111</v>
      </c>
      <c r="P664" s="57">
        <v>46300.87300925926</v>
      </c>
      <c r="Q664">
        <v>69404138</v>
      </c>
      <c r="S664">
        <v>152507224000</v>
      </c>
      <c r="T664" t="s">
        <v>3033</v>
      </c>
      <c r="U664" t="s">
        <v>3034</v>
      </c>
      <c r="V664" t="s">
        <v>3035</v>
      </c>
      <c r="Z664">
        <v>113.810461238548</v>
      </c>
      <c r="AA664">
        <v>-7.9427268156077897</v>
      </c>
      <c r="AB664" t="s">
        <v>3036</v>
      </c>
      <c r="AC664" t="s">
        <v>235</v>
      </c>
      <c r="AL664" t="s">
        <v>217</v>
      </c>
      <c r="AM664" t="s">
        <v>3037</v>
      </c>
      <c r="AN664" t="s">
        <v>6</v>
      </c>
      <c r="AO664" s="57">
        <v>46152.444537037038</v>
      </c>
      <c r="AP664" s="57">
        <v>46301.333333333336</v>
      </c>
      <c r="AR664" t="s">
        <v>218</v>
      </c>
      <c r="AS664" t="s">
        <v>100</v>
      </c>
      <c r="AT664" t="s">
        <v>220</v>
      </c>
      <c r="AU664">
        <v>20261005</v>
      </c>
      <c r="AV664" t="s">
        <v>221</v>
      </c>
      <c r="AW664" t="s">
        <v>3038</v>
      </c>
      <c r="AX664" t="s">
        <v>222</v>
      </c>
      <c r="BA664" s="57">
        <v>46301.333333333336</v>
      </c>
      <c r="BB664" t="s">
        <v>3037</v>
      </c>
      <c r="BC664">
        <v>2026</v>
      </c>
      <c r="BD664">
        <v>10</v>
      </c>
      <c r="BE664">
        <v>5</v>
      </c>
      <c r="BF664" s="6">
        <f t="shared" si="30"/>
        <v>46300</v>
      </c>
      <c r="BG664">
        <f t="shared" si="31"/>
        <v>-1.3333333333357587</v>
      </c>
      <c r="BH664" t="str">
        <f t="shared" si="32"/>
        <v>COMPLY</v>
      </c>
      <c r="BI664" t="str">
        <f>VLOOKUP(H664,Sheet2!$A$1:$B$270,2,FALSE)</f>
        <v>JEMBER</v>
      </c>
    </row>
    <row r="665" spans="1:61">
      <c r="A665">
        <v>664</v>
      </c>
      <c r="B665">
        <v>1002625471</v>
      </c>
      <c r="C665">
        <v>3</v>
      </c>
      <c r="D665" t="s">
        <v>42</v>
      </c>
      <c r="E665">
        <v>5</v>
      </c>
      <c r="F665" t="s">
        <v>102</v>
      </c>
      <c r="G665" t="s">
        <v>100</v>
      </c>
      <c r="H665" t="s">
        <v>275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46302.40184027778</v>
      </c>
      <c r="P665" s="57">
        <v>46302.803668981483</v>
      </c>
      <c r="Q665">
        <v>69405510</v>
      </c>
      <c r="S665">
        <v>152507224183</v>
      </c>
      <c r="T665" t="s">
        <v>4353</v>
      </c>
      <c r="U665" t="s">
        <v>4354</v>
      </c>
      <c r="V665" t="s">
        <v>4355</v>
      </c>
      <c r="Z665">
        <v>113.776504</v>
      </c>
      <c r="AA665">
        <v>-8.0299160000000001</v>
      </c>
      <c r="AB665" t="s">
        <v>4356</v>
      </c>
      <c r="AC665" t="s">
        <v>235</v>
      </c>
      <c r="AL665" t="s">
        <v>217</v>
      </c>
      <c r="AM665" t="s">
        <v>2604</v>
      </c>
      <c r="AN665" t="s">
        <v>6</v>
      </c>
      <c r="AO665" s="57">
        <v>46213.402939814812</v>
      </c>
      <c r="AP665" s="57">
        <v>46303.333333333336</v>
      </c>
      <c r="AR665" t="s">
        <v>218</v>
      </c>
      <c r="AS665" t="s">
        <v>100</v>
      </c>
      <c r="AT665" t="s">
        <v>220</v>
      </c>
      <c r="AU665">
        <v>20261007</v>
      </c>
      <c r="AV665" t="s">
        <v>221</v>
      </c>
      <c r="AW665" t="s">
        <v>1672</v>
      </c>
      <c r="AX665" t="s">
        <v>222</v>
      </c>
      <c r="BA665" s="57">
        <v>46303.333333333336</v>
      </c>
      <c r="BB665" t="s">
        <v>2604</v>
      </c>
      <c r="BC665">
        <v>2026</v>
      </c>
      <c r="BD665">
        <v>10</v>
      </c>
      <c r="BE665">
        <v>7</v>
      </c>
      <c r="BF665" s="6">
        <f t="shared" si="30"/>
        <v>46302</v>
      </c>
      <c r="BG665">
        <f t="shared" si="31"/>
        <v>-1.3333333333357587</v>
      </c>
      <c r="BH665" t="str">
        <f t="shared" si="32"/>
        <v>COMPLY</v>
      </c>
      <c r="BI665" t="str">
        <f>VLOOKUP(H665,Sheet2!$A$1:$B$270,2,FALSE)</f>
        <v>JEMBER</v>
      </c>
    </row>
    <row r="666" spans="1:61">
      <c r="A666">
        <v>665</v>
      </c>
      <c r="B666">
        <v>1002627175</v>
      </c>
      <c r="C666">
        <v>3</v>
      </c>
      <c r="D666" t="s">
        <v>42</v>
      </c>
      <c r="E666">
        <v>5</v>
      </c>
      <c r="F666" t="s">
        <v>102</v>
      </c>
      <c r="G666" t="s">
        <v>100</v>
      </c>
      <c r="H666" t="s">
        <v>431</v>
      </c>
      <c r="I666" t="s">
        <v>212</v>
      </c>
      <c r="J666" t="s">
        <v>213</v>
      </c>
      <c r="K666" t="s">
        <v>149</v>
      </c>
      <c r="L666" t="s">
        <v>214</v>
      </c>
      <c r="M666" t="s">
        <v>238</v>
      </c>
      <c r="N666" t="s">
        <v>215</v>
      </c>
      <c r="O666" s="57">
        <v>46303.383032407408</v>
      </c>
      <c r="P666" s="57">
        <v>46303.384791666664</v>
      </c>
      <c r="Q666">
        <v>69406241</v>
      </c>
      <c r="S666">
        <v>152526201942</v>
      </c>
      <c r="T666" t="s">
        <v>4357</v>
      </c>
      <c r="U666" t="s">
        <v>4358</v>
      </c>
      <c r="V666" t="s">
        <v>4359</v>
      </c>
      <c r="Z666">
        <v>113.991360584712</v>
      </c>
      <c r="AA666">
        <v>-7.7810560286213102</v>
      </c>
      <c r="AB666" t="s">
        <v>4360</v>
      </c>
      <c r="AC666" t="s">
        <v>235</v>
      </c>
      <c r="AL666" t="s">
        <v>217</v>
      </c>
      <c r="AM666" t="s">
        <v>4361</v>
      </c>
      <c r="AN666" t="s">
        <v>6</v>
      </c>
      <c r="AO666" s="57">
        <v>46244.392905092594</v>
      </c>
      <c r="AP666" s="57">
        <v>46304.458333333336</v>
      </c>
      <c r="AR666" t="s">
        <v>239</v>
      </c>
      <c r="AS666" t="s">
        <v>100</v>
      </c>
      <c r="AT666" t="s">
        <v>220</v>
      </c>
      <c r="AV666" t="s">
        <v>238</v>
      </c>
      <c r="AW666" t="s">
        <v>1672</v>
      </c>
      <c r="AX666" t="s">
        <v>222</v>
      </c>
      <c r="BA666" s="57">
        <v>46304.458333333336</v>
      </c>
      <c r="BB666" t="s">
        <v>4361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JEMBER</v>
      </c>
    </row>
    <row r="667" spans="1:61">
      <c r="A667">
        <v>666</v>
      </c>
      <c r="B667">
        <v>1002618623</v>
      </c>
      <c r="C667">
        <v>3</v>
      </c>
      <c r="D667" t="s">
        <v>42</v>
      </c>
      <c r="E667">
        <v>5</v>
      </c>
      <c r="F667" t="s">
        <v>102</v>
      </c>
      <c r="G667" t="s">
        <v>108</v>
      </c>
      <c r="H667" t="s">
        <v>494</v>
      </c>
      <c r="I667" t="s">
        <v>212</v>
      </c>
      <c r="J667" t="s">
        <v>213</v>
      </c>
      <c r="K667" t="s">
        <v>149</v>
      </c>
      <c r="L667" t="s">
        <v>214</v>
      </c>
      <c r="M667" t="s">
        <v>76</v>
      </c>
      <c r="N667" t="s">
        <v>215</v>
      </c>
      <c r="O667" s="57">
        <v>46296.69699074074</v>
      </c>
      <c r="P667" s="57">
        <v>46298.728703703702</v>
      </c>
      <c r="Q667">
        <v>69402610</v>
      </c>
      <c r="S667">
        <v>152529201365</v>
      </c>
      <c r="T667" t="s">
        <v>1347</v>
      </c>
      <c r="U667" t="s">
        <v>1348</v>
      </c>
      <c r="V667" t="s">
        <v>1349</v>
      </c>
      <c r="Z667">
        <v>113.803239</v>
      </c>
      <c r="AA667">
        <v>-7.776408</v>
      </c>
      <c r="AB667" t="s">
        <v>1350</v>
      </c>
      <c r="AC667" t="s">
        <v>235</v>
      </c>
      <c r="AL667" t="s">
        <v>217</v>
      </c>
      <c r="AM667" t="s">
        <v>1351</v>
      </c>
      <c r="AN667" t="s">
        <v>6</v>
      </c>
      <c r="AO667" s="57">
        <v>46032.726099537038</v>
      </c>
      <c r="AP667" s="57">
        <v>46297.625</v>
      </c>
      <c r="AR667" t="s">
        <v>218</v>
      </c>
      <c r="AS667" t="s">
        <v>108</v>
      </c>
      <c r="AT667" t="s">
        <v>230</v>
      </c>
      <c r="AU667">
        <v>20261003</v>
      </c>
      <c r="AV667" t="s">
        <v>221</v>
      </c>
      <c r="AW667" t="s">
        <v>862</v>
      </c>
      <c r="AX667" t="s">
        <v>222</v>
      </c>
      <c r="BA667" s="57">
        <v>46297.625</v>
      </c>
      <c r="BB667" t="s">
        <v>1351</v>
      </c>
      <c r="BC667">
        <v>2026</v>
      </c>
      <c r="BD667">
        <v>10</v>
      </c>
      <c r="BE667">
        <v>3</v>
      </c>
      <c r="BF667" s="6">
        <f t="shared" si="30"/>
        <v>46298</v>
      </c>
      <c r="BG667">
        <f t="shared" si="31"/>
        <v>0.375</v>
      </c>
      <c r="BH667" t="str">
        <f t="shared" si="32"/>
        <v>COMPLY</v>
      </c>
      <c r="BI667" t="str">
        <f>VLOOKUP(H667,Sheet2!$A$1:$B$270,2,FALSE)</f>
        <v>BANYUWANGI</v>
      </c>
    </row>
    <row r="668" spans="1:61">
      <c r="A668">
        <v>667</v>
      </c>
      <c r="B668">
        <v>1002617166</v>
      </c>
      <c r="C668">
        <v>3</v>
      </c>
      <c r="D668" t="s">
        <v>42</v>
      </c>
      <c r="E668">
        <v>5</v>
      </c>
      <c r="F668" t="s">
        <v>102</v>
      </c>
      <c r="G668" t="s">
        <v>102</v>
      </c>
      <c r="H668" t="s">
        <v>372</v>
      </c>
      <c r="I668" t="s">
        <v>212</v>
      </c>
      <c r="J668" t="s">
        <v>213</v>
      </c>
      <c r="K668" t="s">
        <v>149</v>
      </c>
      <c r="M668" t="s">
        <v>76</v>
      </c>
      <c r="N668" t="s">
        <v>215</v>
      </c>
      <c r="O668" s="57">
        <v>46296.408101851855</v>
      </c>
      <c r="P668" s="57">
        <v>46296.850081018521</v>
      </c>
      <c r="Q668">
        <v>69400906</v>
      </c>
      <c r="R668">
        <v>3368900010</v>
      </c>
      <c r="S668">
        <v>152539206020</v>
      </c>
      <c r="T668" t="s">
        <v>927</v>
      </c>
      <c r="U668" t="s">
        <v>1352</v>
      </c>
      <c r="V668" t="s">
        <v>1353</v>
      </c>
      <c r="Z668">
        <v>113.608535</v>
      </c>
      <c r="AA668">
        <v>-8.3398029999999999</v>
      </c>
      <c r="AB668" t="s">
        <v>928</v>
      </c>
      <c r="AC668" t="s">
        <v>229</v>
      </c>
      <c r="AL668" t="s">
        <v>217</v>
      </c>
      <c r="AM668" t="s">
        <v>1354</v>
      </c>
      <c r="AN668" t="s">
        <v>6</v>
      </c>
      <c r="AO668" s="57">
        <v>46032.413738425923</v>
      </c>
      <c r="AR668" t="s">
        <v>218</v>
      </c>
      <c r="AS668" t="s">
        <v>574</v>
      </c>
      <c r="AT668" t="s">
        <v>230</v>
      </c>
      <c r="AU668">
        <v>20261001</v>
      </c>
      <c r="AV668" t="s">
        <v>221</v>
      </c>
      <c r="AW668" t="s">
        <v>540</v>
      </c>
      <c r="AX668" t="s">
        <v>222</v>
      </c>
      <c r="BA668" s="57">
        <v>46296.291666666664</v>
      </c>
      <c r="BB668" t="s">
        <v>1354</v>
      </c>
      <c r="BC668">
        <v>2026</v>
      </c>
      <c r="BD668">
        <v>10</v>
      </c>
      <c r="BE668">
        <v>1</v>
      </c>
      <c r="BF668" s="6">
        <f t="shared" si="30"/>
        <v>46296</v>
      </c>
      <c r="BG668">
        <f t="shared" si="31"/>
        <v>-0.29166666666424135</v>
      </c>
      <c r="BH668" t="str">
        <f t="shared" si="32"/>
        <v>COMPLY</v>
      </c>
      <c r="BI668" t="str">
        <f>VLOOKUP(H668,Sheet2!$A$1:$B$270,2,FALSE)</f>
        <v>JEMBER</v>
      </c>
    </row>
    <row r="669" spans="1:61">
      <c r="A669">
        <v>668</v>
      </c>
      <c r="B669">
        <v>1002625867</v>
      </c>
      <c r="C669">
        <v>3</v>
      </c>
      <c r="D669" t="s">
        <v>42</v>
      </c>
      <c r="E669">
        <v>5</v>
      </c>
      <c r="F669" t="s">
        <v>102</v>
      </c>
      <c r="G669" t="s">
        <v>102</v>
      </c>
      <c r="H669" t="s">
        <v>360</v>
      </c>
      <c r="I669" t="s">
        <v>212</v>
      </c>
      <c r="J669" t="s">
        <v>213</v>
      </c>
      <c r="K669" t="s">
        <v>149</v>
      </c>
      <c r="L669" t="s">
        <v>214</v>
      </c>
      <c r="M669" t="s">
        <v>224</v>
      </c>
      <c r="N669" t="s">
        <v>215</v>
      </c>
      <c r="O669" s="57">
        <v>46302.488680555558</v>
      </c>
      <c r="P669" s="57">
        <v>46303.342905092592</v>
      </c>
      <c r="Q669">
        <v>69405712</v>
      </c>
      <c r="S669">
        <v>152501281097</v>
      </c>
      <c r="T669" t="s">
        <v>4362</v>
      </c>
      <c r="U669" t="s">
        <v>4363</v>
      </c>
      <c r="V669" t="s">
        <v>4364</v>
      </c>
      <c r="Z669">
        <v>113.66687424480899</v>
      </c>
      <c r="AA669">
        <v>-8.1848311638775897</v>
      </c>
      <c r="AB669" t="s">
        <v>4365</v>
      </c>
      <c r="AC669" t="s">
        <v>216</v>
      </c>
      <c r="AL669" t="s">
        <v>217</v>
      </c>
      <c r="AM669" t="s">
        <v>3232</v>
      </c>
      <c r="AN669" t="s">
        <v>6</v>
      </c>
      <c r="AO669" s="57">
        <v>46213.496678240743</v>
      </c>
      <c r="AP669" s="57">
        <v>46303.333333333336</v>
      </c>
      <c r="AR669" t="s">
        <v>18</v>
      </c>
      <c r="AS669" t="s">
        <v>102</v>
      </c>
      <c r="AT669" t="s">
        <v>230</v>
      </c>
      <c r="AV669" t="s">
        <v>226</v>
      </c>
      <c r="AW669" t="s">
        <v>880</v>
      </c>
      <c r="AX669" t="s">
        <v>222</v>
      </c>
      <c r="BA669" s="57">
        <v>46303.333333333336</v>
      </c>
      <c r="BB669" t="s">
        <v>3232</v>
      </c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str">
        <f>VLOOKUP(H669,Sheet2!$A$1:$B$270,2,FALSE)</f>
        <v>JEMBER</v>
      </c>
    </row>
    <row r="670" spans="1:61">
      <c r="A670">
        <v>669</v>
      </c>
      <c r="B670">
        <v>1002617727</v>
      </c>
      <c r="C670">
        <v>3</v>
      </c>
      <c r="D670" t="s">
        <v>42</v>
      </c>
      <c r="E670">
        <v>5</v>
      </c>
      <c r="F670" t="s">
        <v>102</v>
      </c>
      <c r="G670" t="s">
        <v>102</v>
      </c>
      <c r="H670" t="s">
        <v>360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46296.519849537035</v>
      </c>
      <c r="P670" s="57">
        <v>46297.594965277778</v>
      </c>
      <c r="Q670">
        <v>69402313</v>
      </c>
      <c r="S670">
        <v>152501281067</v>
      </c>
      <c r="T670" t="s">
        <v>1355</v>
      </c>
      <c r="U670" t="s">
        <v>1356</v>
      </c>
      <c r="V670" t="s">
        <v>1357</v>
      </c>
      <c r="Z670">
        <v>113.705057166516</v>
      </c>
      <c r="AA670">
        <v>-8.16480285008255</v>
      </c>
      <c r="AB670" t="s">
        <v>1358</v>
      </c>
      <c r="AC670" t="s">
        <v>216</v>
      </c>
      <c r="AL670" t="s">
        <v>217</v>
      </c>
      <c r="AM670" t="s">
        <v>1359</v>
      </c>
      <c r="AN670" t="s">
        <v>6</v>
      </c>
      <c r="AO670" s="57">
        <v>46032.559305555558</v>
      </c>
      <c r="AP670" s="57">
        <v>46297.458333333336</v>
      </c>
      <c r="AR670" t="s">
        <v>218</v>
      </c>
      <c r="AS670" t="s">
        <v>102</v>
      </c>
      <c r="AT670" t="s">
        <v>230</v>
      </c>
      <c r="AU670">
        <v>20261002</v>
      </c>
      <c r="AV670" t="s">
        <v>221</v>
      </c>
      <c r="AW670" t="s">
        <v>879</v>
      </c>
      <c r="AX670" t="s">
        <v>222</v>
      </c>
      <c r="BA670" s="57">
        <v>46297.458333333336</v>
      </c>
      <c r="BB670" t="s">
        <v>1359</v>
      </c>
      <c r="BC670">
        <v>2026</v>
      </c>
      <c r="BD670">
        <v>10</v>
      </c>
      <c r="BE670">
        <v>2</v>
      </c>
      <c r="BF670" s="6">
        <f t="shared" si="30"/>
        <v>46297</v>
      </c>
      <c r="BG670">
        <f t="shared" si="31"/>
        <v>-0.45833333333575865</v>
      </c>
      <c r="BH670" t="str">
        <f t="shared" si="32"/>
        <v>COMPLY</v>
      </c>
      <c r="BI670" t="str">
        <f>VLOOKUP(H670,Sheet2!$A$1:$B$270,2,FALSE)</f>
        <v>JEMBER</v>
      </c>
    </row>
    <row r="671" spans="1:61">
      <c r="A671">
        <v>670</v>
      </c>
      <c r="B671">
        <v>1002620211</v>
      </c>
      <c r="C671">
        <v>3</v>
      </c>
      <c r="D671" t="s">
        <v>42</v>
      </c>
      <c r="E671">
        <v>5</v>
      </c>
      <c r="F671" t="s">
        <v>102</v>
      </c>
      <c r="G671" t="s">
        <v>102</v>
      </c>
      <c r="H671" t="s">
        <v>360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46297.636574074073</v>
      </c>
      <c r="P671" s="57">
        <v>46299.37122685185</v>
      </c>
      <c r="Q671">
        <v>69403248</v>
      </c>
      <c r="S671">
        <v>152501281076</v>
      </c>
      <c r="T671" t="s">
        <v>2384</v>
      </c>
      <c r="U671" t="s">
        <v>2385</v>
      </c>
      <c r="V671" t="s">
        <v>2386</v>
      </c>
      <c r="Z671">
        <v>113.670350052416</v>
      </c>
      <c r="AA671">
        <v>-8.1830560354887698</v>
      </c>
      <c r="AB671" t="s">
        <v>2387</v>
      </c>
      <c r="AC671" t="s">
        <v>216</v>
      </c>
      <c r="AL671" t="s">
        <v>217</v>
      </c>
      <c r="AM671" t="s">
        <v>2388</v>
      </c>
      <c r="AN671" t="s">
        <v>6</v>
      </c>
      <c r="AO671" s="57">
        <v>46063.652951388889</v>
      </c>
      <c r="AP671" s="57">
        <v>46298.625</v>
      </c>
      <c r="AR671" t="s">
        <v>218</v>
      </c>
      <c r="AS671" t="s">
        <v>102</v>
      </c>
      <c r="AT671" t="s">
        <v>230</v>
      </c>
      <c r="AU671">
        <v>20261004</v>
      </c>
      <c r="AV671" t="s">
        <v>221</v>
      </c>
      <c r="AW671" t="s">
        <v>877</v>
      </c>
      <c r="AX671" t="s">
        <v>222</v>
      </c>
      <c r="BA671" s="57">
        <v>46298.625</v>
      </c>
      <c r="BB671" t="s">
        <v>2388</v>
      </c>
      <c r="BC671">
        <v>2026</v>
      </c>
      <c r="BD671">
        <v>10</v>
      </c>
      <c r="BE671">
        <v>4</v>
      </c>
      <c r="BF671" s="6">
        <f t="shared" si="30"/>
        <v>46299</v>
      </c>
      <c r="BG671">
        <f t="shared" si="31"/>
        <v>0.375</v>
      </c>
      <c r="BH671" t="str">
        <f t="shared" si="32"/>
        <v>COMPLY</v>
      </c>
      <c r="BI671" t="str">
        <f>VLOOKUP(H671,Sheet2!$A$1:$B$270,2,FALSE)</f>
        <v>JEMBER</v>
      </c>
    </row>
    <row r="672" spans="1:61">
      <c r="A672">
        <v>671</v>
      </c>
      <c r="B672">
        <v>1002626551</v>
      </c>
      <c r="C672">
        <v>3</v>
      </c>
      <c r="D672" t="s">
        <v>42</v>
      </c>
      <c r="E672">
        <v>5</v>
      </c>
      <c r="F672" t="s">
        <v>106</v>
      </c>
      <c r="G672" t="s">
        <v>104</v>
      </c>
      <c r="H672" t="s">
        <v>413</v>
      </c>
      <c r="I672" t="s">
        <v>212</v>
      </c>
      <c r="J672" t="s">
        <v>213</v>
      </c>
      <c r="K672" t="s">
        <v>149</v>
      </c>
      <c r="L672" t="s">
        <v>214</v>
      </c>
      <c r="M672" t="s">
        <v>238</v>
      </c>
      <c r="N672" t="s">
        <v>215</v>
      </c>
      <c r="O672" s="57">
        <v>46302.641423611109</v>
      </c>
      <c r="P672" s="57">
        <v>46302.643125000002</v>
      </c>
      <c r="Q672">
        <v>69405992</v>
      </c>
      <c r="S672">
        <v>152504261685</v>
      </c>
      <c r="T672" t="s">
        <v>4366</v>
      </c>
      <c r="U672" t="s">
        <v>4367</v>
      </c>
      <c r="V672" t="s">
        <v>4368</v>
      </c>
      <c r="Z672">
        <v>113.21699503809199</v>
      </c>
      <c r="AA672">
        <v>-8.1060651568624298</v>
      </c>
      <c r="AB672" t="s">
        <v>4369</v>
      </c>
      <c r="AC672" t="s">
        <v>216</v>
      </c>
      <c r="AL672" t="s">
        <v>217</v>
      </c>
      <c r="AM672" t="s">
        <v>4370</v>
      </c>
      <c r="AN672" t="s">
        <v>6</v>
      </c>
      <c r="AO672" s="57">
        <v>46213.642511574071</v>
      </c>
      <c r="AP672" s="57">
        <v>46303.625</v>
      </c>
      <c r="AR672" t="s">
        <v>239</v>
      </c>
      <c r="AS672" t="s">
        <v>104</v>
      </c>
      <c r="AT672" t="s">
        <v>230</v>
      </c>
      <c r="AV672" t="s">
        <v>238</v>
      </c>
      <c r="AW672" t="s">
        <v>875</v>
      </c>
      <c r="AX672" t="s">
        <v>222</v>
      </c>
      <c r="BA672" s="57">
        <v>46303.625</v>
      </c>
      <c r="BB672" t="s">
        <v>4370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str">
        <f>VLOOKUP(H672,Sheet2!$A$1:$B$270,2,FALSE)</f>
        <v>PROBOLINGGO</v>
      </c>
    </row>
    <row r="673" spans="1:61">
      <c r="A673">
        <v>672</v>
      </c>
      <c r="B673">
        <v>1002617896</v>
      </c>
      <c r="C673">
        <v>3</v>
      </c>
      <c r="D673" t="s">
        <v>42</v>
      </c>
      <c r="E673">
        <v>5</v>
      </c>
      <c r="F673" t="s">
        <v>106</v>
      </c>
      <c r="G673" t="s">
        <v>104</v>
      </c>
      <c r="H673" t="s">
        <v>495</v>
      </c>
      <c r="I673" t="s">
        <v>212</v>
      </c>
      <c r="J673" t="s">
        <v>213</v>
      </c>
      <c r="K673" t="s">
        <v>149</v>
      </c>
      <c r="M673" t="s">
        <v>76</v>
      </c>
      <c r="N673" t="s">
        <v>215</v>
      </c>
      <c r="O673" s="57">
        <v>46296.569930555554</v>
      </c>
      <c r="P673" s="57">
        <v>46296.696250000001</v>
      </c>
      <c r="Q673">
        <v>69401645</v>
      </c>
      <c r="S673">
        <v>152542208206</v>
      </c>
      <c r="T673" t="s">
        <v>937</v>
      </c>
      <c r="U673" t="s">
        <v>929</v>
      </c>
      <c r="V673" t="s">
        <v>1360</v>
      </c>
      <c r="Z673">
        <v>113.1216587</v>
      </c>
      <c r="AA673">
        <v>-8.2018167000000002</v>
      </c>
      <c r="AB673" t="s">
        <v>938</v>
      </c>
      <c r="AC673" t="s">
        <v>229</v>
      </c>
      <c r="AL673" t="s">
        <v>217</v>
      </c>
      <c r="AM673" t="s">
        <v>1361</v>
      </c>
      <c r="AN673" t="s">
        <v>6</v>
      </c>
      <c r="AO673" s="57">
        <v>46032.579872685186</v>
      </c>
      <c r="AR673" t="s">
        <v>218</v>
      </c>
      <c r="AS673" t="s">
        <v>219</v>
      </c>
      <c r="AT673" t="s">
        <v>220</v>
      </c>
      <c r="AU673">
        <v>20261001</v>
      </c>
      <c r="AV673" t="s">
        <v>221</v>
      </c>
      <c r="AW673" t="s">
        <v>576</v>
      </c>
      <c r="AX673" t="s">
        <v>222</v>
      </c>
      <c r="BA673" s="57">
        <v>46296.291666666664</v>
      </c>
      <c r="BB673" t="s">
        <v>1361</v>
      </c>
      <c r="BC673">
        <v>2026</v>
      </c>
      <c r="BD673">
        <v>10</v>
      </c>
      <c r="BE673">
        <v>1</v>
      </c>
      <c r="BF673" s="6">
        <f t="shared" si="30"/>
        <v>46296</v>
      </c>
      <c r="BG673">
        <f t="shared" si="31"/>
        <v>-0.29166666666424135</v>
      </c>
      <c r="BH673" t="str">
        <f t="shared" si="32"/>
        <v>COMPLY</v>
      </c>
      <c r="BI673" t="str">
        <f>VLOOKUP(H673,Sheet2!$A$1:$B$270,2,FALSE)</f>
        <v>PROBOLINGGO</v>
      </c>
    </row>
    <row r="674" spans="1:61">
      <c r="A674">
        <v>673</v>
      </c>
      <c r="B674">
        <v>1002619334</v>
      </c>
      <c r="C674">
        <v>3</v>
      </c>
      <c r="D674" t="s">
        <v>42</v>
      </c>
      <c r="E674">
        <v>5</v>
      </c>
      <c r="F674" t="s">
        <v>106</v>
      </c>
      <c r="G674" t="s">
        <v>104</v>
      </c>
      <c r="H674" t="s">
        <v>495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46297.436516203707</v>
      </c>
      <c r="P674" s="57">
        <v>46298.634201388886</v>
      </c>
      <c r="Q674">
        <v>69402875</v>
      </c>
      <c r="S674">
        <v>152542208209</v>
      </c>
      <c r="T674" t="s">
        <v>2389</v>
      </c>
      <c r="U674" t="s">
        <v>2390</v>
      </c>
      <c r="V674" t="s">
        <v>2391</v>
      </c>
      <c r="Z674">
        <v>112.988416850566</v>
      </c>
      <c r="AA674">
        <v>-8.1887530777444901</v>
      </c>
      <c r="AB674" t="s">
        <v>2392</v>
      </c>
      <c r="AC674" t="s">
        <v>216</v>
      </c>
      <c r="AL674" t="s">
        <v>217</v>
      </c>
      <c r="AM674" t="s">
        <v>2393</v>
      </c>
      <c r="AN674" t="s">
        <v>6</v>
      </c>
      <c r="AO674" s="57">
        <v>46063.444386574076</v>
      </c>
      <c r="AP674" s="57">
        <v>46298.333333333336</v>
      </c>
      <c r="AR674" t="s">
        <v>218</v>
      </c>
      <c r="AS674" t="s">
        <v>219</v>
      </c>
      <c r="AT674" t="s">
        <v>230</v>
      </c>
      <c r="AU674">
        <v>20261003</v>
      </c>
      <c r="AV674" t="s">
        <v>221</v>
      </c>
      <c r="AW674" t="s">
        <v>886</v>
      </c>
      <c r="AX674" t="s">
        <v>222</v>
      </c>
      <c r="BA674" s="57">
        <v>46298.333333333336</v>
      </c>
      <c r="BB674" t="s">
        <v>2393</v>
      </c>
      <c r="BC674">
        <v>2026</v>
      </c>
      <c r="BD674">
        <v>10</v>
      </c>
      <c r="BE674">
        <v>3</v>
      </c>
      <c r="BF674" s="6">
        <f t="shared" si="30"/>
        <v>46298</v>
      </c>
      <c r="BG674">
        <f t="shared" si="31"/>
        <v>-0.33333333333575865</v>
      </c>
      <c r="BH674" t="str">
        <f t="shared" si="32"/>
        <v>COMPLY</v>
      </c>
      <c r="BI674" t="str">
        <f>VLOOKUP(H674,Sheet2!$A$1:$B$270,2,FALSE)</f>
        <v>PROBOLINGGO</v>
      </c>
    </row>
    <row r="675" spans="1:61">
      <c r="A675">
        <v>674</v>
      </c>
      <c r="B675">
        <v>1002619058</v>
      </c>
      <c r="C675">
        <v>3</v>
      </c>
      <c r="D675" t="s">
        <v>42</v>
      </c>
      <c r="E675">
        <v>5</v>
      </c>
      <c r="F675" t="s">
        <v>106</v>
      </c>
      <c r="G675" t="s">
        <v>107</v>
      </c>
      <c r="H675" t="s">
        <v>343</v>
      </c>
      <c r="I675" t="s">
        <v>212</v>
      </c>
      <c r="J675" t="s">
        <v>213</v>
      </c>
      <c r="K675" t="s">
        <v>149</v>
      </c>
      <c r="M675" t="s">
        <v>76</v>
      </c>
      <c r="N675" t="s">
        <v>215</v>
      </c>
      <c r="O675" s="57">
        <v>46297.379432870373</v>
      </c>
      <c r="P675" s="57">
        <v>46297.673495370371</v>
      </c>
      <c r="Q675">
        <v>69402740</v>
      </c>
      <c r="S675">
        <v>152509216431</v>
      </c>
      <c r="T675" t="s">
        <v>2394</v>
      </c>
      <c r="U675" t="s">
        <v>2395</v>
      </c>
      <c r="V675" t="s">
        <v>2396</v>
      </c>
      <c r="Z675">
        <v>113.4281189</v>
      </c>
      <c r="AA675">
        <v>-7.7806913</v>
      </c>
      <c r="AB675" t="s">
        <v>2397</v>
      </c>
      <c r="AC675" t="s">
        <v>229</v>
      </c>
      <c r="AL675" t="s">
        <v>217</v>
      </c>
      <c r="AM675" t="s">
        <v>2398</v>
      </c>
      <c r="AN675" t="s">
        <v>6</v>
      </c>
      <c r="AO675" s="57">
        <v>46063.39334490741</v>
      </c>
      <c r="AP675" s="57">
        <v>46298.333333333336</v>
      </c>
      <c r="AR675" t="s">
        <v>218</v>
      </c>
      <c r="AS675" t="s">
        <v>2399</v>
      </c>
      <c r="AT675" t="s">
        <v>342</v>
      </c>
      <c r="AU675">
        <v>20261002</v>
      </c>
      <c r="AV675" t="s">
        <v>221</v>
      </c>
      <c r="AW675" t="s">
        <v>2400</v>
      </c>
      <c r="AX675" t="s">
        <v>222</v>
      </c>
      <c r="BA675" s="57">
        <v>46298.333333333336</v>
      </c>
      <c r="BB675" t="s">
        <v>2398</v>
      </c>
      <c r="BC675">
        <v>2026</v>
      </c>
      <c r="BD675">
        <v>10</v>
      </c>
      <c r="BE675">
        <v>2</v>
      </c>
      <c r="BF675" s="6">
        <f t="shared" si="30"/>
        <v>46297</v>
      </c>
      <c r="BG675">
        <f t="shared" si="31"/>
        <v>-1.3333333333357587</v>
      </c>
      <c r="BH675" t="str">
        <f t="shared" si="32"/>
        <v>COMPLY</v>
      </c>
      <c r="BI675" t="str">
        <f>VLOOKUP(H675,Sheet2!$A$1:$B$270,2,FALSE)</f>
        <v>PROBOLINGGO</v>
      </c>
    </row>
    <row r="676" spans="1:61">
      <c r="A676">
        <v>675</v>
      </c>
      <c r="B676">
        <v>1002625929</v>
      </c>
      <c r="C676">
        <v>3</v>
      </c>
      <c r="D676" t="s">
        <v>42</v>
      </c>
      <c r="E676">
        <v>5</v>
      </c>
      <c r="F676" t="s">
        <v>106</v>
      </c>
      <c r="G676" t="s">
        <v>107</v>
      </c>
      <c r="H676" t="s">
        <v>343</v>
      </c>
      <c r="I676" t="s">
        <v>212</v>
      </c>
      <c r="J676" t="s">
        <v>213</v>
      </c>
      <c r="K676" t="s">
        <v>149</v>
      </c>
      <c r="M676" t="s">
        <v>238</v>
      </c>
      <c r="N676" t="s">
        <v>563</v>
      </c>
      <c r="O676" s="57">
        <v>46302.507789351854</v>
      </c>
      <c r="P676" s="57">
        <v>46302.630567129629</v>
      </c>
      <c r="Q676">
        <v>66525052</v>
      </c>
      <c r="S676">
        <v>152509216398</v>
      </c>
      <c r="T676" t="s">
        <v>1654</v>
      </c>
      <c r="U676" t="s">
        <v>4371</v>
      </c>
      <c r="V676" t="s">
        <v>4372</v>
      </c>
      <c r="Z676">
        <v>113.42803020605299</v>
      </c>
      <c r="AA676">
        <v>-7.7595124479947799</v>
      </c>
      <c r="AB676" t="s">
        <v>1656</v>
      </c>
      <c r="AC676" t="s">
        <v>284</v>
      </c>
      <c r="AL676" t="s">
        <v>217</v>
      </c>
      <c r="AM676" t="s">
        <v>4373</v>
      </c>
      <c r="AN676" t="s">
        <v>6</v>
      </c>
      <c r="AO676" s="57">
        <v>46213.517812500002</v>
      </c>
      <c r="AP676" s="57">
        <v>46303.625</v>
      </c>
      <c r="AR676" t="s">
        <v>239</v>
      </c>
      <c r="AS676" t="s">
        <v>2399</v>
      </c>
      <c r="AT676" t="s">
        <v>230</v>
      </c>
      <c r="AV676" t="s">
        <v>238</v>
      </c>
      <c r="AW676" t="s">
        <v>540</v>
      </c>
      <c r="AX676" t="s">
        <v>222</v>
      </c>
      <c r="BA676" s="57">
        <v>46303.625</v>
      </c>
      <c r="BB676" t="s">
        <v>4373</v>
      </c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str">
        <f>VLOOKUP(H676,Sheet2!$A$1:$B$270,2,FALSE)</f>
        <v>PROBOLINGGO</v>
      </c>
    </row>
    <row r="677" spans="1:61">
      <c r="A677">
        <v>676</v>
      </c>
      <c r="B677">
        <v>1002624619</v>
      </c>
      <c r="C677">
        <v>3</v>
      </c>
      <c r="D677" t="s">
        <v>42</v>
      </c>
      <c r="E677">
        <v>5</v>
      </c>
      <c r="F677" t="s">
        <v>106</v>
      </c>
      <c r="G677" t="s">
        <v>107</v>
      </c>
      <c r="H677" t="s">
        <v>498</v>
      </c>
      <c r="I677" t="s">
        <v>212</v>
      </c>
      <c r="J677" t="s">
        <v>213</v>
      </c>
      <c r="K677" t="s">
        <v>149</v>
      </c>
      <c r="M677" t="s">
        <v>76</v>
      </c>
      <c r="N677" t="s">
        <v>215</v>
      </c>
      <c r="O677" s="57">
        <v>46301.615451388891</v>
      </c>
      <c r="P677" s="57">
        <v>46302.445856481485</v>
      </c>
      <c r="Q677">
        <v>69405191</v>
      </c>
      <c r="S677">
        <v>152508210945</v>
      </c>
      <c r="T677" t="s">
        <v>3660</v>
      </c>
      <c r="U677" t="s">
        <v>3661</v>
      </c>
      <c r="V677" t="s">
        <v>3662</v>
      </c>
      <c r="Z677">
        <v>113.6097698</v>
      </c>
      <c r="AA677">
        <v>-7.7240783000000004</v>
      </c>
      <c r="AB677" t="s">
        <v>3663</v>
      </c>
      <c r="AC677" t="s">
        <v>284</v>
      </c>
      <c r="AL677" t="s">
        <v>217</v>
      </c>
      <c r="AM677" t="s">
        <v>3664</v>
      </c>
      <c r="AN677" t="s">
        <v>6</v>
      </c>
      <c r="AO677" s="57">
        <v>46183.621979166666</v>
      </c>
      <c r="AP677" s="57">
        <v>46302.625</v>
      </c>
      <c r="AR677" t="s">
        <v>218</v>
      </c>
      <c r="AS677" t="s">
        <v>219</v>
      </c>
      <c r="AT677" t="s">
        <v>230</v>
      </c>
      <c r="AU677">
        <v>20261007</v>
      </c>
      <c r="AV677" t="s">
        <v>221</v>
      </c>
      <c r="AW677" t="s">
        <v>540</v>
      </c>
      <c r="AX677" t="s">
        <v>222</v>
      </c>
      <c r="BA677" s="57">
        <v>46302.625</v>
      </c>
      <c r="BB677" t="s">
        <v>3664</v>
      </c>
      <c r="BC677">
        <v>2026</v>
      </c>
      <c r="BD677">
        <v>10</v>
      </c>
      <c r="BE677">
        <v>7</v>
      </c>
      <c r="BF677" s="6">
        <f t="shared" si="30"/>
        <v>46302</v>
      </c>
      <c r="BG677">
        <f t="shared" si="31"/>
        <v>-0.625</v>
      </c>
      <c r="BH677" t="str">
        <f t="shared" si="32"/>
        <v>COMPLY</v>
      </c>
      <c r="BI677" t="str">
        <f>VLOOKUP(H677,Sheet2!$A$1:$B$270,2,FALSE)</f>
        <v>PROBOLINGGO</v>
      </c>
    </row>
    <row r="678" spans="1:61">
      <c r="A678">
        <v>677</v>
      </c>
      <c r="B678">
        <v>1002618764</v>
      </c>
      <c r="C678">
        <v>3</v>
      </c>
      <c r="D678" t="s">
        <v>45</v>
      </c>
      <c r="E678">
        <v>5</v>
      </c>
      <c r="F678" t="s">
        <v>113</v>
      </c>
      <c r="G678" t="s">
        <v>111</v>
      </c>
      <c r="H678" t="s">
        <v>254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46296.74486111111</v>
      </c>
      <c r="P678" s="57">
        <v>46298.30636574074</v>
      </c>
      <c r="Q678">
        <v>69402663</v>
      </c>
      <c r="S678">
        <v>172506789383</v>
      </c>
      <c r="T678" t="s">
        <v>1367</v>
      </c>
      <c r="U678" t="s">
        <v>1368</v>
      </c>
      <c r="V678" t="s">
        <v>1369</v>
      </c>
      <c r="Z678">
        <v>121.643787327577</v>
      </c>
      <c r="AA678">
        <v>-8.8519966214243997</v>
      </c>
      <c r="AB678" t="s">
        <v>1370</v>
      </c>
      <c r="AC678" t="s">
        <v>235</v>
      </c>
      <c r="AL678" t="s">
        <v>217</v>
      </c>
      <c r="AM678" t="s">
        <v>1371</v>
      </c>
      <c r="AN678" t="s">
        <v>6</v>
      </c>
      <c r="AO678" s="57">
        <v>46032.746898148151</v>
      </c>
      <c r="AP678" s="57">
        <v>46298.333333333336</v>
      </c>
      <c r="AR678" t="s">
        <v>218</v>
      </c>
      <c r="AS678" t="s">
        <v>111</v>
      </c>
      <c r="AT678" t="s">
        <v>230</v>
      </c>
      <c r="AU678">
        <v>20261003</v>
      </c>
      <c r="AV678" t="s">
        <v>221</v>
      </c>
      <c r="AW678" t="s">
        <v>877</v>
      </c>
      <c r="AX678" t="s">
        <v>222</v>
      </c>
      <c r="BA678" s="57">
        <v>46298.333333333336</v>
      </c>
      <c r="BB678" t="s">
        <v>1371</v>
      </c>
      <c r="BC678">
        <v>2026</v>
      </c>
      <c r="BD678">
        <v>10</v>
      </c>
      <c r="BE678">
        <v>3</v>
      </c>
      <c r="BF678" s="6">
        <f t="shared" si="30"/>
        <v>46298</v>
      </c>
      <c r="BG678">
        <f t="shared" si="31"/>
        <v>-0.33333333333575865</v>
      </c>
      <c r="BH678" t="str">
        <f t="shared" si="32"/>
        <v>COMPLY</v>
      </c>
      <c r="BI678" t="str">
        <f>VLOOKUP(H678,Sheet2!$A$1:$B$270,2,FALSE)</f>
        <v>ENDE</v>
      </c>
    </row>
    <row r="679" spans="1:61">
      <c r="A679">
        <v>678</v>
      </c>
      <c r="B679">
        <v>1002617892</v>
      </c>
      <c r="C679">
        <v>3</v>
      </c>
      <c r="D679" t="s">
        <v>45</v>
      </c>
      <c r="E679">
        <v>5</v>
      </c>
      <c r="F679" t="s">
        <v>113</v>
      </c>
      <c r="G679" t="s">
        <v>111</v>
      </c>
      <c r="H679" t="s">
        <v>254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46296.567824074074</v>
      </c>
      <c r="P679" s="57">
        <v>46299.377465277779</v>
      </c>
      <c r="Q679">
        <v>69402370</v>
      </c>
      <c r="S679">
        <v>172506789376</v>
      </c>
      <c r="T679" t="s">
        <v>1362</v>
      </c>
      <c r="U679" t="s">
        <v>1363</v>
      </c>
      <c r="V679" t="s">
        <v>1364</v>
      </c>
      <c r="Z679">
        <v>121.6568403</v>
      </c>
      <c r="AA679">
        <v>-8.8478326000000003</v>
      </c>
      <c r="AB679" t="s">
        <v>1365</v>
      </c>
      <c r="AC679" t="s">
        <v>235</v>
      </c>
      <c r="AL679" t="s">
        <v>217</v>
      </c>
      <c r="AM679" t="s">
        <v>1366</v>
      </c>
      <c r="AN679" t="s">
        <v>6</v>
      </c>
      <c r="AO679" s="57">
        <v>46032.569884259261</v>
      </c>
      <c r="AP679" s="57">
        <v>46299.333333333336</v>
      </c>
      <c r="AR679" t="s">
        <v>218</v>
      </c>
      <c r="AS679" t="s">
        <v>111</v>
      </c>
      <c r="AT679" t="s">
        <v>230</v>
      </c>
      <c r="AU679">
        <v>20261004</v>
      </c>
      <c r="AV679" t="s">
        <v>221</v>
      </c>
      <c r="AW679" t="s">
        <v>923</v>
      </c>
      <c r="AX679" t="s">
        <v>222</v>
      </c>
      <c r="BA679" s="57">
        <v>46299.333333333336</v>
      </c>
      <c r="BB679" t="s">
        <v>1366</v>
      </c>
      <c r="BC679">
        <v>2026</v>
      </c>
      <c r="BD679">
        <v>10</v>
      </c>
      <c r="BE679">
        <v>4</v>
      </c>
      <c r="BF679" s="6">
        <f t="shared" si="30"/>
        <v>46299</v>
      </c>
      <c r="BG679">
        <f t="shared" si="31"/>
        <v>-0.33333333333575865</v>
      </c>
      <c r="BH679" t="str">
        <f t="shared" si="32"/>
        <v>COMPLY</v>
      </c>
      <c r="BI679" t="str">
        <f>VLOOKUP(H679,Sheet2!$A$1:$B$270,2,FALSE)</f>
        <v>ENDE</v>
      </c>
    </row>
    <row r="680" spans="1:61">
      <c r="A680">
        <v>679</v>
      </c>
      <c r="B680">
        <v>1002622150</v>
      </c>
      <c r="C680">
        <v>3</v>
      </c>
      <c r="D680" t="s">
        <v>45</v>
      </c>
      <c r="E680">
        <v>5</v>
      </c>
      <c r="F680" t="s">
        <v>113</v>
      </c>
      <c r="G680" t="s">
        <v>111</v>
      </c>
      <c r="H680" t="s">
        <v>254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46300.471921296295</v>
      </c>
      <c r="P680" s="57">
        <v>46300.769085648149</v>
      </c>
      <c r="Q680">
        <v>69404225</v>
      </c>
      <c r="S680">
        <v>172506789412</v>
      </c>
      <c r="T680" t="s">
        <v>3039</v>
      </c>
      <c r="U680" t="s">
        <v>3040</v>
      </c>
      <c r="V680" t="s">
        <v>3041</v>
      </c>
      <c r="Z680">
        <v>121.515062760603</v>
      </c>
      <c r="AA680">
        <v>-8.8037081863906401</v>
      </c>
      <c r="AB680" t="s">
        <v>3042</v>
      </c>
      <c r="AC680" t="s">
        <v>235</v>
      </c>
      <c r="AL680" t="s">
        <v>217</v>
      </c>
      <c r="AM680" t="s">
        <v>3043</v>
      </c>
      <c r="AN680" t="s">
        <v>6</v>
      </c>
      <c r="AO680" s="57">
        <v>46152.486157407409</v>
      </c>
      <c r="AP680" s="57">
        <v>46301.625</v>
      </c>
      <c r="AR680" t="s">
        <v>218</v>
      </c>
      <c r="AS680" t="s">
        <v>111</v>
      </c>
      <c r="AT680" t="s">
        <v>230</v>
      </c>
      <c r="AU680">
        <v>20261005</v>
      </c>
      <c r="AV680" t="s">
        <v>221</v>
      </c>
      <c r="AW680" t="s">
        <v>876</v>
      </c>
      <c r="AX680" t="s">
        <v>222</v>
      </c>
      <c r="BA680" s="57">
        <v>46301.625</v>
      </c>
      <c r="BB680" t="s">
        <v>3043</v>
      </c>
      <c r="BC680">
        <v>2026</v>
      </c>
      <c r="BD680">
        <v>10</v>
      </c>
      <c r="BE680">
        <v>5</v>
      </c>
      <c r="BF680" s="6">
        <f t="shared" si="30"/>
        <v>46300</v>
      </c>
      <c r="BG680">
        <f t="shared" si="31"/>
        <v>-1.625</v>
      </c>
      <c r="BH680" t="str">
        <f t="shared" si="32"/>
        <v>COMPLY</v>
      </c>
      <c r="BI680" t="str">
        <f>VLOOKUP(H680,Sheet2!$A$1:$B$270,2,FALSE)</f>
        <v>ENDE</v>
      </c>
    </row>
    <row r="681" spans="1:61">
      <c r="A681">
        <v>680</v>
      </c>
      <c r="B681">
        <v>1002621429</v>
      </c>
      <c r="C681">
        <v>3</v>
      </c>
      <c r="D681" t="s">
        <v>45</v>
      </c>
      <c r="E681">
        <v>5</v>
      </c>
      <c r="F681" t="s">
        <v>113</v>
      </c>
      <c r="G681" t="s">
        <v>111</v>
      </c>
      <c r="H681" t="s">
        <v>254</v>
      </c>
      <c r="I681" t="s">
        <v>212</v>
      </c>
      <c r="J681" t="s">
        <v>213</v>
      </c>
      <c r="K681" t="s">
        <v>149</v>
      </c>
      <c r="L681" t="s">
        <v>214</v>
      </c>
      <c r="M681" t="s">
        <v>255</v>
      </c>
      <c r="N681" t="s">
        <v>215</v>
      </c>
      <c r="O681" s="57">
        <v>46299.601793981485</v>
      </c>
      <c r="P681" s="57">
        <v>46301.618055555555</v>
      </c>
      <c r="Q681">
        <v>69403918</v>
      </c>
      <c r="S681">
        <v>172506789401</v>
      </c>
      <c r="T681" t="s">
        <v>2401</v>
      </c>
      <c r="U681" t="s">
        <v>2402</v>
      </c>
      <c r="V681" t="s">
        <v>2403</v>
      </c>
      <c r="Z681">
        <v>121.656959510265</v>
      </c>
      <c r="AA681">
        <v>-8.8388608162366307</v>
      </c>
      <c r="AB681" t="s">
        <v>2404</v>
      </c>
      <c r="AC681" t="s">
        <v>235</v>
      </c>
      <c r="AL681" t="s">
        <v>217</v>
      </c>
      <c r="AM681" t="s">
        <v>2405</v>
      </c>
      <c r="AN681" t="s">
        <v>6</v>
      </c>
      <c r="AO681" s="57">
        <v>46122.610983796294</v>
      </c>
      <c r="AP681" s="57">
        <v>46301.333333333336</v>
      </c>
      <c r="AR681" t="s">
        <v>256</v>
      </c>
      <c r="AS681" t="s">
        <v>111</v>
      </c>
      <c r="AT681" t="s">
        <v>230</v>
      </c>
      <c r="AV681" t="s">
        <v>257</v>
      </c>
      <c r="AW681" t="s">
        <v>877</v>
      </c>
      <c r="AX681" t="s">
        <v>222</v>
      </c>
      <c r="BA681" s="57">
        <v>46301.333333333336</v>
      </c>
      <c r="BB681" t="s">
        <v>2405</v>
      </c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str">
        <f>VLOOKUP(H681,Sheet2!$A$1:$B$270,2,FALSE)</f>
        <v>ENDE</v>
      </c>
    </row>
    <row r="682" spans="1:61">
      <c r="A682">
        <v>681</v>
      </c>
      <c r="B682">
        <v>1002626926</v>
      </c>
      <c r="C682">
        <v>3</v>
      </c>
      <c r="D682" t="s">
        <v>45</v>
      </c>
      <c r="E682">
        <v>5</v>
      </c>
      <c r="F682" t="s">
        <v>113</v>
      </c>
      <c r="G682" t="s">
        <v>111</v>
      </c>
      <c r="H682" t="s">
        <v>254</v>
      </c>
      <c r="I682" t="s">
        <v>212</v>
      </c>
      <c r="J682" t="s">
        <v>213</v>
      </c>
      <c r="K682" t="s">
        <v>149</v>
      </c>
      <c r="L682" t="s">
        <v>214</v>
      </c>
      <c r="M682" t="s">
        <v>238</v>
      </c>
      <c r="N682" t="s">
        <v>215</v>
      </c>
      <c r="O682" s="57">
        <v>46302.776782407411</v>
      </c>
      <c r="P682" s="57">
        <v>46302.77784722222</v>
      </c>
      <c r="Q682">
        <v>69406169</v>
      </c>
      <c r="S682">
        <v>172506789445</v>
      </c>
      <c r="T682" t="s">
        <v>4374</v>
      </c>
      <c r="U682" t="s">
        <v>4375</v>
      </c>
      <c r="V682" t="s">
        <v>4376</v>
      </c>
      <c r="Z682">
        <v>121.6044721</v>
      </c>
      <c r="AA682">
        <v>-8.8189481999999995</v>
      </c>
      <c r="AB682" t="s">
        <v>4377</v>
      </c>
      <c r="AC682" t="s">
        <v>235</v>
      </c>
      <c r="AL682" t="s">
        <v>217</v>
      </c>
      <c r="AM682" t="s">
        <v>4378</v>
      </c>
      <c r="AN682" t="s">
        <v>6</v>
      </c>
      <c r="AO682" s="57">
        <v>46213.778194444443</v>
      </c>
      <c r="AP682" s="57">
        <v>46305.333333333336</v>
      </c>
      <c r="AR682" t="s">
        <v>239</v>
      </c>
      <c r="AS682" t="s">
        <v>111</v>
      </c>
      <c r="AT682" t="s">
        <v>230</v>
      </c>
      <c r="AV682" t="s">
        <v>238</v>
      </c>
      <c r="AW682" t="s">
        <v>877</v>
      </c>
      <c r="AX682" t="s">
        <v>222</v>
      </c>
      <c r="BA682" s="57">
        <v>46305.333333333336</v>
      </c>
      <c r="BB682" t="s">
        <v>4378</v>
      </c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str">
        <f>VLOOKUP(H682,Sheet2!$A$1:$B$270,2,FALSE)</f>
        <v>ENDE</v>
      </c>
    </row>
    <row r="683" spans="1:61">
      <c r="A683">
        <v>682</v>
      </c>
      <c r="B683">
        <v>1002626945</v>
      </c>
      <c r="C683">
        <v>3</v>
      </c>
      <c r="D683" t="s">
        <v>45</v>
      </c>
      <c r="E683">
        <v>5</v>
      </c>
      <c r="F683" t="s">
        <v>113</v>
      </c>
      <c r="G683" t="s">
        <v>111</v>
      </c>
      <c r="H683" t="s">
        <v>254</v>
      </c>
      <c r="I683" t="s">
        <v>212</v>
      </c>
      <c r="J683" t="s">
        <v>213</v>
      </c>
      <c r="K683" t="s">
        <v>149</v>
      </c>
      <c r="L683" t="s">
        <v>214</v>
      </c>
      <c r="M683" t="s">
        <v>238</v>
      </c>
      <c r="N683" t="s">
        <v>215</v>
      </c>
      <c r="O683" s="57">
        <v>46302.812222222223</v>
      </c>
      <c r="P683" s="57">
        <v>46302.813958333332</v>
      </c>
      <c r="Q683">
        <v>69406153</v>
      </c>
      <c r="S683">
        <v>172506789447</v>
      </c>
      <c r="T683" t="s">
        <v>4379</v>
      </c>
      <c r="U683" t="s">
        <v>4380</v>
      </c>
      <c r="V683" t="s">
        <v>4381</v>
      </c>
      <c r="Z683">
        <v>121.6574098</v>
      </c>
      <c r="AA683">
        <v>-8.8482451999999991</v>
      </c>
      <c r="AB683" t="s">
        <v>4382</v>
      </c>
      <c r="AC683" t="s">
        <v>235</v>
      </c>
      <c r="AL683" t="s">
        <v>217</v>
      </c>
      <c r="AM683" t="s">
        <v>4383</v>
      </c>
      <c r="AN683" t="s">
        <v>6</v>
      </c>
      <c r="AO683" s="57">
        <v>46213.819537037038</v>
      </c>
      <c r="AP683" s="57">
        <v>46305.458333333336</v>
      </c>
      <c r="AR683" t="s">
        <v>239</v>
      </c>
      <c r="AS683" t="s">
        <v>111</v>
      </c>
      <c r="AT683" t="s">
        <v>230</v>
      </c>
      <c r="AV683" t="s">
        <v>238</v>
      </c>
      <c r="AW683" t="s">
        <v>877</v>
      </c>
      <c r="AX683" t="s">
        <v>222</v>
      </c>
      <c r="BA683" s="57">
        <v>46305.458333333336</v>
      </c>
      <c r="BB683" t="s">
        <v>4383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str">
        <f>VLOOKUP(H683,Sheet2!$A$1:$B$270,2,FALSE)</f>
        <v>ENDE</v>
      </c>
    </row>
    <row r="684" spans="1:61">
      <c r="A684">
        <v>683</v>
      </c>
      <c r="B684">
        <v>1002623904</v>
      </c>
      <c r="C684">
        <v>3</v>
      </c>
      <c r="D684" t="s">
        <v>45</v>
      </c>
      <c r="E684">
        <v>5</v>
      </c>
      <c r="F684" t="s">
        <v>113</v>
      </c>
      <c r="G684" t="s">
        <v>117</v>
      </c>
      <c r="H684" t="s">
        <v>409</v>
      </c>
      <c r="I684" t="s">
        <v>212</v>
      </c>
      <c r="J684" t="s">
        <v>213</v>
      </c>
      <c r="K684" t="s">
        <v>149</v>
      </c>
      <c r="L684" t="s">
        <v>214</v>
      </c>
      <c r="M684" t="s">
        <v>224</v>
      </c>
      <c r="N684" t="s">
        <v>215</v>
      </c>
      <c r="O684" s="57">
        <v>46301.453240740739</v>
      </c>
      <c r="P684" s="57">
        <v>46303.407511574071</v>
      </c>
      <c r="Q684">
        <v>69404874</v>
      </c>
      <c r="S684">
        <v>172509796778</v>
      </c>
      <c r="T684" t="s">
        <v>3665</v>
      </c>
      <c r="U684" t="s">
        <v>3666</v>
      </c>
      <c r="V684" t="s">
        <v>3667</v>
      </c>
      <c r="Z684">
        <v>122.979019135236</v>
      </c>
      <c r="AA684">
        <v>-8.3474129623928395</v>
      </c>
      <c r="AB684" t="s">
        <v>3668</v>
      </c>
      <c r="AC684" t="s">
        <v>216</v>
      </c>
      <c r="AL684" t="s">
        <v>217</v>
      </c>
      <c r="AM684" t="s">
        <v>3669</v>
      </c>
      <c r="AN684" t="s">
        <v>6</v>
      </c>
      <c r="AO684" s="57">
        <v>46183.454942129632</v>
      </c>
      <c r="AP684" s="57">
        <v>46302.333333333336</v>
      </c>
      <c r="AR684" t="s">
        <v>18</v>
      </c>
      <c r="AS684" t="s">
        <v>219</v>
      </c>
      <c r="AT684" t="s">
        <v>230</v>
      </c>
      <c r="AV684" t="s">
        <v>226</v>
      </c>
      <c r="AW684" t="s">
        <v>880</v>
      </c>
      <c r="AX684" t="s">
        <v>222</v>
      </c>
      <c r="BA684" s="57">
        <v>46302.333333333336</v>
      </c>
      <c r="BB684" t="s">
        <v>3669</v>
      </c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str">
        <f>VLOOKUP(H684,Sheet2!$A$1:$B$270,2,FALSE)</f>
        <v>MAUMERE</v>
      </c>
    </row>
    <row r="685" spans="1:61">
      <c r="A685">
        <v>684</v>
      </c>
      <c r="B685">
        <v>1002621495</v>
      </c>
      <c r="C685">
        <v>3</v>
      </c>
      <c r="D685" t="s">
        <v>45</v>
      </c>
      <c r="E685">
        <v>5</v>
      </c>
      <c r="F685" t="s">
        <v>113</v>
      </c>
      <c r="G685" t="s">
        <v>117</v>
      </c>
      <c r="H685" t="s">
        <v>454</v>
      </c>
      <c r="I685" t="s">
        <v>212</v>
      </c>
      <c r="J685" t="s">
        <v>213</v>
      </c>
      <c r="K685" t="s">
        <v>149</v>
      </c>
      <c r="L685" t="s">
        <v>214</v>
      </c>
      <c r="M685" t="s">
        <v>224</v>
      </c>
      <c r="N685" t="s">
        <v>215</v>
      </c>
      <c r="O685" s="57">
        <v>46299.71366898148</v>
      </c>
      <c r="P685" s="57">
        <v>46300.632731481484</v>
      </c>
      <c r="Q685">
        <v>69403977</v>
      </c>
      <c r="S685">
        <v>172508209675</v>
      </c>
      <c r="T685" t="s">
        <v>2413</v>
      </c>
      <c r="U685" t="s">
        <v>2414</v>
      </c>
      <c r="V685" t="s">
        <v>2415</v>
      </c>
      <c r="Z685">
        <v>122.2079598</v>
      </c>
      <c r="AA685">
        <v>-8.6389528000000002</v>
      </c>
      <c r="AB685" t="s">
        <v>2416</v>
      </c>
      <c r="AC685" t="s">
        <v>216</v>
      </c>
      <c r="AL685" t="s">
        <v>217</v>
      </c>
      <c r="AM685" t="s">
        <v>2417</v>
      </c>
      <c r="AN685" t="s">
        <v>6</v>
      </c>
      <c r="AO685" s="57">
        <v>46122.725798611114</v>
      </c>
      <c r="AP685" s="57">
        <v>46300.625</v>
      </c>
      <c r="AR685" t="s">
        <v>18</v>
      </c>
      <c r="AS685" t="s">
        <v>219</v>
      </c>
      <c r="AT685" t="s">
        <v>220</v>
      </c>
      <c r="AV685" t="s">
        <v>226</v>
      </c>
      <c r="AW685" t="s">
        <v>2418</v>
      </c>
      <c r="AX685" t="s">
        <v>222</v>
      </c>
      <c r="BA685" s="57">
        <v>46300.625</v>
      </c>
      <c r="BB685" t="s">
        <v>2417</v>
      </c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str">
        <f>VLOOKUP(H685,Sheet2!$A$1:$B$270,2,FALSE)</f>
        <v>MAUMERE</v>
      </c>
    </row>
    <row r="686" spans="1:61">
      <c r="A686">
        <v>685</v>
      </c>
      <c r="B686">
        <v>1002621271</v>
      </c>
      <c r="C686">
        <v>3</v>
      </c>
      <c r="D686" t="s">
        <v>45</v>
      </c>
      <c r="E686">
        <v>5</v>
      </c>
      <c r="F686" t="s">
        <v>113</v>
      </c>
      <c r="G686" t="s">
        <v>117</v>
      </c>
      <c r="H686" t="s">
        <v>454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46299.405324074076</v>
      </c>
      <c r="P686" s="57">
        <v>46300.617534722223</v>
      </c>
      <c r="Q686">
        <v>69403817</v>
      </c>
      <c r="S686">
        <v>172508209667</v>
      </c>
      <c r="T686" t="s">
        <v>2406</v>
      </c>
      <c r="U686" t="s">
        <v>2407</v>
      </c>
      <c r="V686" t="s">
        <v>2411</v>
      </c>
      <c r="Z686">
        <v>122.21116539090799</v>
      </c>
      <c r="AA686">
        <v>-8.6143129513385901</v>
      </c>
      <c r="AB686" t="s">
        <v>2412</v>
      </c>
      <c r="AC686" t="s">
        <v>216</v>
      </c>
      <c r="AL686" t="s">
        <v>217</v>
      </c>
      <c r="AM686" t="s">
        <v>2410</v>
      </c>
      <c r="AN686" t="s">
        <v>6</v>
      </c>
      <c r="AO686" s="57">
        <v>46122.413159722222</v>
      </c>
      <c r="AP686" s="57">
        <v>46300.333333333336</v>
      </c>
      <c r="AR686" t="s">
        <v>218</v>
      </c>
      <c r="AS686" t="s">
        <v>219</v>
      </c>
      <c r="AT686" t="s">
        <v>230</v>
      </c>
      <c r="AU686">
        <v>20261005</v>
      </c>
      <c r="AV686" t="s">
        <v>221</v>
      </c>
      <c r="AW686" t="s">
        <v>880</v>
      </c>
      <c r="AX686" t="s">
        <v>222</v>
      </c>
      <c r="BA686" s="57">
        <v>46300.333333333336</v>
      </c>
      <c r="BB686" t="s">
        <v>2410</v>
      </c>
      <c r="BC686">
        <v>2026</v>
      </c>
      <c r="BD686">
        <v>10</v>
      </c>
      <c r="BE686">
        <v>5</v>
      </c>
      <c r="BF686" s="6">
        <f t="shared" si="30"/>
        <v>46300</v>
      </c>
      <c r="BG686">
        <f t="shared" si="31"/>
        <v>-0.33333333333575865</v>
      </c>
      <c r="BH686" t="str">
        <f t="shared" si="32"/>
        <v>COMPLY</v>
      </c>
      <c r="BI686" t="str">
        <f>VLOOKUP(H686,Sheet2!$A$1:$B$270,2,FALSE)</f>
        <v>MAUMERE</v>
      </c>
    </row>
    <row r="687" spans="1:61">
      <c r="A687">
        <v>686</v>
      </c>
      <c r="B687">
        <v>1002621270</v>
      </c>
      <c r="C687">
        <v>3</v>
      </c>
      <c r="D687" t="s">
        <v>45</v>
      </c>
      <c r="E687">
        <v>5</v>
      </c>
      <c r="F687" t="s">
        <v>113</v>
      </c>
      <c r="G687" t="s">
        <v>117</v>
      </c>
      <c r="H687" t="s">
        <v>454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46299.405266203707</v>
      </c>
      <c r="P687" s="57">
        <v>46303.366076388891</v>
      </c>
      <c r="Q687">
        <v>69403793</v>
      </c>
      <c r="S687">
        <v>172508209666</v>
      </c>
      <c r="T687" t="s">
        <v>2406</v>
      </c>
      <c r="U687" t="s">
        <v>2407</v>
      </c>
      <c r="V687" t="s">
        <v>2408</v>
      </c>
      <c r="Z687">
        <v>122.21119724214</v>
      </c>
      <c r="AA687">
        <v>-8.6143056584732793</v>
      </c>
      <c r="AB687" t="s">
        <v>2409</v>
      </c>
      <c r="AC687" t="s">
        <v>216</v>
      </c>
      <c r="AL687" t="s">
        <v>217</v>
      </c>
      <c r="AM687" t="s">
        <v>2410</v>
      </c>
      <c r="AN687" t="s">
        <v>6</v>
      </c>
      <c r="AO687" s="57">
        <v>46122.413159722222</v>
      </c>
      <c r="AP687" s="57">
        <v>46300.333333333336</v>
      </c>
      <c r="AR687" t="s">
        <v>218</v>
      </c>
      <c r="AS687" t="s">
        <v>219</v>
      </c>
      <c r="AT687" t="s">
        <v>230</v>
      </c>
      <c r="AU687">
        <v>20261008</v>
      </c>
      <c r="AV687" t="s">
        <v>221</v>
      </c>
      <c r="AW687" t="s">
        <v>880</v>
      </c>
      <c r="AX687" t="s">
        <v>222</v>
      </c>
      <c r="BA687" s="57">
        <v>46300.333333333336</v>
      </c>
      <c r="BB687" t="s">
        <v>2410</v>
      </c>
      <c r="BC687">
        <v>2026</v>
      </c>
      <c r="BD687">
        <v>10</v>
      </c>
      <c r="BE687">
        <v>8</v>
      </c>
      <c r="BF687" s="6">
        <f t="shared" si="30"/>
        <v>46303</v>
      </c>
      <c r="BG687">
        <f t="shared" si="31"/>
        <v>2.6666666666642413</v>
      </c>
      <c r="BH687" t="str">
        <f t="shared" si="32"/>
        <v>NOT COMPLY</v>
      </c>
      <c r="BI687" t="str">
        <f>VLOOKUP(H687,Sheet2!$A$1:$B$270,2,FALSE)</f>
        <v>MAUMERE</v>
      </c>
    </row>
    <row r="688" spans="1:61">
      <c r="A688">
        <v>687</v>
      </c>
      <c r="B688">
        <v>1002620752</v>
      </c>
      <c r="C688">
        <v>3</v>
      </c>
      <c r="D688" t="s">
        <v>45</v>
      </c>
      <c r="E688">
        <v>5</v>
      </c>
      <c r="F688" t="s">
        <v>113</v>
      </c>
      <c r="G688" t="s">
        <v>114</v>
      </c>
      <c r="H688" t="s">
        <v>387</v>
      </c>
      <c r="I688" t="s">
        <v>212</v>
      </c>
      <c r="J688" t="s">
        <v>213</v>
      </c>
      <c r="K688" t="s">
        <v>149</v>
      </c>
      <c r="M688" t="s">
        <v>76</v>
      </c>
      <c r="N688" t="s">
        <v>215</v>
      </c>
      <c r="O688" s="57">
        <v>46298.373888888891</v>
      </c>
      <c r="P688" s="57">
        <v>46302.364814814813</v>
      </c>
      <c r="Q688">
        <v>69403465</v>
      </c>
      <c r="S688">
        <v>172512452812</v>
      </c>
      <c r="T688" t="s">
        <v>2419</v>
      </c>
      <c r="U688" t="s">
        <v>2420</v>
      </c>
      <c r="V688" t="s">
        <v>2421</v>
      </c>
      <c r="Z688">
        <v>119.882962703704</v>
      </c>
      <c r="AA688">
        <v>-8.4986089452023403</v>
      </c>
      <c r="AB688" t="s">
        <v>2422</v>
      </c>
      <c r="AC688" t="s">
        <v>225</v>
      </c>
      <c r="AL688" t="s">
        <v>217</v>
      </c>
      <c r="AM688" t="s">
        <v>2423</v>
      </c>
      <c r="AN688" t="s">
        <v>6</v>
      </c>
      <c r="AO688" s="57">
        <v>46091.392974537041</v>
      </c>
      <c r="AP688" s="57">
        <v>46299.333333333336</v>
      </c>
      <c r="AR688" t="s">
        <v>218</v>
      </c>
      <c r="AS688" t="s">
        <v>571</v>
      </c>
      <c r="AT688" t="s">
        <v>230</v>
      </c>
      <c r="AU688">
        <v>20261007</v>
      </c>
      <c r="AV688" t="s">
        <v>221</v>
      </c>
      <c r="AW688" t="s">
        <v>559</v>
      </c>
      <c r="AX688" t="s">
        <v>222</v>
      </c>
      <c r="BA688" s="57">
        <v>46299.333333333336</v>
      </c>
      <c r="BB688" t="s">
        <v>2423</v>
      </c>
      <c r="BC688">
        <v>2026</v>
      </c>
      <c r="BD688">
        <v>10</v>
      </c>
      <c r="BE688">
        <v>7</v>
      </c>
      <c r="BF688" s="6">
        <f t="shared" si="30"/>
        <v>46302</v>
      </c>
      <c r="BG688">
        <f t="shared" si="31"/>
        <v>2.6666666666642413</v>
      </c>
      <c r="BH688" t="str">
        <f t="shared" si="32"/>
        <v>NOT COMPLY</v>
      </c>
      <c r="BI688" t="str">
        <f>VLOOKUP(H688,Sheet2!$A$1:$B$270,2,FALSE)</f>
        <v>LABOAN BAJO</v>
      </c>
    </row>
    <row r="689" spans="1:61">
      <c r="A689">
        <v>688</v>
      </c>
      <c r="B689">
        <v>1002625314</v>
      </c>
      <c r="C689">
        <v>3</v>
      </c>
      <c r="D689" t="s">
        <v>45</v>
      </c>
      <c r="E689">
        <v>5</v>
      </c>
      <c r="F689" t="s">
        <v>113</v>
      </c>
      <c r="G689" t="s">
        <v>114</v>
      </c>
      <c r="H689" t="s">
        <v>357</v>
      </c>
      <c r="I689" t="s">
        <v>212</v>
      </c>
      <c r="J689" t="s">
        <v>213</v>
      </c>
      <c r="K689" t="s">
        <v>149</v>
      </c>
      <c r="L689" t="s">
        <v>214</v>
      </c>
      <c r="M689" t="s">
        <v>542</v>
      </c>
      <c r="N689" t="s">
        <v>215</v>
      </c>
      <c r="O689" s="57">
        <v>46302.361481481479</v>
      </c>
      <c r="P689" s="57">
        <v>46302.361481481479</v>
      </c>
      <c r="Q689">
        <v>69397958</v>
      </c>
      <c r="T689" t="s">
        <v>4384</v>
      </c>
      <c r="V689" t="s">
        <v>4385</v>
      </c>
      <c r="Z689">
        <v>120.6082</v>
      </c>
      <c r="AA689">
        <v>-8.8148400000000002</v>
      </c>
      <c r="AB689" t="s">
        <v>4386</v>
      </c>
      <c r="AC689" t="s">
        <v>235</v>
      </c>
      <c r="AL689" t="s">
        <v>217</v>
      </c>
      <c r="AM689" t="s">
        <v>4387</v>
      </c>
      <c r="AN689" t="s">
        <v>6</v>
      </c>
      <c r="AO689" s="57">
        <v>46213.392731481479</v>
      </c>
      <c r="AP689" s="57">
        <v>46290</v>
      </c>
      <c r="AR689" t="s">
        <v>543</v>
      </c>
      <c r="AS689" t="s">
        <v>219</v>
      </c>
      <c r="AT689" t="s">
        <v>230</v>
      </c>
      <c r="AV689" t="s">
        <v>4388</v>
      </c>
      <c r="AW689" t="s">
        <v>879</v>
      </c>
      <c r="AX689" t="s">
        <v>222</v>
      </c>
      <c r="BA689" s="57">
        <v>46290.625</v>
      </c>
      <c r="BB689" t="s">
        <v>4387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str">
        <f>VLOOKUP(H689,Sheet2!$A$1:$B$270,2,FALSE)</f>
        <v>LABOAN BAJO</v>
      </c>
    </row>
    <row r="690" spans="1:61">
      <c r="A690">
        <v>689</v>
      </c>
      <c r="B690">
        <v>1002625322</v>
      </c>
      <c r="C690">
        <v>3</v>
      </c>
      <c r="D690" t="s">
        <v>45</v>
      </c>
      <c r="E690">
        <v>5</v>
      </c>
      <c r="F690" t="s">
        <v>113</v>
      </c>
      <c r="G690" t="s">
        <v>114</v>
      </c>
      <c r="H690" t="s">
        <v>357</v>
      </c>
      <c r="I690" t="s">
        <v>212</v>
      </c>
      <c r="J690" t="s">
        <v>213</v>
      </c>
      <c r="K690" t="s">
        <v>149</v>
      </c>
      <c r="L690" t="s">
        <v>214</v>
      </c>
      <c r="M690" t="s">
        <v>542</v>
      </c>
      <c r="N690" t="s">
        <v>215</v>
      </c>
      <c r="O690" s="57">
        <v>46302.363159722219</v>
      </c>
      <c r="P690" s="57">
        <v>46302.363171296296</v>
      </c>
      <c r="Q690">
        <v>69398260</v>
      </c>
      <c r="T690" t="s">
        <v>4389</v>
      </c>
      <c r="V690" t="s">
        <v>4390</v>
      </c>
      <c r="Z690">
        <v>120.6082</v>
      </c>
      <c r="AA690">
        <v>-8.8148400000000002</v>
      </c>
      <c r="AB690" t="s">
        <v>4391</v>
      </c>
      <c r="AC690" t="s">
        <v>235</v>
      </c>
      <c r="AL690" t="s">
        <v>217</v>
      </c>
      <c r="AM690" t="s">
        <v>4392</v>
      </c>
      <c r="AN690" t="s">
        <v>6</v>
      </c>
      <c r="AO690" s="57">
        <v>46213.392731481479</v>
      </c>
      <c r="AP690" s="57">
        <v>46291</v>
      </c>
      <c r="AR690" t="s">
        <v>543</v>
      </c>
      <c r="AS690" t="s">
        <v>219</v>
      </c>
      <c r="AT690" t="s">
        <v>230</v>
      </c>
      <c r="AV690" t="s">
        <v>4393</v>
      </c>
      <c r="AW690" t="s">
        <v>879</v>
      </c>
      <c r="AX690" t="s">
        <v>222</v>
      </c>
      <c r="BA690" s="57">
        <v>46291.333333333336</v>
      </c>
      <c r="BB690" t="s">
        <v>4392</v>
      </c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str">
        <f>VLOOKUP(H690,Sheet2!$A$1:$B$270,2,FALSE)</f>
        <v>LABOAN BAJO</v>
      </c>
    </row>
    <row r="691" spans="1:61">
      <c r="A691">
        <v>690</v>
      </c>
      <c r="B691">
        <v>1002617761</v>
      </c>
      <c r="C691">
        <v>3</v>
      </c>
      <c r="D691" t="s">
        <v>45</v>
      </c>
      <c r="E691">
        <v>5</v>
      </c>
      <c r="F691" t="s">
        <v>113</v>
      </c>
      <c r="G691" t="s">
        <v>114</v>
      </c>
      <c r="H691" t="s">
        <v>357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46296.532442129632</v>
      </c>
      <c r="P691" s="57">
        <v>46298.387129629627</v>
      </c>
      <c r="Q691">
        <v>69402304</v>
      </c>
      <c r="S691">
        <v>172514217309</v>
      </c>
      <c r="T691" t="s">
        <v>1372</v>
      </c>
      <c r="U691" t="s">
        <v>1373</v>
      </c>
      <c r="V691" t="s">
        <v>1374</v>
      </c>
      <c r="Z691">
        <v>120.474511633902</v>
      </c>
      <c r="AA691">
        <v>-8.6045969281323096</v>
      </c>
      <c r="AB691" t="s">
        <v>1375</v>
      </c>
      <c r="AC691" t="s">
        <v>235</v>
      </c>
      <c r="AL691" t="s">
        <v>217</v>
      </c>
      <c r="AM691" t="s">
        <v>1376</v>
      </c>
      <c r="AN691" t="s">
        <v>6</v>
      </c>
      <c r="AO691" s="57">
        <v>46032.559305555558</v>
      </c>
      <c r="AP691" s="57">
        <v>46297.458333333336</v>
      </c>
      <c r="AR691" t="s">
        <v>218</v>
      </c>
      <c r="AS691" t="s">
        <v>219</v>
      </c>
      <c r="AT691" t="s">
        <v>230</v>
      </c>
      <c r="AU691">
        <v>20261003</v>
      </c>
      <c r="AV691" t="s">
        <v>221</v>
      </c>
      <c r="AW691" t="s">
        <v>877</v>
      </c>
      <c r="AX691" t="s">
        <v>222</v>
      </c>
      <c r="BA691" s="57">
        <v>46297.458333333336</v>
      </c>
      <c r="BB691" t="s">
        <v>1376</v>
      </c>
      <c r="BC691">
        <v>2026</v>
      </c>
      <c r="BD691">
        <v>10</v>
      </c>
      <c r="BE691">
        <v>3</v>
      </c>
      <c r="BF691" s="6">
        <f t="shared" si="30"/>
        <v>46298</v>
      </c>
      <c r="BG691">
        <f t="shared" si="31"/>
        <v>0.54166666666424135</v>
      </c>
      <c r="BH691" t="str">
        <f t="shared" si="32"/>
        <v>COMPLY</v>
      </c>
      <c r="BI691" t="str">
        <f>VLOOKUP(H691,Sheet2!$A$1:$B$270,2,FALSE)</f>
        <v>LABOAN BAJO</v>
      </c>
    </row>
    <row r="692" spans="1:61">
      <c r="A692">
        <v>691</v>
      </c>
      <c r="B692">
        <v>1002621180</v>
      </c>
      <c r="C692">
        <v>3</v>
      </c>
      <c r="D692" t="s">
        <v>45</v>
      </c>
      <c r="E692">
        <v>5</v>
      </c>
      <c r="F692" t="s">
        <v>113</v>
      </c>
      <c r="G692" t="s">
        <v>114</v>
      </c>
      <c r="H692" t="s">
        <v>357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46298.753240740742</v>
      </c>
      <c r="P692" s="57">
        <v>46301.342974537038</v>
      </c>
      <c r="Q692">
        <v>69403767</v>
      </c>
      <c r="S692">
        <v>172514217335</v>
      </c>
      <c r="T692" t="s">
        <v>2424</v>
      </c>
      <c r="U692" t="s">
        <v>2425</v>
      </c>
      <c r="V692" t="s">
        <v>2426</v>
      </c>
      <c r="Z692">
        <v>120.466906164337</v>
      </c>
      <c r="AA692">
        <v>-8.5952350993956106</v>
      </c>
      <c r="AB692" t="s">
        <v>2427</v>
      </c>
      <c r="AC692" t="s">
        <v>235</v>
      </c>
      <c r="AL692" t="s">
        <v>217</v>
      </c>
      <c r="AM692" t="s">
        <v>2428</v>
      </c>
      <c r="AN692" t="s">
        <v>6</v>
      </c>
      <c r="AO692" s="57">
        <v>46091.757280092592</v>
      </c>
      <c r="AP692" s="57">
        <v>46300.333333333336</v>
      </c>
      <c r="AR692" t="s">
        <v>218</v>
      </c>
      <c r="AS692" t="s">
        <v>219</v>
      </c>
      <c r="AT692" t="s">
        <v>230</v>
      </c>
      <c r="AU692">
        <v>20261006</v>
      </c>
      <c r="AV692" t="s">
        <v>221</v>
      </c>
      <c r="AW692" t="s">
        <v>880</v>
      </c>
      <c r="AX692" t="s">
        <v>222</v>
      </c>
      <c r="BA692" s="57">
        <v>46300.333333333336</v>
      </c>
      <c r="BB692" t="s">
        <v>2428</v>
      </c>
      <c r="BC692">
        <v>2026</v>
      </c>
      <c r="BD692">
        <v>10</v>
      </c>
      <c r="BE692">
        <v>6</v>
      </c>
      <c r="BF692" s="6">
        <f t="shared" si="30"/>
        <v>46301</v>
      </c>
      <c r="BG692">
        <f t="shared" si="31"/>
        <v>0.66666666666424135</v>
      </c>
      <c r="BH692" t="str">
        <f t="shared" si="32"/>
        <v>COMPLY</v>
      </c>
      <c r="BI692" t="str">
        <f>VLOOKUP(H692,Sheet2!$A$1:$B$270,2,FALSE)</f>
        <v>LABOAN BAJO</v>
      </c>
    </row>
    <row r="693" spans="1:61">
      <c r="A693">
        <v>692</v>
      </c>
      <c r="B693">
        <v>1002619237</v>
      </c>
      <c r="C693">
        <v>3</v>
      </c>
      <c r="D693" t="s">
        <v>45</v>
      </c>
      <c r="E693">
        <v>5</v>
      </c>
      <c r="F693" t="s">
        <v>113</v>
      </c>
      <c r="G693" t="s">
        <v>111</v>
      </c>
      <c r="H693" t="s">
        <v>337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46297.417824074073</v>
      </c>
      <c r="P693" s="57">
        <v>46300.750891203701</v>
      </c>
      <c r="Q693">
        <v>69402834</v>
      </c>
      <c r="S693">
        <v>172511797280</v>
      </c>
      <c r="T693" t="s">
        <v>2429</v>
      </c>
      <c r="U693" t="s">
        <v>2430</v>
      </c>
      <c r="V693" t="s">
        <v>2431</v>
      </c>
      <c r="Z693">
        <v>120.9763482</v>
      </c>
      <c r="AA693">
        <v>-8.7885245999999899</v>
      </c>
      <c r="AB693" t="s">
        <v>2432</v>
      </c>
      <c r="AC693" t="s">
        <v>235</v>
      </c>
      <c r="AL693" t="s">
        <v>217</v>
      </c>
      <c r="AM693" t="s">
        <v>2433</v>
      </c>
      <c r="AN693" t="s">
        <v>6</v>
      </c>
      <c r="AO693" s="57">
        <v>46063.42392361111</v>
      </c>
      <c r="AP693" s="57">
        <v>46300.333333333336</v>
      </c>
      <c r="AR693" t="s">
        <v>218</v>
      </c>
      <c r="AS693" t="s">
        <v>572</v>
      </c>
      <c r="AT693" t="s">
        <v>230</v>
      </c>
      <c r="AU693">
        <v>20261005</v>
      </c>
      <c r="AV693" t="s">
        <v>221</v>
      </c>
      <c r="AW693" t="s">
        <v>876</v>
      </c>
      <c r="AX693" t="s">
        <v>222</v>
      </c>
      <c r="BA693" s="57">
        <v>46300.333333333336</v>
      </c>
      <c r="BB693" t="s">
        <v>2433</v>
      </c>
      <c r="BC693">
        <v>2026</v>
      </c>
      <c r="BD693">
        <v>10</v>
      </c>
      <c r="BE693">
        <v>5</v>
      </c>
      <c r="BF693" s="6">
        <f t="shared" si="30"/>
        <v>46300</v>
      </c>
      <c r="BG693">
        <f t="shared" si="31"/>
        <v>-0.33333333333575865</v>
      </c>
      <c r="BH693" t="str">
        <f t="shared" si="32"/>
        <v>COMPLY</v>
      </c>
      <c r="BI693" t="str">
        <f>VLOOKUP(H693,Sheet2!$A$1:$B$270,2,FALSE)</f>
        <v>ENDE</v>
      </c>
    </row>
    <row r="694" spans="1:61">
      <c r="A694">
        <v>693</v>
      </c>
      <c r="B694">
        <v>1002623755</v>
      </c>
      <c r="C694">
        <v>3</v>
      </c>
      <c r="D694" t="s">
        <v>34</v>
      </c>
      <c r="E694">
        <v>5</v>
      </c>
      <c r="F694" t="s">
        <v>546</v>
      </c>
      <c r="G694" t="s">
        <v>84</v>
      </c>
      <c r="H694" t="s">
        <v>250</v>
      </c>
      <c r="I694" t="s">
        <v>212</v>
      </c>
      <c r="J694" t="s">
        <v>213</v>
      </c>
      <c r="K694" t="s">
        <v>149</v>
      </c>
      <c r="M694" t="s">
        <v>76</v>
      </c>
      <c r="N694" t="s">
        <v>215</v>
      </c>
      <c r="O694" s="57">
        <v>46301.425416666665</v>
      </c>
      <c r="P694" s="57">
        <v>46301.538449074076</v>
      </c>
      <c r="Q694">
        <v>69400226</v>
      </c>
      <c r="S694">
        <v>172425708534</v>
      </c>
      <c r="T694" t="s">
        <v>3670</v>
      </c>
      <c r="U694" t="s">
        <v>3671</v>
      </c>
      <c r="V694" t="s">
        <v>3672</v>
      </c>
      <c r="Z694">
        <v>115.034295916557</v>
      </c>
      <c r="AA694">
        <v>-8.2591448109780696</v>
      </c>
      <c r="AB694" t="s">
        <v>3673</v>
      </c>
      <c r="AC694" t="s">
        <v>229</v>
      </c>
      <c r="AL694" t="s">
        <v>217</v>
      </c>
      <c r="AM694" t="s">
        <v>3674</v>
      </c>
      <c r="AN694" t="s">
        <v>6</v>
      </c>
      <c r="AO694" s="57">
        <v>46183.433946759258</v>
      </c>
      <c r="AR694" t="s">
        <v>218</v>
      </c>
      <c r="AS694" t="s">
        <v>219</v>
      </c>
      <c r="AT694" t="s">
        <v>230</v>
      </c>
      <c r="AU694">
        <v>20261006</v>
      </c>
      <c r="AV694" t="s">
        <v>221</v>
      </c>
      <c r="AW694" t="s">
        <v>3550</v>
      </c>
      <c r="AX694" t="s">
        <v>222</v>
      </c>
      <c r="BA694" s="57">
        <v>46301.291666666664</v>
      </c>
      <c r="BB694" t="s">
        <v>3674</v>
      </c>
      <c r="BC694">
        <v>2026</v>
      </c>
      <c r="BD694">
        <v>10</v>
      </c>
      <c r="BE694">
        <v>6</v>
      </c>
      <c r="BF694" s="6">
        <f t="shared" si="30"/>
        <v>46301</v>
      </c>
      <c r="BG694">
        <f t="shared" si="31"/>
        <v>-0.29166666666424135</v>
      </c>
      <c r="BH694" t="str">
        <f t="shared" si="32"/>
        <v>COMPLY</v>
      </c>
      <c r="BI694" t="str">
        <f>VLOOKUP(H694,Sheet2!$A$1:$B$270,2,FALSE)</f>
        <v>SINGARAJA</v>
      </c>
    </row>
    <row r="695" spans="1:61">
      <c r="A695">
        <v>694</v>
      </c>
      <c r="B695">
        <v>1002623759</v>
      </c>
      <c r="C695">
        <v>3</v>
      </c>
      <c r="D695" t="s">
        <v>34</v>
      </c>
      <c r="E695">
        <v>5</v>
      </c>
      <c r="F695" t="s">
        <v>546</v>
      </c>
      <c r="G695" t="s">
        <v>84</v>
      </c>
      <c r="H695" t="s">
        <v>250</v>
      </c>
      <c r="I695" t="s">
        <v>212</v>
      </c>
      <c r="J695" t="s">
        <v>213</v>
      </c>
      <c r="K695" t="s">
        <v>149</v>
      </c>
      <c r="M695" t="s">
        <v>1619</v>
      </c>
      <c r="N695" t="s">
        <v>215</v>
      </c>
      <c r="O695" s="57">
        <v>46301.426886574074</v>
      </c>
      <c r="P695" s="57">
        <v>46302.698125000003</v>
      </c>
      <c r="Q695">
        <v>69404795</v>
      </c>
      <c r="S695">
        <v>172425708533</v>
      </c>
      <c r="T695" t="s">
        <v>3675</v>
      </c>
      <c r="U695" t="s">
        <v>3676</v>
      </c>
      <c r="Z695">
        <v>114.97462768076601</v>
      </c>
      <c r="AA695">
        <v>-8.1865989834468404</v>
      </c>
      <c r="AB695" t="s">
        <v>3677</v>
      </c>
      <c r="AC695" t="s">
        <v>225</v>
      </c>
      <c r="AO695" s="57">
        <v>46183.433946759258</v>
      </c>
      <c r="AR695" t="s">
        <v>5</v>
      </c>
      <c r="AS695" t="s">
        <v>219</v>
      </c>
      <c r="AT695" t="s">
        <v>230</v>
      </c>
      <c r="AV695" t="s">
        <v>4394</v>
      </c>
      <c r="AW695" t="s">
        <v>540</v>
      </c>
      <c r="AX695" t="s">
        <v>222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str">
        <f>VLOOKUP(H695,Sheet2!$A$1:$B$270,2,FALSE)</f>
        <v>SINGARAJA</v>
      </c>
    </row>
    <row r="696" spans="1:61">
      <c r="A696">
        <v>695</v>
      </c>
      <c r="B696">
        <v>1002626117</v>
      </c>
      <c r="C696">
        <v>3</v>
      </c>
      <c r="D696" t="s">
        <v>34</v>
      </c>
      <c r="E696">
        <v>5</v>
      </c>
      <c r="F696" t="s">
        <v>546</v>
      </c>
      <c r="G696" t="s">
        <v>84</v>
      </c>
      <c r="H696" t="s">
        <v>240</v>
      </c>
      <c r="I696" t="s">
        <v>212</v>
      </c>
      <c r="J696" t="s">
        <v>213</v>
      </c>
      <c r="K696" t="s">
        <v>149</v>
      </c>
      <c r="M696" t="s">
        <v>538</v>
      </c>
      <c r="N696" t="s">
        <v>215</v>
      </c>
      <c r="O696" s="57">
        <v>46302.560972222222</v>
      </c>
      <c r="P696" s="57">
        <v>46303.428784722222</v>
      </c>
      <c r="Q696">
        <v>69405841</v>
      </c>
      <c r="S696">
        <v>172424837351</v>
      </c>
      <c r="T696" t="s">
        <v>4395</v>
      </c>
      <c r="U696" t="s">
        <v>4396</v>
      </c>
      <c r="Z696">
        <v>115.06662660000001</v>
      </c>
      <c r="AA696">
        <v>-8.1384498999999995</v>
      </c>
      <c r="AB696" t="s">
        <v>4397</v>
      </c>
      <c r="AC696" t="s">
        <v>229</v>
      </c>
      <c r="AO696" s="57">
        <v>46213.56962962963</v>
      </c>
      <c r="AR696" t="s">
        <v>6</v>
      </c>
      <c r="AS696" t="s">
        <v>219</v>
      </c>
      <c r="AT696" t="s">
        <v>342</v>
      </c>
      <c r="AV696" t="s">
        <v>4398</v>
      </c>
      <c r="AW696" t="s">
        <v>1572</v>
      </c>
      <c r="AX696" t="s">
        <v>222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str">
        <f>VLOOKUP(H696,Sheet2!$A$1:$B$270,2,FALSE)</f>
        <v>SINGARAJA</v>
      </c>
    </row>
    <row r="697" spans="1:61">
      <c r="A697">
        <v>696</v>
      </c>
      <c r="B697">
        <v>1002622354</v>
      </c>
      <c r="C697">
        <v>3</v>
      </c>
      <c r="D697" t="s">
        <v>34</v>
      </c>
      <c r="E697">
        <v>5</v>
      </c>
      <c r="F697" t="s">
        <v>546</v>
      </c>
      <c r="G697" t="s">
        <v>85</v>
      </c>
      <c r="H697" t="s">
        <v>355</v>
      </c>
      <c r="I697" t="s">
        <v>212</v>
      </c>
      <c r="J697" t="s">
        <v>213</v>
      </c>
      <c r="K697" t="s">
        <v>149</v>
      </c>
      <c r="M697" t="s">
        <v>1401</v>
      </c>
      <c r="N697" t="s">
        <v>215</v>
      </c>
      <c r="O697" s="57">
        <v>46300.539571759262</v>
      </c>
      <c r="P697" s="57">
        <v>46302.439293981479</v>
      </c>
      <c r="Q697">
        <v>69404311</v>
      </c>
      <c r="S697">
        <v>172414214650</v>
      </c>
      <c r="T697" t="s">
        <v>3049</v>
      </c>
      <c r="U697" t="s">
        <v>3050</v>
      </c>
      <c r="V697" t="s">
        <v>3051</v>
      </c>
      <c r="Z697">
        <v>115.19494330000001</v>
      </c>
      <c r="AA697">
        <v>-8.3803806000000005</v>
      </c>
      <c r="AB697" t="s">
        <v>3052</v>
      </c>
      <c r="AC697" t="s">
        <v>229</v>
      </c>
      <c r="AL697" t="s">
        <v>217</v>
      </c>
      <c r="AM697" t="s">
        <v>3053</v>
      </c>
      <c r="AN697" t="s">
        <v>6</v>
      </c>
      <c r="AO697" s="57">
        <v>46152.569618055553</v>
      </c>
      <c r="AP697" s="57">
        <v>46301.458333333336</v>
      </c>
      <c r="AR697" t="s">
        <v>14</v>
      </c>
      <c r="AS697" t="s">
        <v>85</v>
      </c>
      <c r="AT697" t="s">
        <v>230</v>
      </c>
      <c r="AV697" t="s">
        <v>3678</v>
      </c>
      <c r="AW697" t="s">
        <v>1987</v>
      </c>
      <c r="AX697" t="s">
        <v>222</v>
      </c>
      <c r="BA697" s="57">
        <v>46301.458333333336</v>
      </c>
      <c r="BB697" t="s">
        <v>3053</v>
      </c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str">
        <f>VLOOKUP(H697,Sheet2!$A$1:$B$270,2,FALSE)</f>
        <v>TABANAN</v>
      </c>
    </row>
    <row r="698" spans="1:61">
      <c r="A698">
        <v>697</v>
      </c>
      <c r="B698">
        <v>1002617688</v>
      </c>
      <c r="C698">
        <v>3</v>
      </c>
      <c r="D698" t="s">
        <v>34</v>
      </c>
      <c r="E698">
        <v>5</v>
      </c>
      <c r="F698" t="s">
        <v>546</v>
      </c>
      <c r="G698" t="s">
        <v>85</v>
      </c>
      <c r="H698" t="s">
        <v>355</v>
      </c>
      <c r="I698" t="s">
        <v>212</v>
      </c>
      <c r="J698" t="s">
        <v>213</v>
      </c>
      <c r="K698" t="s">
        <v>149</v>
      </c>
      <c r="M698" t="s">
        <v>76</v>
      </c>
      <c r="N698" t="s">
        <v>215</v>
      </c>
      <c r="O698" s="57">
        <v>46296.50371527778</v>
      </c>
      <c r="P698" s="57">
        <v>46297.795717592591</v>
      </c>
      <c r="Q698">
        <v>69402261</v>
      </c>
      <c r="S698">
        <v>172414214642</v>
      </c>
      <c r="T698" t="s">
        <v>1377</v>
      </c>
      <c r="U698" t="s">
        <v>1378</v>
      </c>
      <c r="V698" t="s">
        <v>1379</v>
      </c>
      <c r="Z698">
        <v>115.1615592</v>
      </c>
      <c r="AA698">
        <v>-8.3697926999999996</v>
      </c>
      <c r="AB698" t="s">
        <v>1380</v>
      </c>
      <c r="AC698" t="s">
        <v>229</v>
      </c>
      <c r="AL698" t="s">
        <v>217</v>
      </c>
      <c r="AM698" t="s">
        <v>1381</v>
      </c>
      <c r="AN698" t="s">
        <v>6</v>
      </c>
      <c r="AO698" s="57">
        <v>46032.517557870371</v>
      </c>
      <c r="AP698" s="57">
        <v>46297.458333333336</v>
      </c>
      <c r="AR698" t="s">
        <v>218</v>
      </c>
      <c r="AS698" t="s">
        <v>85</v>
      </c>
      <c r="AT698" t="s">
        <v>230</v>
      </c>
      <c r="AU698">
        <v>20261002</v>
      </c>
      <c r="AV698" t="s">
        <v>221</v>
      </c>
      <c r="AW698" t="s">
        <v>540</v>
      </c>
      <c r="AX698" t="s">
        <v>222</v>
      </c>
      <c r="BA698" s="57">
        <v>46297.458333333336</v>
      </c>
      <c r="BB698" t="s">
        <v>1381</v>
      </c>
      <c r="BC698">
        <v>2026</v>
      </c>
      <c r="BD698">
        <v>10</v>
      </c>
      <c r="BE698">
        <v>2</v>
      </c>
      <c r="BF698" s="6">
        <f t="shared" si="30"/>
        <v>46297</v>
      </c>
      <c r="BG698">
        <f t="shared" si="31"/>
        <v>-0.45833333333575865</v>
      </c>
      <c r="BH698" t="str">
        <f t="shared" si="32"/>
        <v>COMPLY</v>
      </c>
      <c r="BI698" t="str">
        <f>VLOOKUP(H698,Sheet2!$A$1:$B$270,2,FALSE)</f>
        <v>TABANAN</v>
      </c>
    </row>
    <row r="699" spans="1:61">
      <c r="A699">
        <v>698</v>
      </c>
      <c r="B699">
        <v>1002617698</v>
      </c>
      <c r="C699">
        <v>3</v>
      </c>
      <c r="D699" t="s">
        <v>34</v>
      </c>
      <c r="E699">
        <v>5</v>
      </c>
      <c r="F699" t="s">
        <v>546</v>
      </c>
      <c r="G699" t="s">
        <v>85</v>
      </c>
      <c r="H699" t="s">
        <v>355</v>
      </c>
      <c r="I699" t="s">
        <v>212</v>
      </c>
      <c r="J699" t="s">
        <v>213</v>
      </c>
      <c r="K699" t="s">
        <v>149</v>
      </c>
      <c r="M699" t="s">
        <v>76</v>
      </c>
      <c r="N699" t="s">
        <v>215</v>
      </c>
      <c r="O699" s="57">
        <v>46296.506469907406</v>
      </c>
      <c r="P699" s="57">
        <v>46297.793634259258</v>
      </c>
      <c r="Q699">
        <v>69402262</v>
      </c>
      <c r="S699">
        <v>172414214639</v>
      </c>
      <c r="T699" t="s">
        <v>1382</v>
      </c>
      <c r="U699" t="s">
        <v>1383</v>
      </c>
      <c r="V699" t="s">
        <v>1384</v>
      </c>
      <c r="Z699">
        <v>115.14373620000001</v>
      </c>
      <c r="AA699">
        <v>-8.3613206000000009</v>
      </c>
      <c r="AB699" t="s">
        <v>1385</v>
      </c>
      <c r="AC699" t="s">
        <v>229</v>
      </c>
      <c r="AL699" t="s">
        <v>217</v>
      </c>
      <c r="AM699" t="s">
        <v>1386</v>
      </c>
      <c r="AN699" t="s">
        <v>6</v>
      </c>
      <c r="AO699" s="57">
        <v>46032.517557870371</v>
      </c>
      <c r="AP699" s="57">
        <v>46297.458333333336</v>
      </c>
      <c r="AR699" t="s">
        <v>218</v>
      </c>
      <c r="AS699" t="s">
        <v>85</v>
      </c>
      <c r="AT699" t="s">
        <v>230</v>
      </c>
      <c r="AU699">
        <v>20261002</v>
      </c>
      <c r="AV699" t="s">
        <v>221</v>
      </c>
      <c r="AW699" t="s">
        <v>540</v>
      </c>
      <c r="AX699" t="s">
        <v>222</v>
      </c>
      <c r="BA699" s="57">
        <v>46297.458333333336</v>
      </c>
      <c r="BB699" t="s">
        <v>1386</v>
      </c>
      <c r="BC699">
        <v>2026</v>
      </c>
      <c r="BD699">
        <v>10</v>
      </c>
      <c r="BE699">
        <v>2</v>
      </c>
      <c r="BF699" s="6">
        <f t="shared" si="30"/>
        <v>46297</v>
      </c>
      <c r="BG699">
        <f t="shared" si="31"/>
        <v>-0.45833333333575865</v>
      </c>
      <c r="BH699" t="str">
        <f t="shared" si="32"/>
        <v>COMPLY</v>
      </c>
      <c r="BI699" t="str">
        <f>VLOOKUP(H699,Sheet2!$A$1:$B$270,2,FALSE)</f>
        <v>TABANAN</v>
      </c>
    </row>
    <row r="700" spans="1:61">
      <c r="A700">
        <v>699</v>
      </c>
      <c r="B700">
        <v>1002620294</v>
      </c>
      <c r="C700">
        <v>3</v>
      </c>
      <c r="D700" t="s">
        <v>34</v>
      </c>
      <c r="E700">
        <v>5</v>
      </c>
      <c r="F700" t="s">
        <v>546</v>
      </c>
      <c r="G700" t="s">
        <v>85</v>
      </c>
      <c r="H700" t="s">
        <v>355</v>
      </c>
      <c r="I700" t="s">
        <v>212</v>
      </c>
      <c r="J700" t="s">
        <v>213</v>
      </c>
      <c r="K700" t="s">
        <v>149</v>
      </c>
      <c r="M700" t="s">
        <v>76</v>
      </c>
      <c r="N700" t="s">
        <v>215</v>
      </c>
      <c r="O700" s="57">
        <v>46297.653240740743</v>
      </c>
      <c r="P700" s="57">
        <v>46300.561331018522</v>
      </c>
      <c r="Q700">
        <v>69403239</v>
      </c>
      <c r="S700">
        <v>172414214645</v>
      </c>
      <c r="T700" t="s">
        <v>2434</v>
      </c>
      <c r="U700" t="s">
        <v>2435</v>
      </c>
      <c r="V700" t="s">
        <v>2436</v>
      </c>
      <c r="Z700">
        <v>115.19612909999999</v>
      </c>
      <c r="AA700">
        <v>-8.3990746000000005</v>
      </c>
      <c r="AB700" t="s">
        <v>2437</v>
      </c>
      <c r="AC700" t="s">
        <v>229</v>
      </c>
      <c r="AL700" t="s">
        <v>217</v>
      </c>
      <c r="AM700" t="s">
        <v>2438</v>
      </c>
      <c r="AN700" t="s">
        <v>6</v>
      </c>
      <c r="AO700" s="57">
        <v>46063.663495370369</v>
      </c>
      <c r="AP700" s="57">
        <v>46300.333333333336</v>
      </c>
      <c r="AR700" t="s">
        <v>218</v>
      </c>
      <c r="AS700" t="s">
        <v>85</v>
      </c>
      <c r="AT700" t="s">
        <v>230</v>
      </c>
      <c r="AU700">
        <v>20261005</v>
      </c>
      <c r="AV700" t="s">
        <v>221</v>
      </c>
      <c r="AW700" t="s">
        <v>1987</v>
      </c>
      <c r="AX700" t="s">
        <v>222</v>
      </c>
      <c r="BA700" s="57">
        <v>46300.333333333336</v>
      </c>
      <c r="BB700" t="s">
        <v>2438</v>
      </c>
      <c r="BC700">
        <v>2026</v>
      </c>
      <c r="BD700">
        <v>10</v>
      </c>
      <c r="BE700">
        <v>5</v>
      </c>
      <c r="BF700" s="6">
        <f t="shared" si="30"/>
        <v>46300</v>
      </c>
      <c r="BG700">
        <f t="shared" si="31"/>
        <v>-0.33333333333575865</v>
      </c>
      <c r="BH700" t="str">
        <f t="shared" si="32"/>
        <v>COMPLY</v>
      </c>
      <c r="BI700" t="str">
        <f>VLOOKUP(H700,Sheet2!$A$1:$B$270,2,FALSE)</f>
        <v>TABANAN</v>
      </c>
    </row>
    <row r="701" spans="1:61">
      <c r="A701">
        <v>700</v>
      </c>
      <c r="B701">
        <v>1002622343</v>
      </c>
      <c r="C701">
        <v>3</v>
      </c>
      <c r="D701" t="s">
        <v>34</v>
      </c>
      <c r="E701">
        <v>5</v>
      </c>
      <c r="F701" t="s">
        <v>546</v>
      </c>
      <c r="G701" t="s">
        <v>85</v>
      </c>
      <c r="H701" t="s">
        <v>355</v>
      </c>
      <c r="I701" t="s">
        <v>212</v>
      </c>
      <c r="J701" t="s">
        <v>213</v>
      </c>
      <c r="K701" t="s">
        <v>149</v>
      </c>
      <c r="M701" t="s">
        <v>76</v>
      </c>
      <c r="N701" t="s">
        <v>215</v>
      </c>
      <c r="O701" s="57">
        <v>46300.535300925927</v>
      </c>
      <c r="P701" s="57">
        <v>46301.642881944441</v>
      </c>
      <c r="Q701">
        <v>69404309</v>
      </c>
      <c r="S701">
        <v>172414214649</v>
      </c>
      <c r="T701" t="s">
        <v>3044</v>
      </c>
      <c r="U701" t="s">
        <v>3045</v>
      </c>
      <c r="V701" t="s">
        <v>3046</v>
      </c>
      <c r="Z701">
        <v>115.19286990000001</v>
      </c>
      <c r="AA701">
        <v>-8.3685223000000004</v>
      </c>
      <c r="AB701" t="s">
        <v>3047</v>
      </c>
      <c r="AC701" t="s">
        <v>229</v>
      </c>
      <c r="AL701" t="s">
        <v>217</v>
      </c>
      <c r="AM701" t="s">
        <v>3048</v>
      </c>
      <c r="AN701" t="s">
        <v>6</v>
      </c>
      <c r="AO701" s="57">
        <v>46152.569618055553</v>
      </c>
      <c r="AP701" s="57">
        <v>46301.458333333336</v>
      </c>
      <c r="AR701" t="s">
        <v>218</v>
      </c>
      <c r="AS701" t="s">
        <v>85</v>
      </c>
      <c r="AT701" t="s">
        <v>230</v>
      </c>
      <c r="AU701">
        <v>20261006</v>
      </c>
      <c r="AV701" t="s">
        <v>221</v>
      </c>
      <c r="AW701" t="s">
        <v>559</v>
      </c>
      <c r="AX701" t="s">
        <v>222</v>
      </c>
      <c r="BA701" s="57">
        <v>46301.458333333336</v>
      </c>
      <c r="BB701" t="s">
        <v>3048</v>
      </c>
      <c r="BC701">
        <v>2026</v>
      </c>
      <c r="BD701">
        <v>10</v>
      </c>
      <c r="BE701">
        <v>6</v>
      </c>
      <c r="BF701" s="6">
        <f t="shared" si="30"/>
        <v>46301</v>
      </c>
      <c r="BG701">
        <f t="shared" si="31"/>
        <v>-0.45833333333575865</v>
      </c>
      <c r="BH701" t="str">
        <f t="shared" si="32"/>
        <v>COMPLY</v>
      </c>
      <c r="BI701" t="str">
        <f>VLOOKUP(H701,Sheet2!$A$1:$B$270,2,FALSE)</f>
        <v>TABANAN</v>
      </c>
    </row>
    <row r="702" spans="1:61">
      <c r="A702">
        <v>701</v>
      </c>
      <c r="B702">
        <v>1002625634</v>
      </c>
      <c r="C702">
        <v>3</v>
      </c>
      <c r="D702" t="s">
        <v>34</v>
      </c>
      <c r="E702">
        <v>5</v>
      </c>
      <c r="F702" t="s">
        <v>546</v>
      </c>
      <c r="G702" t="s">
        <v>85</v>
      </c>
      <c r="H702" t="s">
        <v>355</v>
      </c>
      <c r="I702" t="s">
        <v>212</v>
      </c>
      <c r="J702" t="s">
        <v>213</v>
      </c>
      <c r="K702" t="s">
        <v>149</v>
      </c>
      <c r="M702" t="s">
        <v>76</v>
      </c>
      <c r="N702" t="s">
        <v>215</v>
      </c>
      <c r="O702" s="57">
        <v>46302.439305555556</v>
      </c>
      <c r="P702" s="57">
        <v>46302.624791666669</v>
      </c>
      <c r="Q702">
        <v>69404311</v>
      </c>
      <c r="S702">
        <v>172414214655</v>
      </c>
      <c r="T702" t="s">
        <v>3049</v>
      </c>
      <c r="U702" t="s">
        <v>4399</v>
      </c>
      <c r="V702" t="s">
        <v>4400</v>
      </c>
      <c r="Z702">
        <v>115.192901158822</v>
      </c>
      <c r="AA702">
        <v>-8.3725817915668408</v>
      </c>
      <c r="AB702" t="s">
        <v>3052</v>
      </c>
      <c r="AC702" t="s">
        <v>229</v>
      </c>
      <c r="AL702" t="s">
        <v>217</v>
      </c>
      <c r="AM702" t="s">
        <v>4401</v>
      </c>
      <c r="AN702" t="s">
        <v>6</v>
      </c>
      <c r="AO702" s="57">
        <v>46213.444687499999</v>
      </c>
      <c r="AR702" t="s">
        <v>218</v>
      </c>
      <c r="AS702" t="s">
        <v>85</v>
      </c>
      <c r="AT702" t="s">
        <v>230</v>
      </c>
      <c r="AU702">
        <v>20261007</v>
      </c>
      <c r="AV702" t="s">
        <v>221</v>
      </c>
      <c r="AW702" t="s">
        <v>4402</v>
      </c>
      <c r="AX702" t="s">
        <v>222</v>
      </c>
      <c r="BA702" s="57">
        <v>46302.291666666664</v>
      </c>
      <c r="BB702" t="s">
        <v>4401</v>
      </c>
      <c r="BC702">
        <v>2026</v>
      </c>
      <c r="BD702">
        <v>10</v>
      </c>
      <c r="BE702">
        <v>7</v>
      </c>
      <c r="BF702" s="6">
        <f t="shared" si="30"/>
        <v>46302</v>
      </c>
      <c r="BG702">
        <f t="shared" si="31"/>
        <v>-0.29166666666424135</v>
      </c>
      <c r="BH702" t="str">
        <f t="shared" si="32"/>
        <v>COMPLY</v>
      </c>
      <c r="BI702" t="str">
        <f>VLOOKUP(H702,Sheet2!$A$1:$B$270,2,FALSE)</f>
        <v>TABANAN</v>
      </c>
    </row>
    <row r="703" spans="1:61">
      <c r="A703">
        <v>702</v>
      </c>
      <c r="B703">
        <v>1002619183</v>
      </c>
      <c r="C703">
        <v>3</v>
      </c>
      <c r="D703" t="s">
        <v>34</v>
      </c>
      <c r="E703">
        <v>5</v>
      </c>
      <c r="F703" t="s">
        <v>546</v>
      </c>
      <c r="G703" t="s">
        <v>85</v>
      </c>
      <c r="H703" t="s">
        <v>278</v>
      </c>
      <c r="I703" t="s">
        <v>212</v>
      </c>
      <c r="J703" t="s">
        <v>213</v>
      </c>
      <c r="K703" t="s">
        <v>149</v>
      </c>
      <c r="M703" t="s">
        <v>839</v>
      </c>
      <c r="N703" t="s">
        <v>215</v>
      </c>
      <c r="O703" s="57">
        <v>46297.407152777778</v>
      </c>
      <c r="P703" s="57">
        <v>46301.376817129632</v>
      </c>
      <c r="Q703">
        <v>69402795</v>
      </c>
      <c r="S703">
        <v>172413245144</v>
      </c>
      <c r="T703" t="s">
        <v>2466</v>
      </c>
      <c r="U703" t="s">
        <v>2454</v>
      </c>
      <c r="V703" t="s">
        <v>2467</v>
      </c>
      <c r="Z703">
        <v>114.9505413</v>
      </c>
      <c r="AA703">
        <v>-8.4895628999999992</v>
      </c>
      <c r="AB703" t="s">
        <v>2468</v>
      </c>
      <c r="AC703" t="s">
        <v>229</v>
      </c>
      <c r="AL703" t="s">
        <v>217</v>
      </c>
      <c r="AM703" t="s">
        <v>2469</v>
      </c>
      <c r="AN703" t="s">
        <v>6</v>
      </c>
      <c r="AO703" s="57">
        <v>46063.42392361111</v>
      </c>
      <c r="AP703" s="57">
        <v>46298.458333333336</v>
      </c>
      <c r="AQ703" t="s">
        <v>838</v>
      </c>
      <c r="AR703" t="s">
        <v>840</v>
      </c>
      <c r="AS703" t="s">
        <v>85</v>
      </c>
      <c r="AT703" t="s">
        <v>220</v>
      </c>
      <c r="AV703" t="s">
        <v>3054</v>
      </c>
      <c r="AW703" t="s">
        <v>540</v>
      </c>
      <c r="AX703" t="s">
        <v>222</v>
      </c>
      <c r="BA703" s="57">
        <v>46298.458333333336</v>
      </c>
      <c r="BB703" t="s">
        <v>2469</v>
      </c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str">
        <f>VLOOKUP(H703,Sheet2!$A$1:$B$270,2,FALSE)</f>
        <v>TABANAN</v>
      </c>
    </row>
    <row r="704" spans="1:61">
      <c r="A704">
        <v>703</v>
      </c>
      <c r="B704">
        <v>1002621601</v>
      </c>
      <c r="C704">
        <v>3</v>
      </c>
      <c r="D704" t="s">
        <v>34</v>
      </c>
      <c r="E704">
        <v>5</v>
      </c>
      <c r="F704" t="s">
        <v>546</v>
      </c>
      <c r="G704" t="s">
        <v>85</v>
      </c>
      <c r="H704" t="s">
        <v>278</v>
      </c>
      <c r="I704" t="s">
        <v>212</v>
      </c>
      <c r="J704" t="s">
        <v>213</v>
      </c>
      <c r="K704" t="s">
        <v>149</v>
      </c>
      <c r="M704" t="s">
        <v>839</v>
      </c>
      <c r="N704" t="s">
        <v>215</v>
      </c>
      <c r="O704" s="57">
        <v>46300.360115740739</v>
      </c>
      <c r="P704" s="57">
        <v>46301.469085648147</v>
      </c>
      <c r="Q704">
        <v>69404038</v>
      </c>
      <c r="S704">
        <v>172413245199</v>
      </c>
      <c r="T704" t="s">
        <v>2466</v>
      </c>
      <c r="U704" t="s">
        <v>3055</v>
      </c>
      <c r="V704" t="s">
        <v>3056</v>
      </c>
      <c r="Z704">
        <v>114.9505413</v>
      </c>
      <c r="AA704">
        <v>-8.4895628999999992</v>
      </c>
      <c r="AB704" t="s">
        <v>2468</v>
      </c>
      <c r="AC704" t="s">
        <v>229</v>
      </c>
      <c r="AL704" t="s">
        <v>217</v>
      </c>
      <c r="AM704" t="s">
        <v>3057</v>
      </c>
      <c r="AN704" t="s">
        <v>6</v>
      </c>
      <c r="AO704" s="57">
        <v>46152.361574074072</v>
      </c>
      <c r="AP704" s="57">
        <v>46301.458333333336</v>
      </c>
      <c r="AQ704" t="s">
        <v>838</v>
      </c>
      <c r="AR704" t="s">
        <v>840</v>
      </c>
      <c r="AS704" t="s">
        <v>85</v>
      </c>
      <c r="AT704" t="s">
        <v>230</v>
      </c>
      <c r="AV704" t="s">
        <v>3058</v>
      </c>
      <c r="AW704" t="s">
        <v>540</v>
      </c>
      <c r="AX704" t="s">
        <v>222</v>
      </c>
      <c r="BA704" s="57">
        <v>46301.458333333336</v>
      </c>
      <c r="BB704" t="s">
        <v>3057</v>
      </c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str">
        <f>VLOOKUP(H704,Sheet2!$A$1:$B$270,2,FALSE)</f>
        <v>TABANAN</v>
      </c>
    </row>
    <row r="705" spans="1:61">
      <c r="A705">
        <v>704</v>
      </c>
      <c r="B705">
        <v>1002622681</v>
      </c>
      <c r="C705">
        <v>3</v>
      </c>
      <c r="D705" t="s">
        <v>34</v>
      </c>
      <c r="E705">
        <v>5</v>
      </c>
      <c r="F705" t="s">
        <v>546</v>
      </c>
      <c r="G705" t="s">
        <v>85</v>
      </c>
      <c r="H705" t="s">
        <v>278</v>
      </c>
      <c r="I705" t="s">
        <v>212</v>
      </c>
      <c r="J705" t="s">
        <v>213</v>
      </c>
      <c r="K705" t="s">
        <v>149</v>
      </c>
      <c r="M705" t="s">
        <v>542</v>
      </c>
      <c r="N705" t="s">
        <v>215</v>
      </c>
      <c r="O705" s="57">
        <v>46300.605682870373</v>
      </c>
      <c r="P705" s="57">
        <v>46300.605682870373</v>
      </c>
      <c r="Q705">
        <v>69403301</v>
      </c>
      <c r="T705" t="s">
        <v>2453</v>
      </c>
      <c r="V705" t="s">
        <v>2455</v>
      </c>
      <c r="Z705">
        <v>114.9491</v>
      </c>
      <c r="AA705">
        <v>-8.49</v>
      </c>
      <c r="AB705" t="s">
        <v>2446</v>
      </c>
      <c r="AC705" t="s">
        <v>229</v>
      </c>
      <c r="AL705" t="s">
        <v>217</v>
      </c>
      <c r="AM705" t="s">
        <v>2443</v>
      </c>
      <c r="AN705" t="s">
        <v>6</v>
      </c>
      <c r="AO705" s="57">
        <v>46152.611331018517</v>
      </c>
      <c r="AP705" s="57">
        <v>46299</v>
      </c>
      <c r="AR705" t="s">
        <v>543</v>
      </c>
      <c r="AS705" t="s">
        <v>85</v>
      </c>
      <c r="AT705" t="s">
        <v>230</v>
      </c>
      <c r="AV705" t="s">
        <v>3059</v>
      </c>
      <c r="AW705" t="s">
        <v>1987</v>
      </c>
      <c r="AX705" t="s">
        <v>222</v>
      </c>
      <c r="BA705" s="57">
        <v>46299.333333333336</v>
      </c>
      <c r="BB705" t="s">
        <v>2443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str">
        <f>VLOOKUP(H705,Sheet2!$A$1:$B$270,2,FALSE)</f>
        <v>TABANAN</v>
      </c>
    </row>
    <row r="706" spans="1:61">
      <c r="A706">
        <v>705</v>
      </c>
      <c r="B706">
        <v>1002622687</v>
      </c>
      <c r="C706">
        <v>3</v>
      </c>
      <c r="D706" t="s">
        <v>34</v>
      </c>
      <c r="E706">
        <v>5</v>
      </c>
      <c r="F706" t="s">
        <v>546</v>
      </c>
      <c r="G706" t="s">
        <v>85</v>
      </c>
      <c r="H706" t="s">
        <v>278</v>
      </c>
      <c r="I706" t="s">
        <v>212</v>
      </c>
      <c r="J706" t="s">
        <v>213</v>
      </c>
      <c r="K706" t="s">
        <v>149</v>
      </c>
      <c r="M706" t="s">
        <v>542</v>
      </c>
      <c r="N706" t="s">
        <v>215</v>
      </c>
      <c r="O706" s="57">
        <v>46300.607303240744</v>
      </c>
      <c r="P706" s="57">
        <v>46300.607314814813</v>
      </c>
      <c r="Q706">
        <v>69403328</v>
      </c>
      <c r="T706" t="s">
        <v>2444</v>
      </c>
      <c r="V706" t="s">
        <v>2445</v>
      </c>
      <c r="Z706">
        <v>114.9491</v>
      </c>
      <c r="AA706">
        <v>-8.49</v>
      </c>
      <c r="AB706" t="s">
        <v>2446</v>
      </c>
      <c r="AC706" t="s">
        <v>229</v>
      </c>
      <c r="AL706" t="s">
        <v>217</v>
      </c>
      <c r="AM706" t="s">
        <v>2443</v>
      </c>
      <c r="AN706" t="s">
        <v>6</v>
      </c>
      <c r="AO706" s="57">
        <v>46152.611331018517</v>
      </c>
      <c r="AP706" s="57">
        <v>46299</v>
      </c>
      <c r="AR706" t="s">
        <v>543</v>
      </c>
      <c r="AS706" t="s">
        <v>85</v>
      </c>
      <c r="AT706" t="s">
        <v>230</v>
      </c>
      <c r="AV706" t="s">
        <v>3060</v>
      </c>
      <c r="AW706" t="s">
        <v>2447</v>
      </c>
      <c r="AX706" t="s">
        <v>222</v>
      </c>
      <c r="BA706" s="57">
        <v>46299.333333333336</v>
      </c>
      <c r="BB706" t="s">
        <v>2443</v>
      </c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str">
        <f>VLOOKUP(H706,Sheet2!$A$1:$B$270,2,FALSE)</f>
        <v>TABANAN</v>
      </c>
    </row>
    <row r="707" spans="1:61">
      <c r="A707">
        <v>706</v>
      </c>
      <c r="B707">
        <v>1002622731</v>
      </c>
      <c r="C707">
        <v>3</v>
      </c>
      <c r="D707" t="s">
        <v>34</v>
      </c>
      <c r="E707">
        <v>5</v>
      </c>
      <c r="F707" t="s">
        <v>546</v>
      </c>
      <c r="G707" t="s">
        <v>85</v>
      </c>
      <c r="H707" t="s">
        <v>278</v>
      </c>
      <c r="I707" t="s">
        <v>212</v>
      </c>
      <c r="J707" t="s">
        <v>213</v>
      </c>
      <c r="K707" t="s">
        <v>149</v>
      </c>
      <c r="M707" t="s">
        <v>542</v>
      </c>
      <c r="N707" t="s">
        <v>215</v>
      </c>
      <c r="O707" s="57">
        <v>46300.618252314816</v>
      </c>
      <c r="P707" s="57">
        <v>46300.618263888886</v>
      </c>
      <c r="Q707">
        <v>69403354</v>
      </c>
      <c r="T707" t="s">
        <v>2444</v>
      </c>
      <c r="V707" t="s">
        <v>2452</v>
      </c>
      <c r="Z707">
        <v>114.9491</v>
      </c>
      <c r="AA707">
        <v>-8.49</v>
      </c>
      <c r="AB707" t="s">
        <v>2442</v>
      </c>
      <c r="AC707" t="s">
        <v>229</v>
      </c>
      <c r="AL707" t="s">
        <v>217</v>
      </c>
      <c r="AM707" t="s">
        <v>2443</v>
      </c>
      <c r="AN707" t="s">
        <v>6</v>
      </c>
      <c r="AO707" s="57">
        <v>46152.632743055554</v>
      </c>
      <c r="AP707" s="57">
        <v>46299</v>
      </c>
      <c r="AR707" t="s">
        <v>543</v>
      </c>
      <c r="AS707" t="s">
        <v>85</v>
      </c>
      <c r="AT707" t="s">
        <v>230</v>
      </c>
      <c r="AV707" t="s">
        <v>3061</v>
      </c>
      <c r="AW707" t="s">
        <v>540</v>
      </c>
      <c r="AX707" t="s">
        <v>222</v>
      </c>
      <c r="BA707" s="57">
        <v>46299.333333333336</v>
      </c>
      <c r="BB707" t="s">
        <v>2443</v>
      </c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str">
        <f>VLOOKUP(H707,Sheet2!$A$1:$B$270,2,FALSE)</f>
        <v>TABANAN</v>
      </c>
    </row>
    <row r="708" spans="1:61">
      <c r="A708">
        <v>707</v>
      </c>
      <c r="B708">
        <v>1002622711</v>
      </c>
      <c r="C708">
        <v>3</v>
      </c>
      <c r="D708" t="s">
        <v>34</v>
      </c>
      <c r="E708">
        <v>5</v>
      </c>
      <c r="F708" t="s">
        <v>546</v>
      </c>
      <c r="G708" t="s">
        <v>85</v>
      </c>
      <c r="H708" t="s">
        <v>278</v>
      </c>
      <c r="I708" t="s">
        <v>212</v>
      </c>
      <c r="J708" t="s">
        <v>213</v>
      </c>
      <c r="K708" t="s">
        <v>149</v>
      </c>
      <c r="M708" t="s">
        <v>542</v>
      </c>
      <c r="N708" t="s">
        <v>215</v>
      </c>
      <c r="O708" s="57">
        <v>46300.615034722221</v>
      </c>
      <c r="P708" s="57">
        <v>46300.615046296298</v>
      </c>
      <c r="Q708">
        <v>69403343</v>
      </c>
      <c r="T708" t="s">
        <v>2439</v>
      </c>
      <c r="V708" t="s">
        <v>2441</v>
      </c>
      <c r="Z708">
        <v>114.9491</v>
      </c>
      <c r="AA708">
        <v>-8.49</v>
      </c>
      <c r="AB708" t="s">
        <v>2442</v>
      </c>
      <c r="AC708" t="s">
        <v>229</v>
      </c>
      <c r="AL708" t="s">
        <v>217</v>
      </c>
      <c r="AM708" t="s">
        <v>2443</v>
      </c>
      <c r="AN708" t="s">
        <v>6</v>
      </c>
      <c r="AO708" s="57">
        <v>46152.632743055554</v>
      </c>
      <c r="AP708" s="57">
        <v>46299</v>
      </c>
      <c r="AR708" t="s">
        <v>543</v>
      </c>
      <c r="AS708" t="s">
        <v>85</v>
      </c>
      <c r="AT708" t="s">
        <v>230</v>
      </c>
      <c r="AV708" t="s">
        <v>3062</v>
      </c>
      <c r="AW708" t="s">
        <v>540</v>
      </c>
      <c r="AX708" t="s">
        <v>222</v>
      </c>
      <c r="BA708" s="57">
        <v>46299.333333333336</v>
      </c>
      <c r="BB708" t="s">
        <v>2443</v>
      </c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str">
        <f>VLOOKUP(H708,Sheet2!$A$1:$B$270,2,FALSE)</f>
        <v>TABANAN</v>
      </c>
    </row>
    <row r="709" spans="1:61">
      <c r="A709">
        <v>708</v>
      </c>
      <c r="B709">
        <v>1002622699</v>
      </c>
      <c r="C709">
        <v>3</v>
      </c>
      <c r="D709" t="s">
        <v>34</v>
      </c>
      <c r="E709">
        <v>5</v>
      </c>
      <c r="F709" t="s">
        <v>546</v>
      </c>
      <c r="G709" t="s">
        <v>85</v>
      </c>
      <c r="H709" t="s">
        <v>278</v>
      </c>
      <c r="I709" t="s">
        <v>212</v>
      </c>
      <c r="J709" t="s">
        <v>213</v>
      </c>
      <c r="K709" t="s">
        <v>149</v>
      </c>
      <c r="M709" t="s">
        <v>542</v>
      </c>
      <c r="N709" t="s">
        <v>215</v>
      </c>
      <c r="O709" s="57">
        <v>46300.611296296294</v>
      </c>
      <c r="P709" s="57">
        <v>46300.611307870371</v>
      </c>
      <c r="Q709">
        <v>69403340</v>
      </c>
      <c r="T709" t="s">
        <v>2444</v>
      </c>
      <c r="V709" t="s">
        <v>2456</v>
      </c>
      <c r="Z709">
        <v>114.9491</v>
      </c>
      <c r="AA709">
        <v>-8.49</v>
      </c>
      <c r="AB709" t="s">
        <v>2442</v>
      </c>
      <c r="AC709" t="s">
        <v>229</v>
      </c>
      <c r="AL709" t="s">
        <v>217</v>
      </c>
      <c r="AM709" t="s">
        <v>2443</v>
      </c>
      <c r="AN709" t="s">
        <v>6</v>
      </c>
      <c r="AO709" s="57">
        <v>46152.632743055554</v>
      </c>
      <c r="AP709" s="57">
        <v>46299</v>
      </c>
      <c r="AR709" t="s">
        <v>543</v>
      </c>
      <c r="AS709" t="s">
        <v>85</v>
      </c>
      <c r="AT709" t="s">
        <v>230</v>
      </c>
      <c r="AV709" t="s">
        <v>3063</v>
      </c>
      <c r="AW709" t="s">
        <v>2457</v>
      </c>
      <c r="AX709" t="s">
        <v>222</v>
      </c>
      <c r="BA709" s="57">
        <v>46299.333333333336</v>
      </c>
      <c r="BB709" t="s">
        <v>2443</v>
      </c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str">
        <f>VLOOKUP(H709,Sheet2!$A$1:$B$270,2,FALSE)</f>
        <v>TABANAN</v>
      </c>
    </row>
    <row r="710" spans="1:61">
      <c r="A710">
        <v>709</v>
      </c>
      <c r="B710">
        <v>1002623520</v>
      </c>
      <c r="C710">
        <v>3</v>
      </c>
      <c r="D710" t="s">
        <v>34</v>
      </c>
      <c r="E710">
        <v>5</v>
      </c>
      <c r="F710" t="s">
        <v>546</v>
      </c>
      <c r="G710" t="s">
        <v>85</v>
      </c>
      <c r="H710" t="s">
        <v>278</v>
      </c>
      <c r="I710" t="s">
        <v>212</v>
      </c>
      <c r="J710" t="s">
        <v>213</v>
      </c>
      <c r="K710" t="s">
        <v>149</v>
      </c>
      <c r="M710" t="s">
        <v>542</v>
      </c>
      <c r="N710" t="s">
        <v>215</v>
      </c>
      <c r="O710" s="57">
        <v>46301.379224537035</v>
      </c>
      <c r="P710" s="57">
        <v>46301.379236111112</v>
      </c>
      <c r="Q710">
        <v>69403334</v>
      </c>
      <c r="T710" t="s">
        <v>2439</v>
      </c>
      <c r="V710" t="s">
        <v>2465</v>
      </c>
      <c r="Z710">
        <v>114.9491</v>
      </c>
      <c r="AA710">
        <v>-8.49</v>
      </c>
      <c r="AB710" t="s">
        <v>2446</v>
      </c>
      <c r="AC710" t="s">
        <v>229</v>
      </c>
      <c r="AL710" t="s">
        <v>217</v>
      </c>
      <c r="AM710" t="s">
        <v>2443</v>
      </c>
      <c r="AN710" t="s">
        <v>6</v>
      </c>
      <c r="AO710" s="57">
        <v>46183.392407407409</v>
      </c>
      <c r="AP710" s="57">
        <v>46299</v>
      </c>
      <c r="AR710" t="s">
        <v>543</v>
      </c>
      <c r="AS710" t="s">
        <v>85</v>
      </c>
      <c r="AT710" t="s">
        <v>230</v>
      </c>
      <c r="AV710" t="s">
        <v>3679</v>
      </c>
      <c r="AW710" t="s">
        <v>1987</v>
      </c>
      <c r="AX710" t="s">
        <v>222</v>
      </c>
      <c r="BA710" s="57">
        <v>46299.333333333336</v>
      </c>
      <c r="BB710" t="s">
        <v>2443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str">
        <f>VLOOKUP(H710,Sheet2!$A$1:$B$270,2,FALSE)</f>
        <v>TABANAN</v>
      </c>
    </row>
    <row r="711" spans="1:61">
      <c r="A711">
        <v>710</v>
      </c>
      <c r="B711">
        <v>1002623524</v>
      </c>
      <c r="C711">
        <v>3</v>
      </c>
      <c r="D711" t="s">
        <v>34</v>
      </c>
      <c r="E711">
        <v>5</v>
      </c>
      <c r="F711" t="s">
        <v>546</v>
      </c>
      <c r="G711" t="s">
        <v>85</v>
      </c>
      <c r="H711" t="s">
        <v>278</v>
      </c>
      <c r="I711" t="s">
        <v>212</v>
      </c>
      <c r="J711" t="s">
        <v>213</v>
      </c>
      <c r="K711" t="s">
        <v>149</v>
      </c>
      <c r="M711" t="s">
        <v>542</v>
      </c>
      <c r="N711" t="s">
        <v>215</v>
      </c>
      <c r="O711" s="57">
        <v>46301.38003472222</v>
      </c>
      <c r="P711" s="57">
        <v>46301.38003472222</v>
      </c>
      <c r="Q711">
        <v>69403349</v>
      </c>
      <c r="T711" t="s">
        <v>2439</v>
      </c>
      <c r="V711" t="s">
        <v>2464</v>
      </c>
      <c r="Z711">
        <v>114.9491</v>
      </c>
      <c r="AA711">
        <v>-8.49</v>
      </c>
      <c r="AB711" t="s">
        <v>2446</v>
      </c>
      <c r="AC711" t="s">
        <v>229</v>
      </c>
      <c r="AL711" t="s">
        <v>217</v>
      </c>
      <c r="AM711" t="s">
        <v>2443</v>
      </c>
      <c r="AN711" t="s">
        <v>6</v>
      </c>
      <c r="AO711" s="57">
        <v>46183.392407407409</v>
      </c>
      <c r="AP711" s="57">
        <v>46299</v>
      </c>
      <c r="AR711" t="s">
        <v>543</v>
      </c>
      <c r="AS711" t="s">
        <v>85</v>
      </c>
      <c r="AT711" t="s">
        <v>230</v>
      </c>
      <c r="AV711" t="s">
        <v>3680</v>
      </c>
      <c r="AW711" t="s">
        <v>1987</v>
      </c>
      <c r="AX711" t="s">
        <v>222</v>
      </c>
      <c r="BA711" s="57">
        <v>46299.333333333336</v>
      </c>
      <c r="BB711" t="s">
        <v>2443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str">
        <f>VLOOKUP(H711,Sheet2!$A$1:$B$270,2,FALSE)</f>
        <v>TABANAN</v>
      </c>
    </row>
    <row r="712" spans="1:61">
      <c r="A712">
        <v>711</v>
      </c>
      <c r="B712">
        <v>1002623506</v>
      </c>
      <c r="C712">
        <v>3</v>
      </c>
      <c r="D712" t="s">
        <v>34</v>
      </c>
      <c r="E712">
        <v>5</v>
      </c>
      <c r="F712" t="s">
        <v>546</v>
      </c>
      <c r="G712" t="s">
        <v>85</v>
      </c>
      <c r="H712" t="s">
        <v>278</v>
      </c>
      <c r="I712" t="s">
        <v>212</v>
      </c>
      <c r="J712" t="s">
        <v>213</v>
      </c>
      <c r="K712" t="s">
        <v>149</v>
      </c>
      <c r="M712" t="s">
        <v>542</v>
      </c>
      <c r="N712" t="s">
        <v>215</v>
      </c>
      <c r="O712" s="57">
        <v>46301.376562500001</v>
      </c>
      <c r="P712" s="57">
        <v>46301.376562500001</v>
      </c>
      <c r="Q712">
        <v>69403369</v>
      </c>
      <c r="T712" t="s">
        <v>2460</v>
      </c>
      <c r="V712" t="s">
        <v>2462</v>
      </c>
      <c r="Z712">
        <v>114.9491</v>
      </c>
      <c r="AA712">
        <v>-8.49</v>
      </c>
      <c r="AB712" t="s">
        <v>2442</v>
      </c>
      <c r="AC712" t="s">
        <v>229</v>
      </c>
      <c r="AL712" t="s">
        <v>217</v>
      </c>
      <c r="AM712" t="s">
        <v>2443</v>
      </c>
      <c r="AN712" t="s">
        <v>6</v>
      </c>
      <c r="AO712" s="57">
        <v>46183.392407407409</v>
      </c>
      <c r="AP712" s="57">
        <v>46299</v>
      </c>
      <c r="AR712" t="s">
        <v>543</v>
      </c>
      <c r="AS712" t="s">
        <v>85</v>
      </c>
      <c r="AT712" t="s">
        <v>230</v>
      </c>
      <c r="AV712" t="s">
        <v>3681</v>
      </c>
      <c r="AW712" t="s">
        <v>2457</v>
      </c>
      <c r="AX712" t="s">
        <v>222</v>
      </c>
      <c r="BA712" s="57">
        <v>46299.333333333336</v>
      </c>
      <c r="BB712" t="s">
        <v>2443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str">
        <f>VLOOKUP(H712,Sheet2!$A$1:$B$270,2,FALSE)</f>
        <v>TABANAN</v>
      </c>
    </row>
    <row r="713" spans="1:61">
      <c r="A713">
        <v>712</v>
      </c>
      <c r="B713">
        <v>1002623518</v>
      </c>
      <c r="C713">
        <v>3</v>
      </c>
      <c r="D713" t="s">
        <v>34</v>
      </c>
      <c r="E713">
        <v>5</v>
      </c>
      <c r="F713" t="s">
        <v>546</v>
      </c>
      <c r="G713" t="s">
        <v>85</v>
      </c>
      <c r="H713" t="s">
        <v>278</v>
      </c>
      <c r="I713" t="s">
        <v>212</v>
      </c>
      <c r="J713" t="s">
        <v>213</v>
      </c>
      <c r="K713" t="s">
        <v>149</v>
      </c>
      <c r="M713" t="s">
        <v>542</v>
      </c>
      <c r="N713" t="s">
        <v>215</v>
      </c>
      <c r="O713" s="57">
        <v>46301.378483796296</v>
      </c>
      <c r="P713" s="57">
        <v>46301.378483796296</v>
      </c>
      <c r="Q713">
        <v>69403323</v>
      </c>
      <c r="T713" t="s">
        <v>2444</v>
      </c>
      <c r="V713" t="s">
        <v>2458</v>
      </c>
      <c r="Z713">
        <v>114.9491</v>
      </c>
      <c r="AA713">
        <v>-8.49</v>
      </c>
      <c r="AB713" t="s">
        <v>2446</v>
      </c>
      <c r="AC713" t="s">
        <v>229</v>
      </c>
      <c r="AL713" t="s">
        <v>217</v>
      </c>
      <c r="AM713" t="s">
        <v>2459</v>
      </c>
      <c r="AN713" t="s">
        <v>6</v>
      </c>
      <c r="AO713" s="57">
        <v>46183.392407407409</v>
      </c>
      <c r="AP713" s="57">
        <v>46299</v>
      </c>
      <c r="AR713" t="s">
        <v>543</v>
      </c>
      <c r="AS713" t="s">
        <v>85</v>
      </c>
      <c r="AT713" t="s">
        <v>230</v>
      </c>
      <c r="AV713" t="s">
        <v>3682</v>
      </c>
      <c r="AW713" t="s">
        <v>1987</v>
      </c>
      <c r="AX713" t="s">
        <v>222</v>
      </c>
      <c r="BA713" s="57">
        <v>46299.333333333336</v>
      </c>
      <c r="BB713" t="s">
        <v>2459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str">
        <f>VLOOKUP(H713,Sheet2!$A$1:$B$270,2,FALSE)</f>
        <v>TABANAN</v>
      </c>
    </row>
    <row r="714" spans="1:61">
      <c r="A714">
        <v>713</v>
      </c>
      <c r="B714">
        <v>1002621590</v>
      </c>
      <c r="C714">
        <v>3</v>
      </c>
      <c r="D714" t="s">
        <v>34</v>
      </c>
      <c r="E714">
        <v>5</v>
      </c>
      <c r="F714" t="s">
        <v>546</v>
      </c>
      <c r="G714" t="s">
        <v>85</v>
      </c>
      <c r="H714" t="s">
        <v>278</v>
      </c>
      <c r="I714" t="s">
        <v>212</v>
      </c>
      <c r="J714" t="s">
        <v>213</v>
      </c>
      <c r="K714" t="s">
        <v>149</v>
      </c>
      <c r="M714" t="s">
        <v>76</v>
      </c>
      <c r="N714" t="s">
        <v>215</v>
      </c>
      <c r="O714" s="57">
        <v>46300.35528935185</v>
      </c>
      <c r="P714" s="57">
        <v>46301.449826388889</v>
      </c>
      <c r="Q714">
        <v>69404022</v>
      </c>
      <c r="S714">
        <v>172413245197</v>
      </c>
      <c r="T714" t="s">
        <v>3064</v>
      </c>
      <c r="U714" t="s">
        <v>3065</v>
      </c>
      <c r="V714" t="s">
        <v>3066</v>
      </c>
      <c r="Z714">
        <v>115.1276422</v>
      </c>
      <c r="AA714">
        <v>-8.5313531999999999</v>
      </c>
      <c r="AB714" t="s">
        <v>3067</v>
      </c>
      <c r="AC714" t="s">
        <v>229</v>
      </c>
      <c r="AL714" t="s">
        <v>217</v>
      </c>
      <c r="AM714" t="s">
        <v>3068</v>
      </c>
      <c r="AN714" t="s">
        <v>6</v>
      </c>
      <c r="AO714" s="57">
        <v>46152.361574074072</v>
      </c>
      <c r="AP714" s="57">
        <v>46301.333333333336</v>
      </c>
      <c r="AR714" t="s">
        <v>218</v>
      </c>
      <c r="AS714" t="s">
        <v>85</v>
      </c>
      <c r="AT714" t="s">
        <v>230</v>
      </c>
      <c r="AU714">
        <v>20261006</v>
      </c>
      <c r="AV714" t="s">
        <v>221</v>
      </c>
      <c r="AW714" t="s">
        <v>540</v>
      </c>
      <c r="AX714" t="s">
        <v>222</v>
      </c>
      <c r="BA714" s="57">
        <v>46301.333333333336</v>
      </c>
      <c r="BB714" t="s">
        <v>3068</v>
      </c>
      <c r="BC714">
        <v>2026</v>
      </c>
      <c r="BD714">
        <v>10</v>
      </c>
      <c r="BE714">
        <v>6</v>
      </c>
      <c r="BF714" s="6">
        <f t="shared" si="33"/>
        <v>46301</v>
      </c>
      <c r="BG714">
        <f t="shared" si="34"/>
        <v>-0.33333333333575865</v>
      </c>
      <c r="BH714" t="str">
        <f t="shared" si="35"/>
        <v>COMPLY</v>
      </c>
      <c r="BI714" t="str">
        <f>VLOOKUP(H714,Sheet2!$A$1:$B$270,2,FALSE)</f>
        <v>TABANAN</v>
      </c>
    </row>
    <row r="715" spans="1:61">
      <c r="A715">
        <v>714</v>
      </c>
      <c r="B715">
        <v>1002621600</v>
      </c>
      <c r="C715">
        <v>3</v>
      </c>
      <c r="D715" t="s">
        <v>34</v>
      </c>
      <c r="E715">
        <v>5</v>
      </c>
      <c r="F715" t="s">
        <v>546</v>
      </c>
      <c r="G715" t="s">
        <v>85</v>
      </c>
      <c r="H715" t="s">
        <v>278</v>
      </c>
      <c r="I715" t="s">
        <v>212</v>
      </c>
      <c r="J715" t="s">
        <v>213</v>
      </c>
      <c r="K715" t="s">
        <v>149</v>
      </c>
      <c r="M715" t="s">
        <v>76</v>
      </c>
      <c r="N715" t="s">
        <v>215</v>
      </c>
      <c r="O715" s="57">
        <v>46300.359872685185</v>
      </c>
      <c r="P715" s="57">
        <v>46301.663854166669</v>
      </c>
      <c r="Q715">
        <v>69404036</v>
      </c>
      <c r="S715">
        <v>172413245198</v>
      </c>
      <c r="T715" t="s">
        <v>3069</v>
      </c>
      <c r="U715" t="s">
        <v>3070</v>
      </c>
      <c r="V715" t="s">
        <v>3071</v>
      </c>
      <c r="Z715">
        <v>115.14450720000001</v>
      </c>
      <c r="AA715">
        <v>-8.4264419000000004</v>
      </c>
      <c r="AB715" t="s">
        <v>3072</v>
      </c>
      <c r="AC715" t="s">
        <v>229</v>
      </c>
      <c r="AL715" t="s">
        <v>217</v>
      </c>
      <c r="AM715" t="s">
        <v>3073</v>
      </c>
      <c r="AN715" t="s">
        <v>6</v>
      </c>
      <c r="AO715" s="57">
        <v>46152.361574074072</v>
      </c>
      <c r="AP715" s="57">
        <v>46301.333333333336</v>
      </c>
      <c r="AR715" t="s">
        <v>218</v>
      </c>
      <c r="AS715" t="s">
        <v>85</v>
      </c>
      <c r="AT715" t="s">
        <v>230</v>
      </c>
      <c r="AU715">
        <v>20261006</v>
      </c>
      <c r="AV715" t="s">
        <v>221</v>
      </c>
      <c r="AW715" t="s">
        <v>540</v>
      </c>
      <c r="AX715" t="s">
        <v>222</v>
      </c>
      <c r="BA715" s="57">
        <v>46301.333333333336</v>
      </c>
      <c r="BB715" t="s">
        <v>3073</v>
      </c>
      <c r="BC715">
        <v>2026</v>
      </c>
      <c r="BD715">
        <v>10</v>
      </c>
      <c r="BE715">
        <v>6</v>
      </c>
      <c r="BF715" s="6">
        <f t="shared" si="33"/>
        <v>46301</v>
      </c>
      <c r="BG715">
        <f t="shared" si="34"/>
        <v>-0.33333333333575865</v>
      </c>
      <c r="BH715" t="str">
        <f t="shared" si="35"/>
        <v>COMPLY</v>
      </c>
      <c r="BI715" t="str">
        <f>VLOOKUP(H715,Sheet2!$A$1:$B$270,2,FALSE)</f>
        <v>TABANAN</v>
      </c>
    </row>
    <row r="716" spans="1:61">
      <c r="A716">
        <v>715</v>
      </c>
      <c r="B716">
        <v>1002621888</v>
      </c>
      <c r="C716">
        <v>3</v>
      </c>
      <c r="D716" t="s">
        <v>34</v>
      </c>
      <c r="E716">
        <v>5</v>
      </c>
      <c r="F716" t="s">
        <v>546</v>
      </c>
      <c r="G716" t="s">
        <v>85</v>
      </c>
      <c r="H716" t="s">
        <v>278</v>
      </c>
      <c r="I716" t="s">
        <v>212</v>
      </c>
      <c r="J716" t="s">
        <v>213</v>
      </c>
      <c r="K716" t="s">
        <v>149</v>
      </c>
      <c r="M716" t="s">
        <v>238</v>
      </c>
      <c r="N716" t="s">
        <v>215</v>
      </c>
      <c r="O716" s="57">
        <v>46300.425509259258</v>
      </c>
      <c r="P716" s="57">
        <v>46300.613842592589</v>
      </c>
      <c r="Q716">
        <v>69404148</v>
      </c>
      <c r="S716">
        <v>172413244757</v>
      </c>
      <c r="T716" t="s">
        <v>3074</v>
      </c>
      <c r="U716" t="s">
        <v>3075</v>
      </c>
      <c r="V716" t="s">
        <v>3076</v>
      </c>
      <c r="Z716">
        <v>114.958879</v>
      </c>
      <c r="AA716">
        <v>-8.4973027999999999</v>
      </c>
      <c r="AB716" t="s">
        <v>3077</v>
      </c>
      <c r="AC716" t="s">
        <v>229</v>
      </c>
      <c r="AL716" t="s">
        <v>217</v>
      </c>
      <c r="AM716" t="s">
        <v>3078</v>
      </c>
      <c r="AN716" t="s">
        <v>6</v>
      </c>
      <c r="AO716" s="57">
        <v>46152.444537037038</v>
      </c>
      <c r="AP716" s="57">
        <v>46301</v>
      </c>
      <c r="AR716" t="s">
        <v>239</v>
      </c>
      <c r="AS716" t="s">
        <v>85</v>
      </c>
      <c r="AT716" t="s">
        <v>230</v>
      </c>
      <c r="AV716" t="s">
        <v>238</v>
      </c>
      <c r="AW716" t="s">
        <v>540</v>
      </c>
      <c r="AX716" t="s">
        <v>222</v>
      </c>
      <c r="BA716" s="57">
        <v>46301.458333333336</v>
      </c>
      <c r="BB716" t="s">
        <v>3078</v>
      </c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str">
        <f>VLOOKUP(H716,Sheet2!$A$1:$B$270,2,FALSE)</f>
        <v>TABANAN</v>
      </c>
    </row>
    <row r="717" spans="1:61">
      <c r="A717">
        <v>716</v>
      </c>
      <c r="B717">
        <v>1002626557</v>
      </c>
      <c r="C717">
        <v>3</v>
      </c>
      <c r="D717" t="s">
        <v>34</v>
      </c>
      <c r="E717">
        <v>5</v>
      </c>
      <c r="F717" t="s">
        <v>546</v>
      </c>
      <c r="G717" t="s">
        <v>85</v>
      </c>
      <c r="H717" t="s">
        <v>278</v>
      </c>
      <c r="I717" t="s">
        <v>212</v>
      </c>
      <c r="J717" t="s">
        <v>213</v>
      </c>
      <c r="K717" t="s">
        <v>149</v>
      </c>
      <c r="M717" t="s">
        <v>238</v>
      </c>
      <c r="N717" t="s">
        <v>563</v>
      </c>
      <c r="O717" s="57">
        <v>46302.645370370374</v>
      </c>
      <c r="P717" s="57">
        <v>46302.786134259259</v>
      </c>
      <c r="Q717">
        <v>69405991</v>
      </c>
      <c r="S717">
        <v>172413244789</v>
      </c>
      <c r="T717" t="s">
        <v>4403</v>
      </c>
      <c r="U717" t="s">
        <v>4404</v>
      </c>
      <c r="V717" t="s">
        <v>4405</v>
      </c>
      <c r="Z717">
        <v>115.1451118</v>
      </c>
      <c r="AA717">
        <v>-8.4218925999999996</v>
      </c>
      <c r="AB717" t="s">
        <v>4406</v>
      </c>
      <c r="AC717" t="s">
        <v>229</v>
      </c>
      <c r="AL717" t="s">
        <v>217</v>
      </c>
      <c r="AM717" t="s">
        <v>4137</v>
      </c>
      <c r="AN717" t="s">
        <v>6</v>
      </c>
      <c r="AO717" s="57">
        <v>46213.66333333333</v>
      </c>
      <c r="AP717" s="57">
        <v>46303.625</v>
      </c>
      <c r="AR717" t="s">
        <v>239</v>
      </c>
      <c r="AS717" t="s">
        <v>85</v>
      </c>
      <c r="AT717" t="s">
        <v>342</v>
      </c>
      <c r="AV717" t="s">
        <v>238</v>
      </c>
      <c r="AW717" t="s">
        <v>559</v>
      </c>
      <c r="AX717" t="s">
        <v>222</v>
      </c>
      <c r="BA717" s="57">
        <v>46303.625</v>
      </c>
      <c r="BB717" t="s">
        <v>4137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str">
        <f>VLOOKUP(H717,Sheet2!$A$1:$B$270,2,FALSE)</f>
        <v>TABANAN</v>
      </c>
    </row>
    <row r="718" spans="1:61">
      <c r="A718">
        <v>717</v>
      </c>
      <c r="B718">
        <v>1002626101</v>
      </c>
      <c r="C718">
        <v>3</v>
      </c>
      <c r="D718" t="s">
        <v>34</v>
      </c>
      <c r="E718">
        <v>5</v>
      </c>
      <c r="F718" t="s">
        <v>546</v>
      </c>
      <c r="G718" t="s">
        <v>85</v>
      </c>
      <c r="H718" t="s">
        <v>278</v>
      </c>
      <c r="I718" t="s">
        <v>212</v>
      </c>
      <c r="J718" t="s">
        <v>213</v>
      </c>
      <c r="K718" t="s">
        <v>149</v>
      </c>
      <c r="M718" t="s">
        <v>238</v>
      </c>
      <c r="N718" t="s">
        <v>215</v>
      </c>
      <c r="O718" s="57">
        <v>46302.557129629633</v>
      </c>
      <c r="P718" s="57">
        <v>46302.591678240744</v>
      </c>
      <c r="Q718">
        <v>69405836</v>
      </c>
      <c r="S718">
        <v>172413244777</v>
      </c>
      <c r="T718" t="s">
        <v>4407</v>
      </c>
      <c r="U718" t="s">
        <v>4408</v>
      </c>
      <c r="V718" t="s">
        <v>4409</v>
      </c>
      <c r="Z718">
        <v>115.1439596</v>
      </c>
      <c r="AA718">
        <v>-8.4251176000000001</v>
      </c>
      <c r="AB718" t="s">
        <v>4410</v>
      </c>
      <c r="AC718" t="s">
        <v>229</v>
      </c>
      <c r="AL718" t="s">
        <v>217</v>
      </c>
      <c r="AM718" t="s">
        <v>4411</v>
      </c>
      <c r="AN718" t="s">
        <v>6</v>
      </c>
      <c r="AO718" s="57">
        <v>46213.559548611112</v>
      </c>
      <c r="AP718" s="57">
        <v>46303.458333333336</v>
      </c>
      <c r="AR718" t="s">
        <v>239</v>
      </c>
      <c r="AS718" t="s">
        <v>85</v>
      </c>
      <c r="AT718" t="s">
        <v>342</v>
      </c>
      <c r="AV718" t="s">
        <v>238</v>
      </c>
      <c r="AW718" t="s">
        <v>4412</v>
      </c>
      <c r="AX718" t="s">
        <v>222</v>
      </c>
      <c r="BA718" s="57">
        <v>46303.458333333336</v>
      </c>
      <c r="BB718" t="s">
        <v>4411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str">
        <f>VLOOKUP(H718,Sheet2!$A$1:$B$270,2,FALSE)</f>
        <v>TABANAN</v>
      </c>
    </row>
    <row r="719" spans="1:61">
      <c r="A719">
        <v>718</v>
      </c>
      <c r="B719">
        <v>1002626521</v>
      </c>
      <c r="C719">
        <v>3</v>
      </c>
      <c r="D719" t="s">
        <v>34</v>
      </c>
      <c r="E719">
        <v>5</v>
      </c>
      <c r="F719" t="s">
        <v>546</v>
      </c>
      <c r="G719" t="s">
        <v>85</v>
      </c>
      <c r="H719" t="s">
        <v>278</v>
      </c>
      <c r="I719" t="s">
        <v>212</v>
      </c>
      <c r="J719" t="s">
        <v>213</v>
      </c>
      <c r="K719" t="s">
        <v>149</v>
      </c>
      <c r="M719" t="s">
        <v>238</v>
      </c>
      <c r="N719" t="s">
        <v>215</v>
      </c>
      <c r="O719" s="57">
        <v>46302.638009259259</v>
      </c>
      <c r="P719" s="57">
        <v>46302.713969907411</v>
      </c>
      <c r="Q719">
        <v>69405962</v>
      </c>
      <c r="S719">
        <v>172413245225</v>
      </c>
      <c r="T719" t="s">
        <v>4403</v>
      </c>
      <c r="U719" t="s">
        <v>4404</v>
      </c>
      <c r="V719" t="s">
        <v>4413</v>
      </c>
      <c r="Z719">
        <v>115.1451118</v>
      </c>
      <c r="AA719">
        <v>-8.4218925999999996</v>
      </c>
      <c r="AB719" t="s">
        <v>4406</v>
      </c>
      <c r="AC719" t="s">
        <v>229</v>
      </c>
      <c r="AL719" t="s">
        <v>217</v>
      </c>
      <c r="AM719" t="s">
        <v>4414</v>
      </c>
      <c r="AN719" t="s">
        <v>6</v>
      </c>
      <c r="AO719" s="57">
        <v>46213.642511574071</v>
      </c>
      <c r="AP719" s="57">
        <v>46304.458333333336</v>
      </c>
      <c r="AR719" t="s">
        <v>239</v>
      </c>
      <c r="AS719" t="s">
        <v>85</v>
      </c>
      <c r="AT719" t="s">
        <v>342</v>
      </c>
      <c r="AV719" t="s">
        <v>238</v>
      </c>
      <c r="AW719" t="s">
        <v>1593</v>
      </c>
      <c r="AX719" t="s">
        <v>222</v>
      </c>
      <c r="BA719" s="57">
        <v>46304.458333333336</v>
      </c>
      <c r="BB719" t="s">
        <v>4414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str">
        <f>VLOOKUP(H719,Sheet2!$A$1:$B$270,2,FALSE)</f>
        <v>TABANAN</v>
      </c>
    </row>
    <row r="720" spans="1:61">
      <c r="A720">
        <v>719</v>
      </c>
      <c r="B720">
        <v>1002622743</v>
      </c>
      <c r="C720">
        <v>3</v>
      </c>
      <c r="D720" t="s">
        <v>34</v>
      </c>
      <c r="E720">
        <v>5</v>
      </c>
      <c r="F720" t="s">
        <v>546</v>
      </c>
      <c r="G720" t="s">
        <v>85</v>
      </c>
      <c r="H720" t="s">
        <v>278</v>
      </c>
      <c r="I720" t="s">
        <v>212</v>
      </c>
      <c r="J720" t="s">
        <v>213</v>
      </c>
      <c r="K720" t="s">
        <v>149</v>
      </c>
      <c r="M720" t="s">
        <v>2117</v>
      </c>
      <c r="N720" t="s">
        <v>215</v>
      </c>
      <c r="O720" s="57">
        <v>46300.620023148149</v>
      </c>
      <c r="P720" s="57">
        <v>46301.468784722223</v>
      </c>
      <c r="Q720">
        <v>69403357</v>
      </c>
      <c r="T720" t="s">
        <v>2448</v>
      </c>
      <c r="V720" t="s">
        <v>2450</v>
      </c>
      <c r="Z720">
        <v>114.9491</v>
      </c>
      <c r="AA720">
        <v>-8.49</v>
      </c>
      <c r="AB720" t="s">
        <v>2442</v>
      </c>
      <c r="AC720" t="s">
        <v>229</v>
      </c>
      <c r="AL720" t="s">
        <v>217</v>
      </c>
      <c r="AM720" t="s">
        <v>2443</v>
      </c>
      <c r="AN720" t="s">
        <v>6</v>
      </c>
      <c r="AO720" s="57">
        <v>46152.632743055554</v>
      </c>
      <c r="AP720" s="57">
        <v>46299</v>
      </c>
      <c r="AR720" t="s">
        <v>543</v>
      </c>
      <c r="AS720" t="s">
        <v>85</v>
      </c>
      <c r="AT720" t="s">
        <v>230</v>
      </c>
      <c r="AV720" t="s">
        <v>2122</v>
      </c>
      <c r="AW720" t="s">
        <v>540</v>
      </c>
      <c r="AX720" t="s">
        <v>222</v>
      </c>
      <c r="BA720" s="57">
        <v>46299.333333333336</v>
      </c>
      <c r="BB720" t="s">
        <v>2443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str">
        <f>VLOOKUP(H720,Sheet2!$A$1:$B$270,2,FALSE)</f>
        <v>TABANAN</v>
      </c>
    </row>
    <row r="721" spans="1:61">
      <c r="A721">
        <v>720</v>
      </c>
      <c r="B721">
        <v>1002623512</v>
      </c>
      <c r="C721">
        <v>3</v>
      </c>
      <c r="D721" t="s">
        <v>34</v>
      </c>
      <c r="E721">
        <v>5</v>
      </c>
      <c r="F721" t="s">
        <v>546</v>
      </c>
      <c r="G721" t="s">
        <v>85</v>
      </c>
      <c r="H721" t="s">
        <v>278</v>
      </c>
      <c r="I721" t="s">
        <v>212</v>
      </c>
      <c r="J721" t="s">
        <v>213</v>
      </c>
      <c r="K721" t="s">
        <v>149</v>
      </c>
      <c r="M721" t="s">
        <v>2117</v>
      </c>
      <c r="N721" t="s">
        <v>215</v>
      </c>
      <c r="O721" s="57">
        <v>46301.377523148149</v>
      </c>
      <c r="P721" s="57">
        <v>46301.618784722225</v>
      </c>
      <c r="Q721">
        <v>69403325</v>
      </c>
      <c r="T721" t="s">
        <v>2439</v>
      </c>
      <c r="V721" t="s">
        <v>2463</v>
      </c>
      <c r="Z721">
        <v>114.9491</v>
      </c>
      <c r="AA721">
        <v>-8.49</v>
      </c>
      <c r="AB721" t="s">
        <v>2446</v>
      </c>
      <c r="AC721" t="s">
        <v>229</v>
      </c>
      <c r="AL721" t="s">
        <v>217</v>
      </c>
      <c r="AM721" t="s">
        <v>2443</v>
      </c>
      <c r="AN721" t="s">
        <v>6</v>
      </c>
      <c r="AO721" s="57">
        <v>46183.392407407409</v>
      </c>
      <c r="AP721" s="57">
        <v>46299</v>
      </c>
      <c r="AR721" t="s">
        <v>543</v>
      </c>
      <c r="AS721" t="s">
        <v>85</v>
      </c>
      <c r="AT721" t="s">
        <v>230</v>
      </c>
      <c r="AV721" t="s">
        <v>2122</v>
      </c>
      <c r="AW721" t="s">
        <v>2447</v>
      </c>
      <c r="AX721" t="s">
        <v>222</v>
      </c>
      <c r="BA721" s="57">
        <v>46299.333333333336</v>
      </c>
      <c r="BB721" t="s">
        <v>2443</v>
      </c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str">
        <f>VLOOKUP(H721,Sheet2!$A$1:$B$270,2,FALSE)</f>
        <v>TABANAN</v>
      </c>
    </row>
    <row r="722" spans="1:61">
      <c r="A722">
        <v>721</v>
      </c>
      <c r="B722">
        <v>1002625616</v>
      </c>
      <c r="C722">
        <v>3</v>
      </c>
      <c r="D722" t="s">
        <v>34</v>
      </c>
      <c r="E722">
        <v>5</v>
      </c>
      <c r="F722" t="s">
        <v>546</v>
      </c>
      <c r="G722" t="s">
        <v>85</v>
      </c>
      <c r="H722" t="s">
        <v>278</v>
      </c>
      <c r="I722" t="s">
        <v>212</v>
      </c>
      <c r="J722" t="s">
        <v>213</v>
      </c>
      <c r="K722" t="s">
        <v>149</v>
      </c>
      <c r="M722" t="s">
        <v>1627</v>
      </c>
      <c r="N722" t="s">
        <v>215</v>
      </c>
      <c r="O722" s="57">
        <v>46302.437337962961</v>
      </c>
      <c r="P722" s="57">
        <v>46302.469837962963</v>
      </c>
      <c r="Q722">
        <v>69405562</v>
      </c>
      <c r="S722">
        <v>172413244358</v>
      </c>
      <c r="T722" t="s">
        <v>4407</v>
      </c>
      <c r="U722" t="s">
        <v>3070</v>
      </c>
      <c r="Z722">
        <v>115.1439596</v>
      </c>
      <c r="AA722">
        <v>-8.4251176000000001</v>
      </c>
      <c r="AB722" t="s">
        <v>4410</v>
      </c>
      <c r="AC722" t="s">
        <v>229</v>
      </c>
      <c r="AO722" s="57">
        <v>46213.444687499999</v>
      </c>
      <c r="AR722" t="s">
        <v>1632</v>
      </c>
      <c r="AS722" t="s">
        <v>85</v>
      </c>
      <c r="AT722" t="s">
        <v>342</v>
      </c>
      <c r="AV722" t="s">
        <v>4415</v>
      </c>
      <c r="AW722" t="s">
        <v>540</v>
      </c>
      <c r="AX722" t="s">
        <v>222</v>
      </c>
      <c r="AZ722" t="s">
        <v>4415</v>
      </c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str">
        <f>VLOOKUP(H722,Sheet2!$A$1:$B$270,2,FALSE)</f>
        <v>TABANAN</v>
      </c>
    </row>
    <row r="723" spans="1:61">
      <c r="A723">
        <v>722</v>
      </c>
      <c r="B723">
        <v>1002620492</v>
      </c>
      <c r="C723">
        <v>3</v>
      </c>
      <c r="D723" t="s">
        <v>34</v>
      </c>
      <c r="E723">
        <v>5</v>
      </c>
      <c r="F723" t="s">
        <v>546</v>
      </c>
      <c r="G723" t="s">
        <v>85</v>
      </c>
      <c r="H723" t="s">
        <v>278</v>
      </c>
      <c r="I723" t="s">
        <v>212</v>
      </c>
      <c r="J723" t="s">
        <v>213</v>
      </c>
      <c r="K723" t="s">
        <v>149</v>
      </c>
      <c r="M723" t="s">
        <v>1921</v>
      </c>
      <c r="N723" t="s">
        <v>215</v>
      </c>
      <c r="O723" s="57">
        <v>46297.703900462962</v>
      </c>
      <c r="P723" s="57">
        <v>46301.379074074073</v>
      </c>
      <c r="Q723">
        <v>69403323</v>
      </c>
      <c r="S723">
        <v>172413245153</v>
      </c>
      <c r="T723" t="s">
        <v>2444</v>
      </c>
      <c r="U723" t="s">
        <v>2440</v>
      </c>
      <c r="V723" t="s">
        <v>2458</v>
      </c>
      <c r="Z723">
        <v>114.9505413</v>
      </c>
      <c r="AA723">
        <v>-8.4895628999999992</v>
      </c>
      <c r="AB723" t="s">
        <v>2446</v>
      </c>
      <c r="AC723" t="s">
        <v>229</v>
      </c>
      <c r="AL723" t="s">
        <v>217</v>
      </c>
      <c r="AM723" t="s">
        <v>2459</v>
      </c>
      <c r="AN723" t="s">
        <v>6</v>
      </c>
      <c r="AO723" s="57">
        <v>46063.705462962964</v>
      </c>
      <c r="AP723" s="57">
        <v>46299.333333333336</v>
      </c>
      <c r="AQ723" t="s">
        <v>838</v>
      </c>
      <c r="AR723" t="s">
        <v>12</v>
      </c>
      <c r="AS723" t="s">
        <v>85</v>
      </c>
      <c r="AT723" t="s">
        <v>230</v>
      </c>
      <c r="AV723" t="s">
        <v>1628</v>
      </c>
      <c r="AW723" t="s">
        <v>1987</v>
      </c>
      <c r="AX723" t="s">
        <v>222</v>
      </c>
      <c r="BA723" s="57">
        <v>46299.333333333336</v>
      </c>
      <c r="BB723" t="s">
        <v>2459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str">
        <f>VLOOKUP(H723,Sheet2!$A$1:$B$270,2,FALSE)</f>
        <v>TABANAN</v>
      </c>
    </row>
    <row r="724" spans="1:61">
      <c r="A724">
        <v>723</v>
      </c>
      <c r="B724">
        <v>1002620541</v>
      </c>
      <c r="C724">
        <v>3</v>
      </c>
      <c r="D724" t="s">
        <v>34</v>
      </c>
      <c r="E724">
        <v>5</v>
      </c>
      <c r="F724" t="s">
        <v>546</v>
      </c>
      <c r="G724" t="s">
        <v>85</v>
      </c>
      <c r="H724" t="s">
        <v>278</v>
      </c>
      <c r="I724" t="s">
        <v>212</v>
      </c>
      <c r="J724" t="s">
        <v>213</v>
      </c>
      <c r="K724" t="s">
        <v>149</v>
      </c>
      <c r="M724" t="s">
        <v>1921</v>
      </c>
      <c r="N724" t="s">
        <v>215</v>
      </c>
      <c r="O724" s="57">
        <v>46297.716215277775</v>
      </c>
      <c r="P724" s="57">
        <v>46300.615729166668</v>
      </c>
      <c r="Q724">
        <v>69403343</v>
      </c>
      <c r="S724">
        <v>172413245157</v>
      </c>
      <c r="T724" t="s">
        <v>2439</v>
      </c>
      <c r="U724" t="s">
        <v>2440</v>
      </c>
      <c r="V724" t="s">
        <v>2441</v>
      </c>
      <c r="Z724">
        <v>114.9505413</v>
      </c>
      <c r="AA724">
        <v>-8.4895628999999992</v>
      </c>
      <c r="AB724" t="s">
        <v>2442</v>
      </c>
      <c r="AC724" t="s">
        <v>229</v>
      </c>
      <c r="AL724" t="s">
        <v>217</v>
      </c>
      <c r="AM724" t="s">
        <v>2443</v>
      </c>
      <c r="AN724" t="s">
        <v>6</v>
      </c>
      <c r="AO724" s="57">
        <v>46063.736041666663</v>
      </c>
      <c r="AP724" s="57">
        <v>46299.333333333336</v>
      </c>
      <c r="AQ724" t="s">
        <v>838</v>
      </c>
      <c r="AR724" t="s">
        <v>12</v>
      </c>
      <c r="AS724" t="s">
        <v>85</v>
      </c>
      <c r="AT724" t="s">
        <v>230</v>
      </c>
      <c r="AV724" t="s">
        <v>1628</v>
      </c>
      <c r="AW724" t="s">
        <v>540</v>
      </c>
      <c r="AX724" t="s">
        <v>222</v>
      </c>
      <c r="BA724" s="57">
        <v>46299.333333333336</v>
      </c>
      <c r="BB724" t="s">
        <v>2443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str">
        <f>VLOOKUP(H724,Sheet2!$A$1:$B$270,2,FALSE)</f>
        <v>TABANAN</v>
      </c>
    </row>
    <row r="725" spans="1:61">
      <c r="A725">
        <v>724</v>
      </c>
      <c r="B725">
        <v>1002620478</v>
      </c>
      <c r="C725">
        <v>3</v>
      </c>
      <c r="D725" t="s">
        <v>34</v>
      </c>
      <c r="E725">
        <v>5</v>
      </c>
      <c r="F725" t="s">
        <v>546</v>
      </c>
      <c r="G725" t="s">
        <v>85</v>
      </c>
      <c r="H725" t="s">
        <v>278</v>
      </c>
      <c r="I725" t="s">
        <v>212</v>
      </c>
      <c r="J725" t="s">
        <v>213</v>
      </c>
      <c r="K725" t="s">
        <v>149</v>
      </c>
      <c r="M725" t="s">
        <v>1921</v>
      </c>
      <c r="N725" t="s">
        <v>215</v>
      </c>
      <c r="O725" s="57">
        <v>46297.700023148151</v>
      </c>
      <c r="P725" s="57">
        <v>46300.607731481483</v>
      </c>
      <c r="Q725">
        <v>69403328</v>
      </c>
      <c r="S725">
        <v>172413245152</v>
      </c>
      <c r="T725" t="s">
        <v>2444</v>
      </c>
      <c r="U725" t="s">
        <v>2440</v>
      </c>
      <c r="V725" t="s">
        <v>2445</v>
      </c>
      <c r="Z725">
        <v>114.9505413</v>
      </c>
      <c r="AA725">
        <v>-8.4895628999999992</v>
      </c>
      <c r="AB725" t="s">
        <v>2446</v>
      </c>
      <c r="AC725" t="s">
        <v>229</v>
      </c>
      <c r="AL725" t="s">
        <v>217</v>
      </c>
      <c r="AM725" t="s">
        <v>2443</v>
      </c>
      <c r="AN725" t="s">
        <v>6</v>
      </c>
      <c r="AO725" s="57">
        <v>46063.705462962964</v>
      </c>
      <c r="AP725" s="57">
        <v>46299.333333333336</v>
      </c>
      <c r="AQ725" t="s">
        <v>838</v>
      </c>
      <c r="AR725" t="s">
        <v>12</v>
      </c>
      <c r="AS725" t="s">
        <v>85</v>
      </c>
      <c r="AT725" t="s">
        <v>230</v>
      </c>
      <c r="AV725" t="s">
        <v>1628</v>
      </c>
      <c r="AW725" t="s">
        <v>2447</v>
      </c>
      <c r="AX725" t="s">
        <v>222</v>
      </c>
      <c r="BA725" s="57">
        <v>46299.333333333336</v>
      </c>
      <c r="BB725" t="s">
        <v>2443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str">
        <f>VLOOKUP(H725,Sheet2!$A$1:$B$270,2,FALSE)</f>
        <v>TABANAN</v>
      </c>
    </row>
    <row r="726" spans="1:61">
      <c r="A726">
        <v>725</v>
      </c>
      <c r="B726">
        <v>1002620569</v>
      </c>
      <c r="C726">
        <v>3</v>
      </c>
      <c r="D726" t="s">
        <v>34</v>
      </c>
      <c r="E726">
        <v>5</v>
      </c>
      <c r="F726" t="s">
        <v>546</v>
      </c>
      <c r="G726" t="s">
        <v>85</v>
      </c>
      <c r="H726" t="s">
        <v>278</v>
      </c>
      <c r="I726" t="s">
        <v>212</v>
      </c>
      <c r="J726" t="s">
        <v>213</v>
      </c>
      <c r="K726" t="s">
        <v>149</v>
      </c>
      <c r="M726" t="s">
        <v>1921</v>
      </c>
      <c r="N726" t="s">
        <v>215</v>
      </c>
      <c r="O726" s="57">
        <v>46297.725034722222</v>
      </c>
      <c r="P726" s="57">
        <v>46301.377187500002</v>
      </c>
      <c r="Q726">
        <v>69403369</v>
      </c>
      <c r="S726">
        <v>172413245159</v>
      </c>
      <c r="T726" t="s">
        <v>2460</v>
      </c>
      <c r="U726" t="s">
        <v>2461</v>
      </c>
      <c r="V726" t="s">
        <v>2462</v>
      </c>
      <c r="Z726">
        <v>114.9505413</v>
      </c>
      <c r="AA726">
        <v>-8.4895628999999992</v>
      </c>
      <c r="AB726" t="s">
        <v>2442</v>
      </c>
      <c r="AC726" t="s">
        <v>229</v>
      </c>
      <c r="AL726" t="s">
        <v>217</v>
      </c>
      <c r="AM726" t="s">
        <v>2443</v>
      </c>
      <c r="AN726" t="s">
        <v>6</v>
      </c>
      <c r="AO726" s="57">
        <v>46063.736041666663</v>
      </c>
      <c r="AP726" s="57">
        <v>46299.333333333336</v>
      </c>
      <c r="AQ726" t="s">
        <v>838</v>
      </c>
      <c r="AR726" t="s">
        <v>12</v>
      </c>
      <c r="AS726" t="s">
        <v>85</v>
      </c>
      <c r="AT726" t="s">
        <v>230</v>
      </c>
      <c r="AV726" t="s">
        <v>1628</v>
      </c>
      <c r="AW726" t="s">
        <v>2457</v>
      </c>
      <c r="AX726" t="s">
        <v>222</v>
      </c>
      <c r="BA726" s="57">
        <v>46299.333333333336</v>
      </c>
      <c r="BB726" t="s">
        <v>2443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str">
        <f>VLOOKUP(H726,Sheet2!$A$1:$B$270,2,FALSE)</f>
        <v>TABANAN</v>
      </c>
    </row>
    <row r="727" spans="1:61">
      <c r="A727">
        <v>726</v>
      </c>
      <c r="B727">
        <v>1002620470</v>
      </c>
      <c r="C727">
        <v>3</v>
      </c>
      <c r="D727" t="s">
        <v>34</v>
      </c>
      <c r="E727">
        <v>5</v>
      </c>
      <c r="F727" t="s">
        <v>546</v>
      </c>
      <c r="G727" t="s">
        <v>85</v>
      </c>
      <c r="H727" t="s">
        <v>278</v>
      </c>
      <c r="I727" t="s">
        <v>212</v>
      </c>
      <c r="J727" t="s">
        <v>213</v>
      </c>
      <c r="K727" t="s">
        <v>149</v>
      </c>
      <c r="M727" t="s">
        <v>1921</v>
      </c>
      <c r="N727" t="s">
        <v>215</v>
      </c>
      <c r="O727" s="57">
        <v>46297.697337962964</v>
      </c>
      <c r="P727" s="57">
        <v>46301.377905092595</v>
      </c>
      <c r="Q727">
        <v>69403325</v>
      </c>
      <c r="S727">
        <v>172413245151</v>
      </c>
      <c r="T727" t="s">
        <v>2439</v>
      </c>
      <c r="U727" t="s">
        <v>2440</v>
      </c>
      <c r="V727" t="s">
        <v>2463</v>
      </c>
      <c r="Z727">
        <v>114.9505413</v>
      </c>
      <c r="AA727">
        <v>-8.4895628999999992</v>
      </c>
      <c r="AB727" t="s">
        <v>2446</v>
      </c>
      <c r="AC727" t="s">
        <v>229</v>
      </c>
      <c r="AL727" t="s">
        <v>217</v>
      </c>
      <c r="AM727" t="s">
        <v>2443</v>
      </c>
      <c r="AN727" t="s">
        <v>6</v>
      </c>
      <c r="AO727" s="57">
        <v>46063.705462962964</v>
      </c>
      <c r="AP727" s="57">
        <v>46299.333333333336</v>
      </c>
      <c r="AQ727" t="s">
        <v>838</v>
      </c>
      <c r="AR727" t="s">
        <v>12</v>
      </c>
      <c r="AS727" t="s">
        <v>85</v>
      </c>
      <c r="AT727" t="s">
        <v>230</v>
      </c>
      <c r="AV727" t="s">
        <v>1628</v>
      </c>
      <c r="AW727" t="s">
        <v>2447</v>
      </c>
      <c r="AX727" t="s">
        <v>222</v>
      </c>
      <c r="BA727" s="57">
        <v>46299.333333333336</v>
      </c>
      <c r="BB727" t="s">
        <v>2443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TABANAN</v>
      </c>
    </row>
    <row r="728" spans="1:61">
      <c r="A728">
        <v>727</v>
      </c>
      <c r="B728">
        <v>1002620582</v>
      </c>
      <c r="C728">
        <v>3</v>
      </c>
      <c r="D728" t="s">
        <v>34</v>
      </c>
      <c r="E728">
        <v>5</v>
      </c>
      <c r="F728" t="s">
        <v>546</v>
      </c>
      <c r="G728" t="s">
        <v>85</v>
      </c>
      <c r="H728" t="s">
        <v>278</v>
      </c>
      <c r="I728" t="s">
        <v>212</v>
      </c>
      <c r="J728" t="s">
        <v>213</v>
      </c>
      <c r="K728" t="s">
        <v>149</v>
      </c>
      <c r="M728" t="s">
        <v>1921</v>
      </c>
      <c r="N728" t="s">
        <v>215</v>
      </c>
      <c r="O728" s="57">
        <v>46297.729687500003</v>
      </c>
      <c r="P728" s="57">
        <v>46300.620486111111</v>
      </c>
      <c r="Q728">
        <v>69403357</v>
      </c>
      <c r="S728">
        <v>172413245160</v>
      </c>
      <c r="T728" t="s">
        <v>2448</v>
      </c>
      <c r="U728" t="s">
        <v>2449</v>
      </c>
      <c r="V728" t="s">
        <v>2450</v>
      </c>
      <c r="Z728">
        <v>114.9505413</v>
      </c>
      <c r="AA728">
        <v>-8.4895628999999992</v>
      </c>
      <c r="AB728" t="s">
        <v>2442</v>
      </c>
      <c r="AC728" t="s">
        <v>229</v>
      </c>
      <c r="AL728" t="s">
        <v>217</v>
      </c>
      <c r="AM728" t="s">
        <v>2443</v>
      </c>
      <c r="AN728" t="s">
        <v>6</v>
      </c>
      <c r="AO728" s="57">
        <v>46063.736041666663</v>
      </c>
      <c r="AP728" s="57">
        <v>46299.333333333336</v>
      </c>
      <c r="AQ728" t="s">
        <v>838</v>
      </c>
      <c r="AR728" t="s">
        <v>12</v>
      </c>
      <c r="AS728" t="s">
        <v>85</v>
      </c>
      <c r="AT728" t="s">
        <v>230</v>
      </c>
      <c r="AV728" t="s">
        <v>1628</v>
      </c>
      <c r="AW728" t="s">
        <v>540</v>
      </c>
      <c r="AX728" t="s">
        <v>222</v>
      </c>
      <c r="BA728" s="57">
        <v>46299.333333333336</v>
      </c>
      <c r="BB728" t="s">
        <v>2443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str">
        <f>VLOOKUP(H728,Sheet2!$A$1:$B$270,2,FALSE)</f>
        <v>TABANAN</v>
      </c>
    </row>
    <row r="729" spans="1:61">
      <c r="A729">
        <v>728</v>
      </c>
      <c r="B729">
        <v>1002620552</v>
      </c>
      <c r="C729">
        <v>3</v>
      </c>
      <c r="D729" t="s">
        <v>34</v>
      </c>
      <c r="E729">
        <v>5</v>
      </c>
      <c r="F729" t="s">
        <v>546</v>
      </c>
      <c r="G729" t="s">
        <v>85</v>
      </c>
      <c r="H729" t="s">
        <v>278</v>
      </c>
      <c r="I729" t="s">
        <v>212</v>
      </c>
      <c r="J729" t="s">
        <v>213</v>
      </c>
      <c r="K729" t="s">
        <v>149</v>
      </c>
      <c r="M729" t="s">
        <v>1921</v>
      </c>
      <c r="N729" t="s">
        <v>215</v>
      </c>
      <c r="O729" s="57">
        <v>46297.719340277778</v>
      </c>
      <c r="P729" s="57">
        <v>46300.618981481479</v>
      </c>
      <c r="Q729">
        <v>69403354</v>
      </c>
      <c r="S729">
        <v>172413245158</v>
      </c>
      <c r="T729" t="s">
        <v>2444</v>
      </c>
      <c r="U729" t="s">
        <v>2451</v>
      </c>
      <c r="V729" t="s">
        <v>2452</v>
      </c>
      <c r="Z729">
        <v>114.9505413</v>
      </c>
      <c r="AA729">
        <v>-8.4895628999999992</v>
      </c>
      <c r="AB729" t="s">
        <v>2442</v>
      </c>
      <c r="AC729" t="s">
        <v>229</v>
      </c>
      <c r="AL729" t="s">
        <v>217</v>
      </c>
      <c r="AM729" t="s">
        <v>2443</v>
      </c>
      <c r="AN729" t="s">
        <v>6</v>
      </c>
      <c r="AO729" s="57">
        <v>46063.736041666663</v>
      </c>
      <c r="AP729" s="57">
        <v>46299.333333333336</v>
      </c>
      <c r="AQ729" t="s">
        <v>838</v>
      </c>
      <c r="AR729" t="s">
        <v>12</v>
      </c>
      <c r="AS729" t="s">
        <v>85</v>
      </c>
      <c r="AT729" t="s">
        <v>230</v>
      </c>
      <c r="AV729" t="s">
        <v>1628</v>
      </c>
      <c r="AW729" t="s">
        <v>540</v>
      </c>
      <c r="AX729" t="s">
        <v>222</v>
      </c>
      <c r="BA729" s="57">
        <v>46299.333333333336</v>
      </c>
      <c r="BB729" t="s">
        <v>2443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TABANAN</v>
      </c>
    </row>
    <row r="730" spans="1:61">
      <c r="A730">
        <v>729</v>
      </c>
      <c r="B730">
        <v>1002620445</v>
      </c>
      <c r="C730">
        <v>3</v>
      </c>
      <c r="D730" t="s">
        <v>34</v>
      </c>
      <c r="E730">
        <v>5</v>
      </c>
      <c r="F730" t="s">
        <v>546</v>
      </c>
      <c r="G730" t="s">
        <v>85</v>
      </c>
      <c r="H730" t="s">
        <v>278</v>
      </c>
      <c r="I730" t="s">
        <v>212</v>
      </c>
      <c r="J730" t="s">
        <v>213</v>
      </c>
      <c r="K730" t="s">
        <v>149</v>
      </c>
      <c r="M730" t="s">
        <v>1921</v>
      </c>
      <c r="N730" t="s">
        <v>215</v>
      </c>
      <c r="O730" s="57">
        <v>46297.688645833332</v>
      </c>
      <c r="P730" s="57">
        <v>46300.606099537035</v>
      </c>
      <c r="Q730">
        <v>69403301</v>
      </c>
      <c r="S730">
        <v>172413245150</v>
      </c>
      <c r="T730" t="s">
        <v>2453</v>
      </c>
      <c r="U730" t="s">
        <v>2454</v>
      </c>
      <c r="V730" t="s">
        <v>2455</v>
      </c>
      <c r="Z730">
        <v>114.9505413</v>
      </c>
      <c r="AA730">
        <v>-8.4895628999999992</v>
      </c>
      <c r="AB730" t="s">
        <v>2446</v>
      </c>
      <c r="AC730" t="s">
        <v>229</v>
      </c>
      <c r="AL730" t="s">
        <v>217</v>
      </c>
      <c r="AM730" t="s">
        <v>2443</v>
      </c>
      <c r="AN730" t="s">
        <v>6</v>
      </c>
      <c r="AO730" s="57">
        <v>46063.694699074076</v>
      </c>
      <c r="AP730" s="57">
        <v>46299.333333333336</v>
      </c>
      <c r="AQ730" t="s">
        <v>838</v>
      </c>
      <c r="AR730" t="s">
        <v>12</v>
      </c>
      <c r="AS730" t="s">
        <v>85</v>
      </c>
      <c r="AT730" t="s">
        <v>230</v>
      </c>
      <c r="AV730" t="s">
        <v>1628</v>
      </c>
      <c r="AW730" t="s">
        <v>1987</v>
      </c>
      <c r="AX730" t="s">
        <v>222</v>
      </c>
      <c r="BA730" s="57">
        <v>46299.333333333336</v>
      </c>
      <c r="BB730" t="s">
        <v>2443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TABANAN</v>
      </c>
    </row>
    <row r="731" spans="1:61">
      <c r="A731">
        <v>730</v>
      </c>
      <c r="B731">
        <v>1002620534</v>
      </c>
      <c r="C731">
        <v>3</v>
      </c>
      <c r="D731" t="s">
        <v>34</v>
      </c>
      <c r="E731">
        <v>5</v>
      </c>
      <c r="F731" t="s">
        <v>546</v>
      </c>
      <c r="G731" t="s">
        <v>85</v>
      </c>
      <c r="H731" t="s">
        <v>278</v>
      </c>
      <c r="I731" t="s">
        <v>212</v>
      </c>
      <c r="J731" t="s">
        <v>213</v>
      </c>
      <c r="K731" t="s">
        <v>149</v>
      </c>
      <c r="M731" t="s">
        <v>1921</v>
      </c>
      <c r="N731" t="s">
        <v>215</v>
      </c>
      <c r="O731" s="57">
        <v>46297.713541666664</v>
      </c>
      <c r="P731" s="57">
        <v>46300.61173611111</v>
      </c>
      <c r="Q731">
        <v>69403340</v>
      </c>
      <c r="S731">
        <v>172413245156</v>
      </c>
      <c r="T731" t="s">
        <v>2444</v>
      </c>
      <c r="U731" t="s">
        <v>2440</v>
      </c>
      <c r="V731" t="s">
        <v>2456</v>
      </c>
      <c r="Z731">
        <v>114.9505413</v>
      </c>
      <c r="AA731">
        <v>-8.4895628999999992</v>
      </c>
      <c r="AB731" t="s">
        <v>2442</v>
      </c>
      <c r="AC731" t="s">
        <v>229</v>
      </c>
      <c r="AL731" t="s">
        <v>217</v>
      </c>
      <c r="AM731" t="s">
        <v>2443</v>
      </c>
      <c r="AN731" t="s">
        <v>6</v>
      </c>
      <c r="AO731" s="57">
        <v>46063.716145833336</v>
      </c>
      <c r="AP731" s="57">
        <v>46299.333333333336</v>
      </c>
      <c r="AQ731" t="s">
        <v>838</v>
      </c>
      <c r="AR731" t="s">
        <v>12</v>
      </c>
      <c r="AS731" t="s">
        <v>85</v>
      </c>
      <c r="AT731" t="s">
        <v>230</v>
      </c>
      <c r="AV731" t="s">
        <v>1628</v>
      </c>
      <c r="AW731" t="s">
        <v>2457</v>
      </c>
      <c r="AX731" t="s">
        <v>222</v>
      </c>
      <c r="BA731" s="57">
        <v>46299.333333333336</v>
      </c>
      <c r="BB731" t="s">
        <v>2443</v>
      </c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str">
        <f>VLOOKUP(H731,Sheet2!$A$1:$B$270,2,FALSE)</f>
        <v>TABANAN</v>
      </c>
    </row>
    <row r="732" spans="1:61">
      <c r="A732">
        <v>731</v>
      </c>
      <c r="B732">
        <v>1002620518</v>
      </c>
      <c r="C732">
        <v>3</v>
      </c>
      <c r="D732" t="s">
        <v>34</v>
      </c>
      <c r="E732">
        <v>5</v>
      </c>
      <c r="F732" t="s">
        <v>546</v>
      </c>
      <c r="G732" t="s">
        <v>85</v>
      </c>
      <c r="H732" t="s">
        <v>278</v>
      </c>
      <c r="I732" t="s">
        <v>212</v>
      </c>
      <c r="J732" t="s">
        <v>213</v>
      </c>
      <c r="K732" t="s">
        <v>149</v>
      </c>
      <c r="M732" t="s">
        <v>1921</v>
      </c>
      <c r="N732" t="s">
        <v>215</v>
      </c>
      <c r="O732" s="57">
        <v>46297.709803240738</v>
      </c>
      <c r="P732" s="57">
        <v>46301.380694444444</v>
      </c>
      <c r="Q732">
        <v>69403349</v>
      </c>
      <c r="S732">
        <v>172413245155</v>
      </c>
      <c r="T732" t="s">
        <v>2439</v>
      </c>
      <c r="U732" t="s">
        <v>2440</v>
      </c>
      <c r="V732" t="s">
        <v>2464</v>
      </c>
      <c r="Z732">
        <v>114.9505413</v>
      </c>
      <c r="AA732">
        <v>-8.4895628999999992</v>
      </c>
      <c r="AB732" t="s">
        <v>2446</v>
      </c>
      <c r="AC732" t="s">
        <v>229</v>
      </c>
      <c r="AL732" t="s">
        <v>217</v>
      </c>
      <c r="AM732" t="s">
        <v>2443</v>
      </c>
      <c r="AN732" t="s">
        <v>6</v>
      </c>
      <c r="AO732" s="57">
        <v>46063.716145833336</v>
      </c>
      <c r="AP732" s="57">
        <v>46299.333333333336</v>
      </c>
      <c r="AQ732" t="s">
        <v>838</v>
      </c>
      <c r="AR732" t="s">
        <v>12</v>
      </c>
      <c r="AS732" t="s">
        <v>85</v>
      </c>
      <c r="AT732" t="s">
        <v>230</v>
      </c>
      <c r="AV732" t="s">
        <v>1628</v>
      </c>
      <c r="AW732" t="s">
        <v>1987</v>
      </c>
      <c r="AX732" t="s">
        <v>222</v>
      </c>
      <c r="BA732" s="57">
        <v>46299.333333333336</v>
      </c>
      <c r="BB732" t="s">
        <v>2443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str">
        <f>VLOOKUP(H732,Sheet2!$A$1:$B$270,2,FALSE)</f>
        <v>TABANAN</v>
      </c>
    </row>
    <row r="733" spans="1:61">
      <c r="A733">
        <v>732</v>
      </c>
      <c r="B733">
        <v>1002620504</v>
      </c>
      <c r="C733">
        <v>3</v>
      </c>
      <c r="D733" t="s">
        <v>34</v>
      </c>
      <c r="E733">
        <v>5</v>
      </c>
      <c r="F733" t="s">
        <v>546</v>
      </c>
      <c r="G733" t="s">
        <v>85</v>
      </c>
      <c r="H733" t="s">
        <v>278</v>
      </c>
      <c r="I733" t="s">
        <v>212</v>
      </c>
      <c r="J733" t="s">
        <v>213</v>
      </c>
      <c r="K733" t="s">
        <v>149</v>
      </c>
      <c r="M733" t="s">
        <v>1921</v>
      </c>
      <c r="N733" t="s">
        <v>215</v>
      </c>
      <c r="O733" s="57">
        <v>46297.706620370373</v>
      </c>
      <c r="P733" s="57">
        <v>46301.379849537036</v>
      </c>
      <c r="Q733">
        <v>69403334</v>
      </c>
      <c r="S733">
        <v>172413245154</v>
      </c>
      <c r="T733" t="s">
        <v>2439</v>
      </c>
      <c r="U733" t="s">
        <v>2440</v>
      </c>
      <c r="V733" t="s">
        <v>2465</v>
      </c>
      <c r="Z733">
        <v>114.9505413</v>
      </c>
      <c r="AA733">
        <v>-8.4895628999999992</v>
      </c>
      <c r="AB733" t="s">
        <v>2446</v>
      </c>
      <c r="AC733" t="s">
        <v>229</v>
      </c>
      <c r="AL733" t="s">
        <v>217</v>
      </c>
      <c r="AM733" t="s">
        <v>2443</v>
      </c>
      <c r="AN733" t="s">
        <v>6</v>
      </c>
      <c r="AO733" s="57">
        <v>46063.716145833336</v>
      </c>
      <c r="AP733" s="57">
        <v>46299.333333333336</v>
      </c>
      <c r="AQ733" t="s">
        <v>838</v>
      </c>
      <c r="AR733" t="s">
        <v>12</v>
      </c>
      <c r="AS733" t="s">
        <v>85</v>
      </c>
      <c r="AT733" t="s">
        <v>230</v>
      </c>
      <c r="AV733" t="s">
        <v>1628</v>
      </c>
      <c r="AW733" t="s">
        <v>1987</v>
      </c>
      <c r="AX733" t="s">
        <v>222</v>
      </c>
      <c r="BA733" s="57">
        <v>46299.333333333336</v>
      </c>
      <c r="BB733" t="s">
        <v>2443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str">
        <f>VLOOKUP(H733,Sheet2!$A$1:$B$270,2,FALSE)</f>
        <v>TABANAN</v>
      </c>
    </row>
    <row r="734" spans="1:61">
      <c r="A734">
        <v>733</v>
      </c>
      <c r="B734">
        <v>1002622206</v>
      </c>
      <c r="C734">
        <v>3</v>
      </c>
      <c r="D734" t="s">
        <v>34</v>
      </c>
      <c r="E734">
        <v>5</v>
      </c>
      <c r="F734" t="s">
        <v>553</v>
      </c>
      <c r="G734" t="s">
        <v>86</v>
      </c>
      <c r="H734" t="s">
        <v>298</v>
      </c>
      <c r="I734" t="s">
        <v>212</v>
      </c>
      <c r="J734" t="s">
        <v>213</v>
      </c>
      <c r="K734" t="s">
        <v>149</v>
      </c>
      <c r="L734" t="s">
        <v>214</v>
      </c>
      <c r="M734" t="s">
        <v>224</v>
      </c>
      <c r="N734" t="s">
        <v>215</v>
      </c>
      <c r="O734" s="57">
        <v>46300.489351851851</v>
      </c>
      <c r="P734" s="57">
        <v>46301.346365740741</v>
      </c>
      <c r="Q734">
        <v>69404260</v>
      </c>
      <c r="S734">
        <v>172416797936</v>
      </c>
      <c r="T734" t="s">
        <v>3079</v>
      </c>
      <c r="U734" t="s">
        <v>3080</v>
      </c>
      <c r="V734" t="s">
        <v>3081</v>
      </c>
      <c r="Z734">
        <v>115.1647837</v>
      </c>
      <c r="AA734">
        <v>-8.6711109000000004</v>
      </c>
      <c r="AB734" t="s">
        <v>3082</v>
      </c>
      <c r="AC734" t="s">
        <v>235</v>
      </c>
      <c r="AL734" t="s">
        <v>217</v>
      </c>
      <c r="AM734" t="s">
        <v>3083</v>
      </c>
      <c r="AN734" t="s">
        <v>6</v>
      </c>
      <c r="AO734" s="57">
        <v>46152.496620370373</v>
      </c>
      <c r="AP734" s="57">
        <v>46301.333333333336</v>
      </c>
      <c r="AR734" t="s">
        <v>18</v>
      </c>
      <c r="AS734" t="s">
        <v>575</v>
      </c>
      <c r="AT734" t="s">
        <v>220</v>
      </c>
      <c r="AV734" t="s">
        <v>226</v>
      </c>
      <c r="AW734" t="s">
        <v>869</v>
      </c>
      <c r="AX734" t="s">
        <v>222</v>
      </c>
      <c r="BA734" s="57">
        <v>46301.333333333336</v>
      </c>
      <c r="BB734" t="s">
        <v>3083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str">
        <f>VLOOKUP(H734,Sheet2!$A$1:$B$270,2,FALSE)</f>
        <v>UBUNG</v>
      </c>
    </row>
    <row r="735" spans="1:61">
      <c r="A735">
        <v>734</v>
      </c>
      <c r="B735">
        <v>1002617925</v>
      </c>
      <c r="C735">
        <v>3</v>
      </c>
      <c r="D735" t="s">
        <v>34</v>
      </c>
      <c r="E735">
        <v>5</v>
      </c>
      <c r="F735" t="s">
        <v>553</v>
      </c>
      <c r="G735" t="s">
        <v>86</v>
      </c>
      <c r="H735" t="s">
        <v>271</v>
      </c>
      <c r="I735" t="s">
        <v>212</v>
      </c>
      <c r="J735" t="s">
        <v>213</v>
      </c>
      <c r="K735" t="s">
        <v>149</v>
      </c>
      <c r="M735" t="s">
        <v>1401</v>
      </c>
      <c r="N735" t="s">
        <v>215</v>
      </c>
      <c r="O735" s="57">
        <v>46296.575636574074</v>
      </c>
      <c r="P735" s="57">
        <v>46302.589259259257</v>
      </c>
      <c r="Q735">
        <v>69402378</v>
      </c>
      <c r="S735">
        <v>172418758061</v>
      </c>
      <c r="T735" t="s">
        <v>1387</v>
      </c>
      <c r="U735" t="s">
        <v>1388</v>
      </c>
      <c r="V735" t="s">
        <v>1389</v>
      </c>
      <c r="Z735">
        <v>115.2218709</v>
      </c>
      <c r="AA735">
        <v>-8.6356625999999999</v>
      </c>
      <c r="AB735" t="s">
        <v>1390</v>
      </c>
      <c r="AC735" t="s">
        <v>225</v>
      </c>
      <c r="AL735" t="s">
        <v>217</v>
      </c>
      <c r="AM735" t="s">
        <v>1391</v>
      </c>
      <c r="AN735" t="s">
        <v>6</v>
      </c>
      <c r="AO735" s="57">
        <v>46032.579872685186</v>
      </c>
      <c r="AP735" s="57">
        <v>46297.458333333336</v>
      </c>
      <c r="AQ735" t="s">
        <v>1497</v>
      </c>
      <c r="AR735" t="s">
        <v>14</v>
      </c>
      <c r="AS735" t="s">
        <v>86</v>
      </c>
      <c r="AT735" t="s">
        <v>220</v>
      </c>
      <c r="AV735" t="s">
        <v>4416</v>
      </c>
      <c r="AW735" t="s">
        <v>851</v>
      </c>
      <c r="AX735" t="s">
        <v>222</v>
      </c>
      <c r="BA735" s="57">
        <v>46297.458333333336</v>
      </c>
      <c r="BB735" t="s">
        <v>1391</v>
      </c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str">
        <f>VLOOKUP(H735,Sheet2!$A$1:$B$270,2,FALSE)</f>
        <v>UBUNG</v>
      </c>
    </row>
    <row r="736" spans="1:61">
      <c r="A736">
        <v>735</v>
      </c>
      <c r="B736">
        <v>1002616976</v>
      </c>
      <c r="C736">
        <v>3</v>
      </c>
      <c r="D736" t="s">
        <v>34</v>
      </c>
      <c r="E736">
        <v>5</v>
      </c>
      <c r="F736" t="s">
        <v>553</v>
      </c>
      <c r="G736" t="s">
        <v>86</v>
      </c>
      <c r="H736" t="s">
        <v>271</v>
      </c>
      <c r="I736" t="s">
        <v>212</v>
      </c>
      <c r="J736" t="s">
        <v>213</v>
      </c>
      <c r="K736" t="s">
        <v>149</v>
      </c>
      <c r="M736" t="s">
        <v>76</v>
      </c>
      <c r="N736" t="s">
        <v>215</v>
      </c>
      <c r="O736" s="57">
        <v>46296.374502314815</v>
      </c>
      <c r="P736" s="57">
        <v>46297.457881944443</v>
      </c>
      <c r="Q736">
        <v>69402057</v>
      </c>
      <c r="S736">
        <v>172418758697</v>
      </c>
      <c r="T736" t="s">
        <v>939</v>
      </c>
      <c r="U736" t="s">
        <v>940</v>
      </c>
      <c r="V736" t="s">
        <v>1392</v>
      </c>
      <c r="Z736">
        <v>115.2095704</v>
      </c>
      <c r="AA736">
        <v>-8.6576401000000001</v>
      </c>
      <c r="AB736" t="s">
        <v>941</v>
      </c>
      <c r="AC736" t="s">
        <v>229</v>
      </c>
      <c r="AL736" t="s">
        <v>217</v>
      </c>
      <c r="AM736" t="s">
        <v>1393</v>
      </c>
      <c r="AN736" t="s">
        <v>6</v>
      </c>
      <c r="AO736" s="57">
        <v>46032.392847222225</v>
      </c>
      <c r="AP736" s="57">
        <v>46297.333333333336</v>
      </c>
      <c r="AR736" t="s">
        <v>218</v>
      </c>
      <c r="AS736" t="s">
        <v>86</v>
      </c>
      <c r="AT736" t="s">
        <v>230</v>
      </c>
      <c r="AU736">
        <v>20261002</v>
      </c>
      <c r="AV736" t="s">
        <v>221</v>
      </c>
      <c r="AW736" t="s">
        <v>540</v>
      </c>
      <c r="AX736" t="s">
        <v>222</v>
      </c>
      <c r="BA736" s="57">
        <v>46297.333333333336</v>
      </c>
      <c r="BB736" t="s">
        <v>1393</v>
      </c>
      <c r="BC736">
        <v>2026</v>
      </c>
      <c r="BD736">
        <v>10</v>
      </c>
      <c r="BE736">
        <v>2</v>
      </c>
      <c r="BF736" s="6">
        <f t="shared" si="33"/>
        <v>46297</v>
      </c>
      <c r="BG736">
        <f t="shared" si="34"/>
        <v>-0.33333333333575865</v>
      </c>
      <c r="BH736" t="str">
        <f t="shared" si="35"/>
        <v>COMPLY</v>
      </c>
      <c r="BI736" t="str">
        <f>VLOOKUP(H736,Sheet2!$A$1:$B$270,2,FALSE)</f>
        <v>UBUNG</v>
      </c>
    </row>
    <row r="737" spans="1:61">
      <c r="A737">
        <v>736</v>
      </c>
      <c r="B737">
        <v>1002625492</v>
      </c>
      <c r="C737">
        <v>3</v>
      </c>
      <c r="D737" t="s">
        <v>34</v>
      </c>
      <c r="E737">
        <v>5</v>
      </c>
      <c r="F737" t="s">
        <v>553</v>
      </c>
      <c r="G737" t="s">
        <v>86</v>
      </c>
      <c r="H737" t="s">
        <v>271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46302.408101851855</v>
      </c>
      <c r="P737" s="57">
        <v>46302.712766203702</v>
      </c>
      <c r="Q737">
        <v>69405513</v>
      </c>
      <c r="S737">
        <v>172418759464</v>
      </c>
      <c r="T737" t="s">
        <v>4417</v>
      </c>
      <c r="U737" t="s">
        <v>4418</v>
      </c>
      <c r="V737" t="s">
        <v>4419</v>
      </c>
      <c r="Z737">
        <v>115.1877368</v>
      </c>
      <c r="AA737">
        <v>-8.6606921999999997</v>
      </c>
      <c r="AB737" t="s">
        <v>4420</v>
      </c>
      <c r="AC737" t="s">
        <v>235</v>
      </c>
      <c r="AL737" t="s">
        <v>217</v>
      </c>
      <c r="AM737" t="s">
        <v>4421</v>
      </c>
      <c r="AN737" t="s">
        <v>6</v>
      </c>
      <c r="AO737" s="57">
        <v>46213.413402777776</v>
      </c>
      <c r="AP737" s="57">
        <v>46303.333333333336</v>
      </c>
      <c r="AR737" t="s">
        <v>218</v>
      </c>
      <c r="AS737" t="s">
        <v>86</v>
      </c>
      <c r="AT737" t="s">
        <v>230</v>
      </c>
      <c r="AU737">
        <v>20261007</v>
      </c>
      <c r="AV737" t="s">
        <v>221</v>
      </c>
      <c r="AW737" t="s">
        <v>880</v>
      </c>
      <c r="AX737" t="s">
        <v>222</v>
      </c>
      <c r="BA737" s="57">
        <v>46303.333333333336</v>
      </c>
      <c r="BB737" t="s">
        <v>4421</v>
      </c>
      <c r="BC737">
        <v>2026</v>
      </c>
      <c r="BD737">
        <v>10</v>
      </c>
      <c r="BE737">
        <v>7</v>
      </c>
      <c r="BF737" s="6">
        <f t="shared" si="33"/>
        <v>46302</v>
      </c>
      <c r="BG737">
        <f t="shared" si="34"/>
        <v>-1.3333333333357587</v>
      </c>
      <c r="BH737" t="str">
        <f t="shared" si="35"/>
        <v>COMPLY</v>
      </c>
      <c r="BI737" t="str">
        <f>VLOOKUP(H737,Sheet2!$A$1:$B$270,2,FALSE)</f>
        <v>UBUNG</v>
      </c>
    </row>
    <row r="738" spans="1:61">
      <c r="A738">
        <v>737</v>
      </c>
      <c r="B738">
        <v>1002626420</v>
      </c>
      <c r="C738">
        <v>3</v>
      </c>
      <c r="D738" t="s">
        <v>34</v>
      </c>
      <c r="E738">
        <v>5</v>
      </c>
      <c r="F738" t="s">
        <v>553</v>
      </c>
      <c r="G738" t="s">
        <v>86</v>
      </c>
      <c r="H738" t="s">
        <v>271</v>
      </c>
      <c r="I738" t="s">
        <v>212</v>
      </c>
      <c r="J738" t="s">
        <v>213</v>
      </c>
      <c r="K738" t="s">
        <v>149</v>
      </c>
      <c r="L738" t="s">
        <v>214</v>
      </c>
      <c r="M738" t="s">
        <v>238</v>
      </c>
      <c r="N738" t="s">
        <v>215</v>
      </c>
      <c r="O738" s="57">
        <v>46302.612256944441</v>
      </c>
      <c r="P738" s="57">
        <v>46302.613900462966</v>
      </c>
      <c r="Q738">
        <v>69405968</v>
      </c>
      <c r="S738">
        <v>172418759471</v>
      </c>
      <c r="T738" t="s">
        <v>4422</v>
      </c>
      <c r="U738" t="s">
        <v>4423</v>
      </c>
      <c r="V738" t="s">
        <v>4424</v>
      </c>
      <c r="Z738">
        <v>115.1324072</v>
      </c>
      <c r="AA738">
        <v>-8.6532097999999902</v>
      </c>
      <c r="AB738" t="s">
        <v>4425</v>
      </c>
      <c r="AC738" t="s">
        <v>235</v>
      </c>
      <c r="AL738" t="s">
        <v>217</v>
      </c>
      <c r="AM738" t="s">
        <v>3826</v>
      </c>
      <c r="AN738" t="s">
        <v>6</v>
      </c>
      <c r="AO738" s="57">
        <v>46213.621770833335</v>
      </c>
      <c r="AP738" s="57">
        <v>46303.458333333336</v>
      </c>
      <c r="AR738" t="s">
        <v>239</v>
      </c>
      <c r="AS738" t="s">
        <v>86</v>
      </c>
      <c r="AT738" t="s">
        <v>230</v>
      </c>
      <c r="AV738" t="s">
        <v>238</v>
      </c>
      <c r="AW738" t="s">
        <v>880</v>
      </c>
      <c r="AX738" t="s">
        <v>222</v>
      </c>
      <c r="BA738" s="57">
        <v>46303.458333333336</v>
      </c>
      <c r="BB738" t="s">
        <v>3826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str">
        <f>VLOOKUP(H738,Sheet2!$A$1:$B$270,2,FALSE)</f>
        <v>UBUNG</v>
      </c>
    </row>
    <row r="739" spans="1:61">
      <c r="A739">
        <v>738</v>
      </c>
      <c r="B739">
        <v>1002616933</v>
      </c>
      <c r="C739">
        <v>3</v>
      </c>
      <c r="D739" t="s">
        <v>34</v>
      </c>
      <c r="E739">
        <v>5</v>
      </c>
      <c r="F739" t="s">
        <v>553</v>
      </c>
      <c r="G739" t="s">
        <v>86</v>
      </c>
      <c r="H739" t="s">
        <v>271</v>
      </c>
      <c r="I739" t="s">
        <v>212</v>
      </c>
      <c r="J739" t="s">
        <v>213</v>
      </c>
      <c r="K739" t="s">
        <v>149</v>
      </c>
      <c r="M739" t="s">
        <v>1921</v>
      </c>
      <c r="N739" t="s">
        <v>215</v>
      </c>
      <c r="O739" s="57">
        <v>46296.365520833337</v>
      </c>
      <c r="P739" s="57">
        <v>46301.397245370368</v>
      </c>
      <c r="Q739">
        <v>69401252</v>
      </c>
      <c r="S739">
        <v>172418758695</v>
      </c>
      <c r="T739" t="s">
        <v>939</v>
      </c>
      <c r="U739" t="s">
        <v>940</v>
      </c>
      <c r="V739" t="s">
        <v>1394</v>
      </c>
      <c r="Z739">
        <v>115.209762709739</v>
      </c>
      <c r="AA739">
        <v>-8.65767524401166</v>
      </c>
      <c r="AB739" t="s">
        <v>941</v>
      </c>
      <c r="AC739" t="s">
        <v>229</v>
      </c>
      <c r="AL739" t="s">
        <v>217</v>
      </c>
      <c r="AM739" t="s">
        <v>1395</v>
      </c>
      <c r="AN739" t="s">
        <v>6</v>
      </c>
      <c r="AO739" s="57">
        <v>46032.392847222225</v>
      </c>
      <c r="AQ739" t="s">
        <v>841</v>
      </c>
      <c r="AR739" t="s">
        <v>12</v>
      </c>
      <c r="AS739" t="s">
        <v>86</v>
      </c>
      <c r="AT739" t="s">
        <v>342</v>
      </c>
      <c r="AV739" t="s">
        <v>1628</v>
      </c>
      <c r="AW739" t="s">
        <v>899</v>
      </c>
      <c r="AX739" t="s">
        <v>222</v>
      </c>
      <c r="BA739" s="57">
        <v>46296.291666666664</v>
      </c>
      <c r="BB739" t="s">
        <v>1395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UBUNG</v>
      </c>
    </row>
    <row r="740" spans="1:61">
      <c r="A740">
        <v>739</v>
      </c>
      <c r="B740">
        <v>1002625512</v>
      </c>
      <c r="C740">
        <v>3</v>
      </c>
      <c r="D740" t="s">
        <v>34</v>
      </c>
      <c r="E740">
        <v>5</v>
      </c>
      <c r="F740" t="s">
        <v>553</v>
      </c>
      <c r="G740" t="s">
        <v>86</v>
      </c>
      <c r="H740" t="s">
        <v>414</v>
      </c>
      <c r="I740" t="s">
        <v>212</v>
      </c>
      <c r="J740" t="s">
        <v>213</v>
      </c>
      <c r="K740" t="s">
        <v>149</v>
      </c>
      <c r="L740" t="s">
        <v>214</v>
      </c>
      <c r="M740" t="s">
        <v>224</v>
      </c>
      <c r="N740" t="s">
        <v>215</v>
      </c>
      <c r="O740" s="57">
        <v>46302.412210648145</v>
      </c>
      <c r="P740" s="57">
        <v>46303.337395833332</v>
      </c>
      <c r="Q740">
        <v>69405520</v>
      </c>
      <c r="S740">
        <v>172419207448</v>
      </c>
      <c r="T740" t="s">
        <v>4426</v>
      </c>
      <c r="U740" t="s">
        <v>4427</v>
      </c>
      <c r="V740" t="s">
        <v>4428</v>
      </c>
      <c r="Z740">
        <v>115.19958509999999</v>
      </c>
      <c r="AA740">
        <v>-8.6599863999999993</v>
      </c>
      <c r="AB740" t="s">
        <v>4429</v>
      </c>
      <c r="AC740" t="s">
        <v>235</v>
      </c>
      <c r="AL740" t="s">
        <v>217</v>
      </c>
      <c r="AM740" t="s">
        <v>4421</v>
      </c>
      <c r="AN740" t="s">
        <v>6</v>
      </c>
      <c r="AO740" s="57">
        <v>46213.413402777776</v>
      </c>
      <c r="AP740" s="57">
        <v>46303.333333333336</v>
      </c>
      <c r="AR740" t="s">
        <v>18</v>
      </c>
      <c r="AS740" t="s">
        <v>791</v>
      </c>
      <c r="AT740" t="s">
        <v>230</v>
      </c>
      <c r="AV740" t="s">
        <v>226</v>
      </c>
      <c r="AW740" t="s">
        <v>880</v>
      </c>
      <c r="AX740" t="s">
        <v>222</v>
      </c>
      <c r="BA740" s="57">
        <v>46303.333333333336</v>
      </c>
      <c r="BB740" t="s">
        <v>4421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str">
        <f>VLOOKUP(H740,Sheet2!$A$1:$B$270,2,FALSE)</f>
        <v>UBUNG</v>
      </c>
    </row>
    <row r="741" spans="1:61">
      <c r="A741">
        <v>740</v>
      </c>
      <c r="B741">
        <v>1002625984</v>
      </c>
      <c r="C741">
        <v>3</v>
      </c>
      <c r="D741" t="s">
        <v>34</v>
      </c>
      <c r="E741">
        <v>5</v>
      </c>
      <c r="F741" t="s">
        <v>553</v>
      </c>
      <c r="G741" t="s">
        <v>86</v>
      </c>
      <c r="H741" t="s">
        <v>414</v>
      </c>
      <c r="I741" t="s">
        <v>212</v>
      </c>
      <c r="J741" t="s">
        <v>213</v>
      </c>
      <c r="K741" t="s">
        <v>149</v>
      </c>
      <c r="L741" t="s">
        <v>214</v>
      </c>
      <c r="M741" t="s">
        <v>238</v>
      </c>
      <c r="N741" t="s">
        <v>215</v>
      </c>
      <c r="O741" s="57">
        <v>46302.524710648147</v>
      </c>
      <c r="P741" s="57">
        <v>46302.526458333334</v>
      </c>
      <c r="Q741">
        <v>69405774</v>
      </c>
      <c r="S741">
        <v>172419207450</v>
      </c>
      <c r="T741" t="s">
        <v>4430</v>
      </c>
      <c r="U741" t="s">
        <v>4431</v>
      </c>
      <c r="V741" t="s">
        <v>4432</v>
      </c>
      <c r="Z741">
        <v>115.196907</v>
      </c>
      <c r="AA741">
        <v>-8.681635</v>
      </c>
      <c r="AB741" t="s">
        <v>4433</v>
      </c>
      <c r="AC741" t="s">
        <v>235</v>
      </c>
      <c r="AL741" t="s">
        <v>217</v>
      </c>
      <c r="AM741" t="s">
        <v>4434</v>
      </c>
      <c r="AN741" t="s">
        <v>6</v>
      </c>
      <c r="AO741" s="57">
        <v>46213.538645833331</v>
      </c>
      <c r="AP741" s="57">
        <v>46303.458333333336</v>
      </c>
      <c r="AR741" t="s">
        <v>239</v>
      </c>
      <c r="AS741" t="s">
        <v>791</v>
      </c>
      <c r="AT741" t="s">
        <v>230</v>
      </c>
      <c r="AV741" t="s">
        <v>238</v>
      </c>
      <c r="AW741" t="s">
        <v>880</v>
      </c>
      <c r="AX741" t="s">
        <v>222</v>
      </c>
      <c r="BA741" s="57">
        <v>46303.458333333336</v>
      </c>
      <c r="BB741" t="s">
        <v>4434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str">
        <f>VLOOKUP(H741,Sheet2!$A$1:$B$270,2,FALSE)</f>
        <v>UBUNG</v>
      </c>
    </row>
    <row r="742" spans="1:61">
      <c r="A742">
        <v>741</v>
      </c>
      <c r="B742">
        <v>1002623560</v>
      </c>
      <c r="C742">
        <v>3</v>
      </c>
      <c r="D742" t="s">
        <v>34</v>
      </c>
      <c r="E742">
        <v>5</v>
      </c>
      <c r="F742" t="s">
        <v>553</v>
      </c>
      <c r="G742" t="s">
        <v>83</v>
      </c>
      <c r="H742" t="s">
        <v>377</v>
      </c>
      <c r="I742" t="s">
        <v>212</v>
      </c>
      <c r="J742" t="s">
        <v>213</v>
      </c>
      <c r="K742" t="s">
        <v>149</v>
      </c>
      <c r="M742" t="s">
        <v>1401</v>
      </c>
      <c r="N742" t="s">
        <v>215</v>
      </c>
      <c r="O742" s="57">
        <v>46301.387025462966</v>
      </c>
      <c r="P742" s="57">
        <v>46302.640555555554</v>
      </c>
      <c r="Q742">
        <v>69404730</v>
      </c>
      <c r="R742">
        <v>3619583044</v>
      </c>
      <c r="S742">
        <v>172422212977</v>
      </c>
      <c r="T742" t="s">
        <v>3683</v>
      </c>
      <c r="U742" t="s">
        <v>3684</v>
      </c>
      <c r="V742" t="s">
        <v>3685</v>
      </c>
      <c r="Z742">
        <v>115.2203195</v>
      </c>
      <c r="AA742">
        <v>-8.5661214000000001</v>
      </c>
      <c r="AB742" t="s">
        <v>3686</v>
      </c>
      <c r="AC742" t="s">
        <v>229</v>
      </c>
      <c r="AL742" t="s">
        <v>217</v>
      </c>
      <c r="AM742" t="s">
        <v>3687</v>
      </c>
      <c r="AN742" t="s">
        <v>6</v>
      </c>
      <c r="AO742" s="57">
        <v>46183.392407407409</v>
      </c>
      <c r="AP742" s="57">
        <v>46302.458333333336</v>
      </c>
      <c r="AR742" t="s">
        <v>14</v>
      </c>
      <c r="AS742" t="s">
        <v>3688</v>
      </c>
      <c r="AT742" t="s">
        <v>230</v>
      </c>
      <c r="AV742" t="s">
        <v>4435</v>
      </c>
      <c r="AW742" t="s">
        <v>1587</v>
      </c>
      <c r="AX742" t="s">
        <v>222</v>
      </c>
      <c r="BA742" s="57">
        <v>46302.458333333336</v>
      </c>
      <c r="BB742" t="s">
        <v>3687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str">
        <f>VLOOKUP(H742,Sheet2!$A$1:$B$270,2,FALSE)</f>
        <v>SANUR</v>
      </c>
    </row>
    <row r="743" spans="1:61">
      <c r="A743">
        <v>742</v>
      </c>
      <c r="B743">
        <v>1002624917</v>
      </c>
      <c r="C743">
        <v>3</v>
      </c>
      <c r="D743" t="s">
        <v>34</v>
      </c>
      <c r="E743">
        <v>5</v>
      </c>
      <c r="F743" t="s">
        <v>553</v>
      </c>
      <c r="G743" t="s">
        <v>83</v>
      </c>
      <c r="H743" t="s">
        <v>377</v>
      </c>
      <c r="I743" t="s">
        <v>212</v>
      </c>
      <c r="J743" t="s">
        <v>213</v>
      </c>
      <c r="K743" t="s">
        <v>149</v>
      </c>
      <c r="M743" t="s">
        <v>76</v>
      </c>
      <c r="N743" t="s">
        <v>215</v>
      </c>
      <c r="O743" s="57">
        <v>46301.68712962963</v>
      </c>
      <c r="P743" s="57">
        <v>46302.530868055554</v>
      </c>
      <c r="Q743">
        <v>69405277</v>
      </c>
      <c r="S743">
        <v>172422212992</v>
      </c>
      <c r="T743" t="s">
        <v>3689</v>
      </c>
      <c r="U743" t="s">
        <v>3690</v>
      </c>
      <c r="V743" t="s">
        <v>3691</v>
      </c>
      <c r="Z743">
        <v>115.2278987</v>
      </c>
      <c r="AA743">
        <v>-8.6179930999999996</v>
      </c>
      <c r="AB743" t="s">
        <v>3692</v>
      </c>
      <c r="AC743" t="s">
        <v>229</v>
      </c>
      <c r="AL743" t="s">
        <v>217</v>
      </c>
      <c r="AM743" t="s">
        <v>3693</v>
      </c>
      <c r="AN743" t="s">
        <v>6</v>
      </c>
      <c r="AO743" s="57">
        <v>46183.694976851853</v>
      </c>
      <c r="AP743" s="57">
        <v>46302.625</v>
      </c>
      <c r="AR743" t="s">
        <v>218</v>
      </c>
      <c r="AS743" t="s">
        <v>3688</v>
      </c>
      <c r="AT743" t="s">
        <v>342</v>
      </c>
      <c r="AU743">
        <v>20261007</v>
      </c>
      <c r="AV743" t="s">
        <v>221</v>
      </c>
      <c r="AW743" t="s">
        <v>1572</v>
      </c>
      <c r="AX743" t="s">
        <v>222</v>
      </c>
      <c r="BA743" s="57">
        <v>46302.625</v>
      </c>
      <c r="BB743" t="s">
        <v>3693</v>
      </c>
      <c r="BC743">
        <v>2026</v>
      </c>
      <c r="BD743">
        <v>10</v>
      </c>
      <c r="BE743">
        <v>7</v>
      </c>
      <c r="BF743" s="6">
        <f t="shared" si="33"/>
        <v>46302</v>
      </c>
      <c r="BG743">
        <f t="shared" si="34"/>
        <v>-0.625</v>
      </c>
      <c r="BH743" t="str">
        <f t="shared" si="35"/>
        <v>COMPLY</v>
      </c>
      <c r="BI743" t="str">
        <f>VLOOKUP(H743,Sheet2!$A$1:$B$270,2,FALSE)</f>
        <v>SANUR</v>
      </c>
    </row>
    <row r="744" spans="1:61">
      <c r="A744">
        <v>743</v>
      </c>
      <c r="B744">
        <v>1002626540</v>
      </c>
      <c r="C744">
        <v>3</v>
      </c>
      <c r="D744" t="s">
        <v>34</v>
      </c>
      <c r="E744">
        <v>5</v>
      </c>
      <c r="F744" t="s">
        <v>553</v>
      </c>
      <c r="G744" t="s">
        <v>83</v>
      </c>
      <c r="H744" t="s">
        <v>377</v>
      </c>
      <c r="I744" t="s">
        <v>212</v>
      </c>
      <c r="J744" t="s">
        <v>213</v>
      </c>
      <c r="K744" t="s">
        <v>149</v>
      </c>
      <c r="M744" t="s">
        <v>76</v>
      </c>
      <c r="N744" t="s">
        <v>215</v>
      </c>
      <c r="O744" s="57">
        <v>46302.640555555554</v>
      </c>
      <c r="P744" s="57">
        <v>46302.684166666666</v>
      </c>
      <c r="Q744">
        <v>69404730</v>
      </c>
      <c r="R744">
        <v>3619583045</v>
      </c>
      <c r="S744">
        <v>172422212998</v>
      </c>
      <c r="T744" t="s">
        <v>3683</v>
      </c>
      <c r="U744" t="s">
        <v>4436</v>
      </c>
      <c r="V744" t="s">
        <v>4437</v>
      </c>
      <c r="Z744">
        <v>115.214159700189</v>
      </c>
      <c r="AA744">
        <v>-8.5609337248596393</v>
      </c>
      <c r="AB744" t="s">
        <v>3686</v>
      </c>
      <c r="AC744" t="s">
        <v>229</v>
      </c>
      <c r="AL744" t="s">
        <v>217</v>
      </c>
      <c r="AM744" t="s">
        <v>4438</v>
      </c>
      <c r="AN744" t="s">
        <v>6</v>
      </c>
      <c r="AO744" s="57">
        <v>46213.642511574071</v>
      </c>
      <c r="AR744" t="s">
        <v>218</v>
      </c>
      <c r="AS744" t="s">
        <v>3688</v>
      </c>
      <c r="AT744" t="s">
        <v>230</v>
      </c>
      <c r="AU744">
        <v>20261007</v>
      </c>
      <c r="AV744" t="s">
        <v>221</v>
      </c>
      <c r="AW744" t="s">
        <v>1587</v>
      </c>
      <c r="AX744" t="s">
        <v>222</v>
      </c>
      <c r="BA744" s="57">
        <v>46302.291666666664</v>
      </c>
      <c r="BB744" t="s">
        <v>4438</v>
      </c>
      <c r="BC744">
        <v>2026</v>
      </c>
      <c r="BD744">
        <v>10</v>
      </c>
      <c r="BE744">
        <v>7</v>
      </c>
      <c r="BF744" s="6">
        <f t="shared" si="33"/>
        <v>46302</v>
      </c>
      <c r="BG744">
        <f t="shared" si="34"/>
        <v>-0.29166666666424135</v>
      </c>
      <c r="BH744" t="str">
        <f t="shared" si="35"/>
        <v>COMPLY</v>
      </c>
      <c r="BI744" t="str">
        <f>VLOOKUP(H744,Sheet2!$A$1:$B$270,2,FALSE)</f>
        <v>SANUR</v>
      </c>
    </row>
    <row r="745" spans="1:61">
      <c r="A745">
        <v>744</v>
      </c>
      <c r="B745">
        <v>1002625401</v>
      </c>
      <c r="C745">
        <v>3</v>
      </c>
      <c r="D745" t="s">
        <v>34</v>
      </c>
      <c r="E745">
        <v>5</v>
      </c>
      <c r="F745" t="s">
        <v>553</v>
      </c>
      <c r="G745" t="s">
        <v>83</v>
      </c>
      <c r="H745" t="s">
        <v>377</v>
      </c>
      <c r="I745" t="s">
        <v>212</v>
      </c>
      <c r="J745" t="s">
        <v>213</v>
      </c>
      <c r="K745" t="s">
        <v>149</v>
      </c>
      <c r="M745" t="s">
        <v>238</v>
      </c>
      <c r="N745" t="s">
        <v>215</v>
      </c>
      <c r="O745" s="57">
        <v>46302.388958333337</v>
      </c>
      <c r="P745" s="57">
        <v>46302.463969907411</v>
      </c>
      <c r="Q745">
        <v>69405485</v>
      </c>
      <c r="S745">
        <v>172422212989</v>
      </c>
      <c r="T745" t="s">
        <v>4439</v>
      </c>
      <c r="U745" t="s">
        <v>4440</v>
      </c>
      <c r="V745" t="s">
        <v>4441</v>
      </c>
      <c r="Z745">
        <v>115.24038160000001</v>
      </c>
      <c r="AA745">
        <v>-8.6185463999999996</v>
      </c>
      <c r="AB745" t="s">
        <v>4442</v>
      </c>
      <c r="AC745" t="s">
        <v>229</v>
      </c>
      <c r="AL745" t="s">
        <v>217</v>
      </c>
      <c r="AM745" t="s">
        <v>4443</v>
      </c>
      <c r="AN745" t="s">
        <v>6</v>
      </c>
      <c r="AO745" s="57">
        <v>46213.392731481479</v>
      </c>
      <c r="AP745" s="57">
        <v>46303.625</v>
      </c>
      <c r="AR745" t="s">
        <v>239</v>
      </c>
      <c r="AS745" t="s">
        <v>3688</v>
      </c>
      <c r="AT745" t="s">
        <v>230</v>
      </c>
      <c r="AV745" t="s">
        <v>238</v>
      </c>
      <c r="AW745" t="s">
        <v>540</v>
      </c>
      <c r="AX745" t="s">
        <v>222</v>
      </c>
      <c r="BA745" s="57">
        <v>46303.625</v>
      </c>
      <c r="BB745" t="s">
        <v>4443</v>
      </c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str">
        <f>VLOOKUP(H745,Sheet2!$A$1:$B$270,2,FALSE)</f>
        <v>SANUR</v>
      </c>
    </row>
    <row r="746" spans="1:61">
      <c r="A746">
        <v>745</v>
      </c>
      <c r="B746">
        <v>1002622443</v>
      </c>
      <c r="C746">
        <v>3</v>
      </c>
      <c r="D746" t="s">
        <v>34</v>
      </c>
      <c r="E746">
        <v>5</v>
      </c>
      <c r="F746" t="s">
        <v>553</v>
      </c>
      <c r="G746" t="s">
        <v>81</v>
      </c>
      <c r="H746" t="s">
        <v>314</v>
      </c>
      <c r="I746" t="s">
        <v>212</v>
      </c>
      <c r="J746" t="s">
        <v>213</v>
      </c>
      <c r="K746" t="s">
        <v>149</v>
      </c>
      <c r="M746" t="s">
        <v>76</v>
      </c>
      <c r="N746" t="s">
        <v>215</v>
      </c>
      <c r="O746" s="57">
        <v>46300.563599537039</v>
      </c>
      <c r="P746" s="57">
        <v>46303.380972222221</v>
      </c>
      <c r="Q746">
        <v>69404353</v>
      </c>
      <c r="S746">
        <v>172415799062</v>
      </c>
      <c r="T746" t="s">
        <v>3084</v>
      </c>
      <c r="U746" t="s">
        <v>3085</v>
      </c>
      <c r="V746" t="s">
        <v>3086</v>
      </c>
      <c r="Z746">
        <v>115.17277989999999</v>
      </c>
      <c r="AA746">
        <v>-8.7640621999999997</v>
      </c>
      <c r="AB746" t="s">
        <v>3087</v>
      </c>
      <c r="AC746" t="s">
        <v>229</v>
      </c>
      <c r="AL746" t="s">
        <v>217</v>
      </c>
      <c r="AM746" t="s">
        <v>3088</v>
      </c>
      <c r="AN746" t="s">
        <v>6</v>
      </c>
      <c r="AO746" s="57">
        <v>46152.569618055553</v>
      </c>
      <c r="AP746" s="57">
        <v>46302.333333333336</v>
      </c>
      <c r="AR746" t="s">
        <v>218</v>
      </c>
      <c r="AS746" t="s">
        <v>3089</v>
      </c>
      <c r="AT746" t="s">
        <v>230</v>
      </c>
      <c r="AU746">
        <v>20261008</v>
      </c>
      <c r="AV746" t="s">
        <v>221</v>
      </c>
      <c r="AW746" t="s">
        <v>540</v>
      </c>
      <c r="AX746" t="s">
        <v>222</v>
      </c>
      <c r="BA746" s="57">
        <v>46302.333333333336</v>
      </c>
      <c r="BB746" t="s">
        <v>3088</v>
      </c>
      <c r="BC746">
        <v>2026</v>
      </c>
      <c r="BD746">
        <v>10</v>
      </c>
      <c r="BE746">
        <v>8</v>
      </c>
      <c r="BF746" s="6">
        <f t="shared" si="33"/>
        <v>46303</v>
      </c>
      <c r="BG746">
        <f t="shared" si="34"/>
        <v>0.66666666666424135</v>
      </c>
      <c r="BH746" t="str">
        <f t="shared" si="35"/>
        <v>COMPLY</v>
      </c>
      <c r="BI746" t="str">
        <f>VLOOKUP(H746,Sheet2!$A$1:$B$270,2,FALSE)</f>
        <v>JIMBARAN</v>
      </c>
    </row>
    <row r="747" spans="1:61">
      <c r="A747">
        <v>746</v>
      </c>
      <c r="B747">
        <v>1002626311</v>
      </c>
      <c r="C747">
        <v>3</v>
      </c>
      <c r="D747" t="s">
        <v>34</v>
      </c>
      <c r="E747">
        <v>5</v>
      </c>
      <c r="F747" t="s">
        <v>553</v>
      </c>
      <c r="G747" t="s">
        <v>81</v>
      </c>
      <c r="H747" t="s">
        <v>314</v>
      </c>
      <c r="I747" t="s">
        <v>212</v>
      </c>
      <c r="J747" t="s">
        <v>213</v>
      </c>
      <c r="K747" t="s">
        <v>149</v>
      </c>
      <c r="M747" t="s">
        <v>76</v>
      </c>
      <c r="N747" t="s">
        <v>215</v>
      </c>
      <c r="O747" s="57">
        <v>46302.592881944445</v>
      </c>
      <c r="P747" s="57">
        <v>46302.711724537039</v>
      </c>
      <c r="Q747">
        <v>69386156</v>
      </c>
      <c r="S747">
        <v>172415799080</v>
      </c>
      <c r="T747" t="s">
        <v>4444</v>
      </c>
      <c r="U747" t="s">
        <v>4445</v>
      </c>
      <c r="V747" t="s">
        <v>4446</v>
      </c>
      <c r="Z747">
        <v>115.108496981862</v>
      </c>
      <c r="AA747">
        <v>-8.8409450363345403</v>
      </c>
      <c r="AB747" t="s">
        <v>4447</v>
      </c>
      <c r="AC747" t="s">
        <v>283</v>
      </c>
      <c r="AL747" t="s">
        <v>217</v>
      </c>
      <c r="AM747" t="s">
        <v>4448</v>
      </c>
      <c r="AN747" t="s">
        <v>6</v>
      </c>
      <c r="AO747" s="57">
        <v>46213.601053240738</v>
      </c>
      <c r="AR747" t="s">
        <v>218</v>
      </c>
      <c r="AS747" t="s">
        <v>3089</v>
      </c>
      <c r="AT747" t="s">
        <v>230</v>
      </c>
      <c r="AU747">
        <v>20261007</v>
      </c>
      <c r="AV747" t="s">
        <v>221</v>
      </c>
      <c r="AW747" t="s">
        <v>539</v>
      </c>
      <c r="AX747" t="s">
        <v>222</v>
      </c>
      <c r="BA747" s="57">
        <v>46302.291666666664</v>
      </c>
      <c r="BB747" t="s">
        <v>4448</v>
      </c>
      <c r="BC747">
        <v>2026</v>
      </c>
      <c r="BD747">
        <v>10</v>
      </c>
      <c r="BE747">
        <v>7</v>
      </c>
      <c r="BF747" s="6">
        <f t="shared" si="33"/>
        <v>46302</v>
      </c>
      <c r="BG747">
        <f t="shared" si="34"/>
        <v>-0.29166666666424135</v>
      </c>
      <c r="BH747" t="str">
        <f t="shared" si="35"/>
        <v>COMPLY</v>
      </c>
      <c r="BI747" t="str">
        <f>VLOOKUP(H747,Sheet2!$A$1:$B$270,2,FALSE)</f>
        <v>JIMBARAN</v>
      </c>
    </row>
    <row r="748" spans="1:61">
      <c r="A748">
        <v>747</v>
      </c>
      <c r="B748">
        <v>1002625250</v>
      </c>
      <c r="C748">
        <v>3</v>
      </c>
      <c r="D748" t="s">
        <v>34</v>
      </c>
      <c r="E748">
        <v>5</v>
      </c>
      <c r="F748" t="s">
        <v>553</v>
      </c>
      <c r="G748" t="s">
        <v>81</v>
      </c>
      <c r="H748" t="s">
        <v>314</v>
      </c>
      <c r="I748" t="s">
        <v>212</v>
      </c>
      <c r="J748" t="s">
        <v>213</v>
      </c>
      <c r="K748" t="s">
        <v>149</v>
      </c>
      <c r="L748" t="s">
        <v>214</v>
      </c>
      <c r="M748" t="s">
        <v>4126</v>
      </c>
      <c r="N748" t="s">
        <v>215</v>
      </c>
      <c r="O748" s="57">
        <v>46302.316435185188</v>
      </c>
      <c r="P748" s="57">
        <v>46302.325011574074</v>
      </c>
      <c r="Q748">
        <v>69405431</v>
      </c>
      <c r="S748">
        <v>172415799069</v>
      </c>
      <c r="T748" t="s">
        <v>4449</v>
      </c>
      <c r="U748" t="s">
        <v>4450</v>
      </c>
      <c r="V748" t="s">
        <v>4451</v>
      </c>
      <c r="Z748">
        <v>115.17430521547701</v>
      </c>
      <c r="AA748">
        <v>-8.75555552660337</v>
      </c>
      <c r="AB748" t="s">
        <v>4452</v>
      </c>
      <c r="AC748" t="s">
        <v>216</v>
      </c>
      <c r="AL748" t="s">
        <v>217</v>
      </c>
      <c r="AM748" t="s">
        <v>2604</v>
      </c>
      <c r="AN748" t="s">
        <v>6</v>
      </c>
      <c r="AO748" s="57">
        <v>46213.319502314815</v>
      </c>
      <c r="AP748" s="57">
        <v>46303</v>
      </c>
      <c r="AR748" t="s">
        <v>239</v>
      </c>
      <c r="AS748" t="s">
        <v>3089</v>
      </c>
      <c r="AT748" t="s">
        <v>230</v>
      </c>
      <c r="AV748" t="s">
        <v>4132</v>
      </c>
      <c r="AW748" t="s">
        <v>880</v>
      </c>
      <c r="AX748" t="s">
        <v>222</v>
      </c>
      <c r="BA748" s="57">
        <v>46303.333333333336</v>
      </c>
      <c r="BB748" t="s">
        <v>2604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str">
        <f>VLOOKUP(H748,Sheet2!$A$1:$B$270,2,FALSE)</f>
        <v>JIMBARAN</v>
      </c>
    </row>
    <row r="749" spans="1:61">
      <c r="A749">
        <v>748</v>
      </c>
      <c r="B749">
        <v>1002626137</v>
      </c>
      <c r="C749">
        <v>3</v>
      </c>
      <c r="D749" t="s">
        <v>34</v>
      </c>
      <c r="E749">
        <v>5</v>
      </c>
      <c r="F749" t="s">
        <v>553</v>
      </c>
      <c r="G749" t="s">
        <v>81</v>
      </c>
      <c r="H749" t="s">
        <v>314</v>
      </c>
      <c r="I749" t="s">
        <v>212</v>
      </c>
      <c r="J749" t="s">
        <v>213</v>
      </c>
      <c r="K749" t="s">
        <v>149</v>
      </c>
      <c r="L749" t="s">
        <v>214</v>
      </c>
      <c r="M749" t="s">
        <v>238</v>
      </c>
      <c r="N749" t="s">
        <v>215</v>
      </c>
      <c r="O749" s="57">
        <v>46302.562210648146</v>
      </c>
      <c r="P749" s="57">
        <v>46302.564247685186</v>
      </c>
      <c r="Q749">
        <v>69405842</v>
      </c>
      <c r="S749">
        <v>172415799078</v>
      </c>
      <c r="T749" t="s">
        <v>4453</v>
      </c>
      <c r="U749" t="s">
        <v>4454</v>
      </c>
      <c r="V749" t="s">
        <v>4455</v>
      </c>
      <c r="Z749">
        <v>115.172865204513</v>
      </c>
      <c r="AA749">
        <v>-8.7547009247845793</v>
      </c>
      <c r="AB749" t="s">
        <v>4456</v>
      </c>
      <c r="AC749" t="s">
        <v>216</v>
      </c>
      <c r="AL749" t="s">
        <v>217</v>
      </c>
      <c r="AM749" t="s">
        <v>4457</v>
      </c>
      <c r="AN749" t="s">
        <v>6</v>
      </c>
      <c r="AO749" s="57">
        <v>46213.56962962963</v>
      </c>
      <c r="AP749" s="57">
        <v>46303.458333333336</v>
      </c>
      <c r="AR749" t="s">
        <v>239</v>
      </c>
      <c r="AS749" t="s">
        <v>3089</v>
      </c>
      <c r="AT749" t="s">
        <v>230</v>
      </c>
      <c r="AV749" t="s">
        <v>238</v>
      </c>
      <c r="AW749" t="s">
        <v>886</v>
      </c>
      <c r="AX749" t="s">
        <v>222</v>
      </c>
      <c r="BA749" s="57">
        <v>46303.458333333336</v>
      </c>
      <c r="BB749" t="s">
        <v>4457</v>
      </c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str">
        <f>VLOOKUP(H749,Sheet2!$A$1:$B$270,2,FALSE)</f>
        <v>JIMBARAN</v>
      </c>
    </row>
    <row r="750" spans="1:61">
      <c r="A750">
        <v>749</v>
      </c>
      <c r="B750">
        <v>1002622473</v>
      </c>
      <c r="C750">
        <v>3</v>
      </c>
      <c r="D750" t="s">
        <v>34</v>
      </c>
      <c r="E750">
        <v>5</v>
      </c>
      <c r="F750" t="s">
        <v>553</v>
      </c>
      <c r="G750" t="s">
        <v>81</v>
      </c>
      <c r="H750" t="s">
        <v>314</v>
      </c>
      <c r="I750" t="s">
        <v>212</v>
      </c>
      <c r="J750" t="s">
        <v>213</v>
      </c>
      <c r="K750" t="s">
        <v>149</v>
      </c>
      <c r="M750" t="s">
        <v>1627</v>
      </c>
      <c r="N750" t="s">
        <v>215</v>
      </c>
      <c r="O750" s="57">
        <v>46300.570543981485</v>
      </c>
      <c r="P750" s="57">
        <v>46301.719918981478</v>
      </c>
      <c r="Q750">
        <v>69404358</v>
      </c>
      <c r="S750">
        <v>172415799063</v>
      </c>
      <c r="T750" t="s">
        <v>3090</v>
      </c>
      <c r="U750" t="s">
        <v>3091</v>
      </c>
      <c r="Z750">
        <v>115.1744427</v>
      </c>
      <c r="AA750">
        <v>-8.7556173000000008</v>
      </c>
      <c r="AB750" t="s">
        <v>3092</v>
      </c>
      <c r="AC750" t="s">
        <v>229</v>
      </c>
      <c r="AO750" s="57">
        <v>46152.601203703707</v>
      </c>
      <c r="AR750" t="s">
        <v>1632</v>
      </c>
      <c r="AS750" t="s">
        <v>3089</v>
      </c>
      <c r="AT750" t="s">
        <v>230</v>
      </c>
      <c r="AV750" t="s">
        <v>3694</v>
      </c>
      <c r="AW750" t="s">
        <v>540</v>
      </c>
      <c r="AX750" t="s">
        <v>222</v>
      </c>
      <c r="AZ750" t="s">
        <v>3694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JIMBARAN</v>
      </c>
    </row>
    <row r="751" spans="1:61">
      <c r="A751">
        <v>750</v>
      </c>
      <c r="B751">
        <v>1002619911</v>
      </c>
      <c r="C751">
        <v>3</v>
      </c>
      <c r="D751" t="s">
        <v>34</v>
      </c>
      <c r="E751">
        <v>5</v>
      </c>
      <c r="F751" t="s">
        <v>553</v>
      </c>
      <c r="G751" t="s">
        <v>81</v>
      </c>
      <c r="H751" t="s">
        <v>348</v>
      </c>
      <c r="I751" t="s">
        <v>212</v>
      </c>
      <c r="J751" t="s">
        <v>213</v>
      </c>
      <c r="K751" t="s">
        <v>149</v>
      </c>
      <c r="M751" t="s">
        <v>224</v>
      </c>
      <c r="N751" t="s">
        <v>215</v>
      </c>
      <c r="O751" s="57">
        <v>46297.58798611111</v>
      </c>
      <c r="P751" s="57">
        <v>46299.635439814818</v>
      </c>
      <c r="Q751">
        <v>69403135</v>
      </c>
      <c r="S751">
        <v>172416429347</v>
      </c>
      <c r="T751" t="s">
        <v>2470</v>
      </c>
      <c r="U751" t="s">
        <v>2471</v>
      </c>
      <c r="V751" t="s">
        <v>2472</v>
      </c>
      <c r="Z751">
        <v>115.1830829</v>
      </c>
      <c r="AA751">
        <v>-8.7048287999999996</v>
      </c>
      <c r="AB751" t="s">
        <v>2473</v>
      </c>
      <c r="AC751" t="s">
        <v>229</v>
      </c>
      <c r="AL751" t="s">
        <v>217</v>
      </c>
      <c r="AM751" t="s">
        <v>2474</v>
      </c>
      <c r="AN751" t="s">
        <v>6</v>
      </c>
      <c r="AO751" s="57">
        <v>46063.61105324074</v>
      </c>
      <c r="AP751" s="57">
        <v>46299.625</v>
      </c>
      <c r="AR751" t="s">
        <v>18</v>
      </c>
      <c r="AS751" t="s">
        <v>792</v>
      </c>
      <c r="AT751" t="s">
        <v>220</v>
      </c>
      <c r="AV751" t="s">
        <v>226</v>
      </c>
      <c r="AW751" t="s">
        <v>576</v>
      </c>
      <c r="AX751" t="s">
        <v>222</v>
      </c>
      <c r="BA751" s="57">
        <v>46299.625</v>
      </c>
      <c r="BB751" t="s">
        <v>2474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str">
        <f>VLOOKUP(H751,Sheet2!$A$1:$B$270,2,FALSE)</f>
        <v>JIMBARAN</v>
      </c>
    </row>
    <row r="752" spans="1:61">
      <c r="A752">
        <v>751</v>
      </c>
      <c r="B752">
        <v>1002621594</v>
      </c>
      <c r="C752">
        <v>3</v>
      </c>
      <c r="D752" t="s">
        <v>34</v>
      </c>
      <c r="E752">
        <v>5</v>
      </c>
      <c r="F752" t="s">
        <v>553</v>
      </c>
      <c r="G752" t="s">
        <v>81</v>
      </c>
      <c r="H752" t="s">
        <v>348</v>
      </c>
      <c r="I752" t="s">
        <v>212</v>
      </c>
      <c r="J752" t="s">
        <v>213</v>
      </c>
      <c r="K752" t="s">
        <v>149</v>
      </c>
      <c r="M752" t="s">
        <v>224</v>
      </c>
      <c r="N752" t="s">
        <v>215</v>
      </c>
      <c r="O752" s="57">
        <v>46300.356423611112</v>
      </c>
      <c r="P752" s="57">
        <v>46301.341134259259</v>
      </c>
      <c r="Q752">
        <v>69404024</v>
      </c>
      <c r="S752">
        <v>172416429487</v>
      </c>
      <c r="T752" t="s">
        <v>3093</v>
      </c>
      <c r="U752" t="s">
        <v>2471</v>
      </c>
      <c r="V752" t="s">
        <v>3094</v>
      </c>
      <c r="Z752">
        <v>115.1830829</v>
      </c>
      <c r="AA752">
        <v>-8.7048287999999996</v>
      </c>
      <c r="AB752" t="s">
        <v>2473</v>
      </c>
      <c r="AC752" t="s">
        <v>229</v>
      </c>
      <c r="AL752" t="s">
        <v>217</v>
      </c>
      <c r="AM752" t="s">
        <v>3095</v>
      </c>
      <c r="AN752" t="s">
        <v>6</v>
      </c>
      <c r="AO752" s="57">
        <v>46152.361574074072</v>
      </c>
      <c r="AP752" s="57">
        <v>46301.333333333336</v>
      </c>
      <c r="AR752" t="s">
        <v>18</v>
      </c>
      <c r="AS752" t="s">
        <v>792</v>
      </c>
      <c r="AT752" t="s">
        <v>230</v>
      </c>
      <c r="AV752" t="s">
        <v>226</v>
      </c>
      <c r="AW752" t="s">
        <v>540</v>
      </c>
      <c r="AX752" t="s">
        <v>222</v>
      </c>
      <c r="BA752" s="57">
        <v>46301.333333333336</v>
      </c>
      <c r="BB752" t="s">
        <v>3095</v>
      </c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str">
        <f>VLOOKUP(H752,Sheet2!$A$1:$B$270,2,FALSE)</f>
        <v>JIMBARAN</v>
      </c>
    </row>
    <row r="753" spans="1:61">
      <c r="A753">
        <v>752</v>
      </c>
      <c r="B753">
        <v>1002625326</v>
      </c>
      <c r="C753">
        <v>3</v>
      </c>
      <c r="D753" t="s">
        <v>34</v>
      </c>
      <c r="E753">
        <v>5</v>
      </c>
      <c r="F753" t="s">
        <v>553</v>
      </c>
      <c r="G753" t="s">
        <v>81</v>
      </c>
      <c r="H753" t="s">
        <v>348</v>
      </c>
      <c r="I753" t="s">
        <v>212</v>
      </c>
      <c r="J753" t="s">
        <v>213</v>
      </c>
      <c r="K753" t="s">
        <v>149</v>
      </c>
      <c r="M753" t="s">
        <v>224</v>
      </c>
      <c r="N753" t="s">
        <v>215</v>
      </c>
      <c r="O753" s="57">
        <v>46302.365891203706</v>
      </c>
      <c r="P753" s="57">
        <v>46303.343761574077</v>
      </c>
      <c r="Q753">
        <v>69405473</v>
      </c>
      <c r="S753">
        <v>172416429502</v>
      </c>
      <c r="T753" t="s">
        <v>4458</v>
      </c>
      <c r="U753" t="s">
        <v>4459</v>
      </c>
      <c r="V753" t="s">
        <v>4460</v>
      </c>
      <c r="AB753" t="s">
        <v>4461</v>
      </c>
      <c r="AC753" t="s">
        <v>229</v>
      </c>
      <c r="AL753" t="s">
        <v>217</v>
      </c>
      <c r="AM753" t="s">
        <v>4462</v>
      </c>
      <c r="AN753" t="s">
        <v>6</v>
      </c>
      <c r="AO753" s="57">
        <v>46213.392731481479</v>
      </c>
      <c r="AP753" s="57">
        <v>46303.333333333336</v>
      </c>
      <c r="AR753" t="s">
        <v>18</v>
      </c>
      <c r="AS753" t="s">
        <v>792</v>
      </c>
      <c r="AT753" t="s">
        <v>230</v>
      </c>
      <c r="AV753" t="s">
        <v>226</v>
      </c>
      <c r="AW753" t="s">
        <v>1987</v>
      </c>
      <c r="AX753" t="s">
        <v>222</v>
      </c>
      <c r="BA753" s="57">
        <v>46303.333333333336</v>
      </c>
      <c r="BB753" t="s">
        <v>4462</v>
      </c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str">
        <f>VLOOKUP(H753,Sheet2!$A$1:$B$270,2,FALSE)</f>
        <v>JIMBARAN</v>
      </c>
    </row>
    <row r="754" spans="1:61">
      <c r="A754">
        <v>753</v>
      </c>
      <c r="B754">
        <v>1002626636</v>
      </c>
      <c r="C754">
        <v>3</v>
      </c>
      <c r="D754" t="s">
        <v>34</v>
      </c>
      <c r="E754">
        <v>5</v>
      </c>
      <c r="F754" t="s">
        <v>553</v>
      </c>
      <c r="G754" t="s">
        <v>81</v>
      </c>
      <c r="H754" t="s">
        <v>348</v>
      </c>
      <c r="I754" t="s">
        <v>212</v>
      </c>
      <c r="J754" t="s">
        <v>213</v>
      </c>
      <c r="K754" t="s">
        <v>149</v>
      </c>
      <c r="L754" t="s">
        <v>214</v>
      </c>
      <c r="M754" t="s">
        <v>238</v>
      </c>
      <c r="N754" t="s">
        <v>215</v>
      </c>
      <c r="O754" s="57">
        <v>46302.658113425925</v>
      </c>
      <c r="P754" s="57">
        <v>46302.65997685185</v>
      </c>
      <c r="Q754">
        <v>69406029</v>
      </c>
      <c r="S754">
        <v>172416429505</v>
      </c>
      <c r="T754" t="s">
        <v>4463</v>
      </c>
      <c r="U754" t="s">
        <v>4464</v>
      </c>
      <c r="V754" t="s">
        <v>4465</v>
      </c>
      <c r="Z754">
        <v>115.1783271</v>
      </c>
      <c r="AA754">
        <v>-8.7406834</v>
      </c>
      <c r="AB754" t="s">
        <v>4466</v>
      </c>
      <c r="AC754" t="s">
        <v>235</v>
      </c>
      <c r="AL754" t="s">
        <v>217</v>
      </c>
      <c r="AM754" t="s">
        <v>4467</v>
      </c>
      <c r="AN754" t="s">
        <v>6</v>
      </c>
      <c r="AO754" s="57">
        <v>46213.66333333333</v>
      </c>
      <c r="AP754" s="57">
        <v>46303.625</v>
      </c>
      <c r="AR754" t="s">
        <v>239</v>
      </c>
      <c r="AS754" t="s">
        <v>792</v>
      </c>
      <c r="AT754" t="s">
        <v>230</v>
      </c>
      <c r="AV754" t="s">
        <v>238</v>
      </c>
      <c r="AW754" t="s">
        <v>880</v>
      </c>
      <c r="AX754" t="s">
        <v>222</v>
      </c>
      <c r="BA754" s="57">
        <v>46303.625</v>
      </c>
      <c r="BB754" t="s">
        <v>4467</v>
      </c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str">
        <f>VLOOKUP(H754,Sheet2!$A$1:$B$270,2,FALSE)</f>
        <v>JIMBARAN</v>
      </c>
    </row>
    <row r="755" spans="1:61">
      <c r="A755">
        <v>754</v>
      </c>
      <c r="B755">
        <v>1002626577</v>
      </c>
      <c r="C755">
        <v>3</v>
      </c>
      <c r="D755" t="s">
        <v>34</v>
      </c>
      <c r="E755">
        <v>5</v>
      </c>
      <c r="F755" t="s">
        <v>553</v>
      </c>
      <c r="G755" t="s">
        <v>81</v>
      </c>
      <c r="H755" t="s">
        <v>348</v>
      </c>
      <c r="I755" t="s">
        <v>212</v>
      </c>
      <c r="J755" t="s">
        <v>213</v>
      </c>
      <c r="K755" t="s">
        <v>149</v>
      </c>
      <c r="M755" t="s">
        <v>238</v>
      </c>
      <c r="N755" t="s">
        <v>215</v>
      </c>
      <c r="O755" s="57">
        <v>46302.64916666667</v>
      </c>
      <c r="P755" s="57">
        <v>46302.712581018517</v>
      </c>
      <c r="Q755">
        <v>69406010</v>
      </c>
      <c r="S755">
        <v>172416429369</v>
      </c>
      <c r="T755" t="s">
        <v>4468</v>
      </c>
      <c r="U755" t="s">
        <v>4469</v>
      </c>
      <c r="V755" t="s">
        <v>4470</v>
      </c>
      <c r="Z755">
        <v>115.1721465</v>
      </c>
      <c r="AA755">
        <v>-8.7123358999999994</v>
      </c>
      <c r="AB755" t="s">
        <v>4471</v>
      </c>
      <c r="AC755" t="s">
        <v>229</v>
      </c>
      <c r="AL755" t="s">
        <v>217</v>
      </c>
      <c r="AM755" t="s">
        <v>4472</v>
      </c>
      <c r="AN755" t="s">
        <v>6</v>
      </c>
      <c r="AO755" s="57">
        <v>46213.66333333333</v>
      </c>
      <c r="AP755" s="57">
        <v>46303.625</v>
      </c>
      <c r="AR755" t="s">
        <v>239</v>
      </c>
      <c r="AS755" t="s">
        <v>792</v>
      </c>
      <c r="AT755" t="s">
        <v>230</v>
      </c>
      <c r="AV755" t="s">
        <v>238</v>
      </c>
      <c r="AW755" t="s">
        <v>540</v>
      </c>
      <c r="AX755" t="s">
        <v>222</v>
      </c>
      <c r="BA755" s="57">
        <v>46303.625</v>
      </c>
      <c r="BB755" t="s">
        <v>4472</v>
      </c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str">
        <f>VLOOKUP(H755,Sheet2!$A$1:$B$270,2,FALSE)</f>
        <v>JIMBARAN</v>
      </c>
    </row>
    <row r="756" spans="1:61">
      <c r="A756">
        <v>755</v>
      </c>
      <c r="B756">
        <v>1002619261</v>
      </c>
      <c r="C756">
        <v>3</v>
      </c>
      <c r="D756" t="s">
        <v>34</v>
      </c>
      <c r="E756">
        <v>5</v>
      </c>
      <c r="F756" t="s">
        <v>553</v>
      </c>
      <c r="G756" t="s">
        <v>81</v>
      </c>
      <c r="H756" t="s">
        <v>348</v>
      </c>
      <c r="I756" t="s">
        <v>212</v>
      </c>
      <c r="J756" t="s">
        <v>213</v>
      </c>
      <c r="K756" t="s">
        <v>149</v>
      </c>
      <c r="M756" t="s">
        <v>538</v>
      </c>
      <c r="N756" t="s">
        <v>215</v>
      </c>
      <c r="O756" s="57">
        <v>46297.432245370372</v>
      </c>
      <c r="P756" s="57">
        <v>46297.596631944441</v>
      </c>
      <c r="Q756">
        <v>69402843</v>
      </c>
      <c r="S756">
        <v>172416429336</v>
      </c>
      <c r="T756" t="s">
        <v>2475</v>
      </c>
      <c r="U756" t="s">
        <v>2471</v>
      </c>
      <c r="Z756">
        <v>115.1830829</v>
      </c>
      <c r="AA756">
        <v>-8.7048287999999996</v>
      </c>
      <c r="AB756" t="s">
        <v>2473</v>
      </c>
      <c r="AC756" t="s">
        <v>229</v>
      </c>
      <c r="AO756" s="57">
        <v>46063.444386574076</v>
      </c>
      <c r="AR756" t="s">
        <v>6</v>
      </c>
      <c r="AS756" t="s">
        <v>792</v>
      </c>
      <c r="AT756" t="s">
        <v>220</v>
      </c>
      <c r="AV756" t="s">
        <v>2476</v>
      </c>
      <c r="AW756" t="s">
        <v>540</v>
      </c>
      <c r="AX756" t="s">
        <v>222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str">
        <f>VLOOKUP(H756,Sheet2!$A$1:$B$270,2,FALSE)</f>
        <v>JIMBARAN</v>
      </c>
    </row>
    <row r="757" spans="1:61">
      <c r="A757">
        <v>756</v>
      </c>
      <c r="B757">
        <v>1002621473</v>
      </c>
      <c r="C757">
        <v>3</v>
      </c>
      <c r="D757" t="s">
        <v>34</v>
      </c>
      <c r="E757">
        <v>5</v>
      </c>
      <c r="F757" t="s">
        <v>553</v>
      </c>
      <c r="G757" t="s">
        <v>83</v>
      </c>
      <c r="H757" t="s">
        <v>316</v>
      </c>
      <c r="I757" t="s">
        <v>212</v>
      </c>
      <c r="J757" t="s">
        <v>213</v>
      </c>
      <c r="K757" t="s">
        <v>149</v>
      </c>
      <c r="L757" t="s">
        <v>214</v>
      </c>
      <c r="M757" t="s">
        <v>76</v>
      </c>
      <c r="N757" t="s">
        <v>215</v>
      </c>
      <c r="O757" s="57">
        <v>46299.66574074074</v>
      </c>
      <c r="P757" s="57">
        <v>46301.33084490741</v>
      </c>
      <c r="Q757">
        <v>69403960</v>
      </c>
      <c r="S757">
        <v>172401794124</v>
      </c>
      <c r="T757" t="s">
        <v>2477</v>
      </c>
      <c r="U757" t="s">
        <v>2478</v>
      </c>
      <c r="V757" t="s">
        <v>2479</v>
      </c>
      <c r="Z757">
        <v>115.233876292338</v>
      </c>
      <c r="AA757">
        <v>-8.68437292116249</v>
      </c>
      <c r="AB757" t="s">
        <v>2480</v>
      </c>
      <c r="AC757" t="s">
        <v>2481</v>
      </c>
      <c r="AL757" t="s">
        <v>217</v>
      </c>
      <c r="AM757" t="s">
        <v>2482</v>
      </c>
      <c r="AN757" t="s">
        <v>6</v>
      </c>
      <c r="AO757" s="57">
        <v>46122.674062500002</v>
      </c>
      <c r="AP757" s="57">
        <v>46300.625</v>
      </c>
      <c r="AR757" t="s">
        <v>218</v>
      </c>
      <c r="AS757" t="s">
        <v>2483</v>
      </c>
      <c r="AT757" t="s">
        <v>230</v>
      </c>
      <c r="AU757">
        <v>20261006</v>
      </c>
      <c r="AV757" t="s">
        <v>221</v>
      </c>
      <c r="AW757" t="s">
        <v>2484</v>
      </c>
      <c r="AX757" t="s">
        <v>222</v>
      </c>
      <c r="BA757" s="57">
        <v>46300.625</v>
      </c>
      <c r="BB757" t="s">
        <v>2482</v>
      </c>
      <c r="BC757">
        <v>2026</v>
      </c>
      <c r="BD757">
        <v>10</v>
      </c>
      <c r="BE757">
        <v>6</v>
      </c>
      <c r="BF757" s="6">
        <f t="shared" si="33"/>
        <v>46301</v>
      </c>
      <c r="BG757">
        <f t="shared" si="34"/>
        <v>0.375</v>
      </c>
      <c r="BH757" t="str">
        <f t="shared" si="35"/>
        <v>COMPLY</v>
      </c>
      <c r="BI757" t="str">
        <f>VLOOKUP(H757,Sheet2!$A$1:$B$270,2,FALSE)</f>
        <v>SANUR</v>
      </c>
    </row>
    <row r="758" spans="1:61">
      <c r="A758">
        <v>757</v>
      </c>
      <c r="B758">
        <v>1002626288</v>
      </c>
      <c r="C758">
        <v>3</v>
      </c>
      <c r="D758" t="s">
        <v>34</v>
      </c>
      <c r="E758">
        <v>5</v>
      </c>
      <c r="F758" t="s">
        <v>553</v>
      </c>
      <c r="G758" t="s">
        <v>83</v>
      </c>
      <c r="H758" t="s">
        <v>316</v>
      </c>
      <c r="I758" t="s">
        <v>212</v>
      </c>
      <c r="J758" t="s">
        <v>213</v>
      </c>
      <c r="K758" t="s">
        <v>149</v>
      </c>
      <c r="M758" t="s">
        <v>76</v>
      </c>
      <c r="N758" t="s">
        <v>215</v>
      </c>
      <c r="O758" s="57">
        <v>46302.589259259257</v>
      </c>
      <c r="P758" s="57">
        <v>46302.711076388892</v>
      </c>
      <c r="Q758">
        <v>69402378</v>
      </c>
      <c r="S758">
        <v>172401793742</v>
      </c>
      <c r="T758" t="s">
        <v>1387</v>
      </c>
      <c r="U758" t="s">
        <v>4473</v>
      </c>
      <c r="V758" t="s">
        <v>4474</v>
      </c>
      <c r="Z758">
        <v>115.221521</v>
      </c>
      <c r="AA758">
        <v>-8.6358139999999999</v>
      </c>
      <c r="AB758" t="s">
        <v>1390</v>
      </c>
      <c r="AC758" t="s">
        <v>225</v>
      </c>
      <c r="AL758" t="s">
        <v>217</v>
      </c>
      <c r="AM758" t="s">
        <v>4475</v>
      </c>
      <c r="AN758" t="s">
        <v>6</v>
      </c>
      <c r="AO758" s="57">
        <v>46213.59065972222</v>
      </c>
      <c r="AR758" t="s">
        <v>218</v>
      </c>
      <c r="AS758" t="s">
        <v>2483</v>
      </c>
      <c r="AT758" t="s">
        <v>220</v>
      </c>
      <c r="AU758">
        <v>20261007</v>
      </c>
      <c r="AV758" t="s">
        <v>221</v>
      </c>
      <c r="AW758" t="s">
        <v>576</v>
      </c>
      <c r="AX758" t="s">
        <v>222</v>
      </c>
      <c r="BA758" s="57">
        <v>46302.291666666664</v>
      </c>
      <c r="BB758" t="s">
        <v>4475</v>
      </c>
      <c r="BC758">
        <v>2026</v>
      </c>
      <c r="BD758">
        <v>10</v>
      </c>
      <c r="BE758">
        <v>7</v>
      </c>
      <c r="BF758" s="6">
        <f t="shared" si="33"/>
        <v>46302</v>
      </c>
      <c r="BG758">
        <f t="shared" si="34"/>
        <v>-0.29166666666424135</v>
      </c>
      <c r="BH758" t="str">
        <f t="shared" si="35"/>
        <v>COMPLY</v>
      </c>
      <c r="BI758" t="str">
        <f>VLOOKUP(H758,Sheet2!$A$1:$B$270,2,FALSE)</f>
        <v>SANUR</v>
      </c>
    </row>
    <row r="759" spans="1:61">
      <c r="A759">
        <v>758</v>
      </c>
      <c r="B759">
        <v>1002617750</v>
      </c>
      <c r="C759">
        <v>3</v>
      </c>
      <c r="D759" t="s">
        <v>34</v>
      </c>
      <c r="E759">
        <v>5</v>
      </c>
      <c r="F759" t="s">
        <v>546</v>
      </c>
      <c r="G759" t="s">
        <v>84</v>
      </c>
      <c r="H759" t="s">
        <v>408</v>
      </c>
      <c r="I759" t="s">
        <v>212</v>
      </c>
      <c r="J759" t="s">
        <v>213</v>
      </c>
      <c r="K759" t="s">
        <v>149</v>
      </c>
      <c r="M759" t="s">
        <v>76</v>
      </c>
      <c r="N759" t="s">
        <v>215</v>
      </c>
      <c r="O759" s="57">
        <v>46296.530219907407</v>
      </c>
      <c r="P759" s="57">
        <v>46297.860289351855</v>
      </c>
      <c r="Q759">
        <v>69402318</v>
      </c>
      <c r="S759">
        <v>172406213398</v>
      </c>
      <c r="T759" t="s">
        <v>1396</v>
      </c>
      <c r="U759" t="s">
        <v>1397</v>
      </c>
      <c r="V759" t="s">
        <v>1398</v>
      </c>
      <c r="Z759">
        <v>115.3283899</v>
      </c>
      <c r="AA759">
        <v>-8.2477935999999996</v>
      </c>
      <c r="AB759" t="s">
        <v>1399</v>
      </c>
      <c r="AC759" t="s">
        <v>229</v>
      </c>
      <c r="AL759" t="s">
        <v>217</v>
      </c>
      <c r="AM759" t="s">
        <v>1400</v>
      </c>
      <c r="AN759" t="s">
        <v>6</v>
      </c>
      <c r="AO759" s="57">
        <v>46032.559305555558</v>
      </c>
      <c r="AP759" s="57">
        <v>46297.625</v>
      </c>
      <c r="AR759" t="s">
        <v>218</v>
      </c>
      <c r="AS759" t="s">
        <v>219</v>
      </c>
      <c r="AT759" t="s">
        <v>220</v>
      </c>
      <c r="AU759">
        <v>20261002</v>
      </c>
      <c r="AV759" t="s">
        <v>221</v>
      </c>
      <c r="AW759" t="s">
        <v>930</v>
      </c>
      <c r="AX759" t="s">
        <v>222</v>
      </c>
      <c r="BA759" s="57">
        <v>46297.625</v>
      </c>
      <c r="BB759" t="s">
        <v>1400</v>
      </c>
      <c r="BC759">
        <v>2026</v>
      </c>
      <c r="BD759">
        <v>10</v>
      </c>
      <c r="BE759">
        <v>2</v>
      </c>
      <c r="BF759" s="6">
        <f t="shared" si="33"/>
        <v>46297</v>
      </c>
      <c r="BG759">
        <f t="shared" si="34"/>
        <v>-0.625</v>
      </c>
      <c r="BH759" t="str">
        <f t="shared" si="35"/>
        <v>COMPLY</v>
      </c>
      <c r="BI759" t="str">
        <f>VLOOKUP(H759,Sheet2!$A$1:$B$270,2,FALSE)</f>
        <v>SINGARAJA</v>
      </c>
    </row>
    <row r="760" spans="1:61">
      <c r="A760">
        <v>759</v>
      </c>
      <c r="B760">
        <v>1002621736</v>
      </c>
      <c r="C760">
        <v>3</v>
      </c>
      <c r="D760" t="s">
        <v>34</v>
      </c>
      <c r="E760">
        <v>5</v>
      </c>
      <c r="F760" t="s">
        <v>546</v>
      </c>
      <c r="G760" t="s">
        <v>84</v>
      </c>
      <c r="H760" t="s">
        <v>408</v>
      </c>
      <c r="I760" t="s">
        <v>212</v>
      </c>
      <c r="J760" t="s">
        <v>213</v>
      </c>
      <c r="K760" t="s">
        <v>149</v>
      </c>
      <c r="M760" t="s">
        <v>238</v>
      </c>
      <c r="N760" t="s">
        <v>215</v>
      </c>
      <c r="O760" s="57">
        <v>46300.394108796296</v>
      </c>
      <c r="P760" s="57">
        <v>46300.48201388889</v>
      </c>
      <c r="Q760">
        <v>69404079</v>
      </c>
      <c r="S760">
        <v>172406213405</v>
      </c>
      <c r="T760" t="s">
        <v>3096</v>
      </c>
      <c r="U760" t="s">
        <v>3097</v>
      </c>
      <c r="V760" t="s">
        <v>3098</v>
      </c>
      <c r="Z760">
        <v>115.3249307</v>
      </c>
      <c r="AA760">
        <v>-8.2389054999999995</v>
      </c>
      <c r="AB760" t="s">
        <v>3099</v>
      </c>
      <c r="AC760" t="s">
        <v>229</v>
      </c>
      <c r="AL760" t="s">
        <v>217</v>
      </c>
      <c r="AM760" t="s">
        <v>3100</v>
      </c>
      <c r="AN760" t="s">
        <v>6</v>
      </c>
      <c r="AO760" s="57">
        <v>46152.40284722222</v>
      </c>
      <c r="AP760" s="57">
        <v>46307.333333333336</v>
      </c>
      <c r="AR760" t="s">
        <v>239</v>
      </c>
      <c r="AS760" t="s">
        <v>219</v>
      </c>
      <c r="AT760" t="s">
        <v>230</v>
      </c>
      <c r="AV760" t="s">
        <v>238</v>
      </c>
      <c r="AW760" t="s">
        <v>539</v>
      </c>
      <c r="AX760" t="s">
        <v>222</v>
      </c>
      <c r="BA760" s="57">
        <v>46307.333333333336</v>
      </c>
      <c r="BB760" t="s">
        <v>3100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SINGARAJA</v>
      </c>
    </row>
    <row r="761" spans="1:61">
      <c r="A761">
        <v>760</v>
      </c>
      <c r="B761">
        <v>1002621371</v>
      </c>
      <c r="C761">
        <v>3</v>
      </c>
      <c r="D761" t="s">
        <v>34</v>
      </c>
      <c r="E761">
        <v>5</v>
      </c>
      <c r="F761" t="s">
        <v>546</v>
      </c>
      <c r="G761" t="s">
        <v>79</v>
      </c>
      <c r="H761" t="s">
        <v>459</v>
      </c>
      <c r="I761" t="s">
        <v>212</v>
      </c>
      <c r="J761" t="s">
        <v>213</v>
      </c>
      <c r="K761" t="s">
        <v>149</v>
      </c>
      <c r="M761" t="s">
        <v>1401</v>
      </c>
      <c r="N761" t="s">
        <v>215</v>
      </c>
      <c r="O761" s="57">
        <v>46299.539398148147</v>
      </c>
      <c r="P761" s="57">
        <v>46301.614328703705</v>
      </c>
      <c r="Q761">
        <v>69403887</v>
      </c>
      <c r="S761">
        <v>172407215032</v>
      </c>
      <c r="T761" t="s">
        <v>2499</v>
      </c>
      <c r="U761" t="s">
        <v>2500</v>
      </c>
      <c r="V761" t="s">
        <v>2501</v>
      </c>
      <c r="Z761">
        <v>115.3299674</v>
      </c>
      <c r="AA761">
        <v>-8.5350801000000001</v>
      </c>
      <c r="AB761" t="s">
        <v>2502</v>
      </c>
      <c r="AC761" t="s">
        <v>229</v>
      </c>
      <c r="AL761" t="s">
        <v>217</v>
      </c>
      <c r="AM761" t="s">
        <v>2503</v>
      </c>
      <c r="AN761" t="s">
        <v>6</v>
      </c>
      <c r="AO761" s="57">
        <v>46122.549178240741</v>
      </c>
      <c r="AP761" s="57">
        <v>46300.458333333336</v>
      </c>
      <c r="AR761" t="s">
        <v>14</v>
      </c>
      <c r="AS761" t="s">
        <v>79</v>
      </c>
      <c r="AT761" t="s">
        <v>230</v>
      </c>
      <c r="AV761" t="s">
        <v>3101</v>
      </c>
      <c r="AW761" t="s">
        <v>1987</v>
      </c>
      <c r="AX761" t="s">
        <v>222</v>
      </c>
      <c r="BA761" s="57">
        <v>46300.458333333336</v>
      </c>
      <c r="BB761" t="s">
        <v>2503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str">
        <f>VLOOKUP(H761,Sheet2!$A$1:$B$270,2,FALSE)</f>
        <v>GIANYAR</v>
      </c>
    </row>
    <row r="762" spans="1:61">
      <c r="A762">
        <v>761</v>
      </c>
      <c r="B762">
        <v>1002621378</v>
      </c>
      <c r="C762">
        <v>3</v>
      </c>
      <c r="D762" t="s">
        <v>34</v>
      </c>
      <c r="E762">
        <v>5</v>
      </c>
      <c r="F762" t="s">
        <v>546</v>
      </c>
      <c r="G762" t="s">
        <v>79</v>
      </c>
      <c r="H762" t="s">
        <v>459</v>
      </c>
      <c r="I762" t="s">
        <v>212</v>
      </c>
      <c r="J762" t="s">
        <v>213</v>
      </c>
      <c r="K762" t="s">
        <v>149</v>
      </c>
      <c r="M762" t="s">
        <v>839</v>
      </c>
      <c r="N762" t="s">
        <v>215</v>
      </c>
      <c r="O762" s="57">
        <v>46299.543599537035</v>
      </c>
      <c r="P762" s="57">
        <v>46302.703472222223</v>
      </c>
      <c r="Q762">
        <v>69403881</v>
      </c>
      <c r="S762">
        <v>172407215034</v>
      </c>
      <c r="T762" t="s">
        <v>2504</v>
      </c>
      <c r="U762" t="s">
        <v>2505</v>
      </c>
      <c r="V762" t="s">
        <v>3107</v>
      </c>
      <c r="Z762">
        <v>115.32853489999999</v>
      </c>
      <c r="AA762">
        <v>-8.5257539999999992</v>
      </c>
      <c r="AB762" t="s">
        <v>2506</v>
      </c>
      <c r="AC762" t="s">
        <v>229</v>
      </c>
      <c r="AL762" t="s">
        <v>217</v>
      </c>
      <c r="AM762" t="s">
        <v>3108</v>
      </c>
      <c r="AN762" t="s">
        <v>6</v>
      </c>
      <c r="AO762" s="57">
        <v>46122.549178240741</v>
      </c>
      <c r="AP762" s="57">
        <v>46302.458333333336</v>
      </c>
      <c r="AQ762" t="s">
        <v>841</v>
      </c>
      <c r="AR762" t="s">
        <v>840</v>
      </c>
      <c r="AS762" t="s">
        <v>79</v>
      </c>
      <c r="AT762" t="s">
        <v>230</v>
      </c>
      <c r="AV762" t="s">
        <v>4476</v>
      </c>
      <c r="AW762" t="s">
        <v>540</v>
      </c>
      <c r="AX762" t="s">
        <v>222</v>
      </c>
      <c r="BA762" s="57">
        <v>46302.458333333336</v>
      </c>
      <c r="BB762" t="s">
        <v>3108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str">
        <f>VLOOKUP(H762,Sheet2!$A$1:$B$270,2,FALSE)</f>
        <v>GIANYAR</v>
      </c>
    </row>
    <row r="763" spans="1:61">
      <c r="A763">
        <v>762</v>
      </c>
      <c r="B763">
        <v>1002621815</v>
      </c>
      <c r="C763">
        <v>3</v>
      </c>
      <c r="D763" t="s">
        <v>34</v>
      </c>
      <c r="E763">
        <v>5</v>
      </c>
      <c r="F763" t="s">
        <v>546</v>
      </c>
      <c r="G763" t="s">
        <v>79</v>
      </c>
      <c r="H763" t="s">
        <v>459</v>
      </c>
      <c r="I763" t="s">
        <v>212</v>
      </c>
      <c r="J763" t="s">
        <v>213</v>
      </c>
      <c r="K763" t="s">
        <v>149</v>
      </c>
      <c r="M763" t="s">
        <v>839</v>
      </c>
      <c r="N763" t="s">
        <v>215</v>
      </c>
      <c r="O763" s="57">
        <v>46300.410115740742</v>
      </c>
      <c r="P763" s="57">
        <v>46302.743483796294</v>
      </c>
      <c r="Q763">
        <v>69404114</v>
      </c>
      <c r="S763">
        <v>172407215211</v>
      </c>
      <c r="T763" t="s">
        <v>3102</v>
      </c>
      <c r="U763" t="s">
        <v>3103</v>
      </c>
      <c r="V763" t="s">
        <v>3104</v>
      </c>
      <c r="Z763">
        <v>115.3080235</v>
      </c>
      <c r="AA763">
        <v>-8.5486885000000008</v>
      </c>
      <c r="AB763" t="s">
        <v>3105</v>
      </c>
      <c r="AC763" t="s">
        <v>229</v>
      </c>
      <c r="AL763" t="s">
        <v>217</v>
      </c>
      <c r="AM763" t="s">
        <v>3106</v>
      </c>
      <c r="AN763" t="s">
        <v>6</v>
      </c>
      <c r="AO763" s="57">
        <v>46152.444537037038</v>
      </c>
      <c r="AP763" s="57">
        <v>46301.333333333336</v>
      </c>
      <c r="AQ763" t="s">
        <v>838</v>
      </c>
      <c r="AR763" t="s">
        <v>840</v>
      </c>
      <c r="AS763" t="s">
        <v>79</v>
      </c>
      <c r="AT763" t="s">
        <v>230</v>
      </c>
      <c r="AV763" t="s">
        <v>4477</v>
      </c>
      <c r="AW763" t="s">
        <v>540</v>
      </c>
      <c r="AX763" t="s">
        <v>222</v>
      </c>
      <c r="BA763" s="57">
        <v>46301.333333333336</v>
      </c>
      <c r="BB763" t="s">
        <v>3106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str">
        <f>VLOOKUP(H763,Sheet2!$A$1:$B$270,2,FALSE)</f>
        <v>GIANYAR</v>
      </c>
    </row>
    <row r="764" spans="1:61">
      <c r="A764">
        <v>763</v>
      </c>
      <c r="B764">
        <v>1002623430</v>
      </c>
      <c r="C764">
        <v>3</v>
      </c>
      <c r="D764" t="s">
        <v>34</v>
      </c>
      <c r="E764">
        <v>5</v>
      </c>
      <c r="F764" t="s">
        <v>546</v>
      </c>
      <c r="G764" t="s">
        <v>79</v>
      </c>
      <c r="H764" t="s">
        <v>459</v>
      </c>
      <c r="I764" t="s">
        <v>212</v>
      </c>
      <c r="J764" t="s">
        <v>213</v>
      </c>
      <c r="K764" t="s">
        <v>149</v>
      </c>
      <c r="M764" t="s">
        <v>839</v>
      </c>
      <c r="N764" t="s">
        <v>215</v>
      </c>
      <c r="O764" s="57">
        <v>46301.358819444446</v>
      </c>
      <c r="P764" s="57">
        <v>46302.676134259258</v>
      </c>
      <c r="Q764">
        <v>69404688</v>
      </c>
      <c r="S764">
        <v>172407215218</v>
      </c>
      <c r="T764" t="s">
        <v>3695</v>
      </c>
      <c r="U764" t="s">
        <v>3696</v>
      </c>
      <c r="V764" t="s">
        <v>3697</v>
      </c>
      <c r="Z764">
        <v>115.3188648</v>
      </c>
      <c r="AA764">
        <v>-8.5513589999999997</v>
      </c>
      <c r="AB764" t="s">
        <v>3698</v>
      </c>
      <c r="AC764" t="s">
        <v>229</v>
      </c>
      <c r="AL764" t="s">
        <v>217</v>
      </c>
      <c r="AM764" t="s">
        <v>3699</v>
      </c>
      <c r="AN764" t="s">
        <v>6</v>
      </c>
      <c r="AO764" s="57">
        <v>46183.361655092594</v>
      </c>
      <c r="AP764" s="57">
        <v>46302.333333333336</v>
      </c>
      <c r="AQ764" t="s">
        <v>1497</v>
      </c>
      <c r="AR764" t="s">
        <v>840</v>
      </c>
      <c r="AS764" t="s">
        <v>79</v>
      </c>
      <c r="AT764" t="s">
        <v>342</v>
      </c>
      <c r="AV764" t="s">
        <v>4478</v>
      </c>
      <c r="AW764" t="s">
        <v>3025</v>
      </c>
      <c r="AX764" t="s">
        <v>222</v>
      </c>
      <c r="BA764" s="57">
        <v>46302.333333333336</v>
      </c>
      <c r="BB764" t="s">
        <v>3699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str">
        <f>VLOOKUP(H764,Sheet2!$A$1:$B$270,2,FALSE)</f>
        <v>GIANYAR</v>
      </c>
    </row>
    <row r="765" spans="1:61">
      <c r="A765">
        <v>764</v>
      </c>
      <c r="B765">
        <v>1002619726</v>
      </c>
      <c r="C765">
        <v>3</v>
      </c>
      <c r="D765" t="s">
        <v>34</v>
      </c>
      <c r="E765">
        <v>5</v>
      </c>
      <c r="F765" t="s">
        <v>546</v>
      </c>
      <c r="G765" t="s">
        <v>79</v>
      </c>
      <c r="H765" t="s">
        <v>459</v>
      </c>
      <c r="I765" t="s">
        <v>212</v>
      </c>
      <c r="J765" t="s">
        <v>213</v>
      </c>
      <c r="K765" t="s">
        <v>149</v>
      </c>
      <c r="M765" t="s">
        <v>76</v>
      </c>
      <c r="N765" t="s">
        <v>215</v>
      </c>
      <c r="O765" s="57">
        <v>46297.548194444447</v>
      </c>
      <c r="P765" s="57">
        <v>46301.70480324074</v>
      </c>
      <c r="Q765">
        <v>69403052</v>
      </c>
      <c r="S765">
        <v>172407214848</v>
      </c>
      <c r="T765" t="s">
        <v>2485</v>
      </c>
      <c r="U765" t="s">
        <v>2486</v>
      </c>
      <c r="V765" t="s">
        <v>2487</v>
      </c>
      <c r="Z765">
        <v>115.3231564</v>
      </c>
      <c r="AA765">
        <v>-8.5493194999999993</v>
      </c>
      <c r="AB765" t="s">
        <v>2488</v>
      </c>
      <c r="AC765" t="s">
        <v>229</v>
      </c>
      <c r="AL765" t="s">
        <v>217</v>
      </c>
      <c r="AM765" t="s">
        <v>2489</v>
      </c>
      <c r="AN765" t="s">
        <v>6</v>
      </c>
      <c r="AO765" s="57">
        <v>46063.549375000002</v>
      </c>
      <c r="AP765" s="57">
        <v>46298.625</v>
      </c>
      <c r="AR765" t="s">
        <v>218</v>
      </c>
      <c r="AS765" t="s">
        <v>79</v>
      </c>
      <c r="AT765" t="s">
        <v>230</v>
      </c>
      <c r="AU765">
        <v>20261006</v>
      </c>
      <c r="AV765" t="s">
        <v>221</v>
      </c>
      <c r="AW765" t="s">
        <v>540</v>
      </c>
      <c r="AX765" t="s">
        <v>222</v>
      </c>
      <c r="BA765" s="57">
        <v>46298.625</v>
      </c>
      <c r="BB765" t="s">
        <v>2489</v>
      </c>
      <c r="BC765">
        <v>2026</v>
      </c>
      <c r="BD765">
        <v>10</v>
      </c>
      <c r="BE765">
        <v>6</v>
      </c>
      <c r="BF765" s="6">
        <f t="shared" si="33"/>
        <v>46301</v>
      </c>
      <c r="BG765">
        <f t="shared" si="34"/>
        <v>2.375</v>
      </c>
      <c r="BH765" t="str">
        <f t="shared" si="35"/>
        <v>NOT COMPLY</v>
      </c>
      <c r="BI765" t="str">
        <f>VLOOKUP(H765,Sheet2!$A$1:$B$270,2,FALSE)</f>
        <v>GIANYAR</v>
      </c>
    </row>
    <row r="766" spans="1:61">
      <c r="A766">
        <v>765</v>
      </c>
      <c r="B766">
        <v>1002620148</v>
      </c>
      <c r="C766">
        <v>3</v>
      </c>
      <c r="D766" t="s">
        <v>34</v>
      </c>
      <c r="E766">
        <v>5</v>
      </c>
      <c r="F766" t="s">
        <v>546</v>
      </c>
      <c r="G766" t="s">
        <v>79</v>
      </c>
      <c r="H766" t="s">
        <v>459</v>
      </c>
      <c r="I766" t="s">
        <v>212</v>
      </c>
      <c r="J766" t="s">
        <v>213</v>
      </c>
      <c r="K766" t="s">
        <v>149</v>
      </c>
      <c r="M766" t="s">
        <v>76</v>
      </c>
      <c r="N766" t="s">
        <v>215</v>
      </c>
      <c r="O766" s="57">
        <v>46297.627303240741</v>
      </c>
      <c r="P766" s="57">
        <v>46300.70890046296</v>
      </c>
      <c r="Q766">
        <v>69403198</v>
      </c>
      <c r="S766">
        <v>172407215204</v>
      </c>
      <c r="T766" t="s">
        <v>2490</v>
      </c>
      <c r="U766" t="s">
        <v>2491</v>
      </c>
      <c r="V766" t="s">
        <v>2492</v>
      </c>
      <c r="Z766">
        <v>115.33344959999999</v>
      </c>
      <c r="AA766">
        <v>-8.5427497999999993</v>
      </c>
      <c r="AB766" t="s">
        <v>2493</v>
      </c>
      <c r="AC766" t="s">
        <v>229</v>
      </c>
      <c r="AL766" t="s">
        <v>217</v>
      </c>
      <c r="AM766" t="s">
        <v>2494</v>
      </c>
      <c r="AN766" t="s">
        <v>6</v>
      </c>
      <c r="AO766" s="57">
        <v>46063.652951388889</v>
      </c>
      <c r="AP766" s="57">
        <v>46300.333333333336</v>
      </c>
      <c r="AR766" t="s">
        <v>218</v>
      </c>
      <c r="AS766" t="s">
        <v>79</v>
      </c>
      <c r="AT766" t="s">
        <v>230</v>
      </c>
      <c r="AU766">
        <v>20261005</v>
      </c>
      <c r="AV766" t="s">
        <v>221</v>
      </c>
      <c r="AW766" t="s">
        <v>1987</v>
      </c>
      <c r="AX766" t="s">
        <v>222</v>
      </c>
      <c r="BA766" s="57">
        <v>46300.333333333336</v>
      </c>
      <c r="BB766" t="s">
        <v>2494</v>
      </c>
      <c r="BC766">
        <v>2026</v>
      </c>
      <c r="BD766">
        <v>10</v>
      </c>
      <c r="BE766">
        <v>5</v>
      </c>
      <c r="BF766" s="6">
        <f t="shared" si="33"/>
        <v>46300</v>
      </c>
      <c r="BG766">
        <f t="shared" si="34"/>
        <v>-0.33333333333575865</v>
      </c>
      <c r="BH766" t="str">
        <f t="shared" si="35"/>
        <v>COMPLY</v>
      </c>
      <c r="BI766" t="str">
        <f>VLOOKUP(H766,Sheet2!$A$1:$B$270,2,FALSE)</f>
        <v>GIANYAR</v>
      </c>
    </row>
    <row r="767" spans="1:61">
      <c r="A767">
        <v>766</v>
      </c>
      <c r="B767">
        <v>1002619348</v>
      </c>
      <c r="C767">
        <v>3</v>
      </c>
      <c r="D767" t="s">
        <v>34</v>
      </c>
      <c r="E767">
        <v>5</v>
      </c>
      <c r="F767" t="s">
        <v>546</v>
      </c>
      <c r="G767" t="s">
        <v>79</v>
      </c>
      <c r="H767" t="s">
        <v>459</v>
      </c>
      <c r="I767" t="s">
        <v>212</v>
      </c>
      <c r="J767" t="s">
        <v>213</v>
      </c>
      <c r="K767" t="s">
        <v>149</v>
      </c>
      <c r="M767" t="s">
        <v>76</v>
      </c>
      <c r="N767" t="s">
        <v>215</v>
      </c>
      <c r="O767" s="57">
        <v>46297.440694444442</v>
      </c>
      <c r="P767" s="57">
        <v>46300.713310185187</v>
      </c>
      <c r="Q767">
        <v>69402864</v>
      </c>
      <c r="S767">
        <v>172407214846</v>
      </c>
      <c r="T767" t="s">
        <v>2495</v>
      </c>
      <c r="U767" t="s">
        <v>2496</v>
      </c>
      <c r="V767" t="s">
        <v>2497</v>
      </c>
      <c r="Z767">
        <v>115.3345219</v>
      </c>
      <c r="AA767">
        <v>-8.5517137999999999</v>
      </c>
      <c r="AB767" t="s">
        <v>2498</v>
      </c>
      <c r="AC767" t="s">
        <v>229</v>
      </c>
      <c r="AL767" t="s">
        <v>217</v>
      </c>
      <c r="AM767" t="s">
        <v>1151</v>
      </c>
      <c r="AN767" t="s">
        <v>6</v>
      </c>
      <c r="AO767" s="57">
        <v>46063.444386574076</v>
      </c>
      <c r="AP767" s="57">
        <v>46298.333333333336</v>
      </c>
      <c r="AR767" t="s">
        <v>218</v>
      </c>
      <c r="AS767" t="s">
        <v>79</v>
      </c>
      <c r="AT767" t="s">
        <v>230</v>
      </c>
      <c r="AU767">
        <v>20261005</v>
      </c>
      <c r="AV767" t="s">
        <v>221</v>
      </c>
      <c r="AW767" t="s">
        <v>2457</v>
      </c>
      <c r="AX767" t="s">
        <v>222</v>
      </c>
      <c r="BA767" s="57">
        <v>46298.333333333336</v>
      </c>
      <c r="BB767" t="s">
        <v>1151</v>
      </c>
      <c r="BC767">
        <v>2026</v>
      </c>
      <c r="BD767">
        <v>10</v>
      </c>
      <c r="BE767">
        <v>5</v>
      </c>
      <c r="BF767" s="6">
        <f t="shared" si="33"/>
        <v>46300</v>
      </c>
      <c r="BG767">
        <f t="shared" si="34"/>
        <v>1.6666666666642413</v>
      </c>
      <c r="BH767" t="str">
        <f t="shared" si="35"/>
        <v>NOT COMPLY</v>
      </c>
      <c r="BI767" t="str">
        <f>VLOOKUP(H767,Sheet2!$A$1:$B$270,2,FALSE)</f>
        <v>GIANYAR</v>
      </c>
    </row>
    <row r="768" spans="1:61">
      <c r="A768">
        <v>767</v>
      </c>
      <c r="B768">
        <v>1002624615</v>
      </c>
      <c r="C768">
        <v>3</v>
      </c>
      <c r="D768" t="s">
        <v>34</v>
      </c>
      <c r="E768">
        <v>5</v>
      </c>
      <c r="F768" t="s">
        <v>546</v>
      </c>
      <c r="G768" t="s">
        <v>79</v>
      </c>
      <c r="H768" t="s">
        <v>459</v>
      </c>
      <c r="I768" t="s">
        <v>212</v>
      </c>
      <c r="J768" t="s">
        <v>213</v>
      </c>
      <c r="K768" t="s">
        <v>149</v>
      </c>
      <c r="M768" t="s">
        <v>76</v>
      </c>
      <c r="N768" t="s">
        <v>215</v>
      </c>
      <c r="O768" s="57">
        <v>46301.614328703705</v>
      </c>
      <c r="P768" s="57">
        <v>46301.678587962961</v>
      </c>
      <c r="Q768">
        <v>69403887</v>
      </c>
      <c r="S768">
        <v>172407215397</v>
      </c>
      <c r="T768" t="s">
        <v>2499</v>
      </c>
      <c r="U768" t="s">
        <v>3700</v>
      </c>
      <c r="V768" t="s">
        <v>3701</v>
      </c>
      <c r="Z768">
        <v>115.3298109</v>
      </c>
      <c r="AA768">
        <v>-8.5302106000000002</v>
      </c>
      <c r="AB768" t="s">
        <v>2502</v>
      </c>
      <c r="AC768" t="s">
        <v>229</v>
      </c>
      <c r="AL768" t="s">
        <v>217</v>
      </c>
      <c r="AM768" t="s">
        <v>3702</v>
      </c>
      <c r="AN768" t="s">
        <v>6</v>
      </c>
      <c r="AO768" s="57">
        <v>46183.621979166666</v>
      </c>
      <c r="AR768" t="s">
        <v>218</v>
      </c>
      <c r="AS768" t="s">
        <v>79</v>
      </c>
      <c r="AT768" t="s">
        <v>230</v>
      </c>
      <c r="AU768">
        <v>20261006</v>
      </c>
      <c r="AV768" t="s">
        <v>221</v>
      </c>
      <c r="AW768" t="s">
        <v>3547</v>
      </c>
      <c r="AX768" t="s">
        <v>222</v>
      </c>
      <c r="BA768" s="57">
        <v>46301.291666666664</v>
      </c>
      <c r="BB768" t="s">
        <v>3702</v>
      </c>
      <c r="BC768">
        <v>2026</v>
      </c>
      <c r="BD768">
        <v>10</v>
      </c>
      <c r="BE768">
        <v>6</v>
      </c>
      <c r="BF768" s="6">
        <f t="shared" si="33"/>
        <v>46301</v>
      </c>
      <c r="BG768">
        <f t="shared" si="34"/>
        <v>-0.29166666666424135</v>
      </c>
      <c r="BH768" t="str">
        <f t="shared" si="35"/>
        <v>COMPLY</v>
      </c>
      <c r="BI768" t="str">
        <f>VLOOKUP(H768,Sheet2!$A$1:$B$270,2,FALSE)</f>
        <v>GIANYAR</v>
      </c>
    </row>
    <row r="769" spans="1:61">
      <c r="A769">
        <v>768</v>
      </c>
      <c r="B769">
        <v>1002625358</v>
      </c>
      <c r="C769">
        <v>3</v>
      </c>
      <c r="D769" t="s">
        <v>34</v>
      </c>
      <c r="E769">
        <v>5</v>
      </c>
      <c r="F769" t="s">
        <v>546</v>
      </c>
      <c r="G769" t="s">
        <v>79</v>
      </c>
      <c r="H769" t="s">
        <v>459</v>
      </c>
      <c r="I769" t="s">
        <v>212</v>
      </c>
      <c r="J769" t="s">
        <v>213</v>
      </c>
      <c r="K769" t="s">
        <v>149</v>
      </c>
      <c r="M769" t="s">
        <v>238</v>
      </c>
      <c r="N769" t="s">
        <v>215</v>
      </c>
      <c r="O769" s="57">
        <v>46302.377847222226</v>
      </c>
      <c r="P769" s="57">
        <v>46302.597233796296</v>
      </c>
      <c r="Q769">
        <v>69405458</v>
      </c>
      <c r="S769">
        <v>172407215399</v>
      </c>
      <c r="T769" t="s">
        <v>4479</v>
      </c>
      <c r="U769" t="s">
        <v>4480</v>
      </c>
      <c r="V769" t="s">
        <v>4481</v>
      </c>
      <c r="AB769" t="s">
        <v>4482</v>
      </c>
      <c r="AC769" t="s">
        <v>229</v>
      </c>
      <c r="AL769" t="s">
        <v>217</v>
      </c>
      <c r="AM769" t="s">
        <v>4483</v>
      </c>
      <c r="AN769" t="s">
        <v>6</v>
      </c>
      <c r="AO769" s="57">
        <v>46213.392731481479</v>
      </c>
      <c r="AP769" s="57">
        <v>46303.458333333336</v>
      </c>
      <c r="AR769" t="s">
        <v>239</v>
      </c>
      <c r="AS769" t="s">
        <v>79</v>
      </c>
      <c r="AT769" t="s">
        <v>230</v>
      </c>
      <c r="AV769" t="s">
        <v>238</v>
      </c>
      <c r="AW769" t="s">
        <v>2457</v>
      </c>
      <c r="AX769" t="s">
        <v>222</v>
      </c>
      <c r="BA769" s="57">
        <v>46303.458333333336</v>
      </c>
      <c r="BB769" t="s">
        <v>4483</v>
      </c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str">
        <f>VLOOKUP(H769,Sheet2!$A$1:$B$270,2,FALSE)</f>
        <v>GIANYAR</v>
      </c>
    </row>
    <row r="770" spans="1:61">
      <c r="A770">
        <v>769</v>
      </c>
      <c r="B770">
        <v>1002619149</v>
      </c>
      <c r="C770">
        <v>3</v>
      </c>
      <c r="D770" t="s">
        <v>34</v>
      </c>
      <c r="E770">
        <v>5</v>
      </c>
      <c r="F770" t="s">
        <v>546</v>
      </c>
      <c r="G770" t="s">
        <v>79</v>
      </c>
      <c r="H770" t="s">
        <v>281</v>
      </c>
      <c r="I770" t="s">
        <v>212</v>
      </c>
      <c r="J770" t="s">
        <v>213</v>
      </c>
      <c r="K770" t="s">
        <v>149</v>
      </c>
      <c r="M770" t="s">
        <v>76</v>
      </c>
      <c r="N770" t="s">
        <v>215</v>
      </c>
      <c r="O770" s="57">
        <v>46297.4</v>
      </c>
      <c r="P770" s="57">
        <v>46297.736018518517</v>
      </c>
      <c r="Q770">
        <v>69402788</v>
      </c>
      <c r="S770">
        <v>172408248401</v>
      </c>
      <c r="T770" t="s">
        <v>2507</v>
      </c>
      <c r="U770" t="s">
        <v>2508</v>
      </c>
      <c r="V770" t="s">
        <v>2509</v>
      </c>
      <c r="Z770">
        <v>115.2497039</v>
      </c>
      <c r="AA770">
        <v>-8.4707056000000005</v>
      </c>
      <c r="AB770" t="s">
        <v>2510</v>
      </c>
      <c r="AC770" t="s">
        <v>284</v>
      </c>
      <c r="AL770" t="s">
        <v>217</v>
      </c>
      <c r="AM770" t="s">
        <v>2511</v>
      </c>
      <c r="AN770" t="s">
        <v>6</v>
      </c>
      <c r="AO770" s="57">
        <v>46063.403113425928</v>
      </c>
      <c r="AP770" s="57">
        <v>46298.333333333336</v>
      </c>
      <c r="AR770" t="s">
        <v>218</v>
      </c>
      <c r="AS770" t="s">
        <v>585</v>
      </c>
      <c r="AT770" t="s">
        <v>230</v>
      </c>
      <c r="AU770">
        <v>20261002</v>
      </c>
      <c r="AV770" t="s">
        <v>221</v>
      </c>
      <c r="AW770" t="s">
        <v>541</v>
      </c>
      <c r="AX770" t="s">
        <v>222</v>
      </c>
      <c r="BA770" s="57">
        <v>46298.333333333336</v>
      </c>
      <c r="BB770" t="s">
        <v>2511</v>
      </c>
      <c r="BC770">
        <v>2026</v>
      </c>
      <c r="BD770">
        <v>10</v>
      </c>
      <c r="BE770">
        <v>2</v>
      </c>
      <c r="BF770" s="6">
        <f t="shared" ref="BF770:BF833" si="36">DATE(BC770,BD770,BE770)</f>
        <v>46297</v>
      </c>
      <c r="BG770">
        <f t="shared" ref="BG770:BG833" si="37">BF770-BA770</f>
        <v>-1.3333333333357587</v>
      </c>
      <c r="BH770" t="str">
        <f t="shared" ref="BH770:BH833" si="38">IF(BG770=1,"COMPLY",IF(BG770&lt;1,"COMPLY","NOT COMPLY"))</f>
        <v>COMPLY</v>
      </c>
      <c r="BI770" t="str">
        <f>VLOOKUP(H770,Sheet2!$A$1:$B$270,2,FALSE)</f>
        <v>GIANYAR</v>
      </c>
    </row>
    <row r="771" spans="1:61">
      <c r="A771">
        <v>770</v>
      </c>
      <c r="B771">
        <v>1002626585</v>
      </c>
      <c r="C771">
        <v>3</v>
      </c>
      <c r="D771" t="s">
        <v>34</v>
      </c>
      <c r="E771">
        <v>5</v>
      </c>
      <c r="F771" t="s">
        <v>546</v>
      </c>
      <c r="G771" t="s">
        <v>82</v>
      </c>
      <c r="H771" t="s">
        <v>398</v>
      </c>
      <c r="I771" t="s">
        <v>212</v>
      </c>
      <c r="J771" t="s">
        <v>213</v>
      </c>
      <c r="K771" t="s">
        <v>149</v>
      </c>
      <c r="M771" t="s">
        <v>76</v>
      </c>
      <c r="N771" t="s">
        <v>215</v>
      </c>
      <c r="O771" s="57">
        <v>46302.648229166669</v>
      </c>
      <c r="P771" s="57">
        <v>46302.852476851855</v>
      </c>
      <c r="Q771">
        <v>69401485</v>
      </c>
      <c r="S771">
        <v>172404209308</v>
      </c>
      <c r="T771" t="s">
        <v>4484</v>
      </c>
      <c r="U771" t="s">
        <v>4485</v>
      </c>
      <c r="V771" t="s">
        <v>4486</v>
      </c>
      <c r="Z771">
        <v>115.55213860000001</v>
      </c>
      <c r="AA771">
        <v>-8.2345296000000001</v>
      </c>
      <c r="AB771" t="s">
        <v>4487</v>
      </c>
      <c r="AC771" t="s">
        <v>229</v>
      </c>
      <c r="AL771" t="s">
        <v>217</v>
      </c>
      <c r="AM771" t="s">
        <v>4488</v>
      </c>
      <c r="AN771" t="s">
        <v>6</v>
      </c>
      <c r="AO771" s="57">
        <v>46213.66333333333</v>
      </c>
      <c r="AR771" t="s">
        <v>218</v>
      </c>
      <c r="AS771" t="s">
        <v>3114</v>
      </c>
      <c r="AT771" t="s">
        <v>342</v>
      </c>
      <c r="AU771">
        <v>20261007</v>
      </c>
      <c r="AV771" t="s">
        <v>221</v>
      </c>
      <c r="AW771" t="s">
        <v>4489</v>
      </c>
      <c r="AX771" t="s">
        <v>222</v>
      </c>
      <c r="BA771" s="57">
        <v>46302.291666666664</v>
      </c>
      <c r="BB771" t="s">
        <v>4488</v>
      </c>
      <c r="BC771">
        <v>2026</v>
      </c>
      <c r="BD771">
        <v>10</v>
      </c>
      <c r="BE771">
        <v>7</v>
      </c>
      <c r="BF771" s="6">
        <f t="shared" si="36"/>
        <v>46302</v>
      </c>
      <c r="BG771">
        <f t="shared" si="37"/>
        <v>-0.29166666666424135</v>
      </c>
      <c r="BH771" t="str">
        <f t="shared" si="38"/>
        <v>COMPLY</v>
      </c>
      <c r="BI771" t="str">
        <f>VLOOKUP(H771,Sheet2!$A$1:$B$270,2,FALSE)</f>
        <v>KLUNGKUNG</v>
      </c>
    </row>
    <row r="772" spans="1:61">
      <c r="A772">
        <v>771</v>
      </c>
      <c r="B772">
        <v>1002622955</v>
      </c>
      <c r="C772">
        <v>3</v>
      </c>
      <c r="D772" t="s">
        <v>34</v>
      </c>
      <c r="E772">
        <v>5</v>
      </c>
      <c r="F772" t="s">
        <v>546</v>
      </c>
      <c r="G772" t="s">
        <v>82</v>
      </c>
      <c r="H772" t="s">
        <v>522</v>
      </c>
      <c r="I772" t="s">
        <v>212</v>
      </c>
      <c r="J772" t="s">
        <v>213</v>
      </c>
      <c r="K772" t="s">
        <v>149</v>
      </c>
      <c r="M772" t="s">
        <v>76</v>
      </c>
      <c r="N772" t="s">
        <v>215</v>
      </c>
      <c r="O772" s="57">
        <v>46300.658078703702</v>
      </c>
      <c r="P772" s="57">
        <v>46302.714039351849</v>
      </c>
      <c r="Q772">
        <v>69404514</v>
      </c>
      <c r="S772">
        <v>172404695145</v>
      </c>
      <c r="T772" t="s">
        <v>3109</v>
      </c>
      <c r="U772" t="s">
        <v>3110</v>
      </c>
      <c r="V772" t="s">
        <v>3111</v>
      </c>
      <c r="Z772">
        <v>115.50679359999999</v>
      </c>
      <c r="AA772">
        <v>-8.5327634000000003</v>
      </c>
      <c r="AB772" t="s">
        <v>3112</v>
      </c>
      <c r="AC772" t="s">
        <v>229</v>
      </c>
      <c r="AL772" t="s">
        <v>217</v>
      </c>
      <c r="AM772" t="s">
        <v>3113</v>
      </c>
      <c r="AN772" t="s">
        <v>6</v>
      </c>
      <c r="AO772" s="57">
        <v>46152.684560185182</v>
      </c>
      <c r="AP772" s="57">
        <v>46302.333333333336</v>
      </c>
      <c r="AR772" t="s">
        <v>218</v>
      </c>
      <c r="AS772" t="s">
        <v>3114</v>
      </c>
      <c r="AT772" t="s">
        <v>230</v>
      </c>
      <c r="AU772">
        <v>20261007</v>
      </c>
      <c r="AV772" t="s">
        <v>221</v>
      </c>
      <c r="AW772" t="s">
        <v>540</v>
      </c>
      <c r="AX772" t="s">
        <v>222</v>
      </c>
      <c r="BA772" s="57">
        <v>46302.333333333336</v>
      </c>
      <c r="BB772" t="s">
        <v>3113</v>
      </c>
      <c r="BC772">
        <v>2026</v>
      </c>
      <c r="BD772">
        <v>10</v>
      </c>
      <c r="BE772">
        <v>7</v>
      </c>
      <c r="BF772" s="6">
        <f t="shared" si="36"/>
        <v>46302</v>
      </c>
      <c r="BG772">
        <f t="shared" si="37"/>
        <v>-0.33333333333575865</v>
      </c>
      <c r="BH772" t="str">
        <f t="shared" si="38"/>
        <v>COMPLY</v>
      </c>
      <c r="BI772" t="str">
        <f>VLOOKUP(H772,Sheet2!$A$1:$B$270,2,FALSE)</f>
        <v>KLUNGKUNG</v>
      </c>
    </row>
    <row r="773" spans="1:61">
      <c r="A773">
        <v>772</v>
      </c>
      <c r="B773">
        <v>1002622764</v>
      </c>
      <c r="C773">
        <v>3</v>
      </c>
      <c r="D773" t="s">
        <v>34</v>
      </c>
      <c r="E773">
        <v>5</v>
      </c>
      <c r="F773" t="s">
        <v>546</v>
      </c>
      <c r="G773" t="s">
        <v>82</v>
      </c>
      <c r="H773" t="s">
        <v>522</v>
      </c>
      <c r="I773" t="s">
        <v>212</v>
      </c>
      <c r="J773" t="s">
        <v>213</v>
      </c>
      <c r="K773" t="s">
        <v>149</v>
      </c>
      <c r="M773" t="s">
        <v>1627</v>
      </c>
      <c r="N773" t="s">
        <v>215</v>
      </c>
      <c r="O773" s="57">
        <v>46300.624224537038</v>
      </c>
      <c r="P773" s="57">
        <v>46300.696689814817</v>
      </c>
      <c r="Q773">
        <v>69404467</v>
      </c>
      <c r="S773">
        <v>172404695094</v>
      </c>
      <c r="T773" t="s">
        <v>3115</v>
      </c>
      <c r="U773" t="s">
        <v>3110</v>
      </c>
      <c r="Z773">
        <v>115.50679359999999</v>
      </c>
      <c r="AA773">
        <v>-8.5327634000000003</v>
      </c>
      <c r="AB773" t="s">
        <v>3116</v>
      </c>
      <c r="AC773" t="s">
        <v>229</v>
      </c>
      <c r="AO773" s="57">
        <v>46152.632743055554</v>
      </c>
      <c r="AR773" t="s">
        <v>1632</v>
      </c>
      <c r="AS773" t="s">
        <v>3114</v>
      </c>
      <c r="AT773" t="s">
        <v>230</v>
      </c>
      <c r="AV773" t="s">
        <v>3117</v>
      </c>
      <c r="AW773" t="s">
        <v>559</v>
      </c>
      <c r="AX773" t="s">
        <v>222</v>
      </c>
      <c r="AZ773" t="s">
        <v>3117</v>
      </c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str">
        <f>VLOOKUP(H773,Sheet2!$A$1:$B$270,2,FALSE)</f>
        <v>KLUNGKUNG</v>
      </c>
    </row>
    <row r="774" spans="1:61">
      <c r="O774" s="57"/>
      <c r="P774" s="57"/>
      <c r="A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:6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:61">
      <c r="O776" s="57"/>
      <c r="P776" s="57"/>
      <c r="A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:61">
      <c r="O777" s="57"/>
      <c r="P777" s="57"/>
      <c r="AO777" s="57"/>
      <c r="A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:61">
      <c r="O778" s="57"/>
      <c r="P778" s="57"/>
      <c r="AO778" s="57"/>
      <c r="A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:61">
      <c r="O779" s="57"/>
      <c r="P779" s="57"/>
      <c r="A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:61">
      <c r="O780" s="57"/>
      <c r="P780" s="57"/>
      <c r="A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:61">
      <c r="O781" s="57"/>
      <c r="P781" s="57"/>
      <c r="A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:61">
      <c r="O782" s="57"/>
      <c r="P782" s="57"/>
      <c r="A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:61">
      <c r="O783" s="57"/>
      <c r="P783" s="57"/>
      <c r="A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:61">
      <c r="O784" s="57"/>
      <c r="P784" s="57"/>
      <c r="A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>
      <c r="O785" s="57"/>
      <c r="P785" s="57"/>
      <c r="A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>
      <c r="O786" s="57"/>
      <c r="P786" s="57"/>
      <c r="A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>
      <c r="O788" s="57"/>
      <c r="P788" s="57"/>
      <c r="A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>
      <c r="O790" s="57"/>
      <c r="P790" s="57"/>
      <c r="A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>
      <c r="O792" s="57"/>
      <c r="P792" s="57"/>
      <c r="A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>
      <c r="O793" s="57"/>
      <c r="P793" s="57"/>
      <c r="AO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>
      <c r="O794" s="57"/>
      <c r="P794" s="57"/>
      <c r="A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>
      <c r="O795" s="57"/>
      <c r="P795" s="57"/>
      <c r="AO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>
      <c r="O796" s="57"/>
      <c r="P796" s="57"/>
      <c r="AO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>
      <c r="O797" s="57"/>
      <c r="P797" s="57"/>
      <c r="AO797" s="57"/>
      <c r="A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>
      <c r="O798" s="57"/>
      <c r="P798" s="57"/>
      <c r="AO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>
      <c r="O799" s="57"/>
      <c r="P799" s="57"/>
      <c r="AO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>
      <c r="O800" s="57"/>
      <c r="P800" s="57"/>
      <c r="A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>
      <c r="O806" s="57"/>
      <c r="P806" s="57"/>
      <c r="AO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>
      <c r="O807" s="57"/>
      <c r="P807" s="57"/>
      <c r="AO807" s="57"/>
      <c r="A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>
      <c r="O808" s="57"/>
      <c r="P808" s="57"/>
      <c r="AO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>
      <c r="O810" s="57"/>
      <c r="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>
      <c r="O811" s="57"/>
      <c r="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>
      <c r="O812" s="57"/>
      <c r="P812" s="57"/>
      <c r="AM812" s="58"/>
      <c r="AO812" s="57"/>
      <c r="BA812" s="57"/>
      <c r="BB812" s="58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>
      <c r="O813" s="57"/>
      <c r="P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>
      <c r="O814" s="57"/>
      <c r="P814" s="57"/>
      <c r="AO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>
      <c r="O815" s="57"/>
      <c r="P815" s="57"/>
      <c r="AO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>
      <c r="O821" s="57"/>
      <c r="P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>
      <c r="O822" s="57"/>
      <c r="P822" s="57"/>
      <c r="AO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>
      <c r="O826" s="57"/>
      <c r="P826" s="57"/>
      <c r="A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>
      <c r="O828" s="57"/>
      <c r="P828" s="57"/>
      <c r="AO828" s="57"/>
      <c r="A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>
      <c r="O829" s="57"/>
      <c r="P829" s="57"/>
      <c r="AO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>
      <c r="O830" s="57"/>
      <c r="P830" s="57"/>
      <c r="AO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>
      <c r="O833" s="57"/>
      <c r="P833" s="57"/>
      <c r="A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>
      <c r="O834" s="57"/>
      <c r="P834" s="57"/>
      <c r="AO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>
      <c r="O835" s="57"/>
      <c r="P835" s="57"/>
      <c r="AO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>
      <c r="O836" s="57"/>
      <c r="P836" s="57"/>
      <c r="A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>
      <c r="O837" s="57"/>
      <c r="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>
      <c r="O840" s="57"/>
      <c r="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>
      <c r="O841" s="57"/>
      <c r="P841" s="57"/>
      <c r="AO841" s="57"/>
      <c r="A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>
      <c r="O842" s="57"/>
      <c r="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>
      <c r="O843" s="57"/>
      <c r="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>
      <c r="O844" s="57"/>
      <c r="P844" s="57"/>
      <c r="A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>
      <c r="O845" s="57"/>
      <c r="P845" s="57"/>
      <c r="A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>
      <c r="O846" s="57"/>
      <c r="P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>
      <c r="O847" s="57"/>
      <c r="P847" s="57"/>
      <c r="A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>
      <c r="O848" s="57"/>
      <c r="P848" s="57"/>
      <c r="A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>
      <c r="O849" s="57"/>
      <c r="P849" s="57"/>
      <c r="AO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>
      <c r="O850" s="57"/>
      <c r="P850" s="57"/>
      <c r="AO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>
      <c r="O851" s="57"/>
      <c r="P851" s="57"/>
      <c r="AO851" s="57"/>
      <c r="A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>
      <c r="O852" s="57"/>
      <c r="P852" s="57"/>
      <c r="AO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>
      <c r="O853" s="57"/>
      <c r="P853" s="57"/>
      <c r="AO853" s="57"/>
      <c r="A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>
      <c r="O854" s="57"/>
      <c r="P854" s="57"/>
      <c r="AO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>
      <c r="O855" s="57"/>
      <c r="P855" s="57"/>
      <c r="AO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>
      <c r="O856" s="57"/>
      <c r="P856" s="57"/>
      <c r="AO856" s="57"/>
      <c r="A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>
      <c r="O857" s="57"/>
      <c r="P857" s="57"/>
      <c r="AO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>
      <c r="O858" s="57"/>
      <c r="P858" s="57"/>
      <c r="AO858" s="57"/>
      <c r="A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>
      <c r="O859" s="57"/>
      <c r="P859" s="57"/>
      <c r="AO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>
      <c r="O860" s="57"/>
      <c r="P860" s="57"/>
      <c r="AO860" s="57"/>
      <c r="A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>
      <c r="O861" s="57"/>
      <c r="P861" s="57"/>
      <c r="AO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>
      <c r="O862" s="57"/>
      <c r="P862" s="57"/>
      <c r="AO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>
      <c r="O863" s="57"/>
      <c r="P863" s="57"/>
      <c r="AO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>
      <c r="O864" s="57"/>
      <c r="P864" s="57"/>
      <c r="AO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>
      <c r="O865" s="57"/>
      <c r="P865" s="57"/>
      <c r="AO865" s="57"/>
      <c r="A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>
      <c r="O866" s="57"/>
      <c r="P866" s="57"/>
      <c r="AO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>
      <c r="O867" s="57"/>
      <c r="P867" s="57"/>
      <c r="AO867" s="57"/>
      <c r="A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>
      <c r="O870" s="57"/>
      <c r="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>
      <c r="O872" s="57"/>
      <c r="P872" s="57"/>
      <c r="A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>
      <c r="O876" s="57"/>
      <c r="P876" s="57"/>
      <c r="A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>
      <c r="O885" s="57"/>
      <c r="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>
      <c r="O886" s="57"/>
      <c r="P886" s="57"/>
      <c r="A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>
      <c r="O887" s="57"/>
      <c r="P887" s="57"/>
      <c r="A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>
      <c r="O888" s="57"/>
      <c r="P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>
      <c r="O889" s="57"/>
      <c r="P889" s="57"/>
      <c r="AO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>
      <c r="O890" s="57"/>
      <c r="P890" s="57"/>
      <c r="AO890" s="57"/>
      <c r="A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>
      <c r="O891" s="57"/>
      <c r="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>
      <c r="O892" s="57"/>
      <c r="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>
      <c r="O894" s="57"/>
      <c r="P894" s="57"/>
      <c r="AO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>
      <c r="O895" s="57"/>
      <c r="P895" s="57"/>
      <c r="AO895" s="57"/>
      <c r="A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>
      <c r="O896" s="57"/>
      <c r="P896" s="57"/>
      <c r="AO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>
      <c r="O897" s="57"/>
      <c r="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>
      <c r="O900" s="57"/>
      <c r="P900" s="57"/>
      <c r="AO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>
      <c r="O902" s="57"/>
      <c r="P902" s="57"/>
      <c r="AO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>
      <c r="O904" s="57"/>
      <c r="P904" s="57"/>
      <c r="AO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>
      <c r="O908" s="57"/>
      <c r="P908" s="57"/>
      <c r="AO908" s="57"/>
      <c r="A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>
      <c r="O909" s="57"/>
      <c r="P909" s="57"/>
      <c r="AO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>
      <c r="O910" s="57"/>
      <c r="P910" s="57"/>
      <c r="AO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>
      <c r="O911" s="57"/>
      <c r="P911" s="57"/>
      <c r="AO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>
      <c r="O912" s="57"/>
      <c r="P912" s="57"/>
      <c r="AO912" s="57"/>
      <c r="A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>
      <c r="O913" s="57"/>
      <c r="P913" s="57"/>
      <c r="AO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>
      <c r="O914" s="57"/>
      <c r="P914" s="57"/>
      <c r="AO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>
      <c r="O915" s="57"/>
      <c r="P915" s="57"/>
      <c r="AO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>
      <c r="O916" s="57"/>
      <c r="P916" s="57"/>
      <c r="AO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>
      <c r="O917" s="57"/>
      <c r="P917" s="57"/>
      <c r="AO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>
      <c r="O918" s="57"/>
      <c r="P918" s="57"/>
      <c r="AO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>
      <c r="O919" s="57"/>
      <c r="P919" s="57"/>
      <c r="AO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>
      <c r="O920" s="57"/>
      <c r="P920" s="57"/>
      <c r="AO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>
      <c r="O921" s="57"/>
      <c r="P921" s="57"/>
      <c r="AO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>
      <c r="O934" s="57"/>
      <c r="P934" s="57"/>
      <c r="AM934" s="58"/>
      <c r="BA934" s="57"/>
      <c r="BB934" s="58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>
      <c r="O935" s="57"/>
      <c r="P935" s="57"/>
      <c r="AO935" s="57"/>
      <c r="A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>
      <c r="O936" s="57"/>
      <c r="P936" s="57"/>
      <c r="AO936" s="57"/>
      <c r="A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>
      <c r="O937" s="57"/>
      <c r="P937" s="57"/>
      <c r="AO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>
      <c r="O938" s="57"/>
      <c r="P938" s="57"/>
      <c r="AO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>
      <c r="O939" s="57"/>
      <c r="P939" s="57"/>
      <c r="AO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>
      <c r="O940" s="57"/>
      <c r="P940" s="57"/>
      <c r="AO940" s="57"/>
      <c r="A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>
      <c r="O941" s="57"/>
      <c r="P941" s="57"/>
      <c r="AO941" s="57"/>
      <c r="A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>
      <c r="O942" s="57"/>
      <c r="P942" s="57"/>
      <c r="AO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>
      <c r="O943" s="57"/>
      <c r="P943" s="57"/>
      <c r="AO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>
      <c r="O944" s="57"/>
      <c r="P944" s="57"/>
      <c r="AO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>
      <c r="O945" s="57"/>
      <c r="P945" s="57"/>
      <c r="AO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>
      <c r="O946" s="57"/>
      <c r="P946" s="57"/>
      <c r="A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>
      <c r="O947" s="57"/>
      <c r="P947" s="57"/>
      <c r="A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>
      <c r="O948" s="57"/>
      <c r="P948" s="57"/>
      <c r="AO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>
      <c r="O949" s="57"/>
      <c r="P949" s="57"/>
      <c r="AO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>
      <c r="O950" s="57"/>
      <c r="P950" s="57"/>
      <c r="AO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>
      <c r="O951" s="57"/>
      <c r="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>
      <c r="O952" s="57"/>
      <c r="P952" s="57"/>
      <c r="A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>
      <c r="O954" s="57"/>
      <c r="P954" s="57"/>
      <c r="AO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>
      <c r="O955" s="57"/>
      <c r="P955" s="57"/>
      <c r="AO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>
      <c r="O958" s="57"/>
      <c r="P958" s="57"/>
      <c r="AO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>
      <c r="O960" s="57"/>
      <c r="P960" s="57"/>
      <c r="AO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>
      <c r="O961" s="57"/>
      <c r="P961" s="57"/>
      <c r="AO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>
      <c r="O962" s="57"/>
      <c r="P962" s="57"/>
      <c r="AO962" s="57"/>
      <c r="A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>
      <c r="O963" s="57"/>
      <c r="P963" s="57"/>
      <c r="A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>
      <c r="O969" s="57"/>
      <c r="P969" s="57"/>
      <c r="A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>
      <c r="O970" s="57"/>
      <c r="P970" s="57"/>
      <c r="A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>
      <c r="O975" s="57"/>
      <c r="P975" s="57"/>
      <c r="AO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>
      <c r="O976" s="57"/>
      <c r="P976" s="57"/>
      <c r="AO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>
      <c r="O977" s="57"/>
      <c r="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>
      <c r="O978" s="57"/>
      <c r="P978" s="57"/>
      <c r="A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>
      <c r="O980" s="57"/>
      <c r="P980" s="57"/>
      <c r="AO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>
      <c r="O981" s="57"/>
      <c r="P981" s="57"/>
      <c r="AO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>
      <c r="O982" s="57"/>
      <c r="P982" s="57"/>
      <c r="AO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>
      <c r="O983" s="57"/>
      <c r="P983" s="57"/>
      <c r="AO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>
      <c r="O984" s="57"/>
      <c r="P984" s="57"/>
      <c r="AO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>
      <c r="O985" s="57"/>
      <c r="P985" s="57"/>
      <c r="AO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>
      <c r="O986" s="57"/>
      <c r="P986" s="57"/>
      <c r="AO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>
      <c r="O987" s="57"/>
      <c r="P987" s="57"/>
      <c r="AO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>
      <c r="O988" s="57"/>
      <c r="P988" s="57"/>
      <c r="AO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>
      <c r="O989" s="57"/>
      <c r="P989" s="57"/>
      <c r="AO989" s="57"/>
      <c r="A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>
      <c r="O990" s="57"/>
      <c r="P990" s="57"/>
      <c r="AO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>
      <c r="O999" s="57"/>
      <c r="P999" s="57"/>
      <c r="A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>
      <c r="O1004" s="57"/>
      <c r="P1004" s="57"/>
      <c r="AO1004" s="57"/>
      <c r="A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>
      <c r="O1008" s="57"/>
      <c r="P1008" s="57"/>
      <c r="AO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O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O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O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AO1020" s="57"/>
      <c r="A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O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O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O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O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O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O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O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O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AO1032" s="57"/>
      <c r="A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AO1033" s="57"/>
      <c r="A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O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AO1035" s="57"/>
      <c r="A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O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O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AO1038" s="57"/>
      <c r="A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A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A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A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O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AO1057" s="57"/>
      <c r="A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AO1058" s="57"/>
      <c r="A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O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O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AO1064" s="57"/>
      <c r="A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O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O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A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O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AO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O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O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O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O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O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O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A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A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A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A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A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A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AO1099" s="57"/>
      <c r="A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O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O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O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O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A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O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O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O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A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A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AO1127" s="57"/>
      <c r="A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AO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AO1129" s="57"/>
      <c r="A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O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AO1131" s="57"/>
      <c r="A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A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A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O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AO1144" s="57"/>
      <c r="A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AO1147" s="57"/>
      <c r="A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O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O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O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O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AP1154" s="57"/>
      <c r="BA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O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O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O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O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AO1159" s="57"/>
      <c r="A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O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O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O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AO1169" s="57"/>
      <c r="A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O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O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O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O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A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O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AO1178" s="57"/>
      <c r="A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A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O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O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A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O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A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A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AO1190" s="57"/>
      <c r="A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O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O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AO1195" s="57"/>
      <c r="A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O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O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A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A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A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A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O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A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O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O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O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AO1235" s="57"/>
      <c r="A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O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AO1238" s="57"/>
      <c r="A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AO1239" s="57"/>
      <c r="A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AO1240" s="57"/>
      <c r="A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O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O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O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O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O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A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A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A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AO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O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O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A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O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AO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O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O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O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AO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O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O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AO1288" s="57"/>
      <c r="A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O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O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AO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O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O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O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AO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O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O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O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O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O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AO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O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O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O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O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O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AO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O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O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O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O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AO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A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O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O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O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O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O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O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O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O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O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AO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AO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O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O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O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O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O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O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O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O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O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O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AO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O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O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O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O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A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O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O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O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O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A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O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O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O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O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O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O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O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A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A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O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A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O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O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O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AO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O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O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A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O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O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O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O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O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O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O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O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O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O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O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O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O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O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O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A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O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O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O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O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O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O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O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O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O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O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O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O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O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A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O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O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O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O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O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O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O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AO1657" s="57"/>
      <c r="A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O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O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O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AO1664" s="57"/>
      <c r="A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O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O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O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O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O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O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O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O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O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O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O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O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O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O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O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O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O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2026-10-08T04:29:27Z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
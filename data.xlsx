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BD379E86-0D36-4877-AFA9-9FDC3FDBB453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C2" i="15"/>
  <c r="C2" i="17" s="1"/>
  <c r="C1" i="15"/>
  <c r="G19" i="8"/>
  <c r="G6" i="8"/>
  <c r="G7" i="8"/>
  <c r="G8" i="8"/>
  <c r="G9" i="8"/>
  <c r="G10" i="8"/>
  <c r="G5" i="8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G206" i="7" s="1"/>
  <c r="BH206" i="7" s="1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G60" i="15" l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<sst xmlns="http://schemas.openxmlformats.org/spreadsheetml/2006/main" count="14496" uniqueCount="3038">
  <si>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</si>
  <si>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</si>
  <si>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</si>
  <si>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</si>
  <si>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</si>
  <si>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</si>
  <si>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</si>
  <si>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</si>
  <si>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</si>
  <si>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</si>
  <si>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</si>
  <si>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</si>
  <si>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</si>
  <si>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</si>
  <si>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</si>
  <si>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</si>
  <si>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</si>
  <si>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</si>
  <si>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</si>
  <si>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</si>
  <si>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</si>
  <si>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</si>
  <si>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</si>
  <si>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</si>
  <si>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</si>
  <si>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</si>
  <si>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</si>
  <si>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</si>
  <si>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</si>
  <si>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</si>
  <si>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</si>
  <si>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</si>
  <si>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</si>
  <si>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</si>
  <si>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</si>
  <si>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</si>
  <si>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</si>
  <si>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</si>
  <si>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</si>
  <si>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</si>
  <si>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</si>
  <si>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</si>
  <si>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</si>
  <si>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</si>
  <si>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</si>
  <si>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</si>
  <si>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</si>
  <si>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</si>
  <si>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</si>
  <si>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</si>
  <si>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</si>
  <si>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</si>
  <si>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</si>
  <si>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</si>
  <si>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</si>
  <si>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</si>
  <si>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</si>
  <si>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</si>
  <si>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</si>
  <si>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</si>
  <si>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</si>
  <si>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</si>
  <si>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</si>
  <si>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</si>
  <si>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</si>
  <si>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</si>
  <si>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</si>
  <si>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</si>
  <si>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</si>
  <si>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</si>
  <si>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</si>
  <si>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</si>
  <si>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</si>
  <si>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</si>
  <si>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</si>
  <si>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</si>
  <si>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</si>
  <si>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</si>
  <si>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</si>
  <si>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</si>
  <si>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</si>
  <si>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</si>
  <si>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</si>
  <si>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</si>
  <si>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</si>
  <si>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</si>
  <si>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</si>
  <si>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</si>
  <si>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</si>
  <si>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</si>
  <si>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</si>
  <si>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</si>
  <si>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</si>
  <si>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</si>
  <si>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</si>
  <si>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</si>
  <si>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</si>
  <si>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</si>
  <si>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</si>
  <si>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</si>
  <si>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</si>
  <si>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</si>
  <si>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</si>
  <si>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</si>
  <si>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</si>
  <si>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</si>
  <si>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</si>
  <si>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</si>
  <si>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</si>
  <si>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</si>
  <si>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</si>
  <si>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</si>
  <si>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</si>
  <si>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</si>
  <si>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</si>
  <si>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</si>
  <si>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</si>
  <si>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</si>
  <si>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</si>
  <si>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</si>
  <si>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</si>
  <si>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</si>
  <si>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</si>
  <si>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</si>
  <si>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</si>
  <si>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</si>
  <si>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</si>
  <si>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</si>
  <si>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</si>
  <si>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</si>
  <si>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</si>
  <si>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</si>
  <si>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</si>
  <si>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</si>
  <si>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</si>
  <si>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</si>
  <si>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</si>
  <si>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</si>
  <si>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</si>
  <si>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</si>
  <si>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</si>
  <si>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</si>
  <si>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</si>
  <si>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</si>
  <si>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</si>
  <si>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</si>
  <si>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</si>
  <si>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</si>
  <si>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</si>
  <si>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</si>
  <si>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</si>
  <si>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</si>
  <si>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</si>
  <si>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</si>
  <si>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</si>
  <si>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</si>
  <si>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</si>
  <si>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</si>
  <si>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</si>
  <si>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</si>
  <si>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</si>
  <si>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</si>
  <si>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</si>
  <si>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</si>
  <si>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</si>
  <si>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</si>
  <si>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</si>
  <si>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</si>
  <si>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</si>
  <si>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</si>
  <si>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</si>
  <si>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</si>
  <si>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</si>
  <si>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</si>
  <si>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</si>
  <si>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</si>
  <si>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</si>
  <si>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</si>
  <si>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</si>
  <si>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</si>
  <si>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</si>
  <si>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</si>
  <si>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</si>
  <si>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</si>
  <si>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</si>
  <si>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</si>
  <si>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</si>
  <si>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</si>
  <si>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</si>
  <si>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</si>
  <si>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</si>
  <si>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</si>
  <si>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</si>
  <si>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</si>
  <si>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</si>
  <si>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</si>
  <si>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</si>
  <si>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</si>
  <si>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</si>
  <si>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</si>
  <si>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</si>
  <si>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</si>
  <si>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</si>
  <si>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</si>
  <si>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</si>
  <si>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</si>
  <si>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</si>
  <si>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</si>
  <si>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</si>
  <si>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</si>
  <si>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</si>
  <si>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</si>
  <si>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</si>
  <si>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</si>
  <si>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</si>
  <si>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</si>
  <si>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</si>
  <si>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</si>
  <si>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</si>
  <si>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</si>
  <si>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</si>
  <si>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</si>
  <si>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</si>
  <si>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</si>
  <si>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</si>
  <si>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</si>
  <si>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</si>
  <si>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</si>
  <si>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</si>
  <si>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</si>
  <si>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</si>
  <si>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</si>
  <si>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</si>
  <si>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</si>
  <si>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</si>
  <si>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</si>
  <si>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</si>
  <si>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</si>
  <si>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</si>
  <si>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</si>
  <si>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</si>
  <si>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</si>
  <si>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</si>
  <si>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</si>
  <si>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</si>
  <si>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</si>
  <si>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</si>
  <si>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</si>
  <si>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</si>
  <si>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</si>
  <si>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</si>
  <si>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</si>
  <si>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</si>
  <si>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</si>
  <si>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</si>
  <si>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</si>
  <si>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</si>
  <si>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</si>
  <si>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</si>
  <si>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</si>
  <si>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</si>
  <si>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</si>
  <si>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</si>
  <si>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</si>
  <si>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</si>
  <si>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</si>
  <si>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</si>
  <si>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</si>
  <si>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</si>
  <si>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</si>
  <si>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</si>
  <si>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</si>
  <si>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</si>
  <si>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</si>
  <si>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</si>
  <si>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</si>
  <si>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</si>
  <si>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</si>
  <si>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</si>
  <si>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</si>
  <si>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</si>
  <si>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</si>
  <si>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</si>
  <si>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</si>
  <si>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</si>
  <si>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</si>
  <si>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</si>
  <si>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</si>
  <si>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</si>
  <si>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</si>
  <si>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</si>
  <si>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</si>
  <si>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</si>
  <si>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</si>
  <si>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</si>
  <si>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</si>
  <si>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</si>
  <si>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</si>
  <si>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</si>
  <si>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</si>
  <si>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</si>
  <si>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</si>
  <si>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</si>
  <si>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</si>
  <si>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</si>
  <si>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</si>
  <si>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</si>
  <si>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</si>
  <si>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</si>
  <si>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</si>
  <si>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</si>
  <si>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</si>
  <si>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</si>
  <si>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</si>
  <si>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</si>
  <si>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</si>
  <si>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</si>
  <si>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</si>
  <si>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</si>
  <si>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</si>
  <si>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</si>
  <si>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</si>
  <si>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</si>
  <si>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</si>
  <si>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</si>
  <si>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</si>
  <si>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</si>
  <si>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</si>
  <si>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</si>
  <si>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</si>
  <si>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</si>
  <si>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</si>
  <si>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</si>
  <si>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</si>
  <si>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</si>
  <si>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</si>
  <si>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</si>
  <si>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</si>
  <si>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</si>
  <si>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</si>
  <si>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</si>
  <si>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</si>
  <si>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</si>
  <si>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</si>
  <si>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</si>
  <si>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</si>
  <si>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</si>
  <si>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</si>
  <si>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</si>
  <si>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</si>
  <si>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</si>
  <si>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</si>
  <si>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</si>
  <si>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</si>
  <si>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</si>
  <si>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</si>
  <si>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</si>
  <si>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</si>
  <si>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</si>
  <si>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</si>
  <si>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</si>
  <si>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</si>
  <si>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</si>
  <si>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</si>
  <si>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</si>
  <si>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</si>
  <si>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</si>
  <si>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</si>
  <si>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</si>
  <si>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</si>
  <si>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</si>
  <si>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</si>
  <si>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</si>
  <si>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</si>
  <si>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</si>
  <si>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</si>
  <si>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</si>
  <si>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</si>
  <si>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</si>
  <si>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</si>
  <si>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</si>
  <si>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</si>
  <si>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</si>
  <si>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</si>
  <si>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</si>
  <si>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</si>
  <si>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</si>
  <si>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</si>
  <si>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</si>
  <si>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</si>
  <si>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</si>
  <si>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</si>
  <si>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</si>
  <si>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</si>
  <si>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</si>
  <si>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</si>
  <si>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</si>
  <si>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</si>
  <si>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</si>
  <si>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</si>
  <si>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</si>
  <si>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</si>
  <si>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</si>
  <si>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</si>
  <si>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</si>
  <si>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</si>
  <si>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</si>
  <si>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</si>
  <si>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</si>
  <si>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</si>
  <si>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</si>
  <si>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</si>
  <si>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</si>
  <si>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</si>
  <si>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</si>
  <si>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</si>
  <si>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</si>
  <si>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</si>
  <si>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</si>
  <si>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</si>
  <si>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</si>
  <si>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</si>
  <si>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</si>
  <si>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</si>
  <si>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</si>
  <si>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</si>
  <si>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</si>
  <si>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</si>
  <si>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</si>
  <si>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</si>
  <si>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</si>
  <si>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</si>
  <si>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</si>
  <si>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</si>
  <si>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</si>
  <si>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</si>
  <si>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</si>
  <si>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</si>
  <si>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</si>
  <si>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</si>
  <si>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</si>
  <si>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</si>
  <si>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</si>
  <si>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</si>
  <si>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</si>
  <si>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</si>
  <si>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</si>
  <si>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</si>
  <si>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</si>
  <si>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</si>
  <si>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</si>
  <si>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</si>
  <si>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</si>
  <si>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</si>
  <si>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</si>
  <si>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</si>
  <si>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</si>
  <si>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</si>
  <si>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</si>
  <si>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</si>
  <si>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</si>
  <si>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</si>
  <si>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</si>
  <si>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</si>
  <si>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</si>
  <si>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</si>
  <si>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</si>
  <si>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</si>
  <si>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</si>
  <si>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</si>
  <si>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</si>
  <si>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</si>
  <si>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</si>
  <si>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</si>
  <si>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</si>
  <si>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</si>
  <si>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</si>
  <si>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</si>
  <si>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</si>
  <si>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</si>
  <si>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</si>
  <si>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</si>
  <si>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</si>
  <si>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</si>
  <si>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</si>
  <si>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</si>
  <si>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</si>
  <si>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</si>
  <si>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</si>
  <si>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</si>
  <si>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</si>
  <si>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</si>
  <si>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</si>
  <si>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</si>
  <si>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</si>
  <si>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</si>
  <si>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</si>
  <si>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</si>
  <si>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</si>
  <si>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</si>
  <si>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</si>
  <si>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</si>
  <si>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</si>
  <si>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</si>
  <si>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</si>
  <si>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</si>
  <si>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</si>
  <si>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</si>
  <si>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</si>
  <si>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</si>
  <si>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</si>
  <si>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</si>
  <si>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</si>
  <si>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</si>
  <si>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</si>
  <si>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</si>
  <si>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</si>
  <si>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</si>
  <si>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</si>
  <si>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</si>
  <si>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</si>
  <si>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</si>
  <si>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</si>
  <si>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</si>
  <si>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</si>
  <si>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</si>
  <si>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</si>
  <si>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</si>
  <si>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</si>
  <si>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</si>
  <si>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</si>
  <si>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</si>
  <si>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</si>
  <si>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</si>
  <si>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</si>
  <si>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</si>
  <si>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</si>
  <si>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</si>
  <si>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</si>
  <si>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</si>
  <si>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</si>
  <si>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</si>
  <si>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</si>
  <si>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</si>
  <si>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</si>
  <si>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</si>
  <si>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</si>
  <si>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</si>
  <si>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</si>
  <si>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</si>
  <si>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</si>
  <si>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</si>
  <si>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</si>
  <si>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</si>
  <si>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</si>
  <si>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</si>
  <si>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</si>
  <si>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</si>
  <si>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</si>
  <si>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</si>
  <si>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</si>
  <si>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</si>
  <si>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</si>
  <si>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</si>
  <si>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</si>
  <si>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</si>
  <si>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</si>
  <si>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</si>
  <si>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</si>
  <si>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</si>
  <si>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</si>
  <si>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</si>
  <si>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</si>
  <si>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</si>
  <si>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</si>
  <si>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</si>
  <si>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</si>
  <si>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</si>
  <si>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</si>
  <si>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</si>
  <si>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</si>
  <si>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</si>
  <si>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</si>
  <si>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</si>
  <si>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</si>
  <si>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</si>
  <si>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</si>
  <si>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</si>
  <si>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</si>
  <si>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</si>
  <si>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</si>
  <si>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</si>
  <si>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</si>
  <si>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</si>
  <si>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</si>
  <si>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</si>
  <si>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</si>
  <si>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</si>
  <si>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</si>
  <si>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</si>
  <si>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</si>
  <si>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</si>
  <si>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</si>
  <si>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</si>
  <si>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</si>
  <si>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</si>
  <si>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</si>
  <si>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</si>
  <si>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</si>
  <si>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</si>
  <si>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</si>
  <si>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</si>
  <si>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</si>
  <si>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</si>
  <si>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</si>
  <si>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</si>
  <si>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</si>
  <si>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</si>
  <si>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</si>
  <si>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</si>
  <si>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</si>
  <si>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</si>
  <si>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</si>
  <si>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</si>
  <si>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</si>
  <si>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</si>
  <si>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</si>
  <si>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</si>
  <si>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</si>
  <si>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</si>
  <si>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</si>
  <si>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</si>
  <si>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</si>
  <si>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</si>
  <si>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</si>
  <si>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</si>
  <si>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</si>
  <si>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</si>
  <si>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</si>
  <si>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</si>
  <si>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</si>
  <si>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</si>
  <si>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</si>
  <si>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</si>
  <si>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</si>
  <si>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</si>
  <si>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</si>
  <si>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</si>
  <si>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</si>
  <si>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</si>
  <si>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</si>
  <si>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</si>
  <si>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</si>
  <si>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</si>
  <si>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</si>
  <si>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</si>
  <si>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</si>
  <si>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</si>
  <si>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</si>
  <si>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</si>
  <si>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</si>
  <si>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</si>
  <si>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</si>
  <si>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</si>
  <si>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</si>
  <si>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</si>
  <si>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</si>
  <si>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</si>
  <si>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</si>
  <si>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</si>
  <si>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</si>
  <si>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</si>
  <si>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</si>
  <si>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</si>
  <si>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</si>
  <si>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</si>
  <si>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</si>
  <si>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</si>
  <si>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</si>
  <si>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</si>
  <si>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</si>
  <si>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</si>
  <si>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</si>
  <si>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</si>
  <si>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</si>
  <si>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</si>
  <si>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</si>
  <si>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</si>
  <si>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</si>
  <si>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</si>
  <si>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</si>
  <si>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</si>
  <si>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</si>
  <si>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</si>
  <si>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</si>
  <si>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</si>
  <si>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</si>
  <si>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</si>
  <si>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</si>
  <si>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</si>
  <si>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</si>
  <si>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</si>
  <si>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</si>
  <si>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</si>
  <si>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</si>
  <si>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</si>
  <si>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</si>
  <si>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</si>
  <si>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</si>
  <si>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</si>
  <si>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</si>
  <si>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</si>
  <si>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</si>
  <si>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</si>
  <si>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</si>
  <si>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</si>
  <si>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</si>
  <si>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</si>
  <si>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</si>
  <si>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</si>
  <si>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</si>
  <si>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</si>
  <si>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</si>
  <si>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</si>
  <si>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</si>
  <si>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</si>
  <si>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</si>
  <si>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</si>
  <si>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</si>
  <si>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</si>
  <si>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</si>
  <si>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</si>
  <si>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</si>
  <si>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</si>
  <si>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</si>
  <si>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</si>
  <si>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</si>
  <si>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</si>
  <si>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</si>
  <si>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</si>
  <si>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</si>
  <si>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</si>
  <si>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</si>
  <si>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</si>
  <si>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</si>
  <si>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</si>
  <si>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</si>
  <si>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</si>
  <si>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</si>
  <si>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</si>
  <si>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</si>
  <si>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</si>
  <si>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</si>
  <si>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</si>
  <si>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</si>
  <si>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</si>
  <si>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</si>
  <si>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</si>
  <si>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</si>
  <si>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</si>
  <si>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</si>
  <si>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</si>
  <si>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</si>
  <si>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</si>
  <si>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</si>
  <si>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</si>
  <si>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</si>
  <si>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</si>
  <si>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</si>
  <si>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</si>
  <si>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</si>
  <si>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</si>
  <si>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</si>
  <si>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</si>
  <si>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</si>
  <si>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</si>
  <si>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</si>
  <si>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</si>
  <si>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</si>
  <si>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</si>
  <si>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</si>
  <si>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</si>
  <si>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</si>
  <si>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</si>
  <si>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</si>
  <si>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</si>
  <si>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</si>
  <si>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</si>
  <si>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</si>
  <si>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</si>
  <si>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</si>
  <si>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</si>
  <si>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</si>
  <si>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</si>
  <si>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</si>
  <si>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</si>
  <si>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</si>
  <si>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</si>
  <si>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</si>
  <si>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</si>
  <si>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</si>
  <si>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</si>
  <si>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</si>
  <si>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</si>
  <si>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</si>
  <si>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</si>
  <si>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</si>
  <si>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</si>
  <si>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</si>
  <si>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</si>
  <si>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</si>
  <si>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</si>
  <si>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</si>
  <si>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</si>
  <si>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</si>
  <si>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</si>
  <si>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</si>
  <si>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</si>
  <si>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</si>
  <si>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</si>
  <si>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</si>
  <si>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</si>
  <si>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</si>
  <si>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</si>
  <si>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</si>
  <si>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</si>
  <si>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</si>
  <si>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</si>
  <si>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</si>
  <si>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</si>
  <si>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</si>
  <si>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</si>
  <si>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</si>
  <si>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</si>
  <si>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</si>
  <si>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</si>
  <si>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</si>
  <si>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</si>
  <si>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</si>
  <si>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</si>
  <si>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</si>
  <si>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</si>
  <si>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FCC - HD1A - INPROGRESS FOLLOW UP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</si>
  <si>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</si>
  <si>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</si>
  <si>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</si>
  <si>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</si>
  <si>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</si>
  <si>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</si>
  <si>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</si>
  <si>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</si>
  <si>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</si>
  <si>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</si>
  <si>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</si>
  <si>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</si>
  <si>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</si>
  <si>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</si>
  <si>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</si>
  <si>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</si>
  <si>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</si>
  <si>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</si>
  <si>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</si>
  <si>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</si>
  <si>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</si>
  <si>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</si>
  <si>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</si>
  <si>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</si>
  <si>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</si>
  <si>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</si>
  <si>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</si>
  <si>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</si>
  <si>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</si>
  <si>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</si>
  <si>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</si>
  <si>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</si>
  <si>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</si>
  <si>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</si>
  <si>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</si>
  <si>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</si>
  <si>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</si>
  <si>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</si>
  <si>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</si>
  <si>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</si>
  <si>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</si>
  <si>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</si>
  <si>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</si>
  <si>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</si>
  <si>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</si>
  <si>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</si>
  <si>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</si>
  <si>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</si>
  <si>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</si>
  <si>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</si>
  <si>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</si>
  <si>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</si>
  <si>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</si>
  <si>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</si>
  <si>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</si>
  <si>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</si>
  <si>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</si>
  <si>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</si>
  <si>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</si>
  <si>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</si>
  <si>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</si>
  <si>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</si>
  <si>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</si>
  <si>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</si>
  <si>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</si>
  <si>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</si>
  <si>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</si>
  <si>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</si>
  <si>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</si>
  <si>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</si>
  <si>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</si>
  <si>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</si>
  <si>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</si>
  <si>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</si>
  <si>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</si>
  <si>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</si>
  <si>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</si>
  <si>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</si>
  <si>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</si>
  <si>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</si>
  <si>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</si>
  <si>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</si>
  <si>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</si>
  <si>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</si>
  <si>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</si>
  <si>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</si>
  <si>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</si>
  <si>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</si>
  <si>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</si>
  <si>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</si>
  <si>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</si>
  <si>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</si>
  <si>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</si>
  <si>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</si>
  <si>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</si>
  <si>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</si>
  <si>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</si>
  <si>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</si>
  <si>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</si>
  <si>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</si>
  <si>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</si>
  <si>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</si>
  <si>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</si>
  <si>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</si>
  <si>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</si>
  <si>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</si>
  <si>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</si>
  <si>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</si>
  <si>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</si>
  <si>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</si>
  <si>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</si>
  <si>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</si>
  <si>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</si>
  <si>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</si>
  <si>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</si>
  <si>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</si>
  <si>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</si>
  <si>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</si>
  <si>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</si>
  <si>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</si>
  <si>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</si>
  <si>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</si>
  <si>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</si>
  <si>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</si>
  <si>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</si>
  <si>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</si>
  <si>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</si>
  <si>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</si>
  <si>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</si>
  <si>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</si>
  <si>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</si>
  <si>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</si>
  <si>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</si>
  <si>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</si>
  <si>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</si>
  <si>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</si>
  <si>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</si>
  <si>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</si>
  <si>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</si>
  <si>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</si>
  <si>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</si>
  <si>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</si>
  <si>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</si>
  <si>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</si>
  <si>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</si>
  <si>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</si>
  <si>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</si>
  <si>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</si>
  <si>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</si>
  <si>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</si>
  <si>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</si>
  <si>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</si>
  <si>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</si>
  <si>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</si>
  <si>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</si>
  <si>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</si>
  <si>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</si>
  <si>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</si>
  <si>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</si>
  <si>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</si>
  <si>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</si>
  <si>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</si>
  <si>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</si>
  <si>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</si>
  <si>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</si>
  <si>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</si>
  <si>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</si>
  <si>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</si>
  <si>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</si>
  <si>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</si>
  <si>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</si>
  <si>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</si>
  <si>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</si>
  <si>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</si>
  <si>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</si>
  <si>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</si>
  <si>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</si>
  <si>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</si>
  <si>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</si>
  <si>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</si>
  <si>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</si>
  <si>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</si>
  <si>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</si>
  <si>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</si>
  <si>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</si>
  <si>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</si>
  <si>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</si>
  <si>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</si>
  <si>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</si>
  <si>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</si>
  <si>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</si>
  <si>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</si>
  <si>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</si>
  <si>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</si>
  <si>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</si>
  <si>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</si>
  <si>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</si>
  <si>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</si>
  <si>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</si>
  <si>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</si>
  <si>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</si>
  <si>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</si>
  <si>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</si>
  <si>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</si>
  <si>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</si>
  <si>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</si>
  <si>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</si>
  <si>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</si>
  <si>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FOLLOW UP : Follow Up NENG PUTRI MEILINDA PERMATASARI 40981184|MYDITA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</si>
  <si>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</si>
  <si>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</si>
  <si>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</si>
  <si>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</si>
  <si>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</si>
  <si>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</si>
  <si>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</si>
  <si>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</si>
  <si>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</si>
  <si>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</si>
  <si>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</si>
  <si>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</si>
  <si>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</si>
  <si>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</si>
  <si>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</si>
  <si>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</si>
  <si>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</si>
  <si>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</si>
  <si>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</si>
  <si>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</si>
  <si>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</si>
  <si>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</si>
  <si>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</si>
  <si>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</si>
  <si>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</si>
  <si>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</si>
  <si>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</si>
  <si>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</si>
  <si>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</si>
  <si>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</si>
  <si>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</si>
  <si>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</si>
  <si>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</si>
  <si>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</si>
  <si>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</si>
  <si>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</si>
  <si>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</si>
  <si>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</si>
  <si>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</si>
  <si>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</si>
  <si>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</si>
  <si>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</si>
  <si>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</si>
  <si>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</si>
  <si>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</si>
  <si>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</si>
  <si>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</si>
  <si>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</si>
  <si>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</si>
  <si>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</si>
  <si>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</si>
  <si>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</si>
  <si>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</si>
  <si>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</si>
  <si>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</si>
  <si>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</si>
  <si>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</si>
  <si>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</si>
  <si>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</si>
  <si>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</si>
  <si>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</si>
  <si>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</si>
  <si>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</si>
  <si>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</si>
  <si>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</si>
  <si>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</si>
  <si>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</si>
  <si>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</si>
  <si>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</si>
  <si>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</si>
  <si>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</si>
  <si>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</si>
  <si>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</si>
  <si>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</si>
  <si>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</si>
  <si>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</si>
  <si>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</si>
  <si>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</si>
  <si>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</si>
  <si>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</si>
  <si>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</si>
  <si>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</si>
  <si>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</si>
  <si>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</si>
  <si>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</si>
  <si>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</si>
  <si>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</si>
  <si>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</si>
  <si>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</si>
  <si>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</si>
  <si>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</si>
  <si>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</si>
  <si>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</si>
  <si>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</si>
  <si>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</si>
  <si>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</si>
  <si>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</si>
  <si>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</si>
  <si>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</si>
  <si>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</si>
  <si>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</si>
  <si>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</si>
  <si>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</si>
  <si>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</si>
  <si>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</si>
  <si>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</si>
  <si>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</si>
  <si>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</si>
  <si>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</si>
  <si>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</si>
  <si>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</si>
  <si>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</si>
  <si>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</si>
  <si>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</si>
  <si>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</si>
  <si>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</si>
  <si>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</si>
  <si>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</si>
  <si>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</si>
  <si>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</si>
  <si>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</si>
  <si>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</si>
  <si>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</si>
  <si>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</si>
  <si>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</si>
  <si>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</si>
  <si>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</si>
  <si>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</si>
  <si>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</si>
  <si>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</si>
  <si>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</si>
  <si>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</si>
  <si>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</si>
  <si>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</si>
  <si>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</si>
  <si>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</si>
  <si>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</si>
  <si>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</si>
  <si>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</si>
  <si>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</si>
  <si>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</si>
  <si>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</si>
  <si>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</si>
  <si>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</si>
  <si>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</si>
  <si>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</si>
  <si>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</si>
  <si>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</si>
  <si>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</si>
  <si>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</si>
  <si>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</si>
  <si>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</si>
  <si>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</si>
  <si>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</si>
  <si>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</si>
  <si>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</si>
  <si>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</si>
  <si>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</si>
  <si>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</si>
  <si>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</si>
  <si>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</si>
  <si>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</si>
  <si>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</si>
  <si>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</si>
  <si>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</si>
  <si>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</si>
  <si>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</si>
  <si>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</si>
  <si>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</si>
  <si>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</si>
  <si>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</si>
  <si>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</si>
  <si>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</si>
  <si>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</si>
  <si>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</si>
  <si>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</si>
  <si>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</si>
  <si>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</si>
  <si>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</si>
  <si>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</si>
  <si>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</si>
  <si>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</si>
  <si>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</si>
  <si>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</si>
  <si>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</si>
  <si>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</si>
  <si>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</si>
  <si>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</si>
  <si>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</si>
  <si>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</si>
  <si>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</si>
  <si>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</si>
  <si>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</si>
  <si>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</si>
  <si>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</si>
  <si>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</si>
  <si>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</si>
  <si>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</si>
  <si>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</si>
  <si>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</si>
  <si>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</si>
  <si>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</si>
  <si>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</si>
  <si>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</si>
  <si>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</si>
  <si>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</si>
  <si>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</si>
  <si>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</si>
  <si>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</si>
  <si>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</si>
  <si>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</si>
  <si>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</si>
  <si>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</si>
  <si>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</si>
  <si>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</si>
  <si>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</si>
  <si>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</si>
  <si>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</si>
  <si>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</si>
  <si>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</si>
  <si>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</si>
  <si>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</si>
  <si>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</si>
  <si>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</si>
  <si>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</si>
  <si>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</si>
  <si>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</si>
  <si>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</si>
  <si>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</si>
  <si>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</si>
  <si>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</si>
  <si>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</si>
  <si>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</si>
  <si>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</si>
  <si>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</si>
  <si>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</si>
  <si>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</si>
  <si>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</si>
  <si>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</si>
  <si>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</si>
  <si>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</si>
  <si>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</si>
  <si>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</si>
  <si>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</si>
  <si>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</si>
  <si>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</si>
  <si>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</si>
  <si>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</si>
  <si>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</si>
  <si>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</si>
  <si>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</si>
  <si>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</si>
  <si>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</si>
  <si>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</si>
  <si>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</si>
  <si>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</si>
  <si>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</si>
  <si>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</si>
  <si>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</si>
  <si>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</si>
  <si>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</si>
  <si>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</si>
  <si>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</si>
  <si>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</si>
  <si>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</si>
  <si>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ODP-GER-FAP/41 FAP/D04/41.01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</si>
  <si>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</si>
  <si>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</si>
  <si>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</si>
  <si>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</si>
  <si>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</si>
  <si>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</si>
  <si>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</si>
  <si>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</si>
  <si>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</si>
  <si>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</si>
  <si>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</si>
  <si>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</si>
  <si>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</si>
  <si>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</si>
  <si>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</si>
  <si>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</si>
  <si>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</si>
  <si>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</si>
  <si>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</si>
  <si>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</si>
  <si>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</si>
  <si>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</si>
  <si>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</si>
  <si>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</si>
  <si>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</si>
  <si>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</si>
  <si>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</si>
  <si>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</si>
  <si>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</si>
  <si>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</si>
  <si>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</si>
  <si>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</si>
  <si>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</si>
  <si>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</si>
  <si>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</si>
  <si>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</si>
  <si>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</si>
  <si>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</si>
  <si>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</si>
  <si>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</si>
  <si>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</si>
  <si>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</si>
  <si>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</si>
  <si>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</si>
  <si>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</si>
  <si>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</si>
  <si>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</si>
  <si>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</si>
  <si>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</si>
  <si>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</si>
  <si>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</si>
  <si>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</si>
  <si>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</si>
  <si>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</si>
  <si>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</si>
  <si>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</si>
  <si>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</si>
  <si>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</si>
  <si>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</si>
  <si>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</si>
  <si>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</si>
  <si>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</si>
  <si>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</si>
  <si>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</si>
  <si>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</si>
  <si>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</si>
  <si>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</si>
  <si>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</si>
  <si>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</si>
  <si>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</si>
  <si>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</si>
  <si>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</si>
  <si>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</si>
  <si>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</si>
  <si>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</si>
  <si>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</si>
  <si>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</si>
  <si>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</si>
  <si>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</si>
  <si>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</si>
  <si>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</si>
  <si>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</si>
  <si>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</si>
  <si>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</si>
  <si>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</si>
  <si>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</si>
  <si>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</si>
  <si>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</si>
  <si>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</si>
  <si>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</si>
  <si>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</si>
  <si>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</si>
  <si>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</si>
  <si>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</si>
  <si>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</si>
  <si>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</si>
  <si>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</si>
  <si>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</si>
  <si>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</si>
  <si>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</si>
  <si>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</si>
  <si>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</si>
  <si>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</si>
  <si>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</si>
  <si>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</si>
  <si>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</si>
  <si>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</si>
  <si>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</si>
  <si>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</si>
  <si>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</si>
  <si>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</si>
  <si>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</si>
  <si>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</si>
  <si>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</si>
  <si>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</si>
  <si>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</si>
  <si>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</si>
  <si>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</si>
  <si>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</si>
  <si>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</si>
  <si>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</si>
  <si>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</si>
  <si>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</si>
  <si>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</si>
  <si>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</si>
  <si>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</si>
  <si>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</si>
  <si>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</si>
  <si>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</si>
  <si>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</si>
  <si>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</si>
  <si>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</si>
  <si>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</si>
  <si>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</si>
  <si>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</si>
  <si>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</si>
  <si>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</si>
  <si>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</si>
  <si>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</si>
  <si>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</si>
  <si>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</si>
  <si>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</si>
  <si>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</si>
  <si>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</si>
  <si>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</si>
  <si>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</si>
  <si>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</si>
  <si>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</si>
  <si>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</si>
  <si>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</si>
  <si>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</si>
  <si>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</si>
  <si>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</si>
  <si>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</si>
  <si>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</si>
  <si>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</si>
  <si>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</si>
  <si>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</si>
  <si>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</si>
  <si>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</si>
  <si>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</si>
  <si>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</si>
  <si>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</si>
  <si>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</si>
  <si>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</si>
  <si>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</si>
  <si>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</si>
  <si>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</si>
  <si>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</si>
  <si>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</si>
  <si>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</si>
  <si>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</si>
  <si>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</si>
  <si>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</si>
  <si>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</si>
  <si>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</si>
  <si>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</si>
  <si>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</si>
  <si>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</si>
  <si>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</si>
  <si>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</si>
  <si>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</si>
  <si>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</si>
  <si>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</si>
  <si>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</si>
  <si>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</si>
  <si>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</si>
  <si>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</si>
  <si>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</si>
  <si>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</si>
  <si>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</si>
  <si>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</si>
  <si>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</si>
  <si>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</si>
  <si>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</si>
  <si>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</si>
  <si>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</si>
  <si>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</si>
  <si>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</si>
  <si>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</si>
  <si>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</si>
  <si>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</si>
  <si>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</si>
  <si>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 xml:space="preserve">PT Putra Chandra Sentosa 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</si>
  <si>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</si>
  <si>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</si>
  <si>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</si>
  <si>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</si>
  <si>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</si>
  <si>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</si>
  <si>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</si>
  <si>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</si>
  <si>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</si>
  <si>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</si>
  <si>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</si>
  <si>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</si>
  <si>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</si>
  <si>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ODP-KBU-FHA/090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</si>
  <si>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</si>
  <si>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</si>
  <si>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</si>
  <si>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</si>
  <si>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</si>
  <si>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</si>
  <si>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</si>
  <si>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</si>
  <si>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</si>
  <si>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</si>
  <si>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</si>
  <si>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</si>
  <si>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</si>
  <si>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</si>
  <si>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</si>
  <si>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</si>
  <si>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</si>
  <si>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</si>
  <si>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</si>
  <si>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</si>
  <si>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</si>
  <si>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</si>
  <si>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</si>
  <si>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</si>
  <si>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</si>
  <si>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</si>
  <si>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</si>
  <si>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</si>
  <si>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</si>
  <si>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</si>
  <si>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</si>
  <si>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</si>
  <si>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</si>
  <si>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</si>
  <si>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</si>
  <si>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</si>
  <si>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</si>
  <si>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</si>
  <si>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</si>
  <si>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</si>
  <si>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</si>
  <si>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</si>
  <si>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</si>
  <si>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</si>
  <si>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</si>
  <si>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</si>
  <si>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</si>
  <si>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</si>
  <si>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</si>
  <si>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</si>
  <si>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</si>
  <si>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</si>
  <si>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</si>
  <si>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</si>
  <si>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</si>
  <si>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</si>
  <si>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</si>
  <si>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</si>
  <si>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</si>
  <si>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</si>
  <si>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</si>
  <si>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</si>
  <si>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</si>
  <si>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</si>
  <si>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</si>
  <si>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</si>
  <si>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</si>
  <si>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</si>
  <si>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</si>
  <si>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</si>
  <si>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</si>
  <si>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</si>
  <si>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</si>
  <si>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</si>
  <si>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</si>
  <si>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</si>
  <si>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</si>
  <si>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</si>
  <si>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</si>
  <si>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</si>
  <si>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</si>
  <si>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</si>
  <si>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</si>
  <si>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</si>
  <si>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</si>
  <si>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</si>
  <si>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</si>
  <si>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</si>
  <si>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</si>
  <si>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</si>
  <si>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</si>
  <si>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</si>
  <si>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</si>
  <si>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</si>
  <si>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</si>
  <si>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</si>
  <si>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</si>
  <si>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</si>
  <si>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</si>
  <si>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</si>
  <si>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</si>
  <si>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</si>
  <si>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</si>
  <si>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</si>
  <si>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</si>
  <si>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</si>
  <si>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</si>
  <si>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</si>
  <si>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</si>
  <si>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</si>
  <si>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</si>
  <si>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</si>
  <si>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</si>
  <si>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</si>
  <si>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</si>
  <si>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</si>
  <si>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</si>
  <si>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</si>
  <si>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</si>
  <si>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</si>
  <si>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</si>
  <si>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</si>
  <si>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</si>
  <si>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</si>
  <si>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</si>
  <si>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</si>
  <si>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</si>
  <si>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</si>
  <si>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</si>
  <si>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</si>
  <si>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</si>
  <si>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</si>
  <si>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</si>
  <si>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</si>
  <si>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</si>
  <si>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</si>
  <si>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</si>
  <si>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</si>
  <si>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</si>
  <si>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</si>
  <si>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</si>
  <si>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</si>
  <si>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</si>
  <si>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</si>
  <si>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</si>
  <si>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</si>
  <si>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</si>
  <si>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</si>
  <si>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</si>
  <si>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</si>
  <si>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</si>
  <si>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</si>
  <si>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</si>
  <si>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</si>
  <si>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</si>
  <si>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</si>
  <si>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</si>
  <si>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</si>
  <si>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</si>
  <si>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</si>
  <si>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</si>
  <si>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</si>
  <si>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</si>
  <si>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</si>
  <si>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</si>
  <si>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</si>
  <si>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</si>
  <si>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</si>
  <si>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</si>
  <si>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</si>
  <si>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</si>
  <si>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</si>
  <si>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</si>
  <si>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</si>
  <si>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</si>
  <si>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</si>
  <si>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</si>
  <si>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</si>
  <si>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</si>
  <si>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</si>
  <si>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</si>
  <si>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</si>
  <si>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</si>
  <si>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</si>
  <si>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</si>
  <si>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</si>
  <si>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</si>
  <si>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</si>
  <si>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</si>
  <si>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</si>
  <si>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</si>
  <si>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</si>
  <si>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</si>
  <si>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</si>
  <si>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</si>
  <si>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</si>
  <si>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</si>
  <si>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</si>
  <si>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</si>
  <si>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</si>
  <si>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</si>
  <si>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</si>
  <si>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</si>
  <si>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</si>
  <si>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</si>
  <si>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</si>
  <si>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</si>
  <si>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</si>
  <si>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</si>
  <si>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</si>
  <si>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</si>
  <si>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</si>
  <si>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</si>
  <si>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</si>
  <si>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</si>
  <si>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</si>
  <si>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</si>
  <si>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</si>
  <si>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</si>
  <si>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</si>
  <si>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</si>
  <si>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</si>
  <si>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</si>
  <si>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</si>
  <si>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</si>
  <si>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</si>
  <si>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</si>
  <si>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</si>
  <si>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</si>
  <si>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</si>
  <si>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</si>
  <si>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</si>
  <si>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</si>
  <si>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</si>
  <si>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</si>
  <si>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</si>
  <si>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</si>
  <si>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</si>
  <si>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</si>
  <si>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</si>
  <si>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</si>
  <si>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</si>
  <si>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</si>
  <si>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</si>
  <si>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</si>
  <si>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</si>
  <si>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</si>
  <si>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</si>
  <si>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</si>
  <si>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</si>
  <si>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</si>
  <si>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</si>
  <si>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</si>
  <si>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</si>
  <si>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</si>
  <si>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</si>
  <si>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</si>
  <si>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</si>
  <si>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</si>
  <si>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</si>
  <si>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</si>
  <si>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</si>
  <si>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</si>
  <si>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</si>
  <si>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</si>
  <si>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</si>
  <si>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</si>
  <si>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</si>
  <si>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</si>
  <si>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</si>
  <si>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</si>
  <si>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</si>
  <si>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</si>
  <si>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</si>
  <si>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</si>
  <si>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</si>
  <si>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</si>
  <si>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</si>
  <si>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</si>
  <si>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</si>
  <si>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</si>
  <si>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</si>
  <si>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</si>
  <si>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</si>
  <si>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</si>
  <si>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</si>
  <si>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</si>
  <si>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</si>
  <si>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</si>
  <si>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</si>
  <si>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</si>
  <si>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</si>
  <si>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</si>
  <si>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</si>
  <si>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</si>
  <si>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</si>
  <si>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</si>
  <si>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</si>
  <si>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</si>
  <si>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</si>
  <si>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</si>
  <si>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</si>
  <si>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</si>
  <si>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</si>
  <si>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</si>
  <si>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</si>
  <si>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</si>
  <si>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</si>
  <si>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</si>
  <si>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</si>
  <si>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</si>
  <si>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</si>
  <si>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</si>
  <si>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</si>
  <si>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</si>
  <si>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</si>
  <si>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</si>
  <si>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</si>
  <si>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</si>
  <si>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</si>
  <si>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</si>
  <si>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</si>
  <si>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</si>
  <si>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</si>
  <si>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</si>
  <si>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</si>
  <si>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</si>
  <si>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</si>
  <si>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</si>
  <si>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</si>
  <si>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</si>
  <si>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</si>
  <si>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</si>
  <si>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</si>
  <si>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</si>
  <si>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</si>
  <si>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</si>
  <si>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</si>
  <si>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</si>
  <si>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</si>
  <si>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</si>
  <si>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</si>
  <si>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</si>
  <si>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</si>
  <si>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</si>
  <si>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</si>
  <si>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</si>
  <si>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</si>
  <si>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</si>
  <si>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</si>
  <si>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</si>
  <si>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</si>
  <si>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</si>
  <si>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</si>
  <si>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</si>
  <si>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</si>
  <si>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</si>
  <si>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</si>
  <si>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</si>
  <si>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</si>
  <si>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</si>
  <si>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</si>
  <si>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</si>
  <si>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</si>
  <si>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</si>
  <si>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</si>
  <si>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</si>
  <si>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</si>
  <si>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</si>
  <si>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</si>
  <si>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</si>
  <si>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</si>
  <si>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</si>
  <si>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</si>
  <si>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</si>
  <si>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</si>
  <si>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</si>
  <si>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</si>
  <si>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</si>
  <si>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</si>
  <si>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</si>
  <si>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</si>
  <si>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</si>
  <si>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</si>
  <si>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</si>
  <si>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</si>
  <si>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</si>
  <si>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</si>
  <si>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</si>
  <si>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</si>
  <si>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</si>
  <si>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</si>
  <si>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</si>
  <si>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</si>
  <si>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</si>
  <si>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</si>
  <si>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</si>
  <si>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</si>
  <si>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</si>
  <si>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</si>
  <si>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</si>
  <si>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</si>
  <si>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</si>
  <si>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</si>
  <si>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</si>
  <si>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</si>
  <si>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</si>
  <si>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</si>
  <si>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</si>
  <si>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</si>
  <si>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</si>
  <si>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</si>
  <si>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</si>
  <si>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</si>
  <si>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</si>
  <si>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</si>
  <si>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</si>
  <si>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</si>
  <si>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</si>
  <si>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</si>
  <si>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</si>
  <si>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</si>
  <si>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</si>
  <si>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</si>
  <si>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</si>
  <si>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</si>
  <si>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</si>
  <si>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</si>
  <si>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</si>
  <si>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</si>
  <si>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</si>
  <si>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</si>
  <si>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</si>
  <si>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</si>
  <si>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</si>
  <si>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</si>
  <si>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</si>
  <si>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</si>
  <si>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</si>
  <si>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</si>
  <si>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</si>
  <si>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</si>
  <si>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</si>
  <si>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</si>
  <si>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</si>
  <si>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</si>
  <si>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</si>
  <si>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</si>
  <si>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</si>
  <si>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</si>
  <si>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</si>
  <si>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</si>
  <si>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</si>
  <si>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</si>
  <si>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</si>
  <si>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</si>
  <si>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</si>
  <si>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</si>
  <si>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</si>
  <si>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</si>
  <si>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</si>
  <si>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</si>
  <si>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</si>
  <si>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</si>
  <si>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</si>
  <si>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</si>
  <si>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</si>
  <si>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</si>
  <si>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</si>
  <si>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</si>
  <si>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</si>
  <si>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</si>
  <si>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</si>
  <si>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</si>
  <si>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</si>
  <si>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</si>
  <si>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</si>
  <si>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</si>
  <si>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</si>
  <si>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</si>
  <si>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</si>
  <si>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</si>
  <si>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</si>
  <si>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</si>
  <si>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</si>
  <si>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</si>
  <si>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</si>
  <si>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</si>
  <si>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</si>
  <si>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</si>
  <si>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</si>
  <si>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</si>
  <si>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</si>
  <si>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</si>
  <si>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</si>
  <si>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</si>
  <si>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</si>
  <si>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</si>
  <si>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</si>
  <si>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</si>
  <si>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</si>
  <si>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</si>
  <si>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</si>
  <si>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</si>
  <si>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</si>
  <si>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</si>
  <si>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</si>
  <si>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</si>
  <si>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</si>
  <si>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</si>
  <si>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</si>
  <si>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</si>
  <si>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</si>
  <si>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</si>
  <si>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</si>
  <si>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</si>
  <si>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</si>
  <si>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</si>
  <si>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</si>
  <si>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</si>
  <si>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</si>
  <si>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</si>
  <si>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</si>
  <si>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</si>
  <si>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</si>
  <si>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</si>
  <si>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</si>
  <si>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</si>
  <si>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</si>
  <si>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</si>
  <si>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</si>
  <si>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</si>
  <si>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</si>
  <si>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</si>
  <si>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</si>
  <si>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</si>
  <si>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</si>
  <si>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</si>
  <si>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</si>
  <si>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</si>
  <si>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OSS - PROVISIONING DESAIN</t>
  </si>
  <si>
    <t>PRE_PI</t>
  </si>
  <si>
    <t>Provisioning Designed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</si>
  <si>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</si>
  <si>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</si>
  <si>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</si>
  <si>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</si>
  <si>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</si>
  <si>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</si>
  <si>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</si>
  <si>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</si>
  <si>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</si>
  <si>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</si>
  <si>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</si>
  <si>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</si>
  <si>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</si>
  <si>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</si>
  <si>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</si>
  <si>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</si>
  <si>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</si>
  <si>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</si>
  <si>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</si>
  <si>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</si>
  <si>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</si>
  <si>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</si>
  <si>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</si>
  <si>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</si>
  <si>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</si>
  <si>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</si>
  <si>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</si>
  <si>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</si>
  <si>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</si>
  <si>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</si>
  <si>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</si>
  <si>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</si>
  <si>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</si>
  <si>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</si>
  <si>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</si>
  <si>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</si>
  <si>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</si>
  <si>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</si>
  <si>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</si>
  <si>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</si>
  <si>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</si>
  <si>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</si>
  <si>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</si>
  <si>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</si>
  <si>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</si>
  <si>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</si>
  <si>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</si>
  <si>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</si>
  <si>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</si>
  <si>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</si>
  <si>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</si>
  <si>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</si>
  <si>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</si>
  <si>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</si>
  <si>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</si>
  <si>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</si>
  <si>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</si>
  <si>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</si>
  <si>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</si>
  <si>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</si>
  <si>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</si>
  <si>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</si>
  <si>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</si>
  <si>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</si>
  <si>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</si>
  <si>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</si>
  <si>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</si>
  <si>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</si>
  <si>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</si>
  <si>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</si>
  <si>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</si>
  <si>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</si>
  <si>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</si>
  <si>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</si>
  <si>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</si>
  <si>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</si>
  <si>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</si>
  <si>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</si>
  <si>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</si>
  <si>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</si>
  <si>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</si>
  <si>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</si>
  <si>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</si>
  <si>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</si>
  <si>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</si>
  <si>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</si>
  <si>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</si>
  <si>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</si>
  <si>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OSS - PROVISIONING START</t>
  </si>
  <si>
    <t>CIKAMPEK HOMESTAY</t>
  </si>
  <si>
    <t>ODP-KLJ-FCB/55 FCB/D04/55.01</t>
  </si>
  <si>
    <t>WO063325698</t>
  </si>
  <si>
    <t>|MN02703|MYIA-067583984006/POI/Metta Widyati/081219650323/megristya@givmail.com</t>
  </si>
  <si>
    <t>Provisioning Start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</si>
  <si>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</si>
  <si>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</si>
  <si>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</si>
  <si>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</si>
  <si>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</si>
  <si>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</si>
  <si>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</si>
  <si>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</si>
  <si>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</si>
  <si>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</si>
  <si>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</si>
  <si>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</si>
  <si>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</si>
  <si>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</si>
  <si>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</si>
  <si>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</si>
  <si>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</si>
  <si>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</si>
  <si>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</si>
  <si>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</si>
  <si>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</si>
  <si>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</si>
  <si>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</si>
  <si>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</si>
  <si>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</si>
  <si>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</si>
  <si>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</si>
  <si>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</si>
  <si>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</si>
  <si>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</si>
  <si>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</si>
  <si>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</si>
  <si>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</si>
  <si>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</si>
  <si>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</si>
  <si>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</si>
  <si>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</si>
  <si>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</si>
  <si>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</si>
  <si>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</si>
  <si>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</si>
  <si>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</si>
  <si>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</si>
  <si>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</si>
  <si>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</si>
  <si>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</si>
  <si>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</si>
  <si>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</si>
  <si>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</si>
  <si>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</si>
  <si>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Ready to Submit (JOB SYSTEM)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</si>
  <si>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</si>
  <si>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</si>
  <si>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</si>
  <si>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</si>
  <si>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</si>
  <si>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 xml:space="preserve">PT. BATHARA SEJAHTERA ABADI </t>
  </si>
  <si>
    <t>OTB-MYR-472</t>
  </si>
  <si>
    <t>AMRBS;404543;WAHYU NUR A'DILLA HAQI; PT. BATHARA SEJAHTERA ABADI  ;indibiz 1:1 2P inet pots 100mbps;0877-7717-6997</t>
  </si>
  <si>
    <t>UNCONTACTED : Telepon Tidak Diangkat - RNA Ika Paramitha M 40921089|MYDITA</t>
  </si>
  <si>
    <t>THE MERAPI PARK</t>
  </si>
  <si>
    <t>ODP-PKM-VAG/166</t>
  </si>
  <si>
    <t>AMRBS/405613/FARISTA APRILLIA/R3/YOGYAKARTA/PSB HSI BISNIS 1S 50 MBPS PROMO HUT TELKOM 1:1/GIADI/085877156237/giyadieka@gmail.com</t>
  </si>
  <si>
    <t>UNCONTACTED : Mail Box - Memo RIRIN RISNAWATI 40931149|MYDITA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</si>
  <si>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</si>
  <si>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</si>
  <si>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</si>
  <si>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</si>
  <si>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</si>
  <si>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UNCONTACTED : Telepon Tidak Diangkat - RNA Ilham Budhi Prasetya 40000802|MYDITA</t>
  </si>
  <si>
    <t>UNCONTACTED : Mail Box - Memo Siti QoriAh 40971401|MYDITA</t>
  </si>
  <si>
    <t>UNCONTACTED : Mail Box - Memo Benita Lailani 40951377|MYDITA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</si>
  <si>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</si>
  <si>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</si>
  <si>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</si>
  <si>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</si>
  <si>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FOLLOW UP : Follow Up SOPHAN SOPYAN 40900827|MYDITA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</si>
  <si>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</si>
  <si>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</si>
  <si>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</si>
  <si>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</si>
  <si>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</si>
  <si>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</si>
  <si>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</si>
  <si>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</si>
  <si>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</si>
  <si>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</si>
  <si>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</si>
  <si>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</si>
  <si>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</si>
  <si>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</si>
  <si>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</si>
  <si>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</si>
  <si>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</si>
  <si>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</si>
  <si>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</si>
  <si>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</si>
  <si>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</si>
  <si>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</si>
  <si>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</si>
  <si>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</si>
  <si>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</si>
  <si>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</si>
  <si>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</si>
  <si>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</si>
  <si>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</si>
  <si>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</si>
  <si>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</si>
  <si>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</si>
  <si>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</si>
  <si>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</si>
  <si>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</si>
  <si>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</si>
  <si>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</si>
  <si>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</si>
  <si>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</si>
  <si>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</si>
  <si>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</si>
  <si>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</si>
  <si>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</si>
  <si>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</si>
  <si>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</si>
  <si>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</si>
  <si>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</si>
  <si>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</si>
  <si>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</si>
  <si>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</si>
  <si>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</si>
  <si>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</si>
  <si>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</si>
  <si>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</si>
  <si>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</si>
  <si>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</si>
  <si>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</si>
  <si>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</si>
  <si>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</si>
  <si>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</si>
  <si>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</si>
  <si>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</si>
  <si>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</si>
  <si>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</si>
  <si>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</si>
  <si>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</si>
  <si>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</si>
  <si>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</si>
  <si>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</si>
  <si>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</si>
  <si>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</si>
  <si>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</si>
  <si>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ODP-PBG-FG/097 FG/D01/097.01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</si>
  <si>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</si>
  <si>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</si>
  <si>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</si>
  <si>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</si>
  <si>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</si>
  <si>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</si>
  <si>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</si>
  <si>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</si>
  <si>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</si>
  <si>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</si>
  <si>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</si>
  <si>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</si>
  <si>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</si>
  <si>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</si>
  <si>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</si>
  <si>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</si>
  <si>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</si>
  <si>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</si>
  <si>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</si>
  <si>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</si>
  <si>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</si>
  <si>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</si>
  <si>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</si>
  <si>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</si>
  <si>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</si>
  <si>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</si>
  <si>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</si>
  <si>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</si>
  <si>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</si>
  <si>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</si>
  <si>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</si>
  <si>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</si>
  <si>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</si>
  <si>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</si>
  <si>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</si>
  <si>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</si>
  <si>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</si>
  <si>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</si>
  <si>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</si>
  <si>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</si>
  <si>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</si>
  <si>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</si>
  <si>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ODP-KRY-FT/029 FT/D04/029.01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</si>
  <si>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</si>
  <si>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</si>
  <si>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</si>
  <si>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</si>
  <si>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</si>
  <si>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</si>
  <si>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</si>
  <si>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</si>
  <si>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</si>
  <si>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</si>
  <si>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</si>
  <si>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</si>
  <si>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</si>
  <si>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</si>
  <si>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</si>
  <si>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ODP-TPO-FHA/75 FHA/D04/75.01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</si>
  <si>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</si>
  <si>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</si>
  <si>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</si>
  <si>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</si>
  <si>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</si>
  <si>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</si>
  <si>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</si>
  <si>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</si>
  <si>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</si>
  <si>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</si>
  <si>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</si>
  <si>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</si>
  <si>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</si>
  <si>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</si>
  <si>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</si>
  <si>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</si>
  <si>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</si>
  <si>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</si>
  <si>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</si>
  <si>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</si>
  <si>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</si>
  <si>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</si>
  <si>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</si>
  <si>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</si>
  <si>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</si>
  <si>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</si>
  <si>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</si>
  <si>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</si>
  <si>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</si>
  <si>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</si>
  <si>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</si>
  <si>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</si>
  <si>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</si>
  <si>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</si>
  <si>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</si>
  <si>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</si>
  <si>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</si>
  <si>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</si>
  <si>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</si>
  <si>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</si>
  <si>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</si>
  <si>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</si>
  <si>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</si>
  <si>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</si>
  <si>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</si>
  <si>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</si>
  <si>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</si>
  <si>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</si>
  <si>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</si>
  <si>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</si>
  <si>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</si>
  <si>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</si>
  <si>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</si>
  <si>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</si>
  <si>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</si>
  <si>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</si>
  <si>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</si>
  <si>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</si>
  <si>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</si>
  <si>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</si>
  <si>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</si>
  <si>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</si>
  <si>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</si>
  <si>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</si>
  <si>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</si>
  <si>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</si>
  <si>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</si>
  <si>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</si>
  <si>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</si>
  <si>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</si>
  <si>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</si>
  <si>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</si>
  <si>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</si>
  <si>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</si>
  <si>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</si>
  <si>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</si>
  <si>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</si>
  <si>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</si>
  <si>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</si>
  <si>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</si>
  <si>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</si>
  <si>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</si>
  <si>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</si>
  <si>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</si>
  <si>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</si>
  <si>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</si>
  <si>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</si>
  <si>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</si>
  <si>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</si>
  <si>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ODP-KGD-FAP/121 FAP/D06/121.01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</si>
  <si>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</si>
  <si>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</si>
  <si>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</si>
  <si>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</si>
  <si>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</si>
  <si>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</si>
  <si>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</si>
  <si>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</si>
  <si>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</si>
  <si>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</si>
  <si>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</si>
  <si>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</si>
  <si>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</si>
  <si>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</si>
  <si>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</si>
  <si>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</si>
  <si>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ODP-MTY-FAM/019 FAM/D03/019.01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</si>
  <si>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</si>
  <si>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</si>
  <si>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</si>
  <si>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</si>
  <si>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</si>
  <si>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</si>
  <si>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</si>
  <si>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</si>
  <si>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</si>
  <si>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</si>
  <si>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</si>
  <si>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</si>
  <si>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</si>
  <si>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</si>
  <si>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</si>
  <si>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</si>
  <si>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</si>
  <si>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</si>
  <si>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</si>
  <si>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</si>
  <si>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</si>
  <si>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</si>
  <si>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</si>
  <si>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</si>
  <si>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</si>
  <si>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</si>
  <si>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</si>
  <si>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</si>
  <si>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</si>
  <si>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</si>
  <si>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</si>
  <si>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</si>
  <si>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</si>
  <si>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</si>
  <si>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</si>
  <si>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</si>
  <si>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</si>
  <si>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</si>
  <si>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</si>
  <si>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</si>
  <si>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</si>
  <si>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</si>
  <si>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</si>
  <si>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</si>
  <si>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</si>
  <si>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</si>
  <si>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</si>
  <si>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</si>
  <si>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</si>
  <si>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</si>
  <si>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</si>
  <si>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</si>
  <si>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</si>
  <si>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</si>
  <si>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</si>
  <si>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</si>
  <si>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</si>
  <si>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</si>
  <si>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</si>
  <si>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</si>
  <si>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</si>
  <si>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</si>
  <si>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</si>
  <si>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</si>
  <si>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</si>
  <si>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</si>
  <si>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</si>
  <si>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</si>
  <si>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</si>
  <si>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</si>
  <si>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</si>
  <si>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</si>
  <si>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ODP-TPO-FDF/07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</si>
  <si>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</si>
  <si>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</si>
  <si>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</si>
  <si>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</si>
  <si>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ODP-WOS-FAF/065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</si>
  <si>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</si>
  <si>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</si>
  <si>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</si>
  <si>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</si>
  <si>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</si>
  <si>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</si>
  <si>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</si>
  <si>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</si>
  <si>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</si>
  <si>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</si>
  <si>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</si>
  <si>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</si>
  <si>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</si>
  <si>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</si>
  <si>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</si>
  <si>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</si>
  <si>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</si>
  <si>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</si>
  <si>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</si>
  <si>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</si>
  <si>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</si>
  <si>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</si>
  <si>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</si>
  <si>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</si>
  <si>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</si>
  <si>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</si>
  <si>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</si>
  <si>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</si>
  <si>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</si>
  <si>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</si>
  <si>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</si>
  <si>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</si>
  <si>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</si>
  <si>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</si>
  <si>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</si>
  <si>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</si>
  <si>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</si>
  <si>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</si>
  <si>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</si>
  <si>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</si>
  <si>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</si>
  <si>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</si>
  <si>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</si>
  <si>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</si>
  <si>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</si>
  <si>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</si>
  <si>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</si>
  <si>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</si>
  <si>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</si>
  <si>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</si>
  <si>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</si>
  <si>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</si>
  <si>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</si>
  <si>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</si>
  <si>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</si>
  <si>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</si>
  <si>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</si>
  <si>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</si>
  <si>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</si>
  <si>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</si>
  <si>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</si>
  <si>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</si>
  <si>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</si>
  <si>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</si>
  <si>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</si>
  <si>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</si>
  <si>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</si>
  <si>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</si>
  <si>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</si>
  <si>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</si>
  <si>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</si>
  <si>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</si>
  <si>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</si>
  <si>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</si>
  <si>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</si>
  <si>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</si>
  <si>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QC MIA - INVALID QUALITY CONTROL MIA - Foto Dokumen Usaha Tidak Valid - Silahkan upload dokumen atas nama badan usaha yang me</t>
  </si>
  <si>
    <t>CV. KONTRAKTOR</t>
  </si>
  <si>
    <t>QC MIA - INVALID QUALITY CONTROL MIA - Foto Dokumen Usaha Tidak Valid - Mohon upload dokumen atas nama CVnya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</si>
  <si>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</si>
  <si>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</si>
  <si>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</si>
  <si>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</si>
  <si>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QC MIA - INVALID QUALITY CONTROL MIA - Foto Dokumen Usaha Tidak Valid - Silakan upload dok usaha/fisik NPWP an.PIC/usahanya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</si>
  <si>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</si>
  <si>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</si>
  <si>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</si>
  <si>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QC MIA - INVALID QUALITY CONTROL MIA - Tidak Mengunggah Foto Lokasi Instalasi Tampak Depan Menyeluruh - Upload foto tampak de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</si>
  <si>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</si>
  <si>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</si>
  <si>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</si>
  <si>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</si>
  <si>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</si>
  <si>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</si>
  <si>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</si>
  <si>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</si>
  <si>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</si>
  <si>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</si>
  <si>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</si>
  <si>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</si>
  <si>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</si>
  <si>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</si>
  <si>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</si>
  <si>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</si>
  <si>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</si>
  <si>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</si>
  <si>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</si>
  <si>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</si>
  <si>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</si>
  <si>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</si>
  <si>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</si>
  <si>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</si>
  <si>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</si>
  <si>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</si>
  <si>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</si>
  <si>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</si>
  <si>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</si>
  <si>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</si>
  <si>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</si>
  <si>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</si>
  <si>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</si>
  <si>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</si>
  <si>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</si>
  <si>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</si>
  <si>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</si>
  <si>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</si>
  <si>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</si>
  <si>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</si>
  <si>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</si>
  <si>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</si>
  <si>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</si>
  <si>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</si>
  <si>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</si>
  <si>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</si>
  <si>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</si>
  <si>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</si>
  <si>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</si>
  <si>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</si>
  <si>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</si>
  <si>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</si>
  <si>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</si>
  <si>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</si>
  <si>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</si>
  <si>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</si>
  <si>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</si>
  <si>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</si>
  <si>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</si>
  <si>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</si>
  <si>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</si>
  <si>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</si>
  <si>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</si>
  <si>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</si>
  <si>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</si>
  <si>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</si>
  <si>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</si>
  <si>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</si>
  <si>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</si>
  <si>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</si>
  <si>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</si>
  <si>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</si>
  <si>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</si>
  <si>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</si>
  <si>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</si>
  <si>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</si>
  <si>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</si>
  <si>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</si>
  <si>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</si>
  <si>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</si>
  <si>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</si>
  <si>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</si>
  <si>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</si>
  <si>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</si>
  <si>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</si>
  <si>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</si>
  <si>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</si>
  <si>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</si>
  <si>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</si>
  <si>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</si>
  <si>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</si>
  <si>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</si>
  <si>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</si>
  <si>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</si>
  <si>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</si>
  <si>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</si>
  <si>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</si>
  <si>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</si>
  <si>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</si>
  <si>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</si>
  <si>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</si>
  <si>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</si>
  <si>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</si>
  <si>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</si>
  <si>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</si>
  <si>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</si>
  <si>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</si>
  <si>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</si>
  <si>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</si>
  <si>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</si>
  <si>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</si>
  <si>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</si>
  <si>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</si>
  <si>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</si>
  <si>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</si>
  <si>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</si>
  <si>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</si>
  <si>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</si>
  <si>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</si>
  <si>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</si>
  <si>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</si>
  <si>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</si>
  <si>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</si>
  <si>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</si>
  <si>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</si>
  <si>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</si>
  <si>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</si>
  <si>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</si>
  <si>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</si>
  <si>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</si>
  <si>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</si>
  <si>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</si>
  <si>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</si>
  <si>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</si>
  <si>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</si>
  <si>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</si>
  <si>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</si>
  <si>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</si>
  <si>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</si>
  <si>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</si>
  <si>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</si>
  <si>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</si>
  <si>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</si>
  <si>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</si>
  <si>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</si>
  <si>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</si>
  <si>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</si>
  <si>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</si>
  <si>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</si>
  <si>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</si>
  <si>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</si>
  <si>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</si>
  <si>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</si>
  <si>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</si>
  <si>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</si>
  <si>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</si>
  <si>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</si>
  <si>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</si>
  <si>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</si>
  <si>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</si>
  <si>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</si>
  <si>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</si>
  <si>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</si>
  <si>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</si>
  <si>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</si>
  <si>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</si>
  <si>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</si>
  <si>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</si>
  <si>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</si>
  <si>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</si>
  <si>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</si>
  <si>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</si>
  <si>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</si>
  <si>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</si>
  <si>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</si>
  <si>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</si>
  <si>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</si>
  <si>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</si>
  <si>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</si>
  <si>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</si>
  <si>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</si>
  <si>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</si>
  <si>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</si>
  <si>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</si>
  <si>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</si>
  <si>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</si>
  <si>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</si>
  <si>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</si>
  <si>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</si>
  <si>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</si>
  <si>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</si>
  <si>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</si>
  <si>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</si>
  <si>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</si>
  <si>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</si>
  <si>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</si>
  <si>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</si>
  <si>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</si>
  <si>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</si>
  <si>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</si>
  <si>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</si>
  <si>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</si>
  <si>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</si>
  <si>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</si>
  <si>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</si>
  <si>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</si>
  <si>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</si>
  <si>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</si>
  <si>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</si>
  <si>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</si>
  <si>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</si>
  <si>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</si>
  <si>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</si>
  <si>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</si>
  <si>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</si>
  <si>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</si>
  <si>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</si>
  <si>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</si>
  <si>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</si>
  <si>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</si>
  <si>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</si>
  <si>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</si>
  <si>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</si>
  <si>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</si>
  <si>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</si>
  <si>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</si>
  <si>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</si>
  <si>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</si>
  <si>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</si>
  <si>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</si>
  <si>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</si>
  <si>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</si>
  <si>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</si>
  <si>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</si>
  <si>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</si>
  <si>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</si>
  <si>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</si>
  <si>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</si>
  <si>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</si>
  <si>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</si>
  <si>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</si>
  <si>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</si>
  <si>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</si>
  <si>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</si>
  <si>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</si>
  <si>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</si>
  <si>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</si>
  <si>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</si>
  <si>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</si>
  <si>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</si>
  <si>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</si>
  <si>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</si>
  <si>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</si>
  <si>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</si>
  <si>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</si>
  <si>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</si>
  <si>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</si>
  <si>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</si>
  <si>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</si>
  <si>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</si>
  <si>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</si>
  <si>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</si>
  <si>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</si>
  <si>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</si>
  <si>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</si>
  <si>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</si>
  <si>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</si>
  <si>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</si>
  <si>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</si>
  <si>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</si>
  <si>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</si>
  <si>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</si>
  <si>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</si>
  <si>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</si>
  <si>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</si>
  <si>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11 | TIBS - FULFILL BILLING FAIL</t>
  </si>
  <si>
    <t>Fulfill Billing Failed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</si>
  <si>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</si>
  <si>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</si>
  <si>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</si>
  <si>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</si>
  <si>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</si>
  <si>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</si>
  <si>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</si>
  <si>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</si>
  <si>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</si>
  <si>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</si>
  <si>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</si>
  <si>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</si>
  <si>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</si>
  <si>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</si>
  <si>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</si>
  <si>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</si>
  <si>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</si>
  <si>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</si>
  <si>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</si>
  <si>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</si>
  <si>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</si>
  <si>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</si>
  <si>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</si>
  <si>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</si>
  <si>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</si>
  <si>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</si>
  <si>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</si>
  <si>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</si>
  <si>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</si>
  <si>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</si>
  <si>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</si>
  <si>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</si>
  <si>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</si>
  <si>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</si>
  <si>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</si>
  <si>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</si>
  <si>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</si>
  <si>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</si>
  <si>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</si>
  <si>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</si>
  <si>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</si>
  <si>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</si>
  <si>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</si>
  <si>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</si>
  <si>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</si>
  <si>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</si>
  <si>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</si>
  <si>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</si>
  <si>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</si>
  <si>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</si>
  <si>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</si>
  <si>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</si>
  <si>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</si>
  <si>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</si>
  <si>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</si>
  <si>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</si>
  <si>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</si>
  <si>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</si>
  <si>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</si>
  <si>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</si>
  <si>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</si>
  <si>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</si>
  <si>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</si>
  <si>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</si>
  <si>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</si>
  <si>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</si>
  <si>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</si>
  <si>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</si>
  <si>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</si>
  <si>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</si>
  <si>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</si>
  <si>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</si>
  <si>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</si>
  <si>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</si>
  <si>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</si>
  <si>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</si>
  <si>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</si>
  <si>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</si>
  <si>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</si>
  <si>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</si>
  <si>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</si>
  <si>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</si>
  <si>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</si>
  <si>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</si>
  <si>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</si>
  <si>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</si>
  <si>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</si>
  <si>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</si>
  <si>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</si>
  <si>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</si>
  <si>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</si>
  <si>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</si>
  <si>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</si>
  <si>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</si>
  <si>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</si>
  <si>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</si>
  <si>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</si>
  <si>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</si>
  <si>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</si>
  <si>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</si>
  <si>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Provisioning Failed|WFM|INF009228410|PP_-7.359884999999999,109.90301500000001_pelanggan minta pemasangan hari Sabtu karna sed</t>
  </si>
  <si>
    <t>Provisioning Failed|WFM|INF009230720|PP_-7.0303963,110.5017016_PP_04 SEPTEMBER REMANJA HARI JUMAT VIA WA_Miftachul choir/0823</t>
  </si>
  <si>
    <t>Provisioning Failed|WFM|INF009226251|PP_-8.5033383,115.1851917_Besok</t>
  </si>
  <si>
    <t>Provisioning Failed|WFM|INF009230359|TOJ_-8.1394275,112.203942_KENDALA : Jarak ke odp terdekat unspec (400m), alternative tdk</t>
  </si>
  <si>
    <t>Provisioning Failed|WFM|INF009232021|PP_-8.5572453,115.3383514_pelanggan tidak respon</t>
  </si>
  <si>
    <t>Last update proses : 04-09-2026 10:49:07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</si>
</sst>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3.125E-2</c:v>
                </c:pt>
                <c:pt idx="1">
                  <c:v>1.5384615384615385E-2</c:v>
                </c:pt>
                <c:pt idx="2">
                  <c:v>2.0833333333333332E-2</c:v>
                </c:pt>
                <c:pt idx="3">
                  <c:v>3.5294117647058823E-2</c:v>
                </c:pt>
                <c:pt idx="4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0.43333333333333335</c:v>
                </c:pt>
                <c:pt idx="1">
                  <c:v>0.5625</c:v>
                </c:pt>
                <c:pt idx="2">
                  <c:v>0.62790697674418605</c:v>
                </c:pt>
                <c:pt idx="3">
                  <c:v>0.42499999999999999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65</c:v>
                      </c:pt>
                      <c:pt idx="2">
                        <c:v>48</c:v>
                      </c:pt>
                      <c:pt idx="3">
                        <c:v>85</c:v>
                      </c:pt>
                      <c:pt idx="4">
                        <c:v>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</c:v>
                      </c:pt>
                      <c:pt idx="1">
                        <c:v>36</c:v>
                      </c:pt>
                      <c:pt idx="2">
                        <c:v>27</c:v>
                      </c:pt>
                      <c:pt idx="3">
                        <c:v>34</c:v>
                      </c:pt>
                      <c:pt idx="4">
                        <c:v>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0.68421052631578949</c:v>
                      </c:pt>
                      <c:pt idx="1">
                        <c:v>0.78260869565217395</c:v>
                      </c:pt>
                      <c:pt idx="2">
                        <c:v>0.93103448275862066</c:v>
                      </c:pt>
                      <c:pt idx="3">
                        <c:v>0.62962962962962965</c:v>
                      </c:pt>
                      <c:pt idx="4">
                        <c:v>0.8928571428571429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3.125E-2</c:v>
                </c:pt>
                <c:pt idx="1">
                  <c:v>1.5384615384615385E-2</c:v>
                </c:pt>
                <c:pt idx="2">
                  <c:v>2.0833333333333332E-2</c:v>
                </c:pt>
                <c:pt idx="3">
                  <c:v>3.5294117647058823E-2</c:v>
                </c:pt>
                <c:pt idx="4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0.68421052631578949</c:v>
                </c:pt>
                <c:pt idx="1">
                  <c:v>0.78260869565217395</c:v>
                </c:pt>
                <c:pt idx="2">
                  <c:v>0.93103448275862066</c:v>
                </c:pt>
                <c:pt idx="3">
                  <c:v>0.62962962962962965</c:v>
                </c:pt>
                <c:pt idx="4">
                  <c:v>0.8928571428571429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65</c:v>
                      </c:pt>
                      <c:pt idx="2">
                        <c:v>48</c:v>
                      </c:pt>
                      <c:pt idx="3">
                        <c:v>85</c:v>
                      </c:pt>
                      <c:pt idx="4">
                        <c:v>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</c:v>
                      </c:pt>
                      <c:pt idx="1">
                        <c:v>36</c:v>
                      </c:pt>
                      <c:pt idx="2">
                        <c:v>27</c:v>
                      </c:pt>
                      <c:pt idx="3">
                        <c:v>34</c:v>
                      </c:pt>
                      <c:pt idx="4">
                        <c:v>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0.43333333333333335</c:v>
                      </c:pt>
                      <c:pt idx="1">
                        <c:v>0.5625</c:v>
                      </c:pt>
                      <c:pt idx="2">
                        <c:v>0.62790697674418605</c:v>
                      </c:pt>
                      <c:pt idx="3">
                        <c:v>0.42499999999999999</c:v>
                      </c:pt>
                      <c:pt idx="4">
                        <c:v>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3.125E-2</c:v>
                </c:pt>
                <c:pt idx="1">
                  <c:v>1.5384615384615385E-2</c:v>
                </c:pt>
                <c:pt idx="2">
                  <c:v>2.0833333333333332E-2</c:v>
                </c:pt>
                <c:pt idx="3">
                  <c:v>3.5294117647058823E-2</c:v>
                </c:pt>
                <c:pt idx="4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65</c:v>
                      </c:pt>
                      <c:pt idx="2">
                        <c:v>48</c:v>
                      </c:pt>
                      <c:pt idx="3">
                        <c:v>85</c:v>
                      </c:pt>
                      <c:pt idx="4">
                        <c:v>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</c:v>
                      </c:pt>
                      <c:pt idx="1">
                        <c:v>36</c:v>
                      </c:pt>
                      <c:pt idx="2">
                        <c:v>27</c:v>
                      </c:pt>
                      <c:pt idx="3">
                        <c:v>34</c:v>
                      </c:pt>
                      <c:pt idx="4">
                        <c:v>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0.43333333333333335</c:v>
                      </c:pt>
                      <c:pt idx="1">
                        <c:v>0.5625</c:v>
                      </c:pt>
                      <c:pt idx="2">
                        <c:v>0.62790697674418605</c:v>
                      </c:pt>
                      <c:pt idx="3">
                        <c:v>0.42499999999999999</c:v>
                      </c:pt>
                      <c:pt idx="4">
                        <c:v>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0.68421052631578949</c:v>
                      </c:pt>
                      <c:pt idx="1">
                        <c:v>0.78260869565217395</c:v>
                      </c:pt>
                      <c:pt idx="2">
                        <c:v>0.93103448275862066</c:v>
                      </c:pt>
                      <c:pt idx="3">
                        <c:v>0.62962962962962965</c:v>
                      </c:pt>
                      <c:pt idx="4">
                        <c:v>0.8928571428571429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8.48139803241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63"/>
    </cacheField>
    <cacheField name="ORDER_ID" numFmtId="0">
      <sharedItems containsString="0" containsBlank="1" containsNumber="1" containsInteger="1" minValue="1002564024" maxValue="100256859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TIMUR"/>
        <s v="SOLO JATENG TIMUR"/>
        <s v="SEMARANG JATENG UTARA"/>
        <s v="NUSA TENGGARA"/>
        <s v="BALI"/>
        <s v="YOGYA JATENG SELATAN"/>
        <s v="SURAMADU"/>
        <s v="JATIM BARAT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2T19:50:56"/>
    </cacheField>
    <cacheField name="LAST_UPDATED_DATE" numFmtId="0">
      <sharedItems containsNonDate="0" containsDate="1" containsString="0" containsBlank="1" minDate="2026-09-01T09:02:01" maxDate="2026-09-03T09:37:08"/>
    </cacheField>
    <cacheField name="NCLI" numFmtId="0">
      <sharedItems containsString="0" containsBlank="1" containsNumber="1" containsInteger="1" minValue="18307703" maxValue="69382642"/>
    </cacheField>
    <cacheField name="POTS" numFmtId="0">
      <sharedItems containsString="0" containsBlank="1" containsNumber="1" containsInteger="1" minValue="2716008068" maxValue="3612108216"/>
    </cacheField>
    <cacheField name="SPEEDY" numFmtId="0">
      <sharedItems containsString="0" containsBlank="1" containsNumber="1" containsInteger="1" minValue="141114228278" maxValue="1726192034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2876" maxValue="124.48156237722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2-09T19:54:57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3"/>
    </cacheField>
    <cacheField name="PS 1" numFmtId="0">
      <sharedItems containsDate="1" containsBlank="1" containsMixedTypes="1" minDate="2026-09-01T00:00:00" maxDate="2026-09-04T00:00:00"/>
    </cacheField>
    <cacheField name="CEK" numFmtId="0">
      <sharedItems containsBlank="1" containsMixedTypes="1" containsNumber="1" minValue="-6.625" maxValue="0.7083333333357586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s v="PASURUAN"/>
        <e v="#N/A"/>
        <s v="SELONG"/>
        <s v="SANUR"/>
        <s v="TABANAN"/>
        <s v="KLUNGKUNG"/>
        <s v="SURABAYA UTARA"/>
        <s v="MADURA"/>
        <s v="SURABAYA SELATAN"/>
        <s v="MATARAM"/>
        <s v="MAUMERE"/>
        <s v="BOJONEGORO"/>
        <s v="PROBOLINGGO"/>
        <s v="MADIUN"/>
        <s v="GRESIK"/>
        <s v="MOJOKERTO"/>
        <s v="MALANG"/>
        <s v="SIDOARJO"/>
        <s v="BIMA"/>
        <s v="NGANJUK"/>
        <s v="SUMBAWA"/>
        <s v="BANYUWANGI"/>
        <s v="UBUNG"/>
        <s v="KEDIRI"/>
        <s v="BLITAR"/>
        <s v="JEMBER"/>
        <s v="GIANYAR"/>
        <s v="BATU"/>
        <s v="JIMBARAN"/>
        <s v="ATAMBUA"/>
        <s v="KUPANG"/>
        <s v="LABOAN BAJO"/>
        <m/>
        <s v="SINGARAJA" u="1"/>
        <s v="WAINGAPU" u="1"/>
        <s v="ENDE" u="1"/>
        <s v="PONOROGO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8.48139999999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63"/>
    </cacheField>
    <cacheField name="ORDER_ID" numFmtId="0">
      <sharedItems containsString="0" containsBlank="1" containsNumber="1" containsInteger="1" minValue="1002564024" maxValue="100256859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TIMUR"/>
        <s v="SOLO JATENG TIMUR"/>
        <s v="SEMARANG JATENG UTARA"/>
        <s v="NUSA TENGGARA"/>
        <s v="BALI"/>
        <s v="YOGYA JATENG SELATAN"/>
        <s v="SURAMADU"/>
        <s v="JATIM BARAT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2T19:50:56"/>
    </cacheField>
    <cacheField name="LAST_UPDATED_DATE" numFmtId="0">
      <sharedItems containsNonDate="0" containsDate="1" containsString="0" containsBlank="1" minDate="2026-09-01T09:02:01" maxDate="2026-09-03T09:37:08"/>
    </cacheField>
    <cacheField name="NCLI" numFmtId="0">
      <sharedItems containsString="0" containsBlank="1" containsNumber="1" containsInteger="1" minValue="18307703" maxValue="69382642"/>
    </cacheField>
    <cacheField name="POTS" numFmtId="0">
      <sharedItems containsString="0" containsBlank="1" containsNumber="1" containsInteger="1" minValue="2716008068" maxValue="3612108216"/>
    </cacheField>
    <cacheField name="SPEEDY" numFmtId="0">
      <sharedItems containsString="0" containsBlank="1" containsNumber="1" containsInteger="1" minValue="141114228278" maxValue="1726192034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2876" maxValue="124.48156237722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2-09T19:54:57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3"/>
    </cacheField>
    <cacheField name="PS 1" numFmtId="0">
      <sharedItems containsDate="1" containsBlank="1" containsMixedTypes="1" minDate="2026-09-01T00:00:00" maxDate="2026-09-04T00:00:00"/>
    </cacheField>
    <cacheField name="CEK" numFmtId="0">
      <sharedItems containsBlank="1" containsMixedTypes="1" containsNumber="1" minValue="-6.625" maxValue="0.7083333333357586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939"/>
    <n v="3"/>
    <x v="0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"/>
    <n v="1002566730"/>
    <n v="3"/>
    <x v="1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3"/>
    <n v="1002564244"/>
    <n v="3"/>
    <x v="2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1"/>
  </r>
  <r>
    <n v="4"/>
    <n v="1002564718"/>
    <n v="3"/>
    <x v="3"/>
    <n v="5"/>
    <s v="MATARAM"/>
    <s v="LOMBOK TIMUR UTARA"/>
    <s v="SGG"/>
    <s v="REG"/>
    <s v="AO"/>
    <s v="NEW SALES"/>
    <m/>
    <s v="FCC - HD1A - PROGRESS"/>
    <s v="RBS-Regional 3"/>
    <d v="2026-09-01T10:27:24"/>
    <d v="2026-09-03T09:20:03"/>
    <n v="69381301"/>
    <m/>
    <n v="172604214258"/>
    <s v="SPPG JENGGALA 2"/>
    <s v="ODP-SGG-FAZ/21"/>
    <m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FCC"/>
    <s v="LOMBOK UTARA"/>
    <s v="NETMONK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5"/>
    <n v="1002568091"/>
    <n v="3"/>
    <x v="4"/>
    <n v="5"/>
    <s v="DENPASAR"/>
    <s v="SANUR"/>
    <s v="TOP"/>
    <s v="REG"/>
    <s v="AO"/>
    <s v="NEW SALES"/>
    <m/>
    <s v="MYCX - SEND OPEN PAPERLESS"/>
    <s v="RBS-Regional 2"/>
    <d v="2026-09-02T15:30:15"/>
    <d v="2026-09-02T15:32:05"/>
    <n v="69382438"/>
    <m/>
    <n v="172422212787"/>
    <s v="PT Putra Chandra Sentosa "/>
    <s v="ODP-TOP-FE/64"/>
    <m/>
    <m/>
    <m/>
    <m/>
    <n v="115.24644718691501"/>
    <n v="-8.6353376878044603"/>
    <s v="|MN00483|/0877 8730 3650/arsanibulet16@gmail.com"/>
    <s v="Sales Profesional"/>
    <m/>
    <m/>
    <m/>
    <m/>
    <m/>
    <m/>
    <m/>
    <m/>
    <m/>
    <m/>
    <m/>
    <d v="2026-02-09T15:39:57"/>
    <m/>
    <m/>
    <s v="INPROGRESS_SC"/>
    <s v="TOHPATI SUKAWATI"/>
    <s v="NETMONK"/>
    <m/>
    <s v="SEND PAPERLESS OPE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"/>
  </r>
  <r>
    <n v="6"/>
    <n v="1002566613"/>
    <n v="3"/>
    <x v="4"/>
    <n v="5"/>
    <s v="SINGARJA"/>
    <s v="TABANAN"/>
    <s v="TBN"/>
    <s v="REG"/>
    <s v="AO"/>
    <s v="NEW SALES"/>
    <m/>
    <s v="MYCX - SEND OPEN PAPERLESS"/>
    <s v="RBS-Regional 3"/>
    <d v="2026-09-02T08:18:13"/>
    <d v="2026-09-02T08:20:05"/>
    <n v="69381917"/>
    <m/>
    <n v="172413244690"/>
    <s v="WR 24 Jaam"/>
    <s v="ODP-TBN-FSA/07"/>
    <m/>
    <m/>
    <m/>
    <m/>
    <n v="114.93094189999999"/>
    <n v="-8.4741797000000005"/>
    <s v="|MN02844|/PIC MAS SUWITO/081337203373/suwito08081973@gmail.com"/>
    <s v="Sales Force DBS"/>
    <m/>
    <m/>
    <m/>
    <m/>
    <m/>
    <m/>
    <m/>
    <m/>
    <m/>
    <m/>
    <m/>
    <d v="2026-02-09T08:25:06"/>
    <m/>
    <m/>
    <s v="INPROGRESS_SC"/>
    <s v="TABAN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7"/>
    <n v="1002566538"/>
    <n v="3"/>
    <x v="5"/>
    <n v="4"/>
    <s v="YOGYAKARTA"/>
    <s v="INNER - YOGYA JATENG SELATAN"/>
    <s v="KEN"/>
    <s v="REG"/>
    <s v="AO"/>
    <s v="NEW SALES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8"/>
    <n v="1002566671"/>
    <n v="3"/>
    <x v="4"/>
    <n v="5"/>
    <s v="SINGARJA"/>
    <s v="TABANAN"/>
    <s v="TBN"/>
    <s v="REG"/>
    <s v="AO"/>
    <s v="NEW SALES"/>
    <m/>
    <s v="CC - HD1A - INPROGRESS UNCONTACTED"/>
    <s v="RBS-Regional 3"/>
    <d v="2026-09-02T08:33:23"/>
    <d v="2026-09-03T08:58:14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9"/>
    <n v="1002568161"/>
    <n v="3"/>
    <x v="0"/>
    <n v="5"/>
    <s v="SIDOARJO"/>
    <s v="PASURUAN"/>
    <s v="PGE"/>
    <s v="REG"/>
    <s v="AO"/>
    <s v="NEW SALES"/>
    <m/>
    <s v="CC - HD1A - INPROGRESS UNCONTACTED"/>
    <s v="RBS-Regional 3"/>
    <d v="2026-09-02T15:41:38"/>
    <d v="2026-09-02T19:54:09"/>
    <n v="69382472"/>
    <m/>
    <n v="152746208711"/>
    <s v="PT. ADITALENTA HANDALNIAGA DELAPAN"/>
    <s v="ODP-PGE-FL/10"/>
    <m/>
    <m/>
    <m/>
    <m/>
    <n v="112.59153379999999"/>
    <n v="-7.6649966999999997"/>
    <s v="|MC30223|/ANDIK SULAIMAN /81235284788/saa.itnetwork@gmail.com"/>
    <s v="Sales Force DBS"/>
    <m/>
    <m/>
    <m/>
    <m/>
    <m/>
    <m/>
    <m/>
    <m/>
    <m/>
    <m/>
    <m/>
    <d v="2026-02-09T15:54:57"/>
    <m/>
    <m/>
    <s v="FCC"/>
    <s v="PANDAAN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"/>
    <n v="1002567556"/>
    <n v="3"/>
    <x v="5"/>
    <n v="4"/>
    <s v="YOGYAKARTA"/>
    <s v="INNER - YOGYA JATENG SELATAN"/>
    <s v="KBU"/>
    <s v="REG"/>
    <s v="AO"/>
    <s v="NEW SALES"/>
    <m/>
    <s v="CC - HD1A - INPROGRESS UNCONTACTED"/>
    <s v="RBS-Regional 3"/>
    <d v="2026-09-02T13:18:11"/>
    <d v="2026-09-03T08:29:56"/>
    <n v="69382299"/>
    <n v="2745059176"/>
    <n v="146113146876"/>
    <s v="PT Daya Agung Prima"/>
    <s v="ODP-KBU-FHA/090"/>
    <m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m/>
    <m/>
    <m/>
    <d v="2026-02-09T13:25:57"/>
    <m/>
    <m/>
    <s v="FCC"/>
    <s v="X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1"/>
    <n v="1002566767"/>
    <n v="3"/>
    <x v="4"/>
    <n v="5"/>
    <s v="SINGARJA"/>
    <s v="KLUNGKUNG"/>
    <s v="SMA"/>
    <s v="REG"/>
    <s v="AO"/>
    <s v="NEW SALES"/>
    <m/>
    <s v="CC - HD1A - INPROGRESS UNCONTACTED"/>
    <s v="RBS-Regional 3"/>
    <d v="2026-09-02T09:10:07"/>
    <d v="2026-09-02T17:28:18"/>
    <n v="69382007"/>
    <m/>
    <n v="172428816065"/>
    <s v="The White Orchid "/>
    <s v="ODP-SMA-FY/17"/>
    <m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m/>
    <m/>
    <m/>
    <d v="2026-02-09T09:40:08"/>
    <m/>
    <m/>
    <s v="FCC"/>
    <s v="SEMARAPURA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12"/>
    <n v="1002564602"/>
    <n v="3"/>
    <x v="3"/>
    <n v="5"/>
    <s v="MATARAM"/>
    <s v="LOMBOK BARAT TENGAH"/>
    <s v="PRY"/>
    <s v="REG"/>
    <s v="AO"/>
    <s v="NEW SALES"/>
    <s v="1P INET"/>
    <s v="CC - HD1A - INPROGRESS UNCONTACTED"/>
    <s v="RBS-Regional 3"/>
    <d v="2026-09-01T10:02:42"/>
    <d v="2026-09-03T09:05:30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Ghina Swanti Ariesa 40941148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"/>
  </r>
  <r>
    <n v="13"/>
    <n v="1002567253"/>
    <n v="3"/>
    <x v="6"/>
    <n v="5"/>
    <s v="SBY UTARA"/>
    <s v="KENJERAN"/>
    <s v="KBL"/>
    <s v="REG"/>
    <s v="AO"/>
    <s v="NEW SALES"/>
    <m/>
    <s v="FCC - HD1A - INPROGRESS FOLLOW UP"/>
    <s v="RBS-Regional 3"/>
    <d v="2026-09-02T11:27:17"/>
    <d v="2026-09-02T15:46:04"/>
    <n v="69382161"/>
    <m/>
    <n v="152401227303"/>
    <s v="TOKO MAISA"/>
    <s v="ODP-KBL-FVE/35"/>
    <m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m/>
    <m/>
    <m/>
    <d v="2026-02-09T11:40:03"/>
    <m/>
    <m/>
    <s v="FCC"/>
    <s v="KEBALEN"/>
    <s v="NO ADDON"/>
    <m/>
    <s v="FOLLOW UP : Follow Up Siti QoriAh 40971401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6"/>
  </r>
  <r>
    <n v="14"/>
    <n v="1002564745"/>
    <n v="3"/>
    <x v="6"/>
    <n v="5"/>
    <s v="MADURA"/>
    <s v="BANGKALAN"/>
    <s v="SPG"/>
    <s v="REG"/>
    <s v="AO"/>
    <s v="NEW SALES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7"/>
  </r>
  <r>
    <n v="15"/>
    <n v="1002566333"/>
    <n v="3"/>
    <x v="5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1"/>
  </r>
  <r>
    <n v="16"/>
    <n v="1002567928"/>
    <n v="3"/>
    <x v="5"/>
    <n v="4"/>
    <s v="MAGELANG"/>
    <s v="WONOSOBO"/>
    <s v="WOS"/>
    <s v="REG"/>
    <s v="AO"/>
    <s v="NEW SALES"/>
    <s v="1P INET"/>
    <s v="MIE - SEND SURVEY"/>
    <s v="RBS-Regional 3"/>
    <d v="2026-09-02T14:42:57"/>
    <d v="2026-09-02T14:44:01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m/>
    <s v="SURVEY_NEW_MANJA"/>
    <s v="X"/>
    <s v="NO ADDON"/>
    <m/>
    <s v="MIE - SEND SURVEY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1"/>
  </r>
  <r>
    <n v="17"/>
    <n v="1002568563"/>
    <n v="3"/>
    <x v="2"/>
    <n v="4"/>
    <s v="SEMARANG"/>
    <s v="INNER - SEMARANG JATENG UTARA"/>
    <s v="JHR"/>
    <s v="REG"/>
    <s v="AO"/>
    <s v="NEW SALES"/>
    <s v="1P INET"/>
    <s v="MIE - SEND SURVEY"/>
    <s v="RBS-Regional 3"/>
    <d v="2026-09-02T18:41:56"/>
    <d v="2026-09-02T18:44:01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m/>
    <s v="SURVEY_NEW_MANJA"/>
    <s v="JOHAR"/>
    <s v="NO ADDON"/>
    <m/>
    <s v="MIE - SEND SURVEY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1"/>
  </r>
  <r>
    <n v="18"/>
    <n v="1002568550"/>
    <n v="3"/>
    <x v="6"/>
    <n v="5"/>
    <s v="SBY UTARA"/>
    <s v="KENJERAN"/>
    <s v="KJR"/>
    <s v="REG"/>
    <s v="AO"/>
    <s v="NEW SALES"/>
    <s v="1P INET"/>
    <s v="MIE - SEND SURVEY"/>
    <s v="RBS-Regional 3"/>
    <d v="2026-09-02T18:12:56"/>
    <d v="2026-09-02T18:14:01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SURVEY_NEW_MANJA"/>
    <s v="KENJERAN"/>
    <s v="NO ADDON"/>
    <m/>
    <s v="MIE - SEND SURVEY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6"/>
  </r>
  <r>
    <n v="19"/>
    <n v="1002566975"/>
    <n v="3"/>
    <x v="2"/>
    <n v="4"/>
    <s v="PEKALONGAN"/>
    <s v="SLAWI"/>
    <s v="SLW"/>
    <s v="REG"/>
    <s v="AO"/>
    <s v="NEW SALES"/>
    <m/>
    <s v="MIE - SEND SURVEY"/>
    <s v="RBS-Regional 3"/>
    <d v="2026-09-02T10:04:43"/>
    <d v="2026-09-02T12:42:01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1"/>
  </r>
  <r>
    <n v="20"/>
    <n v="1002568552"/>
    <n v="3"/>
    <x v="5"/>
    <n v="4"/>
    <s v="YOGYAKARTA"/>
    <s v="INNER - YOGYA JATENG SELATAN"/>
    <s v="KBU"/>
    <s v="REG"/>
    <s v="AO"/>
    <s v="NEW SALES"/>
    <s v="1P INET"/>
    <s v="MIE - SEND SURVEY"/>
    <s v="RBS-Regional 3"/>
    <d v="2026-09-02T18:17:57"/>
    <d v="2026-09-02T18:20:01"/>
    <n v="69382616"/>
    <m/>
    <n v="146113147312"/>
    <s v="PT KOPI BINTANG INDONESIA"/>
    <s v="ODP-KBU-FDR/10 FDR/D01/10.10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SURVEY_NEW_MANJA"/>
    <s v="X"/>
    <s v="NO ADDON"/>
    <m/>
    <s v="MIE - SEND SURVEY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m/>
    <m/>
    <m/>
    <e v="#NUM!"/>
    <e v="#NUM!"/>
    <x v="0"/>
    <x v="1"/>
  </r>
  <r>
    <n v="21"/>
    <n v="1002568399"/>
    <n v="3"/>
    <x v="6"/>
    <n v="5"/>
    <s v="SBY SELATAN"/>
    <s v="KETINTANG"/>
    <s v="RKT"/>
    <s v="REG"/>
    <s v="AO"/>
    <s v="NEW SALES"/>
    <s v="1P INET"/>
    <s v="MIE - SEND SURVEY"/>
    <s v="RBS-Regional 3"/>
    <d v="2026-09-02T16:44:56"/>
    <d v="2026-09-02T16:46:14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SURVEY_NEW_MANJA"/>
    <s v="RUNGKUT"/>
    <s v="NO ADDON"/>
    <m/>
    <s v="MIE - SEND SURVEY"/>
    <s v="HSI Bisnis Basic Promo HUT RI PSB 70% - 100 Mbps"/>
    <s v="INDIBIZ"/>
    <m/>
    <m/>
    <d v="2026-09-03T15:00:00"/>
    <s v="2026-09-03 15:00:00 | Jam pemasangan : 12.00 Info Tambahan : Hubungi pelanggan dulu sebelum ke lokasi terimakasih "/>
    <m/>
    <m/>
    <m/>
    <e v="#NUM!"/>
    <e v="#NUM!"/>
    <x v="0"/>
    <x v="8"/>
  </r>
  <r>
    <n v="22"/>
    <n v="1002567882"/>
    <n v="3"/>
    <x v="6"/>
    <n v="5"/>
    <s v="SBY UTARA"/>
    <s v="TANDES"/>
    <s v="BBE"/>
    <s v="REG"/>
    <s v="AO"/>
    <s v="NEW SALES"/>
    <s v="1P INET"/>
    <s v="MIE - SEND SURVEY"/>
    <s v="RBS-Regional 3"/>
    <d v="2026-09-02T14:34:03"/>
    <d v="2026-09-02T14:36:02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m/>
    <s v="SURVEY_NEW_MANJA"/>
    <s v="BAMBE"/>
    <s v="OCA"/>
    <m/>
    <s v="MIE - SEND SURVEY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6"/>
  </r>
  <r>
    <n v="23"/>
    <n v="1002567874"/>
    <n v="3"/>
    <x v="3"/>
    <n v="5"/>
    <s v="MATARAM"/>
    <s v="INNER - NUSA TENGGARA"/>
    <s v="MTR"/>
    <s v="REG"/>
    <s v="AO"/>
    <s v="NEW SALES"/>
    <s v="1P INET"/>
    <s v="MIE - SEND SURVEY"/>
    <s v="RBS-Regional 3"/>
    <d v="2026-09-02T14:32:57"/>
    <d v="2026-09-02T14:34:18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m/>
    <m/>
    <m/>
    <e v="#NUM!"/>
    <e v="#NUM!"/>
    <x v="0"/>
    <x v="9"/>
  </r>
  <r>
    <n v="24"/>
    <n v="1002567985"/>
    <n v="3"/>
    <x v="3"/>
    <n v="5"/>
    <s v="KUPANG"/>
    <s v="MAUMERE"/>
    <s v="LWB"/>
    <s v="REG"/>
    <s v="AO"/>
    <s v="NEW SALES"/>
    <s v="1P INET"/>
    <s v="MIE - SEND SURVEY"/>
    <s v="RBS-Regional 3"/>
    <d v="2026-09-02T14:56:56"/>
    <d v="2026-09-02T14:58:01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SURVEY_NEW_MANJA"/>
    <s v="X"/>
    <s v="NO ADDON"/>
    <m/>
    <s v="MIE - SEND SURVEY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  <x v="10"/>
  </r>
  <r>
    <n v="25"/>
    <n v="1002568456"/>
    <n v="3"/>
    <x v="7"/>
    <n v="5"/>
    <s v="MADIUN"/>
    <s v="BOJONEGORO"/>
    <s v="PAD"/>
    <s v="REG"/>
    <s v="AO"/>
    <s v="NEW SALES"/>
    <s v="1P INET"/>
    <s v="MIE - SEND SURVEY"/>
    <s v="RBS-Regional 3"/>
    <d v="2026-09-02T17:05:57"/>
    <d v="2026-09-02T17:08:01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SURVEY_NEW_MANJA"/>
    <s v="PADANGAN"/>
    <s v="NO ADDON"/>
    <m/>
    <s v="MIE - SEND SURVEY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m/>
    <m/>
    <m/>
    <e v="#NUM!"/>
    <e v="#NUM!"/>
    <x v="0"/>
    <x v="11"/>
  </r>
  <r>
    <n v="26"/>
    <n v="1002567313"/>
    <n v="3"/>
    <x v="1"/>
    <n v="4"/>
    <s v="SOLO"/>
    <s v="INNER - SOLO JATENG TIMUR"/>
    <s v="MSO"/>
    <s v="REG"/>
    <s v="AO"/>
    <s v="NEW SALES"/>
    <s v="1P INET"/>
    <s v="MIE - SEND SURVEY"/>
    <s v="RBS-Regional 3"/>
    <d v="2026-09-02T11:32:56"/>
    <d v="2026-09-02T11:34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SURVEY_NEW_MANJA"/>
    <s v="SOLO PALUR"/>
    <s v="NO ADDON"/>
    <m/>
    <s v="MIE - SEND SURVEY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1"/>
  </r>
  <r>
    <n v="27"/>
    <n v="1002568555"/>
    <n v="3"/>
    <x v="5"/>
    <n v="4"/>
    <s v="YOGYAKARTA"/>
    <s v="BANTUL"/>
    <s v="WTS"/>
    <s v="REG"/>
    <s v="AO"/>
    <s v="NEW SALES"/>
    <s v="1P INET"/>
    <s v="MIE - SEND SURVEY"/>
    <s v="RBS-Regional 3"/>
    <d v="2026-09-02T18:24:56"/>
    <d v="2026-09-02T18:28:01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SURVEY_NEW_MANJA"/>
    <s v="WATES"/>
    <s v="NO ADDON"/>
    <m/>
    <s v="MIE - SEND SURVEY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m/>
    <m/>
    <m/>
    <e v="#NUM!"/>
    <e v="#NUM!"/>
    <x v="0"/>
    <x v="1"/>
  </r>
  <r>
    <n v="28"/>
    <n v="1002568037"/>
    <n v="3"/>
    <x v="0"/>
    <n v="5"/>
    <s v="PASURUAN"/>
    <s v="PROBOLINGGO"/>
    <s v="KRZ"/>
    <s v="REG"/>
    <s v="AO"/>
    <s v="NEW SALES"/>
    <s v="1P INET"/>
    <s v="MIE - SEND SURVEY"/>
    <s v="RBS-Regional 3"/>
    <d v="2026-09-02T15:11:57"/>
    <d v="2026-09-02T15:14:01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SURVEY_NEW_MANJA"/>
    <s v="KRAKSAAN"/>
    <s v="NO ADDON"/>
    <m/>
    <s v="MIE - SEND SURVEY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m/>
    <m/>
    <m/>
    <e v="#NUM!"/>
    <e v="#NUM!"/>
    <x v="0"/>
    <x v="12"/>
  </r>
  <r>
    <n v="29"/>
    <n v="1002568030"/>
    <n v="3"/>
    <x v="7"/>
    <n v="5"/>
    <s v="MADIUN"/>
    <s v="TUBAN"/>
    <s v="TNZ"/>
    <s v="REG"/>
    <s v="AO"/>
    <s v="NEW SALES"/>
    <s v="1P INET"/>
    <s v="MIE - SEND SURVEY"/>
    <s v="RBS-Regional 3"/>
    <d v="2026-09-02T15:09:57"/>
    <d v="2026-09-02T15:12:01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SURVEY_NEW_MANJA"/>
    <s v="X"/>
    <s v="NO ADDON"/>
    <m/>
    <s v="MIE - SEND SURVEY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m/>
    <m/>
    <m/>
    <e v="#NUM!"/>
    <e v="#NUM!"/>
    <x v="0"/>
    <x v="11"/>
  </r>
  <r>
    <n v="30"/>
    <n v="1002568049"/>
    <n v="3"/>
    <x v="7"/>
    <n v="5"/>
    <s v="MADIUN"/>
    <s v="BOJONEGORO"/>
    <s v="SMJ"/>
    <s v="REG"/>
    <s v="AO"/>
    <s v="NEW SALES"/>
    <s v="1P INET"/>
    <s v="MIE - SEND SURVEY"/>
    <s v="RBS-Regional 3"/>
    <d v="2026-09-02T15:15:57"/>
    <d v="2026-09-02T15:18:02"/>
    <n v="69382459"/>
    <m/>
    <n v="152642208293"/>
    <s v="SPBU 53.621.25 Gampeng Balen"/>
    <s v="ODP-SMJ-FG/78 FG/D05/78.01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SURVEY_NEW_MANJA"/>
    <s v="PADANGAN"/>
    <s v="NO ADDON"/>
    <m/>
    <s v="MIE - SEND SURVEY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  <x v="11"/>
  </r>
  <r>
    <n v="31"/>
    <n v="1002567684"/>
    <n v="3"/>
    <x v="0"/>
    <n v="5"/>
    <s v="PASURUAN"/>
    <s v="PASURUAN"/>
    <s v="GDW"/>
    <s v="REG"/>
    <s v="AO"/>
    <s v="NEW SALES"/>
    <m/>
    <s v="MIE - SEND SURVEY"/>
    <s v="RBS-Regional 3"/>
    <d v="2026-09-02T13:45:18"/>
    <d v="2026-09-02T15:04:03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m/>
    <m/>
    <m/>
    <e v="#NUM!"/>
    <e v="#NUM!"/>
    <x v="0"/>
    <x v="0"/>
  </r>
  <r>
    <n v="32"/>
    <n v="1002568531"/>
    <n v="3"/>
    <x v="1"/>
    <n v="4"/>
    <s v="KUDUS"/>
    <s v="PURWODADI"/>
    <s v="WRO"/>
    <s v="REG"/>
    <s v="AO"/>
    <s v="NEW SALES"/>
    <s v="1P INET"/>
    <s v="MIE - SEND SURVEY"/>
    <s v="RBS-Regional 3"/>
    <d v="2026-09-02T17:53:57"/>
    <d v="2026-09-02T17:56:27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SURVEY_NEW_MANJA"/>
    <s v="WIROSARI"/>
    <s v="NO ADDON"/>
    <m/>
    <s v="MIE - SEND SURVEY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  <x v="1"/>
  </r>
  <r>
    <n v="33"/>
    <n v="1002568518"/>
    <n v="3"/>
    <x v="5"/>
    <n v="4"/>
    <s v="MAGELANG"/>
    <s v="KEBUMEN"/>
    <s v="KTW"/>
    <s v="REG"/>
    <s v="AO"/>
    <s v="NEW SALES"/>
    <s v="1P INET"/>
    <s v="MIE - SEND SURVEY"/>
    <s v="RBS-Regional 3"/>
    <d v="2026-09-02T17:47:57"/>
    <d v="2026-09-02T17:50:01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SURVEY_NEW_MANJA"/>
    <s v="X"/>
    <s v="NO ADDON"/>
    <m/>
    <s v="MIE - SEND SURVEY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m/>
    <m/>
    <m/>
    <e v="#NUM!"/>
    <e v="#NUM!"/>
    <x v="0"/>
    <x v="1"/>
  </r>
  <r>
    <n v="34"/>
    <n v="1002568195"/>
    <n v="3"/>
    <x v="5"/>
    <n v="4"/>
    <s v="MAGELANG"/>
    <s v="PURWOREJJO"/>
    <s v="PWJ"/>
    <s v="REG"/>
    <s v="AO"/>
    <s v="NEW SALES"/>
    <s v="1P INET"/>
    <s v="MIE - SEND SURVEY"/>
    <s v="RBS-Regional 3"/>
    <d v="2026-09-02T15:47:56"/>
    <d v="2026-09-02T15:50:01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m/>
    <m/>
    <m/>
    <e v="#NUM!"/>
    <e v="#NUM!"/>
    <x v="0"/>
    <x v="1"/>
  </r>
  <r>
    <n v="35"/>
    <n v="1002567425"/>
    <n v="3"/>
    <x v="5"/>
    <n v="4"/>
    <s v="MAGELANG"/>
    <s v="WONOSOBO"/>
    <s v="WOS"/>
    <s v="REG"/>
    <s v="AO"/>
    <s v="NEW SALES"/>
    <s v="1P INET"/>
    <s v="MIE - SEND SURVEY"/>
    <s v="RBS-Regional 3"/>
    <d v="2026-09-02T12:05:58"/>
    <d v="2026-09-02T12:08:01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1"/>
  </r>
  <r>
    <n v="36"/>
    <n v="1002567420"/>
    <n v="3"/>
    <x v="2"/>
    <n v="4"/>
    <s v="SEMARANG"/>
    <s v="INNER - SEMARANG JATENG UTARA"/>
    <s v="MJP"/>
    <s v="REG"/>
    <s v="AO"/>
    <s v="NEW SALES"/>
    <s v="1P INET"/>
    <s v="MIE - SEND SURVEY"/>
    <s v="RBS-Regional 3"/>
    <d v="2026-09-02T12:03:57"/>
    <d v="2026-09-02T12:06:02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m/>
    <s v="SURVEY_NEW_MANJA"/>
    <s v="MAJAPAHIT"/>
    <s v="NO ADDON"/>
    <m/>
    <s v="MIE - SEND SURVEY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1"/>
  </r>
  <r>
    <n v="37"/>
    <n v="1002567595"/>
    <n v="3"/>
    <x v="7"/>
    <n v="5"/>
    <s v="MADIUN"/>
    <s v="NGAWI"/>
    <s v="NWI"/>
    <s v="REG"/>
    <s v="AO"/>
    <s v="NEW SALES"/>
    <s v="1P INET"/>
    <s v="MIE - SEND SURVEY"/>
    <s v="RBS-Regional 3"/>
    <d v="2026-09-02T13:23:56"/>
    <d v="2026-09-02T13:26:02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  <x v="13"/>
  </r>
  <r>
    <n v="38"/>
    <n v="1002567634"/>
    <n v="3"/>
    <x v="6"/>
    <n v="5"/>
    <s v="SBY UTARA"/>
    <s v="LAMONGAN"/>
    <s v="LMG"/>
    <s v="REG"/>
    <s v="AO"/>
    <s v="NEW SALES"/>
    <s v="1P INET"/>
    <s v="MIE - SEND SURVEY"/>
    <s v="RBS-Regional 3"/>
    <d v="2026-09-02T13:33:57"/>
    <d v="2026-09-02T13:36:01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SURVEY_NEW_MANJA"/>
    <s v="LAMONGAN"/>
    <s v="NO ADDON"/>
    <m/>
    <s v="MIE - SEND SURVEY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m/>
    <m/>
    <m/>
    <e v="#NUM!"/>
    <e v="#NUM!"/>
    <x v="0"/>
    <x v="14"/>
  </r>
  <r>
    <n v="39"/>
    <n v="1002567613"/>
    <n v="3"/>
    <x v="0"/>
    <n v="5"/>
    <s v="SIDOARJO"/>
    <s v="MOJOKERTO"/>
    <s v="DLA"/>
    <s v="REG"/>
    <s v="AO"/>
    <s v="NEW SALES"/>
    <m/>
    <s v="MIE - SEND SURVEY"/>
    <s v="RBS-Regional 3"/>
    <d v="2026-09-02T13:30:41"/>
    <d v="2026-09-02T14:52:03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SURVEY_NEW_MANJA"/>
    <s v="MOJOKERTO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m/>
    <m/>
    <m/>
    <e v="#NUM!"/>
    <e v="#NUM!"/>
    <x v="0"/>
    <x v="15"/>
  </r>
  <r>
    <n v="40"/>
    <n v="1002567606"/>
    <n v="3"/>
    <x v="7"/>
    <n v="5"/>
    <s v="MADIUN"/>
    <s v="NGAWI"/>
    <s v="NWI"/>
    <s v="REG"/>
    <s v="AO"/>
    <s v="NEW SALES"/>
    <s v="1P INET"/>
    <s v="MIE - SEND SURVEY"/>
    <s v="RBS-Regional 3"/>
    <d v="2026-09-02T13:26:56"/>
    <d v="2026-09-02T13:28:01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  <x v="13"/>
  </r>
  <r>
    <n v="41"/>
    <n v="1002567375"/>
    <n v="3"/>
    <x v="7"/>
    <n v="5"/>
    <s v="MADIUN"/>
    <s v="BOJONEGORO"/>
    <s v="PAD"/>
    <s v="REG"/>
    <s v="AO"/>
    <s v="NEW SALES"/>
    <s v="1P INET"/>
    <s v="MIE - SEND SURVEY"/>
    <s v="RBS-Regional 3"/>
    <d v="2026-09-02T11:50:56"/>
    <d v="2026-09-02T11:52:01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m/>
    <s v="SURVEY_NEW_MANJA"/>
    <s v="PADANGAN"/>
    <s v="NO ADDON"/>
    <m/>
    <s v="MIE - SEND SURVEY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1"/>
  </r>
  <r>
    <n v="42"/>
    <n v="1002567346"/>
    <n v="3"/>
    <x v="5"/>
    <n v="4"/>
    <s v="YOGYAKARTA"/>
    <s v="INNER - YOGYA JATENG SELATAN"/>
    <s v="KBU"/>
    <s v="REG"/>
    <s v="AO"/>
    <s v="NEW SALES"/>
    <s v="1P INET"/>
    <s v="MIE - SEND SURVEY"/>
    <s v="RBS-Regional 3"/>
    <d v="2026-09-02T11:42:57"/>
    <d v="2026-09-02T11:44:26"/>
    <n v="69382220"/>
    <m/>
    <n v="146113146875"/>
    <s v="SUHKA COFFEE GROUND"/>
    <s v="ODP-KBU-FGF/079 FGF/D05/079.01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SURVEY_NEW_MANJA"/>
    <s v="X"/>
    <s v="NO ADDON"/>
    <m/>
    <s v="MIE - SEND SURVEY"/>
    <s v="HSI Bisnis PSB 70% - 100 Mbps"/>
    <s v="INDIBIZ"/>
    <m/>
    <m/>
    <d v="2026-09-03T11:00:00"/>
    <s v="2026-09-03 11:00:00 | Jam pemasangan : 12.00 Info Tambahan : Hubungi pelanggan dulu sebelum ke lokasi terimakasih  "/>
    <m/>
    <m/>
    <m/>
    <e v="#NUM!"/>
    <e v="#NUM!"/>
    <x v="0"/>
    <x v="1"/>
  </r>
  <r>
    <n v="43"/>
    <n v="1002568147"/>
    <n v="3"/>
    <x v="6"/>
    <n v="5"/>
    <s v="SBY SELATAN"/>
    <s v="MANYAR"/>
    <s v="GBG"/>
    <s v="REG"/>
    <s v="AO"/>
    <s v="NEW SALES"/>
    <s v="1P INET"/>
    <s v="MIE - SEND SURVEY"/>
    <s v="RBS-Regional 3"/>
    <d v="2026-09-02T15:36:57"/>
    <d v="2026-09-02T15:38:02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SURVEY_NEW_MANJA"/>
    <s v="DARMO GUBENG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8"/>
  </r>
  <r>
    <n v="44"/>
    <n v="1002568139"/>
    <n v="3"/>
    <x v="6"/>
    <n v="5"/>
    <s v="SBY UTARA"/>
    <s v="GRESIK"/>
    <s v="GSK"/>
    <s v="REG"/>
    <s v="AO"/>
    <s v="NEW SALES"/>
    <s v="1P INET"/>
    <s v="MIE - SEND SURVEY"/>
    <s v="RBS-Regional 3"/>
    <d v="2026-09-02T15:35:56"/>
    <d v="2026-09-02T15:38:02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SURVEY_NEW_MANJA"/>
    <s v="GRESIK"/>
    <s v="NO ADDON"/>
    <m/>
    <s v="MIE - SEND SURVEY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m/>
    <m/>
    <m/>
    <e v="#NUM!"/>
    <e v="#NUM!"/>
    <x v="0"/>
    <x v="14"/>
  </r>
  <r>
    <n v="45"/>
    <n v="1002567782"/>
    <n v="3"/>
    <x v="5"/>
    <n v="4"/>
    <s v="YOGYAKARTA"/>
    <s v="SLEMAN"/>
    <s v="GOD"/>
    <s v="REG"/>
    <s v="AO"/>
    <s v="NEW SALES"/>
    <m/>
    <s v="MIE - SEND SURVEY"/>
    <s v="RBS-Regional 3"/>
    <d v="2026-09-02T14:09:00"/>
    <d v="2026-09-02T17:16:01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m/>
    <m/>
    <m/>
    <e v="#NUM!"/>
    <e v="#NUM!"/>
    <x v="0"/>
    <x v="1"/>
  </r>
  <r>
    <n v="46"/>
    <n v="1002568591"/>
    <n v="3"/>
    <x v="5"/>
    <n v="4"/>
    <s v="YOGYAKARTA"/>
    <s v="BANTUL"/>
    <s v="BTL"/>
    <s v="REG"/>
    <s v="AO"/>
    <s v="NEW SALES"/>
    <s v="1P INET"/>
    <s v="MIE - SEND SURVEY"/>
    <s v="RBS-Regional 3"/>
    <d v="2026-09-02T19:50:56"/>
    <d v="2026-09-02T19:52:01"/>
    <n v="69382642"/>
    <m/>
    <n v="146129128807"/>
    <s v="PT GARASI NAP MATARAM / BENGKEL MOBIL"/>
    <s v="ODP-BTL-FBY/012 FBY/D01/012.0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SURVEY_NEW_MANJA"/>
    <s v="X"/>
    <s v="NO ADDON"/>
    <m/>
    <s v="MIE - SEND SURVEY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m/>
    <m/>
    <m/>
    <e v="#NUM!"/>
    <e v="#NUM!"/>
    <x v="0"/>
    <x v="1"/>
  </r>
  <r>
    <n v="47"/>
    <n v="1002568578"/>
    <n v="3"/>
    <x v="3"/>
    <n v="5"/>
    <s v="MATARAM"/>
    <s v="LOMBOK TIMUR UTARA"/>
    <s v="SEL"/>
    <s v="REG"/>
    <s v="AO"/>
    <s v="NEW SALES"/>
    <s v="1P INET"/>
    <s v="MIE - SEND SURVEY"/>
    <s v="RBS-Regional 3"/>
    <d v="2026-09-02T19:03:56"/>
    <d v="2026-09-02T19:06:01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SURVEY_NEW_MANJA"/>
    <s v="LOMBOK TIMUR"/>
    <s v="NO ADDON"/>
    <m/>
    <s v="MIE - SEND SURVEY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2"/>
  </r>
  <r>
    <n v="48"/>
    <n v="1002568571"/>
    <n v="3"/>
    <x v="7"/>
    <n v="5"/>
    <s v="MALANG"/>
    <s v="KEPANJEN"/>
    <s v="PGK"/>
    <s v="REG"/>
    <s v="AO"/>
    <s v="NEW SALES"/>
    <s v="1P INET"/>
    <s v="MIE - SEND SURVEY"/>
    <s v="RBS-Regional 3"/>
    <d v="2026-09-02T18:59:56"/>
    <d v="2026-09-02T19:02:01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SURVEY_NEW_MANJA"/>
    <s v="KEPANJEN"/>
    <s v="OCA"/>
    <m/>
    <s v="MIE - SEND SURVEY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m/>
    <m/>
    <m/>
    <e v="#NUM!"/>
    <e v="#NUM!"/>
    <x v="0"/>
    <x v="16"/>
  </r>
  <r>
    <n v="49"/>
    <n v="1002568312"/>
    <n v="3"/>
    <x v="5"/>
    <n v="4"/>
    <s v="PURWOKERTO"/>
    <s v="CILACAP"/>
    <s v="KRY"/>
    <s v="REG"/>
    <s v="AO"/>
    <s v="NEW SALES"/>
    <s v="1P INET"/>
    <s v="MIE - SEND SURVEY"/>
    <s v="RBS-Regional 3"/>
    <d v="2026-09-02T16:14:58"/>
    <d v="2026-09-02T16:16:0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SURVEY_NEW_MANJA"/>
    <s v="KROYA"/>
    <s v="NO ADDON"/>
    <m/>
    <s v="MIE - SEND SURVEY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m/>
    <m/>
    <m/>
    <e v="#NUM!"/>
    <e v="#NUM!"/>
    <x v="0"/>
    <x v="1"/>
  </r>
  <r>
    <n v="50"/>
    <n v="1002566867"/>
    <n v="3"/>
    <x v="3"/>
    <n v="5"/>
    <s v="MATARAM"/>
    <s v="LOMBOK BARAT TENGAH"/>
    <s v="PRY"/>
    <s v="REG"/>
    <s v="AO"/>
    <s v="NEW SALES"/>
    <s v="1P INET"/>
    <s v="MIE - SEND SURVEY"/>
    <s v="RBS-Regional 3"/>
    <d v="2026-09-02T09:35:56"/>
    <d v="2026-09-02T09:38:07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TENGAH"/>
    <s v="NO ADDON"/>
    <m/>
    <s v="MIE - SEND SURVEY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"/>
  </r>
  <r>
    <n v="51"/>
    <n v="1002566869"/>
    <n v="3"/>
    <x v="5"/>
    <n v="4"/>
    <s v="YOGYAKARTA"/>
    <s v="BANTUL"/>
    <s v="BTL"/>
    <s v="REG"/>
    <s v="AO"/>
    <s v="NEW SALES"/>
    <s v="1P INET"/>
    <s v="MIE - SEND SURVEY"/>
    <s v="RBS-Regional 3"/>
    <d v="2026-09-02T09:36:56"/>
    <d v="2026-09-02T09:38:02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SURVEY_NEW_MANJA"/>
    <s v="X"/>
    <s v="NO ADDON"/>
    <m/>
    <s v="MIE - SEND SURVEY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m/>
    <m/>
    <m/>
    <e v="#NUM!"/>
    <e v="#NUM!"/>
    <x v="0"/>
    <x v="1"/>
  </r>
  <r>
    <n v="52"/>
    <n v="1002566811"/>
    <n v="3"/>
    <x v="3"/>
    <n v="5"/>
    <s v="MATARAM"/>
    <s v="LOMBOK TIMUR UTARA"/>
    <s v="SGG"/>
    <s v="REG"/>
    <s v="AO"/>
    <s v="NEW SALES"/>
    <s v="1P INET"/>
    <s v="MIE - SEND SURVEY"/>
    <s v="RBS-Regional 3"/>
    <d v="2026-09-02T09:21:56"/>
    <d v="2026-09-02T09:24:01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"/>
  </r>
  <r>
    <n v="53"/>
    <n v="1002566804"/>
    <n v="3"/>
    <x v="5"/>
    <n v="4"/>
    <s v="MAGELANG"/>
    <s v="MAGELANG"/>
    <s v="MGE"/>
    <s v="REG"/>
    <s v="AO"/>
    <s v="NEW SALES"/>
    <s v="1P INET"/>
    <s v="MIE - SEND SURVEY"/>
    <s v="RBS-Regional 3"/>
    <d v="2026-09-02T09:18:56"/>
    <d v="2026-09-02T09:20:01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SURVEY_NEW_MANJA"/>
    <s v="X"/>
    <s v="NO ADDON"/>
    <m/>
    <s v="MIE - SEND SURVEY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m/>
    <m/>
    <m/>
    <e v="#NUM!"/>
    <e v="#NUM!"/>
    <x v="0"/>
    <x v="1"/>
  </r>
  <r>
    <n v="54"/>
    <n v="1002566826"/>
    <n v="3"/>
    <x v="3"/>
    <n v="5"/>
    <s v="MATARAM"/>
    <s v="LOMBOK TIMUR UTARA"/>
    <s v="SGG"/>
    <s v="REG"/>
    <s v="AO"/>
    <s v="NEW SALES"/>
    <s v="1P INET"/>
    <s v="MIE - SEND SURVEY"/>
    <s v="RBS-Regional 3"/>
    <d v="2026-09-02T09:24:57"/>
    <d v="2026-09-02T09:26:21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"/>
  </r>
  <r>
    <n v="55"/>
    <n v="1002566822"/>
    <n v="3"/>
    <x v="0"/>
    <n v="5"/>
    <s v="SIDOARJO"/>
    <s v="INNER - JATIM TIMUR"/>
    <s v="KRN"/>
    <s v="REG"/>
    <s v="AO"/>
    <s v="NEW SALES"/>
    <s v="1P INET"/>
    <s v="MIE - SEND SURVEY"/>
    <s v="RBS-Regional 3"/>
    <d v="2026-09-02T09:23:56"/>
    <d v="2026-09-02T09:26:01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m/>
    <s v="SURVEY_NEW_MANJA"/>
    <s v="KRIAN"/>
    <s v="NO ADDON"/>
    <m/>
    <s v="MIE - SEND SURVEY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56"/>
    <n v="1002567492"/>
    <n v="3"/>
    <x v="6"/>
    <n v="5"/>
    <s v="SBY SELATAN"/>
    <s v="MANYAR"/>
    <s v="MYR"/>
    <s v="REG"/>
    <s v="AO"/>
    <s v="NEW SALES"/>
    <s v="2P INET + VOICE"/>
    <s v="MIE - SEND SURVEY"/>
    <s v="RBS-Regional 3"/>
    <d v="2026-09-02T12:35:56"/>
    <d v="2026-09-02T12:38:02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SURVEY_NEW_MANJA"/>
    <s v="MANYAR"/>
    <s v="NO ADDON"/>
    <m/>
    <s v="MIE - SEND SURVEY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  <x v="8"/>
  </r>
  <r>
    <n v="57"/>
    <n v="1002567110"/>
    <n v="3"/>
    <x v="6"/>
    <n v="5"/>
    <s v="SBY UTARA"/>
    <s v="GRESIK"/>
    <s v="KDE"/>
    <s v="REG"/>
    <s v="AO"/>
    <s v="NEW SALES"/>
    <m/>
    <s v="MIE - SEND SURVEY"/>
    <s v="RBS-Regional 3"/>
    <d v="2026-09-02T10:38:35"/>
    <d v="2026-09-03T09:10:01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m/>
    <m/>
    <m/>
    <e v="#NUM!"/>
    <e v="#NUM!"/>
    <x v="0"/>
    <x v="14"/>
  </r>
  <r>
    <n v="58"/>
    <n v="1002567489"/>
    <n v="3"/>
    <x v="1"/>
    <n v="4"/>
    <s v="SOLO"/>
    <s v="KLATEN"/>
    <s v="KLX"/>
    <s v="REG"/>
    <s v="AO"/>
    <s v="NEW SALES"/>
    <s v="1P INET"/>
    <s v="MIE - SEND SURVEY"/>
    <s v="RBS-Regional 3"/>
    <d v="2026-09-02T12:33:57"/>
    <d v="2026-09-02T12:36:03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SURVEY_NEW_MANJA"/>
    <s v="X"/>
    <s v="NO ADDON"/>
    <m/>
    <s v="MIE - SEND SURVEY"/>
    <s v="HSI Bisnis Promo HUT RI PSB 70% - 50 Mbps"/>
    <s v="INDIBIZ"/>
    <m/>
    <m/>
    <d v="2026-09-07T13:00:00"/>
    <s v="2026-09-07 13:00:00 | Tanggal : 7 September 2026 Jam : pagi  Hubungi pelanggan sebelum ke lokasi "/>
    <m/>
    <m/>
    <m/>
    <e v="#NUM!"/>
    <e v="#NUM!"/>
    <x v="0"/>
    <x v="1"/>
  </r>
  <r>
    <n v="59"/>
    <n v="1002568541"/>
    <n v="3"/>
    <x v="1"/>
    <n v="4"/>
    <s v="SOLO"/>
    <s v="INNER - SOLO JATENG TIMUR"/>
    <s v="SOP"/>
    <s v="REG"/>
    <s v="AO"/>
    <s v="NEW SALES"/>
    <s v="1P INET"/>
    <s v="MIE - SEND SURVEY"/>
    <s v="RBS-Regional 3"/>
    <d v="2026-09-02T18:02:57"/>
    <d v="2026-09-02T18:04:01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SURVEY_NEW_MANJA"/>
    <s v="SOLO PALUR"/>
    <s v="NO ADDON"/>
    <m/>
    <s v="MIE - SEND SURVEY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  <x v="1"/>
  </r>
  <r>
    <n v="60"/>
    <n v="1002568545"/>
    <n v="3"/>
    <x v="6"/>
    <n v="5"/>
    <s v="SBY UTARA"/>
    <s v="MANYAR"/>
    <s v="MGO"/>
    <s v="REG"/>
    <s v="AO"/>
    <s v="NEW SALES"/>
    <s v="1P INET"/>
    <s v="MIE - SEND SURVEY"/>
    <s v="RBS-Regional 3"/>
    <d v="2026-09-02T18:05:56"/>
    <d v="2026-09-02T18:08:01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SURVEY_NEW_MANJA"/>
    <s v="MERGOYOSO"/>
    <s v="NO ADDON"/>
    <m/>
    <s v="MIE - SEND SURVEY"/>
    <s v="HSI Bisnis Promo HUT RI PSB 70% - 75 Mbps"/>
    <s v="INDIBIZ"/>
    <m/>
    <m/>
    <d v="2026-09-03T15:00:00"/>
    <s v="2026-09-03 15:00:00 | Tanggal : 3 September 2026 Jam : siang Hubungi pelanggan sebelum ke lokasi "/>
    <m/>
    <m/>
    <m/>
    <e v="#NUM!"/>
    <e v="#NUM!"/>
    <x v="0"/>
    <x v="8"/>
  </r>
  <r>
    <n v="61"/>
    <n v="1002567484"/>
    <n v="3"/>
    <x v="1"/>
    <n v="4"/>
    <s v="SOLO"/>
    <s v="KLATEN"/>
    <s v="KLX"/>
    <s v="REG"/>
    <s v="AO"/>
    <s v="NEW SALES"/>
    <s v="1P INET"/>
    <s v="MIE - SEND SURVEY"/>
    <s v="RBS-Regional 3"/>
    <d v="2026-09-02T12:32:57"/>
    <d v="2026-09-02T12:34:01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  <x v="1"/>
  </r>
  <r>
    <n v="62"/>
    <n v="1002567485"/>
    <n v="3"/>
    <x v="1"/>
    <n v="4"/>
    <s v="SOLO"/>
    <s v="KLATEN"/>
    <s v="KLX"/>
    <s v="REG"/>
    <s v="AO"/>
    <s v="NEW SALES"/>
    <s v="1P INET"/>
    <s v="MIE - SEND SURVEY"/>
    <s v="RBS-Regional 3"/>
    <d v="2026-09-02T12:32:57"/>
    <d v="2026-09-02T12:34:01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  <x v="1"/>
  </r>
  <r>
    <n v="63"/>
    <n v="1002568368"/>
    <n v="3"/>
    <x v="1"/>
    <n v="4"/>
    <s v="KUDUS"/>
    <s v="JEPARA"/>
    <s v="PEC"/>
    <s v="REG"/>
    <s v="AO"/>
    <s v="NEW SALES"/>
    <s v="1P INET"/>
    <s v="MIE - SEND SURVEY"/>
    <s v="RBS-Regional 3"/>
    <d v="2026-09-02T16:32:56"/>
    <d v="2026-09-02T16:34:01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SURVEY_NEW_MANJA"/>
    <s v="PECANGAAN"/>
    <s v="NO ADDON"/>
    <m/>
    <s v="MIE - SEND SURVEY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m/>
    <m/>
    <m/>
    <e v="#NUM!"/>
    <e v="#NUM!"/>
    <x v="0"/>
    <x v="1"/>
  </r>
  <r>
    <n v="64"/>
    <n v="1002568359"/>
    <n v="3"/>
    <x v="3"/>
    <n v="5"/>
    <s v="MATARAM"/>
    <s v="INNER - NUSA TENGGARA"/>
    <s v="MTR"/>
    <s v="REG"/>
    <s v="AO"/>
    <s v="NEW SALES"/>
    <s v="1P INET"/>
    <s v="MIE - SEND SURVEY"/>
    <s v="RBS-Regional 3"/>
    <d v="2026-09-02T16:29:56"/>
    <d v="2026-09-02T16:32:01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SURVEY_NEW_MANJA"/>
    <s v="X"/>
    <s v="NO ADDON"/>
    <m/>
    <s v="MIE - SEND SURVEY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9"/>
  </r>
  <r>
    <n v="65"/>
    <n v="1002568374"/>
    <n v="3"/>
    <x v="6"/>
    <n v="5"/>
    <s v="SBY UTARA"/>
    <s v="KENJERAN"/>
    <s v="KBL"/>
    <s v="REG"/>
    <s v="AO"/>
    <s v="NEW SALES"/>
    <s v="1P INET"/>
    <s v="MIE - SEND SURVEY"/>
    <s v="RBS-Regional 3"/>
    <d v="2026-09-02T16:35:57"/>
    <d v="2026-09-02T16:38:0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m/>
    <s v="SURVEY_NEW_MANJA"/>
    <s v="KEBALEN"/>
    <s v="NO ADDON"/>
    <m/>
    <s v="MIE - SEND SURVEY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6"/>
  </r>
  <r>
    <n v="66"/>
    <n v="1002566618"/>
    <n v="3"/>
    <x v="5"/>
    <n v="4"/>
    <s v="MAGELANG"/>
    <s v="MAGELANG"/>
    <s v="MGE"/>
    <s v="REG"/>
    <s v="AO"/>
    <s v="NEW SALES"/>
    <s v="1P INET"/>
    <s v="MIE - SEND SURVEY"/>
    <s v="RBS-Regional 3"/>
    <d v="2026-09-02T08:18:56"/>
    <d v="2026-09-02T08:20:01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SURVEY_NEW_MANJA"/>
    <s v="X"/>
    <s v="NO ADDON"/>
    <m/>
    <s v="MIE - SEND SURVEY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m/>
    <m/>
    <m/>
    <e v="#NUM!"/>
    <e v="#NUM!"/>
    <x v="0"/>
    <x v="1"/>
  </r>
  <r>
    <n v="67"/>
    <n v="1002568238"/>
    <n v="3"/>
    <x v="7"/>
    <n v="5"/>
    <s v="MADIUN"/>
    <s v="BOJONEGORO"/>
    <s v="KDU"/>
    <s v="REG"/>
    <s v="AO"/>
    <s v="NEW SALES"/>
    <s v="1P INET"/>
    <s v="MIE - SEND SURVEY"/>
    <s v="RBS-Regional 3"/>
    <d v="2026-09-02T15:57:56"/>
    <d v="2026-09-02T16:00:02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PADANGAN"/>
    <s v="NO ADDON"/>
    <m/>
    <s v="MIE - SEND SURVEY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  <x v="11"/>
  </r>
  <r>
    <n v="68"/>
    <n v="1002568233"/>
    <n v="3"/>
    <x v="5"/>
    <n v="4"/>
    <s v="MAGELANG"/>
    <s v="MAGELANG"/>
    <s v="MGE"/>
    <s v="REG"/>
    <s v="AO"/>
    <s v="NEW SALES"/>
    <s v="1P INET"/>
    <s v="MIE - SEND SURVEY"/>
    <s v="RBS-Regional 3"/>
    <d v="2026-09-02T15:56:56"/>
    <d v="2026-09-02T15:58:01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SURVEY_NEW_MANJA"/>
    <s v="X"/>
    <s v="NO ADDON"/>
    <m/>
    <s v="MIE - SEND SURVEY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m/>
    <m/>
    <m/>
    <e v="#NUM!"/>
    <e v="#NUM!"/>
    <x v="0"/>
    <x v="1"/>
  </r>
  <r>
    <n v="69"/>
    <n v="1002568226"/>
    <n v="3"/>
    <x v="6"/>
    <n v="5"/>
    <s v="SBY SELATAN"/>
    <s v="MANYAR"/>
    <s v="GBG"/>
    <s v="REG"/>
    <s v="AO"/>
    <s v="NEW SALES"/>
    <s v="1P INET"/>
    <s v="MIE - SEND SURVEY"/>
    <s v="RBS-Regional 3"/>
    <d v="2026-09-02T15:54:58"/>
    <d v="2026-09-02T15:56:01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DARMO GUBENG"/>
    <s v="NO ADDON"/>
    <m/>
    <s v="MIE - SEND SURVEY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  <x v="8"/>
  </r>
  <r>
    <n v="70"/>
    <n v="1002568177"/>
    <n v="3"/>
    <x v="4"/>
    <n v="5"/>
    <s v="DENPASAR"/>
    <s v="SANUR"/>
    <s v="TOP"/>
    <s v="REG"/>
    <s v="AO"/>
    <s v="NEW SALES"/>
    <m/>
    <s v="MIE - SEND SURVEY"/>
    <s v="RBS-Regional 3"/>
    <d v="2026-09-02T16:02:54"/>
    <d v="2026-09-02T17:16:02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SURVEY_NEW_MANJA"/>
    <s v="TOHPATI SUKAWATI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m/>
    <m/>
    <m/>
    <e v="#NUM!"/>
    <e v="#NUM!"/>
    <x v="0"/>
    <x v="3"/>
  </r>
  <r>
    <n v="71"/>
    <n v="1002568264"/>
    <n v="3"/>
    <x v="5"/>
    <n v="4"/>
    <s v="PURWOKERTO"/>
    <s v="BANJARNEGARA"/>
    <s v="BJR"/>
    <s v="REG"/>
    <s v="AO"/>
    <s v="NEW SALES"/>
    <s v="1P INET"/>
    <s v="MIE - SEND SURVEY"/>
    <s v="RBS-Regional 3"/>
    <d v="2026-09-02T16:03:57"/>
    <d v="2026-09-02T16:06:01"/>
    <n v="69382512"/>
    <m/>
    <n v="146372103317"/>
    <s v="CV PRESTASI ANAK BANGSA"/>
    <s v="ODP-BJR-FJ/145 FJ/D10/145.01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SURVEY_NEW_MANJA"/>
    <s v="X"/>
    <s v="NO ADDON"/>
    <m/>
    <s v="MIE - SEND SURVEY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m/>
    <m/>
    <m/>
    <e v="#NUM!"/>
    <e v="#NUM!"/>
    <x v="0"/>
    <x v="1"/>
  </r>
  <r>
    <n v="72"/>
    <n v="1002567022"/>
    <n v="3"/>
    <x v="7"/>
    <n v="5"/>
    <s v="MALANG"/>
    <s v="KEPANJEN"/>
    <s v="TUR"/>
    <s v="REG"/>
    <s v="AO"/>
    <s v="NEW SALES"/>
    <m/>
    <s v="MIE - SEND SURVEY"/>
    <s v="RBS-Regional 3"/>
    <d v="2026-09-02T10:16:15"/>
    <d v="2026-09-02T15:00:04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m/>
    <m/>
    <m/>
    <e v="#NUM!"/>
    <e v="#NUM!"/>
    <x v="0"/>
    <x v="16"/>
  </r>
  <r>
    <n v="73"/>
    <n v="1002567049"/>
    <n v="3"/>
    <x v="7"/>
    <n v="5"/>
    <s v="MALANG"/>
    <s v="KEPANJEN"/>
    <s v="TUR"/>
    <s v="REG"/>
    <s v="AO"/>
    <s v="NEW SALES"/>
    <m/>
    <s v="MIE - SEND SURVEY"/>
    <s v="RBS-Regional 3"/>
    <d v="2026-09-02T10:21:44"/>
    <d v="2026-09-02T15:00:01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m/>
    <m/>
    <m/>
    <e v="#NUM!"/>
    <e v="#NUM!"/>
    <x v="0"/>
    <x v="16"/>
  </r>
  <r>
    <n v="74"/>
    <n v="1002567011"/>
    <n v="3"/>
    <x v="2"/>
    <n v="4"/>
    <s v="PEKALONGAN"/>
    <s v="SLAWI"/>
    <s v="SLW"/>
    <s v="REG"/>
    <s v="AO"/>
    <s v="NEW SALES"/>
    <m/>
    <s v="MIE - SEND SURVEY"/>
    <s v="RBS-Regional 3"/>
    <d v="2026-09-02T10:10:57"/>
    <d v="2026-09-02T15:22:01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1"/>
  </r>
  <r>
    <n v="75"/>
    <n v="1002567524"/>
    <n v="3"/>
    <x v="3"/>
    <n v="5"/>
    <s v="MATARAM"/>
    <s v="LOMBOK TIMUR UTARA"/>
    <s v="SGG"/>
    <s v="REG"/>
    <s v="AO"/>
    <s v="NEW SALES"/>
    <s v="1P INET"/>
    <s v="MIE - SEND SURVEY"/>
    <s v="RBS-Regional 3"/>
    <d v="2026-09-02T12:54:56"/>
    <d v="2026-09-02T12:56:01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SURVEY_NEW_MANJA"/>
    <s v="LOMBOK UTARA"/>
    <s v="NO ADDON"/>
    <m/>
    <s v="MIE - SEND SURVEY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2"/>
  </r>
  <r>
    <n v="76"/>
    <n v="1002567530"/>
    <n v="3"/>
    <x v="3"/>
    <n v="5"/>
    <s v="MATARAM"/>
    <s v="INNER - NUSA TENGGARA"/>
    <s v="MTR"/>
    <s v="REG"/>
    <s v="AO"/>
    <s v="NEW SALES"/>
    <s v="1P INET"/>
    <s v="MIE - SEND SURVEY"/>
    <s v="RBS-Regional 3"/>
    <d v="2026-09-02T12:57:58"/>
    <d v="2026-09-02T13:00:0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SURVEY_NEW_MANJA"/>
    <s v="X"/>
    <s v="NO ADDON"/>
    <m/>
    <s v="MIE - SEND SURVEY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9"/>
  </r>
  <r>
    <n v="77"/>
    <n v="1002567529"/>
    <n v="3"/>
    <x v="2"/>
    <n v="4"/>
    <s v="SEMARANG"/>
    <s v="INNER - SEMARANG JATENG UTARA"/>
    <s v="JHR"/>
    <s v="REG"/>
    <s v="AO"/>
    <s v="NEW SALES"/>
    <s v="1P INET"/>
    <s v="MIE - SEND SURVEY"/>
    <s v="RBS-Regional 3"/>
    <d v="2026-09-02T12:57:57"/>
    <d v="2026-09-02T13:00:02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m/>
    <s v="SURVEY_NEW_MANJA"/>
    <s v="JOHAR"/>
    <s v="NO ADDON"/>
    <m/>
    <s v="MIE - SEND SURVEY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1"/>
  </r>
  <r>
    <n v="78"/>
    <n v="1002567147"/>
    <n v="3"/>
    <x v="2"/>
    <n v="4"/>
    <s v="PEKALONGAN"/>
    <s v="BREBES"/>
    <s v="KTM"/>
    <s v="REG"/>
    <s v="AO"/>
    <s v="NEW SALES"/>
    <s v="1P INET"/>
    <s v="MIE - SEND SURVEY"/>
    <s v="RBS-Regional 3"/>
    <d v="2026-09-02T10:44:56"/>
    <d v="2026-09-02T10:46:01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m/>
    <s v="SURVEY_NEW_MANJA"/>
    <s v="KETANGGUNGAN"/>
    <s v="NO ADDON"/>
    <m/>
    <s v="MIE - SEND SURVEY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1"/>
  </r>
  <r>
    <n v="79"/>
    <n v="1002566014"/>
    <n v="3"/>
    <x v="1"/>
    <n v="4"/>
    <s v="SOLO"/>
    <s v="INNER - SOLO JATENG TIMUR"/>
    <s v="SOP"/>
    <s v="REG"/>
    <s v="AO"/>
    <s v="NEW SALES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  <x v="1"/>
  </r>
  <r>
    <n v="80"/>
    <n v="1002566360"/>
    <n v="3"/>
    <x v="5"/>
    <n v="4"/>
    <s v="PURWOKERTO"/>
    <s v="BANJARNEGARA"/>
    <s v="BJR"/>
    <s v="REG"/>
    <s v="AO"/>
    <s v="NEW SALES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  <x v="1"/>
  </r>
  <r>
    <n v="81"/>
    <n v="1002564406"/>
    <n v="3"/>
    <x v="3"/>
    <n v="5"/>
    <s v="MATARAM"/>
    <s v="INNER - NUSA TENGGARA"/>
    <s v="MTR"/>
    <s v="REG"/>
    <s v="AO"/>
    <s v="NEW SALES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  <x v="9"/>
  </r>
  <r>
    <n v="82"/>
    <n v="1002564380"/>
    <n v="3"/>
    <x v="5"/>
    <n v="4"/>
    <s v="YOGYAKARTA"/>
    <s v="INNER - YOGYA JATENG SELATAN"/>
    <s v="KBU"/>
    <s v="REG"/>
    <s v="AO"/>
    <s v="NEW SALES"/>
    <m/>
    <s v="MIE - SEND SURVEY"/>
    <s v="RBS-Regional 2"/>
    <d v="2026-09-01T09:27:38"/>
    <d v="2026-09-02T13:58:01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1"/>
  </r>
  <r>
    <n v="83"/>
    <n v="1002564622"/>
    <n v="3"/>
    <x v="1"/>
    <n v="4"/>
    <s v="SOLO"/>
    <s v="INNER - SOLO JATENG TIMUR"/>
    <s v="MSO"/>
    <s v="REG"/>
    <s v="AO"/>
    <s v="NEW SALES"/>
    <m/>
    <s v="MIE - SEND SURVEY"/>
    <s v="RBS-Regional 3"/>
    <d v="2026-09-01T10:08:08"/>
    <d v="2026-09-02T12:26:02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m/>
    <m/>
    <m/>
    <e v="#NUM!"/>
    <e v="#NUM!"/>
    <x v="0"/>
    <x v="1"/>
  </r>
  <r>
    <n v="84"/>
    <n v="1002564895"/>
    <n v="3"/>
    <x v="3"/>
    <n v="5"/>
    <s v="MATARAM"/>
    <s v="LOMBOK BARAT TENGAH"/>
    <s v="GER"/>
    <s v="REG"/>
    <s v="AO"/>
    <s v="NEW SALES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  <x v="2"/>
  </r>
  <r>
    <n v="85"/>
    <n v="1002565594"/>
    <n v="3"/>
    <x v="3"/>
    <n v="5"/>
    <s v="MATARAM"/>
    <s v="LOMBOK BARAT TENGAH"/>
    <s v="GER"/>
    <s v="REG"/>
    <s v="AO"/>
    <s v="NEW SALES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  <x v="2"/>
  </r>
  <r>
    <n v="86"/>
    <n v="1002566429"/>
    <n v="3"/>
    <x v="4"/>
    <n v="5"/>
    <s v="DENPASAR"/>
    <s v="SANUR"/>
    <s v="SAU"/>
    <s v="REG"/>
    <s v="AO"/>
    <s v="NEW SALES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"/>
  </r>
  <r>
    <n v="87"/>
    <n v="1002564240"/>
    <n v="3"/>
    <x v="3"/>
    <n v="5"/>
    <s v="MATARAM"/>
    <s v="LOMBOK BARAT TENGAH"/>
    <s v="GER"/>
    <s v="REG"/>
    <s v="AO"/>
    <s v="NEW SALES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"/>
  </r>
  <r>
    <n v="88"/>
    <n v="1002566294"/>
    <n v="3"/>
    <x v="7"/>
    <n v="5"/>
    <s v="MALANG"/>
    <s v="KEPANJEN"/>
    <s v="BRG"/>
    <s v="REG"/>
    <s v="AO"/>
    <s v="NEW SALES"/>
    <m/>
    <s v="MIE - SEND SURVEY"/>
    <s v="RBS-Regional 3"/>
    <d v="2026-09-01T16:46:18"/>
    <d v="2026-09-02T12:04:07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SURVEY_NEW_MANJA"/>
    <s v="SAWOJAJ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m/>
    <m/>
    <m/>
    <e v="#NUM!"/>
    <e v="#NUM!"/>
    <x v="0"/>
    <x v="16"/>
  </r>
  <r>
    <n v="89"/>
    <n v="1002566159"/>
    <n v="3"/>
    <x v="1"/>
    <n v="4"/>
    <s v="SOLO"/>
    <s v="INNER - SOLO JATENG TIMUR"/>
    <s v="MSO"/>
    <s v="REG"/>
    <s v="AO"/>
    <s v="NEW SALES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  <x v="1"/>
  </r>
  <r>
    <n v="90"/>
    <n v="1002567365"/>
    <n v="3"/>
    <x v="6"/>
    <n v="5"/>
    <s v="SBY UTARA"/>
    <s v="TANDES"/>
    <s v="KNN"/>
    <s v="REG"/>
    <s v="AO"/>
    <s v="NEW SALES"/>
    <m/>
    <s v="QC MIA - INVALID QUALITY CONTROL MIA"/>
    <s v="RBS-Regional 3"/>
    <d v="2026-09-02T11:55:49"/>
    <d v="2026-09-02T14:52:44"/>
    <n v="69382219"/>
    <m/>
    <n v="152412249119"/>
    <s v="PT. TRIJAYA SPORTECH"/>
    <s v="ODP-KND-FAA/08"/>
    <m/>
    <m/>
    <m/>
    <m/>
    <n v="112.6592418"/>
    <n v="-7.2758864000000001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m/>
    <m/>
    <m/>
    <d v="2026-02-09T12:09:56"/>
    <m/>
    <m/>
    <s v="QC1"/>
    <s v="KANDANG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91"/>
    <n v="1002566559"/>
    <n v="3"/>
    <x v="6"/>
    <n v="5"/>
    <s v="SBY UTARA"/>
    <s v="MANYAR"/>
    <s v="MGO"/>
    <s v="REG"/>
    <s v="AO"/>
    <s v="NEW SALES"/>
    <s v="1P INET"/>
    <s v="MIA - INVALID SURVEY"/>
    <s v="RBS-Regional 3"/>
    <d v="2026-09-02T07:21:56"/>
    <d v="2026-09-02T21:40:11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m/>
    <s v="SURVEY_NEW_MANJA"/>
    <s v="MERGOYOSO"/>
    <s v="NO ADDON"/>
    <m/>
    <s v="MIE - INVALID SURVEY - Kendala Jalur/Rute Tarikan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8"/>
  </r>
  <r>
    <n v="92"/>
    <n v="1002567328"/>
    <n v="3"/>
    <x v="6"/>
    <n v="5"/>
    <s v="SBY UTARA"/>
    <s v="MANYAR"/>
    <s v="MGO"/>
    <s v="REG"/>
    <s v="AO"/>
    <s v="NEW SALES"/>
    <s v="1P INET"/>
    <s v="MIA - INVALID SURVEY"/>
    <s v="RBS-Regional 3"/>
    <d v="2026-09-02T11:36:57"/>
    <d v="2026-09-02T21:39:15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SURVEY_NEW_MANJA"/>
    <s v="MERGOYOSO"/>
    <s v="NO ADDON"/>
    <m/>
    <s v="MIE - INVALID SURVEY - Kendala Jalur/Rute Tarikan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8"/>
  </r>
  <r>
    <n v="93"/>
    <n v="1002567211"/>
    <n v="3"/>
    <x v="6"/>
    <n v="5"/>
    <s v="SBY UTARA"/>
    <s v="MANYAR"/>
    <s v="MGO"/>
    <s v="REG"/>
    <s v="AO"/>
    <s v="NEW SALES"/>
    <s v="1P INET"/>
    <s v="MIA - INVALID SURVEY"/>
    <s v="RBS-Regional 3"/>
    <d v="2026-09-02T11:02:56"/>
    <d v="2026-09-02T21:41:09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SURVEY_NEW_MANJA"/>
    <s v="MERGOYOSO"/>
    <s v="OCA"/>
    <m/>
    <s v="MIE - INVALID SURVEY - Kendala Jalur/Rute Tarikan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8"/>
  </r>
  <r>
    <n v="94"/>
    <n v="1002564024"/>
    <n v="3"/>
    <x v="6"/>
    <n v="5"/>
    <s v="MADURA"/>
    <s v="BANGKALAN"/>
    <s v="KPP"/>
    <s v="REG"/>
    <s v="AO"/>
    <s v="NEW SALES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7"/>
  </r>
  <r>
    <n v="95"/>
    <n v="1002564716"/>
    <n v="3"/>
    <x v="6"/>
    <n v="5"/>
    <s v="MADURA"/>
    <s v="BANGKALAN"/>
    <s v="OMB"/>
    <s v="REG"/>
    <s v="AO"/>
    <s v="NEW SALES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7"/>
  </r>
  <r>
    <n v="96"/>
    <n v="1002566030"/>
    <n v="3"/>
    <x v="7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16"/>
  </r>
  <r>
    <n v="97"/>
    <n v="1002565040"/>
    <n v="3"/>
    <x v="6"/>
    <n v="5"/>
    <s v="SBY UTARA"/>
    <s v="LAMONGAN"/>
    <s v="BBA"/>
    <s v="REG"/>
    <s v="AO"/>
    <s v="NEW SALES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4"/>
  </r>
  <r>
    <n v="98"/>
    <n v="1002567333"/>
    <n v="3"/>
    <x v="5"/>
    <n v="4"/>
    <s v="YOGYAKARTA"/>
    <s v="INNER - YOGYA JATENG SELATAN"/>
    <s v="PGR"/>
    <s v="REG"/>
    <s v="AO"/>
    <s v="NEW SALES"/>
    <m/>
    <s v="8 | OSS - PONR"/>
    <s v="RBS-Regional 3"/>
    <d v="2026-09-02T11:39:46"/>
    <d v="2026-09-03T09:19:52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m/>
    <m/>
    <m/>
    <e v="#NUM!"/>
    <e v="#NUM!"/>
    <x v="0"/>
    <x v="1"/>
  </r>
  <r>
    <n v="99"/>
    <n v="1002566722"/>
    <n v="3"/>
    <x v="5"/>
    <n v="4"/>
    <s v="MAGELANG"/>
    <s v="WONOSOBO"/>
    <s v="WOS"/>
    <s v="REG"/>
    <s v="AO"/>
    <s v="NEW SALES"/>
    <s v="1P INET"/>
    <s v="8 | OSS - PONR"/>
    <s v="RBS-Regional 3"/>
    <d v="2026-09-02T08:51:56"/>
    <d v="2026-09-02T12:32:23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ACT_COM"/>
    <s v="X"/>
    <s v="NO ADDON"/>
    <m/>
    <s v="PONR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m/>
    <m/>
    <m/>
    <e v="#NUM!"/>
    <e v="#NUM!"/>
    <x v="0"/>
    <x v="1"/>
  </r>
  <r>
    <n v="100"/>
    <n v="1002564112"/>
    <n v="3"/>
    <x v="3"/>
    <n v="5"/>
    <s v="MATARAM"/>
    <s v="BIMA"/>
    <s v="SAP"/>
    <s v="REG"/>
    <s v="AO"/>
    <s v="NEW SALES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  <x v="18"/>
  </r>
  <r>
    <n v="101"/>
    <n v="1002564319"/>
    <n v="3"/>
    <x v="3"/>
    <n v="5"/>
    <s v="MATARAM"/>
    <s v="BIMA"/>
    <s v="BIM"/>
    <s v="REG"/>
    <s v="AO"/>
    <s v="NEW SALES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  <x v="18"/>
  </r>
  <r>
    <n v="102"/>
    <n v="1002566558"/>
    <n v="3"/>
    <x v="6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4"/>
  </r>
  <r>
    <n v="103"/>
    <n v="1002567799"/>
    <n v="3"/>
    <x v="2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1"/>
  </r>
  <r>
    <n v="104"/>
    <n v="1002567809"/>
    <n v="3"/>
    <x v="2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1"/>
  </r>
  <r>
    <n v="105"/>
    <n v="1002566950"/>
    <n v="3"/>
    <x v="7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6"/>
  </r>
  <r>
    <n v="106"/>
    <n v="1002566886"/>
    <n v="3"/>
    <x v="7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19"/>
  </r>
  <r>
    <n v="107"/>
    <n v="1002566921"/>
    <n v="3"/>
    <x v="2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1"/>
  </r>
  <r>
    <n v="108"/>
    <n v="1002567302"/>
    <n v="3"/>
    <x v="1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1"/>
  </r>
  <r>
    <n v="109"/>
    <n v="1002567508"/>
    <n v="3"/>
    <x v="4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"/>
  </r>
  <r>
    <n v="110"/>
    <n v="1002567521"/>
    <n v="3"/>
    <x v="1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1"/>
  </r>
  <r>
    <n v="111"/>
    <n v="1002567513"/>
    <n v="3"/>
    <x v="3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9"/>
  </r>
  <r>
    <n v="112"/>
    <n v="1002567512"/>
    <n v="3"/>
    <x v="4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"/>
  </r>
  <r>
    <n v="113"/>
    <n v="1002567503"/>
    <n v="3"/>
    <x v="2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1"/>
  </r>
  <r>
    <n v="114"/>
    <n v="1002568520"/>
    <n v="3"/>
    <x v="3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2"/>
  </r>
  <r>
    <n v="115"/>
    <n v="1002568199"/>
    <n v="3"/>
    <x v="1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1"/>
  </r>
  <r>
    <n v="116"/>
    <n v="1002567254"/>
    <n v="3"/>
    <x v="3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20"/>
  </r>
  <r>
    <n v="117"/>
    <n v="1002567272"/>
    <n v="3"/>
    <x v="0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1"/>
  </r>
  <r>
    <n v="118"/>
    <n v="1002567574"/>
    <n v="3"/>
    <x v="5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1"/>
  </r>
  <r>
    <n v="119"/>
    <n v="1002568118"/>
    <n v="3"/>
    <x v="3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2"/>
  </r>
  <r>
    <n v="120"/>
    <n v="1002567608"/>
    <n v="3"/>
    <x v="4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22"/>
  </r>
  <r>
    <n v="121"/>
    <n v="1002567630"/>
    <n v="3"/>
    <x v="4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22"/>
  </r>
  <r>
    <n v="122"/>
    <n v="1002567620"/>
    <n v="3"/>
    <x v="4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22"/>
  </r>
  <r>
    <n v="123"/>
    <n v="1002567446"/>
    <n v="3"/>
    <x v="5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1"/>
  </r>
  <r>
    <n v="124"/>
    <n v="1002567231"/>
    <n v="3"/>
    <x v="0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1"/>
  </r>
  <r>
    <n v="125"/>
    <n v="1002567226"/>
    <n v="3"/>
    <x v="5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1"/>
  </r>
  <r>
    <n v="126"/>
    <n v="1002567225"/>
    <n v="3"/>
    <x v="7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23"/>
  </r>
  <r>
    <n v="127"/>
    <n v="1002567199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1"/>
  </r>
  <r>
    <n v="128"/>
    <n v="1002568293"/>
    <n v="3"/>
    <x v="2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1"/>
  </r>
  <r>
    <n v="129"/>
    <n v="1002566882"/>
    <n v="3"/>
    <x v="7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9"/>
  </r>
  <r>
    <n v="130"/>
    <n v="1002566836"/>
    <n v="3"/>
    <x v="7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3"/>
  </r>
  <r>
    <n v="131"/>
    <n v="1002566565"/>
    <n v="3"/>
    <x v="1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1"/>
  </r>
  <r>
    <n v="132"/>
    <n v="1002567058"/>
    <n v="3"/>
    <x v="7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16"/>
  </r>
  <r>
    <n v="133"/>
    <n v="1002566710"/>
    <n v="3"/>
    <x v="7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19"/>
  </r>
  <r>
    <n v="134"/>
    <n v="1002567152"/>
    <n v="3"/>
    <x v="7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135"/>
    <n v="1002567545"/>
    <n v="3"/>
    <x v="7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24"/>
  </r>
  <r>
    <n v="136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5"/>
  </r>
  <r>
    <n v="137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5"/>
  </r>
  <r>
    <n v="138"/>
    <n v="1002564394"/>
    <n v="3"/>
    <x v="3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20"/>
  </r>
  <r>
    <n v="139"/>
    <n v="1002564794"/>
    <n v="3"/>
    <x v="3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18"/>
  </r>
  <r>
    <n v="140"/>
    <n v="1002564072"/>
    <n v="3"/>
    <x v="5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1"/>
  </r>
  <r>
    <n v="141"/>
    <n v="1002564446"/>
    <n v="3"/>
    <x v="7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23"/>
  </r>
  <r>
    <n v="142"/>
    <n v="1002564395"/>
    <n v="3"/>
    <x v="0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1"/>
  </r>
  <r>
    <n v="143"/>
    <n v="1002564057"/>
    <n v="3"/>
    <x v="5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1"/>
  </r>
  <r>
    <n v="144"/>
    <n v="1002564025"/>
    <n v="3"/>
    <x v="3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20"/>
  </r>
  <r>
    <n v="145"/>
    <n v="1002565129"/>
    <n v="3"/>
    <x v="2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1"/>
  </r>
  <r>
    <n v="146"/>
    <n v="1002564592"/>
    <n v="3"/>
    <x v="0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5"/>
  </r>
  <r>
    <n v="147"/>
    <n v="1002565224"/>
    <n v="3"/>
    <x v="6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4"/>
  </r>
  <r>
    <n v="148"/>
    <n v="1002564429"/>
    <n v="3"/>
    <x v="6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8"/>
  </r>
  <r>
    <n v="149"/>
    <n v="1002564751"/>
    <n v="3"/>
    <x v="0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5"/>
  </r>
  <r>
    <n v="150"/>
    <n v="1002564376"/>
    <n v="3"/>
    <x v="1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1"/>
  </r>
  <r>
    <n v="151"/>
    <n v="1002564818"/>
    <n v="3"/>
    <x v="5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1"/>
  </r>
  <r>
    <n v="152"/>
    <n v="1002566468"/>
    <n v="3"/>
    <x v="0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5"/>
  </r>
  <r>
    <n v="153"/>
    <n v="1002566472"/>
    <n v="3"/>
    <x v="1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1"/>
  </r>
  <r>
    <n v="154"/>
    <n v="1002565810"/>
    <n v="3"/>
    <x v="0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1"/>
  </r>
  <r>
    <n v="155"/>
    <n v="1002565759"/>
    <n v="3"/>
    <x v="1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1"/>
  </r>
  <r>
    <n v="156"/>
    <n v="1002565180"/>
    <n v="3"/>
    <x v="3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2"/>
  </r>
  <r>
    <n v="157"/>
    <n v="1002565851"/>
    <n v="3"/>
    <x v="5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1"/>
  </r>
  <r>
    <n v="158"/>
    <n v="1002565160"/>
    <n v="3"/>
    <x v="6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8"/>
  </r>
  <r>
    <n v="159"/>
    <n v="1002565854"/>
    <n v="3"/>
    <x v="2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1"/>
  </r>
  <r>
    <n v="160"/>
    <n v="1002566045"/>
    <n v="3"/>
    <x v="1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1"/>
  </r>
  <r>
    <n v="161"/>
    <n v="1002565201"/>
    <n v="3"/>
    <x v="1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1"/>
  </r>
  <r>
    <n v="162"/>
    <n v="1002565198"/>
    <n v="3"/>
    <x v="6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4"/>
  </r>
  <r>
    <n v="163"/>
    <n v="1002565668"/>
    <n v="3"/>
    <x v="3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9"/>
  </r>
  <r>
    <n v="164"/>
    <n v="1002566034"/>
    <n v="3"/>
    <x v="3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8"/>
  </r>
  <r>
    <n v="165"/>
    <n v="1002564469"/>
    <n v="3"/>
    <x v="5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1"/>
  </r>
  <r>
    <n v="166"/>
    <n v="1002564921"/>
    <n v="3"/>
    <x v="3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9"/>
  </r>
  <r>
    <n v="167"/>
    <n v="1002564898"/>
    <n v="3"/>
    <x v="4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26"/>
  </r>
  <r>
    <n v="168"/>
    <n v="1002564914"/>
    <n v="3"/>
    <x v="7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27"/>
  </r>
  <r>
    <n v="169"/>
    <n v="1002564483"/>
    <n v="3"/>
    <x v="3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18"/>
  </r>
  <r>
    <n v="170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28"/>
  </r>
  <r>
    <n v="171"/>
    <n v="1002564906"/>
    <n v="3"/>
    <x v="5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1"/>
  </r>
  <r>
    <n v="172"/>
    <n v="1002564932"/>
    <n v="3"/>
    <x v="5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1"/>
  </r>
  <r>
    <n v="173"/>
    <n v="1002564905"/>
    <n v="3"/>
    <x v="6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6"/>
  </r>
  <r>
    <n v="174"/>
    <n v="1002564503"/>
    <n v="3"/>
    <x v="1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1"/>
  </r>
  <r>
    <n v="175"/>
    <n v="1002565698"/>
    <n v="3"/>
    <x v="3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9"/>
  </r>
  <r>
    <n v="176"/>
    <n v="1002564495"/>
    <n v="3"/>
    <x v="6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8"/>
  </r>
  <r>
    <n v="177"/>
    <n v="1002566276"/>
    <n v="3"/>
    <x v="5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1"/>
  </r>
  <r>
    <n v="178"/>
    <n v="1002565406"/>
    <n v="3"/>
    <x v="7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27"/>
  </r>
  <r>
    <n v="179"/>
    <n v="1002565062"/>
    <n v="3"/>
    <x v="3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2"/>
  </r>
  <r>
    <n v="180"/>
    <n v="1002566521"/>
    <n v="3"/>
    <x v="1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1"/>
  </r>
  <r>
    <n v="181"/>
    <n v="1002566093"/>
    <n v="3"/>
    <x v="6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8"/>
  </r>
  <r>
    <n v="182"/>
    <n v="1002564164"/>
    <n v="3"/>
    <x v="6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8"/>
  </r>
  <r>
    <n v="183"/>
    <n v="1002564167"/>
    <n v="3"/>
    <x v="3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9"/>
  </r>
  <r>
    <n v="184"/>
    <n v="1002565076"/>
    <n v="3"/>
    <x v="1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1"/>
  </r>
  <r>
    <n v="185"/>
    <n v="1002565865"/>
    <n v="3"/>
    <x v="7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23"/>
  </r>
  <r>
    <n v="186"/>
    <n v="1002566411"/>
    <n v="3"/>
    <x v="2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1"/>
  </r>
  <r>
    <n v="187"/>
    <n v="1002564644"/>
    <n v="3"/>
    <x v="5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1"/>
  </r>
  <r>
    <n v="188"/>
    <n v="1002565046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1"/>
  </r>
  <r>
    <n v="189"/>
    <n v="1002565053"/>
    <n v="3"/>
    <x v="2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1"/>
  </r>
  <r>
    <n v="190"/>
    <n v="1002564711"/>
    <n v="3"/>
    <x v="5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1"/>
  </r>
  <r>
    <n v="191"/>
    <n v="1002565535"/>
    <n v="3"/>
    <x v="1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1"/>
  </r>
  <r>
    <n v="192"/>
    <n v="1002564963"/>
    <n v="3"/>
    <x v="0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5"/>
  </r>
  <r>
    <n v="193"/>
    <n v="1002564992"/>
    <n v="3"/>
    <x v="6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4"/>
  </r>
  <r>
    <n v="194"/>
    <n v="1002565516"/>
    <n v="3"/>
    <x v="0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5"/>
  </r>
  <r>
    <n v="195"/>
    <n v="1002565015"/>
    <n v="3"/>
    <x v="5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1"/>
  </r>
  <r>
    <n v="196"/>
    <n v="1002565519"/>
    <n v="3"/>
    <x v="2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1"/>
  </r>
  <r>
    <n v="197"/>
    <n v="1002564987"/>
    <n v="3"/>
    <x v="2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1"/>
  </r>
  <r>
    <n v="198"/>
    <n v="1002565560"/>
    <n v="3"/>
    <x v="1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1"/>
  </r>
  <r>
    <n v="199"/>
    <n v="1002565555"/>
    <n v="3"/>
    <x v="3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2"/>
  </r>
  <r>
    <n v="200"/>
    <n v="1002565542"/>
    <n v="3"/>
    <x v="2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1"/>
  </r>
  <r>
    <n v="201"/>
    <n v="1002564957"/>
    <n v="3"/>
    <x v="1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1"/>
  </r>
  <r>
    <n v="202"/>
    <n v="1002564132"/>
    <n v="3"/>
    <x v="5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1"/>
  </r>
  <r>
    <n v="203"/>
    <n v="1002565586"/>
    <n v="3"/>
    <x v="0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5"/>
  </r>
  <r>
    <n v="204"/>
    <n v="1002564360"/>
    <n v="3"/>
    <x v="6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8"/>
  </r>
  <r>
    <n v="205"/>
    <n v="1002564309"/>
    <n v="3"/>
    <x v="0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1"/>
  </r>
  <r>
    <n v="206"/>
    <n v="1002566447"/>
    <n v="3"/>
    <x v="3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2"/>
  </r>
  <r>
    <n v="207"/>
    <n v="1002566441"/>
    <n v="3"/>
    <x v="0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5"/>
  </r>
  <r>
    <n v="208"/>
    <n v="1002566432"/>
    <n v="3"/>
    <x v="7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6"/>
  </r>
  <r>
    <n v="209"/>
    <n v="1002566437"/>
    <n v="3"/>
    <x v="2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"/>
  </r>
  <r>
    <n v="210"/>
    <n v="1002566415"/>
    <n v="3"/>
    <x v="3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2"/>
  </r>
  <r>
    <n v="211"/>
    <n v="1002564252"/>
    <n v="3"/>
    <x v="0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212"/>
    <n v="1002564257"/>
    <n v="3"/>
    <x v="2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1"/>
  </r>
  <r>
    <n v="213"/>
    <n v="1002566137"/>
    <n v="3"/>
    <x v="7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16"/>
  </r>
  <r>
    <n v="214"/>
    <n v="1002566283"/>
    <n v="3"/>
    <x v="7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16"/>
  </r>
  <r>
    <n v="215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28"/>
  </r>
  <r>
    <n v="216"/>
    <n v="1002566131"/>
    <n v="3"/>
    <x v="5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1"/>
  </r>
  <r>
    <n v="217"/>
    <n v="1002566337"/>
    <n v="3"/>
    <x v="0"/>
    <n v="5"/>
    <s v="SIDOARJO"/>
    <s v="JOMBANG"/>
    <s v="MOJ"/>
    <s v="REG"/>
    <s v="AO"/>
    <s v="NEW SALES"/>
    <s v="1P INET"/>
    <s v="OSS - PROVISIONING DESAIN"/>
    <s v="RBS-Regional 3"/>
    <d v="2026-09-01T16:54:56"/>
    <d v="2026-09-02T17:03:19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RE_PI"/>
    <s v="JOMBANG"/>
    <s v="NO ADDON"/>
    <m/>
    <s v="Provisioning Designed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15"/>
  </r>
  <r>
    <n v="218"/>
    <n v="1002566996"/>
    <n v="3"/>
    <x v="3"/>
    <n v="5"/>
    <s v="KUPANG"/>
    <s v="ATAMBUA"/>
    <s v="KEF"/>
    <s v="REG"/>
    <s v="AO"/>
    <s v="NEW SALES"/>
    <s v="1P INET"/>
    <s v="7 | OSS - PROVISIONING ISSUED"/>
    <s v="RBS-Regional 3"/>
    <d v="2026-09-02T10:06:56"/>
    <d v="2026-09-03T08:06:10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  <x v="29"/>
  </r>
  <r>
    <n v="219"/>
    <n v="1002566938"/>
    <n v="3"/>
    <x v="1"/>
    <n v="4"/>
    <s v="SOLO"/>
    <s v="INNER - SOLO JATENG TIMUR"/>
    <s v="GLD"/>
    <s v="REG"/>
    <s v="AO"/>
    <s v="NEW SALES"/>
    <m/>
    <s v="7 | OSS - PROVISIONING ISSUED"/>
    <s v="RBS-Regional 2"/>
    <d v="2026-09-02T09:53:56"/>
    <d v="2026-09-03T08:06:46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1"/>
  </r>
  <r>
    <n v="220"/>
    <n v="1002566926"/>
    <n v="3"/>
    <x v="4"/>
    <n v="5"/>
    <s v="SINGARJA"/>
    <s v="TABANAN"/>
    <s v="TBN"/>
    <s v="REG"/>
    <s v="AO"/>
    <s v="NEW SALES"/>
    <m/>
    <s v="7 | OSS - PROVISIONING ISSUED"/>
    <s v="RBS-Regional 3"/>
    <d v="2026-09-02T09:49:20"/>
    <d v="2026-09-03T08:05:42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4"/>
  </r>
  <r>
    <n v="221"/>
    <n v="1002567273"/>
    <n v="3"/>
    <x v="5"/>
    <n v="4"/>
    <s v="MAGELANG"/>
    <s v="TEMANGGUNG"/>
    <s v="PRN"/>
    <s v="REG"/>
    <s v="AO"/>
    <s v="NEW SALES"/>
    <s v="1P INET"/>
    <s v="7 | OSS - PROVISIONING ISSUED"/>
    <s v="RBS-Regional 3"/>
    <d v="2026-09-02T11:20:56"/>
    <d v="2026-09-03T08:06:30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I"/>
    <s v="PARAKAN"/>
    <s v="NO ADDON"/>
    <m/>
    <s v="Provisioning Issu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"/>
  </r>
  <r>
    <n v="222"/>
    <n v="1002566584"/>
    <n v="3"/>
    <x v="3"/>
    <n v="5"/>
    <s v="KUPANG"/>
    <s v="MAUMERE"/>
    <s v="MMR"/>
    <s v="REG"/>
    <s v="AO"/>
    <s v="NEW SALES"/>
    <s v="1P INET"/>
    <s v="7 | OSS - PROVISIONING ISSUED"/>
    <s v="RBS-Regional 3"/>
    <d v="2026-09-02T07:48:57"/>
    <d v="2026-09-02T17:40:33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I"/>
    <s v="X"/>
    <s v="NO ADDON"/>
    <m/>
    <s v="Provisioning Issu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m/>
    <m/>
    <m/>
    <e v="#NUM!"/>
    <e v="#NUM!"/>
    <x v="0"/>
    <x v="10"/>
  </r>
  <r>
    <n v="223"/>
    <n v="1002566762"/>
    <n v="3"/>
    <x v="6"/>
    <n v="5"/>
    <s v="SBY SELATAN"/>
    <s v="KETINTANG"/>
    <s v="RKT"/>
    <s v="REG"/>
    <s v="AO"/>
    <s v="NEW SALES"/>
    <s v="1P INET"/>
    <s v="7 | OSS - PROVISIONING ISSUED"/>
    <s v="RBS-Regional 3"/>
    <d v="2026-09-02T09:05:56"/>
    <d v="2026-09-03T08:07:48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m/>
    <s v="PI"/>
    <s v="RUNGKUT"/>
    <s v="NO ADDON"/>
    <m/>
    <s v="Provisioning Issu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8"/>
  </r>
  <r>
    <n v="224"/>
    <n v="1002567344"/>
    <n v="3"/>
    <x v="3"/>
    <n v="5"/>
    <s v="KUPANG"/>
    <s v="KUPANG"/>
    <s v="OSP"/>
    <s v="REG"/>
    <s v="AO"/>
    <s v="NEW SALES"/>
    <s v="1P INET"/>
    <s v="7 | OSS - PROVISIONING ISSUED"/>
    <s v="RBS-Regional 3"/>
    <d v="2026-09-02T11:41:56"/>
    <d v="2026-09-03T08:06:17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I"/>
    <s v="KUPANG"/>
    <s v="NO ADDON"/>
    <m/>
    <s v="Provisioning Issued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30"/>
  </r>
  <r>
    <n v="225"/>
    <n v="1002566793"/>
    <n v="3"/>
    <x v="2"/>
    <n v="4"/>
    <s v="PEKALONGAN"/>
    <s v="PEKALONGAN"/>
    <s v="PKL"/>
    <s v="REG"/>
    <s v="AO"/>
    <s v="NEW SALES"/>
    <s v="1P INET"/>
    <s v="7 | OSS - PROVISIONING ISSUED"/>
    <s v="RBS-Regional 3"/>
    <d v="2026-09-02T09:15:57"/>
    <d v="2026-09-03T08:06:04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1"/>
  </r>
  <r>
    <n v="226"/>
    <n v="1002566634"/>
    <n v="3"/>
    <x v="3"/>
    <n v="5"/>
    <s v="KUPANG"/>
    <s v="MAUMERE"/>
    <s v="LRT"/>
    <s v="REG"/>
    <s v="AO"/>
    <s v="NEW SALES"/>
    <s v="1P INET"/>
    <s v="7 | OSS - PROVISIONING ISSUED"/>
    <s v="RBS-Regional 3"/>
    <d v="2026-09-02T08:23:57"/>
    <d v="2026-09-03T08:06:19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  <x v="10"/>
  </r>
  <r>
    <n v="227"/>
    <n v="1002566611"/>
    <n v="3"/>
    <x v="3"/>
    <n v="5"/>
    <s v="KUPANG"/>
    <s v="KUPANG"/>
    <s v="KPN"/>
    <s v="REG"/>
    <s v="AO"/>
    <s v="NEW SALES"/>
    <s v="1P INET"/>
    <s v="7 | OSS - PROVISIONING ISSUED"/>
    <s v="RBS-Regional 3"/>
    <d v="2026-09-02T08:15:57"/>
    <d v="2026-09-03T08:06:53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I"/>
    <s v="KUPANG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"/>
    <m/>
    <m/>
    <m/>
    <e v="#NUM!"/>
    <e v="#NUM!"/>
    <x v="0"/>
    <x v="30"/>
  </r>
  <r>
    <n v="228"/>
    <n v="1002566719"/>
    <n v="3"/>
    <x v="6"/>
    <n v="5"/>
    <s v="SBY UTARA"/>
    <s v="TANDES"/>
    <s v="BBE"/>
    <s v="REG"/>
    <s v="AO"/>
    <s v="NEW SALES"/>
    <m/>
    <s v="7 | OSS - PROVISIONING ISSUED"/>
    <s v="RBS-Regional 3"/>
    <d v="2026-09-02T08:52:50"/>
    <d v="2026-09-03T08:05:38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m/>
    <s v="PI"/>
    <s v="BAMBE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6"/>
  </r>
  <r>
    <n v="229"/>
    <n v="1002567130"/>
    <n v="3"/>
    <x v="7"/>
    <n v="5"/>
    <s v="KEDIRI"/>
    <s v="KEDIRI"/>
    <s v="KDI"/>
    <s v="REG"/>
    <s v="AO"/>
    <s v="NEW SALES"/>
    <s v="1P INET"/>
    <s v="7 | OSS - PROVISIONING ISSUED"/>
    <s v="RBS-Regional 3"/>
    <d v="2026-09-02T10:39:57"/>
    <d v="2026-09-03T08:06:3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m/>
    <m/>
    <m/>
    <e v="#NUM!"/>
    <e v="#NUM!"/>
    <x v="0"/>
    <x v="23"/>
  </r>
  <r>
    <n v="230"/>
    <n v="1002566682"/>
    <n v="3"/>
    <x v="4"/>
    <n v="5"/>
    <s v="SINGARJA"/>
    <s v="TABANAN"/>
    <s v="TBN"/>
    <s v="REG"/>
    <s v="AO"/>
    <s v="NEW SALES"/>
    <m/>
    <s v="7 | OSS - PROVISIONING ISSUED"/>
    <s v="RBS-Regional 3"/>
    <d v="2026-09-02T08:39:33"/>
    <d v="2026-09-03T08:06:21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4"/>
  </r>
  <r>
    <n v="231"/>
    <n v="1002567158"/>
    <n v="3"/>
    <x v="2"/>
    <n v="4"/>
    <s v="PEKALONGAN"/>
    <s v="SLAWI"/>
    <s v="BLU"/>
    <s v="REG"/>
    <s v="AO"/>
    <s v="NEW SALES"/>
    <s v="1P INET"/>
    <s v="7 | OSS - PROVISIONING ISSUED"/>
    <s v="RBS-Regional 3"/>
    <d v="2026-09-02T10:47:56"/>
    <d v="2026-09-03T08:05:35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I"/>
    <s v="X"/>
    <s v="NO ADDON"/>
    <m/>
    <s v="Provisioning Issu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  <x v="1"/>
  </r>
  <r>
    <n v="232"/>
    <n v="1002566694"/>
    <n v="3"/>
    <x v="3"/>
    <n v="5"/>
    <s v="KUPANG"/>
    <s v="MAUMERE"/>
    <s v="LRT"/>
    <s v="REG"/>
    <s v="AO"/>
    <s v="NEW SALES"/>
    <s v="1P INET"/>
    <s v="7 | OSS - PROVISIONING ISSUED"/>
    <s v="RBS-Regional 3"/>
    <d v="2026-09-02T08:42:57"/>
    <d v="2026-09-03T08:05:37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  <x v="10"/>
  </r>
  <r>
    <n v="233"/>
    <n v="1002567171"/>
    <n v="3"/>
    <x v="1"/>
    <n v="4"/>
    <s v="SOLO"/>
    <s v="INNER - SOLO JATENG TIMUR"/>
    <s v="KRT"/>
    <s v="REG"/>
    <s v="AO"/>
    <s v="NEW SALES"/>
    <s v="1P INET"/>
    <s v="7 | OSS - PROVISIONING ISSUED"/>
    <s v="RBS-Regional 3"/>
    <d v="2026-09-02T10:51:57"/>
    <d v="2026-09-03T08:06:45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m/>
    <m/>
    <m/>
    <e v="#NUM!"/>
    <e v="#NUM!"/>
    <x v="0"/>
    <x v="1"/>
  </r>
  <r>
    <n v="234"/>
    <n v="1002566199"/>
    <n v="3"/>
    <x v="3"/>
    <n v="5"/>
    <s v="KUPANG"/>
    <s v="KUPANG"/>
    <s v="KPN"/>
    <s v="REG"/>
    <s v="AO"/>
    <s v="NEW SALES"/>
    <s v="1P INET"/>
    <s v="7 | OSS - PROVISIONING ISSUED"/>
    <s v="RBS-Regional 3"/>
    <d v="2026-09-01T16:18:56"/>
    <d v="2026-09-02T13:06:17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I"/>
    <s v="KUPANG"/>
    <s v="NO ADDON"/>
    <m/>
    <s v="Provisioning Issu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30"/>
  </r>
  <r>
    <n v="235"/>
    <n v="1002564623"/>
    <n v="3"/>
    <x v="7"/>
    <n v="5"/>
    <s v="KEDIRI"/>
    <s v="BLITAR"/>
    <s v="PAN"/>
    <s v="REG"/>
    <s v="AO"/>
    <s v="NEW SALES"/>
    <s v="1P INET"/>
    <s v="7 | OSS - PROVISIONING ISSUED"/>
    <s v="RBS-Regional 3"/>
    <d v="2026-09-01T10:06:56"/>
    <d v="2026-09-02T16:15:5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m/>
    <s v="PI"/>
    <s v="WLINGI"/>
    <s v="NO ADDON"/>
    <m/>
    <s v="Provisioning Issued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24"/>
  </r>
  <r>
    <n v="236"/>
    <n v="1002564858"/>
    <n v="3"/>
    <x v="3"/>
    <n v="5"/>
    <s v="MATARAM"/>
    <s v="SUMBAWA"/>
    <s v="ALA"/>
    <s v="REG"/>
    <s v="AO"/>
    <s v="NEW SALES"/>
    <s v="1P INET"/>
    <s v="7 | OSS - PROVISIONING ISSUED"/>
    <s v="RBS-Regional 3"/>
    <d v="2026-09-01T10:50:57"/>
    <d v="2026-09-02T09:57:13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PI"/>
    <s v="SUMBAWA TIMUR"/>
    <s v="NO ADDON"/>
    <m/>
    <s v="Provisioning Issued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20"/>
  </r>
  <r>
    <n v="237"/>
    <n v="1002564783"/>
    <n v="3"/>
    <x v="3"/>
    <n v="5"/>
    <s v="MATARAM"/>
    <s v="LOMBOK TIMUR UTARA"/>
    <s v="SGG"/>
    <s v="REG"/>
    <s v="AO"/>
    <s v="NEW SALES"/>
    <s v="1P INET"/>
    <s v="7 | OSS - PROVISIONING ISSUED"/>
    <s v="RBS-Regional 3"/>
    <d v="2026-09-01T10:38:56"/>
    <d v="2026-09-02T15:27:3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I"/>
    <s v="LOMBOK UTARA"/>
    <s v="NO ADDON"/>
    <m/>
    <s v="Provisioning Issu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  <x v="2"/>
  </r>
  <r>
    <n v="238"/>
    <n v="1002565482"/>
    <n v="3"/>
    <x v="2"/>
    <n v="4"/>
    <s v="SEMARANG"/>
    <s v="INNER - SEMARANG JATENG UTARA"/>
    <s v="SSL"/>
    <s v="REG"/>
    <s v="AO"/>
    <s v="NEW SALES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1"/>
  </r>
  <r>
    <n v="239"/>
    <n v="1002564593"/>
    <n v="3"/>
    <x v="3"/>
    <n v="5"/>
    <s v="MATARAM"/>
    <s v="LOMBOK BARAT TENGAH"/>
    <s v="PRY"/>
    <s v="REG"/>
    <s v="AO"/>
    <s v="NEW SALES"/>
    <s v="1P INET"/>
    <s v="7 | OSS - PROVISIONING ISSUED"/>
    <s v="RBS-Regional 3"/>
    <d v="2026-09-01T10:00:55"/>
    <d v="2026-09-02T10:57:29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PI"/>
    <s v="LOMBOK TENGAH"/>
    <s v="NO ADDON"/>
    <m/>
    <s v="Provisioning Issu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2"/>
  </r>
  <r>
    <n v="240"/>
    <n v="1002566497"/>
    <n v="3"/>
    <x v="3"/>
    <n v="5"/>
    <s v="KUPANG"/>
    <s v="KUPANG"/>
    <s v="BAA"/>
    <s v="REG"/>
    <s v="AO"/>
    <s v="NEW SALES"/>
    <s v="1P INET"/>
    <s v="7 | OSS - PROVISIONING ISSUED"/>
    <s v="RBS-Regional 3"/>
    <d v="2026-09-01T19:12:02"/>
    <d v="2026-09-03T08:06:33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I"/>
    <s v="X"/>
    <s v="NETMONK"/>
    <m/>
    <s v="Provisioning Issu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30"/>
  </r>
  <r>
    <n v="241"/>
    <n v="1002566474"/>
    <n v="3"/>
    <x v="1"/>
    <n v="4"/>
    <s v="KUDUS"/>
    <s v="PURWODADI"/>
    <s v="GBU"/>
    <s v="REG"/>
    <s v="AO"/>
    <s v="NEW SALES"/>
    <s v="1P INET"/>
    <s v="7 | OSS - PROVISIONING ISSUED"/>
    <s v="RBS-Regional 3"/>
    <d v="2026-09-01T18:36:56"/>
    <d v="2026-09-03T08:06:06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PI"/>
    <s v="GUBUG"/>
    <s v="NO ADDON"/>
    <m/>
    <s v="Provisioning Issu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1"/>
  </r>
  <r>
    <n v="242"/>
    <n v="1002565843"/>
    <n v="3"/>
    <x v="0"/>
    <n v="5"/>
    <s v="SIDOARJO"/>
    <s v="INNER - JATIM TIMUR"/>
    <s v="TUN"/>
    <s v="REG"/>
    <s v="AO"/>
    <s v="NEW SALES"/>
    <m/>
    <s v="7 | OSS - PROVISIONING ISSUED"/>
    <s v="RBS-Regional 3"/>
    <d v="2026-09-01T15:08:32"/>
    <d v="2026-09-02T17:04:17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I"/>
    <s v="TULANGAN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  <x v="17"/>
  </r>
  <r>
    <n v="243"/>
    <n v="1002565223"/>
    <n v="3"/>
    <x v="3"/>
    <n v="5"/>
    <s v="KUPANG"/>
    <s v="KUPANG"/>
    <s v="OSP"/>
    <s v="REG"/>
    <s v="AO"/>
    <s v="NEW SALES"/>
    <s v="1P INET"/>
    <s v="7 | OSS - PROVISIONING ISSUED"/>
    <s v="RBS-Regional 3"/>
    <d v="2026-09-01T12:21:58"/>
    <d v="2026-09-02T13:05:39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I"/>
    <s v="KUPANG"/>
    <s v="NO ADDON"/>
    <m/>
    <s v="Provisioning Issu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30"/>
  </r>
  <r>
    <n v="244"/>
    <n v="1002566046"/>
    <n v="3"/>
    <x v="3"/>
    <n v="5"/>
    <s v="KUPANG"/>
    <s v="LABOAN BAJO"/>
    <s v="RTE"/>
    <s v="REG"/>
    <s v="AO"/>
    <s v="NEW SALES"/>
    <s v="1P INET"/>
    <s v="7 | OSS - PROVISIONING ISSUED"/>
    <s v="RBS-Regional 3"/>
    <d v="2026-09-01T15:42:57"/>
    <d v="2026-09-02T13:06:46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I"/>
    <s v="X"/>
    <s v="NO ADDON"/>
    <m/>
    <s v="Provisioning Issu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31"/>
  </r>
  <r>
    <n v="245"/>
    <n v="1002564872"/>
    <n v="3"/>
    <x v="3"/>
    <n v="5"/>
    <s v="MATARAM"/>
    <s v="SUMBAWA"/>
    <s v="SBW"/>
    <s v="REG"/>
    <s v="AO"/>
    <s v="NEW SALES"/>
    <s v="1P INET"/>
    <s v="7 | OSS - PROVISIONING ISSUED"/>
    <s v="RBS-Regional 3"/>
    <d v="2026-09-01T10:54:56"/>
    <d v="2026-09-02T13:06:3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I"/>
    <s v="X"/>
    <s v="OCA"/>
    <m/>
    <s v="Provisioning Issu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  <x v="20"/>
  </r>
  <r>
    <n v="246"/>
    <n v="1002564524"/>
    <n v="3"/>
    <x v="1"/>
    <n v="4"/>
    <s v="SOLO"/>
    <s v="INNER - SOLO JATENG TIMUR"/>
    <s v="KRT"/>
    <s v="REG"/>
    <s v="AO"/>
    <s v="NEW SALES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1"/>
  </r>
  <r>
    <n v="247"/>
    <n v="1002565696"/>
    <n v="3"/>
    <x v="4"/>
    <n v="5"/>
    <s v="SINGARJA"/>
    <s v="GIANYAR"/>
    <s v="GIN"/>
    <s v="REG"/>
    <s v="AO"/>
    <s v="NEW SALES"/>
    <m/>
    <s v="7 | OSS - PROVISIONING ISSUED"/>
    <s v="RBS-Regional 3"/>
    <d v="2026-09-01T14:35:08"/>
    <d v="2026-09-03T08:06:01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26"/>
  </r>
  <r>
    <n v="248"/>
    <n v="1002566268"/>
    <n v="3"/>
    <x v="7"/>
    <n v="5"/>
    <s v="KEDIRI"/>
    <s v="KEDIRI"/>
    <s v="NDL"/>
    <s v="REG"/>
    <s v="AO"/>
    <s v="NEW SALES"/>
    <s v="1P INET"/>
    <s v="7 | OSS - PROVISIONING ISSUED"/>
    <s v="RBS-Regional 3"/>
    <d v="2026-09-01T16:36:56"/>
    <d v="2026-09-02T13:06:09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PI"/>
    <s v="NGADILUWIH"/>
    <s v="NO ADDON"/>
    <m/>
    <s v="Provisioning Issu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23"/>
  </r>
  <r>
    <n v="249"/>
    <n v="1002565310"/>
    <n v="3"/>
    <x v="3"/>
    <n v="5"/>
    <s v="MATARAM"/>
    <s v="SUMBAWA"/>
    <s v="TLW"/>
    <s v="REG"/>
    <s v="AO"/>
    <s v="NEW SALES"/>
    <s v="1P INET"/>
    <s v="7 | OSS - PROVISIONING ISSUED"/>
    <s v="RBS-Regional 3"/>
    <d v="2026-09-01T13:00:56"/>
    <d v="2026-09-02T13:05:4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PI"/>
    <s v="SUMBAWA BARAT"/>
    <s v="NO ADDON"/>
    <m/>
    <s v="Provisioning Issued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20"/>
  </r>
  <r>
    <n v="250"/>
    <n v="1002565915"/>
    <n v="3"/>
    <x v="3"/>
    <n v="5"/>
    <s v="KUPANG"/>
    <s v="KUPANG"/>
    <s v="KPN"/>
    <s v="REG"/>
    <s v="AO"/>
    <s v="NEW SALES"/>
    <s v="1P INET"/>
    <s v="7 | OSS - PROVISIONING ISSUED"/>
    <s v="RBS-Regional 3"/>
    <d v="2026-09-01T15:21:57"/>
    <d v="2026-09-02T13:06:20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I"/>
    <s v="KUPANG"/>
    <s v="NO ADDON"/>
    <m/>
    <s v="Provisioning Issu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  <x v="30"/>
  </r>
  <r>
    <n v="251"/>
    <n v="1002565896"/>
    <n v="3"/>
    <x v="7"/>
    <n v="5"/>
    <s v="KEDIRI"/>
    <s v="NGANJUK"/>
    <s v="NJK"/>
    <s v="REG"/>
    <s v="AO"/>
    <s v="NEW SALES"/>
    <s v="1P INET"/>
    <s v="7 | OSS - PROVISIONING ISSUED"/>
    <s v="RBS-Regional 3"/>
    <d v="2026-09-01T15:18:56"/>
    <d v="2026-09-02T13:07:1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I"/>
    <s v="X"/>
    <s v="NO ADDON"/>
    <m/>
    <s v="Provisioning Issu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  <x v="19"/>
  </r>
  <r>
    <n v="252"/>
    <n v="1002564991"/>
    <n v="3"/>
    <x v="3"/>
    <n v="5"/>
    <s v="MATARAM"/>
    <s v="BIMA"/>
    <s v="SAP"/>
    <s v="REG"/>
    <s v="AO"/>
    <s v="NEW SALES"/>
    <s v="1P INET"/>
    <s v="7 | OSS - PROVISIONING ISSUED"/>
    <s v="RBS-Regional 3"/>
    <d v="2026-09-01T11:15:57"/>
    <d v="2026-09-02T09:30:0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PI"/>
    <s v="BIMA BARAT"/>
    <s v="NETMONK"/>
    <m/>
    <s v="Provisioning Issued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18"/>
  </r>
  <r>
    <n v="253"/>
    <n v="1002565568"/>
    <n v="3"/>
    <x v="5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1"/>
  </r>
  <r>
    <n v="254"/>
    <n v="1002564873"/>
    <n v="3"/>
    <x v="2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1"/>
  </r>
  <r>
    <n v="255"/>
    <n v="1002564550"/>
    <n v="3"/>
    <x v="3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9"/>
  </r>
  <r>
    <n v="256"/>
    <n v="1002566859"/>
    <n v="3"/>
    <x v="7"/>
    <n v="5"/>
    <s v="MALANG"/>
    <s v="KEPANJEN"/>
    <s v="KLJ"/>
    <s v="REG"/>
    <s v="AO"/>
    <s v="NEW SALES"/>
    <s v="1P INET"/>
    <s v="OSS - PROVISIONING START"/>
    <s v="RBS-Regional 3"/>
    <d v="2026-09-02T09:33:57"/>
    <d v="2026-09-02T17:04:36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RE_PI"/>
    <s v="KLOJEN"/>
    <s v="OCA"/>
    <m/>
    <s v="Provisioning Start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  <x v="16"/>
  </r>
  <r>
    <n v="257"/>
    <n v="1002568437"/>
    <n v="3"/>
    <x v="5"/>
    <n v="4"/>
    <s v="YOGYAKARTA"/>
    <s v="INNER - YOGYA JATENG SELATAN"/>
    <s v="BBS"/>
    <s v="REG"/>
    <s v="AO"/>
    <s v="NEW SALES"/>
    <m/>
    <s v="OSS - FALLOUT"/>
    <s v="RBS-Regional 3"/>
    <d v="2026-09-02T16:59:31"/>
    <d v="2026-09-02T23:03:34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FO_OSM"/>
    <s v="X"/>
    <s v="NO ADDON"/>
    <m/>
    <s v="Provisioning Failed|OSM|INF009224701|Unknown Tom Failur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1"/>
  </r>
  <r>
    <n v="258"/>
    <n v="1002567710"/>
    <n v="3"/>
    <x v="4"/>
    <n v="5"/>
    <s v="DENPASAR"/>
    <s v="UBUNG"/>
    <s v="MMN"/>
    <s v="REG"/>
    <s v="AO"/>
    <s v="NEW SALES"/>
    <m/>
    <s v="OSS - FALLOUT"/>
    <s v="RBS-Regional 3"/>
    <d v="2026-09-02T13:52:37"/>
    <d v="2026-09-02T18:49:45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FO_WFM"/>
    <s v="MONANG MANING"/>
    <s v="NO ADDON"/>
    <m/>
    <s v="Provisioning Failed|WFM|INF009223096|.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m/>
    <m/>
    <m/>
    <e v="#NUM!"/>
    <e v="#NUM!"/>
    <x v="0"/>
    <x v="22"/>
  </r>
  <r>
    <n v="259"/>
    <n v="1002566519"/>
    <n v="3"/>
    <x v="0"/>
    <n v="5"/>
    <s v="SIDOARJO"/>
    <s v="INNER - JATIM TIMUR"/>
    <s v="KRN"/>
    <s v="REG"/>
    <s v="AO"/>
    <s v="NEW SALES"/>
    <s v="1P INET"/>
    <s v="OSS - FALLOUT"/>
    <s v="RBS-Regional 3"/>
    <d v="2026-09-01T19:47:56"/>
    <d v="2026-09-02T18:32:47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FO_WFM"/>
    <s v="KRIAN"/>
    <s v="NO ADDON"/>
    <m/>
    <s v="Provisioning Failed|WFM|INF009222902|HOLD BY WITEL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260"/>
    <n v="1002564984"/>
    <n v="3"/>
    <x v="5"/>
    <n v="4"/>
    <s v="MAGELANG"/>
    <s v="TEMANGGUNG"/>
    <s v="PRN"/>
    <s v="REG"/>
    <s v="AO"/>
    <s v="NEW SALES"/>
    <s v="1P INET"/>
    <s v="OSS - FALLOUT"/>
    <s v="RBS-Regional 3"/>
    <d v="2026-09-01T11:14:57"/>
    <d v="2026-09-02T17:19:53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FO_WFM"/>
    <s v="PARAKAN"/>
    <s v="NO ADDON"/>
    <m/>
    <s v="Provisioning Failed|WFM|INF009222055|pelanggan tidak respon alamat tidak ditemukan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1"/>
  </r>
  <r>
    <n v="261"/>
    <n v="1002564133"/>
    <n v="3"/>
    <x v="6"/>
    <n v="5"/>
    <s v="SBY UTARA"/>
    <s v="GRESIK"/>
    <s v="SDY"/>
    <s v="REG"/>
    <s v="AO"/>
    <s v="NEW SALES"/>
    <s v="1P INET"/>
    <s v="OSS - FALLOUT"/>
    <s v="RBS-Regional 3"/>
    <d v="2026-09-01T08:36:56"/>
    <d v="2026-09-02T19:16:15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FO_WFM"/>
    <s v="GRESIK"/>
    <s v="NO ADDON"/>
    <m/>
    <s v="Provisioning Failed|WFM|INF009223380|PCL = Konfirmasi pelanggan by WA. Pelanggan batal pasang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4"/>
  </r>
  <r>
    <n v="262"/>
    <n v="1002566583"/>
    <n v="3"/>
    <x v="3"/>
    <n v="5"/>
    <s v="MATARAM"/>
    <s v="INNER - NUSA TENGGARA"/>
    <s v="MTR"/>
    <s v="REG"/>
    <s v="AO"/>
    <s v="NEW SALES"/>
    <s v="1P INET"/>
    <s v="OSS - TESTING SERVICE"/>
    <s v="RBS-Regional 3"/>
    <d v="2026-09-02T07:48:57"/>
    <d v="2026-09-03T08:10:4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ACT_COM"/>
    <s v="X"/>
    <s v="NO ADDON"/>
    <m/>
    <s v="Testing Service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m/>
    <m/>
    <m/>
    <e v="#NUM!"/>
    <e v="#NUM!"/>
    <x v="0"/>
    <x v="9"/>
  </r>
  <r>
    <n v="263"/>
    <n v="1002567232"/>
    <n v="3"/>
    <x v="0"/>
    <n v="5"/>
    <s v="JEMBER"/>
    <s v="JEMBER"/>
    <s v="SKW"/>
    <s v="REG"/>
    <s v="AO"/>
    <s v="NEW SALES"/>
    <s v="1P INET"/>
    <s v="OSS - TESTING SERVICE"/>
    <s v="RBS-Regional 3"/>
    <d v="2026-09-02T11:08:57"/>
    <d v="2026-09-02T18:58:37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ACT_COM"/>
    <s v="KEBONSARI"/>
    <s v="NO ADDON"/>
    <m/>
    <s v="Testing Service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  <x v="2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3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939"/>
    <n v="3"/>
    <x v="0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"/>
    <n v="1002566730"/>
    <n v="3"/>
    <x v="1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"/>
    <n v="1002564244"/>
    <n v="3"/>
    <x v="2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4"/>
    <n v="1002564718"/>
    <n v="3"/>
    <x v="3"/>
    <n v="5"/>
    <s v="MATARAM"/>
    <s v="LOMBOK TIMUR UTARA"/>
    <s v="SGG"/>
    <s v="REG"/>
    <s v="AO"/>
    <x v="0"/>
    <m/>
    <s v="FCC - HD1A - PROGRESS"/>
    <s v="RBS-Regional 3"/>
    <d v="2026-09-01T10:27:24"/>
    <d v="2026-09-03T09:20:03"/>
    <n v="69381301"/>
    <m/>
    <n v="172604214258"/>
    <s v="SPPG JENGGALA 2"/>
    <s v="ODP-SGG-FAZ/21"/>
    <m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FCC"/>
    <s v="LOMBOK UTARA"/>
    <s v="NETMONK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"/>
    <n v="1002568091"/>
    <n v="3"/>
    <x v="4"/>
    <n v="5"/>
    <s v="DENPASAR"/>
    <s v="SANUR"/>
    <s v="TOP"/>
    <s v="REG"/>
    <s v="AO"/>
    <x v="0"/>
    <m/>
    <s v="MYCX - SEND OPEN PAPERLESS"/>
    <s v="RBS-Regional 2"/>
    <d v="2026-09-02T15:30:15"/>
    <d v="2026-09-02T15:32:05"/>
    <n v="69382438"/>
    <m/>
    <n v="172422212787"/>
    <s v="PT Putra Chandra Sentosa "/>
    <s v="ODP-TOP-FE/64"/>
    <m/>
    <m/>
    <m/>
    <m/>
    <n v="115.24644718691501"/>
    <n v="-8.6353376878044603"/>
    <s v="|MN00483|/0877 8730 3650/arsanibulet16@gmail.com"/>
    <s v="Sales Profesional"/>
    <m/>
    <m/>
    <m/>
    <m/>
    <m/>
    <m/>
    <m/>
    <m/>
    <m/>
    <m/>
    <m/>
    <d v="2026-02-09T15:39:57"/>
    <m/>
    <m/>
    <s v="INPROGRESS_SC"/>
    <s v="TOHPATI SUKAWATI"/>
    <s v="NETMONK"/>
    <m/>
    <s v="SEND PAPERLESS OPE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6"/>
    <n v="1002566613"/>
    <n v="3"/>
    <x v="4"/>
    <n v="5"/>
    <s v="SINGARJA"/>
    <s v="TABANAN"/>
    <s v="TBN"/>
    <s v="REG"/>
    <s v="AO"/>
    <x v="0"/>
    <m/>
    <s v="MYCX - SEND OPEN PAPERLESS"/>
    <s v="RBS-Regional 3"/>
    <d v="2026-09-02T08:18:13"/>
    <d v="2026-09-02T08:20:05"/>
    <n v="69381917"/>
    <m/>
    <n v="172413244690"/>
    <s v="WR 24 Jaam"/>
    <s v="ODP-TBN-FSA/07"/>
    <m/>
    <m/>
    <m/>
    <m/>
    <n v="114.93094189999999"/>
    <n v="-8.4741797000000005"/>
    <s v="|MN02844|/PIC MAS SUWITO/081337203373/suwito08081973@gmail.com"/>
    <s v="Sales Force DBS"/>
    <m/>
    <m/>
    <m/>
    <m/>
    <m/>
    <m/>
    <m/>
    <m/>
    <m/>
    <m/>
    <m/>
    <d v="2026-02-09T08:25:06"/>
    <m/>
    <m/>
    <s v="INPROGRESS_SC"/>
    <s v="TABAN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"/>
    <n v="1002566538"/>
    <n v="3"/>
    <x v="5"/>
    <n v="4"/>
    <s v="YOGYAKARTA"/>
    <s v="INNER - YOGYA JATENG SELATAN"/>
    <s v="KEN"/>
    <s v="REG"/>
    <s v="AO"/>
    <x v="0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"/>
    <n v="1002566671"/>
    <n v="3"/>
    <x v="4"/>
    <n v="5"/>
    <s v="SINGARJA"/>
    <s v="TABANAN"/>
    <s v="TBN"/>
    <s v="REG"/>
    <s v="AO"/>
    <x v="0"/>
    <m/>
    <s v="CC - HD1A - INPROGRESS UNCONTACTED"/>
    <s v="RBS-Regional 3"/>
    <d v="2026-09-02T08:33:23"/>
    <d v="2026-09-03T08:58:14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"/>
    <n v="1002568161"/>
    <n v="3"/>
    <x v="0"/>
    <n v="5"/>
    <s v="SIDOARJO"/>
    <s v="PASURUAN"/>
    <s v="PGE"/>
    <s v="REG"/>
    <s v="AO"/>
    <x v="0"/>
    <m/>
    <s v="CC - HD1A - INPROGRESS UNCONTACTED"/>
    <s v="RBS-Regional 3"/>
    <d v="2026-09-02T15:41:38"/>
    <d v="2026-09-02T19:54:09"/>
    <n v="69382472"/>
    <m/>
    <n v="152746208711"/>
    <s v="PT. ADITALENTA HANDALNIAGA DELAPAN"/>
    <s v="ODP-PGE-FL/10"/>
    <m/>
    <m/>
    <m/>
    <m/>
    <n v="112.59153379999999"/>
    <n v="-7.6649966999999997"/>
    <s v="|MC30223|/ANDIK SULAIMAN /81235284788/saa.itnetwork@gmail.com"/>
    <s v="Sales Force DBS"/>
    <m/>
    <m/>
    <m/>
    <m/>
    <m/>
    <m/>
    <m/>
    <m/>
    <m/>
    <m/>
    <m/>
    <d v="2026-02-09T15:54:57"/>
    <m/>
    <m/>
    <s v="FCC"/>
    <s v="PANDAAN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"/>
    <n v="1002567556"/>
    <n v="3"/>
    <x v="5"/>
    <n v="4"/>
    <s v="YOGYAKARTA"/>
    <s v="INNER - YOGYA JATENG SELATAN"/>
    <s v="KBU"/>
    <s v="REG"/>
    <s v="AO"/>
    <x v="0"/>
    <m/>
    <s v="CC - HD1A - INPROGRESS UNCONTACTED"/>
    <s v="RBS-Regional 3"/>
    <d v="2026-09-02T13:18:11"/>
    <d v="2026-09-03T08:29:56"/>
    <n v="69382299"/>
    <n v="2745059176"/>
    <n v="146113146876"/>
    <s v="PT Daya Agung Prima"/>
    <s v="ODP-KBU-FHA/090"/>
    <m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m/>
    <m/>
    <m/>
    <d v="2026-02-09T13:25:57"/>
    <m/>
    <m/>
    <s v="FCC"/>
    <s v="X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"/>
    <n v="1002566767"/>
    <n v="3"/>
    <x v="4"/>
    <n v="5"/>
    <s v="SINGARJA"/>
    <s v="KLUNGKUNG"/>
    <s v="SMA"/>
    <s v="REG"/>
    <s v="AO"/>
    <x v="0"/>
    <m/>
    <s v="CC - HD1A - INPROGRESS UNCONTACTED"/>
    <s v="RBS-Regional 3"/>
    <d v="2026-09-02T09:10:07"/>
    <d v="2026-09-02T17:28:18"/>
    <n v="69382007"/>
    <m/>
    <n v="172428816065"/>
    <s v="The White Orchid "/>
    <s v="ODP-SMA-FY/17"/>
    <m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m/>
    <m/>
    <m/>
    <d v="2026-02-09T09:40:08"/>
    <m/>
    <m/>
    <s v="FCC"/>
    <s v="SEMARAPURA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"/>
    <n v="1002564602"/>
    <n v="3"/>
    <x v="3"/>
    <n v="5"/>
    <s v="MATARAM"/>
    <s v="LOMBOK BARAT TENGAH"/>
    <s v="PRY"/>
    <s v="REG"/>
    <s v="AO"/>
    <x v="0"/>
    <s v="1P INET"/>
    <s v="CC - HD1A - INPROGRESS UNCONTACTED"/>
    <s v="RBS-Regional 3"/>
    <d v="2026-09-01T10:02:42"/>
    <d v="2026-09-03T09:05:30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Ghina Swanti Ariesa 40941148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13"/>
    <n v="1002567253"/>
    <n v="3"/>
    <x v="6"/>
    <n v="5"/>
    <s v="SBY UTARA"/>
    <s v="KENJERAN"/>
    <s v="KBL"/>
    <s v="REG"/>
    <s v="AO"/>
    <x v="0"/>
    <m/>
    <s v="FCC - HD1A - INPROGRESS FOLLOW UP"/>
    <s v="RBS-Regional 3"/>
    <d v="2026-09-02T11:27:17"/>
    <d v="2026-09-02T15:46:04"/>
    <n v="69382161"/>
    <m/>
    <n v="152401227303"/>
    <s v="TOKO MAISA"/>
    <s v="ODP-KBL-FVE/35"/>
    <m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m/>
    <m/>
    <m/>
    <d v="2026-02-09T11:40:03"/>
    <m/>
    <m/>
    <s v="FCC"/>
    <s v="KEBALEN"/>
    <s v="NO ADDON"/>
    <m/>
    <s v="FOLLOW UP : Follow Up Siti QoriAh 40971401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4"/>
    <n v="1002564745"/>
    <n v="3"/>
    <x v="6"/>
    <n v="5"/>
    <s v="MADURA"/>
    <s v="BANGKALAN"/>
    <s v="SPG"/>
    <s v="REG"/>
    <s v="AO"/>
    <x v="0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5"/>
    <n v="1002566333"/>
    <n v="3"/>
    <x v="5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16"/>
    <n v="1002567928"/>
    <n v="3"/>
    <x v="5"/>
    <n v="4"/>
    <s v="MAGELANG"/>
    <s v="WONOSOBO"/>
    <s v="WOS"/>
    <s v="REG"/>
    <s v="AO"/>
    <x v="0"/>
    <s v="1P INET"/>
    <s v="MIE - SEND SURVEY"/>
    <s v="RBS-Regional 3"/>
    <d v="2026-09-02T14:42:57"/>
    <d v="2026-09-02T14:44:01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m/>
    <s v="SURVEY_NEW_MANJA"/>
    <s v="X"/>
    <s v="NO ADDON"/>
    <m/>
    <s v="MIE - SEND SURVEY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17"/>
    <n v="1002568563"/>
    <n v="3"/>
    <x v="2"/>
    <n v="4"/>
    <s v="SEMARANG"/>
    <s v="INNER - SEMARANG JATENG UTARA"/>
    <s v="JHR"/>
    <s v="REG"/>
    <s v="AO"/>
    <x v="0"/>
    <s v="1P INET"/>
    <s v="MIE - SEND SURVEY"/>
    <s v="RBS-Regional 3"/>
    <d v="2026-09-02T18:41:56"/>
    <d v="2026-09-02T18:44:01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m/>
    <s v="SURVEY_NEW_MANJA"/>
    <s v="JOHAR"/>
    <s v="NO ADDON"/>
    <m/>
    <s v="MIE - SEND SURVEY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8"/>
    <n v="1002568550"/>
    <n v="3"/>
    <x v="6"/>
    <n v="5"/>
    <s v="SBY UTARA"/>
    <s v="KENJERAN"/>
    <s v="KJR"/>
    <s v="REG"/>
    <s v="AO"/>
    <x v="0"/>
    <s v="1P INET"/>
    <s v="MIE - SEND SURVEY"/>
    <s v="RBS-Regional 3"/>
    <d v="2026-09-02T18:12:56"/>
    <d v="2026-09-02T18:14:01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SURVEY_NEW_MANJA"/>
    <s v="KENJERAN"/>
    <s v="NO ADDON"/>
    <m/>
    <s v="MIE - SEND SURVEY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9"/>
    <n v="1002566975"/>
    <n v="3"/>
    <x v="2"/>
    <n v="4"/>
    <s v="PEKALONGAN"/>
    <s v="SLAWI"/>
    <s v="SLW"/>
    <s v="REG"/>
    <s v="AO"/>
    <x v="0"/>
    <m/>
    <s v="MIE - SEND SURVEY"/>
    <s v="RBS-Regional 3"/>
    <d v="2026-09-02T10:04:43"/>
    <d v="2026-09-02T12:42:01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20"/>
    <n v="1002568552"/>
    <n v="3"/>
    <x v="5"/>
    <n v="4"/>
    <s v="YOGYAKARTA"/>
    <s v="INNER - YOGYA JATENG SELATAN"/>
    <s v="KBU"/>
    <s v="REG"/>
    <s v="AO"/>
    <x v="0"/>
    <s v="1P INET"/>
    <s v="MIE - SEND SURVEY"/>
    <s v="RBS-Regional 3"/>
    <d v="2026-09-02T18:17:57"/>
    <d v="2026-09-02T18:20:01"/>
    <n v="69382616"/>
    <m/>
    <n v="146113147312"/>
    <s v="PT KOPI BINTANG INDONESIA"/>
    <s v="ODP-KBU-FDR/10 FDR/D01/10.10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SURVEY_NEW_MANJA"/>
    <s v="X"/>
    <s v="NO ADDON"/>
    <m/>
    <s v="MIE - SEND SURVEY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m/>
    <m/>
    <m/>
    <e v="#NUM!"/>
    <e v="#NUM!"/>
    <x v="0"/>
  </r>
  <r>
    <n v="21"/>
    <n v="1002568399"/>
    <n v="3"/>
    <x v="6"/>
    <n v="5"/>
    <s v="SBY SELATAN"/>
    <s v="KETINTANG"/>
    <s v="RKT"/>
    <s v="REG"/>
    <s v="AO"/>
    <x v="0"/>
    <s v="1P INET"/>
    <s v="MIE - SEND SURVEY"/>
    <s v="RBS-Regional 3"/>
    <d v="2026-09-02T16:44:56"/>
    <d v="2026-09-02T16:46:14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SURVEY_NEW_MANJA"/>
    <s v="RUNGKUT"/>
    <s v="NO ADDON"/>
    <m/>
    <s v="MIE - SEND SURVEY"/>
    <s v="HSI Bisnis Basic Promo HUT RI PSB 70% - 100 Mbps"/>
    <s v="INDIBIZ"/>
    <m/>
    <m/>
    <d v="2026-09-03T15:00:00"/>
    <s v="2026-09-03 15:00:00 | Jam pemasangan : 12.00 Info Tambahan : Hubungi pelanggan dulu sebelum ke lokasi terimakasih "/>
    <m/>
    <m/>
    <m/>
    <e v="#NUM!"/>
    <e v="#NUM!"/>
    <x v="0"/>
  </r>
  <r>
    <n v="22"/>
    <n v="1002567882"/>
    <n v="3"/>
    <x v="6"/>
    <n v="5"/>
    <s v="SBY UTARA"/>
    <s v="TANDES"/>
    <s v="BBE"/>
    <s v="REG"/>
    <s v="AO"/>
    <x v="0"/>
    <s v="1P INET"/>
    <s v="MIE - SEND SURVEY"/>
    <s v="RBS-Regional 3"/>
    <d v="2026-09-02T14:34:03"/>
    <d v="2026-09-02T14:36:02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m/>
    <s v="SURVEY_NEW_MANJA"/>
    <s v="BAMBE"/>
    <s v="OCA"/>
    <m/>
    <s v="MIE - SEND SURVEY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3"/>
    <n v="1002567874"/>
    <n v="3"/>
    <x v="3"/>
    <n v="5"/>
    <s v="MATARAM"/>
    <s v="INNER - NUSA TENGGARA"/>
    <s v="MTR"/>
    <s v="REG"/>
    <s v="AO"/>
    <x v="0"/>
    <s v="1P INET"/>
    <s v="MIE - SEND SURVEY"/>
    <s v="RBS-Regional 3"/>
    <d v="2026-09-02T14:32:57"/>
    <d v="2026-09-02T14:34:18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m/>
    <m/>
    <m/>
    <e v="#NUM!"/>
    <e v="#NUM!"/>
    <x v="0"/>
  </r>
  <r>
    <n v="24"/>
    <n v="1002567985"/>
    <n v="3"/>
    <x v="3"/>
    <n v="5"/>
    <s v="KUPANG"/>
    <s v="MAUMERE"/>
    <s v="LWB"/>
    <s v="REG"/>
    <s v="AO"/>
    <x v="0"/>
    <s v="1P INET"/>
    <s v="MIE - SEND SURVEY"/>
    <s v="RBS-Regional 3"/>
    <d v="2026-09-02T14:56:56"/>
    <d v="2026-09-02T14:58:01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SURVEY_NEW_MANJA"/>
    <s v="X"/>
    <s v="NO ADDON"/>
    <m/>
    <s v="MIE - SEND SURVEY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</r>
  <r>
    <n v="25"/>
    <n v="1002568456"/>
    <n v="3"/>
    <x v="7"/>
    <n v="5"/>
    <s v="MADIUN"/>
    <s v="BOJONEGORO"/>
    <s v="PAD"/>
    <s v="REG"/>
    <s v="AO"/>
    <x v="0"/>
    <s v="1P INET"/>
    <s v="MIE - SEND SURVEY"/>
    <s v="RBS-Regional 3"/>
    <d v="2026-09-02T17:05:57"/>
    <d v="2026-09-02T17:08:01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SURVEY_NEW_MANJA"/>
    <s v="PADANGAN"/>
    <s v="NO ADDON"/>
    <m/>
    <s v="MIE - SEND SURVEY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m/>
    <m/>
    <m/>
    <e v="#NUM!"/>
    <e v="#NUM!"/>
    <x v="0"/>
  </r>
  <r>
    <n v="26"/>
    <n v="1002567313"/>
    <n v="3"/>
    <x v="1"/>
    <n v="4"/>
    <s v="SOLO"/>
    <s v="INNER - SOLO JATENG TIMUR"/>
    <s v="MSO"/>
    <s v="REG"/>
    <s v="AO"/>
    <x v="0"/>
    <s v="1P INET"/>
    <s v="MIE - SEND SURVEY"/>
    <s v="RBS-Regional 3"/>
    <d v="2026-09-02T11:32:56"/>
    <d v="2026-09-02T11:34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SURVEY_NEW_MANJA"/>
    <s v="SOLO PALUR"/>
    <s v="NO ADDON"/>
    <m/>
    <s v="MIE - SEND SURVEY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27"/>
    <n v="1002568555"/>
    <n v="3"/>
    <x v="5"/>
    <n v="4"/>
    <s v="YOGYAKARTA"/>
    <s v="BANTUL"/>
    <s v="WTS"/>
    <s v="REG"/>
    <s v="AO"/>
    <x v="0"/>
    <s v="1P INET"/>
    <s v="MIE - SEND SURVEY"/>
    <s v="RBS-Regional 3"/>
    <d v="2026-09-02T18:24:56"/>
    <d v="2026-09-02T18:28:01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SURVEY_NEW_MANJA"/>
    <s v="WATES"/>
    <s v="NO ADDON"/>
    <m/>
    <s v="MIE - SEND SURVEY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m/>
    <m/>
    <m/>
    <e v="#NUM!"/>
    <e v="#NUM!"/>
    <x v="0"/>
  </r>
  <r>
    <n v="28"/>
    <n v="1002568037"/>
    <n v="3"/>
    <x v="0"/>
    <n v="5"/>
    <s v="PASURUAN"/>
    <s v="PROBOLINGGO"/>
    <s v="KRZ"/>
    <s v="REG"/>
    <s v="AO"/>
    <x v="0"/>
    <s v="1P INET"/>
    <s v="MIE - SEND SURVEY"/>
    <s v="RBS-Regional 3"/>
    <d v="2026-09-02T15:11:57"/>
    <d v="2026-09-02T15:14:01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SURVEY_NEW_MANJA"/>
    <s v="KRAKSAAN"/>
    <s v="NO ADDON"/>
    <m/>
    <s v="MIE - SEND SURVEY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m/>
    <m/>
    <m/>
    <e v="#NUM!"/>
    <e v="#NUM!"/>
    <x v="0"/>
  </r>
  <r>
    <n v="29"/>
    <n v="1002568030"/>
    <n v="3"/>
    <x v="7"/>
    <n v="5"/>
    <s v="MADIUN"/>
    <s v="TUBAN"/>
    <s v="TNZ"/>
    <s v="REG"/>
    <s v="AO"/>
    <x v="0"/>
    <s v="1P INET"/>
    <s v="MIE - SEND SURVEY"/>
    <s v="RBS-Regional 3"/>
    <d v="2026-09-02T15:09:57"/>
    <d v="2026-09-02T15:12:01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SURVEY_NEW_MANJA"/>
    <s v="X"/>
    <s v="NO ADDON"/>
    <m/>
    <s v="MIE - SEND SURVEY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m/>
    <m/>
    <m/>
    <e v="#NUM!"/>
    <e v="#NUM!"/>
    <x v="0"/>
  </r>
  <r>
    <n v="30"/>
    <n v="1002568049"/>
    <n v="3"/>
    <x v="7"/>
    <n v="5"/>
    <s v="MADIUN"/>
    <s v="BOJONEGORO"/>
    <s v="SMJ"/>
    <s v="REG"/>
    <s v="AO"/>
    <x v="0"/>
    <s v="1P INET"/>
    <s v="MIE - SEND SURVEY"/>
    <s v="RBS-Regional 3"/>
    <d v="2026-09-02T15:15:57"/>
    <d v="2026-09-02T15:18:02"/>
    <n v="69382459"/>
    <m/>
    <n v="152642208293"/>
    <s v="SPBU 53.621.25 Gampeng Balen"/>
    <s v="ODP-SMJ-FG/78 FG/D05/78.01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SURVEY_NEW_MANJA"/>
    <s v="PADANGAN"/>
    <s v="NO ADDON"/>
    <m/>
    <s v="MIE - SEND SURVEY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</r>
  <r>
    <n v="31"/>
    <n v="1002567684"/>
    <n v="3"/>
    <x v="0"/>
    <n v="5"/>
    <s v="PASURUAN"/>
    <s v="PASURUAN"/>
    <s v="GDW"/>
    <s v="REG"/>
    <s v="AO"/>
    <x v="0"/>
    <m/>
    <s v="MIE - SEND SURVEY"/>
    <s v="RBS-Regional 3"/>
    <d v="2026-09-02T13:45:18"/>
    <d v="2026-09-02T15:04:03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m/>
    <m/>
    <m/>
    <e v="#NUM!"/>
    <e v="#NUM!"/>
    <x v="0"/>
  </r>
  <r>
    <n v="32"/>
    <n v="1002568531"/>
    <n v="3"/>
    <x v="1"/>
    <n v="4"/>
    <s v="KUDUS"/>
    <s v="PURWODADI"/>
    <s v="WRO"/>
    <s v="REG"/>
    <s v="AO"/>
    <x v="0"/>
    <s v="1P INET"/>
    <s v="MIE - SEND SURVEY"/>
    <s v="RBS-Regional 3"/>
    <d v="2026-09-02T17:53:57"/>
    <d v="2026-09-02T17:56:27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SURVEY_NEW_MANJA"/>
    <s v="WIROSARI"/>
    <s v="NO ADDON"/>
    <m/>
    <s v="MIE - SEND SURVEY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</r>
  <r>
    <n v="33"/>
    <n v="1002568518"/>
    <n v="3"/>
    <x v="5"/>
    <n v="4"/>
    <s v="MAGELANG"/>
    <s v="KEBUMEN"/>
    <s v="KTW"/>
    <s v="REG"/>
    <s v="AO"/>
    <x v="0"/>
    <s v="1P INET"/>
    <s v="MIE - SEND SURVEY"/>
    <s v="RBS-Regional 3"/>
    <d v="2026-09-02T17:47:57"/>
    <d v="2026-09-02T17:50:01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SURVEY_NEW_MANJA"/>
    <s v="X"/>
    <s v="NO ADDON"/>
    <m/>
    <s v="MIE - SEND SURVEY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m/>
    <m/>
    <m/>
    <e v="#NUM!"/>
    <e v="#NUM!"/>
    <x v="0"/>
  </r>
  <r>
    <n v="34"/>
    <n v="1002568195"/>
    <n v="3"/>
    <x v="5"/>
    <n v="4"/>
    <s v="MAGELANG"/>
    <s v="PURWOREJJO"/>
    <s v="PWJ"/>
    <s v="REG"/>
    <s v="AO"/>
    <x v="0"/>
    <s v="1P INET"/>
    <s v="MIE - SEND SURVEY"/>
    <s v="RBS-Regional 3"/>
    <d v="2026-09-02T15:47:56"/>
    <d v="2026-09-02T15:50:01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m/>
    <m/>
    <m/>
    <e v="#NUM!"/>
    <e v="#NUM!"/>
    <x v="0"/>
  </r>
  <r>
    <n v="35"/>
    <n v="1002567425"/>
    <n v="3"/>
    <x v="5"/>
    <n v="4"/>
    <s v="MAGELANG"/>
    <s v="WONOSOBO"/>
    <s v="WOS"/>
    <s v="REG"/>
    <s v="AO"/>
    <x v="0"/>
    <s v="1P INET"/>
    <s v="MIE - SEND SURVEY"/>
    <s v="RBS-Regional 3"/>
    <d v="2026-09-02T12:05:58"/>
    <d v="2026-09-02T12:08:01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36"/>
    <n v="1002567420"/>
    <n v="3"/>
    <x v="2"/>
    <n v="4"/>
    <s v="SEMARANG"/>
    <s v="INNER - SEMARANG JATENG UTARA"/>
    <s v="MJP"/>
    <s v="REG"/>
    <s v="AO"/>
    <x v="0"/>
    <s v="1P INET"/>
    <s v="MIE - SEND SURVEY"/>
    <s v="RBS-Regional 3"/>
    <d v="2026-09-02T12:03:57"/>
    <d v="2026-09-02T12:06:02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m/>
    <s v="SURVEY_NEW_MANJA"/>
    <s v="MAJAPAHIT"/>
    <s v="NO ADDON"/>
    <m/>
    <s v="MIE - SEND SURVEY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37"/>
    <n v="1002567595"/>
    <n v="3"/>
    <x v="7"/>
    <n v="5"/>
    <s v="MADIUN"/>
    <s v="NGAWI"/>
    <s v="NWI"/>
    <s v="REG"/>
    <s v="AO"/>
    <x v="0"/>
    <s v="1P INET"/>
    <s v="MIE - SEND SURVEY"/>
    <s v="RBS-Regional 3"/>
    <d v="2026-09-02T13:23:56"/>
    <d v="2026-09-02T13:26:02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</r>
  <r>
    <n v="38"/>
    <n v="1002567634"/>
    <n v="3"/>
    <x v="6"/>
    <n v="5"/>
    <s v="SBY UTARA"/>
    <s v="LAMONGAN"/>
    <s v="LMG"/>
    <s v="REG"/>
    <s v="AO"/>
    <x v="0"/>
    <s v="1P INET"/>
    <s v="MIE - SEND SURVEY"/>
    <s v="RBS-Regional 3"/>
    <d v="2026-09-02T13:33:57"/>
    <d v="2026-09-02T13:36:01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SURVEY_NEW_MANJA"/>
    <s v="LAMONGAN"/>
    <s v="NO ADDON"/>
    <m/>
    <s v="MIE - SEND SURVEY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m/>
    <m/>
    <m/>
    <e v="#NUM!"/>
    <e v="#NUM!"/>
    <x v="0"/>
  </r>
  <r>
    <n v="39"/>
    <n v="1002567613"/>
    <n v="3"/>
    <x v="0"/>
    <n v="5"/>
    <s v="SIDOARJO"/>
    <s v="MOJOKERTO"/>
    <s v="DLA"/>
    <s v="REG"/>
    <s v="AO"/>
    <x v="0"/>
    <m/>
    <s v="MIE - SEND SURVEY"/>
    <s v="RBS-Regional 3"/>
    <d v="2026-09-02T13:30:41"/>
    <d v="2026-09-02T14:52:03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SURVEY_NEW_MANJA"/>
    <s v="MOJOKERTO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m/>
    <m/>
    <m/>
    <e v="#NUM!"/>
    <e v="#NUM!"/>
    <x v="0"/>
  </r>
  <r>
    <n v="40"/>
    <n v="1002567606"/>
    <n v="3"/>
    <x v="7"/>
    <n v="5"/>
    <s v="MADIUN"/>
    <s v="NGAWI"/>
    <s v="NWI"/>
    <s v="REG"/>
    <s v="AO"/>
    <x v="0"/>
    <s v="1P INET"/>
    <s v="MIE - SEND SURVEY"/>
    <s v="RBS-Regional 3"/>
    <d v="2026-09-02T13:26:56"/>
    <d v="2026-09-02T13:28:01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</r>
  <r>
    <n v="41"/>
    <n v="1002567375"/>
    <n v="3"/>
    <x v="7"/>
    <n v="5"/>
    <s v="MADIUN"/>
    <s v="BOJONEGORO"/>
    <s v="PAD"/>
    <s v="REG"/>
    <s v="AO"/>
    <x v="0"/>
    <s v="1P INET"/>
    <s v="MIE - SEND SURVEY"/>
    <s v="RBS-Regional 3"/>
    <d v="2026-09-02T11:50:56"/>
    <d v="2026-09-02T11:52:01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m/>
    <s v="SURVEY_NEW_MANJA"/>
    <s v="PADANGAN"/>
    <s v="NO ADDON"/>
    <m/>
    <s v="MIE - SEND SURVEY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42"/>
    <n v="1002567346"/>
    <n v="3"/>
    <x v="5"/>
    <n v="4"/>
    <s v="YOGYAKARTA"/>
    <s v="INNER - YOGYA JATENG SELATAN"/>
    <s v="KBU"/>
    <s v="REG"/>
    <s v="AO"/>
    <x v="0"/>
    <s v="1P INET"/>
    <s v="MIE - SEND SURVEY"/>
    <s v="RBS-Regional 3"/>
    <d v="2026-09-02T11:42:57"/>
    <d v="2026-09-02T11:44:26"/>
    <n v="69382220"/>
    <m/>
    <n v="146113146875"/>
    <s v="SUHKA COFFEE GROUND"/>
    <s v="ODP-KBU-FGF/079 FGF/D05/079.01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SURVEY_NEW_MANJA"/>
    <s v="X"/>
    <s v="NO ADDON"/>
    <m/>
    <s v="MIE - SEND SURVEY"/>
    <s v="HSI Bisnis PSB 70% - 100 Mbps"/>
    <s v="INDIBIZ"/>
    <m/>
    <m/>
    <d v="2026-09-03T11:00:00"/>
    <s v="2026-09-03 11:00:00 | Jam pemasangan : 12.00 Info Tambahan : Hubungi pelanggan dulu sebelum ke lokasi terimakasih  "/>
    <m/>
    <m/>
    <m/>
    <e v="#NUM!"/>
    <e v="#NUM!"/>
    <x v="0"/>
  </r>
  <r>
    <n v="43"/>
    <n v="1002568147"/>
    <n v="3"/>
    <x v="6"/>
    <n v="5"/>
    <s v="SBY SELATAN"/>
    <s v="MANYAR"/>
    <s v="GBG"/>
    <s v="REG"/>
    <s v="AO"/>
    <x v="0"/>
    <s v="1P INET"/>
    <s v="MIE - SEND SURVEY"/>
    <s v="RBS-Regional 3"/>
    <d v="2026-09-02T15:36:57"/>
    <d v="2026-09-02T15:38:02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SURVEY_NEW_MANJA"/>
    <s v="DARMO GUBENG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44"/>
    <n v="1002568139"/>
    <n v="3"/>
    <x v="6"/>
    <n v="5"/>
    <s v="SBY UTARA"/>
    <s v="GRESIK"/>
    <s v="GSK"/>
    <s v="REG"/>
    <s v="AO"/>
    <x v="0"/>
    <s v="1P INET"/>
    <s v="MIE - SEND SURVEY"/>
    <s v="RBS-Regional 3"/>
    <d v="2026-09-02T15:35:56"/>
    <d v="2026-09-02T15:38:02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SURVEY_NEW_MANJA"/>
    <s v="GRESIK"/>
    <s v="NO ADDON"/>
    <m/>
    <s v="MIE - SEND SURVEY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m/>
    <m/>
    <m/>
    <e v="#NUM!"/>
    <e v="#NUM!"/>
    <x v="0"/>
  </r>
  <r>
    <n v="45"/>
    <n v="1002567782"/>
    <n v="3"/>
    <x v="5"/>
    <n v="4"/>
    <s v="YOGYAKARTA"/>
    <s v="SLEMAN"/>
    <s v="GOD"/>
    <s v="REG"/>
    <s v="AO"/>
    <x v="0"/>
    <m/>
    <s v="MIE - SEND SURVEY"/>
    <s v="RBS-Regional 3"/>
    <d v="2026-09-02T14:09:00"/>
    <d v="2026-09-02T17:16:01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m/>
    <m/>
    <m/>
    <e v="#NUM!"/>
    <e v="#NUM!"/>
    <x v="0"/>
  </r>
  <r>
    <n v="46"/>
    <n v="1002568591"/>
    <n v="3"/>
    <x v="5"/>
    <n v="4"/>
    <s v="YOGYAKARTA"/>
    <s v="BANTUL"/>
    <s v="BTL"/>
    <s v="REG"/>
    <s v="AO"/>
    <x v="0"/>
    <s v="1P INET"/>
    <s v="MIE - SEND SURVEY"/>
    <s v="RBS-Regional 3"/>
    <d v="2026-09-02T19:50:56"/>
    <d v="2026-09-02T19:52:01"/>
    <n v="69382642"/>
    <m/>
    <n v="146129128807"/>
    <s v="PT GARASI NAP MATARAM / BENGKEL MOBIL"/>
    <s v="ODP-BTL-FBY/012 FBY/D01/012.0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SURVEY_NEW_MANJA"/>
    <s v="X"/>
    <s v="NO ADDON"/>
    <m/>
    <s v="MIE - SEND SURVEY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m/>
    <m/>
    <m/>
    <e v="#NUM!"/>
    <e v="#NUM!"/>
    <x v="0"/>
  </r>
  <r>
    <n v="47"/>
    <n v="1002568578"/>
    <n v="3"/>
    <x v="3"/>
    <n v="5"/>
    <s v="MATARAM"/>
    <s v="LOMBOK TIMUR UTARA"/>
    <s v="SEL"/>
    <s v="REG"/>
    <s v="AO"/>
    <x v="0"/>
    <s v="1P INET"/>
    <s v="MIE - SEND SURVEY"/>
    <s v="RBS-Regional 3"/>
    <d v="2026-09-02T19:03:56"/>
    <d v="2026-09-02T19:06:01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SURVEY_NEW_MANJA"/>
    <s v="LOMBOK TIMUR"/>
    <s v="NO ADDON"/>
    <m/>
    <s v="MIE - SEND SURVEY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48"/>
    <n v="1002568571"/>
    <n v="3"/>
    <x v="7"/>
    <n v="5"/>
    <s v="MALANG"/>
    <s v="KEPANJEN"/>
    <s v="PGK"/>
    <s v="REG"/>
    <s v="AO"/>
    <x v="0"/>
    <s v="1P INET"/>
    <s v="MIE - SEND SURVEY"/>
    <s v="RBS-Regional 3"/>
    <d v="2026-09-02T18:59:56"/>
    <d v="2026-09-02T19:02:01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SURVEY_NEW_MANJA"/>
    <s v="KEPANJEN"/>
    <s v="OCA"/>
    <m/>
    <s v="MIE - SEND SURVEY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m/>
    <m/>
    <m/>
    <e v="#NUM!"/>
    <e v="#NUM!"/>
    <x v="0"/>
  </r>
  <r>
    <n v="49"/>
    <n v="1002568312"/>
    <n v="3"/>
    <x v="5"/>
    <n v="4"/>
    <s v="PURWOKERTO"/>
    <s v="CILACAP"/>
    <s v="KRY"/>
    <s v="REG"/>
    <s v="AO"/>
    <x v="0"/>
    <s v="1P INET"/>
    <s v="MIE - SEND SURVEY"/>
    <s v="RBS-Regional 3"/>
    <d v="2026-09-02T16:14:58"/>
    <d v="2026-09-02T16:16:0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SURVEY_NEW_MANJA"/>
    <s v="KROYA"/>
    <s v="NO ADDON"/>
    <m/>
    <s v="MIE - SEND SURVEY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m/>
    <m/>
    <m/>
    <e v="#NUM!"/>
    <e v="#NUM!"/>
    <x v="0"/>
  </r>
  <r>
    <n v="50"/>
    <n v="1002566867"/>
    <n v="3"/>
    <x v="3"/>
    <n v="5"/>
    <s v="MATARAM"/>
    <s v="LOMBOK BARAT TENGAH"/>
    <s v="PRY"/>
    <s v="REG"/>
    <s v="AO"/>
    <x v="0"/>
    <s v="1P INET"/>
    <s v="MIE - SEND SURVEY"/>
    <s v="RBS-Regional 3"/>
    <d v="2026-09-02T09:35:56"/>
    <d v="2026-09-02T09:38:07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TENGAH"/>
    <s v="NO ADDON"/>
    <m/>
    <s v="MIE - SEND SURVEY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51"/>
    <n v="1002566869"/>
    <n v="3"/>
    <x v="5"/>
    <n v="4"/>
    <s v="YOGYAKARTA"/>
    <s v="BANTUL"/>
    <s v="BTL"/>
    <s v="REG"/>
    <s v="AO"/>
    <x v="0"/>
    <s v="1P INET"/>
    <s v="MIE - SEND SURVEY"/>
    <s v="RBS-Regional 3"/>
    <d v="2026-09-02T09:36:56"/>
    <d v="2026-09-02T09:38:02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SURVEY_NEW_MANJA"/>
    <s v="X"/>
    <s v="NO ADDON"/>
    <m/>
    <s v="MIE - SEND SURVEY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m/>
    <m/>
    <m/>
    <e v="#NUM!"/>
    <e v="#NUM!"/>
    <x v="0"/>
  </r>
  <r>
    <n v="52"/>
    <n v="1002566811"/>
    <n v="3"/>
    <x v="3"/>
    <n v="5"/>
    <s v="MATARAM"/>
    <s v="LOMBOK TIMUR UTARA"/>
    <s v="SGG"/>
    <s v="REG"/>
    <s v="AO"/>
    <x v="0"/>
    <s v="1P INET"/>
    <s v="MIE - SEND SURVEY"/>
    <s v="RBS-Regional 3"/>
    <d v="2026-09-02T09:21:56"/>
    <d v="2026-09-02T09:24:01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53"/>
    <n v="1002566804"/>
    <n v="3"/>
    <x v="5"/>
    <n v="4"/>
    <s v="MAGELANG"/>
    <s v="MAGELANG"/>
    <s v="MGE"/>
    <s v="REG"/>
    <s v="AO"/>
    <x v="0"/>
    <s v="1P INET"/>
    <s v="MIE - SEND SURVEY"/>
    <s v="RBS-Regional 3"/>
    <d v="2026-09-02T09:18:56"/>
    <d v="2026-09-02T09:20:01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SURVEY_NEW_MANJA"/>
    <s v="X"/>
    <s v="NO ADDON"/>
    <m/>
    <s v="MIE - SEND SURVEY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m/>
    <m/>
    <m/>
    <e v="#NUM!"/>
    <e v="#NUM!"/>
    <x v="0"/>
  </r>
  <r>
    <n v="54"/>
    <n v="1002566826"/>
    <n v="3"/>
    <x v="3"/>
    <n v="5"/>
    <s v="MATARAM"/>
    <s v="LOMBOK TIMUR UTARA"/>
    <s v="SGG"/>
    <s v="REG"/>
    <s v="AO"/>
    <x v="0"/>
    <s v="1P INET"/>
    <s v="MIE - SEND SURVEY"/>
    <s v="RBS-Regional 3"/>
    <d v="2026-09-02T09:24:57"/>
    <d v="2026-09-02T09:26:21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55"/>
    <n v="1002566822"/>
    <n v="3"/>
    <x v="0"/>
    <n v="5"/>
    <s v="SIDOARJO"/>
    <s v="INNER - JATIM TIMUR"/>
    <s v="KRN"/>
    <s v="REG"/>
    <s v="AO"/>
    <x v="0"/>
    <s v="1P INET"/>
    <s v="MIE - SEND SURVEY"/>
    <s v="RBS-Regional 3"/>
    <d v="2026-09-02T09:23:56"/>
    <d v="2026-09-02T09:26:01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m/>
    <s v="SURVEY_NEW_MANJA"/>
    <s v="KRIAN"/>
    <s v="NO ADDON"/>
    <m/>
    <s v="MIE - SEND SURVEY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56"/>
    <n v="1002567492"/>
    <n v="3"/>
    <x v="6"/>
    <n v="5"/>
    <s v="SBY SELATAN"/>
    <s v="MANYAR"/>
    <s v="MYR"/>
    <s v="REG"/>
    <s v="AO"/>
    <x v="0"/>
    <s v="2P INET + VOICE"/>
    <s v="MIE - SEND SURVEY"/>
    <s v="RBS-Regional 3"/>
    <d v="2026-09-02T12:35:56"/>
    <d v="2026-09-02T12:38:02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SURVEY_NEW_MANJA"/>
    <s v="MANYAR"/>
    <s v="NO ADDON"/>
    <m/>
    <s v="MIE - SEND SURVEY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</r>
  <r>
    <n v="57"/>
    <n v="1002567110"/>
    <n v="3"/>
    <x v="6"/>
    <n v="5"/>
    <s v="SBY UTARA"/>
    <s v="GRESIK"/>
    <s v="KDE"/>
    <s v="REG"/>
    <s v="AO"/>
    <x v="0"/>
    <m/>
    <s v="MIE - SEND SURVEY"/>
    <s v="RBS-Regional 3"/>
    <d v="2026-09-02T10:38:35"/>
    <d v="2026-09-03T09:10:01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m/>
    <m/>
    <m/>
    <e v="#NUM!"/>
    <e v="#NUM!"/>
    <x v="0"/>
  </r>
  <r>
    <n v="58"/>
    <n v="1002567489"/>
    <n v="3"/>
    <x v="1"/>
    <n v="4"/>
    <s v="SOLO"/>
    <s v="KLATEN"/>
    <s v="KLX"/>
    <s v="REG"/>
    <s v="AO"/>
    <x v="0"/>
    <s v="1P INET"/>
    <s v="MIE - SEND SURVEY"/>
    <s v="RBS-Regional 3"/>
    <d v="2026-09-02T12:33:57"/>
    <d v="2026-09-02T12:36:03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SURVEY_NEW_MANJA"/>
    <s v="X"/>
    <s v="NO ADDON"/>
    <m/>
    <s v="MIE - SEND SURVEY"/>
    <s v="HSI Bisnis Promo HUT RI PSB 70% - 50 Mbps"/>
    <s v="INDIBIZ"/>
    <m/>
    <m/>
    <d v="2026-09-07T13:00:00"/>
    <s v="2026-09-07 13:00:00 | Tanggal : 7 September 2026 Jam : pagi  Hubungi pelanggan sebelum ke lokasi "/>
    <m/>
    <m/>
    <m/>
    <e v="#NUM!"/>
    <e v="#NUM!"/>
    <x v="0"/>
  </r>
  <r>
    <n v="59"/>
    <n v="1002568541"/>
    <n v="3"/>
    <x v="1"/>
    <n v="4"/>
    <s v="SOLO"/>
    <s v="INNER - SOLO JATENG TIMUR"/>
    <s v="SOP"/>
    <s v="REG"/>
    <s v="AO"/>
    <x v="0"/>
    <s v="1P INET"/>
    <s v="MIE - SEND SURVEY"/>
    <s v="RBS-Regional 3"/>
    <d v="2026-09-02T18:02:57"/>
    <d v="2026-09-02T18:04:01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SURVEY_NEW_MANJA"/>
    <s v="SOLO PALUR"/>
    <s v="NO ADDON"/>
    <m/>
    <s v="MIE - SEND SURVEY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</r>
  <r>
    <n v="60"/>
    <n v="1002568545"/>
    <n v="3"/>
    <x v="6"/>
    <n v="5"/>
    <s v="SBY UTARA"/>
    <s v="MANYAR"/>
    <s v="MGO"/>
    <s v="REG"/>
    <s v="AO"/>
    <x v="0"/>
    <s v="1P INET"/>
    <s v="MIE - SEND SURVEY"/>
    <s v="RBS-Regional 3"/>
    <d v="2026-09-02T18:05:56"/>
    <d v="2026-09-02T18:08:01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SURVEY_NEW_MANJA"/>
    <s v="MERGOYOSO"/>
    <s v="NO ADDON"/>
    <m/>
    <s v="MIE - SEND SURVEY"/>
    <s v="HSI Bisnis Promo HUT RI PSB 70% - 75 Mbps"/>
    <s v="INDIBIZ"/>
    <m/>
    <m/>
    <d v="2026-09-03T15:00:00"/>
    <s v="2026-09-03 15:00:00 | Tanggal : 3 September 2026 Jam : siang Hubungi pelanggan sebelum ke lokasi "/>
    <m/>
    <m/>
    <m/>
    <e v="#NUM!"/>
    <e v="#NUM!"/>
    <x v="0"/>
  </r>
  <r>
    <n v="61"/>
    <n v="1002567484"/>
    <n v="3"/>
    <x v="1"/>
    <n v="4"/>
    <s v="SOLO"/>
    <s v="KLATEN"/>
    <s v="KLX"/>
    <s v="REG"/>
    <s v="AO"/>
    <x v="0"/>
    <s v="1P INET"/>
    <s v="MIE - SEND SURVEY"/>
    <s v="RBS-Regional 3"/>
    <d v="2026-09-02T12:32:57"/>
    <d v="2026-09-02T12:34:01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</r>
  <r>
    <n v="62"/>
    <n v="1002567485"/>
    <n v="3"/>
    <x v="1"/>
    <n v="4"/>
    <s v="SOLO"/>
    <s v="KLATEN"/>
    <s v="KLX"/>
    <s v="REG"/>
    <s v="AO"/>
    <x v="0"/>
    <s v="1P INET"/>
    <s v="MIE - SEND SURVEY"/>
    <s v="RBS-Regional 3"/>
    <d v="2026-09-02T12:32:57"/>
    <d v="2026-09-02T12:34:01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</r>
  <r>
    <n v="63"/>
    <n v="1002568368"/>
    <n v="3"/>
    <x v="1"/>
    <n v="4"/>
    <s v="KUDUS"/>
    <s v="JEPARA"/>
    <s v="PEC"/>
    <s v="REG"/>
    <s v="AO"/>
    <x v="0"/>
    <s v="1P INET"/>
    <s v="MIE - SEND SURVEY"/>
    <s v="RBS-Regional 3"/>
    <d v="2026-09-02T16:32:56"/>
    <d v="2026-09-02T16:34:01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SURVEY_NEW_MANJA"/>
    <s v="PECANGAAN"/>
    <s v="NO ADDON"/>
    <m/>
    <s v="MIE - SEND SURVEY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m/>
    <m/>
    <m/>
    <e v="#NUM!"/>
    <e v="#NUM!"/>
    <x v="0"/>
  </r>
  <r>
    <n v="64"/>
    <n v="1002568359"/>
    <n v="3"/>
    <x v="3"/>
    <n v="5"/>
    <s v="MATARAM"/>
    <s v="INNER - NUSA TENGGARA"/>
    <s v="MTR"/>
    <s v="REG"/>
    <s v="AO"/>
    <x v="0"/>
    <s v="1P INET"/>
    <s v="MIE - SEND SURVEY"/>
    <s v="RBS-Regional 3"/>
    <d v="2026-09-02T16:29:56"/>
    <d v="2026-09-02T16:32:01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SURVEY_NEW_MANJA"/>
    <s v="X"/>
    <s v="NO ADDON"/>
    <m/>
    <s v="MIE - SEND SURVEY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65"/>
    <n v="1002568374"/>
    <n v="3"/>
    <x v="6"/>
    <n v="5"/>
    <s v="SBY UTARA"/>
    <s v="KENJERAN"/>
    <s v="KBL"/>
    <s v="REG"/>
    <s v="AO"/>
    <x v="0"/>
    <s v="1P INET"/>
    <s v="MIE - SEND SURVEY"/>
    <s v="RBS-Regional 3"/>
    <d v="2026-09-02T16:35:57"/>
    <d v="2026-09-02T16:38:0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m/>
    <s v="SURVEY_NEW_MANJA"/>
    <s v="KEBALEN"/>
    <s v="NO ADDON"/>
    <m/>
    <s v="MIE - SEND SURVEY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66"/>
    <n v="1002566618"/>
    <n v="3"/>
    <x v="5"/>
    <n v="4"/>
    <s v="MAGELANG"/>
    <s v="MAGELANG"/>
    <s v="MGE"/>
    <s v="REG"/>
    <s v="AO"/>
    <x v="0"/>
    <s v="1P INET"/>
    <s v="MIE - SEND SURVEY"/>
    <s v="RBS-Regional 3"/>
    <d v="2026-09-02T08:18:56"/>
    <d v="2026-09-02T08:20:01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SURVEY_NEW_MANJA"/>
    <s v="X"/>
    <s v="NO ADDON"/>
    <m/>
    <s v="MIE - SEND SURVEY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m/>
    <m/>
    <m/>
    <e v="#NUM!"/>
    <e v="#NUM!"/>
    <x v="0"/>
  </r>
  <r>
    <n v="67"/>
    <n v="1002568238"/>
    <n v="3"/>
    <x v="7"/>
    <n v="5"/>
    <s v="MADIUN"/>
    <s v="BOJONEGORO"/>
    <s v="KDU"/>
    <s v="REG"/>
    <s v="AO"/>
    <x v="0"/>
    <s v="1P INET"/>
    <s v="MIE - SEND SURVEY"/>
    <s v="RBS-Regional 3"/>
    <d v="2026-09-02T15:57:56"/>
    <d v="2026-09-02T16:00:02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PADANGAN"/>
    <s v="NO ADDON"/>
    <m/>
    <s v="MIE - SEND SURVEY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</r>
  <r>
    <n v="68"/>
    <n v="1002568233"/>
    <n v="3"/>
    <x v="5"/>
    <n v="4"/>
    <s v="MAGELANG"/>
    <s v="MAGELANG"/>
    <s v="MGE"/>
    <s v="REG"/>
    <s v="AO"/>
    <x v="0"/>
    <s v="1P INET"/>
    <s v="MIE - SEND SURVEY"/>
    <s v="RBS-Regional 3"/>
    <d v="2026-09-02T15:56:56"/>
    <d v="2026-09-02T15:58:01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SURVEY_NEW_MANJA"/>
    <s v="X"/>
    <s v="NO ADDON"/>
    <m/>
    <s v="MIE - SEND SURVEY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m/>
    <m/>
    <m/>
    <e v="#NUM!"/>
    <e v="#NUM!"/>
    <x v="0"/>
  </r>
  <r>
    <n v="69"/>
    <n v="1002568226"/>
    <n v="3"/>
    <x v="6"/>
    <n v="5"/>
    <s v="SBY SELATAN"/>
    <s v="MANYAR"/>
    <s v="GBG"/>
    <s v="REG"/>
    <s v="AO"/>
    <x v="0"/>
    <s v="1P INET"/>
    <s v="MIE - SEND SURVEY"/>
    <s v="RBS-Regional 3"/>
    <d v="2026-09-02T15:54:58"/>
    <d v="2026-09-02T15:56:01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DARMO GUBENG"/>
    <s v="NO ADDON"/>
    <m/>
    <s v="MIE - SEND SURVEY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</r>
  <r>
    <n v="70"/>
    <n v="1002568177"/>
    <n v="3"/>
    <x v="4"/>
    <n v="5"/>
    <s v="DENPASAR"/>
    <s v="SANUR"/>
    <s v="TOP"/>
    <s v="REG"/>
    <s v="AO"/>
    <x v="0"/>
    <m/>
    <s v="MIE - SEND SURVEY"/>
    <s v="RBS-Regional 3"/>
    <d v="2026-09-02T16:02:54"/>
    <d v="2026-09-02T17:16:02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SURVEY_NEW_MANJA"/>
    <s v="TOHPATI SUKAWATI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m/>
    <m/>
    <m/>
    <e v="#NUM!"/>
    <e v="#NUM!"/>
    <x v="0"/>
  </r>
  <r>
    <n v="71"/>
    <n v="1002568264"/>
    <n v="3"/>
    <x v="5"/>
    <n v="4"/>
    <s v="PURWOKERTO"/>
    <s v="BANJARNEGARA"/>
    <s v="BJR"/>
    <s v="REG"/>
    <s v="AO"/>
    <x v="0"/>
    <s v="1P INET"/>
    <s v="MIE - SEND SURVEY"/>
    <s v="RBS-Regional 3"/>
    <d v="2026-09-02T16:03:57"/>
    <d v="2026-09-02T16:06:01"/>
    <n v="69382512"/>
    <m/>
    <n v="146372103317"/>
    <s v="CV PRESTASI ANAK BANGSA"/>
    <s v="ODP-BJR-FJ/145 FJ/D10/145.01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SURVEY_NEW_MANJA"/>
    <s v="X"/>
    <s v="NO ADDON"/>
    <m/>
    <s v="MIE - SEND SURVEY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m/>
    <m/>
    <m/>
    <e v="#NUM!"/>
    <e v="#NUM!"/>
    <x v="0"/>
  </r>
  <r>
    <n v="72"/>
    <n v="1002567022"/>
    <n v="3"/>
    <x v="7"/>
    <n v="5"/>
    <s v="MALANG"/>
    <s v="KEPANJEN"/>
    <s v="TUR"/>
    <s v="REG"/>
    <s v="AO"/>
    <x v="0"/>
    <m/>
    <s v="MIE - SEND SURVEY"/>
    <s v="RBS-Regional 3"/>
    <d v="2026-09-02T10:16:15"/>
    <d v="2026-09-02T15:00:04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m/>
    <m/>
    <m/>
    <e v="#NUM!"/>
    <e v="#NUM!"/>
    <x v="0"/>
  </r>
  <r>
    <n v="73"/>
    <n v="1002567049"/>
    <n v="3"/>
    <x v="7"/>
    <n v="5"/>
    <s v="MALANG"/>
    <s v="KEPANJEN"/>
    <s v="TUR"/>
    <s v="REG"/>
    <s v="AO"/>
    <x v="0"/>
    <m/>
    <s v="MIE - SEND SURVEY"/>
    <s v="RBS-Regional 3"/>
    <d v="2026-09-02T10:21:44"/>
    <d v="2026-09-02T15:00:01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m/>
    <m/>
    <m/>
    <e v="#NUM!"/>
    <e v="#NUM!"/>
    <x v="0"/>
  </r>
  <r>
    <n v="74"/>
    <n v="1002567011"/>
    <n v="3"/>
    <x v="2"/>
    <n v="4"/>
    <s v="PEKALONGAN"/>
    <s v="SLAWI"/>
    <s v="SLW"/>
    <s v="REG"/>
    <s v="AO"/>
    <x v="0"/>
    <m/>
    <s v="MIE - SEND SURVEY"/>
    <s v="RBS-Regional 3"/>
    <d v="2026-09-02T10:10:57"/>
    <d v="2026-09-02T15:22:01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75"/>
    <n v="1002567524"/>
    <n v="3"/>
    <x v="3"/>
    <n v="5"/>
    <s v="MATARAM"/>
    <s v="LOMBOK TIMUR UTARA"/>
    <s v="SGG"/>
    <s v="REG"/>
    <s v="AO"/>
    <x v="0"/>
    <s v="1P INET"/>
    <s v="MIE - SEND SURVEY"/>
    <s v="RBS-Regional 3"/>
    <d v="2026-09-02T12:54:56"/>
    <d v="2026-09-02T12:56:01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SURVEY_NEW_MANJA"/>
    <s v="LOMBOK UTARA"/>
    <s v="NO ADDON"/>
    <m/>
    <s v="MIE - SEND SURVEY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76"/>
    <n v="1002567530"/>
    <n v="3"/>
    <x v="3"/>
    <n v="5"/>
    <s v="MATARAM"/>
    <s v="INNER - NUSA TENGGARA"/>
    <s v="MTR"/>
    <s v="REG"/>
    <s v="AO"/>
    <x v="0"/>
    <s v="1P INET"/>
    <s v="MIE - SEND SURVEY"/>
    <s v="RBS-Regional 3"/>
    <d v="2026-09-02T12:57:58"/>
    <d v="2026-09-02T13:00:0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SURVEY_NEW_MANJA"/>
    <s v="X"/>
    <s v="NO ADDON"/>
    <m/>
    <s v="MIE - SEND SURVEY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77"/>
    <n v="1002567529"/>
    <n v="3"/>
    <x v="2"/>
    <n v="4"/>
    <s v="SEMARANG"/>
    <s v="INNER - SEMARANG JATENG UTARA"/>
    <s v="JHR"/>
    <s v="REG"/>
    <s v="AO"/>
    <x v="0"/>
    <s v="1P INET"/>
    <s v="MIE - SEND SURVEY"/>
    <s v="RBS-Regional 3"/>
    <d v="2026-09-02T12:57:57"/>
    <d v="2026-09-02T13:00:02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m/>
    <s v="SURVEY_NEW_MANJA"/>
    <s v="JOHAR"/>
    <s v="NO ADDON"/>
    <m/>
    <s v="MIE - SEND SURVEY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78"/>
    <n v="1002567147"/>
    <n v="3"/>
    <x v="2"/>
    <n v="4"/>
    <s v="PEKALONGAN"/>
    <s v="BREBES"/>
    <s v="KTM"/>
    <s v="REG"/>
    <s v="AO"/>
    <x v="0"/>
    <s v="1P INET"/>
    <s v="MIE - SEND SURVEY"/>
    <s v="RBS-Regional 3"/>
    <d v="2026-09-02T10:44:56"/>
    <d v="2026-09-02T10:46:01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m/>
    <s v="SURVEY_NEW_MANJA"/>
    <s v="KETANGGUNGAN"/>
    <s v="NO ADDON"/>
    <m/>
    <s v="MIE - SEND SURVEY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79"/>
    <n v="1002566014"/>
    <n v="3"/>
    <x v="1"/>
    <n v="4"/>
    <s v="SOLO"/>
    <s v="INNER - SOLO JATENG TIMUR"/>
    <s v="SOP"/>
    <s v="REG"/>
    <s v="AO"/>
    <x v="0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</r>
  <r>
    <n v="80"/>
    <n v="1002566360"/>
    <n v="3"/>
    <x v="5"/>
    <n v="4"/>
    <s v="PURWOKERTO"/>
    <s v="BANJARNEGARA"/>
    <s v="BJR"/>
    <s v="REG"/>
    <s v="AO"/>
    <x v="0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</r>
  <r>
    <n v="81"/>
    <n v="1002564406"/>
    <n v="3"/>
    <x v="3"/>
    <n v="5"/>
    <s v="MATARAM"/>
    <s v="INNER - NUSA TENGGARA"/>
    <s v="MTR"/>
    <s v="REG"/>
    <s v="AO"/>
    <x v="0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</r>
  <r>
    <n v="82"/>
    <n v="1002564380"/>
    <n v="3"/>
    <x v="5"/>
    <n v="4"/>
    <s v="YOGYAKARTA"/>
    <s v="INNER - YOGYA JATENG SELATAN"/>
    <s v="KBU"/>
    <s v="REG"/>
    <s v="AO"/>
    <x v="0"/>
    <m/>
    <s v="MIE - SEND SURVEY"/>
    <s v="RBS-Regional 2"/>
    <d v="2026-09-01T09:27:38"/>
    <d v="2026-09-02T13:58:01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83"/>
    <n v="1002564622"/>
    <n v="3"/>
    <x v="1"/>
    <n v="4"/>
    <s v="SOLO"/>
    <s v="INNER - SOLO JATENG TIMUR"/>
    <s v="MSO"/>
    <s v="REG"/>
    <s v="AO"/>
    <x v="0"/>
    <m/>
    <s v="MIE - SEND SURVEY"/>
    <s v="RBS-Regional 3"/>
    <d v="2026-09-01T10:08:08"/>
    <d v="2026-09-02T12:26:02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m/>
    <m/>
    <m/>
    <e v="#NUM!"/>
    <e v="#NUM!"/>
    <x v="0"/>
  </r>
  <r>
    <n v="84"/>
    <n v="1002564895"/>
    <n v="3"/>
    <x v="3"/>
    <n v="5"/>
    <s v="MATARAM"/>
    <s v="LOMBOK BARAT TENGAH"/>
    <s v="GER"/>
    <s v="REG"/>
    <s v="AO"/>
    <x v="0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</r>
  <r>
    <n v="85"/>
    <n v="1002565594"/>
    <n v="3"/>
    <x v="3"/>
    <n v="5"/>
    <s v="MATARAM"/>
    <s v="LOMBOK BARAT TENGAH"/>
    <s v="GER"/>
    <s v="REG"/>
    <s v="AO"/>
    <x v="0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</r>
  <r>
    <n v="86"/>
    <n v="1002566429"/>
    <n v="3"/>
    <x v="4"/>
    <n v="5"/>
    <s v="DENPASAR"/>
    <s v="SANUR"/>
    <s v="SAU"/>
    <s v="REG"/>
    <s v="AO"/>
    <x v="0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87"/>
    <n v="1002564240"/>
    <n v="3"/>
    <x v="3"/>
    <n v="5"/>
    <s v="MATARAM"/>
    <s v="LOMBOK BARAT TENGAH"/>
    <s v="GER"/>
    <s v="REG"/>
    <s v="AO"/>
    <x v="0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88"/>
    <n v="1002566294"/>
    <n v="3"/>
    <x v="7"/>
    <n v="5"/>
    <s v="MALANG"/>
    <s v="KEPANJEN"/>
    <s v="BRG"/>
    <s v="REG"/>
    <s v="AO"/>
    <x v="0"/>
    <m/>
    <s v="MIE - SEND SURVEY"/>
    <s v="RBS-Regional 3"/>
    <d v="2026-09-01T16:46:18"/>
    <d v="2026-09-02T12:04:07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SURVEY_NEW_MANJA"/>
    <s v="SAWOJAJ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m/>
    <m/>
    <m/>
    <e v="#NUM!"/>
    <e v="#NUM!"/>
    <x v="0"/>
  </r>
  <r>
    <n v="89"/>
    <n v="1002566159"/>
    <n v="3"/>
    <x v="1"/>
    <n v="4"/>
    <s v="SOLO"/>
    <s v="INNER - SOLO JATENG TIMUR"/>
    <s v="MSO"/>
    <s v="REG"/>
    <s v="AO"/>
    <x v="0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</r>
  <r>
    <n v="90"/>
    <n v="1002567365"/>
    <n v="3"/>
    <x v="6"/>
    <n v="5"/>
    <s v="SBY UTARA"/>
    <s v="TANDES"/>
    <s v="KNN"/>
    <s v="REG"/>
    <s v="AO"/>
    <x v="0"/>
    <m/>
    <s v="QC MIA - INVALID QUALITY CONTROL MIA"/>
    <s v="RBS-Regional 3"/>
    <d v="2026-09-02T11:55:49"/>
    <d v="2026-09-02T14:52:44"/>
    <n v="69382219"/>
    <m/>
    <n v="152412249119"/>
    <s v="PT. TRIJAYA SPORTECH"/>
    <s v="ODP-KND-FAA/08"/>
    <m/>
    <m/>
    <m/>
    <m/>
    <n v="112.6592418"/>
    <n v="-7.2758864000000001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m/>
    <m/>
    <m/>
    <d v="2026-02-09T12:09:56"/>
    <m/>
    <m/>
    <s v="QC1"/>
    <s v="KANDANG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1"/>
    <n v="1002566559"/>
    <n v="3"/>
    <x v="6"/>
    <n v="5"/>
    <s v="SBY UTARA"/>
    <s v="MANYAR"/>
    <s v="MGO"/>
    <s v="REG"/>
    <s v="AO"/>
    <x v="0"/>
    <s v="1P INET"/>
    <s v="MIA - INVALID SURVEY"/>
    <s v="RBS-Regional 3"/>
    <d v="2026-09-02T07:21:56"/>
    <d v="2026-09-02T21:40:11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m/>
    <s v="SURVEY_NEW_MANJA"/>
    <s v="MERGOYOSO"/>
    <s v="NO ADDON"/>
    <m/>
    <s v="MIE - INVALID SURVEY - Kendala Jalur/Rute Tarikan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92"/>
    <n v="1002567328"/>
    <n v="3"/>
    <x v="6"/>
    <n v="5"/>
    <s v="SBY UTARA"/>
    <s v="MANYAR"/>
    <s v="MGO"/>
    <s v="REG"/>
    <s v="AO"/>
    <x v="0"/>
    <s v="1P INET"/>
    <s v="MIA - INVALID SURVEY"/>
    <s v="RBS-Regional 3"/>
    <d v="2026-09-02T11:36:57"/>
    <d v="2026-09-02T21:39:15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SURVEY_NEW_MANJA"/>
    <s v="MERGOYOSO"/>
    <s v="NO ADDON"/>
    <m/>
    <s v="MIE - INVALID SURVEY - Kendala Jalur/Rute Tarikan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93"/>
    <n v="1002567211"/>
    <n v="3"/>
    <x v="6"/>
    <n v="5"/>
    <s v="SBY UTARA"/>
    <s v="MANYAR"/>
    <s v="MGO"/>
    <s v="REG"/>
    <s v="AO"/>
    <x v="0"/>
    <s v="1P INET"/>
    <s v="MIA - INVALID SURVEY"/>
    <s v="RBS-Regional 3"/>
    <d v="2026-09-02T11:02:56"/>
    <d v="2026-09-02T21:41:09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SURVEY_NEW_MANJA"/>
    <s v="MERGOYOSO"/>
    <s v="OCA"/>
    <m/>
    <s v="MIE - INVALID SURVEY - Kendala Jalur/Rute Tarikan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94"/>
    <n v="1002564024"/>
    <n v="3"/>
    <x v="6"/>
    <n v="5"/>
    <s v="MADURA"/>
    <s v="BANGKALAN"/>
    <s v="KPP"/>
    <s v="REG"/>
    <s v="AO"/>
    <x v="0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95"/>
    <n v="1002564716"/>
    <n v="3"/>
    <x v="6"/>
    <n v="5"/>
    <s v="MADURA"/>
    <s v="BANGKALAN"/>
    <s v="OMB"/>
    <s v="REG"/>
    <s v="AO"/>
    <x v="0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96"/>
    <n v="1002566030"/>
    <n v="3"/>
    <x v="7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97"/>
    <n v="1002565040"/>
    <n v="3"/>
    <x v="6"/>
    <n v="5"/>
    <s v="SBY UTARA"/>
    <s v="LAMONGAN"/>
    <s v="BBA"/>
    <s v="REG"/>
    <s v="AO"/>
    <x v="0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98"/>
    <n v="1002567333"/>
    <n v="3"/>
    <x v="5"/>
    <n v="4"/>
    <s v="YOGYAKARTA"/>
    <s v="INNER - YOGYA JATENG SELATAN"/>
    <s v="PGR"/>
    <s v="REG"/>
    <s v="AO"/>
    <x v="0"/>
    <m/>
    <s v="8 | OSS - PONR"/>
    <s v="RBS-Regional 3"/>
    <d v="2026-09-02T11:39:46"/>
    <d v="2026-09-03T09:19:52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m/>
    <m/>
    <m/>
    <e v="#NUM!"/>
    <e v="#NUM!"/>
    <x v="0"/>
  </r>
  <r>
    <n v="99"/>
    <n v="1002566722"/>
    <n v="3"/>
    <x v="5"/>
    <n v="4"/>
    <s v="MAGELANG"/>
    <s v="WONOSOBO"/>
    <s v="WOS"/>
    <s v="REG"/>
    <s v="AO"/>
    <x v="0"/>
    <s v="1P INET"/>
    <s v="8 | OSS - PONR"/>
    <s v="RBS-Regional 3"/>
    <d v="2026-09-02T08:51:56"/>
    <d v="2026-09-02T12:32:23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ACT_COM"/>
    <s v="X"/>
    <s v="NO ADDON"/>
    <m/>
    <s v="PONR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m/>
    <m/>
    <m/>
    <e v="#NUM!"/>
    <e v="#NUM!"/>
    <x v="0"/>
  </r>
  <r>
    <n v="100"/>
    <n v="1002564112"/>
    <n v="3"/>
    <x v="3"/>
    <n v="5"/>
    <s v="MATARAM"/>
    <s v="BIMA"/>
    <s v="SAP"/>
    <s v="REG"/>
    <s v="AO"/>
    <x v="0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</r>
  <r>
    <n v="101"/>
    <n v="1002564319"/>
    <n v="3"/>
    <x v="3"/>
    <n v="5"/>
    <s v="MATARAM"/>
    <s v="BIMA"/>
    <s v="BIM"/>
    <s v="REG"/>
    <s v="AO"/>
    <x v="0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</r>
  <r>
    <n v="102"/>
    <n v="1002566558"/>
    <n v="3"/>
    <x v="6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103"/>
    <n v="1002567799"/>
    <n v="3"/>
    <x v="2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104"/>
    <n v="1002567809"/>
    <n v="3"/>
    <x v="2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105"/>
    <n v="1002566950"/>
    <n v="3"/>
    <x v="7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06"/>
    <n v="1002566886"/>
    <n v="3"/>
    <x v="7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107"/>
    <n v="1002566921"/>
    <n v="3"/>
    <x v="2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08"/>
    <n v="1002567302"/>
    <n v="3"/>
    <x v="1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09"/>
    <n v="1002567508"/>
    <n v="3"/>
    <x v="4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110"/>
    <n v="1002567521"/>
    <n v="3"/>
    <x v="1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11"/>
    <n v="1002567513"/>
    <n v="3"/>
    <x v="3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112"/>
    <n v="1002567512"/>
    <n v="3"/>
    <x v="4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113"/>
    <n v="1002567503"/>
    <n v="3"/>
    <x v="2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14"/>
    <n v="1002568520"/>
    <n v="3"/>
    <x v="3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5"/>
    <n v="1002568199"/>
    <n v="3"/>
    <x v="1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16"/>
    <n v="1002567254"/>
    <n v="3"/>
    <x v="3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17"/>
    <n v="1002567272"/>
    <n v="3"/>
    <x v="0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118"/>
    <n v="1002567574"/>
    <n v="3"/>
    <x v="5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19"/>
    <n v="1002568118"/>
    <n v="3"/>
    <x v="3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20"/>
    <n v="1002567608"/>
    <n v="3"/>
    <x v="4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121"/>
    <n v="1002567630"/>
    <n v="3"/>
    <x v="4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122"/>
    <n v="1002567620"/>
    <n v="3"/>
    <x v="4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123"/>
    <n v="1002567446"/>
    <n v="3"/>
    <x v="5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124"/>
    <n v="1002567231"/>
    <n v="3"/>
    <x v="0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25"/>
    <n v="1002567226"/>
    <n v="3"/>
    <x v="5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26"/>
    <n v="1002567225"/>
    <n v="3"/>
    <x v="7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127"/>
    <n v="1002567199"/>
    <n v="3"/>
    <x v="2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28"/>
    <n v="1002568293"/>
    <n v="3"/>
    <x v="2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29"/>
    <n v="1002566882"/>
    <n v="3"/>
    <x v="7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30"/>
    <n v="1002566836"/>
    <n v="3"/>
    <x v="7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131"/>
    <n v="1002566565"/>
    <n v="3"/>
    <x v="1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32"/>
    <n v="1002567058"/>
    <n v="3"/>
    <x v="7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133"/>
    <n v="1002566710"/>
    <n v="3"/>
    <x v="7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134"/>
    <n v="1002567152"/>
    <n v="3"/>
    <x v="7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35"/>
    <n v="1002567545"/>
    <n v="3"/>
    <x v="7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136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37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38"/>
    <n v="1002564394"/>
    <n v="3"/>
    <x v="3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139"/>
    <n v="1002564794"/>
    <n v="3"/>
    <x v="3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140"/>
    <n v="1002564072"/>
    <n v="3"/>
    <x v="5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41"/>
    <n v="1002564446"/>
    <n v="3"/>
    <x v="7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42"/>
    <n v="1002564395"/>
    <n v="3"/>
    <x v="0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43"/>
    <n v="1002564057"/>
    <n v="3"/>
    <x v="5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44"/>
    <n v="1002564025"/>
    <n v="3"/>
    <x v="3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145"/>
    <n v="1002565129"/>
    <n v="3"/>
    <x v="2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46"/>
    <n v="1002564592"/>
    <n v="3"/>
    <x v="0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47"/>
    <n v="1002565224"/>
    <n v="3"/>
    <x v="6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48"/>
    <n v="1002564429"/>
    <n v="3"/>
    <x v="6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49"/>
    <n v="1002564751"/>
    <n v="3"/>
    <x v="0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50"/>
    <n v="1002564376"/>
    <n v="3"/>
    <x v="1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51"/>
    <n v="1002564818"/>
    <n v="3"/>
    <x v="5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152"/>
    <n v="1002566468"/>
    <n v="3"/>
    <x v="0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53"/>
    <n v="1002566472"/>
    <n v="3"/>
    <x v="1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54"/>
    <n v="1002565810"/>
    <n v="3"/>
    <x v="0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155"/>
    <n v="1002565759"/>
    <n v="3"/>
    <x v="1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56"/>
    <n v="1002565180"/>
    <n v="3"/>
    <x v="3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157"/>
    <n v="1002565851"/>
    <n v="3"/>
    <x v="5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58"/>
    <n v="1002565160"/>
    <n v="3"/>
    <x v="6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59"/>
    <n v="1002565854"/>
    <n v="3"/>
    <x v="2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160"/>
    <n v="1002566045"/>
    <n v="3"/>
    <x v="1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61"/>
    <n v="1002565201"/>
    <n v="3"/>
    <x v="1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62"/>
    <n v="1002565198"/>
    <n v="3"/>
    <x v="6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63"/>
    <n v="1002565668"/>
    <n v="3"/>
    <x v="3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164"/>
    <n v="1002566034"/>
    <n v="3"/>
    <x v="3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65"/>
    <n v="1002564469"/>
    <n v="3"/>
    <x v="5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166"/>
    <n v="1002564921"/>
    <n v="3"/>
    <x v="3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167"/>
    <n v="1002564898"/>
    <n v="3"/>
    <x v="4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168"/>
    <n v="1002564914"/>
    <n v="3"/>
    <x v="7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169"/>
    <n v="1002564483"/>
    <n v="3"/>
    <x v="3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170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71"/>
    <n v="1002564906"/>
    <n v="3"/>
    <x v="5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172"/>
    <n v="1002564932"/>
    <n v="3"/>
    <x v="5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73"/>
    <n v="1002564905"/>
    <n v="3"/>
    <x v="6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74"/>
    <n v="1002564503"/>
    <n v="3"/>
    <x v="1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75"/>
    <n v="1002565698"/>
    <n v="3"/>
    <x v="3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76"/>
    <n v="1002564495"/>
    <n v="3"/>
    <x v="6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77"/>
    <n v="1002566276"/>
    <n v="3"/>
    <x v="5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178"/>
    <n v="1002565406"/>
    <n v="3"/>
    <x v="7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179"/>
    <n v="1002565062"/>
    <n v="3"/>
    <x v="3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80"/>
    <n v="1002566521"/>
    <n v="3"/>
    <x v="1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81"/>
    <n v="1002566093"/>
    <n v="3"/>
    <x v="6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82"/>
    <n v="1002564164"/>
    <n v="3"/>
    <x v="6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83"/>
    <n v="1002564167"/>
    <n v="3"/>
    <x v="3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84"/>
    <n v="1002565076"/>
    <n v="3"/>
    <x v="1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85"/>
    <n v="1002565865"/>
    <n v="3"/>
    <x v="7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186"/>
    <n v="1002566411"/>
    <n v="3"/>
    <x v="2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87"/>
    <n v="1002564644"/>
    <n v="3"/>
    <x v="5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88"/>
    <n v="1002565046"/>
    <n v="3"/>
    <x v="2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89"/>
    <n v="1002565053"/>
    <n v="3"/>
    <x v="2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90"/>
    <n v="1002564711"/>
    <n v="3"/>
    <x v="5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191"/>
    <n v="1002565535"/>
    <n v="3"/>
    <x v="1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92"/>
    <n v="1002564963"/>
    <n v="3"/>
    <x v="0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93"/>
    <n v="1002564992"/>
    <n v="3"/>
    <x v="6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194"/>
    <n v="1002565516"/>
    <n v="3"/>
    <x v="0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95"/>
    <n v="1002565015"/>
    <n v="3"/>
    <x v="5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196"/>
    <n v="1002565519"/>
    <n v="3"/>
    <x v="2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97"/>
    <n v="1002564987"/>
    <n v="3"/>
    <x v="2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98"/>
    <n v="1002565560"/>
    <n v="3"/>
    <x v="1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99"/>
    <n v="1002565555"/>
    <n v="3"/>
    <x v="3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200"/>
    <n v="1002565542"/>
    <n v="3"/>
    <x v="2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201"/>
    <n v="1002564957"/>
    <n v="3"/>
    <x v="1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202"/>
    <n v="1002564132"/>
    <n v="3"/>
    <x v="5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203"/>
    <n v="1002565586"/>
    <n v="3"/>
    <x v="0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204"/>
    <n v="1002564360"/>
    <n v="3"/>
    <x v="6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205"/>
    <n v="1002564309"/>
    <n v="3"/>
    <x v="0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06"/>
    <n v="1002566447"/>
    <n v="3"/>
    <x v="3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207"/>
    <n v="1002566441"/>
    <n v="3"/>
    <x v="0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08"/>
    <n v="1002566432"/>
    <n v="3"/>
    <x v="7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09"/>
    <n v="1002566437"/>
    <n v="3"/>
    <x v="2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10"/>
    <n v="1002566415"/>
    <n v="3"/>
    <x v="3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211"/>
    <n v="1002564252"/>
    <n v="3"/>
    <x v="0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212"/>
    <n v="1002564257"/>
    <n v="3"/>
    <x v="2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213"/>
    <n v="1002566137"/>
    <n v="3"/>
    <x v="7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214"/>
    <n v="1002566283"/>
    <n v="3"/>
    <x v="7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215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16"/>
    <n v="1002566131"/>
    <n v="3"/>
    <x v="5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217"/>
    <n v="1002566337"/>
    <n v="3"/>
    <x v="0"/>
    <n v="5"/>
    <s v="SIDOARJO"/>
    <s v="JOMBANG"/>
    <s v="MOJ"/>
    <s v="REG"/>
    <s v="AO"/>
    <x v="0"/>
    <s v="1P INET"/>
    <s v="OSS - PROVISIONING DESAIN"/>
    <s v="RBS-Regional 3"/>
    <d v="2026-09-01T16:54:56"/>
    <d v="2026-09-02T17:03:19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RE_PI"/>
    <s v="JOMBANG"/>
    <s v="NO ADDON"/>
    <m/>
    <s v="Provisioning Designed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218"/>
    <n v="1002566996"/>
    <n v="3"/>
    <x v="3"/>
    <n v="5"/>
    <s v="KUPANG"/>
    <s v="ATAMBUA"/>
    <s v="KEF"/>
    <s v="REG"/>
    <s v="AO"/>
    <x v="0"/>
    <s v="1P INET"/>
    <s v="7 | OSS - PROVISIONING ISSUED"/>
    <s v="RBS-Regional 3"/>
    <d v="2026-09-02T10:06:56"/>
    <d v="2026-09-03T08:06:10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</r>
  <r>
    <n v="219"/>
    <n v="1002566938"/>
    <n v="3"/>
    <x v="1"/>
    <n v="4"/>
    <s v="SOLO"/>
    <s v="INNER - SOLO JATENG TIMUR"/>
    <s v="GLD"/>
    <s v="REG"/>
    <s v="AO"/>
    <x v="0"/>
    <m/>
    <s v="7 | OSS - PROVISIONING ISSUED"/>
    <s v="RBS-Regional 2"/>
    <d v="2026-09-02T09:53:56"/>
    <d v="2026-09-03T08:06:46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220"/>
    <n v="1002566926"/>
    <n v="3"/>
    <x v="4"/>
    <n v="5"/>
    <s v="SINGARJA"/>
    <s v="TABANAN"/>
    <s v="TBN"/>
    <s v="REG"/>
    <s v="AO"/>
    <x v="0"/>
    <m/>
    <s v="7 | OSS - PROVISIONING ISSUED"/>
    <s v="RBS-Regional 3"/>
    <d v="2026-09-02T09:49:20"/>
    <d v="2026-09-03T08:05:42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21"/>
    <n v="1002567273"/>
    <n v="3"/>
    <x v="5"/>
    <n v="4"/>
    <s v="MAGELANG"/>
    <s v="TEMANGGUNG"/>
    <s v="PRN"/>
    <s v="REG"/>
    <s v="AO"/>
    <x v="0"/>
    <s v="1P INET"/>
    <s v="7 | OSS - PROVISIONING ISSUED"/>
    <s v="RBS-Regional 3"/>
    <d v="2026-09-02T11:20:56"/>
    <d v="2026-09-03T08:06:30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I"/>
    <s v="PARAKAN"/>
    <s v="NO ADDON"/>
    <m/>
    <s v="Provisioning Issu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22"/>
    <n v="1002566584"/>
    <n v="3"/>
    <x v="3"/>
    <n v="5"/>
    <s v="KUPANG"/>
    <s v="MAUMERE"/>
    <s v="MMR"/>
    <s v="REG"/>
    <s v="AO"/>
    <x v="0"/>
    <s v="1P INET"/>
    <s v="7 | OSS - PROVISIONING ISSUED"/>
    <s v="RBS-Regional 3"/>
    <d v="2026-09-02T07:48:57"/>
    <d v="2026-09-02T17:40:33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I"/>
    <s v="X"/>
    <s v="NO ADDON"/>
    <m/>
    <s v="Provisioning Issu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m/>
    <m/>
    <m/>
    <e v="#NUM!"/>
    <e v="#NUM!"/>
    <x v="0"/>
  </r>
  <r>
    <n v="223"/>
    <n v="1002566762"/>
    <n v="3"/>
    <x v="6"/>
    <n v="5"/>
    <s v="SBY SELATAN"/>
    <s v="KETINTANG"/>
    <s v="RKT"/>
    <s v="REG"/>
    <s v="AO"/>
    <x v="0"/>
    <s v="1P INET"/>
    <s v="7 | OSS - PROVISIONING ISSUED"/>
    <s v="RBS-Regional 3"/>
    <d v="2026-09-02T09:05:56"/>
    <d v="2026-09-03T08:07:48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m/>
    <s v="PI"/>
    <s v="RUNGKUT"/>
    <s v="NO ADDON"/>
    <m/>
    <s v="Provisioning Issu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224"/>
    <n v="1002567344"/>
    <n v="3"/>
    <x v="3"/>
    <n v="5"/>
    <s v="KUPANG"/>
    <s v="KUPANG"/>
    <s v="OSP"/>
    <s v="REG"/>
    <s v="AO"/>
    <x v="0"/>
    <s v="1P INET"/>
    <s v="7 | OSS - PROVISIONING ISSUED"/>
    <s v="RBS-Regional 3"/>
    <d v="2026-09-02T11:41:56"/>
    <d v="2026-09-03T08:06:17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I"/>
    <s v="KUPANG"/>
    <s v="NO ADDON"/>
    <m/>
    <s v="Provisioning Issued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25"/>
    <n v="1002566793"/>
    <n v="3"/>
    <x v="2"/>
    <n v="4"/>
    <s v="PEKALONGAN"/>
    <s v="PEKALONGAN"/>
    <s v="PKL"/>
    <s v="REG"/>
    <s v="AO"/>
    <x v="0"/>
    <s v="1P INET"/>
    <s v="7 | OSS - PROVISIONING ISSUED"/>
    <s v="RBS-Regional 3"/>
    <d v="2026-09-02T09:15:57"/>
    <d v="2026-09-03T08:06:04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26"/>
    <n v="1002566634"/>
    <n v="3"/>
    <x v="3"/>
    <n v="5"/>
    <s v="KUPANG"/>
    <s v="MAUMERE"/>
    <s v="LRT"/>
    <s v="REG"/>
    <s v="AO"/>
    <x v="0"/>
    <s v="1P INET"/>
    <s v="7 | OSS - PROVISIONING ISSUED"/>
    <s v="RBS-Regional 3"/>
    <d v="2026-09-02T08:23:57"/>
    <d v="2026-09-03T08:06:19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</r>
  <r>
    <n v="227"/>
    <n v="1002566611"/>
    <n v="3"/>
    <x v="3"/>
    <n v="5"/>
    <s v="KUPANG"/>
    <s v="KUPANG"/>
    <s v="KPN"/>
    <s v="REG"/>
    <s v="AO"/>
    <x v="0"/>
    <s v="1P INET"/>
    <s v="7 | OSS - PROVISIONING ISSUED"/>
    <s v="RBS-Regional 3"/>
    <d v="2026-09-02T08:15:57"/>
    <d v="2026-09-03T08:06:53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I"/>
    <s v="KUPANG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"/>
    <m/>
    <m/>
    <m/>
    <e v="#NUM!"/>
    <e v="#NUM!"/>
    <x v="0"/>
  </r>
  <r>
    <n v="228"/>
    <n v="1002566719"/>
    <n v="3"/>
    <x v="6"/>
    <n v="5"/>
    <s v="SBY UTARA"/>
    <s v="TANDES"/>
    <s v="BBE"/>
    <s v="REG"/>
    <s v="AO"/>
    <x v="0"/>
    <m/>
    <s v="7 | OSS - PROVISIONING ISSUED"/>
    <s v="RBS-Regional 3"/>
    <d v="2026-09-02T08:52:50"/>
    <d v="2026-09-03T08:05:38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m/>
    <s v="PI"/>
    <s v="BAMBE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29"/>
    <n v="1002567130"/>
    <n v="3"/>
    <x v="7"/>
    <n v="5"/>
    <s v="KEDIRI"/>
    <s v="KEDIRI"/>
    <s v="KDI"/>
    <s v="REG"/>
    <s v="AO"/>
    <x v="0"/>
    <s v="1P INET"/>
    <s v="7 | OSS - PROVISIONING ISSUED"/>
    <s v="RBS-Regional 3"/>
    <d v="2026-09-02T10:39:57"/>
    <d v="2026-09-03T08:06:3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m/>
    <m/>
    <m/>
    <e v="#NUM!"/>
    <e v="#NUM!"/>
    <x v="0"/>
  </r>
  <r>
    <n v="230"/>
    <n v="1002566682"/>
    <n v="3"/>
    <x v="4"/>
    <n v="5"/>
    <s v="SINGARJA"/>
    <s v="TABANAN"/>
    <s v="TBN"/>
    <s v="REG"/>
    <s v="AO"/>
    <x v="0"/>
    <m/>
    <s v="7 | OSS - PROVISIONING ISSUED"/>
    <s v="RBS-Regional 3"/>
    <d v="2026-09-02T08:39:33"/>
    <d v="2026-09-03T08:06:21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31"/>
    <n v="1002567158"/>
    <n v="3"/>
    <x v="2"/>
    <n v="4"/>
    <s v="PEKALONGAN"/>
    <s v="SLAWI"/>
    <s v="BLU"/>
    <s v="REG"/>
    <s v="AO"/>
    <x v="0"/>
    <s v="1P INET"/>
    <s v="7 | OSS - PROVISIONING ISSUED"/>
    <s v="RBS-Regional 3"/>
    <d v="2026-09-02T10:47:56"/>
    <d v="2026-09-03T08:05:35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I"/>
    <s v="X"/>
    <s v="NO ADDON"/>
    <m/>
    <s v="Provisioning Issu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</r>
  <r>
    <n v="232"/>
    <n v="1002566694"/>
    <n v="3"/>
    <x v="3"/>
    <n v="5"/>
    <s v="KUPANG"/>
    <s v="MAUMERE"/>
    <s v="LRT"/>
    <s v="REG"/>
    <s v="AO"/>
    <x v="0"/>
    <s v="1P INET"/>
    <s v="7 | OSS - PROVISIONING ISSUED"/>
    <s v="RBS-Regional 3"/>
    <d v="2026-09-02T08:42:57"/>
    <d v="2026-09-03T08:05:37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</r>
  <r>
    <n v="233"/>
    <n v="1002567171"/>
    <n v="3"/>
    <x v="1"/>
    <n v="4"/>
    <s v="SOLO"/>
    <s v="INNER - SOLO JATENG TIMUR"/>
    <s v="KRT"/>
    <s v="REG"/>
    <s v="AO"/>
    <x v="0"/>
    <s v="1P INET"/>
    <s v="7 | OSS - PROVISIONING ISSUED"/>
    <s v="RBS-Regional 3"/>
    <d v="2026-09-02T10:51:57"/>
    <d v="2026-09-03T08:06:45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m/>
    <m/>
    <m/>
    <e v="#NUM!"/>
    <e v="#NUM!"/>
    <x v="0"/>
  </r>
  <r>
    <n v="234"/>
    <n v="1002566199"/>
    <n v="3"/>
    <x v="3"/>
    <n v="5"/>
    <s v="KUPANG"/>
    <s v="KUPANG"/>
    <s v="KPN"/>
    <s v="REG"/>
    <s v="AO"/>
    <x v="0"/>
    <s v="1P INET"/>
    <s v="7 | OSS - PROVISIONING ISSUED"/>
    <s v="RBS-Regional 3"/>
    <d v="2026-09-01T16:18:56"/>
    <d v="2026-09-02T13:06:17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I"/>
    <s v="KUPANG"/>
    <s v="NO ADDON"/>
    <m/>
    <s v="Provisioning Issu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35"/>
    <n v="1002564623"/>
    <n v="3"/>
    <x v="7"/>
    <n v="5"/>
    <s v="KEDIRI"/>
    <s v="BLITAR"/>
    <s v="PAN"/>
    <s v="REG"/>
    <s v="AO"/>
    <x v="0"/>
    <s v="1P INET"/>
    <s v="7 | OSS - PROVISIONING ISSUED"/>
    <s v="RBS-Regional 3"/>
    <d v="2026-09-01T10:06:56"/>
    <d v="2026-09-02T16:15:5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m/>
    <s v="PI"/>
    <s v="WLINGI"/>
    <s v="NO ADDON"/>
    <m/>
    <s v="Provisioning Issued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236"/>
    <n v="1002564858"/>
    <n v="3"/>
    <x v="3"/>
    <n v="5"/>
    <s v="MATARAM"/>
    <s v="SUMBAWA"/>
    <s v="ALA"/>
    <s v="REG"/>
    <s v="AO"/>
    <x v="0"/>
    <s v="1P INET"/>
    <s v="7 | OSS - PROVISIONING ISSUED"/>
    <s v="RBS-Regional 3"/>
    <d v="2026-09-01T10:50:57"/>
    <d v="2026-09-02T09:57:13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PI"/>
    <s v="SUMBAWA TIMUR"/>
    <s v="NO ADDON"/>
    <m/>
    <s v="Provisioning Issued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37"/>
    <n v="1002564783"/>
    <n v="3"/>
    <x v="3"/>
    <n v="5"/>
    <s v="MATARAM"/>
    <s v="LOMBOK TIMUR UTARA"/>
    <s v="SGG"/>
    <s v="REG"/>
    <s v="AO"/>
    <x v="0"/>
    <s v="1P INET"/>
    <s v="7 | OSS - PROVISIONING ISSUED"/>
    <s v="RBS-Regional 3"/>
    <d v="2026-09-01T10:38:56"/>
    <d v="2026-09-02T15:27:3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I"/>
    <s v="LOMBOK UTARA"/>
    <s v="NO ADDON"/>
    <m/>
    <s v="Provisioning Issu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</r>
  <r>
    <n v="238"/>
    <n v="1002565482"/>
    <n v="3"/>
    <x v="2"/>
    <n v="4"/>
    <s v="SEMARANG"/>
    <s v="INNER - SEMARANG JATENG UTARA"/>
    <s v="SSL"/>
    <s v="REG"/>
    <s v="AO"/>
    <x v="0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39"/>
    <n v="1002564593"/>
    <n v="3"/>
    <x v="3"/>
    <n v="5"/>
    <s v="MATARAM"/>
    <s v="LOMBOK BARAT TENGAH"/>
    <s v="PRY"/>
    <s v="REG"/>
    <s v="AO"/>
    <x v="0"/>
    <s v="1P INET"/>
    <s v="7 | OSS - PROVISIONING ISSUED"/>
    <s v="RBS-Regional 3"/>
    <d v="2026-09-01T10:00:55"/>
    <d v="2026-09-02T10:57:29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PI"/>
    <s v="LOMBOK TENGAH"/>
    <s v="NO ADDON"/>
    <m/>
    <s v="Provisioning Issu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240"/>
    <n v="1002566497"/>
    <n v="3"/>
    <x v="3"/>
    <n v="5"/>
    <s v="KUPANG"/>
    <s v="KUPANG"/>
    <s v="BAA"/>
    <s v="REG"/>
    <s v="AO"/>
    <x v="0"/>
    <s v="1P INET"/>
    <s v="7 | OSS - PROVISIONING ISSUED"/>
    <s v="RBS-Regional 3"/>
    <d v="2026-09-01T19:12:02"/>
    <d v="2026-09-03T08:06:33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I"/>
    <s v="X"/>
    <s v="NETMONK"/>
    <m/>
    <s v="Provisioning Issu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41"/>
    <n v="1002566474"/>
    <n v="3"/>
    <x v="1"/>
    <n v="4"/>
    <s v="KUDUS"/>
    <s v="PURWODADI"/>
    <s v="GBU"/>
    <s v="REG"/>
    <s v="AO"/>
    <x v="0"/>
    <s v="1P INET"/>
    <s v="7 | OSS - PROVISIONING ISSUED"/>
    <s v="RBS-Regional 3"/>
    <d v="2026-09-01T18:36:56"/>
    <d v="2026-09-03T08:06:06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PI"/>
    <s v="GUBUG"/>
    <s v="NO ADDON"/>
    <m/>
    <s v="Provisioning Issu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42"/>
    <n v="1002565843"/>
    <n v="3"/>
    <x v="0"/>
    <n v="5"/>
    <s v="SIDOARJO"/>
    <s v="INNER - JATIM TIMUR"/>
    <s v="TUN"/>
    <s v="REG"/>
    <s v="AO"/>
    <x v="0"/>
    <m/>
    <s v="7 | OSS - PROVISIONING ISSUED"/>
    <s v="RBS-Regional 3"/>
    <d v="2026-09-01T15:08:32"/>
    <d v="2026-09-02T17:04:17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I"/>
    <s v="TULANGAN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</r>
  <r>
    <n v="243"/>
    <n v="1002565223"/>
    <n v="3"/>
    <x v="3"/>
    <n v="5"/>
    <s v="KUPANG"/>
    <s v="KUPANG"/>
    <s v="OSP"/>
    <s v="REG"/>
    <s v="AO"/>
    <x v="0"/>
    <s v="1P INET"/>
    <s v="7 | OSS - PROVISIONING ISSUED"/>
    <s v="RBS-Regional 3"/>
    <d v="2026-09-01T12:21:58"/>
    <d v="2026-09-02T13:05:39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I"/>
    <s v="KUPANG"/>
    <s v="NO ADDON"/>
    <m/>
    <s v="Provisioning Issu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244"/>
    <n v="1002566046"/>
    <n v="3"/>
    <x v="3"/>
    <n v="5"/>
    <s v="KUPANG"/>
    <s v="LABOAN BAJO"/>
    <s v="RTE"/>
    <s v="REG"/>
    <s v="AO"/>
    <x v="0"/>
    <s v="1P INET"/>
    <s v="7 | OSS - PROVISIONING ISSUED"/>
    <s v="RBS-Regional 3"/>
    <d v="2026-09-01T15:42:57"/>
    <d v="2026-09-02T13:06:46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I"/>
    <s v="X"/>
    <s v="NO ADDON"/>
    <m/>
    <s v="Provisioning Issu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245"/>
    <n v="1002564872"/>
    <n v="3"/>
    <x v="3"/>
    <n v="5"/>
    <s v="MATARAM"/>
    <s v="SUMBAWA"/>
    <s v="SBW"/>
    <s v="REG"/>
    <s v="AO"/>
    <x v="0"/>
    <s v="1P INET"/>
    <s v="7 | OSS - PROVISIONING ISSUED"/>
    <s v="RBS-Regional 3"/>
    <d v="2026-09-01T10:54:56"/>
    <d v="2026-09-02T13:06:3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I"/>
    <s v="X"/>
    <s v="OCA"/>
    <m/>
    <s v="Provisioning Issu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</r>
  <r>
    <n v="246"/>
    <n v="1002564524"/>
    <n v="3"/>
    <x v="1"/>
    <n v="4"/>
    <s v="SOLO"/>
    <s v="INNER - SOLO JATENG TIMUR"/>
    <s v="KRT"/>
    <s v="REG"/>
    <s v="AO"/>
    <x v="0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247"/>
    <n v="1002565696"/>
    <n v="3"/>
    <x v="4"/>
    <n v="5"/>
    <s v="SINGARJA"/>
    <s v="GIANYAR"/>
    <s v="GIN"/>
    <s v="REG"/>
    <s v="AO"/>
    <x v="0"/>
    <m/>
    <s v="7 | OSS - PROVISIONING ISSUED"/>
    <s v="RBS-Regional 3"/>
    <d v="2026-09-01T14:35:08"/>
    <d v="2026-09-03T08:06:01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48"/>
    <n v="1002566268"/>
    <n v="3"/>
    <x v="7"/>
    <n v="5"/>
    <s v="KEDIRI"/>
    <s v="KEDIRI"/>
    <s v="NDL"/>
    <s v="REG"/>
    <s v="AO"/>
    <x v="0"/>
    <s v="1P INET"/>
    <s v="7 | OSS - PROVISIONING ISSUED"/>
    <s v="RBS-Regional 3"/>
    <d v="2026-09-01T16:36:56"/>
    <d v="2026-09-02T13:06:09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PI"/>
    <s v="NGADILUWIH"/>
    <s v="NO ADDON"/>
    <m/>
    <s v="Provisioning Issu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249"/>
    <n v="1002565310"/>
    <n v="3"/>
    <x v="3"/>
    <n v="5"/>
    <s v="MATARAM"/>
    <s v="SUMBAWA"/>
    <s v="TLW"/>
    <s v="REG"/>
    <s v="AO"/>
    <x v="0"/>
    <s v="1P INET"/>
    <s v="7 | OSS - PROVISIONING ISSUED"/>
    <s v="RBS-Regional 3"/>
    <d v="2026-09-01T13:00:56"/>
    <d v="2026-09-02T13:05:4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PI"/>
    <s v="SUMBAWA BARAT"/>
    <s v="NO ADDON"/>
    <m/>
    <s v="Provisioning Issued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250"/>
    <n v="1002565915"/>
    <n v="3"/>
    <x v="3"/>
    <n v="5"/>
    <s v="KUPANG"/>
    <s v="KUPANG"/>
    <s v="KPN"/>
    <s v="REG"/>
    <s v="AO"/>
    <x v="0"/>
    <s v="1P INET"/>
    <s v="7 | OSS - PROVISIONING ISSUED"/>
    <s v="RBS-Regional 3"/>
    <d v="2026-09-01T15:21:57"/>
    <d v="2026-09-02T13:06:20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I"/>
    <s v="KUPANG"/>
    <s v="NO ADDON"/>
    <m/>
    <s v="Provisioning Issu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</r>
  <r>
    <n v="251"/>
    <n v="1002565896"/>
    <n v="3"/>
    <x v="7"/>
    <n v="5"/>
    <s v="KEDIRI"/>
    <s v="NGANJUK"/>
    <s v="NJK"/>
    <s v="REG"/>
    <s v="AO"/>
    <x v="0"/>
    <s v="1P INET"/>
    <s v="7 | OSS - PROVISIONING ISSUED"/>
    <s v="RBS-Regional 3"/>
    <d v="2026-09-01T15:18:56"/>
    <d v="2026-09-02T13:07:1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I"/>
    <s v="X"/>
    <s v="NO ADDON"/>
    <m/>
    <s v="Provisioning Issu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</r>
  <r>
    <n v="252"/>
    <n v="1002564991"/>
    <n v="3"/>
    <x v="3"/>
    <n v="5"/>
    <s v="MATARAM"/>
    <s v="BIMA"/>
    <s v="SAP"/>
    <s v="REG"/>
    <s v="AO"/>
    <x v="0"/>
    <s v="1P INET"/>
    <s v="7 | OSS - PROVISIONING ISSUED"/>
    <s v="RBS-Regional 3"/>
    <d v="2026-09-01T11:15:57"/>
    <d v="2026-09-02T09:30:0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PI"/>
    <s v="BIMA BARAT"/>
    <s v="NETMONK"/>
    <m/>
    <s v="Provisioning Issued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253"/>
    <n v="1002565568"/>
    <n v="3"/>
    <x v="5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54"/>
    <n v="1002564873"/>
    <n v="3"/>
    <x v="2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255"/>
    <n v="1002564550"/>
    <n v="3"/>
    <x v="3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256"/>
    <n v="1002566859"/>
    <n v="3"/>
    <x v="7"/>
    <n v="5"/>
    <s v="MALANG"/>
    <s v="KEPANJEN"/>
    <s v="KLJ"/>
    <s v="REG"/>
    <s v="AO"/>
    <x v="0"/>
    <s v="1P INET"/>
    <s v="OSS - PROVISIONING START"/>
    <s v="RBS-Regional 3"/>
    <d v="2026-09-02T09:33:57"/>
    <d v="2026-09-02T17:04:36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RE_PI"/>
    <s v="KLOJEN"/>
    <s v="OCA"/>
    <m/>
    <s v="Provisioning Start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</r>
  <r>
    <n v="257"/>
    <n v="1002568437"/>
    <n v="3"/>
    <x v="5"/>
    <n v="4"/>
    <s v="YOGYAKARTA"/>
    <s v="INNER - YOGYA JATENG SELATAN"/>
    <s v="BBS"/>
    <s v="REG"/>
    <s v="AO"/>
    <x v="0"/>
    <m/>
    <s v="OSS - FALLOUT"/>
    <s v="RBS-Regional 3"/>
    <d v="2026-09-02T16:59:31"/>
    <d v="2026-09-02T23:03:34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FO_OSM"/>
    <s v="X"/>
    <s v="NO ADDON"/>
    <m/>
    <s v="Provisioning Failed|OSM|INF009224701|Unknown Tom Failur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258"/>
    <n v="1002567710"/>
    <n v="3"/>
    <x v="4"/>
    <n v="5"/>
    <s v="DENPASAR"/>
    <s v="UBUNG"/>
    <s v="MMN"/>
    <s v="REG"/>
    <s v="AO"/>
    <x v="0"/>
    <m/>
    <s v="OSS - FALLOUT"/>
    <s v="RBS-Regional 3"/>
    <d v="2026-09-02T13:52:37"/>
    <d v="2026-09-02T18:49:45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FO_WFM"/>
    <s v="MONANG MANING"/>
    <s v="NO ADDON"/>
    <m/>
    <s v="Provisioning Failed|WFM|INF009223096|.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m/>
    <m/>
    <m/>
    <e v="#NUM!"/>
    <e v="#NUM!"/>
    <x v="0"/>
  </r>
  <r>
    <n v="259"/>
    <n v="1002566519"/>
    <n v="3"/>
    <x v="0"/>
    <n v="5"/>
    <s v="SIDOARJO"/>
    <s v="INNER - JATIM TIMUR"/>
    <s v="KRN"/>
    <s v="REG"/>
    <s v="AO"/>
    <x v="0"/>
    <s v="1P INET"/>
    <s v="OSS - FALLOUT"/>
    <s v="RBS-Regional 3"/>
    <d v="2026-09-01T19:47:56"/>
    <d v="2026-09-02T18:32:47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FO_WFM"/>
    <s v="KRIAN"/>
    <s v="NO ADDON"/>
    <m/>
    <s v="Provisioning Failed|WFM|INF009222902|HOLD BY WITEL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260"/>
    <n v="1002564984"/>
    <n v="3"/>
    <x v="5"/>
    <n v="4"/>
    <s v="MAGELANG"/>
    <s v="TEMANGGUNG"/>
    <s v="PRN"/>
    <s v="REG"/>
    <s v="AO"/>
    <x v="0"/>
    <s v="1P INET"/>
    <s v="OSS - FALLOUT"/>
    <s v="RBS-Regional 3"/>
    <d v="2026-09-01T11:14:57"/>
    <d v="2026-09-02T17:19:53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FO_WFM"/>
    <s v="PARAKAN"/>
    <s v="NO ADDON"/>
    <m/>
    <s v="Provisioning Failed|WFM|INF009222055|pelanggan tidak respon alamat tidak ditemukan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261"/>
    <n v="1002564133"/>
    <n v="3"/>
    <x v="6"/>
    <n v="5"/>
    <s v="SBY UTARA"/>
    <s v="GRESIK"/>
    <s v="SDY"/>
    <s v="REG"/>
    <s v="AO"/>
    <x v="0"/>
    <s v="1P INET"/>
    <s v="OSS - FALLOUT"/>
    <s v="RBS-Regional 3"/>
    <d v="2026-09-01T08:36:56"/>
    <d v="2026-09-02T19:16:15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FO_WFM"/>
    <s v="GRESIK"/>
    <s v="NO ADDON"/>
    <m/>
    <s v="Provisioning Failed|WFM|INF009223380|PCL = Konfirmasi pelanggan by WA. Pelanggan batal pasang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62"/>
    <n v="1002566583"/>
    <n v="3"/>
    <x v="3"/>
    <n v="5"/>
    <s v="MATARAM"/>
    <s v="INNER - NUSA TENGGARA"/>
    <s v="MTR"/>
    <s v="REG"/>
    <s v="AO"/>
    <x v="0"/>
    <s v="1P INET"/>
    <s v="OSS - TESTING SERVICE"/>
    <s v="RBS-Regional 3"/>
    <d v="2026-09-02T07:48:57"/>
    <d v="2026-09-03T08:10:4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ACT_COM"/>
    <s v="X"/>
    <s v="NO ADDON"/>
    <m/>
    <s v="Testing Service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m/>
    <m/>
    <m/>
    <e v="#NUM!"/>
    <e v="#NUM!"/>
    <x v="0"/>
  </r>
  <r>
    <n v="263"/>
    <n v="1002567232"/>
    <n v="3"/>
    <x v="0"/>
    <n v="5"/>
    <s v="JEMBER"/>
    <s v="JEMBER"/>
    <s v="SKW"/>
    <s v="REG"/>
    <s v="AO"/>
    <x v="0"/>
    <s v="1P INET"/>
    <s v="OSS - TESTING SERVICE"/>
    <s v="RBS-Regional 3"/>
    <d v="2026-09-02T11:08:57"/>
    <d v="2026-09-02T18:58:37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ACT_COM"/>
    <s v="KEBONSARI"/>
    <s v="NO ADDON"/>
    <m/>
    <s v="Testing Service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7"/>
        <item x="0"/>
        <item x="3"/>
        <item h="1" x="2"/>
        <item h="1" x="1"/>
        <item x="6"/>
        <item h="1" x="5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55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7"/>
        <item x="0"/>
        <item x="3"/>
        <item h="1" x="2"/>
        <item h="1" x="1"/>
        <item x="6"/>
        <item h="1" x="5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1"/>
        <item x="32"/>
        <item m="1" x="42"/>
        <item m="1" x="94"/>
        <item m="1" x="51"/>
        <item m="1" x="55"/>
        <item m="1" x="44"/>
        <item x="20"/>
        <item x="28"/>
        <item m="1" x="41"/>
        <item x="12"/>
        <item m="1" x="48"/>
        <item m="1" x="43"/>
        <item m="1" x="62"/>
        <item x="19"/>
        <item m="1" x="45"/>
        <item m="1" x="47"/>
        <item m="1" x="46"/>
        <item x="27"/>
        <item m="1" x="56"/>
        <item x="14"/>
        <item x="18"/>
        <item x="26"/>
        <item m="1" x="95"/>
        <item x="0"/>
        <item m="1" x="50"/>
        <item x="25"/>
        <item m="1" x="35"/>
        <item m="1" x="37"/>
        <item x="15"/>
        <item x="22"/>
        <item x="11"/>
        <item x="23"/>
        <item x="21"/>
        <item m="1" x="39"/>
        <item x="29"/>
        <item x="5"/>
        <item m="1" x="58"/>
        <item x="13"/>
        <item x="30"/>
        <item m="1" x="33"/>
        <item m="1" x="52"/>
        <item m="1" x="53"/>
        <item x="3"/>
        <item m="1" x="49"/>
        <item x="24"/>
        <item x="10"/>
        <item m="1" x="40"/>
        <item x="4"/>
        <item m="1" x="34"/>
        <item m="1" x="36"/>
        <item x="31"/>
        <item m="1" x="54"/>
        <item m="1" x="38"/>
        <item m="1" x="57"/>
        <item x="17"/>
        <item x="2"/>
        <item x="7"/>
        <item x="8"/>
        <item x="6"/>
        <item x="16"/>
        <item x="9"/>
        <item t="default"/>
      </items>
    </pivotField>
  </pivotFields>
  <rowFields count="2">
    <field x="3"/>
    <field x="60"/>
  </rowFields>
  <rowItems count="37">
    <i>
      <x/>
    </i>
    <i r="1">
      <x v="57"/>
    </i>
    <i r="1">
      <x v="71"/>
    </i>
    <i r="1">
      <x v="79"/>
    </i>
    <i r="1">
      <x v="85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84"/>
    </i>
    <i r="1">
      <x v="88"/>
    </i>
    <i r="1">
      <x v="95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4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01" t="str">
        <f ca="1">"PROVISIONING INDIBIZ TR3 JBN HARIAN "&amp;TEXT(TODAY(),"YYYY-MM-DD ")&amp;TEXT(NOW(),"HH:MM")&amp;" WIB"</f>
        <v>PROVISIONING INDIBIZ TR3 JBN HARIAN 2026-09-04 11:08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4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18" t="s">
        <v>72</v>
      </c>
      <c r="D34" s="119"/>
    </row>
    <row r="35" spans="2:18" ht="15.7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75">
      <c r="B40" s="101" t="str">
        <f ca="1">"PROVISIONING INDIBIZ TR3 JBN BY TELDA MTD "&amp;TEXT(TODAY(),"YYYY-MM-DD ")&amp;TEXT(NOW(),"HH:MM")&amp;" WIB"</f>
        <v>PROVISIONING INDIBIZ TR3 JBN BY TELDA MTD 2026-09-04 11:08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7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4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4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7.2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2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1</v>
      </c>
      <c r="L47" s="53">
        <f>'LOOKUP  telda'!Y7</f>
        <v>0</v>
      </c>
      <c r="M47" s="53">
        <f>SUM('DATA MTD'!I47:L47)</f>
        <v>1</v>
      </c>
      <c r="N47" s="53">
        <f>'LOOKUP  telda'!Z7</f>
        <v>1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07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3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1</v>
      </c>
      <c r="K49" s="53">
        <f>'LOOKUP  telda'!X9</f>
        <v>0</v>
      </c>
      <c r="L49" s="53">
        <f>'LOOKUP  telda'!Y9</f>
        <v>0</v>
      </c>
      <c r="M49" s="53">
        <f>SUM('DATA MTD'!I49:L49)</f>
        <v>1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07"/>
      <c r="C50" s="52" t="s">
        <v>82</v>
      </c>
      <c r="D50" s="53">
        <f>'LOOKUP  telda'!E10</f>
        <v>5</v>
      </c>
      <c r="E50" s="53">
        <f>'LOOKUP  telda'!F10+'LOOKUP  telda'!G10+'LOOKUP  telda'!H10</f>
        <v>2</v>
      </c>
      <c r="F50" s="53">
        <f>'LOOKUP  telda'!I10</f>
        <v>0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07"/>
      <c r="C51" s="52" t="s">
        <v>83</v>
      </c>
      <c r="D51" s="53">
        <f>'LOOKUP  telda'!E11</f>
        <v>7</v>
      </c>
      <c r="E51" s="53">
        <f>'LOOKUP  telda'!F11+'LOOKUP  telda'!G11+'LOOKUP  telda'!H11</f>
        <v>1</v>
      </c>
      <c r="F51" s="53">
        <f>'LOOKUP  telda'!I11</f>
        <v>0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0</v>
      </c>
      <c r="L51" s="53">
        <f>'LOOKUP  telda'!Y11</f>
        <v>0</v>
      </c>
      <c r="M51" s="53">
        <f>SUM('DATA MTD'!I51:L51)</f>
        <v>1</v>
      </c>
      <c r="N51" s="53">
        <f>'LOOKUP  telda'!Z11</f>
        <v>3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07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07"/>
      <c r="C53" s="52" t="s">
        <v>85</v>
      </c>
      <c r="D53" s="53">
        <f>'LOOKUP  telda'!E13</f>
        <v>8</v>
      </c>
      <c r="E53" s="53">
        <f>'LOOKUP  telda'!F13+'LOOKUP  telda'!G13+'LOOKUP  telda'!H13</f>
        <v>4</v>
      </c>
      <c r="F53" s="53">
        <f>'LOOKUP  telda'!I13</f>
        <v>1</v>
      </c>
      <c r="G53" s="53">
        <f>'LOOKUP  telda'!J13</f>
        <v>1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1</v>
      </c>
      <c r="L53" s="53">
        <f>'LOOKUP  telda'!Y13</f>
        <v>0</v>
      </c>
      <c r="M53" s="53">
        <f>SUM('DATA MTD'!I53:L53)</f>
        <v>2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08"/>
      <c r="C54" s="52" t="s">
        <v>86</v>
      </c>
      <c r="D54" s="53">
        <f>'LOOKUP  telda'!E14</f>
        <v>7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1</v>
      </c>
      <c r="M54" s="53">
        <f>SUM('DATA MTD'!I54:L54)</f>
        <v>1</v>
      </c>
      <c r="N54" s="53">
        <f>'LOOKUP  telda'!Z14</f>
        <v>5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06" t="s">
        <v>38</v>
      </c>
      <c r="C55" s="52" t="s">
        <v>87</v>
      </c>
      <c r="D55" s="53">
        <f>'LOOKUP  telda'!E15</f>
        <v>3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1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2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07"/>
      <c r="C56" s="52" t="s">
        <v>88</v>
      </c>
      <c r="D56" s="53">
        <f>'LOOKUP  telda'!E16</f>
        <v>3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1</v>
      </c>
      <c r="K56" s="53">
        <f>'LOOKUP  telda'!X16</f>
        <v>1</v>
      </c>
      <c r="L56" s="53">
        <f>'LOOKUP  telda'!Y16</f>
        <v>0</v>
      </c>
      <c r="M56" s="53">
        <f>SUM('DATA MTD'!I56:L56)</f>
        <v>2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07"/>
      <c r="C57" s="52" t="s">
        <v>89</v>
      </c>
      <c r="D57" s="53">
        <f>'LOOKUP  telda'!E17</f>
        <v>6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2</v>
      </c>
      <c r="H57" s="53">
        <f>'LOOKUP  telda'!K17</f>
        <v>0</v>
      </c>
      <c r="I57" s="53">
        <f>'LOOKUP  telda'!L17</f>
        <v>0</v>
      </c>
      <c r="J57" s="53">
        <f>'LOOKUP  telda'!P17</f>
        <v>1</v>
      </c>
      <c r="K57" s="53">
        <f>'LOOKUP  telda'!X17</f>
        <v>0</v>
      </c>
      <c r="L57" s="53">
        <f>'LOOKUP  telda'!Y17</f>
        <v>0</v>
      </c>
      <c r="M57" s="53">
        <f>SUM('DATA MTD'!I57:L57)</f>
        <v>1</v>
      </c>
      <c r="N57" s="53">
        <f>'LOOKUP  telda'!Z17</f>
        <v>3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07"/>
      <c r="C58" s="52" t="s">
        <v>90</v>
      </c>
      <c r="D58" s="53">
        <f>'LOOKUP  telda'!E18</f>
        <v>9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0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8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1</v>
      </c>
    </row>
    <row r="59" spans="2:18">
      <c r="B59" s="107"/>
      <c r="C59" s="52" t="s">
        <v>91</v>
      </c>
      <c r="D59" s="53">
        <f>'LOOKUP  telda'!E19</f>
        <v>19</v>
      </c>
      <c r="E59" s="53">
        <f>'LOOKUP  telda'!F19+'LOOKUP  telda'!G19+'LOOKUP  telda'!H19</f>
        <v>1</v>
      </c>
      <c r="F59" s="53">
        <f>'LOOKUP  telda'!I19</f>
        <v>0</v>
      </c>
      <c r="G59" s="53">
        <f>'LOOKUP  telda'!J19</f>
        <v>5</v>
      </c>
      <c r="H59" s="53">
        <f>'LOOKUP  telda'!K19</f>
        <v>0</v>
      </c>
      <c r="I59" s="53">
        <f>'LOOKUP  telda'!L19</f>
        <v>0</v>
      </c>
      <c r="J59" s="53">
        <f>'LOOKUP  telda'!P19</f>
        <v>1</v>
      </c>
      <c r="K59" s="53">
        <f>'LOOKUP  telda'!X19</f>
        <v>0</v>
      </c>
      <c r="L59" s="53">
        <f>'LOOKUP  telda'!Y19</f>
        <v>1</v>
      </c>
      <c r="M59" s="53">
        <f>SUM('DATA MTD'!I59:L59)</f>
        <v>2</v>
      </c>
      <c r="N59" s="53">
        <f>'LOOKUP  telda'!Z19</f>
        <v>11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07"/>
      <c r="C60" s="52" t="s">
        <v>92</v>
      </c>
      <c r="D60" s="53">
        <f>'LOOKUP  telda'!E20</f>
        <v>2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1</v>
      </c>
      <c r="H60" s="53">
        <f>'LOOKUP  telda'!K20</f>
        <v>0</v>
      </c>
      <c r="I60" s="53">
        <f>'LOOKUP  telda'!L20</f>
        <v>0</v>
      </c>
      <c r="J60" s="53">
        <f>'LOOKUP  telda'!P20</f>
        <v>1</v>
      </c>
      <c r="K60" s="53">
        <f>'LOOKUP  telda'!X20</f>
        <v>0</v>
      </c>
      <c r="L60" s="53">
        <f>'LOOKUP  telda'!Y20</f>
        <v>0</v>
      </c>
      <c r="M60" s="53">
        <f>SUM('DATA MTD'!I60:L60)</f>
        <v>1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07"/>
      <c r="C61" s="52" t="s">
        <v>93</v>
      </c>
      <c r="D61" s="53">
        <f>'LOOKUP  telda'!E21</f>
        <v>8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2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1</v>
      </c>
      <c r="M61" s="53">
        <f>SUM('DATA MTD'!I61:L61)</f>
        <v>1</v>
      </c>
      <c r="N61" s="53">
        <f>'LOOKUP  telda'!Z21</f>
        <v>4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07"/>
      <c r="C62" s="52" t="s">
        <v>94</v>
      </c>
      <c r="D62" s="53">
        <f>'LOOKUP  telda'!E22</f>
        <v>8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1</v>
      </c>
      <c r="H62" s="53">
        <f>'LOOKUP  telda'!K22</f>
        <v>0</v>
      </c>
      <c r="I62" s="53">
        <f>'LOOKUP  telda'!L22</f>
        <v>0</v>
      </c>
      <c r="J62" s="53">
        <f>'LOOKUP  telda'!P22</f>
        <v>3</v>
      </c>
      <c r="K62" s="53">
        <f>'LOOKUP  telda'!X22</f>
        <v>0</v>
      </c>
      <c r="L62" s="53">
        <f>'LOOKUP  telda'!Y22</f>
        <v>0</v>
      </c>
      <c r="M62" s="53">
        <f>SUM('DATA MTD'!I62:L62)</f>
        <v>3</v>
      </c>
      <c r="N62" s="53">
        <f>'LOOKUP  telda'!Z22</f>
        <v>4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07"/>
      <c r="C63" s="52" t="s">
        <v>95</v>
      </c>
      <c r="D63" s="53">
        <f>'LOOKUP  telda'!E23</f>
        <v>1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1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1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4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3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1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08"/>
      <c r="C66" s="52" t="s">
        <v>98</v>
      </c>
      <c r="D66" s="53">
        <f>'LOOKUP  telda'!E26</f>
        <v>1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1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06" t="s">
        <v>42</v>
      </c>
      <c r="C67" s="52" t="s">
        <v>99</v>
      </c>
      <c r="D67" s="53">
        <f>'LOOKUP  telda'!E27</f>
        <v>6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4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1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1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07"/>
      <c r="C69" s="52" t="s">
        <v>101</v>
      </c>
      <c r="D69" s="53">
        <f>'LOOKUP  telda'!E29</f>
        <v>11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4</v>
      </c>
      <c r="H69" s="53">
        <f>'LOOKUP  telda'!K29</f>
        <v>0</v>
      </c>
      <c r="I69" s="53">
        <f>'LOOKUP  telda'!L29</f>
        <v>0</v>
      </c>
      <c r="J69" s="53">
        <f>'LOOKUP  telda'!P29</f>
        <v>1</v>
      </c>
      <c r="K69" s="53">
        <f>'LOOKUP  telda'!X29</f>
        <v>0</v>
      </c>
      <c r="L69" s="53">
        <f>'LOOKUP  telda'!Y29</f>
        <v>0</v>
      </c>
      <c r="M69" s="53">
        <f>SUM('DATA MTD'!I69:L69)</f>
        <v>1</v>
      </c>
      <c r="N69" s="53">
        <f>'LOOKUP  telda'!Z29</f>
        <v>3</v>
      </c>
      <c r="O69" s="53">
        <f>'LOOKUP  telda'!AA29</f>
        <v>1</v>
      </c>
      <c r="P69" s="53">
        <f>'LOOKUP  telda'!AE29-'LOOKUP  telda'!AA29</f>
        <v>0</v>
      </c>
      <c r="Q69" s="53">
        <f t="shared" si="4"/>
        <v>1</v>
      </c>
      <c r="R69" s="53">
        <f>'LOOKUP  telda'!AF29</f>
        <v>1</v>
      </c>
    </row>
    <row r="70" spans="2:18">
      <c r="B70" s="107"/>
      <c r="C70" s="52" t="s">
        <v>102</v>
      </c>
      <c r="D70" s="53">
        <f>'LOOKUP  telda'!E30</f>
        <v>3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1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2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07"/>
      <c r="C71" s="52" t="s">
        <v>103</v>
      </c>
      <c r="D71" s="53">
        <f>'LOOKUP  telda'!E31</f>
        <v>9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9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1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1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6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2</v>
      </c>
      <c r="H73" s="53">
        <f>'LOOKUP  telda'!K33</f>
        <v>0</v>
      </c>
      <c r="I73" s="53">
        <f>'LOOKUP  telda'!L33</f>
        <v>0</v>
      </c>
      <c r="J73" s="53">
        <f>'LOOKUP  telda'!P33</f>
        <v>1</v>
      </c>
      <c r="K73" s="53">
        <f>'LOOKUP  telda'!X33</f>
        <v>0</v>
      </c>
      <c r="L73" s="53">
        <f>'LOOKUP  telda'!Y33</f>
        <v>0</v>
      </c>
      <c r="M73" s="53">
        <f>SUM('DATA MTD'!I73:L73)</f>
        <v>1</v>
      </c>
      <c r="N73" s="53">
        <f>'LOOKUP  telda'!Z33</f>
        <v>3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07"/>
      <c r="C74" s="52" t="s">
        <v>106</v>
      </c>
      <c r="D74" s="53">
        <f>'LOOKUP  telda'!E34</f>
        <v>9</v>
      </c>
      <c r="E74" s="53">
        <f>'LOOKUP  telda'!F34+'LOOKUP  telda'!G34+'LOOKUP  telda'!H34</f>
        <v>0</v>
      </c>
      <c r="F74" s="53">
        <f>'LOOKUP  telda'!I34</f>
        <v>4</v>
      </c>
      <c r="G74" s="53">
        <f>'LOOKUP  telda'!J34</f>
        <v>2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3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07"/>
      <c r="C75" s="52" t="s">
        <v>107</v>
      </c>
      <c r="D75" s="53">
        <f>'LOOKUP  telda'!E35</f>
        <v>1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1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1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1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2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1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8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1</v>
      </c>
      <c r="H78" s="53">
        <f>'LOOKUP  telda'!K38</f>
        <v>0</v>
      </c>
      <c r="I78" s="53">
        <f>'LOOKUP  telda'!L38</f>
        <v>0</v>
      </c>
      <c r="J78" s="53">
        <f>'LOOKUP  telda'!P38</f>
        <v>0</v>
      </c>
      <c r="K78" s="53">
        <f>'LOOKUP  telda'!X38</f>
        <v>0</v>
      </c>
      <c r="L78" s="53">
        <f>'LOOKUP  telda'!Y38</f>
        <v>1</v>
      </c>
      <c r="M78" s="53">
        <f>SUM('DATA MTD'!I78:L78)</f>
        <v>1</v>
      </c>
      <c r="N78" s="53">
        <f>'LOOKUP  telda'!Z38</f>
        <v>4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1</v>
      </c>
    </row>
    <row r="79" spans="2:18">
      <c r="B79" s="107"/>
      <c r="C79" s="52" t="s">
        <v>111</v>
      </c>
      <c r="D79" s="53">
        <f>'LOOKUP  telda'!E39</f>
        <v>1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1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07"/>
      <c r="C80" s="52" t="s">
        <v>112</v>
      </c>
      <c r="D80" s="53">
        <f>'LOOKUP  telda'!E40</f>
        <v>15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4</v>
      </c>
      <c r="H80" s="53">
        <f>'LOOKUP  telda'!K40</f>
        <v>1</v>
      </c>
      <c r="I80" s="53">
        <f>'LOOKUP  telda'!L40</f>
        <v>0</v>
      </c>
      <c r="J80" s="53">
        <f>'LOOKUP  telda'!P40</f>
        <v>3</v>
      </c>
      <c r="K80" s="53">
        <f>'LOOKUP  telda'!X40</f>
        <v>0</v>
      </c>
      <c r="L80" s="53">
        <f>'LOOKUP  telda'!Y40</f>
        <v>0</v>
      </c>
      <c r="M80" s="53">
        <f>SUM('DATA MTD'!I80:L80)</f>
        <v>3</v>
      </c>
      <c r="N80" s="53">
        <f>'LOOKUP  telda'!Z40</f>
        <v>6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07"/>
      <c r="C81" s="52" t="s">
        <v>113</v>
      </c>
      <c r="D81" s="53">
        <f>'LOOKUP  telda'!E41</f>
        <v>9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1</v>
      </c>
      <c r="H81" s="53">
        <f>'LOOKUP  telda'!K41</f>
        <v>0</v>
      </c>
      <c r="I81" s="53">
        <f>'LOOKUP  telda'!L41</f>
        <v>0</v>
      </c>
      <c r="J81" s="53">
        <f>'LOOKUP  telda'!P41</f>
        <v>7</v>
      </c>
      <c r="K81" s="53">
        <f>'LOOKUP  telda'!X41</f>
        <v>0</v>
      </c>
      <c r="L81" s="53">
        <f>'LOOKUP  telda'!Y41</f>
        <v>0</v>
      </c>
      <c r="M81" s="53">
        <f>SUM('DATA MTD'!I81:L81)</f>
        <v>7</v>
      </c>
      <c r="N81" s="53">
        <f>'LOOKUP  telda'!Z41</f>
        <v>1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3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1</v>
      </c>
      <c r="K82" s="53">
        <f>'LOOKUP  telda'!X42</f>
        <v>1</v>
      </c>
      <c r="L82" s="53">
        <f>'LOOKUP  telda'!Y42</f>
        <v>1</v>
      </c>
      <c r="M82" s="53">
        <f>SUM('DATA MTD'!I82:L82)</f>
        <v>3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07"/>
      <c r="C83" s="52" t="s">
        <v>115</v>
      </c>
      <c r="D83" s="53">
        <f>'LOOKUP  telda'!E43</f>
        <v>13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5</v>
      </c>
      <c r="H83" s="53">
        <f>'LOOKUP  telda'!K43</f>
        <v>1</v>
      </c>
      <c r="I83" s="53">
        <f>'LOOKUP  telda'!L43</f>
        <v>0</v>
      </c>
      <c r="J83" s="53">
        <f>'LOOKUP  telda'!P43</f>
        <v>1</v>
      </c>
      <c r="K83" s="53">
        <f>'LOOKUP  telda'!X43</f>
        <v>0</v>
      </c>
      <c r="L83" s="53">
        <f>'LOOKUP  telda'!Y43</f>
        <v>0</v>
      </c>
      <c r="M83" s="53">
        <f>SUM('DATA MTD'!I83:L83)</f>
        <v>1</v>
      </c>
      <c r="N83" s="53">
        <f>'LOOKUP  telda'!Z43</f>
        <v>5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30">
      <c r="B84" s="107"/>
      <c r="C84" s="52" t="s">
        <v>116</v>
      </c>
      <c r="D84" s="53">
        <f>'LOOKUP  telda'!E44</f>
        <v>15</v>
      </c>
      <c r="E84" s="53">
        <f>'LOOKUP  telda'!F44+'LOOKUP  telda'!G44+'LOOKUP  telda'!H44</f>
        <v>0</v>
      </c>
      <c r="F84" s="53">
        <f>'LOOKUP  telda'!I44</f>
        <v>0</v>
      </c>
      <c r="G84" s="53">
        <f>'LOOKUP  telda'!J44</f>
        <v>5</v>
      </c>
      <c r="H84" s="53">
        <f>'LOOKUP  telda'!K44</f>
        <v>0</v>
      </c>
      <c r="I84" s="53">
        <f>'LOOKUP  telda'!L44</f>
        <v>1</v>
      </c>
      <c r="J84" s="53">
        <f>'LOOKUP  telda'!P44</f>
        <v>2</v>
      </c>
      <c r="K84" s="53">
        <f>'LOOKUP  telda'!X44</f>
        <v>0</v>
      </c>
      <c r="L84" s="53">
        <f>'LOOKUP  telda'!Y44</f>
        <v>0</v>
      </c>
      <c r="M84" s="53">
        <f>SUM('DATA MTD'!I84:L84)</f>
        <v>3</v>
      </c>
      <c r="N84" s="53">
        <f>'LOOKUP  telda'!Z44</f>
        <v>7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07"/>
      <c r="C85" s="52" t="s">
        <v>117</v>
      </c>
      <c r="D85" s="53">
        <f>'LOOKUP  telda'!E45</f>
        <v>4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3</v>
      </c>
      <c r="K85" s="53">
        <f>'LOOKUP  telda'!X45</f>
        <v>0</v>
      </c>
      <c r="L85" s="53">
        <f>'LOOKUP  telda'!Y45</f>
        <v>0</v>
      </c>
      <c r="M85" s="53">
        <f>SUM('DATA MTD'!I85:L85)</f>
        <v>3</v>
      </c>
      <c r="N85" s="53">
        <f>'LOOKUP  telda'!Z45</f>
        <v>1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14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2</v>
      </c>
      <c r="H86" s="53">
        <f>'LOOKUP  telda'!K46</f>
        <v>0</v>
      </c>
      <c r="I86" s="53">
        <f>'LOOKUP  telda'!L46</f>
        <v>0</v>
      </c>
      <c r="J86" s="53">
        <f>'LOOKUP  telda'!P46</f>
        <v>0</v>
      </c>
      <c r="K86" s="53">
        <f>'LOOKUP  telda'!X46</f>
        <v>0</v>
      </c>
      <c r="L86" s="53">
        <f>'LOOKUP  telda'!Y46</f>
        <v>0</v>
      </c>
      <c r="M86" s="53">
        <f>SUM('DATA MTD'!I86:L86)</f>
        <v>0</v>
      </c>
      <c r="N86" s="53">
        <f>'LOOKUP  telda'!Z46</f>
        <v>9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2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1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1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4</v>
      </c>
      <c r="E89" s="53">
        <f>'LOOKUP  telda'!F49+'LOOKUP  telda'!G49+'LOOKUP  telda'!H49</f>
        <v>1</v>
      </c>
      <c r="F89" s="53">
        <f>'LOOKUP  telda'!I49</f>
        <v>0</v>
      </c>
      <c r="G89" s="53">
        <f>'LOOKUP  telda'!J49</f>
        <v>2</v>
      </c>
      <c r="H89" s="53">
        <f>'LOOKUP  telda'!K49</f>
        <v>0</v>
      </c>
      <c r="I89" s="53">
        <f>'LOOKUP  telda'!L49</f>
        <v>0</v>
      </c>
      <c r="J89" s="53">
        <f>'LOOKUP  telda'!P49</f>
        <v>1</v>
      </c>
      <c r="K89" s="53">
        <f>'LOOKUP  telda'!X49</f>
        <v>0</v>
      </c>
      <c r="L89" s="53">
        <f>'LOOKUP  telda'!Y49</f>
        <v>0</v>
      </c>
      <c r="M89" s="53">
        <f>SUM('DATA MTD'!I89:L89)</f>
        <v>1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07"/>
      <c r="C90" s="52" t="s">
        <v>122</v>
      </c>
      <c r="D90" s="53">
        <f>'LOOKUP  telda'!E50</f>
        <v>10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4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0</v>
      </c>
      <c r="M90" s="53">
        <f>SUM('DATA MTD'!I90:L90)</f>
        <v>0</v>
      </c>
      <c r="N90" s="53">
        <f>'LOOKUP  telda'!Z50</f>
        <v>5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1</v>
      </c>
    </row>
    <row r="91" spans="2:18">
      <c r="B91" s="107"/>
      <c r="C91" s="52" t="s">
        <v>123</v>
      </c>
      <c r="D91" s="53">
        <f>'LOOKUP  telda'!E51</f>
        <v>5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2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2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1</v>
      </c>
    </row>
    <row r="92" spans="2:18">
      <c r="B92" s="107"/>
      <c r="C92" s="52" t="s">
        <v>124</v>
      </c>
      <c r="D92" s="53">
        <f>'LOOKUP  telda'!E52</f>
        <v>6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3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2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1</v>
      </c>
    </row>
    <row r="93" spans="2:18">
      <c r="B93" s="107"/>
      <c r="C93" s="52" t="s">
        <v>125</v>
      </c>
      <c r="D93" s="53">
        <f>'LOOKUP  telda'!E53</f>
        <v>5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0</v>
      </c>
      <c r="H93" s="53">
        <f>'LOOKUP  telda'!K53</f>
        <v>0</v>
      </c>
      <c r="I93" s="53">
        <f>'LOOKUP  telda'!L53</f>
        <v>0</v>
      </c>
      <c r="J93" s="53">
        <f>'LOOKUP  telda'!P53</f>
        <v>1</v>
      </c>
      <c r="K93" s="53">
        <f>'LOOKUP  telda'!X53</f>
        <v>0</v>
      </c>
      <c r="L93" s="53">
        <f>'LOOKUP  telda'!Y53</f>
        <v>0</v>
      </c>
      <c r="M93" s="53">
        <f>SUM('DATA MTD'!I93:L93)</f>
        <v>1</v>
      </c>
      <c r="N93" s="53">
        <f>'LOOKUP  telda'!Z53</f>
        <v>3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1</v>
      </c>
    </row>
    <row r="94" spans="2:18">
      <c r="B94" s="107"/>
      <c r="C94" s="52" t="s">
        <v>126</v>
      </c>
      <c r="D94" s="53">
        <f>'LOOKUP  telda'!E54</f>
        <v>18</v>
      </c>
      <c r="E94" s="53">
        <f>'LOOKUP  telda'!F54+'LOOKUP  telda'!G54+'LOOKUP  telda'!H54</f>
        <v>1</v>
      </c>
      <c r="F94" s="53">
        <f>'LOOKUP  telda'!I54</f>
        <v>0</v>
      </c>
      <c r="G94" s="53">
        <f>'LOOKUP  telda'!J54</f>
        <v>5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12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07"/>
      <c r="C95" s="52" t="s">
        <v>127</v>
      </c>
      <c r="D95" s="53">
        <f>'LOOKUP  telda'!E55</f>
        <v>1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1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08"/>
      <c r="C96" s="52" t="s">
        <v>128</v>
      </c>
      <c r="D96" s="53">
        <f>'LOOKUP  telda'!E56</f>
        <v>6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3</v>
      </c>
      <c r="H96" s="53">
        <f>'LOOKUP  telda'!K56</f>
        <v>0</v>
      </c>
      <c r="I96" s="53">
        <f>'LOOKUP  telda'!L56</f>
        <v>0</v>
      </c>
      <c r="J96" s="53">
        <f>'LOOKUP  telda'!P56</f>
        <v>1</v>
      </c>
      <c r="K96" s="53">
        <f>'LOOKUP  telda'!X56</f>
        <v>0</v>
      </c>
      <c r="L96" s="53">
        <f>'LOOKUP  telda'!Y56</f>
        <v>0</v>
      </c>
      <c r="M96" s="53">
        <f>SUM('DATA MTD'!I96:L96)</f>
        <v>1</v>
      </c>
      <c r="N96" s="53">
        <f>'LOOKUP  telda'!Z56</f>
        <v>1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1</v>
      </c>
    </row>
    <row r="97" spans="2:18" ht="15.75">
      <c r="B97" s="104" t="s">
        <v>62</v>
      </c>
      <c r="C97" s="105"/>
      <c r="D97" s="56">
        <f>SUM(D47:D96)</f>
        <v>285</v>
      </c>
      <c r="E97" s="56">
        <f t="shared" ref="E97:R97" si="5">SUM(E47:E96)</f>
        <v>12</v>
      </c>
      <c r="F97" s="56">
        <f t="shared" si="5"/>
        <v>5</v>
      </c>
      <c r="G97" s="56">
        <f t="shared" si="5"/>
        <v>71</v>
      </c>
      <c r="H97" s="56">
        <f t="shared" si="5"/>
        <v>2</v>
      </c>
      <c r="I97" s="56">
        <f t="shared" si="5"/>
        <v>1</v>
      </c>
      <c r="J97" s="56">
        <f t="shared" si="5"/>
        <v>32</v>
      </c>
      <c r="K97" s="56">
        <f t="shared" si="5"/>
        <v>4</v>
      </c>
      <c r="L97" s="56">
        <f t="shared" si="5"/>
        <v>5</v>
      </c>
      <c r="M97" s="56">
        <f t="shared" si="5"/>
        <v>42</v>
      </c>
      <c r="N97" s="56">
        <f t="shared" si="5"/>
        <v>135</v>
      </c>
      <c r="O97" s="56">
        <f t="shared" si="5"/>
        <v>1</v>
      </c>
      <c r="P97" s="56">
        <f t="shared" si="5"/>
        <v>0</v>
      </c>
      <c r="Q97" s="56">
        <f t="shared" si="5"/>
        <v>1</v>
      </c>
      <c r="R97" s="56">
        <f t="shared" si="5"/>
        <v>11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01" t="str">
        <f ca="1">"PROVISIONING NEW SALES INDIBIZ TR3 JBN MTD  "&amp;TEXT(TODAY()-1,"YYYY-MM-DD ")</f>
        <v xml:space="preserve">PROVISIONING NEW SALES INDIBIZ TR3 JBN MTD  2026-09-03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01" t="str">
        <f ca="1">"PERIODE ORDER &amp; PS : 2026-01-01 to  "&amp;TEXT(TODAY()-1,"YYYY-MM-DD ")</f>
        <v xml:space="preserve">PERIODE ORDER &amp; PS : 2026-01-01 to  2026-09-03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612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4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75">
      <c r="C10" s="23" t="s">
        <v>34</v>
      </c>
      <c r="D10" s="24">
        <f>'COPY DATA XPRO'!E63</f>
        <v>32</v>
      </c>
      <c r="E10" s="24">
        <f>'COPY DATA XPRO'!F63+'COPY DATA XPRO'!G63+'COPY DATA XPRO'!H63</f>
        <v>7</v>
      </c>
      <c r="F10" s="24">
        <f>'COPY DATA XPRO'!I63</f>
        <v>1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1</v>
      </c>
      <c r="J10" s="24">
        <f>'COPY DATA XPRO'!J63</f>
        <v>3</v>
      </c>
      <c r="K10" s="24">
        <f>'COPY DATA XPRO'!K63</f>
        <v>0</v>
      </c>
      <c r="L10" s="24">
        <f>'COPY DATA XPRO'!L63</f>
        <v>0</v>
      </c>
      <c r="M10" s="24">
        <f>'COPY DATA XPRO'!P63</f>
        <v>3</v>
      </c>
      <c r="N10" s="24">
        <f>'COPY DATA XPRO'!X63</f>
        <v>2</v>
      </c>
      <c r="O10" s="24">
        <f>'COPY DATA XPRO'!Y63</f>
        <v>1</v>
      </c>
      <c r="P10" s="24">
        <f>'COPY DATA XPRO'!Z63</f>
        <v>13</v>
      </c>
      <c r="Q10" s="40">
        <f t="shared" ref="Q10:R15" si="0">T10</f>
        <v>0.43333333333333335</v>
      </c>
      <c r="R10" s="40">
        <f>U10</f>
        <v>0.68421052631578949</v>
      </c>
      <c r="S10" s="40">
        <f>VLOOKUP(C10,Sheet3!$A$19:$G$81,7,FALSE)</f>
        <v>1</v>
      </c>
      <c r="T10" s="8">
        <f t="shared" ref="T10:T15" si="1">P10/(D10-F10-K10-I10)</f>
        <v>0.43333333333333335</v>
      </c>
      <c r="U10" s="8">
        <f>P10/(M10+N10+O10+P10)</f>
        <v>0.68421052631578949</v>
      </c>
    </row>
    <row r="11" spans="3:31" ht="15.75">
      <c r="C11" s="23" t="s">
        <v>38</v>
      </c>
      <c r="D11" s="24">
        <f>'COPY DATA XPRO'!E64</f>
        <v>65</v>
      </c>
      <c r="E11" s="24">
        <f>'COPY DATA XPRO'!F64+'COPY DATA XPRO'!G64+'COPY DATA XPRO'!H64</f>
        <v>1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1</v>
      </c>
      <c r="J11" s="24">
        <f>'COPY DATA XPRO'!J64</f>
        <v>16</v>
      </c>
      <c r="K11" s="24">
        <f>'COPY DATA XPRO'!K64</f>
        <v>0</v>
      </c>
      <c r="L11" s="24">
        <f>'COPY DATA XPRO'!L64</f>
        <v>0</v>
      </c>
      <c r="M11" s="24">
        <f>'COPY DATA XPRO'!P64</f>
        <v>7</v>
      </c>
      <c r="N11" s="24">
        <f>'COPY DATA XPRO'!X64</f>
        <v>1</v>
      </c>
      <c r="O11" s="24">
        <f>'COPY DATA XPRO'!Y64</f>
        <v>2</v>
      </c>
      <c r="P11" s="24">
        <f>'COPY DATA XPRO'!Z64</f>
        <v>36</v>
      </c>
      <c r="Q11" s="40">
        <f t="shared" si="0"/>
        <v>0.5625</v>
      </c>
      <c r="R11" s="40">
        <f t="shared" si="0"/>
        <v>0.78260869565217395</v>
      </c>
      <c r="S11" s="40">
        <f>VLOOKUP(C11,Sheet3!$A$19:$G$81,7,FALSE)</f>
        <v>1</v>
      </c>
      <c r="T11" s="8">
        <f t="shared" si="1"/>
        <v>0.5625</v>
      </c>
      <c r="U11" s="8">
        <f t="shared" ref="U11:U15" si="2">P11/(M11+N11+O11+P11)</f>
        <v>0.78260869565217395</v>
      </c>
    </row>
    <row r="12" spans="3:31" ht="15.75">
      <c r="C12" s="23" t="s">
        <v>42</v>
      </c>
      <c r="D12" s="24">
        <f>'COPY DATA XPRO'!E65</f>
        <v>48</v>
      </c>
      <c r="E12" s="24">
        <f>'COPY DATA XPRO'!F65+'COPY DATA XPRO'!G65+'COPY DATA XPRO'!H65</f>
        <v>0</v>
      </c>
      <c r="F12" s="24">
        <f>'COPY DATA XPRO'!I65</f>
        <v>4</v>
      </c>
      <c r="G12" s="24">
        <f>'COPY DATA XPRO'!AA65</f>
        <v>1</v>
      </c>
      <c r="H12" s="24">
        <f>'COPY DATA XPRO'!AE65-HARIAN!G12</f>
        <v>0</v>
      </c>
      <c r="I12" s="24">
        <f>'COPY DATA XPRO'!AF65</f>
        <v>1</v>
      </c>
      <c r="J12" s="24">
        <f>'COPY DATA XPRO'!J65</f>
        <v>11</v>
      </c>
      <c r="K12" s="24">
        <f>'COPY DATA XPRO'!K65</f>
        <v>0</v>
      </c>
      <c r="L12" s="24">
        <f>'COPY DATA XPRO'!L65</f>
        <v>0</v>
      </c>
      <c r="M12" s="24">
        <f>'COPY DATA XPRO'!P65</f>
        <v>2</v>
      </c>
      <c r="N12" s="24">
        <f>'COPY DATA XPRO'!X65</f>
        <v>0</v>
      </c>
      <c r="O12" s="24">
        <f>'COPY DATA XPRO'!Y65</f>
        <v>0</v>
      </c>
      <c r="P12" s="24">
        <f>'COPY DATA XPRO'!Z65</f>
        <v>27</v>
      </c>
      <c r="Q12" s="40">
        <f t="shared" si="0"/>
        <v>0.62790697674418605</v>
      </c>
      <c r="R12" s="40">
        <f t="shared" si="0"/>
        <v>0.93103448275862066</v>
      </c>
      <c r="S12" s="40">
        <f>VLOOKUP(C12,Sheet3!$A$19:$G$81,7,FALSE)</f>
        <v>1</v>
      </c>
      <c r="T12" s="8">
        <f t="shared" si="1"/>
        <v>0.62790697674418605</v>
      </c>
      <c r="U12" s="8">
        <f t="shared" si="2"/>
        <v>0.93103448275862066</v>
      </c>
    </row>
    <row r="13" spans="3:31" ht="15.75">
      <c r="C13" s="23" t="s">
        <v>45</v>
      </c>
      <c r="D13" s="24">
        <f>'COPY DATA XPRO'!E66</f>
        <v>85</v>
      </c>
      <c r="E13" s="24">
        <f>'COPY DATA XPRO'!F66+'COPY DATA XPRO'!G66+'COPY DATA XPRO'!H66</f>
        <v>2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3</v>
      </c>
      <c r="J13" s="24">
        <f>'COPY DATA XPRO'!J66</f>
        <v>21</v>
      </c>
      <c r="K13" s="24">
        <f>'COPY DATA XPRO'!K66</f>
        <v>2</v>
      </c>
      <c r="L13" s="24">
        <f>'COPY DATA XPRO'!L66</f>
        <v>1</v>
      </c>
      <c r="M13" s="24">
        <f>'COPY DATA XPRO'!P66</f>
        <v>17</v>
      </c>
      <c r="N13" s="24">
        <f>'COPY DATA XPRO'!X66</f>
        <v>1</v>
      </c>
      <c r="O13" s="24">
        <f>'COPY DATA XPRO'!Y66</f>
        <v>2</v>
      </c>
      <c r="P13" s="24">
        <f>'COPY DATA XPRO'!Z66</f>
        <v>34</v>
      </c>
      <c r="Q13" s="40">
        <f t="shared" si="0"/>
        <v>0.42499999999999999</v>
      </c>
      <c r="R13" s="40">
        <f t="shared" si="0"/>
        <v>0.62962962962962965</v>
      </c>
      <c r="S13" s="40">
        <f>VLOOKUP(C13,Sheet3!$A$19:$G$81,7,FALSE)</f>
        <v>1</v>
      </c>
      <c r="T13" s="8">
        <f t="shared" si="1"/>
        <v>0.42499999999999999</v>
      </c>
      <c r="U13" s="8">
        <f t="shared" si="2"/>
        <v>0.62962962962962965</v>
      </c>
    </row>
    <row r="14" spans="3:31" ht="15.75">
      <c r="C14" s="23" t="s">
        <v>55</v>
      </c>
      <c r="D14" s="24">
        <f>'COPY DATA XPRO'!E69</f>
        <v>55</v>
      </c>
      <c r="E14" s="24">
        <f>'COPY DATA XPRO'!F69+'COPY DATA XPRO'!G69+'COPY DATA XPRO'!H69</f>
        <v>2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5</v>
      </c>
      <c r="J14" s="24">
        <f>'COPY DATA XPRO'!J69</f>
        <v>20</v>
      </c>
      <c r="K14" s="24">
        <f>'COPY DATA XPRO'!K69</f>
        <v>0</v>
      </c>
      <c r="L14" s="24">
        <f>'COPY DATA XPRO'!L69</f>
        <v>0</v>
      </c>
      <c r="M14" s="24">
        <f>'COPY DATA XPRO'!P69</f>
        <v>3</v>
      </c>
      <c r="N14" s="24">
        <f>'COPY DATA XPRO'!X69</f>
        <v>0</v>
      </c>
      <c r="O14" s="24">
        <f>'COPY DATA XPRO'!Y69</f>
        <v>0</v>
      </c>
      <c r="P14" s="24">
        <f>'COPY DATA XPRO'!Z69</f>
        <v>25</v>
      </c>
      <c r="Q14" s="40">
        <f t="shared" si="0"/>
        <v>0.5</v>
      </c>
      <c r="R14" s="40">
        <f t="shared" si="0"/>
        <v>0.8928571428571429</v>
      </c>
      <c r="S14" s="40">
        <f>VLOOKUP(C14,Sheet3!$A$19:$G$81,7,FALSE)</f>
        <v>1</v>
      </c>
      <c r="T14" s="8">
        <f t="shared" si="1"/>
        <v>0.5</v>
      </c>
      <c r="U14" s="8">
        <f t="shared" si="2"/>
        <v>0.8928571428571429</v>
      </c>
    </row>
    <row r="15" spans="3:31" ht="15.75">
      <c r="C15" s="25" t="s">
        <v>62</v>
      </c>
      <c r="D15" s="26">
        <f>SUM(D10:D14)</f>
        <v>285</v>
      </c>
      <c r="E15" s="26">
        <f>SUM(E10:E14)</f>
        <v>12</v>
      </c>
      <c r="F15" s="26">
        <f>SUM(F10:F14)</f>
        <v>5</v>
      </c>
      <c r="G15" s="26">
        <f t="shared" ref="G15:P15" si="3">SUM(G10:G14)</f>
        <v>1</v>
      </c>
      <c r="H15" s="26">
        <f t="shared" si="3"/>
        <v>0</v>
      </c>
      <c r="I15" s="26">
        <f t="shared" si="3"/>
        <v>11</v>
      </c>
      <c r="J15" s="26">
        <f t="shared" si="3"/>
        <v>71</v>
      </c>
      <c r="K15" s="26">
        <f t="shared" si="3"/>
        <v>2</v>
      </c>
      <c r="L15" s="26">
        <f t="shared" si="3"/>
        <v>1</v>
      </c>
      <c r="M15" s="26">
        <f t="shared" si="3"/>
        <v>32</v>
      </c>
      <c r="N15" s="26">
        <f t="shared" si="3"/>
        <v>4</v>
      </c>
      <c r="O15" s="26">
        <f t="shared" si="3"/>
        <v>5</v>
      </c>
      <c r="P15" s="26">
        <f t="shared" si="3"/>
        <v>135</v>
      </c>
      <c r="Q15" s="41">
        <f t="shared" si="0"/>
        <v>0.5056179775280899</v>
      </c>
      <c r="R15" s="41">
        <f>U15</f>
        <v>0.76704545454545459</v>
      </c>
      <c r="S15" s="41">
        <f>Sheet3!G10</f>
        <v>1</v>
      </c>
      <c r="T15" s="8">
        <f t="shared" si="1"/>
        <v>0.5056179775280899</v>
      </c>
      <c r="U15" s="8">
        <f t="shared" si="2"/>
        <v>0.76704545454545459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27" t="s">
        <v>76</v>
      </c>
      <c r="E21" s="128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2026-09-03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2026-09-03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7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7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4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4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47.25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2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1</v>
      </c>
      <c r="O33" s="65">
        <f>'LOOKUP  telda'!Y7</f>
        <v>0</v>
      </c>
      <c r="P33" s="65">
        <f>'LOOKUP  telda'!Z7</f>
        <v>1</v>
      </c>
      <c r="Q33" s="40">
        <f>T33</f>
        <v>0.5</v>
      </c>
      <c r="R33" s="40">
        <f>U33</f>
        <v>0.5</v>
      </c>
      <c r="S33" s="40">
        <f>VLOOKUP(C33,Sheet3!$A$19:$G$81,7,FALSE)</f>
        <v>1</v>
      </c>
      <c r="T33" s="8">
        <f>IFERROR(P33/(D33-F33-K33-I33),0)</f>
        <v>0.5</v>
      </c>
      <c r="U33" s="8">
        <f>IFERROR(P33/(M33+N33+O33+P33),0)</f>
        <v>0.5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3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1</v>
      </c>
      <c r="N35" s="65">
        <f>'LOOKUP  telda'!X9</f>
        <v>0</v>
      </c>
      <c r="O35" s="65">
        <f>'LOOKUP  telda'!Y9</f>
        <v>0</v>
      </c>
      <c r="P35" s="65">
        <f>'LOOKUP  telda'!Z9</f>
        <v>2</v>
      </c>
      <c r="Q35" s="40">
        <f t="shared" si="4"/>
        <v>0.66666666666666663</v>
      </c>
      <c r="R35" s="40">
        <f t="shared" si="5"/>
        <v>0.66666666666666663</v>
      </c>
      <c r="S35" s="40">
        <f>VLOOKUP(C35,Sheet3!$A$19:$G$81,7,FALSE)</f>
        <v>1</v>
      </c>
      <c r="T35" s="8">
        <f t="shared" si="6"/>
        <v>0.66666666666666663</v>
      </c>
      <c r="U35" s="8">
        <f t="shared" si="7"/>
        <v>0.66666666666666663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5</v>
      </c>
      <c r="E36" s="65">
        <f>'LOOKUP  telda'!F10+'LOOKUP  telda'!G10+'LOOKUP  telda'!H10</f>
        <v>2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0.4</v>
      </c>
      <c r="R36" s="40">
        <f t="shared" si="5"/>
        <v>1</v>
      </c>
      <c r="S36" s="40">
        <f>VLOOKUP(C36,Sheet3!$A$19:$G$81,7,FALSE)</f>
        <v>1</v>
      </c>
      <c r="T36" s="8">
        <f t="shared" si="6"/>
        <v>0.4</v>
      </c>
      <c r="U36" s="8">
        <f t="shared" si="7"/>
        <v>1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7</v>
      </c>
      <c r="E37" s="65">
        <f>'LOOKUP  telda'!F11+'LOOKUP  telda'!G11+'LOOKUP  telda'!H11</f>
        <v>1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0</v>
      </c>
      <c r="O37" s="65">
        <f>'LOOKUP  telda'!Y11</f>
        <v>0</v>
      </c>
      <c r="P37" s="65">
        <f>'LOOKUP  telda'!Z11</f>
        <v>3</v>
      </c>
      <c r="Q37" s="40">
        <f t="shared" si="4"/>
        <v>0.5</v>
      </c>
      <c r="R37" s="40">
        <f t="shared" si="5"/>
        <v>0.75</v>
      </c>
      <c r="S37" s="40">
        <f>VLOOKUP(C37,Sheet3!$A$19:$G$81,7,FALSE)</f>
        <v>1</v>
      </c>
      <c r="T37" s="8">
        <f t="shared" si="6"/>
        <v>0.5</v>
      </c>
      <c r="U37" s="8">
        <f t="shared" si="7"/>
        <v>0.75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 t="e">
        <f>VLOOKUP(C38,Sheet3!$A$19:$G$81,7,FALSE)</f>
        <v>#N/A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8</v>
      </c>
      <c r="E39" s="65">
        <f>'LOOKUP  telda'!F13+'LOOKUP  telda'!G13+'LOOKUP  telda'!H13</f>
        <v>4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1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1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 t="e">
        <f>VLOOKUP(C39,Sheet3!$A$19:$G$81,7,FALSE)</f>
        <v>#DIV/0!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7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1</v>
      </c>
      <c r="P40" s="65">
        <f>'LOOKUP  telda'!Z14</f>
        <v>5</v>
      </c>
      <c r="Q40" s="40">
        <f t="shared" si="4"/>
        <v>0.7142857142857143</v>
      </c>
      <c r="R40" s="40">
        <f t="shared" si="5"/>
        <v>0.83333333333333337</v>
      </c>
      <c r="S40" s="40">
        <f>VLOOKUP(C40,Sheet3!$A$19:$G$81,7,FALSE)</f>
        <v>1</v>
      </c>
      <c r="T40" s="8">
        <f t="shared" si="6"/>
        <v>0.7142857142857143</v>
      </c>
      <c r="U40" s="8">
        <f t="shared" si="7"/>
        <v>0.83333333333333337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3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1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2</v>
      </c>
      <c r="Q41" s="40">
        <f t="shared" si="4"/>
        <v>0.66666666666666663</v>
      </c>
      <c r="R41" s="40">
        <f t="shared" si="5"/>
        <v>1</v>
      </c>
      <c r="S41" s="40">
        <f>VLOOKUP(C41,Sheet3!$A$19:$G$81,7,FALSE)</f>
        <v>1</v>
      </c>
      <c r="T41" s="8">
        <f t="shared" si="6"/>
        <v>0.66666666666666663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3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1</v>
      </c>
      <c r="N42" s="67">
        <f>'LOOKUP  telda'!X16</f>
        <v>1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1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6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2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3</v>
      </c>
      <c r="Q43" s="40">
        <f t="shared" si="4"/>
        <v>0.5</v>
      </c>
      <c r="R43" s="40">
        <f t="shared" si="5"/>
        <v>0.75</v>
      </c>
      <c r="S43" s="40" t="e">
        <f>VLOOKUP(C43,Sheet3!$A$19:$G$81,7,FALSE)</f>
        <v>#DIV/0!</v>
      </c>
      <c r="T43" s="8">
        <f t="shared" si="6"/>
        <v>0.5</v>
      </c>
      <c r="U43" s="8">
        <f t="shared" si="7"/>
        <v>0.75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9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1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8</v>
      </c>
      <c r="Q44" s="40">
        <f t="shared" si="4"/>
        <v>1</v>
      </c>
      <c r="R44" s="40">
        <f t="shared" si="5"/>
        <v>1</v>
      </c>
      <c r="S44" s="40">
        <f>VLOOKUP(C44,Sheet3!$A$19:$G$81,7,FALSE)</f>
        <v>1</v>
      </c>
      <c r="T44" s="8">
        <f t="shared" si="6"/>
        <v>1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19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5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1</v>
      </c>
      <c r="P45" s="67">
        <f>'LOOKUP  telda'!Z19</f>
        <v>11</v>
      </c>
      <c r="Q45" s="40">
        <f t="shared" si="4"/>
        <v>0.57894736842105265</v>
      </c>
      <c r="R45" s="40">
        <f t="shared" si="5"/>
        <v>0.84615384615384615</v>
      </c>
      <c r="S45" s="40" t="e">
        <f>VLOOKUP(C45,Sheet3!$A$19:$G$81,7,FALSE)</f>
        <v>#N/A</v>
      </c>
      <c r="T45" s="8">
        <f t="shared" si="6"/>
        <v>0.57894736842105265</v>
      </c>
      <c r="U45" s="8">
        <f t="shared" si="7"/>
        <v>0.84615384615384615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2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1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1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8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2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1</v>
      </c>
      <c r="P47" s="67">
        <f>'LOOKUP  telda'!Z21</f>
        <v>4</v>
      </c>
      <c r="Q47" s="40">
        <f t="shared" si="4"/>
        <v>0.5</v>
      </c>
      <c r="R47" s="40">
        <f t="shared" si="5"/>
        <v>0.8</v>
      </c>
      <c r="S47" s="40">
        <f>VLOOKUP(C47,Sheet3!$A$19:$G$81,7,FALSE)</f>
        <v>1</v>
      </c>
      <c r="T47" s="8">
        <f t="shared" si="6"/>
        <v>0.5</v>
      </c>
      <c r="U47" s="8">
        <f t="shared" si="7"/>
        <v>0.8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8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3</v>
      </c>
      <c r="N48" s="67">
        <f>'LOOKUP  telda'!X22</f>
        <v>0</v>
      </c>
      <c r="O48" s="67">
        <f>'LOOKUP  telda'!Y22</f>
        <v>0</v>
      </c>
      <c r="P48" s="67">
        <f>'LOOKUP  telda'!Z22</f>
        <v>4</v>
      </c>
      <c r="Q48" s="40">
        <f t="shared" si="4"/>
        <v>0.5</v>
      </c>
      <c r="R48" s="40">
        <f t="shared" si="5"/>
        <v>0.5714285714285714</v>
      </c>
      <c r="S48" s="40" t="e">
        <f>VLOOKUP(C48,Sheet3!$A$19:$G$81,7,FALSE)</f>
        <v>#N/A</v>
      </c>
      <c r="T48" s="8">
        <f t="shared" si="6"/>
        <v>0.5</v>
      </c>
      <c r="U48" s="8">
        <f t="shared" si="7"/>
        <v>0.5714285714285714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1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1</v>
      </c>
      <c r="Q49" s="40">
        <f t="shared" si="4"/>
        <v>1</v>
      </c>
      <c r="R49" s="40">
        <f t="shared" si="5"/>
        <v>1</v>
      </c>
      <c r="S49" s="40" t="e">
        <f>VLOOKUP(C49,Sheet3!$A$19:$G$81,7,FALSE)</f>
        <v>#N/A</v>
      </c>
      <c r="T49" s="8">
        <f t="shared" si="6"/>
        <v>1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1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4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3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</v>
      </c>
      <c r="Q51" s="40">
        <f t="shared" si="4"/>
        <v>0.25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0.25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1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6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4</v>
      </c>
      <c r="Q53" s="40">
        <f t="shared" si="4"/>
        <v>0.66666666666666663</v>
      </c>
      <c r="R53" s="40">
        <f t="shared" si="5"/>
        <v>1</v>
      </c>
      <c r="S53" s="40">
        <f>VLOOKUP(C53,Sheet3!$A$19:$G$81,7,FALSE)</f>
        <v>1</v>
      </c>
      <c r="T53" s="8">
        <f t="shared" si="6"/>
        <v>0.66666666666666663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1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1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11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1</v>
      </c>
      <c r="H55" s="63">
        <f>'LOOKUP  telda'!AE29-'LOOKUP  telda'!AA29</f>
        <v>0</v>
      </c>
      <c r="I55" s="63">
        <f>'LOOKUP  telda'!AF29</f>
        <v>1</v>
      </c>
      <c r="J55" s="63">
        <f>'LOOKUP  telda'!J29</f>
        <v>4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0</v>
      </c>
      <c r="O55" s="63">
        <f>'LOOKUP  telda'!Y29</f>
        <v>0</v>
      </c>
      <c r="P55" s="63">
        <f>'LOOKUP  telda'!Z29</f>
        <v>3</v>
      </c>
      <c r="Q55" s="40">
        <f t="shared" si="4"/>
        <v>0.3</v>
      </c>
      <c r="R55" s="40">
        <f t="shared" si="5"/>
        <v>0.75</v>
      </c>
      <c r="S55" s="40" t="e">
        <f>VLOOKUP(C55,Sheet3!$A$19:$G$81,7,FALSE)</f>
        <v>#N/A</v>
      </c>
      <c r="T55" s="8">
        <f t="shared" si="6"/>
        <v>0.3</v>
      </c>
      <c r="U55" s="8">
        <f t="shared" si="7"/>
        <v>0.75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3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2</v>
      </c>
      <c r="Q56" s="40">
        <f t="shared" si="4"/>
        <v>0.66666666666666663</v>
      </c>
      <c r="R56" s="40">
        <f t="shared" si="5"/>
        <v>1</v>
      </c>
      <c r="S56" s="40">
        <f>VLOOKUP(C56,Sheet3!$A$19:$G$81,7,FALSE)</f>
        <v>1</v>
      </c>
      <c r="T56" s="8">
        <f t="shared" si="6"/>
        <v>0.66666666666666663</v>
      </c>
      <c r="U56" s="8">
        <f t="shared" si="7"/>
        <v>1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9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9</v>
      </c>
      <c r="Q57" s="40">
        <f t="shared" si="4"/>
        <v>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1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6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3</v>
      </c>
      <c r="Q59" s="40">
        <f t="shared" si="4"/>
        <v>0.5</v>
      </c>
      <c r="R59" s="40">
        <f t="shared" si="5"/>
        <v>0.75</v>
      </c>
      <c r="S59" s="40">
        <f>VLOOKUP(C59,Sheet3!$A$19:$G$81,7,FALSE)</f>
        <v>1</v>
      </c>
      <c r="T59" s="8">
        <f t="shared" si="6"/>
        <v>0.5</v>
      </c>
      <c r="U59" s="8">
        <f t="shared" si="7"/>
        <v>0.75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9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3</v>
      </c>
      <c r="Q60" s="40">
        <f t="shared" si="4"/>
        <v>0.6</v>
      </c>
      <c r="R60" s="40">
        <f t="shared" si="5"/>
        <v>1</v>
      </c>
      <c r="S60" s="40" t="e">
        <f>VLOOKUP(C60,Sheet3!$A$19:$G$81,7,FALSE)</f>
        <v>#DIV/0!</v>
      </c>
      <c r="T60" s="8">
        <f t="shared" si="6"/>
        <v>0.6</v>
      </c>
      <c r="U60" s="8">
        <f t="shared" si="7"/>
        <v>1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1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1</v>
      </c>
      <c r="Q61" s="40">
        <f t="shared" si="4"/>
        <v>1</v>
      </c>
      <c r="R61" s="40">
        <f t="shared" si="5"/>
        <v>1</v>
      </c>
      <c r="S61" s="40" t="e">
        <f>VLOOKUP(C61,Sheet3!$A$19:$G$81,7,FALSE)</f>
        <v>#DIV/0!</v>
      </c>
      <c r="T61" s="8">
        <f t="shared" si="6"/>
        <v>1</v>
      </c>
      <c r="U61" s="8">
        <f t="shared" si="7"/>
        <v>1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2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0.5</v>
      </c>
      <c r="R63" s="40">
        <f t="shared" si="5"/>
        <v>1</v>
      </c>
      <c r="S63" s="40" t="e">
        <f>VLOOKUP(C63,Sheet3!$A$19:$G$81,7,FALSE)</f>
        <v>#DIV/0!</v>
      </c>
      <c r="T63" s="8">
        <f t="shared" si="6"/>
        <v>0.5</v>
      </c>
      <c r="U63" s="8">
        <f t="shared" si="7"/>
        <v>1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8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1</v>
      </c>
      <c r="P64" s="69">
        <f>'LOOKUP  telda'!Z38</f>
        <v>4</v>
      </c>
      <c r="Q64" s="40">
        <f t="shared" si="4"/>
        <v>0.5714285714285714</v>
      </c>
      <c r="R64" s="40">
        <f t="shared" si="5"/>
        <v>0.8</v>
      </c>
      <c r="S64" s="40">
        <f>VLOOKUP(C64,Sheet3!$A$19:$G$81,7,FALSE)</f>
        <v>1</v>
      </c>
      <c r="T64" s="8">
        <f t="shared" si="6"/>
        <v>0.5714285714285714</v>
      </c>
      <c r="U64" s="8">
        <f t="shared" si="7"/>
        <v>0.8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1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 t="e">
        <f>VLOOKUP(C65,Sheet3!$A$19:$G$81,7,FALSE)</f>
        <v>#N/A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15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4</v>
      </c>
      <c r="K66" s="69">
        <f>'LOOKUP  telda'!K40</f>
        <v>1</v>
      </c>
      <c r="L66" s="69">
        <f>'LOOKUP  telda'!L40</f>
        <v>0</v>
      </c>
      <c r="M66" s="69">
        <f>'LOOKUP  telda'!P40</f>
        <v>3</v>
      </c>
      <c r="N66" s="69">
        <f>'LOOKUP  telda'!X40</f>
        <v>0</v>
      </c>
      <c r="O66" s="69">
        <f>'LOOKUP  telda'!Y40</f>
        <v>0</v>
      </c>
      <c r="P66" s="69">
        <f>'LOOKUP  telda'!Z40</f>
        <v>6</v>
      </c>
      <c r="Q66" s="40">
        <f t="shared" si="4"/>
        <v>0.42857142857142855</v>
      </c>
      <c r="R66" s="40">
        <f t="shared" si="5"/>
        <v>0.66666666666666663</v>
      </c>
      <c r="S66" s="40" t="e">
        <f>VLOOKUP(C66,Sheet3!$A$19:$G$81,7,FALSE)</f>
        <v>#N/A</v>
      </c>
      <c r="T66" s="8">
        <f t="shared" si="6"/>
        <v>0.42857142857142855</v>
      </c>
      <c r="U66" s="8">
        <f t="shared" si="7"/>
        <v>0.66666666666666663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9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1</v>
      </c>
      <c r="K67" s="69">
        <f>'LOOKUP  telda'!K41</f>
        <v>0</v>
      </c>
      <c r="L67" s="69">
        <f>'LOOKUP  telda'!L41</f>
        <v>0</v>
      </c>
      <c r="M67" s="69">
        <f>'LOOKUP  telda'!P41</f>
        <v>7</v>
      </c>
      <c r="N67" s="69">
        <f>'LOOKUP  telda'!X41</f>
        <v>0</v>
      </c>
      <c r="O67" s="69">
        <f>'LOOKUP  telda'!Y41</f>
        <v>0</v>
      </c>
      <c r="P67" s="69">
        <f>'LOOKUP  telda'!Z41</f>
        <v>1</v>
      </c>
      <c r="Q67" s="40">
        <f t="shared" si="4"/>
        <v>0.1111111111111111</v>
      </c>
      <c r="R67" s="40">
        <f t="shared" si="5"/>
        <v>0.125</v>
      </c>
      <c r="S67" s="40" t="e">
        <f>VLOOKUP(C67,Sheet3!$A$19:$G$81,7,FALSE)</f>
        <v>#DIV/0!</v>
      </c>
      <c r="T67" s="8">
        <f t="shared" si="6"/>
        <v>0.1111111111111111</v>
      </c>
      <c r="U67" s="8">
        <f t="shared" si="7"/>
        <v>0.125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3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1</v>
      </c>
      <c r="N68" s="69">
        <f>'LOOKUP  telda'!X42</f>
        <v>1</v>
      </c>
      <c r="O68" s="69">
        <f>'LOOKUP  telda'!Y42</f>
        <v>1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 t="e">
        <f>VLOOKUP(C68,Sheet3!$A$19:$G$81,7,FALSE)</f>
        <v>#DIV/0!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13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5</v>
      </c>
      <c r="K69" s="69">
        <f>'LOOKUP  telda'!K43</f>
        <v>1</v>
      </c>
      <c r="L69" s="69">
        <f>'LOOKUP  telda'!L43</f>
        <v>0</v>
      </c>
      <c r="M69" s="69">
        <f>'LOOKUP  telda'!P43</f>
        <v>1</v>
      </c>
      <c r="N69" s="69">
        <f>'LOOKUP  telda'!X43</f>
        <v>0</v>
      </c>
      <c r="O69" s="69">
        <f>'LOOKUP  telda'!Y43</f>
        <v>0</v>
      </c>
      <c r="P69" s="69">
        <f>'LOOKUP  telda'!Z43</f>
        <v>5</v>
      </c>
      <c r="Q69" s="40">
        <f t="shared" si="4"/>
        <v>0.41666666666666669</v>
      </c>
      <c r="R69" s="40">
        <f t="shared" si="5"/>
        <v>0.83333333333333337</v>
      </c>
      <c r="S69" s="40" t="e">
        <f>VLOOKUP(C69,Sheet3!$A$19:$G$81,7,FALSE)</f>
        <v>#N/A</v>
      </c>
      <c r="T69" s="8">
        <f t="shared" si="6"/>
        <v>0.41666666666666669</v>
      </c>
      <c r="U69" s="8">
        <f t="shared" si="7"/>
        <v>0.83333333333333337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15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5</v>
      </c>
      <c r="K70" s="69">
        <f>'LOOKUP  telda'!K44</f>
        <v>0</v>
      </c>
      <c r="L70" s="69">
        <f>'LOOKUP  telda'!L44</f>
        <v>1</v>
      </c>
      <c r="M70" s="69">
        <f>'LOOKUP  telda'!P44</f>
        <v>2</v>
      </c>
      <c r="N70" s="69">
        <f>'LOOKUP  telda'!X44</f>
        <v>0</v>
      </c>
      <c r="O70" s="69">
        <f>'LOOKUP  telda'!Y44</f>
        <v>0</v>
      </c>
      <c r="P70" s="69">
        <f>'LOOKUP  telda'!Z44</f>
        <v>7</v>
      </c>
      <c r="Q70" s="40">
        <f t="shared" si="4"/>
        <v>0.46666666666666667</v>
      </c>
      <c r="R70" s="40">
        <f t="shared" si="5"/>
        <v>0.77777777777777779</v>
      </c>
      <c r="S70" s="40" t="e">
        <f>VLOOKUP(C70,Sheet3!$A$19:$G$81,7,FALSE)</f>
        <v>#N/A</v>
      </c>
      <c r="T70" s="8">
        <f t="shared" si="6"/>
        <v>0.46666666666666667</v>
      </c>
      <c r="U70" s="8">
        <f t="shared" si="7"/>
        <v>0.77777777777777779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4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0</v>
      </c>
      <c r="P71" s="69">
        <f>'LOOKUP  telda'!Z45</f>
        <v>1</v>
      </c>
      <c r="Q71" s="40">
        <f t="shared" si="4"/>
        <v>0.25</v>
      </c>
      <c r="R71" s="40">
        <f t="shared" si="5"/>
        <v>0.25</v>
      </c>
      <c r="S71" s="40" t="e">
        <f>VLOOKUP(C71,Sheet3!$A$19:$G$81,7,FALSE)</f>
        <v>#DIV/0!</v>
      </c>
      <c r="T71" s="8">
        <f t="shared" si="6"/>
        <v>0.25</v>
      </c>
      <c r="U71" s="8">
        <f t="shared" si="7"/>
        <v>0.25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14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2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9</v>
      </c>
      <c r="Q72" s="40">
        <f t="shared" si="4"/>
        <v>0.75</v>
      </c>
      <c r="R72" s="40">
        <f t="shared" si="5"/>
        <v>1</v>
      </c>
      <c r="S72" s="40">
        <f>VLOOKUP(C72,Sheet3!$A$19:$G$81,7,FALSE)</f>
        <v>1</v>
      </c>
      <c r="T72" s="8">
        <f t="shared" si="6"/>
        <v>0.75</v>
      </c>
      <c r="U72" s="8">
        <f t="shared" si="7"/>
        <v>1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1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4</v>
      </c>
      <c r="E75" s="71">
        <f>'LOOKUP  telda'!F49+'LOOKUP  telda'!G49+'LOOKUP  telda'!H49</f>
        <v>1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2</v>
      </c>
      <c r="K75" s="71">
        <f>'LOOKUP  telda'!K49</f>
        <v>0</v>
      </c>
      <c r="L75" s="71">
        <f>'LOOKUP  telda'!L49</f>
        <v>0</v>
      </c>
      <c r="M75" s="71">
        <f>'LOOKUP  telda'!P49</f>
        <v>1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10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1</v>
      </c>
      <c r="J76" s="71">
        <f>'LOOKUP  telda'!J50</f>
        <v>4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0</v>
      </c>
      <c r="P76" s="71">
        <f>'LOOKUP  telda'!Z50</f>
        <v>5</v>
      </c>
      <c r="Q76" s="40">
        <f t="shared" si="4"/>
        <v>0.55555555555555558</v>
      </c>
      <c r="R76" s="40">
        <f t="shared" si="5"/>
        <v>1</v>
      </c>
      <c r="S76" s="40">
        <f>VLOOKUP(C76,Sheet3!$A$19:$G$81,7,FALSE)</f>
        <v>1</v>
      </c>
      <c r="T76" s="8">
        <f t="shared" si="6"/>
        <v>0.55555555555555558</v>
      </c>
      <c r="U76" s="8">
        <f t="shared" si="7"/>
        <v>1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5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1</v>
      </c>
      <c r="J77" s="71">
        <f>'LOOKUP  telda'!J51</f>
        <v>2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2</v>
      </c>
      <c r="Q77" s="40">
        <f t="shared" si="4"/>
        <v>0.5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0.5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6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1</v>
      </c>
      <c r="J78" s="71">
        <f>'LOOKUP  telda'!J52</f>
        <v>3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2</v>
      </c>
      <c r="Q78" s="40">
        <f t="shared" si="4"/>
        <v>0.4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0.4</v>
      </c>
      <c r="U78" s="8">
        <f t="shared" si="7"/>
        <v>1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5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1</v>
      </c>
      <c r="J79" s="71">
        <f>'LOOKUP  telda'!J53</f>
        <v>0</v>
      </c>
      <c r="K79" s="71">
        <f>'LOOKUP  telda'!K53</f>
        <v>0</v>
      </c>
      <c r="L79" s="71">
        <f>'LOOKUP  telda'!L53</f>
        <v>0</v>
      </c>
      <c r="M79" s="71">
        <f>'LOOKUP  telda'!P53</f>
        <v>1</v>
      </c>
      <c r="N79" s="71">
        <f>'LOOKUP  telda'!X53</f>
        <v>0</v>
      </c>
      <c r="O79" s="71">
        <f>'LOOKUP  telda'!Y53</f>
        <v>0</v>
      </c>
      <c r="P79" s="71">
        <f>'LOOKUP  telda'!Z53</f>
        <v>3</v>
      </c>
      <c r="Q79" s="40">
        <f t="shared" si="4"/>
        <v>0.75</v>
      </c>
      <c r="R79" s="40">
        <f t="shared" si="5"/>
        <v>0.75</v>
      </c>
      <c r="S79" s="40" t="e">
        <f>VLOOKUP(C79,Sheet3!$A$19:$G$81,7,FALSE)</f>
        <v>#N/A</v>
      </c>
      <c r="T79" s="8">
        <f t="shared" si="6"/>
        <v>0.75</v>
      </c>
      <c r="U79" s="8">
        <f t="shared" si="7"/>
        <v>0.75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18</v>
      </c>
      <c r="E80" s="71">
        <f>'LOOKUP  telda'!F54+'LOOKUP  telda'!G54+'LOOKUP  telda'!H54</f>
        <v>1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5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12</v>
      </c>
      <c r="Q80" s="40">
        <f t="shared" si="4"/>
        <v>0.66666666666666663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0.66666666666666663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1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1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6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1</v>
      </c>
      <c r="J82" s="71">
        <f>'LOOKUP  telda'!J56</f>
        <v>3</v>
      </c>
      <c r="K82" s="71">
        <f>'LOOKUP  telda'!K56</f>
        <v>0</v>
      </c>
      <c r="L82" s="71">
        <f>'LOOKUP  telda'!L56</f>
        <v>0</v>
      </c>
      <c r="M82" s="71">
        <f>'LOOKUP  telda'!P56</f>
        <v>1</v>
      </c>
      <c r="N82" s="71">
        <f>'LOOKUP  telda'!X56</f>
        <v>0</v>
      </c>
      <c r="O82" s="71">
        <f>'LOOKUP  telda'!Y56</f>
        <v>0</v>
      </c>
      <c r="P82" s="71">
        <f>'LOOKUP  telda'!Z56</f>
        <v>1</v>
      </c>
      <c r="Q82" s="40">
        <f t="shared" si="4"/>
        <v>0.2</v>
      </c>
      <c r="R82" s="40">
        <f t="shared" si="5"/>
        <v>0.5</v>
      </c>
      <c r="S82" s="40" t="e">
        <f>VLOOKUP(C82,Sheet3!$A$19:$G$81,7,FALSE)</f>
        <v>#N/A</v>
      </c>
      <c r="T82" s="8">
        <f t="shared" si="6"/>
        <v>0.2</v>
      </c>
      <c r="U82" s="8">
        <f t="shared" si="7"/>
        <v>0.5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285</v>
      </c>
      <c r="E83" s="26">
        <f>SUM(E33:E82)</f>
        <v>12</v>
      </c>
      <c r="F83" s="26">
        <f>SUM(F33:F82)</f>
        <v>5</v>
      </c>
      <c r="G83" s="26">
        <f t="shared" ref="G83:P83" si="8">SUM(G33:G82)</f>
        <v>1</v>
      </c>
      <c r="H83" s="26">
        <f t="shared" si="8"/>
        <v>0</v>
      </c>
      <c r="I83" s="26">
        <f t="shared" si="8"/>
        <v>11</v>
      </c>
      <c r="J83" s="26">
        <f t="shared" si="8"/>
        <v>71</v>
      </c>
      <c r="K83" s="26">
        <f t="shared" si="8"/>
        <v>2</v>
      </c>
      <c r="L83" s="26">
        <f t="shared" si="8"/>
        <v>1</v>
      </c>
      <c r="M83" s="26">
        <f t="shared" si="8"/>
        <v>32</v>
      </c>
      <c r="N83" s="26">
        <f t="shared" si="8"/>
        <v>4</v>
      </c>
      <c r="O83" s="26">
        <f t="shared" si="8"/>
        <v>5</v>
      </c>
      <c r="P83" s="26">
        <f t="shared" si="8"/>
        <v>136</v>
      </c>
      <c r="Q83" s="41">
        <f>T83</f>
        <v>0.50936329588014984</v>
      </c>
      <c r="R83" s="41">
        <f>U83</f>
        <v>0.76836158192090398</v>
      </c>
      <c r="S83" s="41">
        <f>S15</f>
        <v>1</v>
      </c>
      <c r="T83" s="8">
        <f>P83/(D83-F83-K83-I83)</f>
        <v>0.50936329588014984</v>
      </c>
      <c r="U83" s="8">
        <f>P83/(M83+N83+O83+P83)</f>
        <v>0.76836158192090398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2026-09-03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2026-09-03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04-09-2026 10:49:07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32</v>
      </c>
      <c r="C6" s="4">
        <f>HARIAN!I10</f>
        <v>1</v>
      </c>
      <c r="D6" s="4">
        <f>HARIAN!P10</f>
        <v>13</v>
      </c>
      <c r="E6" s="77">
        <f t="shared" ref="E6:E11" si="0">C6/B6</f>
        <v>3.125E-2</v>
      </c>
      <c r="F6" s="78">
        <f>HARIAN!Q10</f>
        <v>0.43333333333333335</v>
      </c>
      <c r="G6" s="78">
        <f>HARIAN!R10</f>
        <v>0.68421052631578949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65</v>
      </c>
      <c r="C7" s="4">
        <f>HARIAN!I11</f>
        <v>1</v>
      </c>
      <c r="D7" s="4">
        <f>HARIAN!P11</f>
        <v>36</v>
      </c>
      <c r="E7" s="77">
        <f t="shared" si="0"/>
        <v>1.5384615384615385E-2</v>
      </c>
      <c r="F7" s="78">
        <f>HARIAN!Q11</f>
        <v>0.5625</v>
      </c>
      <c r="G7" s="78">
        <f>HARIAN!R11</f>
        <v>0.78260869565217395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48</v>
      </c>
      <c r="C8" s="4">
        <f>HARIAN!I12</f>
        <v>1</v>
      </c>
      <c r="D8" s="4">
        <f>HARIAN!P12</f>
        <v>27</v>
      </c>
      <c r="E8" s="77">
        <f t="shared" si="0"/>
        <v>2.0833333333333332E-2</v>
      </c>
      <c r="F8" s="78">
        <f>HARIAN!Q12</f>
        <v>0.62790697674418605</v>
      </c>
      <c r="G8" s="78">
        <f>HARIAN!R12</f>
        <v>0.93103448275862066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85</v>
      </c>
      <c r="C9" s="4">
        <f>HARIAN!I13</f>
        <v>3</v>
      </c>
      <c r="D9" s="4">
        <f>HARIAN!P13</f>
        <v>34</v>
      </c>
      <c r="E9" s="77">
        <f t="shared" si="0"/>
        <v>3.5294117647058823E-2</v>
      </c>
      <c r="F9" s="78">
        <f>HARIAN!Q13</f>
        <v>0.42499999999999999</v>
      </c>
      <c r="G9" s="78">
        <f>HARIAN!R13</f>
        <v>0.62962962962962965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55</v>
      </c>
      <c r="C10" s="4">
        <f>HARIAN!I14</f>
        <v>5</v>
      </c>
      <c r="D10" s="4">
        <f>HARIAN!P14</f>
        <v>25</v>
      </c>
      <c r="E10" s="77">
        <f t="shared" si="0"/>
        <v>9.0909090909090912E-2</v>
      </c>
      <c r="F10" s="78">
        <f>HARIAN!Q14</f>
        <v>0.5</v>
      </c>
      <c r="G10" s="78">
        <f>HARIAN!R14</f>
        <v>0.8928571428571429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285</v>
      </c>
      <c r="C11" s="80">
        <f>HARIAN!I15</f>
        <v>11</v>
      </c>
      <c r="D11" s="80">
        <f>HARIAN!P15</f>
        <v>135</v>
      </c>
      <c r="E11" s="81">
        <f t="shared" si="0"/>
        <v>3.8596491228070177E-2</v>
      </c>
      <c r="F11" s="82">
        <f>HARIAN!Q15</f>
        <v>0.5056179775280899</v>
      </c>
      <c r="G11" s="82">
        <f>HARIAN!R15</f>
        <v>0.76704545454545459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B1" zoomScale="90" zoomScaleNormal="90" workbookViewId="0">
      <selection activeCell="C2" sqref="C2:R2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01" t="str">
        <f ca="1">"PROVISIONING NEW SALES INDIBIZ TR3 JBN MTD H-1  "&amp;TEXT(TODAY()-1,"YYYY-MM-DD ")</f>
        <v xml:space="preserve">PROVISIONING NEW SALES INDIBIZ TR3 JBN MTD H-1  2026-09-03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75">
      <c r="C2" s="101" t="str">
        <f ca="1">"PERIODE ORDER &amp; PS : 2026-09-01 to  "&amp;TEXT(TODAY()-1,"YYYY-MM-DD ")</f>
        <v xml:space="preserve">PERIODE ORDER &amp; PS : 2026-09-01 to  2026-09-03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75">
      <c r="C3" s="180" t="s">
        <v>3037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3"/>
    </row>
    <row r="5" spans="3:19" ht="15" customHeight="1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864</v>
      </c>
      <c r="S5" s="147" t="s">
        <v>865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75">
      <c r="C9" s="23" t="s">
        <v>34</v>
      </c>
      <c r="D9" s="24">
        <f>HARIAN!D10</f>
        <v>32</v>
      </c>
      <c r="E9" s="24">
        <f>HARIAN!E10</f>
        <v>7</v>
      </c>
      <c r="F9" s="24">
        <f>HARIAN!F10</f>
        <v>1</v>
      </c>
      <c r="G9" s="24">
        <f>HARIAN!G10</f>
        <v>0</v>
      </c>
      <c r="H9" s="24">
        <f>HARIAN!H10</f>
        <v>0</v>
      </c>
      <c r="I9" s="24">
        <f>HARIAN!I10</f>
        <v>1</v>
      </c>
      <c r="J9" s="24">
        <f>HARIAN!J10</f>
        <v>3</v>
      </c>
      <c r="K9" s="24">
        <f>HARIAN!K10</f>
        <v>0</v>
      </c>
      <c r="L9" s="24">
        <f>HARIAN!L10</f>
        <v>0</v>
      </c>
      <c r="M9" s="24">
        <f>HARIAN!M10</f>
        <v>3</v>
      </c>
      <c r="N9" s="24">
        <f>HARIAN!N10</f>
        <v>2</v>
      </c>
      <c r="O9" s="24">
        <f>HARIAN!O10</f>
        <v>1</v>
      </c>
      <c r="P9" s="24">
        <f>HARIAN!P10</f>
        <v>13</v>
      </c>
      <c r="Q9" s="40">
        <f>HARIAN!Q10</f>
        <v>0.43333333333333335</v>
      </c>
      <c r="R9" s="40">
        <f>HARIAN!R10</f>
        <v>0.68421052631578949</v>
      </c>
      <c r="S9" s="40">
        <f>HARIAN!S10</f>
        <v>1</v>
      </c>
    </row>
    <row r="10" spans="3:19" ht="15.75">
      <c r="C10" s="23" t="s">
        <v>38</v>
      </c>
      <c r="D10" s="24">
        <f>HARIAN!D11</f>
        <v>65</v>
      </c>
      <c r="E10" s="24">
        <f>HARIAN!E11</f>
        <v>1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1</v>
      </c>
      <c r="J10" s="24">
        <f>HARIAN!J11</f>
        <v>16</v>
      </c>
      <c r="K10" s="24">
        <f>HARIAN!K11</f>
        <v>0</v>
      </c>
      <c r="L10" s="24">
        <f>HARIAN!L11</f>
        <v>0</v>
      </c>
      <c r="M10" s="24">
        <f>HARIAN!M11</f>
        <v>7</v>
      </c>
      <c r="N10" s="24">
        <f>HARIAN!N11</f>
        <v>1</v>
      </c>
      <c r="O10" s="24">
        <f>HARIAN!O11</f>
        <v>2</v>
      </c>
      <c r="P10" s="24">
        <f>HARIAN!P11</f>
        <v>36</v>
      </c>
      <c r="Q10" s="40">
        <f>HARIAN!Q11</f>
        <v>0.5625</v>
      </c>
      <c r="R10" s="40">
        <f>HARIAN!R11</f>
        <v>0.78260869565217395</v>
      </c>
      <c r="S10" s="40">
        <f>HARIAN!S11</f>
        <v>1</v>
      </c>
    </row>
    <row r="11" spans="3:19" ht="15.75">
      <c r="C11" s="23" t="s">
        <v>42</v>
      </c>
      <c r="D11" s="24">
        <f>HARIAN!D12</f>
        <v>48</v>
      </c>
      <c r="E11" s="24">
        <f>HARIAN!E12</f>
        <v>0</v>
      </c>
      <c r="F11" s="24">
        <f>HARIAN!F12</f>
        <v>4</v>
      </c>
      <c r="G11" s="24">
        <f>HARIAN!G12</f>
        <v>1</v>
      </c>
      <c r="H11" s="24">
        <f>HARIAN!H12</f>
        <v>0</v>
      </c>
      <c r="I11" s="24">
        <f>HARIAN!I12</f>
        <v>1</v>
      </c>
      <c r="J11" s="24">
        <f>HARIAN!J12</f>
        <v>11</v>
      </c>
      <c r="K11" s="24">
        <f>HARIAN!K12</f>
        <v>0</v>
      </c>
      <c r="L11" s="24">
        <f>HARIAN!L12</f>
        <v>0</v>
      </c>
      <c r="M11" s="24">
        <f>HARIAN!M12</f>
        <v>2</v>
      </c>
      <c r="N11" s="24">
        <f>HARIAN!N12</f>
        <v>0</v>
      </c>
      <c r="O11" s="24">
        <f>HARIAN!O12</f>
        <v>0</v>
      </c>
      <c r="P11" s="24">
        <f>HARIAN!P12</f>
        <v>27</v>
      </c>
      <c r="Q11" s="40">
        <f>HARIAN!Q12</f>
        <v>0.62790697674418605</v>
      </c>
      <c r="R11" s="40">
        <f>HARIAN!R12</f>
        <v>0.93103448275862066</v>
      </c>
      <c r="S11" s="40">
        <f>HARIAN!S12</f>
        <v>1</v>
      </c>
    </row>
    <row r="12" spans="3:19" ht="15.75">
      <c r="C12" s="23" t="s">
        <v>45</v>
      </c>
      <c r="D12" s="24">
        <f>HARIAN!D13</f>
        <v>85</v>
      </c>
      <c r="E12" s="24">
        <f>HARIAN!E13</f>
        <v>2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3</v>
      </c>
      <c r="J12" s="24">
        <f>HARIAN!J13</f>
        <v>21</v>
      </c>
      <c r="K12" s="24">
        <f>HARIAN!K13</f>
        <v>2</v>
      </c>
      <c r="L12" s="24">
        <f>HARIAN!L13</f>
        <v>1</v>
      </c>
      <c r="M12" s="24">
        <f>HARIAN!M13</f>
        <v>17</v>
      </c>
      <c r="N12" s="24">
        <f>HARIAN!N13</f>
        <v>1</v>
      </c>
      <c r="O12" s="24">
        <f>HARIAN!O13</f>
        <v>2</v>
      </c>
      <c r="P12" s="24">
        <f>HARIAN!P13</f>
        <v>34</v>
      </c>
      <c r="Q12" s="40">
        <f>HARIAN!Q13</f>
        <v>0.42499999999999999</v>
      </c>
      <c r="R12" s="40">
        <f>HARIAN!R13</f>
        <v>0.62962962962962965</v>
      </c>
      <c r="S12" s="40">
        <f>HARIAN!S13</f>
        <v>1</v>
      </c>
    </row>
    <row r="13" spans="3:19" ht="15.75">
      <c r="C13" s="23" t="s">
        <v>55</v>
      </c>
      <c r="D13" s="24">
        <f>HARIAN!D14</f>
        <v>55</v>
      </c>
      <c r="E13" s="24">
        <f>HARIAN!E14</f>
        <v>2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5</v>
      </c>
      <c r="J13" s="24">
        <f>HARIAN!J14</f>
        <v>20</v>
      </c>
      <c r="K13" s="24">
        <f>HARIAN!K14</f>
        <v>0</v>
      </c>
      <c r="L13" s="24">
        <f>HARIAN!L14</f>
        <v>0</v>
      </c>
      <c r="M13" s="24">
        <f>HARIAN!M14</f>
        <v>3</v>
      </c>
      <c r="N13" s="24">
        <f>HARIAN!N14</f>
        <v>0</v>
      </c>
      <c r="O13" s="24">
        <f>HARIAN!O14</f>
        <v>0</v>
      </c>
      <c r="P13" s="24">
        <f>HARIAN!P14</f>
        <v>25</v>
      </c>
      <c r="Q13" s="40">
        <f>HARIAN!Q14</f>
        <v>0.5</v>
      </c>
      <c r="R13" s="40">
        <f>HARIAN!R14</f>
        <v>0.8928571428571429</v>
      </c>
      <c r="S13" s="40">
        <f>HARIAN!S14</f>
        <v>1</v>
      </c>
    </row>
    <row r="14" spans="3:19" ht="15.75">
      <c r="C14" s="25" t="s">
        <v>62</v>
      </c>
      <c r="D14" s="26">
        <f>SUM(D9:D13)</f>
        <v>285</v>
      </c>
      <c r="E14" s="26">
        <f>SUM(E9:E13)</f>
        <v>12</v>
      </c>
      <c r="F14" s="26">
        <f>SUM(F9:F13)</f>
        <v>5</v>
      </c>
      <c r="G14" s="26">
        <f t="shared" ref="G14:P14" si="0">SUM(G9:G13)</f>
        <v>1</v>
      </c>
      <c r="H14" s="26">
        <f t="shared" si="0"/>
        <v>0</v>
      </c>
      <c r="I14" s="26">
        <f t="shared" si="0"/>
        <v>11</v>
      </c>
      <c r="J14" s="26">
        <f t="shared" si="0"/>
        <v>71</v>
      </c>
      <c r="K14" s="26">
        <f t="shared" si="0"/>
        <v>2</v>
      </c>
      <c r="L14" s="26">
        <f t="shared" si="0"/>
        <v>1</v>
      </c>
      <c r="M14" s="26">
        <f t="shared" si="0"/>
        <v>32</v>
      </c>
      <c r="N14" s="26">
        <f t="shared" si="0"/>
        <v>4</v>
      </c>
      <c r="O14" s="26">
        <f t="shared" si="0"/>
        <v>5</v>
      </c>
      <c r="P14" s="26">
        <f t="shared" si="0"/>
        <v>135</v>
      </c>
      <c r="Q14" s="41">
        <f>HARIAN!Q15</f>
        <v>0.5056179775280899</v>
      </c>
      <c r="R14" s="41">
        <f>HARIAN!R15</f>
        <v>0.76704545454545459</v>
      </c>
      <c r="S14" s="41">
        <f>HARIAN!S15</f>
        <v>1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27" t="s">
        <v>76</v>
      </c>
      <c r="E20" s="128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2026-09-03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2026-09-03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75">
      <c r="B25" s="126" t="str">
        <f>C3</f>
        <v>Last update proses : 04-09-2026 10:49:07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864</v>
      </c>
      <c r="S28" s="147" t="s">
        <v>865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75">
      <c r="B32" s="183" t="s">
        <v>34</v>
      </c>
      <c r="C32" s="88" t="s">
        <v>79</v>
      </c>
      <c r="D32" s="65">
        <f>HARIAN!D33</f>
        <v>2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1</v>
      </c>
      <c r="O32" s="65">
        <f>HARIAN!O33</f>
        <v>0</v>
      </c>
      <c r="P32" s="65">
        <f>HARIAN!P33</f>
        <v>1</v>
      </c>
      <c r="Q32" s="40">
        <f>T32</f>
        <v>0.5</v>
      </c>
      <c r="R32" s="40">
        <f t="shared" ref="R32:R67" si="1">U32</f>
        <v>0.5</v>
      </c>
      <c r="S32" s="40">
        <f>VLOOKUP(C32,Sheet3!$A$19:$G$81,7,FALSE)</f>
        <v>1</v>
      </c>
      <c r="T32" s="10">
        <f>P32/(D32-F32-K32-I32)</f>
        <v>0.5</v>
      </c>
      <c r="U32" s="10">
        <f>P32/(M32+N32+O32+P32)</f>
        <v>0.5</v>
      </c>
    </row>
    <row r="33" spans="2:21" ht="15.75">
      <c r="B33" s="183"/>
      <c r="C33" s="88" t="s">
        <v>85</v>
      </c>
      <c r="D33" s="65">
        <f>HARIAN!D34+HARIAN!D39</f>
        <v>8</v>
      </c>
      <c r="E33" s="65">
        <f>HARIAN!E34+HARIAN!E39</f>
        <v>4</v>
      </c>
      <c r="F33" s="65">
        <f>HARIAN!F34+HARIAN!F39</f>
        <v>1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1</v>
      </c>
      <c r="K33" s="65">
        <f>HARIAN!K34+HARIAN!K39</f>
        <v>0</v>
      </c>
      <c r="L33" s="65">
        <f>HARIAN!L34+HARIAN!L39</f>
        <v>0</v>
      </c>
      <c r="M33" s="65">
        <f>HARIAN!M34+HARIAN!M39</f>
        <v>1</v>
      </c>
      <c r="N33" s="65">
        <f>HARIAN!N34+HARIAN!N39</f>
        <v>1</v>
      </c>
      <c r="O33" s="65">
        <f>HARIAN!O34+HARIAN!O39</f>
        <v>0</v>
      </c>
      <c r="P33" s="65">
        <f>HARIAN!P34+HARIAN!P39</f>
        <v>0</v>
      </c>
      <c r="Q33" s="40">
        <f t="shared" ref="Q33:Q67" si="2">T33</f>
        <v>0</v>
      </c>
      <c r="R33" s="40">
        <f t="shared" si="1"/>
        <v>0</v>
      </c>
      <c r="S33" s="40" t="e">
        <f>VLOOKUP(C33,Sheet3!$A$19:$G$81,7,FALSE)</f>
        <v>#DIV/0!</v>
      </c>
      <c r="T33" s="10">
        <f t="shared" ref="T33:T67" si="3">P33/(D33-F33-K33-I33)</f>
        <v>0</v>
      </c>
      <c r="U33" s="10">
        <f t="shared" ref="U33:U67" si="4">P33/(M33+N33+O33+P33)</f>
        <v>0</v>
      </c>
    </row>
    <row r="34" spans="2:21" ht="15.75">
      <c r="B34" s="183"/>
      <c r="C34" s="88" t="s">
        <v>81</v>
      </c>
      <c r="D34" s="65">
        <f>HARIAN!D35</f>
        <v>3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1</v>
      </c>
      <c r="N34" s="65">
        <f>HARIAN!N35</f>
        <v>0</v>
      </c>
      <c r="O34" s="65">
        <f>HARIAN!O35</f>
        <v>0</v>
      </c>
      <c r="P34" s="65">
        <f>HARIAN!P35</f>
        <v>2</v>
      </c>
      <c r="Q34" s="40">
        <f t="shared" si="2"/>
        <v>0.66666666666666663</v>
      </c>
      <c r="R34" s="40">
        <f t="shared" si="1"/>
        <v>0.66666666666666663</v>
      </c>
      <c r="S34" s="40">
        <f>VLOOKUP(C34,Sheet3!$A$19:$G$81,7,FALSE)</f>
        <v>1</v>
      </c>
      <c r="T34" s="10">
        <f t="shared" si="3"/>
        <v>0.66666666666666663</v>
      </c>
      <c r="U34" s="10">
        <f t="shared" si="4"/>
        <v>0.66666666666666663</v>
      </c>
    </row>
    <row r="35" spans="2:21" ht="15.75">
      <c r="B35" s="183"/>
      <c r="C35" s="88" t="s">
        <v>82</v>
      </c>
      <c r="D35" s="65">
        <f>HARIAN!D36</f>
        <v>5</v>
      </c>
      <c r="E35" s="65">
        <f>HARIAN!E36</f>
        <v>2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0.4</v>
      </c>
      <c r="R35" s="40">
        <f t="shared" si="1"/>
        <v>1</v>
      </c>
      <c r="S35" s="40">
        <f>VLOOKUP(C35,Sheet3!$A$19:$G$81,7,FALSE)</f>
        <v>1</v>
      </c>
      <c r="T35" s="10">
        <f t="shared" si="3"/>
        <v>0.4</v>
      </c>
      <c r="U35" s="10">
        <f t="shared" si="4"/>
        <v>1</v>
      </c>
    </row>
    <row r="36" spans="2:21" ht="15.75">
      <c r="B36" s="183"/>
      <c r="C36" s="88" t="s">
        <v>83</v>
      </c>
      <c r="D36" s="65">
        <f>HARIAN!D37</f>
        <v>7</v>
      </c>
      <c r="E36" s="65">
        <f>HARIAN!E37</f>
        <v>1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0</v>
      </c>
      <c r="O36" s="65">
        <f>HARIAN!O37</f>
        <v>0</v>
      </c>
      <c r="P36" s="65">
        <f>HARIAN!P37</f>
        <v>3</v>
      </c>
      <c r="Q36" s="40">
        <f t="shared" si="2"/>
        <v>0.5</v>
      </c>
      <c r="R36" s="40">
        <f t="shared" si="1"/>
        <v>0.75</v>
      </c>
      <c r="S36" s="40">
        <f>VLOOKUP(C36,Sheet3!$A$19:$G$81,7,FALSE)</f>
        <v>1</v>
      </c>
      <c r="T36" s="10">
        <f t="shared" si="3"/>
        <v>0.5</v>
      </c>
      <c r="U36" s="10">
        <f t="shared" si="4"/>
        <v>0.75</v>
      </c>
    </row>
    <row r="37" spans="2:21" ht="15.75">
      <c r="B37" s="183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 t="e">
        <f>VLOOKUP(C37,Sheet3!$A$19:$G$81,7,FALSE)</f>
        <v>#N/A</v>
      </c>
      <c r="T37" s="10" t="e">
        <f t="shared" si="3"/>
        <v>#DIV/0!</v>
      </c>
      <c r="U37" s="10">
        <f t="shared" si="4"/>
        <v>1</v>
      </c>
    </row>
    <row r="38" spans="2:21" ht="15.75">
      <c r="B38" s="183"/>
      <c r="C38" s="88" t="s">
        <v>86</v>
      </c>
      <c r="D38" s="65">
        <f>HARIAN!D40</f>
        <v>7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1</v>
      </c>
      <c r="P38" s="65">
        <f>HARIAN!P40</f>
        <v>5</v>
      </c>
      <c r="Q38" s="40">
        <f t="shared" si="2"/>
        <v>0.7142857142857143</v>
      </c>
      <c r="R38" s="40">
        <f t="shared" si="1"/>
        <v>0.83333333333333337</v>
      </c>
      <c r="S38" s="40">
        <f>VLOOKUP(C38,Sheet3!$A$19:$G$81,7,FALSE)</f>
        <v>1</v>
      </c>
      <c r="T38" s="10">
        <f t="shared" si="3"/>
        <v>0.7142857142857143</v>
      </c>
      <c r="U38" s="10">
        <f t="shared" si="4"/>
        <v>0.83333333333333337</v>
      </c>
    </row>
    <row r="39" spans="2:21" ht="15.75">
      <c r="B39" s="184" t="s">
        <v>38</v>
      </c>
      <c r="C39" s="89" t="s">
        <v>87</v>
      </c>
      <c r="D39" s="67">
        <f>HARIAN!D41</f>
        <v>3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1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2</v>
      </c>
      <c r="Q39" s="40">
        <f t="shared" si="2"/>
        <v>0.66666666666666663</v>
      </c>
      <c r="R39" s="40">
        <f t="shared" si="1"/>
        <v>1</v>
      </c>
      <c r="S39" s="40">
        <f>VLOOKUP(C39,Sheet3!$A$19:$G$81,7,FALSE)</f>
        <v>1</v>
      </c>
      <c r="T39" s="10">
        <f t="shared" si="3"/>
        <v>0.66666666666666663</v>
      </c>
      <c r="U39" s="10">
        <f t="shared" si="4"/>
        <v>1</v>
      </c>
    </row>
    <row r="40" spans="2:21" ht="15.75">
      <c r="B40" s="184"/>
      <c r="C40" s="89" t="s">
        <v>88</v>
      </c>
      <c r="D40" s="67">
        <f>HARIAN!D42+HARIAN!D52</f>
        <v>4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1</v>
      </c>
      <c r="O40" s="67">
        <f>HARIAN!O42+HARIAN!O52</f>
        <v>0</v>
      </c>
      <c r="P40" s="67">
        <f>HARIAN!P42+HARIAN!P52</f>
        <v>1</v>
      </c>
      <c r="Q40" s="40">
        <f t="shared" si="2"/>
        <v>0.25</v>
      </c>
      <c r="R40" s="40">
        <f t="shared" si="1"/>
        <v>0.33333333333333331</v>
      </c>
      <c r="S40" s="40">
        <f>VLOOKUP(C40,Sheet3!$A$19:$G$81,7,FALSE)</f>
        <v>1</v>
      </c>
      <c r="T40" s="10">
        <f t="shared" si="3"/>
        <v>0.25</v>
      </c>
      <c r="U40" s="10">
        <f t="shared" si="4"/>
        <v>0.33333333333333331</v>
      </c>
    </row>
    <row r="41" spans="2:21" ht="15.75">
      <c r="B41" s="184"/>
      <c r="C41" s="89" t="s">
        <v>89</v>
      </c>
      <c r="D41" s="67">
        <f>HARIAN!D43+HARIAN!D51</f>
        <v>10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5</v>
      </c>
      <c r="K41" s="67">
        <f>HARIAN!K43+HARIAN!K51</f>
        <v>0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0</v>
      </c>
      <c r="P41" s="67">
        <f>HARIAN!P43+HARIAN!P51</f>
        <v>4</v>
      </c>
      <c r="Q41" s="40">
        <f t="shared" si="2"/>
        <v>0.4</v>
      </c>
      <c r="R41" s="40">
        <f t="shared" si="1"/>
        <v>0.8</v>
      </c>
      <c r="S41" s="40" t="e">
        <f>VLOOKUP(C41,Sheet3!$A$19:$G$81,7,FALSE)</f>
        <v>#DIV/0!</v>
      </c>
      <c r="T41" s="10">
        <f t="shared" si="3"/>
        <v>0.4</v>
      </c>
      <c r="U41" s="10">
        <f t="shared" si="4"/>
        <v>0.8</v>
      </c>
    </row>
    <row r="42" spans="2:21" ht="15.75">
      <c r="B42" s="184"/>
      <c r="C42" s="89" t="s">
        <v>90</v>
      </c>
      <c r="D42" s="67">
        <f>HARIAN!D44</f>
        <v>9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1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8</v>
      </c>
      <c r="Q42" s="40">
        <f t="shared" si="2"/>
        <v>1</v>
      </c>
      <c r="R42" s="40">
        <f t="shared" si="1"/>
        <v>1</v>
      </c>
      <c r="S42" s="40">
        <f>VLOOKUP(C42,Sheet3!$A$19:$G$81,7,FALSE)</f>
        <v>1</v>
      </c>
      <c r="T42" s="10">
        <f t="shared" si="3"/>
        <v>1</v>
      </c>
      <c r="U42" s="10">
        <f t="shared" si="4"/>
        <v>1</v>
      </c>
    </row>
    <row r="43" spans="2:21" ht="15.75">
      <c r="B43" s="184"/>
      <c r="C43" s="89" t="s">
        <v>248</v>
      </c>
      <c r="D43" s="67">
        <f>HARIAN!D45</f>
        <v>19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5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1</v>
      </c>
      <c r="P43" s="67">
        <f>HARIAN!P45</f>
        <v>11</v>
      </c>
      <c r="Q43" s="40">
        <f t="shared" si="2"/>
        <v>0.57894736842105265</v>
      </c>
      <c r="R43" s="40">
        <f t="shared" si="1"/>
        <v>0.84615384615384615</v>
      </c>
      <c r="S43" s="40">
        <f>VLOOKUP(C43,Sheet3!$A$19:$G$81,7,FALSE)</f>
        <v>1</v>
      </c>
      <c r="T43" s="10">
        <f t="shared" si="3"/>
        <v>0.57894736842105265</v>
      </c>
      <c r="U43" s="10">
        <f t="shared" si="4"/>
        <v>0.84615384615384615</v>
      </c>
    </row>
    <row r="44" spans="2:21" ht="15.75">
      <c r="B44" s="184"/>
      <c r="C44" s="89" t="s">
        <v>92</v>
      </c>
      <c r="D44" s="67">
        <f>HARIAN!D46</f>
        <v>2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1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0</v>
      </c>
      <c r="Q44" s="40">
        <f t="shared" si="2"/>
        <v>0</v>
      </c>
      <c r="R44" s="40">
        <f t="shared" si="1"/>
        <v>0</v>
      </c>
      <c r="S44" s="40">
        <f>VLOOKUP(C44,Sheet3!$A$19:$G$81,7,FALSE)</f>
        <v>1</v>
      </c>
      <c r="T44" s="10">
        <f t="shared" si="3"/>
        <v>0</v>
      </c>
      <c r="U44" s="10">
        <f t="shared" si="4"/>
        <v>0</v>
      </c>
    </row>
    <row r="45" spans="2:21" ht="15.75">
      <c r="B45" s="184"/>
      <c r="C45" s="89" t="s">
        <v>93</v>
      </c>
      <c r="D45" s="67">
        <f>HARIAN!D47</f>
        <v>8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2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1</v>
      </c>
      <c r="P45" s="67">
        <f>HARIAN!P47</f>
        <v>4</v>
      </c>
      <c r="Q45" s="40">
        <f t="shared" si="2"/>
        <v>0.5</v>
      </c>
      <c r="R45" s="40">
        <f t="shared" si="1"/>
        <v>0.8</v>
      </c>
      <c r="S45" s="40">
        <f>VLOOKUP(C45,Sheet3!$A$19:$G$81,7,FALSE)</f>
        <v>1</v>
      </c>
      <c r="T45" s="10">
        <f t="shared" si="3"/>
        <v>0.5</v>
      </c>
      <c r="U45" s="10">
        <f t="shared" si="4"/>
        <v>0.8</v>
      </c>
    </row>
    <row r="46" spans="2:21" ht="15.75">
      <c r="B46" s="184"/>
      <c r="C46" s="89" t="s">
        <v>92</v>
      </c>
      <c r="D46" s="67">
        <f>HARIAN!D48</f>
        <v>8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3</v>
      </c>
      <c r="N46" s="67">
        <f>HARIAN!N48</f>
        <v>0</v>
      </c>
      <c r="O46" s="67">
        <f>HARIAN!O48</f>
        <v>0</v>
      </c>
      <c r="P46" s="67">
        <f>HARIAN!P48</f>
        <v>4</v>
      </c>
      <c r="Q46" s="40">
        <f t="shared" si="2"/>
        <v>0.5</v>
      </c>
      <c r="R46" s="40">
        <f t="shared" si="1"/>
        <v>0.5714285714285714</v>
      </c>
      <c r="S46" s="40">
        <f>VLOOKUP(C46,Sheet3!$A$19:$G$81,7,FALSE)</f>
        <v>1</v>
      </c>
      <c r="T46" s="10">
        <f t="shared" si="3"/>
        <v>0.5</v>
      </c>
      <c r="U46" s="10">
        <f t="shared" si="4"/>
        <v>0.5714285714285714</v>
      </c>
    </row>
    <row r="47" spans="2:21" ht="15.75">
      <c r="B47" s="184"/>
      <c r="C47" s="89" t="s">
        <v>95</v>
      </c>
      <c r="D47" s="67">
        <f>HARIAN!D49+HARIAN!D50</f>
        <v>2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2</v>
      </c>
      <c r="Q47" s="40">
        <f t="shared" si="2"/>
        <v>1</v>
      </c>
      <c r="R47" s="40">
        <f t="shared" si="1"/>
        <v>1</v>
      </c>
      <c r="S47" s="40" t="e">
        <f>VLOOKUP(C47,Sheet3!$A$19:$G$81,7,FALSE)</f>
        <v>#N/A</v>
      </c>
      <c r="T47" s="10">
        <f t="shared" si="3"/>
        <v>1</v>
      </c>
      <c r="U47" s="10">
        <f t="shared" si="4"/>
        <v>1</v>
      </c>
    </row>
    <row r="48" spans="2:21" ht="15.75">
      <c r="B48" s="185" t="s">
        <v>42</v>
      </c>
      <c r="C48" s="90" t="s">
        <v>99</v>
      </c>
      <c r="D48" s="63">
        <f>HARIAN!D53+HARIAN!D62</f>
        <v>7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5</v>
      </c>
      <c r="Q48" s="40">
        <f t="shared" si="2"/>
        <v>0.7142857142857143</v>
      </c>
      <c r="R48" s="40">
        <f t="shared" si="1"/>
        <v>1</v>
      </c>
      <c r="S48" s="40">
        <f>VLOOKUP(C48,Sheet3!$A$19:$G$81,7,FALSE)</f>
        <v>1</v>
      </c>
      <c r="T48" s="10">
        <f t="shared" si="3"/>
        <v>0.7142857142857143</v>
      </c>
      <c r="U48" s="10">
        <f t="shared" si="4"/>
        <v>1</v>
      </c>
    </row>
    <row r="49" spans="2:21" ht="15.75">
      <c r="B49" s="185"/>
      <c r="C49" s="90" t="s">
        <v>102</v>
      </c>
      <c r="D49" s="63">
        <f>HARIAN!D54+HARIAN!D56</f>
        <v>4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3</v>
      </c>
      <c r="Q49" s="40">
        <f t="shared" si="2"/>
        <v>0.75</v>
      </c>
      <c r="R49" s="40">
        <f t="shared" si="1"/>
        <v>1</v>
      </c>
      <c r="S49" s="40">
        <f>VLOOKUP(C49,Sheet3!$A$19:$G$81,7,FALSE)</f>
        <v>1</v>
      </c>
      <c r="T49" s="10">
        <f t="shared" si="3"/>
        <v>0.75</v>
      </c>
      <c r="U49" s="10">
        <f t="shared" si="4"/>
        <v>1</v>
      </c>
    </row>
    <row r="50" spans="2:21" ht="15.75">
      <c r="B50" s="185"/>
      <c r="C50" s="90" t="s">
        <v>232</v>
      </c>
      <c r="D50" s="63">
        <f>HARIAN!D55</f>
        <v>11</v>
      </c>
      <c r="E50" s="63">
        <f>HARIAN!E55</f>
        <v>0</v>
      </c>
      <c r="F50" s="63">
        <f>HARIAN!F55</f>
        <v>0</v>
      </c>
      <c r="G50" s="63">
        <f>HARIAN!G55</f>
        <v>1</v>
      </c>
      <c r="H50" s="63">
        <f>HARIAN!H55</f>
        <v>0</v>
      </c>
      <c r="I50" s="63">
        <f>HARIAN!I55</f>
        <v>1</v>
      </c>
      <c r="J50" s="63">
        <f>HARIAN!J55</f>
        <v>4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0</v>
      </c>
      <c r="O50" s="63">
        <f>HARIAN!O55</f>
        <v>0</v>
      </c>
      <c r="P50" s="63">
        <f>HARIAN!P55</f>
        <v>3</v>
      </c>
      <c r="Q50" s="40">
        <f t="shared" si="2"/>
        <v>0.3</v>
      </c>
      <c r="R50" s="40">
        <f t="shared" si="1"/>
        <v>0.75</v>
      </c>
      <c r="S50" s="40">
        <f>VLOOKUP(C50,Sheet3!$A$19:$G$81,7,FALSE)</f>
        <v>1</v>
      </c>
      <c r="T50" s="10">
        <f t="shared" si="3"/>
        <v>0.3</v>
      </c>
      <c r="U50" s="10">
        <f t="shared" si="4"/>
        <v>0.75</v>
      </c>
    </row>
    <row r="51" spans="2:21" ht="15.75">
      <c r="B51" s="185"/>
      <c r="C51" s="90" t="s">
        <v>105</v>
      </c>
      <c r="D51" s="63">
        <f>HARIAN!D57+HARIAN!D59</f>
        <v>15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2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12</v>
      </c>
      <c r="Q51" s="40">
        <f t="shared" si="2"/>
        <v>0.8</v>
      </c>
      <c r="R51" s="40">
        <f t="shared" si="1"/>
        <v>0.92307692307692313</v>
      </c>
      <c r="S51" s="40">
        <f>VLOOKUP(C51,Sheet3!$A$19:$G$81,7,FALSE)</f>
        <v>1</v>
      </c>
      <c r="T51" s="10">
        <f t="shared" si="3"/>
        <v>0.8</v>
      </c>
      <c r="U51" s="10">
        <f t="shared" si="4"/>
        <v>0.92307692307692313</v>
      </c>
    </row>
    <row r="52" spans="2:21" ht="15.75">
      <c r="B52" s="185"/>
      <c r="C52" s="90" t="s">
        <v>106</v>
      </c>
      <c r="D52" s="63">
        <f>HARIAN!D60</f>
        <v>9</v>
      </c>
      <c r="E52" s="63">
        <f>HARIAN!E60</f>
        <v>0</v>
      </c>
      <c r="F52" s="63">
        <f>HARIAN!F60</f>
        <v>4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3</v>
      </c>
      <c r="Q52" s="40">
        <f t="shared" si="2"/>
        <v>0.6</v>
      </c>
      <c r="R52" s="40">
        <f t="shared" si="1"/>
        <v>1</v>
      </c>
      <c r="S52" s="40" t="e">
        <f>VLOOKUP(C52,Sheet3!$A$19:$G$81,7,FALSE)</f>
        <v>#DIV/0!</v>
      </c>
      <c r="T52" s="10">
        <f t="shared" si="3"/>
        <v>0.6</v>
      </c>
      <c r="U52" s="10">
        <f t="shared" si="4"/>
        <v>1</v>
      </c>
    </row>
    <row r="53" spans="2:21" ht="15.75">
      <c r="B53" s="185"/>
      <c r="C53" s="90" t="s">
        <v>107</v>
      </c>
      <c r="D53" s="63">
        <f>HARIAN!D61+HARIAN!D58</f>
        <v>2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1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1</v>
      </c>
      <c r="Q53" s="40">
        <f t="shared" si="2"/>
        <v>0.5</v>
      </c>
      <c r="R53" s="40">
        <f t="shared" si="1"/>
        <v>1</v>
      </c>
      <c r="S53" s="40" t="e">
        <f>VLOOKUP(C53,Sheet3!$A$19:$G$81,7,FALSE)</f>
        <v>#DIV/0!</v>
      </c>
      <c r="T53" s="10">
        <f t="shared" si="3"/>
        <v>0.5</v>
      </c>
      <c r="U53" s="10">
        <f t="shared" si="4"/>
        <v>1</v>
      </c>
    </row>
    <row r="54" spans="2:21" ht="15.75">
      <c r="B54" s="186" t="s">
        <v>70</v>
      </c>
      <c r="C54" s="91" t="s">
        <v>109</v>
      </c>
      <c r="D54" s="69">
        <f>HARIAN!D63</f>
        <v>2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0.5</v>
      </c>
      <c r="R54" s="40">
        <f t="shared" si="1"/>
        <v>1</v>
      </c>
      <c r="S54" s="40" t="e">
        <f>VLOOKUP(C54,Sheet3!$A$19:$G$81,7,FALSE)</f>
        <v>#DIV/0!</v>
      </c>
      <c r="T54" s="10">
        <f t="shared" si="3"/>
        <v>0.5</v>
      </c>
      <c r="U54" s="10">
        <f t="shared" si="4"/>
        <v>1</v>
      </c>
    </row>
    <row r="55" spans="2:21" ht="15.75">
      <c r="B55" s="186"/>
      <c r="C55" s="91" t="s">
        <v>110</v>
      </c>
      <c r="D55" s="69">
        <f>HARIAN!D64</f>
        <v>8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1</v>
      </c>
      <c r="P55" s="69">
        <f>HARIAN!P64</f>
        <v>4</v>
      </c>
      <c r="Q55" s="40">
        <f t="shared" si="2"/>
        <v>0.5714285714285714</v>
      </c>
      <c r="R55" s="40">
        <f t="shared" si="1"/>
        <v>0.8</v>
      </c>
      <c r="S55" s="40">
        <f>VLOOKUP(C55,Sheet3!$A$19:$G$81,7,FALSE)</f>
        <v>1</v>
      </c>
      <c r="T55" s="10">
        <f t="shared" si="3"/>
        <v>0.5714285714285714</v>
      </c>
      <c r="U55" s="10">
        <f t="shared" si="4"/>
        <v>0.8</v>
      </c>
    </row>
    <row r="56" spans="2:21" ht="15.75">
      <c r="B56" s="186"/>
      <c r="C56" s="91" t="s">
        <v>111</v>
      </c>
      <c r="D56" s="69">
        <f>HARIAN!D65</f>
        <v>1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>
        <f t="shared" si="2"/>
        <v>0</v>
      </c>
      <c r="R56" s="40" t="e">
        <f t="shared" si="1"/>
        <v>#DIV/0!</v>
      </c>
      <c r="S56" s="40" t="e">
        <f>VLOOKUP(C56,Sheet3!$A$19:$G$81,7,FALSE)</f>
        <v>#N/A</v>
      </c>
      <c r="T56" s="10">
        <f t="shared" si="3"/>
        <v>0</v>
      </c>
      <c r="U56" s="10" t="e">
        <f t="shared" si="4"/>
        <v>#DIV/0!</v>
      </c>
    </row>
    <row r="57" spans="2:21" ht="15.75">
      <c r="B57" s="186"/>
      <c r="C57" s="91" t="s">
        <v>210</v>
      </c>
      <c r="D57" s="69">
        <f>HARIAN!D66</f>
        <v>15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4</v>
      </c>
      <c r="K57" s="69">
        <f>HARIAN!K66</f>
        <v>1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0</v>
      </c>
      <c r="P57" s="69">
        <f>HARIAN!P66</f>
        <v>6</v>
      </c>
      <c r="Q57" s="40">
        <f t="shared" si="2"/>
        <v>0.42857142857142855</v>
      </c>
      <c r="R57" s="40">
        <f t="shared" si="1"/>
        <v>0.66666666666666663</v>
      </c>
      <c r="S57" s="40">
        <f>VLOOKUP(C57,Sheet3!$A$19:$G$81,7,FALSE)</f>
        <v>1</v>
      </c>
      <c r="T57" s="10">
        <f t="shared" si="3"/>
        <v>0.42857142857142855</v>
      </c>
      <c r="U57" s="10">
        <f t="shared" si="4"/>
        <v>0.66666666666666663</v>
      </c>
    </row>
    <row r="58" spans="2:21" ht="15.75">
      <c r="B58" s="186"/>
      <c r="C58" s="91" t="s">
        <v>113</v>
      </c>
      <c r="D58" s="69">
        <f>HARIAN!D67</f>
        <v>9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1</v>
      </c>
      <c r="K58" s="69">
        <f>HARIAN!K67</f>
        <v>0</v>
      </c>
      <c r="L58" s="69">
        <f>HARIAN!L67</f>
        <v>0</v>
      </c>
      <c r="M58" s="69">
        <f>HARIAN!M67</f>
        <v>7</v>
      </c>
      <c r="N58" s="69">
        <f>HARIAN!N67</f>
        <v>0</v>
      </c>
      <c r="O58" s="69">
        <f>HARIAN!O67</f>
        <v>0</v>
      </c>
      <c r="P58" s="69">
        <f>HARIAN!P67</f>
        <v>1</v>
      </c>
      <c r="Q58" s="40">
        <f t="shared" si="2"/>
        <v>0.1111111111111111</v>
      </c>
      <c r="R58" s="40">
        <f t="shared" si="1"/>
        <v>0.125</v>
      </c>
      <c r="S58" s="40" t="e">
        <f>VLOOKUP(C58,Sheet3!$A$19:$G$81,7,FALSE)</f>
        <v>#DIV/0!</v>
      </c>
      <c r="T58" s="10">
        <f t="shared" si="3"/>
        <v>0.1111111111111111</v>
      </c>
      <c r="U58" s="10">
        <f t="shared" si="4"/>
        <v>0.125</v>
      </c>
    </row>
    <row r="59" spans="2:21" ht="15.75">
      <c r="B59" s="186"/>
      <c r="C59" s="91" t="s">
        <v>114</v>
      </c>
      <c r="D59" s="69">
        <f>HARIAN!D68</f>
        <v>3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1</v>
      </c>
      <c r="N59" s="69">
        <f>HARIAN!N68</f>
        <v>1</v>
      </c>
      <c r="O59" s="69">
        <f>HARIAN!O68</f>
        <v>1</v>
      </c>
      <c r="P59" s="69">
        <f>HARIAN!P68</f>
        <v>0</v>
      </c>
      <c r="Q59" s="40">
        <f t="shared" si="2"/>
        <v>0</v>
      </c>
      <c r="R59" s="40">
        <f t="shared" si="1"/>
        <v>0</v>
      </c>
      <c r="S59" s="40" t="e">
        <f>VLOOKUP(C59,Sheet3!$A$19:$G$81,7,FALSE)</f>
        <v>#DIV/0!</v>
      </c>
      <c r="T59" s="10">
        <f t="shared" si="3"/>
        <v>0</v>
      </c>
      <c r="U59" s="10">
        <f t="shared" si="4"/>
        <v>0</v>
      </c>
    </row>
    <row r="60" spans="2:21" ht="15.75">
      <c r="B60" s="186"/>
      <c r="C60" s="91" t="s">
        <v>781</v>
      </c>
      <c r="D60" s="69">
        <f>HARIAN!D69+HARIAN!D70</f>
        <v>28</v>
      </c>
      <c r="E60" s="69">
        <f>HARIAN!E69+HARIAN!E70</f>
        <v>1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10</v>
      </c>
      <c r="K60" s="69">
        <f>HARIAN!K69+HARIAN!K70</f>
        <v>1</v>
      </c>
      <c r="L60" s="69">
        <f>HARIAN!L69+HARIAN!L70</f>
        <v>1</v>
      </c>
      <c r="M60" s="69">
        <f>HARIAN!M69+HARIAN!M70</f>
        <v>3</v>
      </c>
      <c r="N60" s="69">
        <f>HARIAN!N69+HARIAN!N70</f>
        <v>0</v>
      </c>
      <c r="O60" s="69">
        <f>HARIAN!O69+HARIAN!O70</f>
        <v>0</v>
      </c>
      <c r="P60" s="69">
        <f>HARIAN!P69+HARIAN!P70</f>
        <v>12</v>
      </c>
      <c r="Q60" s="40">
        <f t="shared" si="2"/>
        <v>0.44444444444444442</v>
      </c>
      <c r="R60" s="40">
        <f t="shared" si="1"/>
        <v>0.8</v>
      </c>
      <c r="S60" s="40">
        <f>VLOOKUP(C60,Sheet3!$A$19:$G$81,7,FALSE)</f>
        <v>1</v>
      </c>
      <c r="T60" s="10">
        <f t="shared" si="3"/>
        <v>0.44444444444444442</v>
      </c>
      <c r="U60" s="10">
        <f t="shared" si="4"/>
        <v>0.8</v>
      </c>
    </row>
    <row r="61" spans="2:21" ht="15.75">
      <c r="B61" s="186"/>
      <c r="C61" s="91" t="s">
        <v>117</v>
      </c>
      <c r="D61" s="69">
        <f>HARIAN!D71</f>
        <v>4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0</v>
      </c>
      <c r="P61" s="69">
        <f>HARIAN!P71</f>
        <v>1</v>
      </c>
      <c r="Q61" s="40">
        <f t="shared" si="2"/>
        <v>0.25</v>
      </c>
      <c r="R61" s="40">
        <f t="shared" si="1"/>
        <v>0.25</v>
      </c>
      <c r="S61" s="40" t="e">
        <f>VLOOKUP(C61,Sheet3!$A$19:$G$81,7,FALSE)</f>
        <v>#DIV/0!</v>
      </c>
      <c r="T61" s="10">
        <f t="shared" si="3"/>
        <v>0.25</v>
      </c>
      <c r="U61" s="10">
        <f t="shared" si="4"/>
        <v>0.25</v>
      </c>
    </row>
    <row r="62" spans="2:21" ht="15.75">
      <c r="B62" s="186"/>
      <c r="C62" s="91" t="s">
        <v>118</v>
      </c>
      <c r="D62" s="69">
        <f>HARIAN!D72</f>
        <v>14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2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9</v>
      </c>
      <c r="Q62" s="40">
        <f t="shared" si="2"/>
        <v>0.75</v>
      </c>
      <c r="R62" s="40">
        <f t="shared" si="1"/>
        <v>1</v>
      </c>
      <c r="S62" s="40">
        <f>VLOOKUP(C62,Sheet3!$A$19:$G$81,7,FALSE)</f>
        <v>1</v>
      </c>
      <c r="T62" s="10">
        <f t="shared" si="3"/>
        <v>0.75</v>
      </c>
      <c r="U62" s="10">
        <f t="shared" si="4"/>
        <v>1</v>
      </c>
    </row>
    <row r="63" spans="2:21" ht="15.75">
      <c r="B63" s="186"/>
      <c r="C63" s="91" t="s">
        <v>120</v>
      </c>
      <c r="D63" s="69">
        <f>HARIAN!D73+HARIAN!D74</f>
        <v>1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1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>
        <f t="shared" si="2"/>
        <v>0</v>
      </c>
      <c r="R63" s="40" t="e">
        <f t="shared" si="1"/>
        <v>#DIV/0!</v>
      </c>
      <c r="S63" s="40" t="e">
        <f>VLOOKUP(C63,Sheet3!$A$19:$G$81,7,FALSE)</f>
        <v>#N/A</v>
      </c>
      <c r="T63" s="10">
        <f t="shared" si="3"/>
        <v>0</v>
      </c>
      <c r="U63" s="10" t="e">
        <f t="shared" si="4"/>
        <v>#DIV/0!</v>
      </c>
    </row>
    <row r="64" spans="2:21" ht="15.75">
      <c r="B64" s="187" t="s">
        <v>55</v>
      </c>
      <c r="C64" s="92" t="s">
        <v>227</v>
      </c>
      <c r="D64" s="71">
        <f>HARIAN!D75+HARIAN!D81</f>
        <v>5</v>
      </c>
      <c r="E64" s="71">
        <f>HARIAN!E75+HARIAN!E81</f>
        <v>1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3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>
        <f t="shared" si="2"/>
        <v>0</v>
      </c>
      <c r="R64" s="40">
        <f t="shared" si="1"/>
        <v>0</v>
      </c>
      <c r="S64" s="40" t="e">
        <f>VLOOKUP(C64,Sheet3!$A$19:$G$81,7,FALSE)</f>
        <v>#DIV/0!</v>
      </c>
      <c r="T64" s="10">
        <f t="shared" si="3"/>
        <v>0</v>
      </c>
      <c r="U64" s="10">
        <f t="shared" si="4"/>
        <v>0</v>
      </c>
    </row>
    <row r="65" spans="2:21" ht="15.75">
      <c r="B65" s="187"/>
      <c r="C65" s="92" t="s">
        <v>122</v>
      </c>
      <c r="D65" s="71">
        <f>HARIAN!D76+HARIAN!D79</f>
        <v>15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2</v>
      </c>
      <c r="J65" s="71">
        <f>HARIAN!J76+HARIAN!J79</f>
        <v>4</v>
      </c>
      <c r="K65" s="71">
        <f>HARIAN!K76+HARIAN!K79</f>
        <v>0</v>
      </c>
      <c r="L65" s="71">
        <f>HARIAN!L76+HARIAN!L79</f>
        <v>0</v>
      </c>
      <c r="M65" s="71">
        <f>HARIAN!M76+HARIAN!M79</f>
        <v>1</v>
      </c>
      <c r="N65" s="71">
        <f>HARIAN!N76+HARIAN!N79</f>
        <v>0</v>
      </c>
      <c r="O65" s="71">
        <f>HARIAN!O76+HARIAN!O79</f>
        <v>0</v>
      </c>
      <c r="P65" s="71">
        <f>HARIAN!P76+HARIAN!P79</f>
        <v>8</v>
      </c>
      <c r="Q65" s="40">
        <f t="shared" si="2"/>
        <v>0.61538461538461542</v>
      </c>
      <c r="R65" s="40">
        <f t="shared" si="1"/>
        <v>0.88888888888888884</v>
      </c>
      <c r="S65" s="40">
        <f>VLOOKUP(C65,Sheet3!$A$19:$G$81,7,FALSE)</f>
        <v>1</v>
      </c>
      <c r="T65" s="10">
        <f t="shared" si="3"/>
        <v>0.61538461538461542</v>
      </c>
      <c r="U65" s="10">
        <f t="shared" si="4"/>
        <v>0.88888888888888884</v>
      </c>
    </row>
    <row r="66" spans="2:21" ht="15.75">
      <c r="B66" s="187"/>
      <c r="C66" s="92" t="s">
        <v>663</v>
      </c>
      <c r="D66" s="71">
        <f>HARIAN!D77+HARIAN!D82</f>
        <v>11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2</v>
      </c>
      <c r="J66" s="71">
        <f>HARIAN!J77+HARIAN!J82</f>
        <v>5</v>
      </c>
      <c r="K66" s="71">
        <f>HARIAN!K77+HARIAN!K82</f>
        <v>0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3</v>
      </c>
      <c r="Q66" s="40">
        <f t="shared" si="2"/>
        <v>0.33333333333333331</v>
      </c>
      <c r="R66" s="40">
        <f t="shared" si="1"/>
        <v>0.75</v>
      </c>
      <c r="S66" s="40">
        <f>VLOOKUP(C66,Sheet3!$A$19:$G$81,7,FALSE)</f>
        <v>1</v>
      </c>
      <c r="T66" s="10">
        <f t="shared" si="3"/>
        <v>0.33333333333333331</v>
      </c>
      <c r="U66" s="10">
        <f t="shared" si="4"/>
        <v>0.75</v>
      </c>
    </row>
    <row r="67" spans="2:21" ht="15.75">
      <c r="B67" s="187"/>
      <c r="C67" s="92" t="s">
        <v>666</v>
      </c>
      <c r="D67" s="71">
        <f>HARIAN!D78+HARIAN!D80</f>
        <v>24</v>
      </c>
      <c r="E67" s="71">
        <f>HARIAN!E78+HARIAN!E80</f>
        <v>1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1</v>
      </c>
      <c r="J67" s="71">
        <f>HARIAN!J78+HARIAN!J80</f>
        <v>8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14</v>
      </c>
      <c r="Q67" s="40">
        <f t="shared" si="2"/>
        <v>0.60869565217391308</v>
      </c>
      <c r="R67" s="40">
        <f t="shared" si="1"/>
        <v>1</v>
      </c>
      <c r="S67" s="40">
        <f>VLOOKUP(C67,Sheet3!$A$19:$G$81,7,FALSE)</f>
        <v>1</v>
      </c>
      <c r="T67" s="10">
        <f t="shared" si="3"/>
        <v>0.60869565217391308</v>
      </c>
      <c r="U67" s="10">
        <f t="shared" si="4"/>
        <v>1</v>
      </c>
    </row>
    <row r="68" spans="2:21" ht="15.75">
      <c r="B68" s="150" t="s">
        <v>62</v>
      </c>
      <c r="C68" s="150"/>
      <c r="D68" s="26">
        <f t="shared" ref="D68:P68" si="5">SUM(D32:D67)</f>
        <v>285</v>
      </c>
      <c r="E68" s="26">
        <f t="shared" si="5"/>
        <v>12</v>
      </c>
      <c r="F68" s="26">
        <f t="shared" si="5"/>
        <v>5</v>
      </c>
      <c r="G68" s="26">
        <f t="shared" si="5"/>
        <v>1</v>
      </c>
      <c r="H68" s="26">
        <f t="shared" si="5"/>
        <v>0</v>
      </c>
      <c r="I68" s="26">
        <f t="shared" si="5"/>
        <v>11</v>
      </c>
      <c r="J68" s="26">
        <f t="shared" si="5"/>
        <v>71</v>
      </c>
      <c r="K68" s="26">
        <f t="shared" si="5"/>
        <v>2</v>
      </c>
      <c r="L68" s="26">
        <f t="shared" si="5"/>
        <v>1</v>
      </c>
      <c r="M68" s="26">
        <f t="shared" si="5"/>
        <v>32</v>
      </c>
      <c r="N68" s="26">
        <f t="shared" si="5"/>
        <v>4</v>
      </c>
      <c r="O68" s="26">
        <f t="shared" si="5"/>
        <v>5</v>
      </c>
      <c r="P68" s="26">
        <f t="shared" si="5"/>
        <v>136</v>
      </c>
      <c r="Q68" s="41">
        <f>Q14</f>
        <v>0.5056179775280899</v>
      </c>
      <c r="R68" s="41">
        <f>R14</f>
        <v>0.76704545454545459</v>
      </c>
      <c r="S68" s="41">
        <f>S14</f>
        <v>1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workbookViewId="0">
      <selection activeCell="C3" sqref="C3:N3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8" t="s">
        <v>867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27" t="str">
        <f ca="1">LAPORAN!C2</f>
        <v xml:space="preserve">PERIODE ORDER &amp; PS : 2026-09-01 to  2026-09-03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</row>
    <row r="3" spans="3:14">
      <c r="C3" s="127" t="str">
        <f>LAPORAN!C3</f>
        <v>Last update proses : 04-09-2026 10:49:07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</row>
    <row r="5" spans="3:14" ht="47.25">
      <c r="C5" s="74" t="s">
        <v>1</v>
      </c>
      <c r="D5" s="74" t="s">
        <v>961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866</v>
      </c>
      <c r="K5" s="75" t="s">
        <v>218</v>
      </c>
      <c r="L5" s="72" t="s">
        <v>130</v>
      </c>
      <c r="M5" s="72" t="s">
        <v>864</v>
      </c>
      <c r="N5" s="72" t="s">
        <v>865</v>
      </c>
    </row>
    <row r="6" spans="3:14" ht="15.75">
      <c r="C6" s="76" t="str">
        <f>[1]LAPORAN!C9</f>
        <v>BALI</v>
      </c>
      <c r="D6" s="4">
        <f>LAPORAN!D9</f>
        <v>32</v>
      </c>
      <c r="E6" s="94">
        <f>LAPORAN!J9</f>
        <v>3</v>
      </c>
      <c r="F6" s="94">
        <f>LAPORAN!K9</f>
        <v>0</v>
      </c>
      <c r="G6" s="94">
        <f>LAPORAN!L9</f>
        <v>0</v>
      </c>
      <c r="H6" s="94">
        <f>LAPORAN!M9</f>
        <v>3</v>
      </c>
      <c r="I6" s="94">
        <f>LAPORAN!N9</f>
        <v>2</v>
      </c>
      <c r="J6" s="94">
        <f>LAPORAN!O9</f>
        <v>1</v>
      </c>
      <c r="K6" s="94">
        <f>LAPORAN!P9</f>
        <v>13</v>
      </c>
      <c r="L6" s="40">
        <f>LAPORAN!Q9</f>
        <v>0.43333333333333335</v>
      </c>
      <c r="M6" s="40">
        <f>LAPORAN!R9</f>
        <v>0.68421052631578949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65</v>
      </c>
      <c r="E7" s="94">
        <f>LAPORAN!J10</f>
        <v>16</v>
      </c>
      <c r="F7" s="94">
        <f>LAPORAN!K10</f>
        <v>0</v>
      </c>
      <c r="G7" s="94">
        <f>LAPORAN!L10</f>
        <v>0</v>
      </c>
      <c r="H7" s="94">
        <f>LAPORAN!M10</f>
        <v>7</v>
      </c>
      <c r="I7" s="94">
        <f>LAPORAN!N10</f>
        <v>1</v>
      </c>
      <c r="J7" s="94">
        <f>LAPORAN!O10</f>
        <v>2</v>
      </c>
      <c r="K7" s="94">
        <f>LAPORAN!P10</f>
        <v>36</v>
      </c>
      <c r="L7" s="40">
        <f>LAPORAN!Q10</f>
        <v>0.5625</v>
      </c>
      <c r="M7" s="40">
        <f>LAPORAN!R10</f>
        <v>0.78260869565217395</v>
      </c>
      <c r="N7" s="40">
        <f>LAPORAN!S10</f>
        <v>1</v>
      </c>
    </row>
    <row r="8" spans="3:14" ht="15.75">
      <c r="C8" s="76" t="str">
        <f>[1]LAPORAN!C11</f>
        <v>JATIM TIMUR</v>
      </c>
      <c r="D8" s="4">
        <f>LAPORAN!D11</f>
        <v>48</v>
      </c>
      <c r="E8" s="94">
        <f>LAPORAN!J11</f>
        <v>11</v>
      </c>
      <c r="F8" s="94">
        <f>LAPORAN!K11</f>
        <v>0</v>
      </c>
      <c r="G8" s="94">
        <f>LAPORAN!L11</f>
        <v>0</v>
      </c>
      <c r="H8" s="94">
        <f>LAPORAN!M11</f>
        <v>2</v>
      </c>
      <c r="I8" s="94">
        <f>LAPORAN!N11</f>
        <v>0</v>
      </c>
      <c r="J8" s="94">
        <f>LAPORAN!O11</f>
        <v>0</v>
      </c>
      <c r="K8" s="94">
        <f>LAPORAN!P11</f>
        <v>27</v>
      </c>
      <c r="L8" s="40">
        <f>LAPORAN!Q11</f>
        <v>0.62790697674418605</v>
      </c>
      <c r="M8" s="40">
        <f>LAPORAN!R11</f>
        <v>0.93103448275862066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85</v>
      </c>
      <c r="E9" s="94">
        <f>LAPORAN!J12</f>
        <v>21</v>
      </c>
      <c r="F9" s="94">
        <f>LAPORAN!K12</f>
        <v>2</v>
      </c>
      <c r="G9" s="94">
        <f>LAPORAN!L12</f>
        <v>1</v>
      </c>
      <c r="H9" s="94">
        <f>LAPORAN!M12</f>
        <v>17</v>
      </c>
      <c r="I9" s="94">
        <f>LAPORAN!N12</f>
        <v>1</v>
      </c>
      <c r="J9" s="94">
        <f>LAPORAN!O12</f>
        <v>2</v>
      </c>
      <c r="K9" s="94">
        <f>LAPORAN!P12</f>
        <v>34</v>
      </c>
      <c r="L9" s="40">
        <f>LAPORAN!Q12</f>
        <v>0.42499999999999999</v>
      </c>
      <c r="M9" s="40">
        <f>LAPORAN!R12</f>
        <v>0.62962962962962965</v>
      </c>
      <c r="N9" s="40">
        <f>LAPORAN!S12</f>
        <v>1</v>
      </c>
    </row>
    <row r="10" spans="3:14" ht="15.75">
      <c r="C10" s="76" t="str">
        <f>[1]LAPORAN!C13</f>
        <v>SURAMADU</v>
      </c>
      <c r="D10" s="4">
        <f>LAPORAN!D13</f>
        <v>55</v>
      </c>
      <c r="E10" s="94">
        <f>LAPORAN!J13</f>
        <v>20</v>
      </c>
      <c r="F10" s="94">
        <f>LAPORAN!K13</f>
        <v>0</v>
      </c>
      <c r="G10" s="94">
        <f>LAPORAN!L13</f>
        <v>0</v>
      </c>
      <c r="H10" s="94">
        <f>LAPORAN!M13</f>
        <v>3</v>
      </c>
      <c r="I10" s="94">
        <f>LAPORAN!N13</f>
        <v>0</v>
      </c>
      <c r="J10" s="94">
        <f>LAPORAN!O13</f>
        <v>0</v>
      </c>
      <c r="K10" s="94">
        <f>LAPORAN!P13</f>
        <v>25</v>
      </c>
      <c r="L10" s="40">
        <f>LAPORAN!Q13</f>
        <v>0.5</v>
      </c>
      <c r="M10" s="40">
        <f>LAPORAN!R13</f>
        <v>0.8928571428571429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285</v>
      </c>
      <c r="E11" s="96">
        <f>LAPORAN!J14</f>
        <v>71</v>
      </c>
      <c r="F11" s="96">
        <f>LAPORAN!K14</f>
        <v>2</v>
      </c>
      <c r="G11" s="96">
        <f>LAPORAN!L14</f>
        <v>1</v>
      </c>
      <c r="H11" s="96">
        <f>LAPORAN!M14</f>
        <v>32</v>
      </c>
      <c r="I11" s="96">
        <f>LAPORAN!N14</f>
        <v>4</v>
      </c>
      <c r="J11" s="96">
        <f>LAPORAN!O14</f>
        <v>5</v>
      </c>
      <c r="K11" s="96">
        <f>LAPORAN!P14</f>
        <v>135</v>
      </c>
      <c r="L11" s="97">
        <f>LAPORAN!Q14</f>
        <v>0.5056179775280899</v>
      </c>
      <c r="M11" s="97">
        <f>LAPORAN!R14</f>
        <v>0.76704545454545459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1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1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100</v>
      </c>
      <c r="AH7">
        <f>IFERROR(VLOOKUP(C7,'COPY DATA XPRO'!$C$7:$AI$58,32,FALSE),0)</f>
        <v>50</v>
      </c>
      <c r="AI7">
        <f>IFERROR(VLOOKUP(C7,'COPY DATA XPRO'!$C$7:$AI$58,33,FALSE),0)</f>
        <v>50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3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1</v>
      </c>
      <c r="O9">
        <f>IFERROR(VLOOKUP(C9,'COPY DATA XPRO'!$C$7:$AI$58,13,FALSE),0)</f>
        <v>0</v>
      </c>
      <c r="P9">
        <f>IFERROR(VLOOKUP(C9,'COPY DATA XPRO'!$C$7:$AI$58,14,FALSE),0)</f>
        <v>1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100</v>
      </c>
      <c r="AH9">
        <f>IFERROR(VLOOKUP(C9,'COPY DATA XPRO'!$C$7:$AI$58,32,FALSE),0)</f>
        <v>66.67</v>
      </c>
      <c r="AI9">
        <f>IFERROR(VLOOKUP(C9,'COPY DATA XPRO'!$C$7:$AI$58,33,FALSE),0)</f>
        <v>66.67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5</v>
      </c>
      <c r="F10">
        <f>IFERROR(VLOOKUP(C10,'COPY DATA XPRO'!$C$7:$AI$58,4,FALSE),0)</f>
        <v>2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40</v>
      </c>
      <c r="AH10">
        <f>IFERROR(VLOOKUP(C10,'COPY DATA XPRO'!$C$7:$AI$58,32,FALSE),0)</f>
        <v>40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7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1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3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57.14</v>
      </c>
      <c r="AH11">
        <f>IFERROR(VLOOKUP(C11,'COPY DATA XPRO'!$C$7:$AI$58,32,FALSE),0)</f>
        <v>50</v>
      </c>
      <c r="AI11">
        <f>IFERROR(VLOOKUP(C11,'COPY DATA XPRO'!$C$7:$AI$58,33,FALSE),0)</f>
        <v>75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8</v>
      </c>
      <c r="F13">
        <f>IFERROR(VLOOKUP(C13,'COPY DATA XPRO'!$C$7:$AI$58,4,FALSE),0)</f>
        <v>1</v>
      </c>
      <c r="G13">
        <f>IFERROR(VLOOKUP(C13,'COPY DATA XPRO'!$C$7:$AI$58,5,FALSE),0)</f>
        <v>1</v>
      </c>
      <c r="H13">
        <f>IFERROR(VLOOKUP(C13,'COPY DATA XPRO'!$C$7:$AI$58,6,FALSE),0)</f>
        <v>2</v>
      </c>
      <c r="I13">
        <f>IFERROR(VLOOKUP(C13,'COPY DATA XPRO'!$C$7:$AI$58,7,FALSE),0)</f>
        <v>1</v>
      </c>
      <c r="J13">
        <f>IFERROR(VLOOKUP(C13,'COPY DATA XPRO'!$C$7:$AI$58,8,FALSE),0)</f>
        <v>1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1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25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7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1</v>
      </c>
      <c r="Z14">
        <f>IFERROR(VLOOKUP(C14,'COPY DATA XPRO'!$C$7:$AI$58,24,FALSE),0)</f>
        <v>5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85.71</v>
      </c>
      <c r="AH14">
        <f>IFERROR(VLOOKUP(C14,'COPY DATA XPRO'!$C$7:$AI$58,32,FALSE),0)</f>
        <v>71.430000000000007</v>
      </c>
      <c r="AI14">
        <f>IFERROR(VLOOKUP(C14,'COPY DATA XPRO'!$C$7:$AI$58,33,FALSE),0)</f>
        <v>83.33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3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1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66.67</v>
      </c>
      <c r="AH15">
        <f>IFERROR(VLOOKUP(C15,'COPY DATA XPRO'!$C$7:$AI$58,32,FALSE),0)</f>
        <v>66.67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3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1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1</v>
      </c>
      <c r="Q16">
        <f>IFERROR(VLOOKUP(C16,'COPY DATA XPRO'!$C$7:$AI$58,15,FALSE),0)</f>
        <v>0</v>
      </c>
      <c r="R16">
        <f>IFERROR(VLOOKUP(C16,'COPY DATA XPRO'!$C$7:$AI$58,16,FALSE),0)</f>
        <v>1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1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66.67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2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3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66.67</v>
      </c>
      <c r="AH17">
        <f>IFERROR(VLOOKUP(C17,'COPY DATA XPRO'!$C$7:$AI$58,32,FALSE),0)</f>
        <v>50</v>
      </c>
      <c r="AI17">
        <f>IFERROR(VLOOKUP(C17,'COPY DATA XPRO'!$C$7:$AI$58,33,FALSE),0)</f>
        <v>75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8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1</v>
      </c>
      <c r="AG18">
        <f>IFERROR(VLOOKUP(C18,'COPY DATA XPRO'!$C$7:$AI$58,31,FALSE),0)</f>
        <v>88.89</v>
      </c>
      <c r="AH18">
        <f>IFERROR(VLOOKUP(C18,'COPY DATA XPRO'!$C$7:$AI$58,32,FALSE),0)</f>
        <v>100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19</v>
      </c>
      <c r="F19">
        <f>IFERROR(VLOOKUP(C19,'COPY DATA XPRO'!$C$7:$AI$58,4,FALSE),0)</f>
        <v>1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5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1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1</v>
      </c>
      <c r="Z19">
        <f>IFERROR(VLOOKUP(C19,'COPY DATA XPRO'!$C$7:$AI$58,24,FALSE),0)</f>
        <v>11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68.42</v>
      </c>
      <c r="AH19">
        <f>IFERROR(VLOOKUP(C19,'COPY DATA XPRO'!$C$7:$AI$58,32,FALSE),0)</f>
        <v>57.89</v>
      </c>
      <c r="AI19">
        <f>IFERROR(VLOOKUP(C19,'COPY DATA XPRO'!$C$7:$AI$58,33,FALSE),0)</f>
        <v>84.62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1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1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50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8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2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1</v>
      </c>
      <c r="Z21">
        <f>IFERROR(VLOOKUP(C21,'COPY DATA XPRO'!$C$7:$AI$58,24,FALSE),0)</f>
        <v>4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62.5</v>
      </c>
      <c r="AH21">
        <f>IFERROR(VLOOKUP(C21,'COPY DATA XPRO'!$C$7:$AI$58,32,FALSE),0)</f>
        <v>50</v>
      </c>
      <c r="AI21">
        <f>IFERROR(VLOOKUP(C21,'COPY DATA XPRO'!$C$7:$AI$58,33,FALSE),0)</f>
        <v>80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8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3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3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4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87.5</v>
      </c>
      <c r="AH22">
        <f>IFERROR(VLOOKUP(C22,'COPY DATA XPRO'!$C$7:$AI$58,32,FALSE),0)</f>
        <v>50</v>
      </c>
      <c r="AI22">
        <f>IFERROR(VLOOKUP(C22,'COPY DATA XPRO'!$C$7:$AI$58,33,FALSE),0)</f>
        <v>57.14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100</v>
      </c>
      <c r="AH23">
        <f>IFERROR(VLOOKUP(C23,'COPY DATA XPRO'!$C$7:$AI$58,32,FALSE),0)</f>
        <v>100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4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3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25</v>
      </c>
      <c r="AH25">
        <f>IFERROR(VLOOKUP(C25,'COPY DATA XPRO'!$C$7:$AI$58,32,FALSE),0)</f>
        <v>25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6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4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66.67</v>
      </c>
      <c r="AH27">
        <f>IFERROR(VLOOKUP(C27,'COPY DATA XPRO'!$C$7:$AI$58,32,FALSE),0)</f>
        <v>66.67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11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4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3</v>
      </c>
      <c r="AA29">
        <f>IFERROR(VLOOKUP(C29,'COPY DATA XPRO'!$C$7:$AI$58,25,FALSE),0)</f>
        <v>1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1</v>
      </c>
      <c r="AG29">
        <f>IFERROR(VLOOKUP(C29,'COPY DATA XPRO'!$C$7:$AI$58,31,FALSE),0)</f>
        <v>45.45</v>
      </c>
      <c r="AH29">
        <f>IFERROR(VLOOKUP(C29,'COPY DATA XPRO'!$C$7:$AI$58,32,FALSE),0)</f>
        <v>30</v>
      </c>
      <c r="AI29">
        <f>IFERROR(VLOOKUP(C29,'COPY DATA XPRO'!$C$7:$AI$58,33,FALSE),0)</f>
        <v>75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66.67</v>
      </c>
      <c r="AH30">
        <f>IFERROR(VLOOKUP(C30,'COPY DATA XPRO'!$C$7:$AI$58,32,FALSE),0)</f>
        <v>66.67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9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9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100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1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6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1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66.67</v>
      </c>
      <c r="AH33">
        <f>IFERROR(VLOOKUP(C33,'COPY DATA XPRO'!$C$7:$AI$58,32,FALSE),0)</f>
        <v>50</v>
      </c>
      <c r="AI33">
        <f>IFERROR(VLOOKUP(C33,'COPY DATA XPRO'!$C$7:$AI$58,33,FALSE),0)</f>
        <v>75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9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3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33.33</v>
      </c>
      <c r="AH34">
        <f>IFERROR(VLOOKUP(C34,'COPY DATA XPRO'!$C$7:$AI$58,32,FALSE),0)</f>
        <v>60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1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100</v>
      </c>
      <c r="AH35">
        <f>IFERROR(VLOOKUP(C35,'COPY DATA XPRO'!$C$7:$AI$58,32,FALSE),0)</f>
        <v>100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2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50</v>
      </c>
      <c r="AH37">
        <f>IFERROR(VLOOKUP(C37,'COPY DATA XPRO'!$C$7:$AI$58,32,FALSE),0)</f>
        <v>50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8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1</v>
      </c>
      <c r="Z38">
        <f>IFERROR(VLOOKUP(C38,'COPY DATA XPRO'!$C$7:$AI$58,24,FALSE),0)</f>
        <v>4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</v>
      </c>
      <c r="AG38">
        <f>IFERROR(VLOOKUP(C38,'COPY DATA XPRO'!$C$7:$AI$58,31,FALSE),0)</f>
        <v>62.5</v>
      </c>
      <c r="AH38">
        <f>IFERROR(VLOOKUP(C38,'COPY DATA XPRO'!$C$7:$AI$58,32,FALSE),0)</f>
        <v>57.14</v>
      </c>
      <c r="AI38">
        <f>IFERROR(VLOOKUP(C38,'COPY DATA XPRO'!$C$7:$AI$58,33,FALSE),0)</f>
        <v>80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15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4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2</v>
      </c>
      <c r="N40">
        <f>IFERROR(VLOOKUP(C40,'COPY DATA XPRO'!$C$7:$AI$58,12,FALSE),0)</f>
        <v>1</v>
      </c>
      <c r="O40">
        <f>IFERROR(VLOOKUP(C40,'COPY DATA XPRO'!$C$7:$AI$58,13,FALSE),0)</f>
        <v>0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6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60</v>
      </c>
      <c r="AH40">
        <f>IFERROR(VLOOKUP(C40,'COPY DATA XPRO'!$C$7:$AI$58,32,FALSE),0)</f>
        <v>42.86</v>
      </c>
      <c r="AI40">
        <f>IFERROR(VLOOKUP(C40,'COPY DATA XPRO'!$C$7:$AI$58,33,FALSE),0)</f>
        <v>66.67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9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1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2</v>
      </c>
      <c r="N41">
        <f>IFERROR(VLOOKUP(C41,'COPY DATA XPRO'!$C$7:$AI$58,12,FALSE),0)</f>
        <v>5</v>
      </c>
      <c r="O41">
        <f>IFERROR(VLOOKUP(C41,'COPY DATA XPRO'!$C$7:$AI$58,13,FALSE),0)</f>
        <v>0</v>
      </c>
      <c r="P41">
        <f>IFERROR(VLOOKUP(C41,'COPY DATA XPRO'!$C$7:$AI$58,14,FALSE),0)</f>
        <v>7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1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88.89</v>
      </c>
      <c r="AH41">
        <f>IFERROR(VLOOKUP(C41,'COPY DATA XPRO'!$C$7:$AI$58,32,FALSE),0)</f>
        <v>11.11</v>
      </c>
      <c r="AI41">
        <f>IFERROR(VLOOKUP(C41,'COPY DATA XPRO'!$C$7:$AI$58,33,FALSE),0)</f>
        <v>12.5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3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1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1</v>
      </c>
      <c r="Y42">
        <f>IFERROR(VLOOKUP(C42,'COPY DATA XPRO'!$C$7:$AI$58,23,FALSE),0)</f>
        <v>1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100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13</v>
      </c>
      <c r="F43">
        <f>IFERROR(VLOOKUP(C43,'COPY DATA XPRO'!$C$7:$AI$58,4,FALSE),0)</f>
        <v>0</v>
      </c>
      <c r="G43">
        <f>IFERROR(VLOOKUP(C43,'COPY DATA XPRO'!$C$7:$AI$58,5,FALSE),0)</f>
        <v>1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5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5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46.15</v>
      </c>
      <c r="AH43">
        <f>IFERROR(VLOOKUP(C43,'COPY DATA XPRO'!$C$7:$AI$58,32,FALSE),0)</f>
        <v>41.67</v>
      </c>
      <c r="AI43">
        <f>IFERROR(VLOOKUP(C43,'COPY DATA XPRO'!$C$7:$AI$58,33,FALSE),0)</f>
        <v>83.33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15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5</v>
      </c>
      <c r="K44">
        <f>IFERROR(VLOOKUP(C44,'COPY DATA XPRO'!$C$7:$AI$58,9,FALSE),0)</f>
        <v>0</v>
      </c>
      <c r="L44">
        <f>IFERROR(VLOOKUP(C44,'COPY DATA XPRO'!$C$7:$AI$58,10,FALSE),0)</f>
        <v>1</v>
      </c>
      <c r="M44">
        <f>IFERROR(VLOOKUP(C44,'COPY DATA XPRO'!$C$7:$AI$58,11,FALSE),0)</f>
        <v>1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2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7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60</v>
      </c>
      <c r="AH44">
        <f>IFERROR(VLOOKUP(C44,'COPY DATA XPRO'!$C$7:$AI$58,32,FALSE),0)</f>
        <v>46.67</v>
      </c>
      <c r="AI44">
        <f>IFERROR(VLOOKUP(C44,'COPY DATA XPRO'!$C$7:$AI$58,33,FALSE),0)</f>
        <v>77.78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4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3</v>
      </c>
      <c r="O45">
        <f>IFERROR(VLOOKUP(C45,'COPY DATA XPRO'!$C$7:$AI$58,13,FALSE),0)</f>
        <v>0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1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100</v>
      </c>
      <c r="AH45">
        <f>IFERROR(VLOOKUP(C45,'COPY DATA XPRO'!$C$7:$AI$58,32,FALSE),0)</f>
        <v>25</v>
      </c>
      <c r="AI45">
        <f>IFERROR(VLOOKUP(C45,'COPY DATA XPRO'!$C$7:$AI$58,33,FALSE),0)</f>
        <v>25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14</v>
      </c>
      <c r="F46">
        <f>IFERROR(VLOOKUP(C46,'COPY DATA XPRO'!$C$7:$AI$58,4,FALSE),0)</f>
        <v>0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9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2</v>
      </c>
      <c r="AG46">
        <f>IFERROR(VLOOKUP(C46,'COPY DATA XPRO'!$C$7:$AI$58,31,FALSE),0)</f>
        <v>64.290000000000006</v>
      </c>
      <c r="AH46">
        <f>IFERROR(VLOOKUP(C46,'COPY DATA XPRO'!$C$7:$AI$58,32,FALSE),0)</f>
        <v>75</v>
      </c>
      <c r="AI46">
        <f>IFERROR(VLOOKUP(C46,'COPY DATA XPRO'!$C$7:$AI$58,33,FALSE),0)</f>
        <v>100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1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4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1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1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25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10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4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5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</v>
      </c>
      <c r="AG50">
        <f>IFERROR(VLOOKUP(C50,'COPY DATA XPRO'!$C$7:$AI$58,31,FALSE),0)</f>
        <v>50</v>
      </c>
      <c r="AH50">
        <f>IFERROR(VLOOKUP(C50,'COPY DATA XPRO'!$C$7:$AI$58,32,FALSE),0)</f>
        <v>55.56</v>
      </c>
      <c r="AI50">
        <f>IFERROR(VLOOKUP(C50,'COPY DATA XPRO'!$C$7:$AI$58,33,FALSE),0)</f>
        <v>100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5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2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</v>
      </c>
      <c r="AG51">
        <f>IFERROR(VLOOKUP(C51,'COPY DATA XPRO'!$C$7:$AI$58,31,FALSE),0)</f>
        <v>40</v>
      </c>
      <c r="AH51">
        <f>IFERROR(VLOOKUP(C51,'COPY DATA XPRO'!$C$7:$AI$58,32,FALSE),0)</f>
        <v>50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6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2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</v>
      </c>
      <c r="AG52">
        <f>IFERROR(VLOOKUP(C52,'COPY DATA XPRO'!$C$7:$AI$58,31,FALSE),0)</f>
        <v>33.33</v>
      </c>
      <c r="AH52">
        <f>IFERROR(VLOOKUP(C52,'COPY DATA XPRO'!$C$7:$AI$58,32,FALSE),0)</f>
        <v>40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1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3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80</v>
      </c>
      <c r="AH53">
        <f>IFERROR(VLOOKUP(C53,'COPY DATA XPRO'!$C$7:$AI$58,32,FALSE),0)</f>
        <v>75</v>
      </c>
      <c r="AI53">
        <f>IFERROR(VLOOKUP(C53,'COPY DATA XPRO'!$C$7:$AI$58,33,FALSE),0)</f>
        <v>75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18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1</v>
      </c>
      <c r="I54">
        <f>IFERROR(VLOOKUP(C54,'COPY DATA XPRO'!$C$7:$AI$58,7,FALSE),0)</f>
        <v>0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12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66.67</v>
      </c>
      <c r="AH54">
        <f>IFERROR(VLOOKUP(C54,'COPY DATA XPRO'!$C$7:$AI$58,32,FALSE),0)</f>
        <v>66.67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1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6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3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1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1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1</v>
      </c>
      <c r="AG56">
        <f>IFERROR(VLOOKUP(C56,'COPY DATA XPRO'!$C$7:$AI$58,31,FALSE),0)</f>
        <v>33.33</v>
      </c>
      <c r="AH56">
        <f>IFERROR(VLOOKUP(C56,'COPY DATA XPRO'!$C$7:$AI$58,32,FALSE),0)</f>
        <v>20</v>
      </c>
      <c r="AI56">
        <f>IFERROR(VLOOKUP(C56,'COPY DATA XPRO'!$C$7:$AI$58,33,FALSE),0)</f>
        <v>50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1" zoomScale="60" zoomScaleNormal="60" workbookViewId="0">
      <selection activeCell="AO43" sqref="AO43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100</v>
      </c>
      <c r="AH7">
        <v>50</v>
      </c>
      <c r="AI7">
        <v>50</v>
      </c>
    </row>
    <row r="8" spans="2:35">
      <c r="C8" t="s">
        <v>81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66.67</v>
      </c>
      <c r="AI8">
        <v>66.67</v>
      </c>
    </row>
    <row r="9" spans="2:35">
      <c r="C9" t="s">
        <v>82</v>
      </c>
      <c r="D9">
        <v>0</v>
      </c>
      <c r="E9">
        <v>5</v>
      </c>
      <c r="F9">
        <v>2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40</v>
      </c>
      <c r="AH9">
        <v>40</v>
      </c>
      <c r="AI9">
        <v>100</v>
      </c>
    </row>
    <row r="10" spans="2:35">
      <c r="C10" t="s">
        <v>83</v>
      </c>
      <c r="D10">
        <v>0</v>
      </c>
      <c r="E10">
        <v>7</v>
      </c>
      <c r="F10">
        <v>1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1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3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57.14</v>
      </c>
      <c r="AH10">
        <v>50</v>
      </c>
      <c r="AI10">
        <v>75</v>
      </c>
    </row>
    <row r="11" spans="2:35">
      <c r="C11" t="s">
        <v>85</v>
      </c>
      <c r="D11">
        <v>0</v>
      </c>
      <c r="E11">
        <v>8</v>
      </c>
      <c r="F11">
        <v>1</v>
      </c>
      <c r="G11">
        <v>1</v>
      </c>
      <c r="H11">
        <v>2</v>
      </c>
      <c r="I11">
        <v>1</v>
      </c>
      <c r="J11">
        <v>1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25</v>
      </c>
      <c r="AH11">
        <v>0</v>
      </c>
      <c r="AI11">
        <v>0</v>
      </c>
    </row>
    <row r="12" spans="2:35">
      <c r="C12" t="s">
        <v>86</v>
      </c>
      <c r="D12">
        <v>0</v>
      </c>
      <c r="E12">
        <v>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85.71</v>
      </c>
      <c r="AH12">
        <v>71.430000000000007</v>
      </c>
      <c r="AI12">
        <v>83.33</v>
      </c>
    </row>
    <row r="16" spans="2:35">
      <c r="B16" t="s">
        <v>38</v>
      </c>
      <c r="C16" t="s">
        <v>87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66.67</v>
      </c>
      <c r="AH16">
        <v>66.67</v>
      </c>
      <c r="AI16">
        <v>100</v>
      </c>
    </row>
    <row r="17" spans="2:35">
      <c r="C17" t="s">
        <v>88</v>
      </c>
      <c r="D17">
        <v>0</v>
      </c>
      <c r="E17">
        <v>3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1</v>
      </c>
      <c r="N17">
        <v>0</v>
      </c>
      <c r="O17">
        <v>0</v>
      </c>
      <c r="P17">
        <v>1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66.67</v>
      </c>
      <c r="AH17">
        <v>0</v>
      </c>
      <c r="AI17">
        <v>0</v>
      </c>
    </row>
    <row r="18" spans="2:35">
      <c r="C18" t="s">
        <v>89</v>
      </c>
      <c r="D18">
        <v>0</v>
      </c>
      <c r="E18">
        <v>6</v>
      </c>
      <c r="F18">
        <v>0</v>
      </c>
      <c r="G18">
        <v>0</v>
      </c>
      <c r="H18"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3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66.67</v>
      </c>
      <c r="AH18">
        <v>50</v>
      </c>
      <c r="AI18">
        <v>75</v>
      </c>
    </row>
    <row r="19" spans="2:35">
      <c r="C19" t="s">
        <v>90</v>
      </c>
      <c r="D19">
        <v>0</v>
      </c>
      <c r="E19">
        <v>9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8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88.89</v>
      </c>
      <c r="AH19">
        <v>100</v>
      </c>
      <c r="AI19">
        <v>100</v>
      </c>
    </row>
    <row r="20" spans="2:35">
      <c r="C20" t="s">
        <v>91</v>
      </c>
      <c r="D20">
        <v>0</v>
      </c>
      <c r="E20">
        <v>19</v>
      </c>
      <c r="F20">
        <v>1</v>
      </c>
      <c r="G20">
        <v>0</v>
      </c>
      <c r="H20">
        <v>0</v>
      </c>
      <c r="I20">
        <v>0</v>
      </c>
      <c r="J20">
        <v>5</v>
      </c>
      <c r="K20">
        <v>0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11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68.42</v>
      </c>
      <c r="AH20">
        <v>57.89</v>
      </c>
      <c r="AI20">
        <v>84.62</v>
      </c>
    </row>
    <row r="21" spans="2:35">
      <c r="C21" t="s">
        <v>92</v>
      </c>
      <c r="D21">
        <v>0</v>
      </c>
      <c r="E21">
        <v>2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50</v>
      </c>
      <c r="AH21">
        <v>0</v>
      </c>
      <c r="AI21">
        <v>0</v>
      </c>
    </row>
    <row r="22" spans="2:35">
      <c r="C22" t="s">
        <v>93</v>
      </c>
      <c r="D22">
        <v>0</v>
      </c>
      <c r="E22">
        <v>8</v>
      </c>
      <c r="F22">
        <v>0</v>
      </c>
      <c r="G22">
        <v>0</v>
      </c>
      <c r="H22">
        <v>0</v>
      </c>
      <c r="I22">
        <v>0</v>
      </c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4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62.5</v>
      </c>
      <c r="AH22">
        <v>50</v>
      </c>
      <c r="AI22">
        <v>80</v>
      </c>
    </row>
    <row r="23" spans="2:35">
      <c r="C23" t="s">
        <v>94</v>
      </c>
      <c r="D23">
        <v>0</v>
      </c>
      <c r="E23">
        <v>8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3</v>
      </c>
      <c r="N23">
        <v>0</v>
      </c>
      <c r="O23">
        <v>0</v>
      </c>
      <c r="P23">
        <v>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87.5</v>
      </c>
      <c r="AH23">
        <v>50</v>
      </c>
      <c r="AI23">
        <v>57.14</v>
      </c>
    </row>
    <row r="24" spans="2:35">
      <c r="C24" t="s">
        <v>95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100</v>
      </c>
      <c r="AH24">
        <v>100</v>
      </c>
      <c r="AI24">
        <v>100</v>
      </c>
    </row>
    <row r="25" spans="2:35">
      <c r="C25" t="s">
        <v>96</v>
      </c>
      <c r="D25">
        <v>0</v>
      </c>
      <c r="E25">
        <v>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4</v>
      </c>
      <c r="F26">
        <v>0</v>
      </c>
      <c r="G26">
        <v>0</v>
      </c>
      <c r="H26">
        <v>0</v>
      </c>
      <c r="I26">
        <v>0</v>
      </c>
      <c r="J26">
        <v>3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25</v>
      </c>
      <c r="AH26">
        <v>25</v>
      </c>
      <c r="AI26">
        <v>100</v>
      </c>
    </row>
    <row r="27" spans="2:35">
      <c r="C27" t="s">
        <v>98</v>
      </c>
      <c r="D27">
        <v>0</v>
      </c>
      <c r="E27">
        <v>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6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4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66.67</v>
      </c>
      <c r="AH28">
        <v>66.67</v>
      </c>
      <c r="AI28">
        <v>100</v>
      </c>
    </row>
    <row r="29" spans="2:35">
      <c r="C29" t="s">
        <v>100</v>
      </c>
      <c r="D29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11</v>
      </c>
      <c r="F30">
        <v>0</v>
      </c>
      <c r="G30">
        <v>0</v>
      </c>
      <c r="H30">
        <v>0</v>
      </c>
      <c r="I30">
        <v>0</v>
      </c>
      <c r="J30">
        <v>4</v>
      </c>
      <c r="K30">
        <v>0</v>
      </c>
      <c r="L30">
        <v>0</v>
      </c>
      <c r="M30">
        <v>1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3</v>
      </c>
      <c r="AA30">
        <v>1</v>
      </c>
      <c r="AB30">
        <v>0</v>
      </c>
      <c r="AC30">
        <v>0</v>
      </c>
      <c r="AD30">
        <v>0</v>
      </c>
      <c r="AE30">
        <v>1</v>
      </c>
      <c r="AF30">
        <v>1</v>
      </c>
      <c r="AG30">
        <v>45.45</v>
      </c>
      <c r="AH30">
        <v>30</v>
      </c>
      <c r="AI30">
        <v>75</v>
      </c>
    </row>
    <row r="31" spans="2:35">
      <c r="C31" t="s">
        <v>102</v>
      </c>
      <c r="D31">
        <v>0</v>
      </c>
      <c r="E31">
        <v>3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66.67</v>
      </c>
      <c r="AH31">
        <v>66.67</v>
      </c>
      <c r="AI31">
        <v>100</v>
      </c>
    </row>
    <row r="32" spans="2:35">
      <c r="C32" t="s">
        <v>103</v>
      </c>
      <c r="D32">
        <v>0</v>
      </c>
      <c r="E32">
        <v>9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9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3" spans="2:35">
      <c r="C33" t="s">
        <v>104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</row>
    <row r="34" spans="2:35">
      <c r="C34" t="s">
        <v>105</v>
      </c>
      <c r="D34">
        <v>0</v>
      </c>
      <c r="E34">
        <v>6</v>
      </c>
      <c r="F34">
        <v>0</v>
      </c>
      <c r="G34">
        <v>0</v>
      </c>
      <c r="H34">
        <v>0</v>
      </c>
      <c r="I34">
        <v>0</v>
      </c>
      <c r="J34">
        <v>2</v>
      </c>
      <c r="K34">
        <v>0</v>
      </c>
      <c r="L34">
        <v>0</v>
      </c>
      <c r="M34">
        <v>1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66.67</v>
      </c>
      <c r="AH34">
        <v>50</v>
      </c>
      <c r="AI34">
        <v>75</v>
      </c>
    </row>
    <row r="35" spans="2:35">
      <c r="C35" t="s">
        <v>106</v>
      </c>
      <c r="D35">
        <v>0</v>
      </c>
      <c r="E35">
        <v>9</v>
      </c>
      <c r="F35">
        <v>0</v>
      </c>
      <c r="G35">
        <v>0</v>
      </c>
      <c r="H35">
        <v>0</v>
      </c>
      <c r="I35">
        <v>4</v>
      </c>
      <c r="J35">
        <v>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3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33.33</v>
      </c>
      <c r="AH35">
        <v>60</v>
      </c>
      <c r="AI35">
        <v>100</v>
      </c>
    </row>
    <row r="36" spans="2:35">
      <c r="C36" t="s">
        <v>107</v>
      </c>
      <c r="D36">
        <v>0</v>
      </c>
      <c r="E36">
        <v>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100</v>
      </c>
      <c r="AH36">
        <v>100</v>
      </c>
      <c r="AI36">
        <v>100</v>
      </c>
    </row>
    <row r="37" spans="2:35">
      <c r="C37" t="s">
        <v>108</v>
      </c>
      <c r="D37">
        <v>0</v>
      </c>
      <c r="E37">
        <v>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2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50</v>
      </c>
      <c r="AH38">
        <v>50</v>
      </c>
      <c r="AI38">
        <v>100</v>
      </c>
    </row>
    <row r="39" spans="2:35">
      <c r="C39" t="s">
        <v>110</v>
      </c>
      <c r="D39">
        <v>0</v>
      </c>
      <c r="E39">
        <v>8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4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62.5</v>
      </c>
      <c r="AH39">
        <v>57.14</v>
      </c>
      <c r="AI39">
        <v>80</v>
      </c>
    </row>
    <row r="40" spans="2:35">
      <c r="C40" t="s">
        <v>111</v>
      </c>
      <c r="D40">
        <v>0</v>
      </c>
      <c r="E40">
        <v>1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</row>
    <row r="41" spans="2:35">
      <c r="C41" t="s">
        <v>112</v>
      </c>
      <c r="D41">
        <v>0</v>
      </c>
      <c r="E41">
        <v>15</v>
      </c>
      <c r="F41">
        <v>0</v>
      </c>
      <c r="G41">
        <v>0</v>
      </c>
      <c r="H41">
        <v>0</v>
      </c>
      <c r="I41">
        <v>0</v>
      </c>
      <c r="J41">
        <v>4</v>
      </c>
      <c r="K41">
        <v>1</v>
      </c>
      <c r="L41">
        <v>0</v>
      </c>
      <c r="M41">
        <v>2</v>
      </c>
      <c r="N41">
        <v>1</v>
      </c>
      <c r="O41">
        <v>0</v>
      </c>
      <c r="P41">
        <v>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60</v>
      </c>
      <c r="AH41">
        <v>42.86</v>
      </c>
      <c r="AI41">
        <v>66.67</v>
      </c>
    </row>
    <row r="42" spans="2:35">
      <c r="C42" t="s">
        <v>113</v>
      </c>
      <c r="D42">
        <v>0</v>
      </c>
      <c r="E42">
        <v>9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2</v>
      </c>
      <c r="N42">
        <v>5</v>
      </c>
      <c r="O42">
        <v>0</v>
      </c>
      <c r="P42">
        <v>7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88.89</v>
      </c>
      <c r="AH42">
        <v>11.11</v>
      </c>
      <c r="AI42">
        <v>12.5</v>
      </c>
    </row>
    <row r="43" spans="2:35">
      <c r="C43" t="s">
        <v>114</v>
      </c>
      <c r="D43">
        <v>0</v>
      </c>
      <c r="E43">
        <v>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100</v>
      </c>
      <c r="AH43">
        <v>0</v>
      </c>
      <c r="AI43">
        <v>0</v>
      </c>
    </row>
    <row r="44" spans="2:35">
      <c r="C44" t="s">
        <v>115</v>
      </c>
      <c r="D44">
        <v>0</v>
      </c>
      <c r="E44">
        <v>13</v>
      </c>
      <c r="F44">
        <v>0</v>
      </c>
      <c r="G44">
        <v>1</v>
      </c>
      <c r="H44">
        <v>0</v>
      </c>
      <c r="I44">
        <v>0</v>
      </c>
      <c r="J44">
        <v>5</v>
      </c>
      <c r="K44">
        <v>1</v>
      </c>
      <c r="L44">
        <v>0</v>
      </c>
      <c r="M44">
        <v>0</v>
      </c>
      <c r="N44">
        <v>1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5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46.15</v>
      </c>
      <c r="AH44">
        <v>41.67</v>
      </c>
      <c r="AI44">
        <v>83.33</v>
      </c>
    </row>
    <row r="45" spans="2:35">
      <c r="C45" t="s">
        <v>116</v>
      </c>
      <c r="D45">
        <v>0</v>
      </c>
      <c r="E45">
        <v>15</v>
      </c>
      <c r="F45">
        <v>0</v>
      </c>
      <c r="G45">
        <v>0</v>
      </c>
      <c r="H45">
        <v>0</v>
      </c>
      <c r="I45">
        <v>0</v>
      </c>
      <c r="J45">
        <v>5</v>
      </c>
      <c r="K45">
        <v>0</v>
      </c>
      <c r="L45">
        <v>1</v>
      </c>
      <c r="M45">
        <v>1</v>
      </c>
      <c r="N45">
        <v>1</v>
      </c>
      <c r="O45">
        <v>0</v>
      </c>
      <c r="P45">
        <v>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7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60</v>
      </c>
      <c r="AH45">
        <v>46.67</v>
      </c>
      <c r="AI45">
        <v>77.78</v>
      </c>
    </row>
    <row r="46" spans="2:35">
      <c r="C46" t="s">
        <v>117</v>
      </c>
      <c r="D46">
        <v>0</v>
      </c>
      <c r="E46">
        <v>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3</v>
      </c>
      <c r="O46">
        <v>0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25</v>
      </c>
      <c r="AI46">
        <v>25</v>
      </c>
    </row>
    <row r="47" spans="2:35">
      <c r="C47" t="s">
        <v>118</v>
      </c>
      <c r="D47">
        <v>0</v>
      </c>
      <c r="E47">
        <v>14</v>
      </c>
      <c r="F47">
        <v>0</v>
      </c>
      <c r="G47">
        <v>1</v>
      </c>
      <c r="H47">
        <v>0</v>
      </c>
      <c r="I47">
        <v>0</v>
      </c>
      <c r="J47">
        <v>2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9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2</v>
      </c>
      <c r="AG47">
        <v>64.290000000000006</v>
      </c>
      <c r="AH47">
        <v>75</v>
      </c>
      <c r="AI47">
        <v>100</v>
      </c>
    </row>
    <row r="48" spans="2:35">
      <c r="C48" t="s">
        <v>120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</row>
    <row r="50" spans="2:35">
      <c r="B50" t="s">
        <v>55</v>
      </c>
      <c r="C50" t="s">
        <v>121</v>
      </c>
      <c r="D50">
        <v>0</v>
      </c>
      <c r="E50">
        <v>4</v>
      </c>
      <c r="F50">
        <v>0</v>
      </c>
      <c r="G50">
        <v>0</v>
      </c>
      <c r="H50">
        <v>1</v>
      </c>
      <c r="I50">
        <v>0</v>
      </c>
      <c r="J50">
        <v>2</v>
      </c>
      <c r="K50">
        <v>0</v>
      </c>
      <c r="L50">
        <v>0</v>
      </c>
      <c r="M50">
        <v>1</v>
      </c>
      <c r="N50">
        <v>0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25</v>
      </c>
      <c r="AH50">
        <v>0</v>
      </c>
      <c r="AI50">
        <v>0</v>
      </c>
    </row>
    <row r="51" spans="2:35">
      <c r="C51" t="s">
        <v>122</v>
      </c>
      <c r="D51">
        <v>0</v>
      </c>
      <c r="E51">
        <v>10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5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50</v>
      </c>
      <c r="AH51">
        <v>55.56</v>
      </c>
      <c r="AI51">
        <v>100</v>
      </c>
    </row>
    <row r="52" spans="2:35">
      <c r="C52" t="s">
        <v>123</v>
      </c>
      <c r="D52">
        <v>0</v>
      </c>
      <c r="E52">
        <v>5</v>
      </c>
      <c r="F52">
        <v>0</v>
      </c>
      <c r="G52">
        <v>0</v>
      </c>
      <c r="H52">
        <v>0</v>
      </c>
      <c r="I52">
        <v>0</v>
      </c>
      <c r="J52">
        <v>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40</v>
      </c>
      <c r="AH52">
        <v>50</v>
      </c>
      <c r="AI52">
        <v>100</v>
      </c>
    </row>
    <row r="53" spans="2:35">
      <c r="C53" t="s">
        <v>124</v>
      </c>
      <c r="D53">
        <v>0</v>
      </c>
      <c r="E53">
        <v>6</v>
      </c>
      <c r="F53">
        <v>0</v>
      </c>
      <c r="G53">
        <v>0</v>
      </c>
      <c r="H53">
        <v>0</v>
      </c>
      <c r="I53">
        <v>0</v>
      </c>
      <c r="J53">
        <v>3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33.33</v>
      </c>
      <c r="AH53">
        <v>40</v>
      </c>
      <c r="AI53">
        <v>100</v>
      </c>
    </row>
    <row r="54" spans="2:35">
      <c r="C54" t="s">
        <v>125</v>
      </c>
      <c r="D54">
        <v>0</v>
      </c>
      <c r="E54">
        <v>5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P54">
        <v>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3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80</v>
      </c>
      <c r="AH54">
        <v>75</v>
      </c>
      <c r="AI54">
        <v>75</v>
      </c>
    </row>
    <row r="55" spans="2:35">
      <c r="C55" t="s">
        <v>126</v>
      </c>
      <c r="D55">
        <v>0</v>
      </c>
      <c r="E55">
        <v>18</v>
      </c>
      <c r="F55">
        <v>0</v>
      </c>
      <c r="G55">
        <v>0</v>
      </c>
      <c r="H55">
        <v>1</v>
      </c>
      <c r="I55">
        <v>0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66.67</v>
      </c>
      <c r="AH55">
        <v>66.67</v>
      </c>
      <c r="AI55">
        <v>100</v>
      </c>
    </row>
    <row r="56" spans="2:35">
      <c r="C56" t="s">
        <v>127</v>
      </c>
      <c r="D56">
        <v>0</v>
      </c>
      <c r="E56">
        <v>1</v>
      </c>
      <c r="F56">
        <v>0</v>
      </c>
      <c r="G56">
        <v>0</v>
      </c>
      <c r="H56">
        <v>0</v>
      </c>
      <c r="I56">
        <v>0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</row>
    <row r="57" spans="2:35">
      <c r="C57" t="s">
        <v>128</v>
      </c>
      <c r="D57">
        <v>0</v>
      </c>
      <c r="E57">
        <v>6</v>
      </c>
      <c r="F57">
        <v>0</v>
      </c>
      <c r="G57">
        <v>0</v>
      </c>
      <c r="H57">
        <v>0</v>
      </c>
      <c r="I57">
        <v>0</v>
      </c>
      <c r="J57">
        <v>3</v>
      </c>
      <c r="K57">
        <v>0</v>
      </c>
      <c r="L57">
        <v>0</v>
      </c>
      <c r="M57">
        <v>0</v>
      </c>
      <c r="N57">
        <v>1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33.33</v>
      </c>
      <c r="AH57">
        <v>20</v>
      </c>
      <c r="AI57">
        <v>50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32</v>
      </c>
      <c r="F63" s="12">
        <v>4</v>
      </c>
      <c r="G63" s="12">
        <v>1</v>
      </c>
      <c r="H63" s="12">
        <v>2</v>
      </c>
      <c r="I63" s="12">
        <v>1</v>
      </c>
      <c r="J63" s="12">
        <v>3</v>
      </c>
      <c r="K63" s="12">
        <v>0</v>
      </c>
      <c r="L63" s="12">
        <v>0</v>
      </c>
      <c r="M63" s="12">
        <v>1</v>
      </c>
      <c r="N63" s="12">
        <v>2</v>
      </c>
      <c r="O63" s="12">
        <v>0</v>
      </c>
      <c r="P63" s="12">
        <v>3</v>
      </c>
      <c r="Q63" s="12">
        <v>2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1</v>
      </c>
      <c r="Z63" s="12">
        <v>13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1</v>
      </c>
      <c r="AG63" s="12">
        <v>59.38</v>
      </c>
      <c r="AH63" s="12">
        <v>43.33</v>
      </c>
      <c r="AI63" s="12">
        <v>68.42</v>
      </c>
    </row>
    <row r="64" spans="2:35" ht="21" thickBot="1">
      <c r="C64" s="11" t="s">
        <v>38</v>
      </c>
      <c r="D64" s="12">
        <v>0</v>
      </c>
      <c r="E64" s="12">
        <v>65</v>
      </c>
      <c r="F64" s="12">
        <v>1</v>
      </c>
      <c r="G64" s="12">
        <v>0</v>
      </c>
      <c r="H64" s="12">
        <v>0</v>
      </c>
      <c r="I64" s="12">
        <v>0</v>
      </c>
      <c r="J64" s="12">
        <v>16</v>
      </c>
      <c r="K64" s="12">
        <v>0</v>
      </c>
      <c r="L64" s="12">
        <v>0</v>
      </c>
      <c r="M64" s="12">
        <v>4</v>
      </c>
      <c r="N64" s="12">
        <v>3</v>
      </c>
      <c r="O64" s="12">
        <v>0</v>
      </c>
      <c r="P64" s="12">
        <v>7</v>
      </c>
      <c r="Q64" s="12">
        <v>0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1</v>
      </c>
      <c r="Y64" s="12">
        <v>2</v>
      </c>
      <c r="Z64" s="12">
        <v>36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1</v>
      </c>
      <c r="AG64" s="14">
        <v>70.77</v>
      </c>
      <c r="AH64" s="14">
        <v>56.25</v>
      </c>
      <c r="AI64" s="14">
        <v>78.260000000000005</v>
      </c>
    </row>
    <row r="65" spans="3:35" ht="21" thickBot="1">
      <c r="C65" s="11" t="s">
        <v>42</v>
      </c>
      <c r="D65" s="12">
        <v>0</v>
      </c>
      <c r="E65" s="12">
        <v>48</v>
      </c>
      <c r="F65" s="12">
        <v>0</v>
      </c>
      <c r="G65" s="12">
        <v>0</v>
      </c>
      <c r="H65" s="12">
        <v>0</v>
      </c>
      <c r="I65" s="12">
        <v>4</v>
      </c>
      <c r="J65" s="12">
        <v>11</v>
      </c>
      <c r="K65" s="12">
        <v>0</v>
      </c>
      <c r="L65" s="12">
        <v>0</v>
      </c>
      <c r="M65" s="12">
        <v>2</v>
      </c>
      <c r="N65" s="12">
        <v>0</v>
      </c>
      <c r="O65" s="12">
        <v>0</v>
      </c>
      <c r="P65" s="12">
        <v>2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27</v>
      </c>
      <c r="AA65" s="12">
        <v>1</v>
      </c>
      <c r="AB65" s="12">
        <v>0</v>
      </c>
      <c r="AC65" s="12">
        <v>0</v>
      </c>
      <c r="AD65" s="12">
        <v>0</v>
      </c>
      <c r="AE65" s="12">
        <v>1</v>
      </c>
      <c r="AF65" s="12">
        <v>1</v>
      </c>
      <c r="AG65" s="14">
        <v>62.5</v>
      </c>
      <c r="AH65" s="14">
        <v>62.79</v>
      </c>
      <c r="AI65" s="14">
        <v>93.1</v>
      </c>
    </row>
    <row r="66" spans="3:35" ht="21" thickBot="1">
      <c r="C66" s="11" t="s">
        <v>45</v>
      </c>
      <c r="D66" s="12">
        <v>0</v>
      </c>
      <c r="E66" s="12">
        <v>85</v>
      </c>
      <c r="F66" s="12">
        <v>0</v>
      </c>
      <c r="G66" s="12">
        <v>2</v>
      </c>
      <c r="H66" s="12">
        <v>0</v>
      </c>
      <c r="I66" s="12">
        <v>0</v>
      </c>
      <c r="J66" s="12">
        <v>21</v>
      </c>
      <c r="K66" s="12">
        <v>2</v>
      </c>
      <c r="L66" s="12">
        <v>1</v>
      </c>
      <c r="M66" s="12">
        <v>5</v>
      </c>
      <c r="N66" s="12">
        <v>12</v>
      </c>
      <c r="O66" s="12">
        <v>0</v>
      </c>
      <c r="P66" s="12">
        <v>17</v>
      </c>
      <c r="Q66" s="12">
        <v>1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1</v>
      </c>
      <c r="Y66" s="12">
        <v>2</v>
      </c>
      <c r="Z66" s="12">
        <v>34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3</v>
      </c>
      <c r="AG66" s="14">
        <v>63.53</v>
      </c>
      <c r="AH66" s="14">
        <v>42.5</v>
      </c>
      <c r="AI66" s="14">
        <v>62.96</v>
      </c>
    </row>
    <row r="67" spans="3:35" ht="21" thickBot="1">
      <c r="C67" s="11" t="s">
        <v>49</v>
      </c>
      <c r="D67" s="12">
        <v>0</v>
      </c>
      <c r="E67" s="12">
        <v>37</v>
      </c>
      <c r="F67" s="12">
        <v>0</v>
      </c>
      <c r="G67" s="12">
        <v>0</v>
      </c>
      <c r="H67" s="12">
        <v>1</v>
      </c>
      <c r="I67" s="12">
        <v>1</v>
      </c>
      <c r="J67" s="12">
        <v>5</v>
      </c>
      <c r="K67" s="12">
        <v>0</v>
      </c>
      <c r="L67" s="12">
        <v>1</v>
      </c>
      <c r="M67" s="12">
        <v>1</v>
      </c>
      <c r="N67" s="12">
        <v>6</v>
      </c>
      <c r="O67" s="12">
        <v>0</v>
      </c>
      <c r="P67" s="12">
        <v>7</v>
      </c>
      <c r="Q67" s="12">
        <v>1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0</v>
      </c>
      <c r="Z67" s="12">
        <v>20</v>
      </c>
      <c r="AA67" s="12">
        <v>0</v>
      </c>
      <c r="AB67" s="12">
        <v>1</v>
      </c>
      <c r="AC67" s="12">
        <v>0</v>
      </c>
      <c r="AD67" s="12">
        <v>0</v>
      </c>
      <c r="AE67" s="12">
        <v>1</v>
      </c>
      <c r="AF67" s="12">
        <v>1</v>
      </c>
      <c r="AG67" s="14">
        <v>78.38</v>
      </c>
      <c r="AH67" s="14">
        <v>57.14</v>
      </c>
      <c r="AI67" s="14">
        <v>71.430000000000007</v>
      </c>
    </row>
    <row r="68" spans="3:35" ht="21" thickBot="1">
      <c r="C68" s="11" t="s">
        <v>51</v>
      </c>
      <c r="D68" s="12">
        <v>0</v>
      </c>
      <c r="E68" s="12">
        <v>44</v>
      </c>
      <c r="F68" s="12">
        <v>0</v>
      </c>
      <c r="G68" s="12">
        <v>0</v>
      </c>
      <c r="H68" s="12">
        <v>3</v>
      </c>
      <c r="I68" s="12">
        <v>1</v>
      </c>
      <c r="J68" s="12">
        <v>14</v>
      </c>
      <c r="K68" s="12">
        <v>0</v>
      </c>
      <c r="L68" s="12">
        <v>0</v>
      </c>
      <c r="M68" s="12">
        <v>2</v>
      </c>
      <c r="N68" s="12">
        <v>4</v>
      </c>
      <c r="O68" s="12">
        <v>0</v>
      </c>
      <c r="P68" s="12">
        <v>6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20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59.09</v>
      </c>
      <c r="AH68" s="14">
        <v>46.51</v>
      </c>
      <c r="AI68" s="14">
        <v>76.92</v>
      </c>
    </row>
    <row r="69" spans="3:35" ht="21" thickBot="1">
      <c r="C69" s="11" t="s">
        <v>55</v>
      </c>
      <c r="D69" s="12">
        <v>0</v>
      </c>
      <c r="E69" s="12">
        <v>55</v>
      </c>
      <c r="F69" s="12">
        <v>0</v>
      </c>
      <c r="G69" s="12">
        <v>0</v>
      </c>
      <c r="H69" s="12">
        <v>2</v>
      </c>
      <c r="I69" s="12">
        <v>0</v>
      </c>
      <c r="J69" s="12">
        <v>20</v>
      </c>
      <c r="K69" s="12">
        <v>0</v>
      </c>
      <c r="L69" s="12">
        <v>0</v>
      </c>
      <c r="M69" s="12">
        <v>2</v>
      </c>
      <c r="N69" s="12">
        <v>1</v>
      </c>
      <c r="O69" s="12">
        <v>0</v>
      </c>
      <c r="P69" s="12">
        <v>3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25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5</v>
      </c>
      <c r="AG69" s="14">
        <v>50.91</v>
      </c>
      <c r="AH69" s="14">
        <v>50</v>
      </c>
      <c r="AI69" s="14">
        <v>89.29</v>
      </c>
    </row>
    <row r="70" spans="3:35" ht="21" thickBot="1">
      <c r="C70" s="11" t="s">
        <v>59</v>
      </c>
      <c r="D70" s="12">
        <v>0</v>
      </c>
      <c r="E70" s="12">
        <v>67</v>
      </c>
      <c r="F70" s="12">
        <v>1</v>
      </c>
      <c r="G70" s="12">
        <v>1</v>
      </c>
      <c r="H70" s="12">
        <v>2</v>
      </c>
      <c r="I70" s="12">
        <v>0</v>
      </c>
      <c r="J70" s="12">
        <v>16</v>
      </c>
      <c r="K70" s="12">
        <v>1</v>
      </c>
      <c r="L70" s="12">
        <v>0</v>
      </c>
      <c r="M70" s="12">
        <v>3</v>
      </c>
      <c r="N70" s="12">
        <v>0</v>
      </c>
      <c r="O70" s="12">
        <v>0</v>
      </c>
      <c r="P70" s="12">
        <v>3</v>
      </c>
      <c r="Q70" s="12">
        <v>1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1</v>
      </c>
      <c r="Z70" s="12">
        <v>36</v>
      </c>
      <c r="AA70" s="12">
        <v>1</v>
      </c>
      <c r="AB70" s="12">
        <v>0</v>
      </c>
      <c r="AC70" s="12">
        <v>0</v>
      </c>
      <c r="AD70" s="12">
        <v>0</v>
      </c>
      <c r="AE70" s="12">
        <v>1</v>
      </c>
      <c r="AF70" s="12">
        <v>4</v>
      </c>
      <c r="AG70" s="14">
        <v>62.69</v>
      </c>
      <c r="AH70" s="14">
        <v>58.06</v>
      </c>
      <c r="AI70" s="14">
        <v>87.8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9" sqref="G19:G55"/>
    </sheetView>
  </sheetViews>
  <sheetFormatPr defaultColWidth="9" defaultRowHeight="15"/>
  <cols>
    <col min="1" max="2" width="16.28515625" bestFit="1" customWidth="1"/>
    <col min="3" max="3" width="7.42578125" bestFit="1" customWidth="1"/>
    <col min="4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530</v>
      </c>
      <c r="D4" t="s">
        <v>154</v>
      </c>
    </row>
    <row r="5" spans="1:7">
      <c r="A5" s="7" t="s">
        <v>34</v>
      </c>
      <c r="B5" s="192">
        <v>10</v>
      </c>
      <c r="C5" s="192">
        <v>10</v>
      </c>
      <c r="D5" s="192">
        <v>20</v>
      </c>
      <c r="G5" s="8">
        <f>B5/(B5+0)</f>
        <v>1</v>
      </c>
    </row>
    <row r="6" spans="1:7">
      <c r="A6" s="7" t="s">
        <v>38</v>
      </c>
      <c r="B6" s="192">
        <v>16</v>
      </c>
      <c r="C6" s="192">
        <v>17</v>
      </c>
      <c r="D6" s="192">
        <v>33</v>
      </c>
      <c r="G6" s="8">
        <f t="shared" ref="G6:G10" si="0">B6/(B6+0)</f>
        <v>1</v>
      </c>
    </row>
    <row r="7" spans="1:7">
      <c r="A7" s="7" t="s">
        <v>42</v>
      </c>
      <c r="B7" s="192">
        <v>13</v>
      </c>
      <c r="C7" s="192">
        <v>10</v>
      </c>
      <c r="D7" s="192">
        <v>23</v>
      </c>
      <c r="G7" s="8">
        <f t="shared" si="0"/>
        <v>1</v>
      </c>
    </row>
    <row r="8" spans="1:7">
      <c r="A8" s="7" t="s">
        <v>45</v>
      </c>
      <c r="B8" s="192">
        <v>18</v>
      </c>
      <c r="C8" s="192">
        <v>36</v>
      </c>
      <c r="D8" s="192">
        <v>54</v>
      </c>
      <c r="G8" s="8">
        <f t="shared" si="0"/>
        <v>1</v>
      </c>
    </row>
    <row r="9" spans="1:7">
      <c r="A9" s="7" t="s">
        <v>55</v>
      </c>
      <c r="B9" s="192">
        <v>11</v>
      </c>
      <c r="C9" s="192">
        <v>23</v>
      </c>
      <c r="D9" s="192">
        <v>34</v>
      </c>
      <c r="G9" s="8">
        <f t="shared" si="0"/>
        <v>1</v>
      </c>
    </row>
    <row r="10" spans="1:7">
      <c r="A10" s="7" t="s">
        <v>154</v>
      </c>
      <c r="B10" s="192">
        <v>68</v>
      </c>
      <c r="C10" s="192">
        <v>96</v>
      </c>
      <c r="D10" s="192">
        <v>164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530</v>
      </c>
      <c r="D18" t="s">
        <v>154</v>
      </c>
    </row>
    <row r="19" spans="1:7">
      <c r="A19" s="7" t="s">
        <v>34</v>
      </c>
      <c r="B19" s="192">
        <v>10</v>
      </c>
      <c r="C19" s="192">
        <v>10</v>
      </c>
      <c r="D19" s="192">
        <v>20</v>
      </c>
      <c r="G19" s="8">
        <f>B19/(B19+0)</f>
        <v>1</v>
      </c>
    </row>
    <row r="20" spans="1:7">
      <c r="A20" s="9" t="s">
        <v>81</v>
      </c>
      <c r="B20" s="192">
        <v>2</v>
      </c>
      <c r="C20" s="192"/>
      <c r="D20" s="192">
        <v>2</v>
      </c>
      <c r="G20" s="8">
        <f t="shared" ref="G20:G55" si="1">B20/(B20+0)</f>
        <v>1</v>
      </c>
    </row>
    <row r="21" spans="1:7">
      <c r="A21" s="9" t="s">
        <v>79</v>
      </c>
      <c r="B21" s="192">
        <v>1</v>
      </c>
      <c r="C21" s="192">
        <v>1</v>
      </c>
      <c r="D21" s="192">
        <v>2</v>
      </c>
      <c r="G21" s="8">
        <f t="shared" si="1"/>
        <v>1</v>
      </c>
    </row>
    <row r="22" spans="1:7">
      <c r="A22" s="9" t="s">
        <v>86</v>
      </c>
      <c r="B22" s="192">
        <v>3</v>
      </c>
      <c r="C22" s="192">
        <v>1</v>
      </c>
      <c r="D22" s="192">
        <v>4</v>
      </c>
      <c r="G22" s="8">
        <f t="shared" si="1"/>
        <v>1</v>
      </c>
    </row>
    <row r="23" spans="1:7">
      <c r="A23" s="9" t="s">
        <v>82</v>
      </c>
      <c r="B23" s="192">
        <v>2</v>
      </c>
      <c r="C23" s="192">
        <v>1</v>
      </c>
      <c r="D23" s="192">
        <v>3</v>
      </c>
      <c r="G23" s="8">
        <f t="shared" si="1"/>
        <v>1</v>
      </c>
    </row>
    <row r="24" spans="1:7">
      <c r="A24" s="9" t="s">
        <v>83</v>
      </c>
      <c r="B24" s="192">
        <v>2</v>
      </c>
      <c r="C24" s="192">
        <v>3</v>
      </c>
      <c r="D24" s="192">
        <v>5</v>
      </c>
      <c r="G24" s="8">
        <f t="shared" si="1"/>
        <v>1</v>
      </c>
    </row>
    <row r="25" spans="1:7">
      <c r="A25" s="9" t="s">
        <v>85</v>
      </c>
      <c r="B25" s="192"/>
      <c r="C25" s="192">
        <v>4</v>
      </c>
      <c r="D25" s="192">
        <v>4</v>
      </c>
      <c r="G25" s="8" t="e">
        <f t="shared" si="1"/>
        <v>#DIV/0!</v>
      </c>
    </row>
    <row r="26" spans="1:7">
      <c r="A26" s="7" t="s">
        <v>38</v>
      </c>
      <c r="B26" s="192">
        <v>16</v>
      </c>
      <c r="C26" s="192">
        <v>17</v>
      </c>
      <c r="D26" s="192">
        <v>33</v>
      </c>
      <c r="G26" s="8">
        <f t="shared" si="1"/>
        <v>1</v>
      </c>
    </row>
    <row r="27" spans="1:7">
      <c r="A27" s="9" t="s">
        <v>93</v>
      </c>
      <c r="B27" s="192">
        <v>3</v>
      </c>
      <c r="C27" s="192">
        <v>1</v>
      </c>
      <c r="D27" s="192">
        <v>4</v>
      </c>
      <c r="G27" s="8">
        <f t="shared" si="1"/>
        <v>1</v>
      </c>
    </row>
    <row r="28" spans="1:7">
      <c r="A28" s="9" t="s">
        <v>87</v>
      </c>
      <c r="B28" s="192">
        <v>2</v>
      </c>
      <c r="C28" s="192"/>
      <c r="D28" s="192">
        <v>2</v>
      </c>
      <c r="G28" s="8">
        <f t="shared" si="1"/>
        <v>1</v>
      </c>
    </row>
    <row r="29" spans="1:7">
      <c r="A29" s="9" t="s">
        <v>89</v>
      </c>
      <c r="B29" s="192"/>
      <c r="C29" s="192">
        <v>5</v>
      </c>
      <c r="D29" s="192">
        <v>5</v>
      </c>
      <c r="G29" s="8" t="e">
        <f t="shared" si="1"/>
        <v>#DIV/0!</v>
      </c>
    </row>
    <row r="30" spans="1:7">
      <c r="A30" s="9" t="s">
        <v>90</v>
      </c>
      <c r="B30" s="192">
        <v>4</v>
      </c>
      <c r="C30" s="192">
        <v>2</v>
      </c>
      <c r="D30" s="192">
        <v>6</v>
      </c>
      <c r="G30" s="8">
        <f t="shared" si="1"/>
        <v>1</v>
      </c>
    </row>
    <row r="31" spans="1:7">
      <c r="A31" s="9" t="s">
        <v>92</v>
      </c>
      <c r="B31" s="192">
        <v>1</v>
      </c>
      <c r="C31" s="192">
        <v>2</v>
      </c>
      <c r="D31" s="192">
        <v>3</v>
      </c>
      <c r="G31" s="8">
        <f t="shared" si="1"/>
        <v>1</v>
      </c>
    </row>
    <row r="32" spans="1:7">
      <c r="A32" s="9" t="s">
        <v>88</v>
      </c>
      <c r="B32" s="192">
        <v>1</v>
      </c>
      <c r="C32" s="192">
        <v>1</v>
      </c>
      <c r="D32" s="192">
        <v>2</v>
      </c>
      <c r="G32" s="8">
        <f t="shared" si="1"/>
        <v>1</v>
      </c>
    </row>
    <row r="33" spans="1:7">
      <c r="A33" s="9" t="s">
        <v>248</v>
      </c>
      <c r="B33" s="192">
        <v>5</v>
      </c>
      <c r="C33" s="192">
        <v>6</v>
      </c>
      <c r="D33" s="192">
        <v>11</v>
      </c>
      <c r="G33" s="8">
        <f t="shared" si="1"/>
        <v>1</v>
      </c>
    </row>
    <row r="34" spans="1:7">
      <c r="A34" s="7" t="s">
        <v>42</v>
      </c>
      <c r="B34" s="192">
        <v>13</v>
      </c>
      <c r="C34" s="192">
        <v>10</v>
      </c>
      <c r="D34" s="192">
        <v>23</v>
      </c>
      <c r="G34" s="8">
        <f t="shared" si="1"/>
        <v>1</v>
      </c>
    </row>
    <row r="35" spans="1:7">
      <c r="A35" s="9" t="s">
        <v>107</v>
      </c>
      <c r="B35" s="192"/>
      <c r="C35" s="192">
        <v>1</v>
      </c>
      <c r="D35" s="192">
        <v>1</v>
      </c>
      <c r="G35" s="8" t="e">
        <f t="shared" si="1"/>
        <v>#DIV/0!</v>
      </c>
    </row>
    <row r="36" spans="1:7">
      <c r="A36" s="9" t="s">
        <v>106</v>
      </c>
      <c r="B36" s="192"/>
      <c r="C36" s="192">
        <v>3</v>
      </c>
      <c r="D36" s="192">
        <v>3</v>
      </c>
      <c r="G36" s="8" t="e">
        <f t="shared" si="1"/>
        <v>#DIV/0!</v>
      </c>
    </row>
    <row r="37" spans="1:7">
      <c r="A37" s="9" t="s">
        <v>102</v>
      </c>
      <c r="B37" s="192">
        <v>1</v>
      </c>
      <c r="C37" s="192">
        <v>1</v>
      </c>
      <c r="D37" s="192">
        <v>2</v>
      </c>
      <c r="G37" s="8">
        <f t="shared" si="1"/>
        <v>1</v>
      </c>
    </row>
    <row r="38" spans="1:7">
      <c r="A38" s="9" t="s">
        <v>105</v>
      </c>
      <c r="B38" s="192">
        <v>6</v>
      </c>
      <c r="C38" s="192">
        <v>2</v>
      </c>
      <c r="D38" s="192">
        <v>8</v>
      </c>
      <c r="G38" s="8">
        <f t="shared" si="1"/>
        <v>1</v>
      </c>
    </row>
    <row r="39" spans="1:7">
      <c r="A39" s="9" t="s">
        <v>99</v>
      </c>
      <c r="B39" s="192">
        <v>5</v>
      </c>
      <c r="C39" s="192"/>
      <c r="D39" s="192">
        <v>5</v>
      </c>
      <c r="G39" s="8">
        <f t="shared" si="1"/>
        <v>1</v>
      </c>
    </row>
    <row r="40" spans="1:7">
      <c r="A40" s="9" t="s">
        <v>232</v>
      </c>
      <c r="B40" s="192">
        <v>1</v>
      </c>
      <c r="C40" s="192">
        <v>3</v>
      </c>
      <c r="D40" s="192">
        <v>4</v>
      </c>
      <c r="G40" s="8">
        <f t="shared" si="1"/>
        <v>1</v>
      </c>
    </row>
    <row r="41" spans="1:7">
      <c r="A41" s="7" t="s">
        <v>45</v>
      </c>
      <c r="B41" s="192">
        <v>18</v>
      </c>
      <c r="C41" s="192">
        <v>36</v>
      </c>
      <c r="D41" s="192">
        <v>54</v>
      </c>
      <c r="G41" s="8">
        <f t="shared" si="1"/>
        <v>1</v>
      </c>
    </row>
    <row r="42" spans="1:7">
      <c r="A42" s="9" t="s">
        <v>118</v>
      </c>
      <c r="B42" s="192">
        <v>3</v>
      </c>
      <c r="C42" s="192">
        <v>3</v>
      </c>
      <c r="D42" s="192">
        <v>6</v>
      </c>
      <c r="G42" s="8">
        <f t="shared" si="1"/>
        <v>1</v>
      </c>
    </row>
    <row r="43" spans="1:7">
      <c r="A43" s="9" t="s">
        <v>110</v>
      </c>
      <c r="B43" s="192">
        <v>3</v>
      </c>
      <c r="C43" s="192">
        <v>3</v>
      </c>
      <c r="D43" s="192">
        <v>6</v>
      </c>
      <c r="G43" s="8">
        <f t="shared" si="1"/>
        <v>1</v>
      </c>
    </row>
    <row r="44" spans="1:7">
      <c r="A44" s="9" t="s">
        <v>109</v>
      </c>
      <c r="B44" s="192"/>
      <c r="C44" s="192">
        <v>1</v>
      </c>
      <c r="D44" s="192">
        <v>1</v>
      </c>
      <c r="G44" s="8" t="e">
        <f t="shared" si="1"/>
        <v>#DIV/0!</v>
      </c>
    </row>
    <row r="45" spans="1:7">
      <c r="A45" s="9" t="s">
        <v>113</v>
      </c>
      <c r="B45" s="192"/>
      <c r="C45" s="192">
        <v>6</v>
      </c>
      <c r="D45" s="192">
        <v>6</v>
      </c>
      <c r="G45" s="8" t="e">
        <f t="shared" si="1"/>
        <v>#DIV/0!</v>
      </c>
    </row>
    <row r="46" spans="1:7">
      <c r="A46" s="9" t="s">
        <v>117</v>
      </c>
      <c r="B46" s="192"/>
      <c r="C46" s="192">
        <v>4</v>
      </c>
      <c r="D46" s="192">
        <v>4</v>
      </c>
      <c r="G46" s="8" t="e">
        <f t="shared" si="1"/>
        <v>#DIV/0!</v>
      </c>
    </row>
    <row r="47" spans="1:7">
      <c r="A47" s="9" t="s">
        <v>114</v>
      </c>
      <c r="B47" s="192"/>
      <c r="C47" s="192">
        <v>1</v>
      </c>
      <c r="D47" s="192">
        <v>1</v>
      </c>
      <c r="G47" s="8" t="e">
        <f t="shared" si="1"/>
        <v>#DIV/0!</v>
      </c>
    </row>
    <row r="48" spans="1:7">
      <c r="A48" s="9" t="s">
        <v>781</v>
      </c>
      <c r="B48" s="192">
        <v>7</v>
      </c>
      <c r="C48" s="192">
        <v>12</v>
      </c>
      <c r="D48" s="192">
        <v>19</v>
      </c>
      <c r="G48" s="8">
        <f t="shared" si="1"/>
        <v>1</v>
      </c>
    </row>
    <row r="49" spans="1:7">
      <c r="A49" s="9" t="s">
        <v>210</v>
      </c>
      <c r="B49" s="192">
        <v>5</v>
      </c>
      <c r="C49" s="192">
        <v>6</v>
      </c>
      <c r="D49" s="192">
        <v>11</v>
      </c>
      <c r="G49" s="8">
        <f t="shared" si="1"/>
        <v>1</v>
      </c>
    </row>
    <row r="50" spans="1:7">
      <c r="A50" s="7" t="s">
        <v>55</v>
      </c>
      <c r="B50" s="192">
        <v>11</v>
      </c>
      <c r="C50" s="192">
        <v>23</v>
      </c>
      <c r="D50" s="192">
        <v>34</v>
      </c>
      <c r="G50" s="8">
        <f t="shared" si="1"/>
        <v>1</v>
      </c>
    </row>
    <row r="51" spans="1:7">
      <c r="A51" s="9" t="s">
        <v>122</v>
      </c>
      <c r="B51" s="192">
        <v>4</v>
      </c>
      <c r="C51" s="192">
        <v>5</v>
      </c>
      <c r="D51" s="192">
        <v>9</v>
      </c>
      <c r="G51" s="8">
        <f t="shared" si="1"/>
        <v>1</v>
      </c>
    </row>
    <row r="52" spans="1:7">
      <c r="A52" s="9" t="s">
        <v>227</v>
      </c>
      <c r="B52" s="192"/>
      <c r="C52" s="192">
        <v>3</v>
      </c>
      <c r="D52" s="192">
        <v>3</v>
      </c>
      <c r="G52" s="8" t="e">
        <f t="shared" si="1"/>
        <v>#DIV/0!</v>
      </c>
    </row>
    <row r="53" spans="1:7">
      <c r="A53" s="9" t="s">
        <v>666</v>
      </c>
      <c r="B53" s="192">
        <v>6</v>
      </c>
      <c r="C53" s="192">
        <v>9</v>
      </c>
      <c r="D53" s="192">
        <v>15</v>
      </c>
      <c r="G53" s="8">
        <f t="shared" si="1"/>
        <v>1</v>
      </c>
    </row>
    <row r="54" spans="1:7">
      <c r="A54" s="9" t="s">
        <v>663</v>
      </c>
      <c r="B54" s="192">
        <v>1</v>
      </c>
      <c r="C54" s="192">
        <v>6</v>
      </c>
      <c r="D54" s="192">
        <v>7</v>
      </c>
      <c r="G54" s="8">
        <f t="shared" si="1"/>
        <v>1</v>
      </c>
    </row>
    <row r="55" spans="1:7">
      <c r="A55" s="7" t="s">
        <v>154</v>
      </c>
      <c r="B55" s="192">
        <v>68</v>
      </c>
      <c r="C55" s="192">
        <v>96</v>
      </c>
      <c r="D55" s="192">
        <v>164</v>
      </c>
      <c r="G55" s="8">
        <f t="shared" si="1"/>
        <v>1</v>
      </c>
    </row>
    <row r="56" spans="1:7">
      <c r="G56" s="8" t="e">
        <f t="shared" ref="G48:G78" si="2">B56/(B56+C56)</f>
        <v>#DIV/0!</v>
      </c>
    </row>
    <row r="57" spans="1:7">
      <c r="G57" s="8" t="e">
        <f t="shared" si="2"/>
        <v>#DIV/0!</v>
      </c>
    </row>
    <row r="58" spans="1:7">
      <c r="G58" s="8" t="e">
        <f t="shared" si="2"/>
        <v>#DIV/0!</v>
      </c>
    </row>
    <row r="59" spans="1:7">
      <c r="G59" s="8" t="e">
        <f t="shared" si="2"/>
        <v>#DIV/0!</v>
      </c>
    </row>
    <row r="60" spans="1:7">
      <c r="G60" s="8" t="e">
        <f t="shared" si="2"/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R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2195</v>
      </c>
      <c r="BD1" s="191" t="s">
        <v>2196</v>
      </c>
      <c r="BE1" s="191" t="s">
        <v>2197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1002567425</v>
      </c>
      <c r="C2">
        <v>3</v>
      </c>
      <c r="D2" t="s">
        <v>59</v>
      </c>
      <c r="E2">
        <v>4</v>
      </c>
      <c r="F2" t="s">
        <v>242</v>
      </c>
      <c r="G2" t="s">
        <v>1544</v>
      </c>
      <c r="H2" t="s">
        <v>1545</v>
      </c>
      <c r="I2" t="s">
        <v>212</v>
      </c>
      <c r="J2" t="s">
        <v>213</v>
      </c>
      <c r="K2" t="s">
        <v>149</v>
      </c>
      <c r="L2" t="s">
        <v>214</v>
      </c>
      <c r="M2" t="s">
        <v>2198</v>
      </c>
      <c r="N2" t="s">
        <v>215</v>
      </c>
      <c r="O2" s="57">
        <v>46267.504143518519</v>
      </c>
      <c r="P2" s="57">
        <v>46269.395324074074</v>
      </c>
      <c r="Q2">
        <v>69382249</v>
      </c>
      <c r="S2">
        <v>141373127581</v>
      </c>
      <c r="T2" t="s">
        <v>1649</v>
      </c>
      <c r="U2" t="s">
        <v>1650</v>
      </c>
      <c r="V2" t="s">
        <v>1651</v>
      </c>
      <c r="Z2">
        <v>109.999415</v>
      </c>
      <c r="AA2">
        <v>-7.3580639999999997</v>
      </c>
      <c r="AB2" t="s">
        <v>1652</v>
      </c>
      <c r="AC2" t="s">
        <v>236</v>
      </c>
      <c r="AL2" t="s">
        <v>217</v>
      </c>
      <c r="AM2" t="s">
        <v>1653</v>
      </c>
      <c r="AN2" t="s">
        <v>6</v>
      </c>
      <c r="AO2" s="57">
        <v>46062.506898148145</v>
      </c>
      <c r="AP2" s="57">
        <v>46268.541666666664</v>
      </c>
      <c r="AQ2" t="s">
        <v>2184</v>
      </c>
      <c r="AR2" t="s">
        <v>12</v>
      </c>
      <c r="AS2" t="s">
        <v>219</v>
      </c>
      <c r="AT2" t="s">
        <v>230</v>
      </c>
      <c r="AV2" t="s">
        <v>2199</v>
      </c>
      <c r="AW2" t="s">
        <v>887</v>
      </c>
      <c r="AX2" t="s">
        <v>222</v>
      </c>
      <c r="BA2" s="57">
        <v>46268.541666666664</v>
      </c>
      <c r="BB2" t="s">
        <v>1653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1002566822</v>
      </c>
      <c r="C3">
        <v>3</v>
      </c>
      <c r="D3" t="s">
        <v>42</v>
      </c>
      <c r="E3">
        <v>5</v>
      </c>
      <c r="F3" t="s">
        <v>232</v>
      </c>
      <c r="G3" t="s">
        <v>101</v>
      </c>
      <c r="H3" t="s">
        <v>427</v>
      </c>
      <c r="I3" t="s">
        <v>212</v>
      </c>
      <c r="J3" t="s">
        <v>213</v>
      </c>
      <c r="K3" t="s">
        <v>149</v>
      </c>
      <c r="L3" t="s">
        <v>214</v>
      </c>
      <c r="M3" t="s">
        <v>2198</v>
      </c>
      <c r="N3" t="s">
        <v>215</v>
      </c>
      <c r="O3" s="57">
        <v>46267.39162037037</v>
      </c>
      <c r="P3" s="57">
        <v>46269.368194444447</v>
      </c>
      <c r="Q3">
        <v>69382028</v>
      </c>
      <c r="S3">
        <v>152331251351</v>
      </c>
      <c r="T3" t="s">
        <v>1750</v>
      </c>
      <c r="U3" t="s">
        <v>1751</v>
      </c>
      <c r="V3" t="s">
        <v>1752</v>
      </c>
      <c r="Z3">
        <v>112.63323459999999</v>
      </c>
      <c r="AA3">
        <v>-7.4509832999999999</v>
      </c>
      <c r="AB3" t="s">
        <v>1753</v>
      </c>
      <c r="AC3" t="s">
        <v>216</v>
      </c>
      <c r="AL3" t="s">
        <v>217</v>
      </c>
      <c r="AM3" t="s">
        <v>1754</v>
      </c>
      <c r="AN3" t="s">
        <v>6</v>
      </c>
      <c r="AO3" s="57">
        <v>46062.402870370373</v>
      </c>
      <c r="AP3" s="57">
        <v>46270.333333333336</v>
      </c>
      <c r="AQ3" t="s">
        <v>2184</v>
      </c>
      <c r="AR3" t="s">
        <v>12</v>
      </c>
      <c r="AS3" t="s">
        <v>573</v>
      </c>
      <c r="AT3" t="s">
        <v>230</v>
      </c>
      <c r="AV3" t="s">
        <v>2199</v>
      </c>
      <c r="AW3" t="s">
        <v>882</v>
      </c>
      <c r="AX3" t="s">
        <v>222</v>
      </c>
      <c r="BA3" s="57">
        <v>46270.333333333336</v>
      </c>
      <c r="BB3" t="s">
        <v>1754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SIDOARJO</v>
      </c>
    </row>
    <row r="4" spans="1:61">
      <c r="A4">
        <v>3</v>
      </c>
      <c r="B4">
        <v>1002568764</v>
      </c>
      <c r="C4">
        <v>3</v>
      </c>
      <c r="D4" t="s">
        <v>34</v>
      </c>
      <c r="E4">
        <v>5</v>
      </c>
      <c r="F4" t="s">
        <v>554</v>
      </c>
      <c r="G4" t="s">
        <v>85</v>
      </c>
      <c r="H4" t="s">
        <v>279</v>
      </c>
      <c r="I4" t="s">
        <v>212</v>
      </c>
      <c r="J4" t="s">
        <v>213</v>
      </c>
      <c r="K4" t="s">
        <v>149</v>
      </c>
      <c r="M4" t="s">
        <v>235</v>
      </c>
      <c r="N4" t="s">
        <v>215</v>
      </c>
      <c r="O4" s="57">
        <v>46268.366064814814</v>
      </c>
      <c r="P4" s="57">
        <v>46268.585520833331</v>
      </c>
      <c r="Q4">
        <v>69382731</v>
      </c>
      <c r="S4">
        <v>172413244719</v>
      </c>
      <c r="T4" t="s">
        <v>2200</v>
      </c>
      <c r="U4" t="s">
        <v>2201</v>
      </c>
      <c r="Z4">
        <v>115.0674085</v>
      </c>
      <c r="AA4">
        <v>-8.5025791000000002</v>
      </c>
      <c r="AB4" t="s">
        <v>2202</v>
      </c>
      <c r="AC4" t="s">
        <v>229</v>
      </c>
      <c r="AO4" s="57">
        <v>46090.37158564815</v>
      </c>
      <c r="AR4" t="s">
        <v>306</v>
      </c>
      <c r="AS4" t="s">
        <v>85</v>
      </c>
      <c r="AT4" t="s">
        <v>230</v>
      </c>
      <c r="AV4" t="s">
        <v>2203</v>
      </c>
      <c r="AW4" t="s">
        <v>545</v>
      </c>
      <c r="AX4" t="s">
        <v>222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TABANAN</v>
      </c>
    </row>
    <row r="5" spans="1:61">
      <c r="A5">
        <v>4</v>
      </c>
      <c r="B5">
        <v>1002568878</v>
      </c>
      <c r="C5">
        <v>3</v>
      </c>
      <c r="D5" t="s">
        <v>42</v>
      </c>
      <c r="E5">
        <v>5</v>
      </c>
      <c r="F5" t="s">
        <v>232</v>
      </c>
      <c r="G5" t="s">
        <v>106</v>
      </c>
      <c r="H5" t="s">
        <v>290</v>
      </c>
      <c r="I5" t="s">
        <v>212</v>
      </c>
      <c r="J5" t="s">
        <v>213</v>
      </c>
      <c r="K5" t="s">
        <v>149</v>
      </c>
      <c r="M5" t="s">
        <v>235</v>
      </c>
      <c r="N5" t="s">
        <v>215</v>
      </c>
      <c r="O5" s="57">
        <v>46268.386874999997</v>
      </c>
      <c r="P5" s="57">
        <v>46268.800555555557</v>
      </c>
      <c r="Q5">
        <v>69382789</v>
      </c>
      <c r="S5">
        <v>152743216268</v>
      </c>
      <c r="T5" t="s">
        <v>2204</v>
      </c>
      <c r="U5" t="s">
        <v>2205</v>
      </c>
      <c r="Z5">
        <v>112.69097189999999</v>
      </c>
      <c r="AA5">
        <v>-7.5412992000000001</v>
      </c>
      <c r="AB5" t="s">
        <v>2206</v>
      </c>
      <c r="AC5" t="s">
        <v>229</v>
      </c>
      <c r="AO5" s="57">
        <v>46090.392812500002</v>
      </c>
      <c r="AR5" t="s">
        <v>306</v>
      </c>
      <c r="AS5" t="s">
        <v>1513</v>
      </c>
      <c r="AT5" t="s">
        <v>230</v>
      </c>
      <c r="AV5" t="s">
        <v>2207</v>
      </c>
      <c r="AW5" t="s">
        <v>546</v>
      </c>
      <c r="AX5" t="s">
        <v>222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PASURUAN</v>
      </c>
    </row>
    <row r="6" spans="1:61">
      <c r="A6">
        <v>5</v>
      </c>
      <c r="B6">
        <v>1002568907</v>
      </c>
      <c r="C6">
        <v>3</v>
      </c>
      <c r="D6" t="s">
        <v>42</v>
      </c>
      <c r="E6">
        <v>5</v>
      </c>
      <c r="F6" t="s">
        <v>232</v>
      </c>
      <c r="G6" t="s">
        <v>106</v>
      </c>
      <c r="H6" t="s">
        <v>290</v>
      </c>
      <c r="I6" t="s">
        <v>212</v>
      </c>
      <c r="J6" t="s">
        <v>213</v>
      </c>
      <c r="K6" t="s">
        <v>149</v>
      </c>
      <c r="M6" t="s">
        <v>235</v>
      </c>
      <c r="N6" t="s">
        <v>215</v>
      </c>
      <c r="O6" s="57">
        <v>46268.391979166663</v>
      </c>
      <c r="P6" s="57">
        <v>46268.801412037035</v>
      </c>
      <c r="Q6">
        <v>69382810</v>
      </c>
      <c r="S6">
        <v>152743216139</v>
      </c>
      <c r="T6" t="s">
        <v>2204</v>
      </c>
      <c r="U6" t="s">
        <v>2208</v>
      </c>
      <c r="Z6">
        <v>112.69097189999999</v>
      </c>
      <c r="AA6">
        <v>-7.5412992000000001</v>
      </c>
      <c r="AB6" t="s">
        <v>2209</v>
      </c>
      <c r="AC6" t="s">
        <v>229</v>
      </c>
      <c r="AO6" s="57">
        <v>46090.392812500002</v>
      </c>
      <c r="AR6" t="s">
        <v>306</v>
      </c>
      <c r="AS6" t="s">
        <v>1513</v>
      </c>
      <c r="AT6" t="s">
        <v>230</v>
      </c>
      <c r="AV6" t="s">
        <v>2207</v>
      </c>
      <c r="AW6" t="s">
        <v>545</v>
      </c>
      <c r="AX6" t="s">
        <v>222</v>
      </c>
      <c r="AZ6" t="s">
        <v>2207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PASURUAN</v>
      </c>
    </row>
    <row r="7" spans="1:61">
      <c r="A7">
        <v>6</v>
      </c>
      <c r="B7">
        <v>1002568895</v>
      </c>
      <c r="C7">
        <v>3</v>
      </c>
      <c r="D7" t="s">
        <v>42</v>
      </c>
      <c r="E7">
        <v>5</v>
      </c>
      <c r="F7" t="s">
        <v>232</v>
      </c>
      <c r="G7" t="s">
        <v>106</v>
      </c>
      <c r="H7" t="s">
        <v>290</v>
      </c>
      <c r="I7" t="s">
        <v>212</v>
      </c>
      <c r="J7" t="s">
        <v>213</v>
      </c>
      <c r="K7" t="s">
        <v>149</v>
      </c>
      <c r="M7" t="s">
        <v>235</v>
      </c>
      <c r="N7" t="s">
        <v>215</v>
      </c>
      <c r="O7" s="57">
        <v>46268.389826388891</v>
      </c>
      <c r="P7" s="57">
        <v>46268.801435185182</v>
      </c>
      <c r="Q7">
        <v>69382783</v>
      </c>
      <c r="S7">
        <v>152743216138</v>
      </c>
      <c r="T7" t="s">
        <v>2204</v>
      </c>
      <c r="U7" t="s">
        <v>2205</v>
      </c>
      <c r="Z7">
        <v>112.69097189999999</v>
      </c>
      <c r="AA7">
        <v>-7.5412992000000001</v>
      </c>
      <c r="AB7" t="s">
        <v>2206</v>
      </c>
      <c r="AC7" t="s">
        <v>229</v>
      </c>
      <c r="AO7" s="57">
        <v>46090.392812500002</v>
      </c>
      <c r="AR7" t="s">
        <v>306</v>
      </c>
      <c r="AS7" t="s">
        <v>1513</v>
      </c>
      <c r="AT7" t="s">
        <v>230</v>
      </c>
      <c r="AV7" t="s">
        <v>2207</v>
      </c>
      <c r="AW7" t="s">
        <v>545</v>
      </c>
      <c r="AX7" t="s">
        <v>222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PASURUAN</v>
      </c>
    </row>
    <row r="8" spans="1:61">
      <c r="A8">
        <v>7</v>
      </c>
      <c r="B8">
        <v>1002566939</v>
      </c>
      <c r="C8">
        <v>3</v>
      </c>
      <c r="D8" t="s">
        <v>42</v>
      </c>
      <c r="E8">
        <v>5</v>
      </c>
      <c r="F8" t="s">
        <v>232</v>
      </c>
      <c r="G8" t="s">
        <v>106</v>
      </c>
      <c r="H8" t="s">
        <v>414</v>
      </c>
      <c r="I8" t="s">
        <v>212</v>
      </c>
      <c r="J8" t="s">
        <v>213</v>
      </c>
      <c r="K8" t="s">
        <v>149</v>
      </c>
      <c r="M8" t="s">
        <v>235</v>
      </c>
      <c r="N8" t="s">
        <v>215</v>
      </c>
      <c r="O8" s="57">
        <v>46267.410821759258</v>
      </c>
      <c r="P8" s="57">
        <v>46267.738993055558</v>
      </c>
      <c r="Q8">
        <v>69382069</v>
      </c>
      <c r="S8">
        <v>152740208101</v>
      </c>
      <c r="T8" t="s">
        <v>1510</v>
      </c>
      <c r="U8" t="s">
        <v>1511</v>
      </c>
      <c r="Z8">
        <v>112.8256774</v>
      </c>
      <c r="AA8">
        <v>-7.7647108999999999</v>
      </c>
      <c r="AB8" t="s">
        <v>1512</v>
      </c>
      <c r="AC8" t="s">
        <v>229</v>
      </c>
      <c r="AO8" s="57">
        <v>46062.413263888891</v>
      </c>
      <c r="AR8" t="s">
        <v>306</v>
      </c>
      <c r="AS8" t="s">
        <v>1513</v>
      </c>
      <c r="AT8" t="s">
        <v>230</v>
      </c>
      <c r="AV8" t="s">
        <v>1514</v>
      </c>
      <c r="AW8" t="s">
        <v>545</v>
      </c>
      <c r="AX8" t="s">
        <v>222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PASURUAN</v>
      </c>
    </row>
    <row r="9" spans="1:61">
      <c r="A9">
        <v>8</v>
      </c>
      <c r="B9">
        <v>1002566730</v>
      </c>
      <c r="C9">
        <v>3</v>
      </c>
      <c r="D9" t="s">
        <v>51</v>
      </c>
      <c r="E9">
        <v>4</v>
      </c>
      <c r="F9" t="s">
        <v>234</v>
      </c>
      <c r="G9" t="s">
        <v>562</v>
      </c>
      <c r="H9" t="s">
        <v>588</v>
      </c>
      <c r="I9" t="s">
        <v>212</v>
      </c>
      <c r="J9" t="s">
        <v>213</v>
      </c>
      <c r="K9" t="s">
        <v>149</v>
      </c>
      <c r="M9" t="s">
        <v>235</v>
      </c>
      <c r="N9" t="s">
        <v>215</v>
      </c>
      <c r="O9" s="57">
        <v>46267.371134259258</v>
      </c>
      <c r="P9" s="57">
        <v>46267.428379629629</v>
      </c>
      <c r="Q9">
        <v>69381954</v>
      </c>
      <c r="S9">
        <v>142505403232</v>
      </c>
      <c r="T9" t="s">
        <v>1515</v>
      </c>
      <c r="U9" t="s">
        <v>1516</v>
      </c>
      <c r="Z9">
        <v>110.7841482</v>
      </c>
      <c r="AA9">
        <v>-7.5490475000000004</v>
      </c>
      <c r="AB9" t="s">
        <v>1517</v>
      </c>
      <c r="AC9" t="s">
        <v>229</v>
      </c>
      <c r="AO9" s="57">
        <v>46062.382025462961</v>
      </c>
      <c r="AR9" t="s">
        <v>306</v>
      </c>
      <c r="AS9" t="s">
        <v>219</v>
      </c>
      <c r="AT9" t="s">
        <v>230</v>
      </c>
      <c r="AV9" t="s">
        <v>1518</v>
      </c>
      <c r="AW9" t="s">
        <v>545</v>
      </c>
      <c r="AX9" t="s">
        <v>222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e">
        <f>VLOOKUP(H9,Sheet2!$A$1:$B$270,2,FALSE)</f>
        <v>#N/A</v>
      </c>
    </row>
    <row r="10" spans="1:61">
      <c r="A10">
        <v>9</v>
      </c>
      <c r="B10">
        <v>1002564244</v>
      </c>
      <c r="C10">
        <v>3</v>
      </c>
      <c r="D10" t="s">
        <v>49</v>
      </c>
      <c r="E10">
        <v>4</v>
      </c>
      <c r="F10" t="s">
        <v>250</v>
      </c>
      <c r="G10" t="s">
        <v>250</v>
      </c>
      <c r="H10" t="s">
        <v>855</v>
      </c>
      <c r="I10" t="s">
        <v>212</v>
      </c>
      <c r="J10" t="s">
        <v>213</v>
      </c>
      <c r="K10" t="s">
        <v>149</v>
      </c>
      <c r="L10" t="s">
        <v>214</v>
      </c>
      <c r="M10" t="s">
        <v>235</v>
      </c>
      <c r="N10" t="s">
        <v>215</v>
      </c>
      <c r="O10" s="57">
        <v>46266.376064814816</v>
      </c>
      <c r="P10" s="57">
        <v>46266.622476851851</v>
      </c>
      <c r="Q10">
        <v>69377558</v>
      </c>
      <c r="T10" t="s">
        <v>965</v>
      </c>
      <c r="V10" t="s">
        <v>966</v>
      </c>
      <c r="Z10">
        <v>109.52406000000001</v>
      </c>
      <c r="AA10">
        <v>-7.0198</v>
      </c>
      <c r="AB10" t="s">
        <v>967</v>
      </c>
      <c r="AC10" t="s">
        <v>236</v>
      </c>
      <c r="AL10" t="s">
        <v>217</v>
      </c>
      <c r="AM10" t="s">
        <v>968</v>
      </c>
      <c r="AN10" t="s">
        <v>6</v>
      </c>
      <c r="AO10" s="57">
        <v>46031.382175925923</v>
      </c>
      <c r="AP10" s="57">
        <v>46262</v>
      </c>
      <c r="AR10" t="s">
        <v>306</v>
      </c>
      <c r="AS10" t="s">
        <v>899</v>
      </c>
      <c r="AT10" t="s">
        <v>230</v>
      </c>
      <c r="AV10" t="s">
        <v>1039</v>
      </c>
      <c r="AW10" t="s">
        <v>886</v>
      </c>
      <c r="AX10" t="s">
        <v>222</v>
      </c>
      <c r="AZ10" t="s">
        <v>1039</v>
      </c>
      <c r="BA10" s="57">
        <v>46262.333333333336</v>
      </c>
      <c r="BB10" t="s">
        <v>968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10</v>
      </c>
      <c r="B11">
        <v>1002568862</v>
      </c>
      <c r="C11">
        <v>3</v>
      </c>
      <c r="D11" t="s">
        <v>51</v>
      </c>
      <c r="E11">
        <v>4</v>
      </c>
      <c r="F11" t="s">
        <v>234</v>
      </c>
      <c r="G11" t="s">
        <v>562</v>
      </c>
      <c r="H11" t="s">
        <v>588</v>
      </c>
      <c r="I11" t="s">
        <v>212</v>
      </c>
      <c r="J11" t="s">
        <v>213</v>
      </c>
      <c r="K11" t="s">
        <v>149</v>
      </c>
      <c r="M11" t="s">
        <v>1519</v>
      </c>
      <c r="N11" t="s">
        <v>215</v>
      </c>
      <c r="O11" s="57">
        <v>46268.38590277778</v>
      </c>
      <c r="P11" s="57">
        <v>46268.38689814815</v>
      </c>
      <c r="Q11">
        <v>69382744</v>
      </c>
      <c r="T11" t="s">
        <v>2210</v>
      </c>
      <c r="Z11">
        <v>110.7651166</v>
      </c>
      <c r="AA11">
        <v>-7.5409540000000002</v>
      </c>
      <c r="AB11" t="s">
        <v>2211</v>
      </c>
      <c r="AC11" t="s">
        <v>229</v>
      </c>
      <c r="AL11" t="s">
        <v>217</v>
      </c>
      <c r="AM11" s="58">
        <v>25569</v>
      </c>
      <c r="AN11" t="s">
        <v>6</v>
      </c>
      <c r="AO11" s="57">
        <v>46090.392812500002</v>
      </c>
      <c r="AR11" t="s">
        <v>6</v>
      </c>
      <c r="AS11" t="s">
        <v>219</v>
      </c>
      <c r="AT11" t="s">
        <v>230</v>
      </c>
      <c r="AV11" t="s">
        <v>1520</v>
      </c>
      <c r="AW11" t="s">
        <v>599</v>
      </c>
      <c r="AX11" t="s">
        <v>222</v>
      </c>
      <c r="BA11" s="57">
        <v>25569</v>
      </c>
      <c r="BB11" s="58">
        <v>25569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e">
        <f>VLOOKUP(H11,Sheet2!$A$1:$B$270,2,FALSE)</f>
        <v>#N/A</v>
      </c>
    </row>
    <row r="12" spans="1:61">
      <c r="A12">
        <v>11</v>
      </c>
      <c r="B12">
        <v>1002568893</v>
      </c>
      <c r="C12">
        <v>3</v>
      </c>
      <c r="D12" t="s">
        <v>51</v>
      </c>
      <c r="E12">
        <v>4</v>
      </c>
      <c r="F12" t="s">
        <v>234</v>
      </c>
      <c r="G12" t="s">
        <v>562</v>
      </c>
      <c r="H12" t="s">
        <v>588</v>
      </c>
      <c r="I12" t="s">
        <v>212</v>
      </c>
      <c r="J12" t="s">
        <v>213</v>
      </c>
      <c r="K12" t="s">
        <v>149</v>
      </c>
      <c r="M12" t="s">
        <v>1519</v>
      </c>
      <c r="N12" t="s">
        <v>215</v>
      </c>
      <c r="O12" s="57">
        <v>46268.389849537038</v>
      </c>
      <c r="P12" s="57">
        <v>46268.391064814816</v>
      </c>
      <c r="Q12">
        <v>69382805</v>
      </c>
      <c r="T12" t="s">
        <v>2212</v>
      </c>
      <c r="Z12">
        <v>110.7651166</v>
      </c>
      <c r="AA12">
        <v>-7.5409540000000002</v>
      </c>
      <c r="AB12" t="s">
        <v>2211</v>
      </c>
      <c r="AC12" t="s">
        <v>229</v>
      </c>
      <c r="AL12" t="s">
        <v>217</v>
      </c>
      <c r="AM12" s="58">
        <v>25569</v>
      </c>
      <c r="AN12" t="s">
        <v>6</v>
      </c>
      <c r="AO12" s="57">
        <v>46090.392812500002</v>
      </c>
      <c r="AR12" t="s">
        <v>6</v>
      </c>
      <c r="AS12" t="s">
        <v>219</v>
      </c>
      <c r="AT12" t="s">
        <v>230</v>
      </c>
      <c r="AV12" t="s">
        <v>1520</v>
      </c>
      <c r="AW12" t="s">
        <v>544</v>
      </c>
      <c r="AX12" t="s">
        <v>222</v>
      </c>
      <c r="BA12" s="57">
        <v>25569</v>
      </c>
      <c r="BB12" s="58">
        <v>25569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1002568834</v>
      </c>
      <c r="C13">
        <v>3</v>
      </c>
      <c r="D13" t="s">
        <v>51</v>
      </c>
      <c r="E13">
        <v>4</v>
      </c>
      <c r="F13" t="s">
        <v>234</v>
      </c>
      <c r="G13" t="s">
        <v>562</v>
      </c>
      <c r="H13" t="s">
        <v>588</v>
      </c>
      <c r="I13" t="s">
        <v>212</v>
      </c>
      <c r="J13" t="s">
        <v>213</v>
      </c>
      <c r="K13" t="s">
        <v>149</v>
      </c>
      <c r="M13" t="s">
        <v>1519</v>
      </c>
      <c r="N13" t="s">
        <v>215</v>
      </c>
      <c r="O13" s="57">
        <v>46268.382615740738</v>
      </c>
      <c r="P13" s="57">
        <v>46268.383425925924</v>
      </c>
      <c r="Q13">
        <v>69382772</v>
      </c>
      <c r="T13" t="s">
        <v>2213</v>
      </c>
      <c r="Z13">
        <v>110.7651166</v>
      </c>
      <c r="AA13">
        <v>-7.5409540000000002</v>
      </c>
      <c r="AB13" t="s">
        <v>2214</v>
      </c>
      <c r="AC13" t="s">
        <v>229</v>
      </c>
      <c r="AL13" t="s">
        <v>217</v>
      </c>
      <c r="AM13" s="58">
        <v>25569</v>
      </c>
      <c r="AN13" t="s">
        <v>6</v>
      </c>
      <c r="AO13" s="57">
        <v>46090.392812500002</v>
      </c>
      <c r="AR13" t="s">
        <v>6</v>
      </c>
      <c r="AS13" t="s">
        <v>219</v>
      </c>
      <c r="AT13" t="s">
        <v>230</v>
      </c>
      <c r="AV13" t="s">
        <v>1520</v>
      </c>
      <c r="AW13" t="s">
        <v>599</v>
      </c>
      <c r="AX13" t="s">
        <v>222</v>
      </c>
      <c r="BA13" s="57">
        <v>25569</v>
      </c>
      <c r="BB13" s="58">
        <v>25569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13</v>
      </c>
      <c r="B14">
        <v>1002570414</v>
      </c>
      <c r="C14">
        <v>3</v>
      </c>
      <c r="D14" t="s">
        <v>34</v>
      </c>
      <c r="E14">
        <v>5</v>
      </c>
      <c r="F14" t="s">
        <v>554</v>
      </c>
      <c r="G14" t="s">
        <v>82</v>
      </c>
      <c r="H14" t="s">
        <v>264</v>
      </c>
      <c r="I14" t="s">
        <v>212</v>
      </c>
      <c r="J14" t="s">
        <v>213</v>
      </c>
      <c r="K14" t="s">
        <v>149</v>
      </c>
      <c r="M14" t="s">
        <v>972</v>
      </c>
      <c r="N14" t="s">
        <v>215</v>
      </c>
      <c r="O14" s="57">
        <v>46268.678078703706</v>
      </c>
      <c r="P14" s="57">
        <v>46268.679282407407</v>
      </c>
      <c r="Q14">
        <v>69383387</v>
      </c>
      <c r="S14">
        <v>172428816074</v>
      </c>
      <c r="T14" t="s">
        <v>2215</v>
      </c>
      <c r="U14" t="s">
        <v>2216</v>
      </c>
      <c r="Z14">
        <v>115.390771901755</v>
      </c>
      <c r="AA14">
        <v>-8.5525942545574392</v>
      </c>
      <c r="AB14" t="s">
        <v>2217</v>
      </c>
      <c r="AC14" t="s">
        <v>229</v>
      </c>
      <c r="AO14" s="57">
        <v>46090.684282407405</v>
      </c>
      <c r="AR14" t="s">
        <v>327</v>
      </c>
      <c r="AS14" t="s">
        <v>555</v>
      </c>
      <c r="AT14" t="s">
        <v>230</v>
      </c>
      <c r="AV14" t="s">
        <v>973</v>
      </c>
      <c r="AW14" t="s">
        <v>545</v>
      </c>
      <c r="AX14" t="s">
        <v>222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KLUNGKUNG</v>
      </c>
    </row>
    <row r="15" spans="1:61">
      <c r="A15">
        <v>14</v>
      </c>
      <c r="B15">
        <v>1002570341</v>
      </c>
      <c r="C15">
        <v>3</v>
      </c>
      <c r="D15" t="s">
        <v>34</v>
      </c>
      <c r="E15">
        <v>5</v>
      </c>
      <c r="F15" t="s">
        <v>554</v>
      </c>
      <c r="G15" t="s">
        <v>82</v>
      </c>
      <c r="H15" t="s">
        <v>264</v>
      </c>
      <c r="I15" t="s">
        <v>212</v>
      </c>
      <c r="J15" t="s">
        <v>213</v>
      </c>
      <c r="K15" t="s">
        <v>149</v>
      </c>
      <c r="M15" t="s">
        <v>972</v>
      </c>
      <c r="N15" t="s">
        <v>215</v>
      </c>
      <c r="O15" s="57">
        <v>46268.666655092595</v>
      </c>
      <c r="P15" s="57">
        <v>46268.66815972222</v>
      </c>
      <c r="Q15">
        <v>69383357</v>
      </c>
      <c r="S15">
        <v>172428816071</v>
      </c>
      <c r="T15" t="s">
        <v>2215</v>
      </c>
      <c r="U15" t="s">
        <v>2218</v>
      </c>
      <c r="Z15">
        <v>115.390768541847</v>
      </c>
      <c r="AA15">
        <v>-8.5525942545574392</v>
      </c>
      <c r="AB15" t="s">
        <v>2219</v>
      </c>
      <c r="AC15" t="s">
        <v>229</v>
      </c>
      <c r="AO15" s="57">
        <v>46090.673796296294</v>
      </c>
      <c r="AR15" t="s">
        <v>327</v>
      </c>
      <c r="AS15" t="s">
        <v>555</v>
      </c>
      <c r="AT15" t="s">
        <v>230</v>
      </c>
      <c r="AV15" t="s">
        <v>973</v>
      </c>
      <c r="AW15" t="s">
        <v>545</v>
      </c>
      <c r="AX15" t="s">
        <v>222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KLUNGKUNG</v>
      </c>
    </row>
    <row r="16" spans="1:61">
      <c r="A16">
        <v>15</v>
      </c>
      <c r="B16">
        <v>1002568688</v>
      </c>
      <c r="C16">
        <v>3</v>
      </c>
      <c r="D16" t="s">
        <v>34</v>
      </c>
      <c r="E16">
        <v>5</v>
      </c>
      <c r="F16" t="s">
        <v>554</v>
      </c>
      <c r="G16" t="s">
        <v>85</v>
      </c>
      <c r="H16" t="s">
        <v>279</v>
      </c>
      <c r="I16" t="s">
        <v>212</v>
      </c>
      <c r="J16" t="s">
        <v>213</v>
      </c>
      <c r="K16" t="s">
        <v>149</v>
      </c>
      <c r="M16" t="s">
        <v>972</v>
      </c>
      <c r="N16" t="s">
        <v>215</v>
      </c>
      <c r="O16" s="57">
        <v>46268.349039351851</v>
      </c>
      <c r="P16" s="57">
        <v>46268.350115740737</v>
      </c>
      <c r="Q16">
        <v>69382695</v>
      </c>
      <c r="S16">
        <v>172413244714</v>
      </c>
      <c r="T16" t="s">
        <v>2220</v>
      </c>
      <c r="U16" t="s">
        <v>2221</v>
      </c>
      <c r="Z16">
        <v>115.143073</v>
      </c>
      <c r="AA16">
        <v>-8.5688189999999995</v>
      </c>
      <c r="AB16" t="s">
        <v>2222</v>
      </c>
      <c r="AC16" t="s">
        <v>229</v>
      </c>
      <c r="AO16" s="57">
        <v>46090.350740740738</v>
      </c>
      <c r="AR16" t="s">
        <v>327</v>
      </c>
      <c r="AS16" t="s">
        <v>85</v>
      </c>
      <c r="AT16" t="s">
        <v>344</v>
      </c>
      <c r="AV16" t="s">
        <v>973</v>
      </c>
      <c r="AW16" t="s">
        <v>1842</v>
      </c>
      <c r="AX16" t="s">
        <v>222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TABANAN</v>
      </c>
    </row>
    <row r="17" spans="1:61">
      <c r="A17">
        <v>16</v>
      </c>
      <c r="B17">
        <v>1002568091</v>
      </c>
      <c r="C17">
        <v>3</v>
      </c>
      <c r="D17" t="s">
        <v>34</v>
      </c>
      <c r="E17">
        <v>5</v>
      </c>
      <c r="F17" t="s">
        <v>563</v>
      </c>
      <c r="G17" t="s">
        <v>83</v>
      </c>
      <c r="H17" t="s">
        <v>379</v>
      </c>
      <c r="I17" t="s">
        <v>212</v>
      </c>
      <c r="J17" t="s">
        <v>213</v>
      </c>
      <c r="K17" t="s">
        <v>149</v>
      </c>
      <c r="M17" t="s">
        <v>972</v>
      </c>
      <c r="N17" t="s">
        <v>581</v>
      </c>
      <c r="O17" s="57">
        <v>46267.646006944444</v>
      </c>
      <c r="P17" s="57">
        <v>46267.647280092591</v>
      </c>
      <c r="Q17">
        <v>69382438</v>
      </c>
      <c r="S17">
        <v>172422212787</v>
      </c>
      <c r="T17" t="s">
        <v>1521</v>
      </c>
      <c r="U17" t="s">
        <v>1522</v>
      </c>
      <c r="Z17">
        <v>115.24644718691501</v>
      </c>
      <c r="AA17">
        <v>-8.6353376878044603</v>
      </c>
      <c r="AB17" t="s">
        <v>1523</v>
      </c>
      <c r="AC17" t="s">
        <v>284</v>
      </c>
      <c r="AO17" s="57">
        <v>46062.652743055558</v>
      </c>
      <c r="AR17" t="s">
        <v>327</v>
      </c>
      <c r="AS17" t="s">
        <v>1524</v>
      </c>
      <c r="AT17" t="s">
        <v>220</v>
      </c>
      <c r="AV17" t="s">
        <v>973</v>
      </c>
      <c r="AW17" t="s">
        <v>598</v>
      </c>
      <c r="AX17" t="s">
        <v>222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SANUR</v>
      </c>
    </row>
    <row r="18" spans="1:61">
      <c r="A18">
        <v>17</v>
      </c>
      <c r="B18">
        <v>1002566538</v>
      </c>
      <c r="C18">
        <v>3</v>
      </c>
      <c r="D18" t="s">
        <v>59</v>
      </c>
      <c r="E18">
        <v>4</v>
      </c>
      <c r="F18" t="s">
        <v>549</v>
      </c>
      <c r="G18" t="s">
        <v>582</v>
      </c>
      <c r="H18" t="s">
        <v>583</v>
      </c>
      <c r="I18" t="s">
        <v>212</v>
      </c>
      <c r="J18" t="s">
        <v>213</v>
      </c>
      <c r="K18" t="s">
        <v>149</v>
      </c>
      <c r="M18" t="s">
        <v>972</v>
      </c>
      <c r="N18" t="s">
        <v>215</v>
      </c>
      <c r="O18" s="57">
        <v>46266.965520833335</v>
      </c>
      <c r="P18" s="57">
        <v>46266.966724537036</v>
      </c>
      <c r="Q18">
        <v>69381894</v>
      </c>
      <c r="S18">
        <v>146130138736</v>
      </c>
      <c r="T18" t="s">
        <v>1040</v>
      </c>
      <c r="U18" t="s">
        <v>1041</v>
      </c>
      <c r="Z18">
        <v>110.433431469799</v>
      </c>
      <c r="AA18">
        <v>-7.7632600050565603</v>
      </c>
      <c r="AB18" t="s">
        <v>1042</v>
      </c>
      <c r="AC18" t="s">
        <v>285</v>
      </c>
      <c r="AO18" s="57">
        <v>46031.975787037038</v>
      </c>
      <c r="AR18" t="s">
        <v>327</v>
      </c>
      <c r="AS18" t="s">
        <v>904</v>
      </c>
      <c r="AT18" t="s">
        <v>230</v>
      </c>
      <c r="AV18" t="s">
        <v>973</v>
      </c>
      <c r="AW18" t="s">
        <v>545</v>
      </c>
      <c r="AX18" t="s">
        <v>222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e">
        <f>VLOOKUP(H18,Sheet2!$A$1:$B$270,2,FALSE)</f>
        <v>#N/A</v>
      </c>
    </row>
    <row r="19" spans="1:61">
      <c r="A19">
        <v>18</v>
      </c>
      <c r="B19">
        <v>1002570166</v>
      </c>
      <c r="C19">
        <v>3</v>
      </c>
      <c r="D19" t="s">
        <v>38</v>
      </c>
      <c r="E19">
        <v>5</v>
      </c>
      <c r="F19" t="s">
        <v>248</v>
      </c>
      <c r="G19" t="s">
        <v>91</v>
      </c>
      <c r="H19" t="s">
        <v>403</v>
      </c>
      <c r="I19" t="s">
        <v>212</v>
      </c>
      <c r="J19" t="s">
        <v>213</v>
      </c>
      <c r="K19" t="s">
        <v>149</v>
      </c>
      <c r="L19" t="s">
        <v>214</v>
      </c>
      <c r="M19" t="s">
        <v>2223</v>
      </c>
      <c r="N19" t="s">
        <v>215</v>
      </c>
      <c r="O19" s="57">
        <v>46268.636076388888</v>
      </c>
      <c r="P19" s="57">
        <v>46269.443935185183</v>
      </c>
      <c r="Q19">
        <v>69383299</v>
      </c>
      <c r="S19">
        <v>152701227350</v>
      </c>
      <c r="T19" t="s">
        <v>2224</v>
      </c>
      <c r="U19" t="s">
        <v>2225</v>
      </c>
      <c r="V19" t="s">
        <v>2226</v>
      </c>
      <c r="Z19">
        <v>112.631162</v>
      </c>
      <c r="AA19">
        <v>-7.9713270999999999</v>
      </c>
      <c r="AB19" t="s">
        <v>2227</v>
      </c>
      <c r="AC19" t="s">
        <v>236</v>
      </c>
      <c r="AL19" t="s">
        <v>217</v>
      </c>
      <c r="AM19" t="s">
        <v>2228</v>
      </c>
      <c r="AN19" t="s">
        <v>6</v>
      </c>
      <c r="AO19" s="57">
        <v>46090.64261574074</v>
      </c>
      <c r="AP19" s="57">
        <v>46269.541666666664</v>
      </c>
      <c r="AR19" t="s">
        <v>327</v>
      </c>
      <c r="AS19" t="s">
        <v>248</v>
      </c>
      <c r="AT19" t="s">
        <v>230</v>
      </c>
      <c r="AW19" t="s">
        <v>887</v>
      </c>
      <c r="AX19" t="s">
        <v>222</v>
      </c>
      <c r="BA19" s="57">
        <v>46269.541666666664</v>
      </c>
      <c r="BB19" t="s">
        <v>2228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MALANG</v>
      </c>
    </row>
    <row r="20" spans="1:61">
      <c r="A20">
        <v>19</v>
      </c>
      <c r="B20">
        <v>1002569720</v>
      </c>
      <c r="C20">
        <v>3</v>
      </c>
      <c r="D20" t="s">
        <v>55</v>
      </c>
      <c r="E20">
        <v>5</v>
      </c>
      <c r="F20" t="s">
        <v>307</v>
      </c>
      <c r="G20" t="s">
        <v>126</v>
      </c>
      <c r="H20" t="s">
        <v>372</v>
      </c>
      <c r="I20" t="s">
        <v>212</v>
      </c>
      <c r="J20" t="s">
        <v>213</v>
      </c>
      <c r="K20" t="s">
        <v>149</v>
      </c>
      <c r="M20" t="s">
        <v>541</v>
      </c>
      <c r="N20" t="s">
        <v>215</v>
      </c>
      <c r="O20" s="57">
        <v>46268.557812500003</v>
      </c>
      <c r="P20" s="57">
        <v>46269.434236111112</v>
      </c>
      <c r="Q20">
        <v>69383152</v>
      </c>
      <c r="R20">
        <v>3135953524</v>
      </c>
      <c r="S20">
        <v>152303243710</v>
      </c>
      <c r="T20" t="s">
        <v>2229</v>
      </c>
      <c r="U20" t="s">
        <v>2230</v>
      </c>
      <c r="Z20">
        <v>112.78130109999999</v>
      </c>
      <c r="AA20">
        <v>-7.3009601999999996</v>
      </c>
      <c r="AB20" t="s">
        <v>2231</v>
      </c>
      <c r="AC20" t="s">
        <v>225</v>
      </c>
      <c r="AO20" s="57">
        <v>46090.559363425928</v>
      </c>
      <c r="AR20" t="s">
        <v>6</v>
      </c>
      <c r="AS20" t="s">
        <v>126</v>
      </c>
      <c r="AT20" t="s">
        <v>230</v>
      </c>
      <c r="AV20" t="s">
        <v>2232</v>
      </c>
      <c r="AW20" t="s">
        <v>546</v>
      </c>
      <c r="AX20" t="s">
        <v>222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SURABAYA SELATAN</v>
      </c>
    </row>
    <row r="21" spans="1:61">
      <c r="A21">
        <v>20</v>
      </c>
      <c r="B21">
        <v>1002569007</v>
      </c>
      <c r="C21">
        <v>3</v>
      </c>
      <c r="D21" t="s">
        <v>59</v>
      </c>
      <c r="E21">
        <v>4</v>
      </c>
      <c r="F21" t="s">
        <v>549</v>
      </c>
      <c r="G21" t="s">
        <v>1698</v>
      </c>
      <c r="H21" t="s">
        <v>2007</v>
      </c>
      <c r="I21" t="s">
        <v>212</v>
      </c>
      <c r="J21" t="s">
        <v>213</v>
      </c>
      <c r="K21" t="s">
        <v>149</v>
      </c>
      <c r="M21" t="s">
        <v>541</v>
      </c>
      <c r="N21" t="s">
        <v>215</v>
      </c>
      <c r="O21" s="57">
        <v>46268.409884259258</v>
      </c>
      <c r="P21" s="57">
        <v>46268.756481481483</v>
      </c>
      <c r="Q21">
        <v>69382852</v>
      </c>
      <c r="S21">
        <v>146144118733</v>
      </c>
      <c r="T21" t="s">
        <v>2233</v>
      </c>
      <c r="U21" t="s">
        <v>2234</v>
      </c>
      <c r="Z21">
        <v>110.421550869941</v>
      </c>
      <c r="AA21">
        <v>-7.6210794688290999</v>
      </c>
      <c r="AB21" t="s">
        <v>2235</v>
      </c>
      <c r="AC21" t="s">
        <v>285</v>
      </c>
      <c r="AO21" s="57">
        <v>46090.413159722222</v>
      </c>
      <c r="AP21" s="57">
        <v>46270.541666666664</v>
      </c>
      <c r="AR21" t="s">
        <v>6</v>
      </c>
      <c r="AS21" t="s">
        <v>219</v>
      </c>
      <c r="AT21" t="s">
        <v>230</v>
      </c>
      <c r="AV21" t="s">
        <v>2236</v>
      </c>
      <c r="AW21" t="s">
        <v>545</v>
      </c>
      <c r="AX21" t="s">
        <v>222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1002570594</v>
      </c>
      <c r="C22">
        <v>3</v>
      </c>
      <c r="D22" t="s">
        <v>49</v>
      </c>
      <c r="E22">
        <v>4</v>
      </c>
      <c r="F22" t="s">
        <v>250</v>
      </c>
      <c r="G22" t="s">
        <v>253</v>
      </c>
      <c r="H22" t="s">
        <v>2237</v>
      </c>
      <c r="I22" t="s">
        <v>212</v>
      </c>
      <c r="J22" t="s">
        <v>213</v>
      </c>
      <c r="K22" t="s">
        <v>149</v>
      </c>
      <c r="M22" t="s">
        <v>541</v>
      </c>
      <c r="N22" t="s">
        <v>215</v>
      </c>
      <c r="O22" s="57">
        <v>46268.720590277779</v>
      </c>
      <c r="P22" s="57">
        <v>46268.771111111113</v>
      </c>
      <c r="Q22">
        <v>69383466</v>
      </c>
      <c r="S22">
        <v>146282105643</v>
      </c>
      <c r="T22" t="s">
        <v>2238</v>
      </c>
      <c r="U22" t="s">
        <v>2239</v>
      </c>
      <c r="Z22">
        <v>109.141057</v>
      </c>
      <c r="AA22">
        <v>-6.9166420999999998</v>
      </c>
      <c r="AB22" t="s">
        <v>2240</v>
      </c>
      <c r="AC22" t="s">
        <v>225</v>
      </c>
      <c r="AO22" s="57">
        <v>46090.725902777776</v>
      </c>
      <c r="AR22" t="s">
        <v>6</v>
      </c>
      <c r="AS22" t="s">
        <v>2241</v>
      </c>
      <c r="AT22" t="s">
        <v>230</v>
      </c>
      <c r="AV22" t="s">
        <v>2242</v>
      </c>
      <c r="AW22" t="s">
        <v>545</v>
      </c>
      <c r="AX22" t="s">
        <v>222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e">
        <f>VLOOKUP(H22,Sheet2!$A$1:$B$270,2,FALSE)</f>
        <v>#N/A</v>
      </c>
    </row>
    <row r="23" spans="1:61">
      <c r="A23">
        <v>22</v>
      </c>
      <c r="B23">
        <v>1002566671</v>
      </c>
      <c r="C23">
        <v>3</v>
      </c>
      <c r="D23" t="s">
        <v>34</v>
      </c>
      <c r="E23">
        <v>5</v>
      </c>
      <c r="F23" t="s">
        <v>554</v>
      </c>
      <c r="G23" t="s">
        <v>85</v>
      </c>
      <c r="H23" t="s">
        <v>279</v>
      </c>
      <c r="I23" t="s">
        <v>212</v>
      </c>
      <c r="J23" t="s">
        <v>213</v>
      </c>
      <c r="K23" t="s">
        <v>149</v>
      </c>
      <c r="M23" t="s">
        <v>541</v>
      </c>
      <c r="N23" t="s">
        <v>215</v>
      </c>
      <c r="O23" s="57">
        <v>46267.356516203705</v>
      </c>
      <c r="P23" s="57">
        <v>46268.709097222221</v>
      </c>
      <c r="Q23">
        <v>69381948</v>
      </c>
      <c r="S23">
        <v>172413244691</v>
      </c>
      <c r="T23" t="s">
        <v>1528</v>
      </c>
      <c r="U23" t="s">
        <v>1529</v>
      </c>
      <c r="Z23">
        <v>115.1825267</v>
      </c>
      <c r="AA23">
        <v>-8.5028325000000002</v>
      </c>
      <c r="AB23" t="s">
        <v>1530</v>
      </c>
      <c r="AC23" t="s">
        <v>229</v>
      </c>
      <c r="AO23" s="57">
        <v>46062.361122685186</v>
      </c>
      <c r="AR23" t="s">
        <v>6</v>
      </c>
      <c r="AS23" t="s">
        <v>85</v>
      </c>
      <c r="AT23" t="s">
        <v>230</v>
      </c>
      <c r="AV23" t="s">
        <v>2243</v>
      </c>
      <c r="AW23" t="s">
        <v>545</v>
      </c>
      <c r="AX23" t="s">
        <v>222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TABANAN</v>
      </c>
    </row>
    <row r="24" spans="1:61">
      <c r="A24">
        <v>23</v>
      </c>
      <c r="B24">
        <v>1002566613</v>
      </c>
      <c r="C24">
        <v>3</v>
      </c>
      <c r="D24" t="s">
        <v>34</v>
      </c>
      <c r="E24">
        <v>5</v>
      </c>
      <c r="F24" t="s">
        <v>554</v>
      </c>
      <c r="G24" t="s">
        <v>85</v>
      </c>
      <c r="H24" t="s">
        <v>279</v>
      </c>
      <c r="I24" t="s">
        <v>212</v>
      </c>
      <c r="J24" t="s">
        <v>213</v>
      </c>
      <c r="K24" t="s">
        <v>149</v>
      </c>
      <c r="M24" t="s">
        <v>541</v>
      </c>
      <c r="N24" t="s">
        <v>215</v>
      </c>
      <c r="O24" s="57">
        <v>46267.345983796295</v>
      </c>
      <c r="P24" s="57">
        <v>46269.438842592594</v>
      </c>
      <c r="Q24">
        <v>69381917</v>
      </c>
      <c r="S24">
        <v>172413244690</v>
      </c>
      <c r="T24" t="s">
        <v>1525</v>
      </c>
      <c r="U24" t="s">
        <v>1526</v>
      </c>
      <c r="Z24">
        <v>115.01495749999999</v>
      </c>
      <c r="AA24">
        <v>-8.4991479999999999</v>
      </c>
      <c r="AB24" t="s">
        <v>1527</v>
      </c>
      <c r="AC24" t="s">
        <v>229</v>
      </c>
      <c r="AO24" s="57">
        <v>46062.350763888891</v>
      </c>
      <c r="AR24" t="s">
        <v>6</v>
      </c>
      <c r="AS24" t="s">
        <v>85</v>
      </c>
      <c r="AT24" t="s">
        <v>230</v>
      </c>
      <c r="AV24" t="s">
        <v>2244</v>
      </c>
      <c r="AW24" t="s">
        <v>545</v>
      </c>
      <c r="AX24" t="s">
        <v>222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TABANAN</v>
      </c>
    </row>
    <row r="25" spans="1:61">
      <c r="A25">
        <v>24</v>
      </c>
      <c r="B25">
        <v>1002569863</v>
      </c>
      <c r="C25">
        <v>3</v>
      </c>
      <c r="D25" t="s">
        <v>59</v>
      </c>
      <c r="E25">
        <v>4</v>
      </c>
      <c r="F25" t="s">
        <v>223</v>
      </c>
      <c r="G25" t="s">
        <v>223</v>
      </c>
      <c r="H25" t="s">
        <v>2245</v>
      </c>
      <c r="I25" t="s">
        <v>212</v>
      </c>
      <c r="J25" t="s">
        <v>213</v>
      </c>
      <c r="K25" t="s">
        <v>149</v>
      </c>
      <c r="M25" t="s">
        <v>842</v>
      </c>
      <c r="N25" t="s">
        <v>215</v>
      </c>
      <c r="O25" s="57">
        <v>46268.581018518518</v>
      </c>
      <c r="P25" s="57">
        <v>46268.613043981481</v>
      </c>
      <c r="Q25">
        <v>69383179</v>
      </c>
      <c r="R25">
        <v>2812955228</v>
      </c>
      <c r="S25">
        <v>143374121462</v>
      </c>
      <c r="T25" t="s">
        <v>2246</v>
      </c>
      <c r="U25" t="s">
        <v>2247</v>
      </c>
      <c r="Z25">
        <v>109.2927423</v>
      </c>
      <c r="AA25">
        <v>-7.4573494</v>
      </c>
      <c r="AB25" t="s">
        <v>2248</v>
      </c>
      <c r="AC25" t="s">
        <v>284</v>
      </c>
      <c r="AO25" s="57">
        <v>46090.590648148151</v>
      </c>
      <c r="AR25" t="s">
        <v>6</v>
      </c>
      <c r="AS25" t="s">
        <v>219</v>
      </c>
      <c r="AT25" t="s">
        <v>230</v>
      </c>
      <c r="AV25" t="s">
        <v>2249</v>
      </c>
      <c r="AW25" t="s">
        <v>1675</v>
      </c>
      <c r="AX25" t="s">
        <v>222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>
      <c r="A26">
        <v>25</v>
      </c>
      <c r="B26">
        <v>1002564745</v>
      </c>
      <c r="C26">
        <v>3</v>
      </c>
      <c r="D26" t="s">
        <v>55</v>
      </c>
      <c r="E26">
        <v>5</v>
      </c>
      <c r="F26" t="s">
        <v>227</v>
      </c>
      <c r="G26" t="s">
        <v>121</v>
      </c>
      <c r="H26" t="s">
        <v>334</v>
      </c>
      <c r="I26" t="s">
        <v>212</v>
      </c>
      <c r="J26" t="s">
        <v>213</v>
      </c>
      <c r="K26" t="s">
        <v>149</v>
      </c>
      <c r="M26" t="s">
        <v>842</v>
      </c>
      <c r="N26" t="s">
        <v>215</v>
      </c>
      <c r="O26" s="57">
        <v>46266.44158564815</v>
      </c>
      <c r="P26" s="57">
        <v>46266.694004629629</v>
      </c>
      <c r="Q26">
        <v>69381308</v>
      </c>
      <c r="S26">
        <v>152434913996</v>
      </c>
      <c r="T26" t="s">
        <v>1049</v>
      </c>
      <c r="U26" t="s">
        <v>860</v>
      </c>
      <c r="Z26">
        <v>113.2519231</v>
      </c>
      <c r="AA26">
        <v>-7.1953864999999997</v>
      </c>
      <c r="AB26" t="s">
        <v>1050</v>
      </c>
      <c r="AC26" t="s">
        <v>229</v>
      </c>
      <c r="AO26" s="57">
        <v>46031.444409722222</v>
      </c>
      <c r="AR26" t="s">
        <v>6</v>
      </c>
      <c r="AS26" t="s">
        <v>335</v>
      </c>
      <c r="AT26" t="s">
        <v>230</v>
      </c>
      <c r="AV26" t="s">
        <v>1051</v>
      </c>
      <c r="AW26" t="s">
        <v>544</v>
      </c>
      <c r="AX26" t="s">
        <v>222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MADURA</v>
      </c>
    </row>
    <row r="27" spans="1:61">
      <c r="A27">
        <v>26</v>
      </c>
      <c r="B27">
        <v>1002564602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273</v>
      </c>
      <c r="I27" t="s">
        <v>212</v>
      </c>
      <c r="J27" t="s">
        <v>213</v>
      </c>
      <c r="K27" t="s">
        <v>149</v>
      </c>
      <c r="L27" t="s">
        <v>214</v>
      </c>
      <c r="M27" t="s">
        <v>559</v>
      </c>
      <c r="N27" t="s">
        <v>215</v>
      </c>
      <c r="O27" s="57">
        <v>46266.418541666666</v>
      </c>
      <c r="P27" s="57">
        <v>46268.718773148146</v>
      </c>
      <c r="Q27">
        <v>69374745</v>
      </c>
      <c r="S27">
        <v>172603791824</v>
      </c>
      <c r="T27" t="s">
        <v>949</v>
      </c>
      <c r="U27" t="s">
        <v>1539</v>
      </c>
      <c r="V27" t="s">
        <v>950</v>
      </c>
      <c r="Z27">
        <v>116.316</v>
      </c>
      <c r="AA27">
        <v>-8.6163000000000007</v>
      </c>
      <c r="AB27" t="s">
        <v>951</v>
      </c>
      <c r="AC27" t="s">
        <v>216</v>
      </c>
      <c r="AL27" t="s">
        <v>217</v>
      </c>
      <c r="AM27" t="s">
        <v>952</v>
      </c>
      <c r="AN27" t="s">
        <v>6</v>
      </c>
      <c r="AO27" s="57">
        <v>46031.423645833333</v>
      </c>
      <c r="AP27" s="57">
        <v>46261</v>
      </c>
      <c r="AR27" t="s">
        <v>548</v>
      </c>
      <c r="AS27" t="s">
        <v>901</v>
      </c>
      <c r="AT27" t="s">
        <v>230</v>
      </c>
      <c r="AV27" t="s">
        <v>847</v>
      </c>
      <c r="AW27" t="s">
        <v>831</v>
      </c>
      <c r="AX27" t="s">
        <v>222</v>
      </c>
      <c r="BA27" s="57">
        <v>46261.625</v>
      </c>
      <c r="BB27" t="s">
        <v>952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1002566333</v>
      </c>
      <c r="C28">
        <v>3</v>
      </c>
      <c r="D28" t="s">
        <v>59</v>
      </c>
      <c r="E28">
        <v>4</v>
      </c>
      <c r="F28" t="s">
        <v>549</v>
      </c>
      <c r="G28" t="s">
        <v>850</v>
      </c>
      <c r="H28" t="s">
        <v>851</v>
      </c>
      <c r="I28" t="s">
        <v>212</v>
      </c>
      <c r="J28" t="s">
        <v>213</v>
      </c>
      <c r="K28" t="s">
        <v>149</v>
      </c>
      <c r="L28" t="s">
        <v>214</v>
      </c>
      <c r="M28" t="s">
        <v>559</v>
      </c>
      <c r="N28" t="s">
        <v>215</v>
      </c>
      <c r="O28" s="57">
        <v>46266.70417824074</v>
      </c>
      <c r="P28" s="57">
        <v>46267.460439814815</v>
      </c>
      <c r="Q28">
        <v>69380335</v>
      </c>
      <c r="T28" t="s">
        <v>1027</v>
      </c>
      <c r="V28" t="s">
        <v>1028</v>
      </c>
      <c r="Z28">
        <v>110.74294399999999</v>
      </c>
      <c r="AA28">
        <v>-8.0177610000000001</v>
      </c>
      <c r="AB28" t="s">
        <v>1029</v>
      </c>
      <c r="AC28" t="s">
        <v>236</v>
      </c>
      <c r="AL28" t="s">
        <v>217</v>
      </c>
      <c r="AM28" t="s">
        <v>1030</v>
      </c>
      <c r="AN28" t="s">
        <v>6</v>
      </c>
      <c r="AO28" s="57">
        <v>46031.704814814817</v>
      </c>
      <c r="AP28" s="57">
        <v>46266</v>
      </c>
      <c r="AR28" t="s">
        <v>548</v>
      </c>
      <c r="AS28" t="s">
        <v>903</v>
      </c>
      <c r="AT28" t="s">
        <v>230</v>
      </c>
      <c r="AV28" t="s">
        <v>847</v>
      </c>
      <c r="AW28" t="s">
        <v>836</v>
      </c>
      <c r="AX28" t="s">
        <v>222</v>
      </c>
      <c r="BA28" s="57">
        <v>46266.625</v>
      </c>
      <c r="BB28" t="s">
        <v>1030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1002570491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273</v>
      </c>
      <c r="I29" t="s">
        <v>212</v>
      </c>
      <c r="J29" t="s">
        <v>213</v>
      </c>
      <c r="K29" t="s">
        <v>149</v>
      </c>
      <c r="L29" t="s">
        <v>214</v>
      </c>
      <c r="M29" t="s">
        <v>239</v>
      </c>
      <c r="N29" t="s">
        <v>215</v>
      </c>
      <c r="O29" s="57">
        <v>46268.691620370373</v>
      </c>
      <c r="P29" s="57">
        <v>46268.693124999998</v>
      </c>
      <c r="Q29">
        <v>69383417</v>
      </c>
      <c r="S29">
        <v>172603791837</v>
      </c>
      <c r="T29" t="s">
        <v>2250</v>
      </c>
      <c r="U29" t="s">
        <v>2251</v>
      </c>
      <c r="V29" t="s">
        <v>2252</v>
      </c>
      <c r="Z29">
        <v>116.4045907</v>
      </c>
      <c r="AA29">
        <v>-8.6998268999999997</v>
      </c>
      <c r="AB29" t="s">
        <v>2253</v>
      </c>
      <c r="AC29" t="s">
        <v>216</v>
      </c>
      <c r="AL29" t="s">
        <v>217</v>
      </c>
      <c r="AM29" t="s">
        <v>2254</v>
      </c>
      <c r="AN29" t="s">
        <v>6</v>
      </c>
      <c r="AO29" s="57">
        <v>46090.694386574076</v>
      </c>
      <c r="AP29" s="57">
        <v>46270.333333333336</v>
      </c>
      <c r="AR29" t="s">
        <v>240</v>
      </c>
      <c r="AS29" t="s">
        <v>901</v>
      </c>
      <c r="AT29" t="s">
        <v>230</v>
      </c>
      <c r="AV29" t="s">
        <v>239</v>
      </c>
      <c r="AW29" t="s">
        <v>883</v>
      </c>
      <c r="AX29" t="s">
        <v>222</v>
      </c>
      <c r="BA29" s="57">
        <v>46270.333333333336</v>
      </c>
      <c r="BB29" t="s">
        <v>2254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1002570462</v>
      </c>
      <c r="C30">
        <v>3</v>
      </c>
      <c r="D30" t="s">
        <v>38</v>
      </c>
      <c r="E30">
        <v>5</v>
      </c>
      <c r="F30" t="s">
        <v>92</v>
      </c>
      <c r="G30" t="s">
        <v>94</v>
      </c>
      <c r="H30" t="s">
        <v>452</v>
      </c>
      <c r="I30" t="s">
        <v>212</v>
      </c>
      <c r="J30" t="s">
        <v>213</v>
      </c>
      <c r="K30" t="s">
        <v>149</v>
      </c>
      <c r="L30" t="s">
        <v>214</v>
      </c>
      <c r="M30" t="s">
        <v>239</v>
      </c>
      <c r="N30" t="s">
        <v>215</v>
      </c>
      <c r="O30" s="57">
        <v>46268.685370370367</v>
      </c>
      <c r="P30" s="57">
        <v>46268.686192129629</v>
      </c>
      <c r="Q30">
        <v>69383398</v>
      </c>
      <c r="S30">
        <v>152605224370</v>
      </c>
      <c r="T30" t="s">
        <v>2255</v>
      </c>
      <c r="U30" t="s">
        <v>2256</v>
      </c>
      <c r="V30" t="s">
        <v>2257</v>
      </c>
      <c r="Z30">
        <v>111.51613620000001</v>
      </c>
      <c r="AA30">
        <v>-7.483949</v>
      </c>
      <c r="AB30" t="s">
        <v>2258</v>
      </c>
      <c r="AC30" t="s">
        <v>236</v>
      </c>
      <c r="AL30" t="s">
        <v>217</v>
      </c>
      <c r="AM30" t="s">
        <v>2259</v>
      </c>
      <c r="AN30" t="s">
        <v>6</v>
      </c>
      <c r="AO30" s="57">
        <v>46090.694386574076</v>
      </c>
      <c r="AP30" s="57">
        <v>46269.541666666664</v>
      </c>
      <c r="AR30" t="s">
        <v>240</v>
      </c>
      <c r="AS30" t="s">
        <v>219</v>
      </c>
      <c r="AT30" t="s">
        <v>344</v>
      </c>
      <c r="AV30" t="s">
        <v>239</v>
      </c>
      <c r="AW30" t="s">
        <v>1185</v>
      </c>
      <c r="AX30" t="s">
        <v>222</v>
      </c>
      <c r="BA30" s="57">
        <v>46269.541666666664</v>
      </c>
      <c r="BB30" t="s">
        <v>2259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MADIUN</v>
      </c>
    </row>
    <row r="31" spans="1:61">
      <c r="A31">
        <v>30</v>
      </c>
      <c r="B31">
        <v>1002570453</v>
      </c>
      <c r="C31">
        <v>3</v>
      </c>
      <c r="D31" t="s">
        <v>42</v>
      </c>
      <c r="E31">
        <v>5</v>
      </c>
      <c r="F31" t="s">
        <v>232</v>
      </c>
      <c r="G31" t="s">
        <v>105</v>
      </c>
      <c r="H31" t="s">
        <v>371</v>
      </c>
      <c r="I31" t="s">
        <v>212</v>
      </c>
      <c r="J31" t="s">
        <v>213</v>
      </c>
      <c r="K31" t="s">
        <v>149</v>
      </c>
      <c r="L31" t="s">
        <v>214</v>
      </c>
      <c r="M31" t="s">
        <v>239</v>
      </c>
      <c r="N31" t="s">
        <v>215</v>
      </c>
      <c r="O31" s="57">
        <v>46268.683981481481</v>
      </c>
      <c r="P31" s="57">
        <v>46268.684791666667</v>
      </c>
      <c r="Q31">
        <v>69383405</v>
      </c>
      <c r="S31">
        <v>152312243369</v>
      </c>
      <c r="T31" t="s">
        <v>2260</v>
      </c>
      <c r="U31" t="s">
        <v>2261</v>
      </c>
      <c r="V31" t="s">
        <v>2262</v>
      </c>
      <c r="Z31">
        <v>112.41100900000001</v>
      </c>
      <c r="AA31">
        <v>-7.5194939999999999</v>
      </c>
      <c r="AB31" t="s">
        <v>2263</v>
      </c>
      <c r="AC31" t="s">
        <v>236</v>
      </c>
      <c r="AL31" t="s">
        <v>217</v>
      </c>
      <c r="AM31" t="s">
        <v>2264</v>
      </c>
      <c r="AN31" t="s">
        <v>6</v>
      </c>
      <c r="AO31" s="57">
        <v>46090.694386574076</v>
      </c>
      <c r="AP31" s="57">
        <v>46269.625</v>
      </c>
      <c r="AR31" t="s">
        <v>240</v>
      </c>
      <c r="AS31" t="s">
        <v>105</v>
      </c>
      <c r="AT31" t="s">
        <v>230</v>
      </c>
      <c r="AV31" t="s">
        <v>239</v>
      </c>
      <c r="AW31" t="s">
        <v>887</v>
      </c>
      <c r="AX31" t="s">
        <v>222</v>
      </c>
      <c r="BA31" s="57">
        <v>46269.625</v>
      </c>
      <c r="BB31" t="s">
        <v>2264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MOJOKERTO</v>
      </c>
    </row>
    <row r="32" spans="1:61">
      <c r="A32">
        <v>31</v>
      </c>
      <c r="B32">
        <v>1002570481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273</v>
      </c>
      <c r="I32" t="s">
        <v>212</v>
      </c>
      <c r="J32" t="s">
        <v>213</v>
      </c>
      <c r="K32" t="s">
        <v>149</v>
      </c>
      <c r="L32" t="s">
        <v>214</v>
      </c>
      <c r="M32" t="s">
        <v>239</v>
      </c>
      <c r="N32" t="s">
        <v>215</v>
      </c>
      <c r="O32" s="57">
        <v>46268.68954861111</v>
      </c>
      <c r="P32" s="57">
        <v>46268.690347222226</v>
      </c>
      <c r="Q32">
        <v>69383425</v>
      </c>
      <c r="S32">
        <v>172603791836</v>
      </c>
      <c r="T32" t="s">
        <v>2265</v>
      </c>
      <c r="U32" t="s">
        <v>2251</v>
      </c>
      <c r="V32" t="s">
        <v>2266</v>
      </c>
      <c r="Z32">
        <v>116.404643543064</v>
      </c>
      <c r="AA32">
        <v>-8.6997965225413996</v>
      </c>
      <c r="AB32" t="s">
        <v>2267</v>
      </c>
      <c r="AC32" t="s">
        <v>216</v>
      </c>
      <c r="AL32" t="s">
        <v>217</v>
      </c>
      <c r="AM32" t="s">
        <v>2264</v>
      </c>
      <c r="AN32" t="s">
        <v>6</v>
      </c>
      <c r="AO32" s="57">
        <v>46090.694386574076</v>
      </c>
      <c r="AP32" s="57">
        <v>46269.625</v>
      </c>
      <c r="AR32" t="s">
        <v>240</v>
      </c>
      <c r="AS32" t="s">
        <v>901</v>
      </c>
      <c r="AT32" t="s">
        <v>230</v>
      </c>
      <c r="AV32" t="s">
        <v>239</v>
      </c>
      <c r="AW32" t="s">
        <v>883</v>
      </c>
      <c r="AX32" t="s">
        <v>222</v>
      </c>
      <c r="BA32" s="57">
        <v>46269.625</v>
      </c>
      <c r="BB32" t="s">
        <v>2264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SELONG</v>
      </c>
    </row>
    <row r="33" spans="1:61">
      <c r="A33">
        <v>32</v>
      </c>
      <c r="B33">
        <v>1002570473</v>
      </c>
      <c r="C33">
        <v>3</v>
      </c>
      <c r="D33" t="s">
        <v>38</v>
      </c>
      <c r="E33">
        <v>5</v>
      </c>
      <c r="F33" t="s">
        <v>248</v>
      </c>
      <c r="G33" t="s">
        <v>91</v>
      </c>
      <c r="H33" t="s">
        <v>388</v>
      </c>
      <c r="I33" t="s">
        <v>212</v>
      </c>
      <c r="J33" t="s">
        <v>213</v>
      </c>
      <c r="K33" t="s">
        <v>149</v>
      </c>
      <c r="L33" t="s">
        <v>214</v>
      </c>
      <c r="M33" t="s">
        <v>239</v>
      </c>
      <c r="N33" t="s">
        <v>215</v>
      </c>
      <c r="O33" s="57">
        <v>46268.687465277777</v>
      </c>
      <c r="P33" s="57">
        <v>46268.688900462963</v>
      </c>
      <c r="Q33">
        <v>69383409</v>
      </c>
      <c r="S33">
        <v>152703903736</v>
      </c>
      <c r="T33" t="s">
        <v>2268</v>
      </c>
      <c r="U33" t="s">
        <v>2269</v>
      </c>
      <c r="V33" t="s">
        <v>2270</v>
      </c>
      <c r="Z33">
        <v>112.5975167</v>
      </c>
      <c r="AA33">
        <v>-7.9672351999999904</v>
      </c>
      <c r="AB33" t="s">
        <v>2271</v>
      </c>
      <c r="AC33" t="s">
        <v>236</v>
      </c>
      <c r="AL33" t="s">
        <v>217</v>
      </c>
      <c r="AM33" t="s">
        <v>2272</v>
      </c>
      <c r="AN33" t="s">
        <v>6</v>
      </c>
      <c r="AO33" s="57">
        <v>46090.694386574076</v>
      </c>
      <c r="AP33" s="57">
        <v>46269.625</v>
      </c>
      <c r="AR33" t="s">
        <v>240</v>
      </c>
      <c r="AS33" t="s">
        <v>557</v>
      </c>
      <c r="AT33" t="s">
        <v>230</v>
      </c>
      <c r="AV33" t="s">
        <v>239</v>
      </c>
      <c r="AW33" t="s">
        <v>885</v>
      </c>
      <c r="AX33" t="s">
        <v>222</v>
      </c>
      <c r="BA33" s="57">
        <v>46269.625</v>
      </c>
      <c r="BB33" t="s">
        <v>2272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MALANG</v>
      </c>
    </row>
    <row r="34" spans="1:61">
      <c r="A34">
        <v>33</v>
      </c>
      <c r="B34">
        <v>1002569611</v>
      </c>
      <c r="C34">
        <v>3</v>
      </c>
      <c r="D34" t="s">
        <v>45</v>
      </c>
      <c r="E34">
        <v>5</v>
      </c>
      <c r="F34" t="s">
        <v>113</v>
      </c>
      <c r="G34" t="s">
        <v>111</v>
      </c>
      <c r="H34" t="s">
        <v>255</v>
      </c>
      <c r="I34" t="s">
        <v>212</v>
      </c>
      <c r="J34" t="s">
        <v>213</v>
      </c>
      <c r="K34" t="s">
        <v>149</v>
      </c>
      <c r="L34" t="s">
        <v>214</v>
      </c>
      <c r="M34" t="s">
        <v>239</v>
      </c>
      <c r="N34" t="s">
        <v>215</v>
      </c>
      <c r="O34" s="57">
        <v>46268.529120370367</v>
      </c>
      <c r="P34" s="57">
        <v>46268.53056712963</v>
      </c>
      <c r="Q34">
        <v>69383093</v>
      </c>
      <c r="S34">
        <v>172506789156</v>
      </c>
      <c r="T34" t="s">
        <v>2273</v>
      </c>
      <c r="U34" t="s">
        <v>2274</v>
      </c>
      <c r="V34" t="s">
        <v>2275</v>
      </c>
      <c r="Z34">
        <v>121.6582861</v>
      </c>
      <c r="AA34">
        <v>-8.8452397999999999</v>
      </c>
      <c r="AB34" t="s">
        <v>2276</v>
      </c>
      <c r="AC34" t="s">
        <v>236</v>
      </c>
      <c r="AL34" t="s">
        <v>217</v>
      </c>
      <c r="AM34" t="s">
        <v>2277</v>
      </c>
      <c r="AN34" t="s">
        <v>6</v>
      </c>
      <c r="AO34" s="57">
        <v>46090.538240740738</v>
      </c>
      <c r="AP34" s="57">
        <v>46270.541666666664</v>
      </c>
      <c r="AR34" t="s">
        <v>240</v>
      </c>
      <c r="AS34" t="s">
        <v>111</v>
      </c>
      <c r="AT34" t="s">
        <v>230</v>
      </c>
      <c r="AV34" t="s">
        <v>239</v>
      </c>
      <c r="AW34" t="s">
        <v>888</v>
      </c>
      <c r="AX34" t="s">
        <v>222</v>
      </c>
      <c r="BA34" s="57">
        <v>46270.541666666664</v>
      </c>
      <c r="BB34" t="s">
        <v>2277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ENDE</v>
      </c>
    </row>
    <row r="35" spans="1:61">
      <c r="A35">
        <v>34</v>
      </c>
      <c r="B35">
        <v>1002569633</v>
      </c>
      <c r="C35">
        <v>3</v>
      </c>
      <c r="D35" t="s">
        <v>45</v>
      </c>
      <c r="E35">
        <v>5</v>
      </c>
      <c r="F35" t="s">
        <v>113</v>
      </c>
      <c r="G35" t="s">
        <v>109</v>
      </c>
      <c r="H35" t="s">
        <v>301</v>
      </c>
      <c r="I35" t="s">
        <v>212</v>
      </c>
      <c r="J35" t="s">
        <v>213</v>
      </c>
      <c r="K35" t="s">
        <v>149</v>
      </c>
      <c r="L35" t="s">
        <v>214</v>
      </c>
      <c r="M35" t="s">
        <v>239</v>
      </c>
      <c r="N35" t="s">
        <v>215</v>
      </c>
      <c r="O35" s="57">
        <v>46268.533993055556</v>
      </c>
      <c r="P35" s="57">
        <v>46268.534733796296</v>
      </c>
      <c r="Q35">
        <v>69383106</v>
      </c>
      <c r="S35">
        <v>172521216689</v>
      </c>
      <c r="T35" t="s">
        <v>2278</v>
      </c>
      <c r="U35" t="s">
        <v>2279</v>
      </c>
      <c r="V35" t="s">
        <v>2280</v>
      </c>
      <c r="Z35">
        <v>124.8679551</v>
      </c>
      <c r="AA35">
        <v>-9.2678347999999993</v>
      </c>
      <c r="AB35" t="s">
        <v>2281</v>
      </c>
      <c r="AC35" t="s">
        <v>236</v>
      </c>
      <c r="AL35" t="s">
        <v>217</v>
      </c>
      <c r="AM35" t="s">
        <v>2282</v>
      </c>
      <c r="AN35" t="s">
        <v>6</v>
      </c>
      <c r="AO35" s="57">
        <v>46090.538240740738</v>
      </c>
      <c r="AP35" s="57">
        <v>46272.541666666664</v>
      </c>
      <c r="AR35" t="s">
        <v>240</v>
      </c>
      <c r="AS35" t="s">
        <v>219</v>
      </c>
      <c r="AT35" t="s">
        <v>220</v>
      </c>
      <c r="AV35" t="s">
        <v>239</v>
      </c>
      <c r="AW35" t="s">
        <v>2283</v>
      </c>
      <c r="AX35" t="s">
        <v>222</v>
      </c>
      <c r="BA35" s="57">
        <v>46272.541666666664</v>
      </c>
      <c r="BB35" t="s">
        <v>2282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ATAMBUA</v>
      </c>
    </row>
    <row r="36" spans="1:61">
      <c r="A36">
        <v>35</v>
      </c>
      <c r="B36">
        <v>1002569977</v>
      </c>
      <c r="C36">
        <v>3</v>
      </c>
      <c r="D36" t="s">
        <v>51</v>
      </c>
      <c r="E36">
        <v>4</v>
      </c>
      <c r="F36" t="s">
        <v>269</v>
      </c>
      <c r="G36" t="s">
        <v>823</v>
      </c>
      <c r="H36" t="s">
        <v>837</v>
      </c>
      <c r="I36" t="s">
        <v>212</v>
      </c>
      <c r="J36" t="s">
        <v>213</v>
      </c>
      <c r="K36" t="s">
        <v>149</v>
      </c>
      <c r="M36" t="s">
        <v>239</v>
      </c>
      <c r="N36" t="s">
        <v>215</v>
      </c>
      <c r="O36" s="57">
        <v>46268.602997685186</v>
      </c>
      <c r="P36" s="57">
        <v>46269.426458333335</v>
      </c>
      <c r="Q36">
        <v>69383248</v>
      </c>
      <c r="R36">
        <v>2916944031</v>
      </c>
      <c r="S36">
        <v>146593115599</v>
      </c>
      <c r="T36" t="s">
        <v>2284</v>
      </c>
      <c r="U36" t="s">
        <v>2285</v>
      </c>
      <c r="V36" t="s">
        <v>2286</v>
      </c>
      <c r="Z36">
        <v>110.726451203213</v>
      </c>
      <c r="AA36">
        <v>-6.7963993980535102</v>
      </c>
      <c r="AB36" t="s">
        <v>2287</v>
      </c>
      <c r="AC36" t="s">
        <v>225</v>
      </c>
      <c r="AL36" t="s">
        <v>217</v>
      </c>
      <c r="AM36" t="s">
        <v>2288</v>
      </c>
      <c r="AN36" t="s">
        <v>6</v>
      </c>
      <c r="AO36" s="57">
        <v>46090.61109953704</v>
      </c>
      <c r="AP36" s="57">
        <v>46270.333333333336</v>
      </c>
      <c r="AR36" t="s">
        <v>240</v>
      </c>
      <c r="AS36" t="s">
        <v>919</v>
      </c>
      <c r="AT36" t="s">
        <v>230</v>
      </c>
      <c r="AV36" t="s">
        <v>239</v>
      </c>
      <c r="AW36" t="s">
        <v>585</v>
      </c>
      <c r="AX36" t="s">
        <v>222</v>
      </c>
      <c r="BA36" s="57">
        <v>46270.333333333336</v>
      </c>
      <c r="BB36" t="s">
        <v>2288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1002569992</v>
      </c>
      <c r="C37">
        <v>3</v>
      </c>
      <c r="D37" t="s">
        <v>42</v>
      </c>
      <c r="E37">
        <v>5</v>
      </c>
      <c r="F37" t="s">
        <v>232</v>
      </c>
      <c r="G37" t="s">
        <v>106</v>
      </c>
      <c r="H37" t="s">
        <v>441</v>
      </c>
      <c r="I37" t="s">
        <v>212</v>
      </c>
      <c r="J37" t="s">
        <v>213</v>
      </c>
      <c r="K37" t="s">
        <v>149</v>
      </c>
      <c r="M37" t="s">
        <v>239</v>
      </c>
      <c r="N37" t="s">
        <v>215</v>
      </c>
      <c r="O37" s="57">
        <v>46268.604826388888</v>
      </c>
      <c r="P37" s="57">
        <v>46268.691736111112</v>
      </c>
      <c r="Q37">
        <v>69383251</v>
      </c>
      <c r="S37">
        <v>152741225072</v>
      </c>
      <c r="T37" t="s">
        <v>2289</v>
      </c>
      <c r="U37" t="s">
        <v>2290</v>
      </c>
      <c r="V37" t="s">
        <v>2291</v>
      </c>
      <c r="Z37">
        <v>112.6797586</v>
      </c>
      <c r="AA37">
        <v>-7.6133509999999998</v>
      </c>
      <c r="AB37" t="s">
        <v>2292</v>
      </c>
      <c r="AC37" t="s">
        <v>229</v>
      </c>
      <c r="AL37" t="s">
        <v>217</v>
      </c>
      <c r="AM37" t="s">
        <v>2293</v>
      </c>
      <c r="AN37" t="s">
        <v>6</v>
      </c>
      <c r="AO37" s="57">
        <v>46090.61109953704</v>
      </c>
      <c r="AP37" s="57">
        <v>46273.458333333336</v>
      </c>
      <c r="AR37" t="s">
        <v>240</v>
      </c>
      <c r="AS37" t="s">
        <v>1513</v>
      </c>
      <c r="AT37" t="s">
        <v>230</v>
      </c>
      <c r="AV37" t="s">
        <v>239</v>
      </c>
      <c r="AW37" t="s">
        <v>545</v>
      </c>
      <c r="AX37" t="s">
        <v>222</v>
      </c>
      <c r="BA37" s="57">
        <v>46273.458333333336</v>
      </c>
      <c r="BB37" t="s">
        <v>2293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PASURUAN</v>
      </c>
    </row>
    <row r="38" spans="1:61">
      <c r="A38">
        <v>37</v>
      </c>
      <c r="B38">
        <v>1002570289</v>
      </c>
      <c r="C38">
        <v>3</v>
      </c>
      <c r="D38" t="s">
        <v>42</v>
      </c>
      <c r="E38">
        <v>5</v>
      </c>
      <c r="F38" t="s">
        <v>232</v>
      </c>
      <c r="G38" t="s">
        <v>101</v>
      </c>
      <c r="H38" t="s">
        <v>427</v>
      </c>
      <c r="I38" t="s">
        <v>212</v>
      </c>
      <c r="J38" t="s">
        <v>213</v>
      </c>
      <c r="K38" t="s">
        <v>149</v>
      </c>
      <c r="L38" t="s">
        <v>214</v>
      </c>
      <c r="M38" t="s">
        <v>239</v>
      </c>
      <c r="N38" t="s">
        <v>215</v>
      </c>
      <c r="O38" s="57">
        <v>46268.65828703704</v>
      </c>
      <c r="P38" s="57">
        <v>46268.659745370373</v>
      </c>
      <c r="Q38">
        <v>69383348</v>
      </c>
      <c r="S38">
        <v>152331251366</v>
      </c>
      <c r="T38" t="s">
        <v>2294</v>
      </c>
      <c r="U38" t="s">
        <v>2295</v>
      </c>
      <c r="V38" t="s">
        <v>2296</v>
      </c>
      <c r="Z38">
        <v>112.6063992</v>
      </c>
      <c r="AA38">
        <v>-7.3849516999999896</v>
      </c>
      <c r="AB38" t="s">
        <v>2297</v>
      </c>
      <c r="AC38" t="s">
        <v>236</v>
      </c>
      <c r="AL38" t="s">
        <v>217</v>
      </c>
      <c r="AM38" t="s">
        <v>2298</v>
      </c>
      <c r="AN38" t="s">
        <v>6</v>
      </c>
      <c r="AO38" s="57">
        <v>46090.663425925923</v>
      </c>
      <c r="AP38" s="57">
        <v>46269.625</v>
      </c>
      <c r="AR38" t="s">
        <v>240</v>
      </c>
      <c r="AS38" t="s">
        <v>573</v>
      </c>
      <c r="AT38" t="s">
        <v>230</v>
      </c>
      <c r="AV38" t="s">
        <v>239</v>
      </c>
      <c r="AW38" t="s">
        <v>537</v>
      </c>
      <c r="AX38" t="s">
        <v>222</v>
      </c>
      <c r="BA38" s="57">
        <v>46269.625</v>
      </c>
      <c r="BB38" t="s">
        <v>2298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SIDOARJO</v>
      </c>
    </row>
    <row r="39" spans="1:61">
      <c r="A39">
        <v>38</v>
      </c>
      <c r="B39">
        <v>1002570302</v>
      </c>
      <c r="C39">
        <v>3</v>
      </c>
      <c r="D39" t="s">
        <v>42</v>
      </c>
      <c r="E39">
        <v>5</v>
      </c>
      <c r="F39" t="s">
        <v>232</v>
      </c>
      <c r="G39" t="s">
        <v>101</v>
      </c>
      <c r="H39" t="s">
        <v>259</v>
      </c>
      <c r="I39" t="s">
        <v>212</v>
      </c>
      <c r="J39" t="s">
        <v>213</v>
      </c>
      <c r="K39" t="s">
        <v>149</v>
      </c>
      <c r="M39" t="s">
        <v>239</v>
      </c>
      <c r="N39" t="s">
        <v>215</v>
      </c>
      <c r="O39" s="57">
        <v>46268.660856481481</v>
      </c>
      <c r="P39" s="57">
        <v>46268.695856481485</v>
      </c>
      <c r="Q39">
        <v>69383349</v>
      </c>
      <c r="S39">
        <v>152316232581</v>
      </c>
      <c r="T39" t="s">
        <v>2299</v>
      </c>
      <c r="U39" t="s">
        <v>2300</v>
      </c>
      <c r="V39" t="s">
        <v>2301</v>
      </c>
      <c r="Z39">
        <v>112.74379980000001</v>
      </c>
      <c r="AA39">
        <v>-7.4632471000000002</v>
      </c>
      <c r="AB39" t="s">
        <v>2302</v>
      </c>
      <c r="AC39" t="s">
        <v>225</v>
      </c>
      <c r="AL39" t="s">
        <v>217</v>
      </c>
      <c r="AM39" t="s">
        <v>2303</v>
      </c>
      <c r="AN39" t="s">
        <v>6</v>
      </c>
      <c r="AO39" s="57">
        <v>46090.663425925923</v>
      </c>
      <c r="AP39" s="57">
        <v>46269.625</v>
      </c>
      <c r="AR39" t="s">
        <v>240</v>
      </c>
      <c r="AS39" t="s">
        <v>232</v>
      </c>
      <c r="AT39" t="s">
        <v>230</v>
      </c>
      <c r="AV39" t="s">
        <v>239</v>
      </c>
      <c r="AW39" t="s">
        <v>545</v>
      </c>
      <c r="AX39" t="s">
        <v>222</v>
      </c>
      <c r="BA39" s="57">
        <v>46269.625</v>
      </c>
      <c r="BB39" t="s">
        <v>2303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SIDOARJO</v>
      </c>
    </row>
    <row r="40" spans="1:61">
      <c r="A40">
        <v>39</v>
      </c>
      <c r="B40">
        <v>1002569957</v>
      </c>
      <c r="C40">
        <v>3</v>
      </c>
      <c r="D40" t="s">
        <v>42</v>
      </c>
      <c r="E40">
        <v>5</v>
      </c>
      <c r="F40" t="s">
        <v>102</v>
      </c>
      <c r="G40" t="s">
        <v>99</v>
      </c>
      <c r="H40" t="s">
        <v>375</v>
      </c>
      <c r="I40" t="s">
        <v>212</v>
      </c>
      <c r="J40" t="s">
        <v>213</v>
      </c>
      <c r="K40" t="s">
        <v>149</v>
      </c>
      <c r="L40" t="s">
        <v>214</v>
      </c>
      <c r="M40" t="s">
        <v>239</v>
      </c>
      <c r="N40" t="s">
        <v>215</v>
      </c>
      <c r="O40" s="57">
        <v>46268.597870370373</v>
      </c>
      <c r="P40" s="57">
        <v>46268.598726851851</v>
      </c>
      <c r="Q40">
        <v>69383243</v>
      </c>
      <c r="S40">
        <v>152524211212</v>
      </c>
      <c r="T40" t="s">
        <v>2304</v>
      </c>
      <c r="U40" t="s">
        <v>2305</v>
      </c>
      <c r="V40" t="s">
        <v>2306</v>
      </c>
      <c r="Z40">
        <v>114.228462092578</v>
      </c>
      <c r="AA40">
        <v>-8.4338991112268804</v>
      </c>
      <c r="AB40" t="s">
        <v>2307</v>
      </c>
      <c r="AC40" t="s">
        <v>216</v>
      </c>
      <c r="AL40" t="s">
        <v>217</v>
      </c>
      <c r="AM40" t="s">
        <v>2308</v>
      </c>
      <c r="AN40" t="s">
        <v>6</v>
      </c>
      <c r="AO40" s="57">
        <v>46090.600821759261</v>
      </c>
      <c r="AP40" s="57">
        <v>46269.541666666664</v>
      </c>
      <c r="AR40" t="s">
        <v>240</v>
      </c>
      <c r="AS40" t="s">
        <v>568</v>
      </c>
      <c r="AT40" t="s">
        <v>230</v>
      </c>
      <c r="AV40" t="s">
        <v>239</v>
      </c>
      <c r="AW40" t="s">
        <v>884</v>
      </c>
      <c r="AX40" t="s">
        <v>222</v>
      </c>
      <c r="BA40" s="57">
        <v>46269.541666666664</v>
      </c>
      <c r="BB40" t="s">
        <v>2308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BANYUWANGI</v>
      </c>
    </row>
    <row r="41" spans="1:61">
      <c r="A41">
        <v>40</v>
      </c>
      <c r="B41">
        <v>1002570113</v>
      </c>
      <c r="C41">
        <v>3</v>
      </c>
      <c r="D41" t="s">
        <v>51</v>
      </c>
      <c r="E41">
        <v>4</v>
      </c>
      <c r="F41" t="s">
        <v>234</v>
      </c>
      <c r="G41" t="s">
        <v>562</v>
      </c>
      <c r="H41" t="s">
        <v>588</v>
      </c>
      <c r="I41" t="s">
        <v>212</v>
      </c>
      <c r="J41" t="s">
        <v>213</v>
      </c>
      <c r="K41" t="s">
        <v>149</v>
      </c>
      <c r="M41" t="s">
        <v>239</v>
      </c>
      <c r="N41" t="s">
        <v>215</v>
      </c>
      <c r="O41" s="57">
        <v>46268.624884259261</v>
      </c>
      <c r="P41" s="57">
        <v>46269.423680555556</v>
      </c>
      <c r="Q41">
        <v>69383292</v>
      </c>
      <c r="S41">
        <v>142505403742</v>
      </c>
      <c r="T41" t="s">
        <v>2309</v>
      </c>
      <c r="U41" t="s">
        <v>2310</v>
      </c>
      <c r="V41" t="s">
        <v>2311</v>
      </c>
      <c r="Z41">
        <v>110.77962770000001</v>
      </c>
      <c r="AA41">
        <v>-7.5337966999999999</v>
      </c>
      <c r="AB41" t="s">
        <v>2312</v>
      </c>
      <c r="AC41" t="s">
        <v>229</v>
      </c>
      <c r="AL41" t="s">
        <v>217</v>
      </c>
      <c r="AM41" t="s">
        <v>2313</v>
      </c>
      <c r="AN41" t="s">
        <v>6</v>
      </c>
      <c r="AO41" s="57">
        <v>46090.64261574074</v>
      </c>
      <c r="AP41" s="57">
        <v>46270.541666666664</v>
      </c>
      <c r="AR41" t="s">
        <v>240</v>
      </c>
      <c r="AS41" t="s">
        <v>219</v>
      </c>
      <c r="AT41" t="s">
        <v>230</v>
      </c>
      <c r="AV41" t="s">
        <v>239</v>
      </c>
      <c r="AW41" t="s">
        <v>828</v>
      </c>
      <c r="AX41" t="s">
        <v>222</v>
      </c>
      <c r="BA41" s="57">
        <v>46270.541666666664</v>
      </c>
      <c r="BB41" t="s">
        <v>2313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1002570248</v>
      </c>
      <c r="C42">
        <v>3</v>
      </c>
      <c r="D42" t="s">
        <v>45</v>
      </c>
      <c r="E42">
        <v>5</v>
      </c>
      <c r="F42" t="s">
        <v>210</v>
      </c>
      <c r="G42" t="s">
        <v>118</v>
      </c>
      <c r="H42" t="s">
        <v>367</v>
      </c>
      <c r="I42" t="s">
        <v>212</v>
      </c>
      <c r="J42" t="s">
        <v>213</v>
      </c>
      <c r="K42" t="s">
        <v>149</v>
      </c>
      <c r="L42" t="s">
        <v>214</v>
      </c>
      <c r="M42" t="s">
        <v>239</v>
      </c>
      <c r="N42" t="s">
        <v>215</v>
      </c>
      <c r="O42" s="57">
        <v>46268.650659722225</v>
      </c>
      <c r="P42" s="57">
        <v>46268.651458333334</v>
      </c>
      <c r="Q42">
        <v>69383335</v>
      </c>
      <c r="S42">
        <v>172612801409</v>
      </c>
      <c r="T42" t="s">
        <v>2314</v>
      </c>
      <c r="U42" t="s">
        <v>2315</v>
      </c>
      <c r="V42" t="s">
        <v>2316</v>
      </c>
      <c r="Z42">
        <v>118.00340473651799</v>
      </c>
      <c r="AA42">
        <v>-8.7662761556597903</v>
      </c>
      <c r="AB42" t="s">
        <v>2317</v>
      </c>
      <c r="AC42" t="s">
        <v>216</v>
      </c>
      <c r="AL42" t="s">
        <v>217</v>
      </c>
      <c r="AM42" t="s">
        <v>2318</v>
      </c>
      <c r="AN42" t="s">
        <v>6</v>
      </c>
      <c r="AO42" s="57">
        <v>46090.652951388889</v>
      </c>
      <c r="AP42" s="57">
        <v>46269.541666666664</v>
      </c>
      <c r="AR42" t="s">
        <v>240</v>
      </c>
      <c r="AS42" t="s">
        <v>902</v>
      </c>
      <c r="AT42" t="s">
        <v>230</v>
      </c>
      <c r="AV42" t="s">
        <v>239</v>
      </c>
      <c r="AW42" t="s">
        <v>890</v>
      </c>
      <c r="AX42" t="s">
        <v>222</v>
      </c>
      <c r="BA42" s="57">
        <v>46269.541666666664</v>
      </c>
      <c r="BB42" t="s">
        <v>2318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SUMBAWA</v>
      </c>
    </row>
    <row r="43" spans="1:61">
      <c r="A43">
        <v>42</v>
      </c>
      <c r="B43">
        <v>1002569372</v>
      </c>
      <c r="C43">
        <v>3</v>
      </c>
      <c r="D43" t="s">
        <v>59</v>
      </c>
      <c r="E43">
        <v>4</v>
      </c>
      <c r="F43" t="s">
        <v>223</v>
      </c>
      <c r="G43" t="s">
        <v>2319</v>
      </c>
      <c r="H43" t="s">
        <v>2320</v>
      </c>
      <c r="I43" t="s">
        <v>212</v>
      </c>
      <c r="J43" t="s">
        <v>213</v>
      </c>
      <c r="K43" t="s">
        <v>149</v>
      </c>
      <c r="L43" t="s">
        <v>214</v>
      </c>
      <c r="M43" t="s">
        <v>239</v>
      </c>
      <c r="N43" t="s">
        <v>215</v>
      </c>
      <c r="O43" s="57">
        <v>46268.473576388889</v>
      </c>
      <c r="P43" s="57">
        <v>46268.475011574075</v>
      </c>
      <c r="Q43">
        <v>69382976</v>
      </c>
      <c r="S43">
        <v>143363111278</v>
      </c>
      <c r="T43" t="s">
        <v>2321</v>
      </c>
      <c r="U43" t="s">
        <v>2322</v>
      </c>
      <c r="V43" t="s">
        <v>2323</v>
      </c>
      <c r="Z43">
        <v>109.3672704</v>
      </c>
      <c r="AA43">
        <v>-7.3913900000000003</v>
      </c>
      <c r="AB43" t="s">
        <v>2324</v>
      </c>
      <c r="AC43" t="s">
        <v>236</v>
      </c>
      <c r="AL43" t="s">
        <v>217</v>
      </c>
      <c r="AM43" t="s">
        <v>2325</v>
      </c>
      <c r="AN43" t="s">
        <v>6</v>
      </c>
      <c r="AO43" s="57">
        <v>46090.475925925923</v>
      </c>
      <c r="AP43" s="57">
        <v>46270.375</v>
      </c>
      <c r="AR43" t="s">
        <v>240</v>
      </c>
      <c r="AS43" t="s">
        <v>219</v>
      </c>
      <c r="AT43" t="s">
        <v>230</v>
      </c>
      <c r="AV43" t="s">
        <v>239</v>
      </c>
      <c r="AW43" t="s">
        <v>887</v>
      </c>
      <c r="AX43" t="s">
        <v>222</v>
      </c>
      <c r="BA43" s="57">
        <v>46270.375</v>
      </c>
      <c r="BB43" t="s">
        <v>2325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>
      <c r="A44">
        <v>43</v>
      </c>
      <c r="B44">
        <v>1002569330</v>
      </c>
      <c r="C44">
        <v>3</v>
      </c>
      <c r="D44" t="s">
        <v>51</v>
      </c>
      <c r="E44">
        <v>4</v>
      </c>
      <c r="F44" t="s">
        <v>269</v>
      </c>
      <c r="G44" t="s">
        <v>269</v>
      </c>
      <c r="H44" t="s">
        <v>839</v>
      </c>
      <c r="I44" t="s">
        <v>212</v>
      </c>
      <c r="J44" t="s">
        <v>213</v>
      </c>
      <c r="K44" t="s">
        <v>149</v>
      </c>
      <c r="L44" t="s">
        <v>214</v>
      </c>
      <c r="M44" t="s">
        <v>239</v>
      </c>
      <c r="N44" t="s">
        <v>215</v>
      </c>
      <c r="O44" s="57">
        <v>46268.466620370367</v>
      </c>
      <c r="P44" s="57">
        <v>46268.468124999999</v>
      </c>
      <c r="Q44">
        <v>69382963</v>
      </c>
      <c r="S44">
        <v>142401146190</v>
      </c>
      <c r="T44" t="s">
        <v>2326</v>
      </c>
      <c r="U44" t="s">
        <v>2327</v>
      </c>
      <c r="V44" t="s">
        <v>2328</v>
      </c>
      <c r="Z44">
        <v>110.8724989</v>
      </c>
      <c r="AA44">
        <v>-6.7273535999999998</v>
      </c>
      <c r="AB44" t="s">
        <v>2329</v>
      </c>
      <c r="AC44" t="s">
        <v>236</v>
      </c>
      <c r="AL44" t="s">
        <v>217</v>
      </c>
      <c r="AM44" t="s">
        <v>2330</v>
      </c>
      <c r="AN44" t="s">
        <v>6</v>
      </c>
      <c r="AO44" s="57">
        <v>46090.475925925923</v>
      </c>
      <c r="AP44" s="57">
        <v>46269.541666666664</v>
      </c>
      <c r="AR44" t="s">
        <v>240</v>
      </c>
      <c r="AS44" t="s">
        <v>219</v>
      </c>
      <c r="AT44" t="s">
        <v>230</v>
      </c>
      <c r="AV44" t="s">
        <v>239</v>
      </c>
      <c r="AW44" t="s">
        <v>2098</v>
      </c>
      <c r="AX44" t="s">
        <v>222</v>
      </c>
      <c r="BA44" s="57">
        <v>46269.541666666664</v>
      </c>
      <c r="BB44" t="s">
        <v>2330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1002570195</v>
      </c>
      <c r="C45">
        <v>3</v>
      </c>
      <c r="D45" t="s">
        <v>45</v>
      </c>
      <c r="E45">
        <v>5</v>
      </c>
      <c r="F45" t="s">
        <v>210</v>
      </c>
      <c r="G45" t="s">
        <v>112</v>
      </c>
      <c r="H45" t="s">
        <v>263</v>
      </c>
      <c r="I45" t="s">
        <v>212</v>
      </c>
      <c r="J45" t="s">
        <v>213</v>
      </c>
      <c r="K45" t="s">
        <v>149</v>
      </c>
      <c r="L45" t="s">
        <v>214</v>
      </c>
      <c r="M45" t="s">
        <v>239</v>
      </c>
      <c r="N45" t="s">
        <v>215</v>
      </c>
      <c r="O45" s="57">
        <v>46268.642314814817</v>
      </c>
      <c r="P45" s="57">
        <v>46268.643136574072</v>
      </c>
      <c r="Q45">
        <v>69383309</v>
      </c>
      <c r="S45">
        <v>172601797586</v>
      </c>
      <c r="T45" t="s">
        <v>2331</v>
      </c>
      <c r="U45" t="s">
        <v>2332</v>
      </c>
      <c r="V45" t="s">
        <v>2333</v>
      </c>
      <c r="Z45">
        <v>116.09700992703399</v>
      </c>
      <c r="AA45">
        <v>-8.6168299759567795</v>
      </c>
      <c r="AB45" t="s">
        <v>2334</v>
      </c>
      <c r="AC45" t="s">
        <v>216</v>
      </c>
      <c r="AL45" t="s">
        <v>217</v>
      </c>
      <c r="AM45" t="s">
        <v>2335</v>
      </c>
      <c r="AN45" t="s">
        <v>6</v>
      </c>
      <c r="AO45" s="57">
        <v>46090.652951388889</v>
      </c>
      <c r="AP45" s="57">
        <v>46269.625</v>
      </c>
      <c r="AR45" t="s">
        <v>240</v>
      </c>
      <c r="AS45" t="s">
        <v>219</v>
      </c>
      <c r="AT45" t="s">
        <v>230</v>
      </c>
      <c r="AV45" t="s">
        <v>239</v>
      </c>
      <c r="AW45" t="s">
        <v>886</v>
      </c>
      <c r="AX45" t="s">
        <v>222</v>
      </c>
      <c r="BA45" s="57">
        <v>46269.625</v>
      </c>
      <c r="BB45" t="s">
        <v>2335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MATARAM</v>
      </c>
    </row>
    <row r="46" spans="1:61">
      <c r="A46">
        <v>45</v>
      </c>
      <c r="B46">
        <v>1002569348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358</v>
      </c>
      <c r="I46" t="s">
        <v>212</v>
      </c>
      <c r="J46" t="s">
        <v>213</v>
      </c>
      <c r="K46" t="s">
        <v>149</v>
      </c>
      <c r="L46" t="s">
        <v>214</v>
      </c>
      <c r="M46" t="s">
        <v>239</v>
      </c>
      <c r="N46" t="s">
        <v>215</v>
      </c>
      <c r="O46" s="57">
        <v>46268.47079861111</v>
      </c>
      <c r="P46" s="57">
        <v>46268.472233796296</v>
      </c>
      <c r="Q46">
        <v>69382986</v>
      </c>
      <c r="S46">
        <v>172619203312</v>
      </c>
      <c r="T46" t="s">
        <v>2336</v>
      </c>
      <c r="U46" t="s">
        <v>2337</v>
      </c>
      <c r="V46" t="s">
        <v>2338</v>
      </c>
      <c r="Z46">
        <v>116.5328341</v>
      </c>
      <c r="AA46">
        <v>-8.5636472000000001</v>
      </c>
      <c r="AB46" t="s">
        <v>2339</v>
      </c>
      <c r="AC46" t="s">
        <v>216</v>
      </c>
      <c r="AL46" t="s">
        <v>217</v>
      </c>
      <c r="AM46" t="s">
        <v>2340</v>
      </c>
      <c r="AN46" t="s">
        <v>6</v>
      </c>
      <c r="AO46" s="57">
        <v>46090.475925925923</v>
      </c>
      <c r="AP46" s="57">
        <v>46271.625</v>
      </c>
      <c r="AR46" t="s">
        <v>240</v>
      </c>
      <c r="AS46" t="s">
        <v>1714</v>
      </c>
      <c r="AT46" t="s">
        <v>230</v>
      </c>
      <c r="AV46" t="s">
        <v>239</v>
      </c>
      <c r="AW46" t="s">
        <v>2341</v>
      </c>
      <c r="AX46" t="s">
        <v>222</v>
      </c>
      <c r="BA46" s="57">
        <v>46271.625</v>
      </c>
      <c r="BB46" t="s">
        <v>2340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1002570135</v>
      </c>
      <c r="C47">
        <v>3</v>
      </c>
      <c r="D47" t="s">
        <v>34</v>
      </c>
      <c r="E47">
        <v>5</v>
      </c>
      <c r="F47" t="s">
        <v>563</v>
      </c>
      <c r="G47" t="s">
        <v>83</v>
      </c>
      <c r="H47" t="s">
        <v>318</v>
      </c>
      <c r="I47" t="s">
        <v>212</v>
      </c>
      <c r="J47" t="s">
        <v>213</v>
      </c>
      <c r="K47" t="s">
        <v>149</v>
      </c>
      <c r="M47" t="s">
        <v>239</v>
      </c>
      <c r="N47" t="s">
        <v>581</v>
      </c>
      <c r="O47" s="57">
        <v>46268.630613425928</v>
      </c>
      <c r="P47" s="57">
        <v>46268.71806712963</v>
      </c>
      <c r="Q47">
        <v>69383293</v>
      </c>
      <c r="R47">
        <v>3612108219</v>
      </c>
      <c r="S47">
        <v>172401793371</v>
      </c>
      <c r="T47" t="s">
        <v>2342</v>
      </c>
      <c r="U47" t="s">
        <v>2343</v>
      </c>
      <c r="V47" t="s">
        <v>2344</v>
      </c>
      <c r="Z47">
        <v>115.2339363</v>
      </c>
      <c r="AA47">
        <v>-8.6719913999999996</v>
      </c>
      <c r="AB47" t="s">
        <v>2345</v>
      </c>
      <c r="AC47" t="s">
        <v>587</v>
      </c>
      <c r="AL47" t="s">
        <v>217</v>
      </c>
      <c r="AM47" t="s">
        <v>2346</v>
      </c>
      <c r="AN47" t="s">
        <v>6</v>
      </c>
      <c r="AO47" s="57">
        <v>46090.64261574074</v>
      </c>
      <c r="AP47" s="57">
        <v>46269.625</v>
      </c>
      <c r="AR47" t="s">
        <v>240</v>
      </c>
      <c r="AS47" t="s">
        <v>1944</v>
      </c>
      <c r="AT47" t="s">
        <v>230</v>
      </c>
      <c r="AV47" t="s">
        <v>239</v>
      </c>
      <c r="AW47" t="s">
        <v>585</v>
      </c>
      <c r="AX47" t="s">
        <v>222</v>
      </c>
      <c r="BA47" s="57">
        <v>46269.625</v>
      </c>
      <c r="BB47" t="s">
        <v>2346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SANUR</v>
      </c>
    </row>
    <row r="48" spans="1:61">
      <c r="A48">
        <v>47</v>
      </c>
      <c r="B48">
        <v>1002570204</v>
      </c>
      <c r="C48">
        <v>3</v>
      </c>
      <c r="D48" t="s">
        <v>59</v>
      </c>
      <c r="E48">
        <v>4</v>
      </c>
      <c r="F48" t="s">
        <v>549</v>
      </c>
      <c r="G48" t="s">
        <v>1698</v>
      </c>
      <c r="H48" t="s">
        <v>2347</v>
      </c>
      <c r="I48" t="s">
        <v>212</v>
      </c>
      <c r="J48" t="s">
        <v>213</v>
      </c>
      <c r="K48" t="s">
        <v>149</v>
      </c>
      <c r="L48" t="s">
        <v>214</v>
      </c>
      <c r="M48" t="s">
        <v>239</v>
      </c>
      <c r="N48" t="s">
        <v>215</v>
      </c>
      <c r="O48" s="57">
        <v>46268.643703703703</v>
      </c>
      <c r="P48" s="57">
        <v>46268.644456018519</v>
      </c>
      <c r="Q48">
        <v>69383326</v>
      </c>
      <c r="S48">
        <v>146145120979</v>
      </c>
      <c r="T48" t="s">
        <v>2348</v>
      </c>
      <c r="U48" t="s">
        <v>2349</v>
      </c>
      <c r="V48" t="s">
        <v>2350</v>
      </c>
      <c r="Z48">
        <v>110.48982820000001</v>
      </c>
      <c r="AA48">
        <v>-7.7598278000000001</v>
      </c>
      <c r="AB48" t="s">
        <v>2351</v>
      </c>
      <c r="AC48" t="s">
        <v>236</v>
      </c>
      <c r="AL48" t="s">
        <v>217</v>
      </c>
      <c r="AM48" t="s">
        <v>2352</v>
      </c>
      <c r="AN48" t="s">
        <v>6</v>
      </c>
      <c r="AO48" s="57">
        <v>46090.652951388889</v>
      </c>
      <c r="AP48" s="57">
        <v>46269.625</v>
      </c>
      <c r="AR48" t="s">
        <v>240</v>
      </c>
      <c r="AS48" t="s">
        <v>2353</v>
      </c>
      <c r="AT48" t="s">
        <v>230</v>
      </c>
      <c r="AV48" t="s">
        <v>239</v>
      </c>
      <c r="AW48" t="s">
        <v>886</v>
      </c>
      <c r="AX48" t="s">
        <v>222</v>
      </c>
      <c r="BA48" s="57">
        <v>46269.625</v>
      </c>
      <c r="BB48" t="s">
        <v>2352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e">
        <f>VLOOKUP(H48,Sheet2!$A$1:$B$270,2,FALSE)</f>
        <v>#N/A</v>
      </c>
    </row>
    <row r="49" spans="1:61">
      <c r="A49">
        <v>48</v>
      </c>
      <c r="B49">
        <v>1002570129</v>
      </c>
      <c r="C49">
        <v>3</v>
      </c>
      <c r="D49" t="s">
        <v>49</v>
      </c>
      <c r="E49">
        <v>4</v>
      </c>
      <c r="F49" t="s">
        <v>245</v>
      </c>
      <c r="G49" t="s">
        <v>246</v>
      </c>
      <c r="H49" t="s">
        <v>2032</v>
      </c>
      <c r="I49" t="s">
        <v>212</v>
      </c>
      <c r="J49" t="s">
        <v>213</v>
      </c>
      <c r="K49" t="s">
        <v>149</v>
      </c>
      <c r="L49" t="s">
        <v>214</v>
      </c>
      <c r="M49" t="s">
        <v>239</v>
      </c>
      <c r="N49" t="s">
        <v>215</v>
      </c>
      <c r="O49" s="57">
        <v>46268.62703703704</v>
      </c>
      <c r="P49" s="57">
        <v>46268.627789351849</v>
      </c>
      <c r="Q49">
        <v>69383274</v>
      </c>
      <c r="S49">
        <v>141420160166</v>
      </c>
      <c r="T49" t="s">
        <v>2354</v>
      </c>
      <c r="U49" t="s">
        <v>2355</v>
      </c>
      <c r="V49" t="s">
        <v>2356</v>
      </c>
      <c r="Z49">
        <v>110.39961700000001</v>
      </c>
      <c r="AA49">
        <v>-6.9680390000000001</v>
      </c>
      <c r="AB49" t="s">
        <v>2357</v>
      </c>
      <c r="AC49" t="s">
        <v>236</v>
      </c>
      <c r="AL49" t="s">
        <v>217</v>
      </c>
      <c r="AM49" t="s">
        <v>2358</v>
      </c>
      <c r="AN49" t="s">
        <v>6</v>
      </c>
      <c r="AO49" s="57">
        <v>46090.64261574074</v>
      </c>
      <c r="AP49" s="57">
        <v>46269.541666666664</v>
      </c>
      <c r="AR49" t="s">
        <v>240</v>
      </c>
      <c r="AS49" t="s">
        <v>1965</v>
      </c>
      <c r="AT49" t="s">
        <v>230</v>
      </c>
      <c r="AV49" t="s">
        <v>239</v>
      </c>
      <c r="AW49" t="s">
        <v>888</v>
      </c>
      <c r="AX49" t="s">
        <v>222</v>
      </c>
      <c r="BA49" s="57">
        <v>46269.541666666664</v>
      </c>
      <c r="BB49" t="s">
        <v>2358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e">
        <f>VLOOKUP(H49,Sheet2!$A$1:$B$270,2,FALSE)</f>
        <v>#N/A</v>
      </c>
    </row>
    <row r="50" spans="1:61">
      <c r="A50">
        <v>49</v>
      </c>
      <c r="B50">
        <v>1002568868</v>
      </c>
      <c r="C50">
        <v>3</v>
      </c>
      <c r="D50" t="s">
        <v>59</v>
      </c>
      <c r="E50">
        <v>4</v>
      </c>
      <c r="F50" t="s">
        <v>549</v>
      </c>
      <c r="G50" t="s">
        <v>582</v>
      </c>
      <c r="H50" t="s">
        <v>841</v>
      </c>
      <c r="I50" t="s">
        <v>212</v>
      </c>
      <c r="J50" t="s">
        <v>213</v>
      </c>
      <c r="K50" t="s">
        <v>149</v>
      </c>
      <c r="L50" t="s">
        <v>214</v>
      </c>
      <c r="M50" t="s">
        <v>239</v>
      </c>
      <c r="N50" t="s">
        <v>215</v>
      </c>
      <c r="O50" s="57">
        <v>46268.385370370372</v>
      </c>
      <c r="P50" s="57">
        <v>46268.386122685188</v>
      </c>
      <c r="Q50">
        <v>69382743</v>
      </c>
      <c r="S50">
        <v>143132123720</v>
      </c>
      <c r="T50" t="s">
        <v>2359</v>
      </c>
      <c r="U50" t="s">
        <v>2360</v>
      </c>
      <c r="V50" t="s">
        <v>2361</v>
      </c>
      <c r="Z50">
        <v>110.4131168</v>
      </c>
      <c r="AA50">
        <v>-7.7986060000000004</v>
      </c>
      <c r="AB50" t="s">
        <v>2362</v>
      </c>
      <c r="AC50" t="s">
        <v>236</v>
      </c>
      <c r="AL50" t="s">
        <v>217</v>
      </c>
      <c r="AM50" t="s">
        <v>2363</v>
      </c>
      <c r="AN50" t="s">
        <v>6</v>
      </c>
      <c r="AO50" s="57">
        <v>46090.392812500002</v>
      </c>
      <c r="AP50" s="57">
        <v>46270.416666666664</v>
      </c>
      <c r="AR50" t="s">
        <v>240</v>
      </c>
      <c r="AS50" t="s">
        <v>916</v>
      </c>
      <c r="AT50" t="s">
        <v>230</v>
      </c>
      <c r="AV50" t="s">
        <v>239</v>
      </c>
      <c r="AW50" t="s">
        <v>886</v>
      </c>
      <c r="AX50" t="s">
        <v>222</v>
      </c>
      <c r="BA50" s="57">
        <v>46270.416666666664</v>
      </c>
      <c r="BB50" t="s">
        <v>2363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e">
        <f>VLOOKUP(H50,Sheet2!$A$1:$B$270,2,FALSE)</f>
        <v>#N/A</v>
      </c>
    </row>
    <row r="51" spans="1:61">
      <c r="A51">
        <v>50</v>
      </c>
      <c r="B51">
        <v>1002568847</v>
      </c>
      <c r="C51">
        <v>3</v>
      </c>
      <c r="D51" t="s">
        <v>59</v>
      </c>
      <c r="E51">
        <v>4</v>
      </c>
      <c r="F51" t="s">
        <v>223</v>
      </c>
      <c r="G51" t="s">
        <v>580</v>
      </c>
      <c r="H51" t="s">
        <v>1721</v>
      </c>
      <c r="I51" t="s">
        <v>212</v>
      </c>
      <c r="J51" t="s">
        <v>213</v>
      </c>
      <c r="K51" t="s">
        <v>149</v>
      </c>
      <c r="L51" t="s">
        <v>214</v>
      </c>
      <c r="M51" t="s">
        <v>239</v>
      </c>
      <c r="N51" t="s">
        <v>215</v>
      </c>
      <c r="O51" s="57">
        <v>46268.383287037039</v>
      </c>
      <c r="P51" s="57">
        <v>46268.384791666664</v>
      </c>
      <c r="Q51">
        <v>69382776</v>
      </c>
      <c r="S51">
        <v>143385101252</v>
      </c>
      <c r="T51" t="s">
        <v>2364</v>
      </c>
      <c r="U51" t="s">
        <v>2365</v>
      </c>
      <c r="V51" t="s">
        <v>2366</v>
      </c>
      <c r="Z51">
        <v>109.225128</v>
      </c>
      <c r="AA51">
        <v>-7.5714410000000001</v>
      </c>
      <c r="AB51" t="s">
        <v>2367</v>
      </c>
      <c r="AC51" t="s">
        <v>236</v>
      </c>
      <c r="AL51" t="s">
        <v>217</v>
      </c>
      <c r="AM51" t="s">
        <v>2368</v>
      </c>
      <c r="AN51" t="s">
        <v>6</v>
      </c>
      <c r="AO51" s="57">
        <v>46090.392812500002</v>
      </c>
      <c r="AP51" s="57">
        <v>46272.333333333336</v>
      </c>
      <c r="AR51" t="s">
        <v>240</v>
      </c>
      <c r="AS51" t="s">
        <v>1727</v>
      </c>
      <c r="AT51" t="s">
        <v>230</v>
      </c>
      <c r="AV51" t="s">
        <v>239</v>
      </c>
      <c r="AW51" t="s">
        <v>886</v>
      </c>
      <c r="AX51" t="s">
        <v>222</v>
      </c>
      <c r="BA51" s="57">
        <v>46272.333333333336</v>
      </c>
      <c r="BB51" t="s">
        <v>2368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e">
        <f>VLOOKUP(H51,Sheet2!$A$1:$B$270,2,FALSE)</f>
        <v>#N/A</v>
      </c>
    </row>
    <row r="52" spans="1:61">
      <c r="A52">
        <v>51</v>
      </c>
      <c r="B52">
        <v>1002568848</v>
      </c>
      <c r="C52">
        <v>3</v>
      </c>
      <c r="D52" t="s">
        <v>45</v>
      </c>
      <c r="E52">
        <v>5</v>
      </c>
      <c r="F52" t="s">
        <v>210</v>
      </c>
      <c r="G52" t="s">
        <v>112</v>
      </c>
      <c r="H52" t="s">
        <v>243</v>
      </c>
      <c r="I52" t="s">
        <v>212</v>
      </c>
      <c r="J52" t="s">
        <v>213</v>
      </c>
      <c r="K52" t="s">
        <v>149</v>
      </c>
      <c r="L52" t="s">
        <v>214</v>
      </c>
      <c r="M52" t="s">
        <v>239</v>
      </c>
      <c r="N52" t="s">
        <v>215</v>
      </c>
      <c r="O52" s="57">
        <v>46268.383287037039</v>
      </c>
      <c r="P52" s="57">
        <v>46268.384733796294</v>
      </c>
      <c r="Q52">
        <v>69382777</v>
      </c>
      <c r="S52">
        <v>172605804075</v>
      </c>
      <c r="T52" t="s">
        <v>2369</v>
      </c>
      <c r="U52" t="s">
        <v>2370</v>
      </c>
      <c r="V52" t="s">
        <v>2371</v>
      </c>
      <c r="Z52">
        <v>116.20617203498099</v>
      </c>
      <c r="AA52">
        <v>-8.5836390984209299</v>
      </c>
      <c r="AB52" t="s">
        <v>2372</v>
      </c>
      <c r="AC52" t="s">
        <v>236</v>
      </c>
      <c r="AL52" t="s">
        <v>217</v>
      </c>
      <c r="AM52" t="s">
        <v>2373</v>
      </c>
      <c r="AN52" t="s">
        <v>6</v>
      </c>
      <c r="AO52" s="57">
        <v>46090.392812500002</v>
      </c>
      <c r="AP52" s="57">
        <v>46269.541666666664</v>
      </c>
      <c r="AR52" t="s">
        <v>240</v>
      </c>
      <c r="AS52" t="s">
        <v>219</v>
      </c>
      <c r="AT52" t="s">
        <v>230</v>
      </c>
      <c r="AV52" t="s">
        <v>239</v>
      </c>
      <c r="AW52" t="s">
        <v>2374</v>
      </c>
      <c r="AX52" t="s">
        <v>222</v>
      </c>
      <c r="BA52" s="57">
        <v>46269.541666666664</v>
      </c>
      <c r="BB52" t="s">
        <v>2373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MATARAM</v>
      </c>
    </row>
    <row r="53" spans="1:61">
      <c r="A53">
        <v>52</v>
      </c>
      <c r="B53">
        <v>1002570043</v>
      </c>
      <c r="C53">
        <v>3</v>
      </c>
      <c r="D53" t="s">
        <v>42</v>
      </c>
      <c r="E53">
        <v>5</v>
      </c>
      <c r="F53" t="s">
        <v>106</v>
      </c>
      <c r="G53" t="s">
        <v>104</v>
      </c>
      <c r="H53" t="s">
        <v>475</v>
      </c>
      <c r="I53" t="s">
        <v>212</v>
      </c>
      <c r="J53" t="s">
        <v>213</v>
      </c>
      <c r="K53" t="s">
        <v>149</v>
      </c>
      <c r="L53" t="s">
        <v>214</v>
      </c>
      <c r="M53" t="s">
        <v>239</v>
      </c>
      <c r="N53" t="s">
        <v>215</v>
      </c>
      <c r="O53" s="57">
        <v>46268.61314814815</v>
      </c>
      <c r="P53" s="57">
        <v>46268.613900462966</v>
      </c>
      <c r="Q53">
        <v>69383259</v>
      </c>
      <c r="S53">
        <v>152534203443</v>
      </c>
      <c r="T53" t="s">
        <v>2375</v>
      </c>
      <c r="U53" t="s">
        <v>2376</v>
      </c>
      <c r="V53" t="s">
        <v>2377</v>
      </c>
      <c r="Z53">
        <v>113.104147464036</v>
      </c>
      <c r="AA53">
        <v>-8.1020790342420295</v>
      </c>
      <c r="AB53" t="s">
        <v>2378</v>
      </c>
      <c r="AC53" t="s">
        <v>216</v>
      </c>
      <c r="AL53" t="s">
        <v>217</v>
      </c>
      <c r="AM53" t="s">
        <v>2379</v>
      </c>
      <c r="AN53" t="s">
        <v>6</v>
      </c>
      <c r="AO53" s="57">
        <v>46090.621493055558</v>
      </c>
      <c r="AP53" s="57">
        <v>46269.541666666664</v>
      </c>
      <c r="AR53" t="s">
        <v>240</v>
      </c>
      <c r="AS53" t="s">
        <v>219</v>
      </c>
      <c r="AT53" t="s">
        <v>230</v>
      </c>
      <c r="AV53" t="s">
        <v>239</v>
      </c>
      <c r="AW53" t="s">
        <v>891</v>
      </c>
      <c r="AX53" t="s">
        <v>222</v>
      </c>
      <c r="BA53" s="57">
        <v>46269.541666666664</v>
      </c>
      <c r="BB53" t="s">
        <v>2379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PROBOLINGGO</v>
      </c>
    </row>
    <row r="54" spans="1:61">
      <c r="A54">
        <v>53</v>
      </c>
      <c r="B54">
        <v>1002568812</v>
      </c>
      <c r="C54">
        <v>3</v>
      </c>
      <c r="D54" t="s">
        <v>55</v>
      </c>
      <c r="E54">
        <v>5</v>
      </c>
      <c r="F54" t="s">
        <v>307</v>
      </c>
      <c r="G54" t="s">
        <v>124</v>
      </c>
      <c r="H54" t="s">
        <v>328</v>
      </c>
      <c r="I54" t="s">
        <v>212</v>
      </c>
      <c r="J54" t="s">
        <v>213</v>
      </c>
      <c r="K54" t="s">
        <v>149</v>
      </c>
      <c r="L54" t="s">
        <v>214</v>
      </c>
      <c r="M54" t="s">
        <v>239</v>
      </c>
      <c r="N54" t="s">
        <v>215</v>
      </c>
      <c r="O54" s="57">
        <v>46268.375659722224</v>
      </c>
      <c r="P54" s="57">
        <v>46268.376458333332</v>
      </c>
      <c r="Q54">
        <v>69382766</v>
      </c>
      <c r="S54">
        <v>152305231092</v>
      </c>
      <c r="T54" t="s">
        <v>2380</v>
      </c>
      <c r="U54" t="s">
        <v>2381</v>
      </c>
      <c r="V54" t="s">
        <v>2382</v>
      </c>
      <c r="Z54">
        <v>112.7784628</v>
      </c>
      <c r="AA54">
        <v>-7.3530056999999998</v>
      </c>
      <c r="AB54" t="s">
        <v>2383</v>
      </c>
      <c r="AC54" t="s">
        <v>236</v>
      </c>
      <c r="AL54" t="s">
        <v>217</v>
      </c>
      <c r="AM54" t="s">
        <v>2384</v>
      </c>
      <c r="AN54" t="s">
        <v>6</v>
      </c>
      <c r="AO54" s="57">
        <v>46090.382060185184</v>
      </c>
      <c r="AP54" s="57">
        <v>46271.625</v>
      </c>
      <c r="AR54" t="s">
        <v>240</v>
      </c>
      <c r="AS54" t="s">
        <v>2385</v>
      </c>
      <c r="AT54" t="s">
        <v>344</v>
      </c>
      <c r="AV54" t="s">
        <v>239</v>
      </c>
      <c r="AW54" t="s">
        <v>2173</v>
      </c>
      <c r="AX54" t="s">
        <v>222</v>
      </c>
      <c r="BA54" s="57">
        <v>46271.625</v>
      </c>
      <c r="BB54" t="s">
        <v>2384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SURABAYA SELATAN</v>
      </c>
    </row>
    <row r="55" spans="1:61">
      <c r="A55">
        <v>54</v>
      </c>
      <c r="B55">
        <v>1002570065</v>
      </c>
      <c r="C55">
        <v>3</v>
      </c>
      <c r="D55" t="s">
        <v>51</v>
      </c>
      <c r="E55">
        <v>4</v>
      </c>
      <c r="F55" t="s">
        <v>269</v>
      </c>
      <c r="G55" t="s">
        <v>269</v>
      </c>
      <c r="H55" t="s">
        <v>839</v>
      </c>
      <c r="I55" t="s">
        <v>212</v>
      </c>
      <c r="J55" t="s">
        <v>213</v>
      </c>
      <c r="K55" t="s">
        <v>149</v>
      </c>
      <c r="M55" t="s">
        <v>239</v>
      </c>
      <c r="N55" t="s">
        <v>581</v>
      </c>
      <c r="O55" s="57">
        <v>46268.617314814815</v>
      </c>
      <c r="P55" s="57">
        <v>46268.652789351851</v>
      </c>
      <c r="Q55">
        <v>69383265</v>
      </c>
      <c r="S55">
        <v>142401146195</v>
      </c>
      <c r="T55" t="s">
        <v>2386</v>
      </c>
      <c r="U55" t="s">
        <v>2387</v>
      </c>
      <c r="V55" t="s">
        <v>2388</v>
      </c>
      <c r="Z55">
        <v>110.83948650000001</v>
      </c>
      <c r="AA55">
        <v>-6.827108</v>
      </c>
      <c r="AB55" t="s">
        <v>2389</v>
      </c>
      <c r="AC55" t="s">
        <v>229</v>
      </c>
      <c r="AL55" t="s">
        <v>217</v>
      </c>
      <c r="AM55" t="s">
        <v>2390</v>
      </c>
      <c r="AN55" t="s">
        <v>6</v>
      </c>
      <c r="AO55" s="57">
        <v>46090.621493055558</v>
      </c>
      <c r="AP55" s="57">
        <v>46269.541666666664</v>
      </c>
      <c r="AR55" t="s">
        <v>240</v>
      </c>
      <c r="AS55" t="s">
        <v>219</v>
      </c>
      <c r="AT55" t="s">
        <v>230</v>
      </c>
      <c r="AV55" t="s">
        <v>239</v>
      </c>
      <c r="AW55" t="s">
        <v>545</v>
      </c>
      <c r="AX55" t="s">
        <v>222</v>
      </c>
      <c r="BA55" s="57">
        <v>46269.541666666664</v>
      </c>
      <c r="BB55" t="s">
        <v>2390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e">
        <f>VLOOKUP(H55,Sheet2!$A$1:$B$270,2,FALSE)</f>
        <v>#N/A</v>
      </c>
    </row>
    <row r="56" spans="1:61">
      <c r="A56">
        <v>55</v>
      </c>
      <c r="B56">
        <v>1002569384</v>
      </c>
      <c r="C56">
        <v>3</v>
      </c>
      <c r="D56" t="s">
        <v>45</v>
      </c>
      <c r="E56">
        <v>5</v>
      </c>
      <c r="F56" t="s">
        <v>210</v>
      </c>
      <c r="G56" t="s">
        <v>110</v>
      </c>
      <c r="H56" t="s">
        <v>238</v>
      </c>
      <c r="I56" t="s">
        <v>212</v>
      </c>
      <c r="J56" t="s">
        <v>213</v>
      </c>
      <c r="K56" t="s">
        <v>149</v>
      </c>
      <c r="L56" t="s">
        <v>214</v>
      </c>
      <c r="M56" t="s">
        <v>239</v>
      </c>
      <c r="N56" t="s">
        <v>215</v>
      </c>
      <c r="O56" s="57">
        <v>46268.477037037039</v>
      </c>
      <c r="P56" s="57">
        <v>46268.479178240741</v>
      </c>
      <c r="Q56">
        <v>69382997</v>
      </c>
      <c r="S56">
        <v>172616790327</v>
      </c>
      <c r="T56" t="s">
        <v>2391</v>
      </c>
      <c r="U56" t="s">
        <v>2392</v>
      </c>
      <c r="V56" t="s">
        <v>2393</v>
      </c>
      <c r="Z56">
        <v>118.6881369</v>
      </c>
      <c r="AA56">
        <v>-8.6692494</v>
      </c>
      <c r="AB56" t="s">
        <v>2394</v>
      </c>
      <c r="AC56" t="s">
        <v>216</v>
      </c>
      <c r="AL56" t="s">
        <v>217</v>
      </c>
      <c r="AM56" t="s">
        <v>2254</v>
      </c>
      <c r="AN56" t="s">
        <v>6</v>
      </c>
      <c r="AO56" s="57">
        <v>46090.486041666663</v>
      </c>
      <c r="AP56" s="57">
        <v>46270.333333333336</v>
      </c>
      <c r="AR56" t="s">
        <v>240</v>
      </c>
      <c r="AS56" t="s">
        <v>915</v>
      </c>
      <c r="AT56" t="s">
        <v>230</v>
      </c>
      <c r="AV56" t="s">
        <v>239</v>
      </c>
      <c r="AW56" t="s">
        <v>537</v>
      </c>
      <c r="AX56" t="s">
        <v>222</v>
      </c>
      <c r="BA56" s="57">
        <v>46270.333333333336</v>
      </c>
      <c r="BB56" t="s">
        <v>2254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BIMA</v>
      </c>
    </row>
    <row r="57" spans="1:61">
      <c r="A57">
        <v>56</v>
      </c>
      <c r="B57">
        <v>1002570580</v>
      </c>
      <c r="C57">
        <v>3</v>
      </c>
      <c r="D57" t="s">
        <v>38</v>
      </c>
      <c r="E57">
        <v>5</v>
      </c>
      <c r="F57" t="s">
        <v>90</v>
      </c>
      <c r="G57" t="s">
        <v>93</v>
      </c>
      <c r="H57" t="s">
        <v>381</v>
      </c>
      <c r="I57" t="s">
        <v>212</v>
      </c>
      <c r="J57" t="s">
        <v>213</v>
      </c>
      <c r="K57" t="s">
        <v>149</v>
      </c>
      <c r="L57" t="s">
        <v>214</v>
      </c>
      <c r="M57" t="s">
        <v>239</v>
      </c>
      <c r="N57" t="s">
        <v>215</v>
      </c>
      <c r="O57" s="57">
        <v>46268.711064814815</v>
      </c>
      <c r="P57" s="57">
        <v>46268.712569444448</v>
      </c>
      <c r="Q57">
        <v>69383442</v>
      </c>
      <c r="S57">
        <v>152615203390</v>
      </c>
      <c r="T57" t="s">
        <v>2395</v>
      </c>
      <c r="U57" t="s">
        <v>2396</v>
      </c>
      <c r="V57" t="s">
        <v>2397</v>
      </c>
      <c r="Z57">
        <v>112.107219</v>
      </c>
      <c r="AA57">
        <v>-7.5929159999999998</v>
      </c>
      <c r="AB57" t="s">
        <v>2398</v>
      </c>
      <c r="AC57" t="s">
        <v>236</v>
      </c>
      <c r="AL57" t="s">
        <v>217</v>
      </c>
      <c r="AM57" t="s">
        <v>2399</v>
      </c>
      <c r="AN57" t="s">
        <v>6</v>
      </c>
      <c r="AO57" s="57">
        <v>46090.715532407405</v>
      </c>
      <c r="AP57" s="57">
        <v>46269.625</v>
      </c>
      <c r="AR57" t="s">
        <v>240</v>
      </c>
      <c r="AS57" t="s">
        <v>589</v>
      </c>
      <c r="AT57" t="s">
        <v>230</v>
      </c>
      <c r="AV57" t="s">
        <v>239</v>
      </c>
      <c r="AW57" t="s">
        <v>574</v>
      </c>
      <c r="AX57" t="s">
        <v>222</v>
      </c>
      <c r="BA57" s="57">
        <v>46269.625</v>
      </c>
      <c r="BB57" t="s">
        <v>2399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NGANJUK</v>
      </c>
    </row>
    <row r="58" spans="1:61">
      <c r="A58">
        <v>57</v>
      </c>
      <c r="B58">
        <v>1002570023</v>
      </c>
      <c r="C58">
        <v>3</v>
      </c>
      <c r="D58" t="s">
        <v>59</v>
      </c>
      <c r="E58">
        <v>4</v>
      </c>
      <c r="F58" t="s">
        <v>549</v>
      </c>
      <c r="G58" t="s">
        <v>582</v>
      </c>
      <c r="H58" t="s">
        <v>835</v>
      </c>
      <c r="I58" t="s">
        <v>212</v>
      </c>
      <c r="J58" t="s">
        <v>213</v>
      </c>
      <c r="K58" t="s">
        <v>149</v>
      </c>
      <c r="M58" t="s">
        <v>239</v>
      </c>
      <c r="N58" t="s">
        <v>215</v>
      </c>
      <c r="O58" s="57">
        <v>46268.611620370371</v>
      </c>
      <c r="P58" s="57">
        <v>46268.6403125</v>
      </c>
      <c r="Q58">
        <v>69383218</v>
      </c>
      <c r="S58">
        <v>146113147323</v>
      </c>
      <c r="T58" t="s">
        <v>2400</v>
      </c>
      <c r="U58" t="s">
        <v>2401</v>
      </c>
      <c r="V58" t="s">
        <v>2402</v>
      </c>
      <c r="Z58">
        <v>110.35731180000001</v>
      </c>
      <c r="AA58">
        <v>-7.7912204000000003</v>
      </c>
      <c r="AB58" t="s">
        <v>2403</v>
      </c>
      <c r="AC58" t="s">
        <v>225</v>
      </c>
      <c r="AL58" t="s">
        <v>217</v>
      </c>
      <c r="AM58" t="s">
        <v>2404</v>
      </c>
      <c r="AN58" t="s">
        <v>6</v>
      </c>
      <c r="AO58" s="57">
        <v>46090.621493055558</v>
      </c>
      <c r="AP58" s="57">
        <v>46269.541666666664</v>
      </c>
      <c r="AR58" t="s">
        <v>240</v>
      </c>
      <c r="AS58" t="s">
        <v>219</v>
      </c>
      <c r="AT58" t="s">
        <v>230</v>
      </c>
      <c r="AV58" t="s">
        <v>239</v>
      </c>
      <c r="AW58" t="s">
        <v>545</v>
      </c>
      <c r="AX58" t="s">
        <v>222</v>
      </c>
      <c r="BA58" s="57">
        <v>46269.541666666664</v>
      </c>
      <c r="BB58" t="s">
        <v>2404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e">
        <f>VLOOKUP(H58,Sheet2!$A$1:$B$270,2,FALSE)</f>
        <v>#N/A</v>
      </c>
    </row>
    <row r="59" spans="1:61">
      <c r="A59">
        <v>58</v>
      </c>
      <c r="B59">
        <v>1002570051</v>
      </c>
      <c r="C59">
        <v>3</v>
      </c>
      <c r="D59" t="s">
        <v>45</v>
      </c>
      <c r="E59">
        <v>5</v>
      </c>
      <c r="F59" t="s">
        <v>210</v>
      </c>
      <c r="G59" t="s">
        <v>112</v>
      </c>
      <c r="H59" t="s">
        <v>243</v>
      </c>
      <c r="I59" t="s">
        <v>212</v>
      </c>
      <c r="J59" t="s">
        <v>213</v>
      </c>
      <c r="K59" t="s">
        <v>149</v>
      </c>
      <c r="L59" t="s">
        <v>214</v>
      </c>
      <c r="M59" t="s">
        <v>239</v>
      </c>
      <c r="N59" t="s">
        <v>215</v>
      </c>
      <c r="O59" s="57">
        <v>46268.614537037036</v>
      </c>
      <c r="P59" s="57">
        <v>46268.615289351852</v>
      </c>
      <c r="Q59">
        <v>69383223</v>
      </c>
      <c r="S59">
        <v>172605804358</v>
      </c>
      <c r="T59" t="s">
        <v>2405</v>
      </c>
      <c r="U59" t="s">
        <v>2406</v>
      </c>
      <c r="V59" t="s">
        <v>2407</v>
      </c>
      <c r="Z59">
        <v>116.1464021</v>
      </c>
      <c r="AA59">
        <v>-8.5756690999999901</v>
      </c>
      <c r="AB59" t="s">
        <v>2408</v>
      </c>
      <c r="AC59" t="s">
        <v>216</v>
      </c>
      <c r="AL59" t="s">
        <v>217</v>
      </c>
      <c r="AM59" t="s">
        <v>2409</v>
      </c>
      <c r="AN59" t="s">
        <v>6</v>
      </c>
      <c r="AO59" s="57">
        <v>46090.621493055558</v>
      </c>
      <c r="AP59" s="57">
        <v>46269.625</v>
      </c>
      <c r="AR59" t="s">
        <v>240</v>
      </c>
      <c r="AS59" t="s">
        <v>219</v>
      </c>
      <c r="AT59" t="s">
        <v>230</v>
      </c>
      <c r="AV59" t="s">
        <v>239</v>
      </c>
      <c r="AW59" t="s">
        <v>886</v>
      </c>
      <c r="AX59" t="s">
        <v>222</v>
      </c>
      <c r="BA59" s="57">
        <v>46269.625</v>
      </c>
      <c r="BB59" t="s">
        <v>2409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MATARAM</v>
      </c>
    </row>
    <row r="60" spans="1:61">
      <c r="A60">
        <v>59</v>
      </c>
      <c r="B60">
        <v>1002570541</v>
      </c>
      <c r="C60">
        <v>3</v>
      </c>
      <c r="D60" t="s">
        <v>51</v>
      </c>
      <c r="E60">
        <v>4</v>
      </c>
      <c r="F60" t="s">
        <v>269</v>
      </c>
      <c r="G60" t="s">
        <v>269</v>
      </c>
      <c r="H60" t="s">
        <v>839</v>
      </c>
      <c r="I60" t="s">
        <v>212</v>
      </c>
      <c r="J60" t="s">
        <v>213</v>
      </c>
      <c r="K60" t="s">
        <v>149</v>
      </c>
      <c r="L60" t="s">
        <v>214</v>
      </c>
      <c r="M60" t="s">
        <v>239</v>
      </c>
      <c r="N60" t="s">
        <v>215</v>
      </c>
      <c r="O60" s="57">
        <v>46268.704814814817</v>
      </c>
      <c r="P60" s="57">
        <v>46268.705567129633</v>
      </c>
      <c r="Q60">
        <v>69383435</v>
      </c>
      <c r="S60">
        <v>142401146202</v>
      </c>
      <c r="T60" t="s">
        <v>2410</v>
      </c>
      <c r="U60" t="s">
        <v>2411</v>
      </c>
      <c r="V60" t="s">
        <v>2412</v>
      </c>
      <c r="Z60">
        <v>110.8394546</v>
      </c>
      <c r="AA60">
        <v>-6.8272222999999999</v>
      </c>
      <c r="AB60" t="s">
        <v>2413</v>
      </c>
      <c r="AC60" t="s">
        <v>1760</v>
      </c>
      <c r="AL60" t="s">
        <v>217</v>
      </c>
      <c r="AM60" t="s">
        <v>2414</v>
      </c>
      <c r="AN60" t="s">
        <v>6</v>
      </c>
      <c r="AO60" s="57">
        <v>46090.715532407405</v>
      </c>
      <c r="AP60" s="57">
        <v>46269.541666666664</v>
      </c>
      <c r="AR60" t="s">
        <v>240</v>
      </c>
      <c r="AS60" t="s">
        <v>219</v>
      </c>
      <c r="AT60" t="s">
        <v>230</v>
      </c>
      <c r="AV60" t="s">
        <v>239</v>
      </c>
      <c r="AW60" t="s">
        <v>886</v>
      </c>
      <c r="AX60" t="s">
        <v>222</v>
      </c>
      <c r="BA60" s="57">
        <v>46269.541666666664</v>
      </c>
      <c r="BB60" t="s">
        <v>2414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e">
        <f>VLOOKUP(H60,Sheet2!$A$1:$B$270,2,FALSE)</f>
        <v>#N/A</v>
      </c>
    </row>
    <row r="61" spans="1:61">
      <c r="A61">
        <v>60</v>
      </c>
      <c r="B61">
        <v>1002569556</v>
      </c>
      <c r="C61">
        <v>3</v>
      </c>
      <c r="D61" t="s">
        <v>59</v>
      </c>
      <c r="E61">
        <v>4</v>
      </c>
      <c r="F61" t="s">
        <v>242</v>
      </c>
      <c r="G61" t="s">
        <v>242</v>
      </c>
      <c r="H61" t="s">
        <v>288</v>
      </c>
      <c r="I61" t="s">
        <v>212</v>
      </c>
      <c r="J61" t="s">
        <v>213</v>
      </c>
      <c r="K61" t="s">
        <v>149</v>
      </c>
      <c r="L61" t="s">
        <v>214</v>
      </c>
      <c r="M61" t="s">
        <v>239</v>
      </c>
      <c r="N61" t="s">
        <v>215</v>
      </c>
      <c r="O61" s="57">
        <v>46268.506909722222</v>
      </c>
      <c r="P61" s="57">
        <v>46268.508402777778</v>
      </c>
      <c r="Q61">
        <v>69383065</v>
      </c>
      <c r="S61">
        <v>146137147548</v>
      </c>
      <c r="T61" t="s">
        <v>2415</v>
      </c>
      <c r="U61" t="s">
        <v>2416</v>
      </c>
      <c r="V61" t="s">
        <v>2417</v>
      </c>
      <c r="Z61">
        <v>110.306322731138</v>
      </c>
      <c r="AA61">
        <v>-7.3713005770868101</v>
      </c>
      <c r="AB61" t="s">
        <v>2418</v>
      </c>
      <c r="AC61" t="s">
        <v>236</v>
      </c>
      <c r="AL61" t="s">
        <v>217</v>
      </c>
      <c r="AM61" t="s">
        <v>2419</v>
      </c>
      <c r="AN61" t="s">
        <v>6</v>
      </c>
      <c r="AO61" s="57">
        <v>46090.517581018517</v>
      </c>
      <c r="AP61" s="57">
        <v>46272.333333333336</v>
      </c>
      <c r="AR61" t="s">
        <v>240</v>
      </c>
      <c r="AS61" t="s">
        <v>219</v>
      </c>
      <c r="AT61" t="s">
        <v>230</v>
      </c>
      <c r="AV61" t="s">
        <v>239</v>
      </c>
      <c r="AW61" t="s">
        <v>885</v>
      </c>
      <c r="AX61" t="s">
        <v>222</v>
      </c>
      <c r="BA61" s="57">
        <v>46272.333333333336</v>
      </c>
      <c r="BB61" t="s">
        <v>2419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e">
        <f>VLOOKUP(H61,Sheet2!$A$1:$B$270,2,FALSE)</f>
        <v>#N/A</v>
      </c>
    </row>
    <row r="62" spans="1:61">
      <c r="A62">
        <v>61</v>
      </c>
      <c r="B62">
        <v>1002569703</v>
      </c>
      <c r="C62">
        <v>3</v>
      </c>
      <c r="D62" t="s">
        <v>38</v>
      </c>
      <c r="E62">
        <v>5</v>
      </c>
      <c r="F62" t="s">
        <v>92</v>
      </c>
      <c r="G62" t="s">
        <v>89</v>
      </c>
      <c r="H62" t="s">
        <v>399</v>
      </c>
      <c r="I62" t="s">
        <v>212</v>
      </c>
      <c r="J62" t="s">
        <v>213</v>
      </c>
      <c r="K62" t="s">
        <v>149</v>
      </c>
      <c r="L62" t="s">
        <v>214</v>
      </c>
      <c r="M62" t="s">
        <v>239</v>
      </c>
      <c r="N62" t="s">
        <v>215</v>
      </c>
      <c r="O62" s="57">
        <v>46268.552037037036</v>
      </c>
      <c r="P62" s="57">
        <v>46268.552789351852</v>
      </c>
      <c r="Q62">
        <v>69383148</v>
      </c>
      <c r="S62">
        <v>152609258705</v>
      </c>
      <c r="T62" t="s">
        <v>2420</v>
      </c>
      <c r="U62" t="s">
        <v>2421</v>
      </c>
      <c r="V62" t="s">
        <v>2422</v>
      </c>
      <c r="Z62">
        <v>111.882591638245</v>
      </c>
      <c r="AA62">
        <v>-7.1518349849711704</v>
      </c>
      <c r="AB62" t="s">
        <v>2423</v>
      </c>
      <c r="AC62" t="s">
        <v>236</v>
      </c>
      <c r="AL62" t="s">
        <v>217</v>
      </c>
      <c r="AM62" t="s">
        <v>2424</v>
      </c>
      <c r="AN62" t="s">
        <v>6</v>
      </c>
      <c r="AO62" s="57">
        <v>46090.559363425928</v>
      </c>
      <c r="AP62" s="57">
        <v>46272.625</v>
      </c>
      <c r="AR62" t="s">
        <v>240</v>
      </c>
      <c r="AS62" t="s">
        <v>219</v>
      </c>
      <c r="AT62" t="s">
        <v>230</v>
      </c>
      <c r="AV62" t="s">
        <v>239</v>
      </c>
      <c r="AW62" t="s">
        <v>883</v>
      </c>
      <c r="AX62" t="s">
        <v>222</v>
      </c>
      <c r="BA62" s="57">
        <v>46272.625</v>
      </c>
      <c r="BB62" t="s">
        <v>2424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BOJONEGORO</v>
      </c>
    </row>
    <row r="63" spans="1:61">
      <c r="A63">
        <v>62</v>
      </c>
      <c r="B63">
        <v>1002569569</v>
      </c>
      <c r="C63">
        <v>3</v>
      </c>
      <c r="D63" t="s">
        <v>34</v>
      </c>
      <c r="E63">
        <v>5</v>
      </c>
      <c r="F63" t="s">
        <v>554</v>
      </c>
      <c r="G63" t="s">
        <v>85</v>
      </c>
      <c r="H63" t="s">
        <v>279</v>
      </c>
      <c r="I63" t="s">
        <v>212</v>
      </c>
      <c r="J63" t="s">
        <v>213</v>
      </c>
      <c r="K63" t="s">
        <v>149</v>
      </c>
      <c r="M63" t="s">
        <v>239</v>
      </c>
      <c r="N63" t="s">
        <v>215</v>
      </c>
      <c r="O63" s="57">
        <v>46268.513194444444</v>
      </c>
      <c r="P63" s="57">
        <v>46268.550081018519</v>
      </c>
      <c r="Q63">
        <v>69383070</v>
      </c>
      <c r="S63">
        <v>172413244729</v>
      </c>
      <c r="T63" t="s">
        <v>2425</v>
      </c>
      <c r="U63" t="s">
        <v>2221</v>
      </c>
      <c r="V63" t="s">
        <v>2426</v>
      </c>
      <c r="Z63">
        <v>115.1431493</v>
      </c>
      <c r="AA63">
        <v>-8.5689689999999992</v>
      </c>
      <c r="AB63" t="s">
        <v>2427</v>
      </c>
      <c r="AC63" t="s">
        <v>229</v>
      </c>
      <c r="AL63" t="s">
        <v>217</v>
      </c>
      <c r="AM63" t="s">
        <v>2428</v>
      </c>
      <c r="AN63" t="s">
        <v>6</v>
      </c>
      <c r="AO63" s="57">
        <v>46090.517581018517</v>
      </c>
      <c r="AP63" s="57">
        <v>46269.541666666664</v>
      </c>
      <c r="AR63" t="s">
        <v>240</v>
      </c>
      <c r="AS63" t="s">
        <v>85</v>
      </c>
      <c r="AT63" t="s">
        <v>344</v>
      </c>
      <c r="AV63" t="s">
        <v>239</v>
      </c>
      <c r="AW63" t="s">
        <v>567</v>
      </c>
      <c r="AX63" t="s">
        <v>222</v>
      </c>
      <c r="BA63" s="57">
        <v>46269.541666666664</v>
      </c>
      <c r="BB63" t="s">
        <v>2428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TABANAN</v>
      </c>
    </row>
    <row r="64" spans="1:61">
      <c r="A64">
        <v>63</v>
      </c>
      <c r="B64">
        <v>1002569528</v>
      </c>
      <c r="C64">
        <v>3</v>
      </c>
      <c r="D64" t="s">
        <v>59</v>
      </c>
      <c r="E64">
        <v>4</v>
      </c>
      <c r="F64" t="s">
        <v>549</v>
      </c>
      <c r="G64" t="s">
        <v>1698</v>
      </c>
      <c r="H64" t="s">
        <v>2007</v>
      </c>
      <c r="I64" t="s">
        <v>212</v>
      </c>
      <c r="J64" t="s">
        <v>213</v>
      </c>
      <c r="K64" t="s">
        <v>149</v>
      </c>
      <c r="L64" t="s">
        <v>214</v>
      </c>
      <c r="M64" t="s">
        <v>239</v>
      </c>
      <c r="N64" t="s">
        <v>215</v>
      </c>
      <c r="O64" s="57">
        <v>46268.4999537037</v>
      </c>
      <c r="P64" s="57">
        <v>46268.501458333332</v>
      </c>
      <c r="Q64">
        <v>69383057</v>
      </c>
      <c r="S64">
        <v>146144118737</v>
      </c>
      <c r="T64" t="s">
        <v>2429</v>
      </c>
      <c r="U64" t="s">
        <v>2430</v>
      </c>
      <c r="V64" t="s">
        <v>2431</v>
      </c>
      <c r="Z64">
        <v>110.42171999999999</v>
      </c>
      <c r="AA64">
        <v>-7.6650299999999998</v>
      </c>
      <c r="AB64" t="s">
        <v>2432</v>
      </c>
      <c r="AC64" t="s">
        <v>236</v>
      </c>
      <c r="AL64" t="s">
        <v>217</v>
      </c>
      <c r="AM64" t="s">
        <v>2272</v>
      </c>
      <c r="AN64" t="s">
        <v>6</v>
      </c>
      <c r="AO64" s="57">
        <v>46090.506990740738</v>
      </c>
      <c r="AP64" s="57">
        <v>46269.625</v>
      </c>
      <c r="AR64" t="s">
        <v>240</v>
      </c>
      <c r="AS64" t="s">
        <v>219</v>
      </c>
      <c r="AT64" t="s">
        <v>230</v>
      </c>
      <c r="AV64" t="s">
        <v>239</v>
      </c>
      <c r="AW64" t="s">
        <v>882</v>
      </c>
      <c r="AX64" t="s">
        <v>222</v>
      </c>
      <c r="BA64" s="57">
        <v>46269.625</v>
      </c>
      <c r="BB64" t="s">
        <v>2272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e">
        <f>VLOOKUP(H64,Sheet2!$A$1:$B$270,2,FALSE)</f>
        <v>#N/A</v>
      </c>
    </row>
    <row r="65" spans="1:61">
      <c r="A65">
        <v>64</v>
      </c>
      <c r="B65">
        <v>1002569527</v>
      </c>
      <c r="C65">
        <v>3</v>
      </c>
      <c r="D65" t="s">
        <v>55</v>
      </c>
      <c r="E65">
        <v>5</v>
      </c>
      <c r="F65" t="s">
        <v>261</v>
      </c>
      <c r="G65" t="s">
        <v>122</v>
      </c>
      <c r="H65" t="s">
        <v>347</v>
      </c>
      <c r="I65" t="s">
        <v>212</v>
      </c>
      <c r="J65" t="s">
        <v>213</v>
      </c>
      <c r="K65" t="s">
        <v>149</v>
      </c>
      <c r="L65" t="s">
        <v>214</v>
      </c>
      <c r="M65" t="s">
        <v>239</v>
      </c>
      <c r="N65" t="s">
        <v>215</v>
      </c>
      <c r="O65" s="57">
        <v>46268.4999537037</v>
      </c>
      <c r="P65" s="57">
        <v>46268.50141203704</v>
      </c>
      <c r="Q65">
        <v>69383055</v>
      </c>
      <c r="S65">
        <v>152421262602</v>
      </c>
      <c r="T65" t="s">
        <v>2433</v>
      </c>
      <c r="U65" t="s">
        <v>2434</v>
      </c>
      <c r="V65" t="s">
        <v>2435</v>
      </c>
      <c r="Z65">
        <v>112.63666600000001</v>
      </c>
      <c r="AA65">
        <v>-7.2026250000000003</v>
      </c>
      <c r="AB65" t="s">
        <v>2436</v>
      </c>
      <c r="AC65" t="s">
        <v>236</v>
      </c>
      <c r="AL65" t="s">
        <v>217</v>
      </c>
      <c r="AM65" t="s">
        <v>2437</v>
      </c>
      <c r="AN65" t="s">
        <v>6</v>
      </c>
      <c r="AO65" s="57">
        <v>46090.506990740738</v>
      </c>
      <c r="AP65" s="57">
        <v>46273.333333333336</v>
      </c>
      <c r="AR65" t="s">
        <v>240</v>
      </c>
      <c r="AS65" t="s">
        <v>122</v>
      </c>
      <c r="AT65" t="s">
        <v>230</v>
      </c>
      <c r="AV65" t="s">
        <v>239</v>
      </c>
      <c r="AW65" t="s">
        <v>883</v>
      </c>
      <c r="AX65" t="s">
        <v>222</v>
      </c>
      <c r="BA65" s="57">
        <v>46273.333333333336</v>
      </c>
      <c r="BB65" t="s">
        <v>2437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GRESIK</v>
      </c>
    </row>
    <row r="66" spans="1:61">
      <c r="A66">
        <v>65</v>
      </c>
      <c r="B66">
        <v>1002570641</v>
      </c>
      <c r="C66">
        <v>3</v>
      </c>
      <c r="D66" t="s">
        <v>45</v>
      </c>
      <c r="E66">
        <v>5</v>
      </c>
      <c r="F66" t="s">
        <v>210</v>
      </c>
      <c r="G66" t="s">
        <v>116</v>
      </c>
      <c r="H66" t="s">
        <v>268</v>
      </c>
      <c r="I66" t="s">
        <v>212</v>
      </c>
      <c r="J66" t="s">
        <v>213</v>
      </c>
      <c r="K66" t="s">
        <v>149</v>
      </c>
      <c r="L66" t="s">
        <v>214</v>
      </c>
      <c r="M66" t="s">
        <v>239</v>
      </c>
      <c r="N66" t="s">
        <v>215</v>
      </c>
      <c r="O66" s="57">
        <v>46268.742314814815</v>
      </c>
      <c r="P66" s="57">
        <v>46268.743125000001</v>
      </c>
      <c r="Q66">
        <v>69383490</v>
      </c>
      <c r="S66">
        <v>172604214284</v>
      </c>
      <c r="T66" t="s">
        <v>2438</v>
      </c>
      <c r="U66" t="s">
        <v>2439</v>
      </c>
      <c r="V66" t="s">
        <v>2440</v>
      </c>
      <c r="Z66">
        <v>116.038749</v>
      </c>
      <c r="AA66">
        <v>-8.4681650000000008</v>
      </c>
      <c r="AB66" t="s">
        <v>2441</v>
      </c>
      <c r="AC66" t="s">
        <v>236</v>
      </c>
      <c r="AL66" t="s">
        <v>217</v>
      </c>
      <c r="AM66" t="s">
        <v>2442</v>
      </c>
      <c r="AN66" t="s">
        <v>6</v>
      </c>
      <c r="AO66" s="57">
        <v>46090.746493055558</v>
      </c>
      <c r="AP66" s="57">
        <v>46272.333333333336</v>
      </c>
      <c r="AR66" t="s">
        <v>240</v>
      </c>
      <c r="AS66" t="s">
        <v>912</v>
      </c>
      <c r="AT66" t="s">
        <v>230</v>
      </c>
      <c r="AV66" t="s">
        <v>239</v>
      </c>
      <c r="AW66" t="s">
        <v>888</v>
      </c>
      <c r="AX66" t="s">
        <v>222</v>
      </c>
      <c r="BA66" s="57">
        <v>46272.333333333336</v>
      </c>
      <c r="BB66" t="s">
        <v>2442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1002570640</v>
      </c>
      <c r="C67">
        <v>3</v>
      </c>
      <c r="D67" t="s">
        <v>38</v>
      </c>
      <c r="E67">
        <v>5</v>
      </c>
      <c r="F67" t="s">
        <v>92</v>
      </c>
      <c r="G67" t="s">
        <v>97</v>
      </c>
      <c r="H67" t="s">
        <v>298</v>
      </c>
      <c r="I67" t="s">
        <v>212</v>
      </c>
      <c r="J67" t="s">
        <v>213</v>
      </c>
      <c r="K67" t="s">
        <v>149</v>
      </c>
      <c r="L67" t="s">
        <v>214</v>
      </c>
      <c r="M67" t="s">
        <v>239</v>
      </c>
      <c r="N67" t="s">
        <v>215</v>
      </c>
      <c r="O67" s="57">
        <v>46268.742314814815</v>
      </c>
      <c r="P67" s="57">
        <v>46268.743125000001</v>
      </c>
      <c r="Q67">
        <v>69383491</v>
      </c>
      <c r="S67">
        <v>152647206519</v>
      </c>
      <c r="T67" t="s">
        <v>2443</v>
      </c>
      <c r="U67" t="s">
        <v>2444</v>
      </c>
      <c r="V67" t="s">
        <v>2445</v>
      </c>
      <c r="Z67">
        <v>111.9426914</v>
      </c>
      <c r="AA67">
        <v>-6.9055726000000002</v>
      </c>
      <c r="AB67" t="s">
        <v>2446</v>
      </c>
      <c r="AC67" t="s">
        <v>216</v>
      </c>
      <c r="AL67" t="s">
        <v>217</v>
      </c>
      <c r="AM67" t="s">
        <v>2352</v>
      </c>
      <c r="AN67" t="s">
        <v>6</v>
      </c>
      <c r="AO67" s="57">
        <v>46090.746493055558</v>
      </c>
      <c r="AP67" s="57">
        <v>46269.625</v>
      </c>
      <c r="AR67" t="s">
        <v>240</v>
      </c>
      <c r="AS67" t="s">
        <v>2447</v>
      </c>
      <c r="AT67" t="s">
        <v>230</v>
      </c>
      <c r="AV67" t="s">
        <v>239</v>
      </c>
      <c r="AW67" t="s">
        <v>887</v>
      </c>
      <c r="AX67" t="s">
        <v>222</v>
      </c>
      <c r="BA67" s="57">
        <v>46269.625</v>
      </c>
      <c r="BB67" t="s">
        <v>2352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BOJONEGORO</v>
      </c>
    </row>
    <row r="68" spans="1:61">
      <c r="A68">
        <v>67</v>
      </c>
      <c r="B68">
        <v>1002570642</v>
      </c>
      <c r="C68">
        <v>3</v>
      </c>
      <c r="D68" t="s">
        <v>38</v>
      </c>
      <c r="E68">
        <v>5</v>
      </c>
      <c r="F68" t="s">
        <v>92</v>
      </c>
      <c r="G68" t="s">
        <v>97</v>
      </c>
      <c r="H68" t="s">
        <v>298</v>
      </c>
      <c r="I68" t="s">
        <v>212</v>
      </c>
      <c r="J68" t="s">
        <v>213</v>
      </c>
      <c r="K68" t="s">
        <v>149</v>
      </c>
      <c r="L68" t="s">
        <v>214</v>
      </c>
      <c r="M68" t="s">
        <v>239</v>
      </c>
      <c r="N68" t="s">
        <v>215</v>
      </c>
      <c r="O68" s="57">
        <v>46268.742314814815</v>
      </c>
      <c r="P68" s="57">
        <v>46268.743078703701</v>
      </c>
      <c r="Q68">
        <v>69383492</v>
      </c>
      <c r="S68">
        <v>152647206520</v>
      </c>
      <c r="T68" t="s">
        <v>2443</v>
      </c>
      <c r="U68" t="s">
        <v>2444</v>
      </c>
      <c r="V68" t="s">
        <v>2448</v>
      </c>
      <c r="Z68">
        <v>111.9426914</v>
      </c>
      <c r="AA68">
        <v>-6.9055726000000002</v>
      </c>
      <c r="AB68" t="s">
        <v>2449</v>
      </c>
      <c r="AC68" t="s">
        <v>216</v>
      </c>
      <c r="AL68" t="s">
        <v>217</v>
      </c>
      <c r="AM68" t="s">
        <v>2352</v>
      </c>
      <c r="AN68" t="s">
        <v>6</v>
      </c>
      <c r="AO68" s="57">
        <v>46090.746493055558</v>
      </c>
      <c r="AP68" s="57">
        <v>46269.625</v>
      </c>
      <c r="AR68" t="s">
        <v>240</v>
      </c>
      <c r="AS68" t="s">
        <v>2447</v>
      </c>
      <c r="AT68" t="s">
        <v>230</v>
      </c>
      <c r="AV68" t="s">
        <v>239</v>
      </c>
      <c r="AW68" t="s">
        <v>887</v>
      </c>
      <c r="AX68" t="s">
        <v>222</v>
      </c>
      <c r="BA68" s="57">
        <v>46269.625</v>
      </c>
      <c r="BB68" t="s">
        <v>2352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BOJONEGORO</v>
      </c>
    </row>
    <row r="69" spans="1:61">
      <c r="A69">
        <v>68</v>
      </c>
      <c r="B69">
        <v>1002570639</v>
      </c>
      <c r="C69">
        <v>3</v>
      </c>
      <c r="D69" t="s">
        <v>55</v>
      </c>
      <c r="E69">
        <v>5</v>
      </c>
      <c r="F69" t="s">
        <v>261</v>
      </c>
      <c r="G69" t="s">
        <v>128</v>
      </c>
      <c r="H69" t="s">
        <v>270</v>
      </c>
      <c r="I69" t="s">
        <v>212</v>
      </c>
      <c r="J69" t="s">
        <v>213</v>
      </c>
      <c r="K69" t="s">
        <v>149</v>
      </c>
      <c r="L69" t="s">
        <v>214</v>
      </c>
      <c r="M69" t="s">
        <v>239</v>
      </c>
      <c r="N69" t="s">
        <v>215</v>
      </c>
      <c r="O69" s="57">
        <v>46268.741620370369</v>
      </c>
      <c r="P69" s="57">
        <v>46268.743067129632</v>
      </c>
      <c r="Q69">
        <v>69383489</v>
      </c>
      <c r="S69">
        <v>152418251607</v>
      </c>
      <c r="T69" t="s">
        <v>2450</v>
      </c>
      <c r="U69" t="s">
        <v>2451</v>
      </c>
      <c r="V69" t="s">
        <v>2452</v>
      </c>
      <c r="Z69">
        <v>112.69273750000001</v>
      </c>
      <c r="AA69">
        <v>-7.2608027999999996</v>
      </c>
      <c r="AB69" t="s">
        <v>2453</v>
      </c>
      <c r="AC69" t="s">
        <v>216</v>
      </c>
      <c r="AL69" t="s">
        <v>217</v>
      </c>
      <c r="AM69" t="s">
        <v>2454</v>
      </c>
      <c r="AN69" t="s">
        <v>6</v>
      </c>
      <c r="AO69" s="57">
        <v>46090.746493055558</v>
      </c>
      <c r="AP69" s="57">
        <v>46269.625</v>
      </c>
      <c r="AR69" t="s">
        <v>240</v>
      </c>
      <c r="AS69" t="s">
        <v>271</v>
      </c>
      <c r="AT69" t="s">
        <v>230</v>
      </c>
      <c r="AV69" t="s">
        <v>239</v>
      </c>
      <c r="AW69" t="s">
        <v>886</v>
      </c>
      <c r="AX69" t="s">
        <v>222</v>
      </c>
      <c r="BA69" s="57">
        <v>46269.625</v>
      </c>
      <c r="BB69" t="s">
        <v>2454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SURABAYA UTARA</v>
      </c>
    </row>
    <row r="70" spans="1:61">
      <c r="A70">
        <v>69</v>
      </c>
      <c r="B70">
        <v>1002570637</v>
      </c>
      <c r="C70">
        <v>3</v>
      </c>
      <c r="D70" t="s">
        <v>55</v>
      </c>
      <c r="E70">
        <v>5</v>
      </c>
      <c r="F70" t="s">
        <v>261</v>
      </c>
      <c r="G70" t="s">
        <v>126</v>
      </c>
      <c r="H70" t="s">
        <v>262</v>
      </c>
      <c r="I70" t="s">
        <v>212</v>
      </c>
      <c r="J70" t="s">
        <v>213</v>
      </c>
      <c r="K70" t="s">
        <v>149</v>
      </c>
      <c r="L70" t="s">
        <v>214</v>
      </c>
      <c r="M70" t="s">
        <v>239</v>
      </c>
      <c r="N70" t="s">
        <v>215</v>
      </c>
      <c r="O70" s="57">
        <v>46268.740231481483</v>
      </c>
      <c r="P70" s="57">
        <v>46268.741678240738</v>
      </c>
      <c r="Q70">
        <v>69383488</v>
      </c>
      <c r="S70">
        <v>152413167958</v>
      </c>
      <c r="T70" t="s">
        <v>2455</v>
      </c>
      <c r="U70" t="s">
        <v>2456</v>
      </c>
      <c r="V70" t="s">
        <v>2457</v>
      </c>
      <c r="Z70">
        <v>112.7397034</v>
      </c>
      <c r="AA70">
        <v>-7.2586805999999999</v>
      </c>
      <c r="AB70" t="s">
        <v>2458</v>
      </c>
      <c r="AC70" t="s">
        <v>236</v>
      </c>
      <c r="AL70" t="s">
        <v>217</v>
      </c>
      <c r="AM70" t="s">
        <v>2459</v>
      </c>
      <c r="AN70" t="s">
        <v>6</v>
      </c>
      <c r="AO70" s="57">
        <v>46090.746493055558</v>
      </c>
      <c r="AP70" s="57">
        <v>46269.625</v>
      </c>
      <c r="AR70" t="s">
        <v>240</v>
      </c>
      <c r="AS70" t="s">
        <v>575</v>
      </c>
      <c r="AT70" t="s">
        <v>230</v>
      </c>
      <c r="AV70" t="s">
        <v>239</v>
      </c>
      <c r="AW70" t="s">
        <v>887</v>
      </c>
      <c r="AX70" t="s">
        <v>222</v>
      </c>
      <c r="BA70" s="57">
        <v>46269.625</v>
      </c>
      <c r="BB70" t="s">
        <v>2459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SURABAYA SELATAN</v>
      </c>
    </row>
    <row r="71" spans="1:61">
      <c r="A71">
        <v>70</v>
      </c>
      <c r="B71">
        <v>1002569549</v>
      </c>
      <c r="C71">
        <v>3</v>
      </c>
      <c r="D71" t="s">
        <v>38</v>
      </c>
      <c r="E71">
        <v>5</v>
      </c>
      <c r="F71" t="s">
        <v>248</v>
      </c>
      <c r="G71" t="s">
        <v>91</v>
      </c>
      <c r="H71" t="s">
        <v>412</v>
      </c>
      <c r="I71" t="s">
        <v>212</v>
      </c>
      <c r="J71" t="s">
        <v>213</v>
      </c>
      <c r="K71" t="s">
        <v>149</v>
      </c>
      <c r="L71" t="s">
        <v>214</v>
      </c>
      <c r="M71" t="s">
        <v>239</v>
      </c>
      <c r="N71" t="s">
        <v>215</v>
      </c>
      <c r="O71" s="57">
        <v>46268.504814814813</v>
      </c>
      <c r="P71" s="57">
        <v>46268.505567129629</v>
      </c>
      <c r="Q71">
        <v>69383043</v>
      </c>
      <c r="S71">
        <v>152715213479</v>
      </c>
      <c r="T71" t="s">
        <v>2460</v>
      </c>
      <c r="U71" t="s">
        <v>2461</v>
      </c>
      <c r="V71" t="s">
        <v>2462</v>
      </c>
      <c r="Z71">
        <v>112.6372174</v>
      </c>
      <c r="AA71">
        <v>-8.1774351999999997</v>
      </c>
      <c r="AB71" t="s">
        <v>2463</v>
      </c>
      <c r="AC71" t="s">
        <v>236</v>
      </c>
      <c r="AL71" t="s">
        <v>217</v>
      </c>
      <c r="AM71" t="s">
        <v>2464</v>
      </c>
      <c r="AN71" t="s">
        <v>6</v>
      </c>
      <c r="AO71" s="57">
        <v>46090.506990740738</v>
      </c>
      <c r="AP71" s="57">
        <v>46269.541666666664</v>
      </c>
      <c r="AR71" t="s">
        <v>240</v>
      </c>
      <c r="AS71" t="s">
        <v>584</v>
      </c>
      <c r="AT71" t="s">
        <v>230</v>
      </c>
      <c r="AV71" t="s">
        <v>239</v>
      </c>
      <c r="AW71" t="s">
        <v>884</v>
      </c>
      <c r="AX71" t="s">
        <v>222</v>
      </c>
      <c r="BA71" s="57">
        <v>46269.541666666664</v>
      </c>
      <c r="BB71" t="s">
        <v>2464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MALANG</v>
      </c>
    </row>
    <row r="72" spans="1:61">
      <c r="A72">
        <v>71</v>
      </c>
      <c r="B72">
        <v>1002570635</v>
      </c>
      <c r="C72">
        <v>3</v>
      </c>
      <c r="D72" t="s">
        <v>38</v>
      </c>
      <c r="E72">
        <v>5</v>
      </c>
      <c r="F72" t="s">
        <v>248</v>
      </c>
      <c r="G72" t="s">
        <v>87</v>
      </c>
      <c r="H72" t="s">
        <v>249</v>
      </c>
      <c r="I72" t="s">
        <v>212</v>
      </c>
      <c r="J72" t="s">
        <v>213</v>
      </c>
      <c r="K72" t="s">
        <v>149</v>
      </c>
      <c r="L72" t="s">
        <v>1755</v>
      </c>
      <c r="M72" t="s">
        <v>239</v>
      </c>
      <c r="N72" t="s">
        <v>215</v>
      </c>
      <c r="O72" s="57">
        <v>46268.739537037036</v>
      </c>
      <c r="P72" s="57">
        <v>46268.740289351852</v>
      </c>
      <c r="Q72">
        <v>69383505</v>
      </c>
      <c r="R72">
        <v>3414391135</v>
      </c>
      <c r="S72">
        <v>152702232098</v>
      </c>
      <c r="T72" t="s">
        <v>2465</v>
      </c>
      <c r="U72" t="s">
        <v>2466</v>
      </c>
      <c r="V72" t="s">
        <v>2467</v>
      </c>
      <c r="Z72">
        <v>112.6547637</v>
      </c>
      <c r="AA72">
        <v>-7.9317659999999997</v>
      </c>
      <c r="AB72" t="s">
        <v>2468</v>
      </c>
      <c r="AC72" t="s">
        <v>236</v>
      </c>
      <c r="AL72" t="s">
        <v>217</v>
      </c>
      <c r="AM72" t="s">
        <v>2272</v>
      </c>
      <c r="AN72" t="s">
        <v>6</v>
      </c>
      <c r="AO72" s="57">
        <v>46090.746493055558</v>
      </c>
      <c r="AP72" s="57">
        <v>46269.625</v>
      </c>
      <c r="AR72" t="s">
        <v>240</v>
      </c>
      <c r="AS72" t="s">
        <v>2469</v>
      </c>
      <c r="AT72" t="s">
        <v>230</v>
      </c>
      <c r="AV72" t="s">
        <v>239</v>
      </c>
      <c r="AW72" t="s">
        <v>2470</v>
      </c>
      <c r="AX72" t="s">
        <v>222</v>
      </c>
      <c r="BA72" s="57">
        <v>46269.625</v>
      </c>
      <c r="BB72" t="s">
        <v>2272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BATU</v>
      </c>
    </row>
    <row r="73" spans="1:61">
      <c r="A73">
        <v>72</v>
      </c>
      <c r="B73">
        <v>1002569598</v>
      </c>
      <c r="C73">
        <v>3</v>
      </c>
      <c r="D73" t="s">
        <v>59</v>
      </c>
      <c r="E73">
        <v>4</v>
      </c>
      <c r="F73" t="s">
        <v>549</v>
      </c>
      <c r="G73" t="s">
        <v>582</v>
      </c>
      <c r="H73" t="s">
        <v>841</v>
      </c>
      <c r="I73" t="s">
        <v>212</v>
      </c>
      <c r="J73" t="s">
        <v>213</v>
      </c>
      <c r="K73" t="s">
        <v>149</v>
      </c>
      <c r="L73" t="s">
        <v>214</v>
      </c>
      <c r="M73" t="s">
        <v>239</v>
      </c>
      <c r="N73" t="s">
        <v>215</v>
      </c>
      <c r="O73" s="57">
        <v>46268.524965277778</v>
      </c>
      <c r="P73" s="57">
        <v>46268.526400462964</v>
      </c>
      <c r="Q73">
        <v>69383090</v>
      </c>
      <c r="S73">
        <v>143132123505</v>
      </c>
      <c r="T73" t="s">
        <v>1568</v>
      </c>
      <c r="U73" t="s">
        <v>2471</v>
      </c>
      <c r="V73" t="s">
        <v>2472</v>
      </c>
      <c r="Z73">
        <v>110.4014075</v>
      </c>
      <c r="AA73">
        <v>-7.8188123999999997</v>
      </c>
      <c r="AB73" t="s">
        <v>2473</v>
      </c>
      <c r="AC73" t="s">
        <v>236</v>
      </c>
      <c r="AL73" t="s">
        <v>217</v>
      </c>
      <c r="AM73" t="s">
        <v>2474</v>
      </c>
      <c r="AN73" t="s">
        <v>6</v>
      </c>
      <c r="AO73" s="57">
        <v>46090.52783564815</v>
      </c>
      <c r="AP73" s="57">
        <v>46273.333333333336</v>
      </c>
      <c r="AR73" t="s">
        <v>240</v>
      </c>
      <c r="AS73" t="s">
        <v>916</v>
      </c>
      <c r="AT73" t="s">
        <v>230</v>
      </c>
      <c r="AV73" t="s">
        <v>239</v>
      </c>
      <c r="AW73" t="s">
        <v>887</v>
      </c>
      <c r="AX73" t="s">
        <v>222</v>
      </c>
      <c r="BA73" s="57">
        <v>46273.333333333336</v>
      </c>
      <c r="BB73" t="s">
        <v>2474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e">
        <f>VLOOKUP(H73,Sheet2!$A$1:$B$270,2,FALSE)</f>
        <v>#N/A</v>
      </c>
    </row>
    <row r="74" spans="1:61">
      <c r="A74">
        <v>73</v>
      </c>
      <c r="B74">
        <v>1002570665</v>
      </c>
      <c r="C74">
        <v>3</v>
      </c>
      <c r="D74" t="s">
        <v>55</v>
      </c>
      <c r="E74">
        <v>5</v>
      </c>
      <c r="F74" t="s">
        <v>261</v>
      </c>
      <c r="G74" t="s">
        <v>123</v>
      </c>
      <c r="H74" t="s">
        <v>267</v>
      </c>
      <c r="I74" t="s">
        <v>212</v>
      </c>
      <c r="J74" t="s">
        <v>213</v>
      </c>
      <c r="K74" t="s">
        <v>149</v>
      </c>
      <c r="L74" t="s">
        <v>214</v>
      </c>
      <c r="M74" t="s">
        <v>239</v>
      </c>
      <c r="N74" t="s">
        <v>215</v>
      </c>
      <c r="O74" s="57">
        <v>46268.775659722225</v>
      </c>
      <c r="P74" s="57">
        <v>46268.776550925926</v>
      </c>
      <c r="Q74">
        <v>69383511</v>
      </c>
      <c r="S74">
        <v>152407281666</v>
      </c>
      <c r="T74" t="s">
        <v>2475</v>
      </c>
      <c r="U74" t="s">
        <v>2476</v>
      </c>
      <c r="V74" t="s">
        <v>2477</v>
      </c>
      <c r="Z74">
        <v>112.78979200000001</v>
      </c>
      <c r="AA74">
        <v>-7.2524105999999904</v>
      </c>
      <c r="AB74" t="s">
        <v>2478</v>
      </c>
      <c r="AC74" t="s">
        <v>216</v>
      </c>
      <c r="AL74" t="s">
        <v>217</v>
      </c>
      <c r="AM74" t="s">
        <v>2479</v>
      </c>
      <c r="AN74" t="s">
        <v>6</v>
      </c>
      <c r="AO74" s="57">
        <v>46090.777800925927</v>
      </c>
      <c r="AP74" s="57">
        <v>46274.333333333336</v>
      </c>
      <c r="AR74" t="s">
        <v>240</v>
      </c>
      <c r="AS74" t="s">
        <v>123</v>
      </c>
      <c r="AT74" t="s">
        <v>230</v>
      </c>
      <c r="AV74" t="s">
        <v>239</v>
      </c>
      <c r="AW74" t="s">
        <v>2480</v>
      </c>
      <c r="AX74" t="s">
        <v>222</v>
      </c>
      <c r="BA74" s="57">
        <v>46274.333333333336</v>
      </c>
      <c r="BB74" t="s">
        <v>2479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SURABAYA UTARA</v>
      </c>
    </row>
    <row r="75" spans="1:61">
      <c r="A75">
        <v>74</v>
      </c>
      <c r="B75">
        <v>1002570621</v>
      </c>
      <c r="C75">
        <v>3</v>
      </c>
      <c r="D75" t="s">
        <v>38</v>
      </c>
      <c r="E75">
        <v>5</v>
      </c>
      <c r="F75" t="s">
        <v>92</v>
      </c>
      <c r="G75" t="s">
        <v>97</v>
      </c>
      <c r="H75" t="s">
        <v>298</v>
      </c>
      <c r="I75" t="s">
        <v>212</v>
      </c>
      <c r="J75" t="s">
        <v>213</v>
      </c>
      <c r="K75" t="s">
        <v>149</v>
      </c>
      <c r="L75" t="s">
        <v>214</v>
      </c>
      <c r="M75" t="s">
        <v>239</v>
      </c>
      <c r="N75" t="s">
        <v>215</v>
      </c>
      <c r="O75" s="57">
        <v>46268.729814814818</v>
      </c>
      <c r="P75" s="57">
        <v>46268.730624999997</v>
      </c>
      <c r="Q75">
        <v>69383462</v>
      </c>
      <c r="S75">
        <v>152647206518</v>
      </c>
      <c r="T75" t="s">
        <v>2443</v>
      </c>
      <c r="U75" t="s">
        <v>2481</v>
      </c>
      <c r="V75" t="s">
        <v>2482</v>
      </c>
      <c r="Z75">
        <v>111.9426914</v>
      </c>
      <c r="AA75">
        <v>-6.9055726000000002</v>
      </c>
      <c r="AB75" t="s">
        <v>2483</v>
      </c>
      <c r="AC75" t="s">
        <v>216</v>
      </c>
      <c r="AL75" t="s">
        <v>217</v>
      </c>
      <c r="AM75" t="s">
        <v>2272</v>
      </c>
      <c r="AN75" t="s">
        <v>6</v>
      </c>
      <c r="AO75" s="57">
        <v>46090.73605324074</v>
      </c>
      <c r="AP75" s="57">
        <v>46269.625</v>
      </c>
      <c r="AR75" t="s">
        <v>240</v>
      </c>
      <c r="AS75" t="s">
        <v>2447</v>
      </c>
      <c r="AT75" t="s">
        <v>230</v>
      </c>
      <c r="AV75" t="s">
        <v>239</v>
      </c>
      <c r="AW75" t="s">
        <v>887</v>
      </c>
      <c r="AX75" t="s">
        <v>222</v>
      </c>
      <c r="BA75" s="57">
        <v>46269.625</v>
      </c>
      <c r="BB75" t="s">
        <v>2272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BOJONEGORO</v>
      </c>
    </row>
    <row r="76" spans="1:61">
      <c r="A76">
        <v>75</v>
      </c>
      <c r="B76">
        <v>1002570623</v>
      </c>
      <c r="C76">
        <v>3</v>
      </c>
      <c r="D76" t="s">
        <v>38</v>
      </c>
      <c r="E76">
        <v>5</v>
      </c>
      <c r="F76" t="s">
        <v>90</v>
      </c>
      <c r="G76" t="s">
        <v>93</v>
      </c>
      <c r="H76" t="s">
        <v>381</v>
      </c>
      <c r="I76" t="s">
        <v>212</v>
      </c>
      <c r="J76" t="s">
        <v>213</v>
      </c>
      <c r="K76" t="s">
        <v>149</v>
      </c>
      <c r="L76" t="s">
        <v>214</v>
      </c>
      <c r="M76" t="s">
        <v>239</v>
      </c>
      <c r="N76" t="s">
        <v>215</v>
      </c>
      <c r="O76" s="57">
        <v>46268.733981481484</v>
      </c>
      <c r="P76" s="57">
        <v>46268.734733796293</v>
      </c>
      <c r="Q76">
        <v>69383481</v>
      </c>
      <c r="S76">
        <v>152615203391</v>
      </c>
      <c r="T76" t="s">
        <v>2395</v>
      </c>
      <c r="U76" t="s">
        <v>2396</v>
      </c>
      <c r="V76" t="s">
        <v>2484</v>
      </c>
      <c r="Z76">
        <v>112.107219</v>
      </c>
      <c r="AA76">
        <v>-7.5929159999999998</v>
      </c>
      <c r="AB76" t="s">
        <v>2485</v>
      </c>
      <c r="AC76" t="s">
        <v>236</v>
      </c>
      <c r="AL76" t="s">
        <v>217</v>
      </c>
      <c r="AM76" t="s">
        <v>2352</v>
      </c>
      <c r="AN76" t="s">
        <v>6</v>
      </c>
      <c r="AO76" s="57">
        <v>46090.73605324074</v>
      </c>
      <c r="AP76" s="57">
        <v>46269.625</v>
      </c>
      <c r="AR76" t="s">
        <v>240</v>
      </c>
      <c r="AS76" t="s">
        <v>589</v>
      </c>
      <c r="AT76" t="s">
        <v>230</v>
      </c>
      <c r="AV76" t="s">
        <v>239</v>
      </c>
      <c r="AW76" t="s">
        <v>237</v>
      </c>
      <c r="AX76" t="s">
        <v>222</v>
      </c>
      <c r="BA76" s="57">
        <v>46269.625</v>
      </c>
      <c r="BB76" t="s">
        <v>2352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NGANJUK</v>
      </c>
    </row>
    <row r="77" spans="1:61">
      <c r="A77">
        <v>76</v>
      </c>
      <c r="B77">
        <v>1002569900</v>
      </c>
      <c r="C77">
        <v>3</v>
      </c>
      <c r="D77" t="s">
        <v>59</v>
      </c>
      <c r="E77">
        <v>4</v>
      </c>
      <c r="F77" t="s">
        <v>242</v>
      </c>
      <c r="G77" t="s">
        <v>242</v>
      </c>
      <c r="H77" t="s">
        <v>2486</v>
      </c>
      <c r="I77" t="s">
        <v>212</v>
      </c>
      <c r="J77" t="s">
        <v>213</v>
      </c>
      <c r="K77" t="s">
        <v>149</v>
      </c>
      <c r="L77" t="s">
        <v>214</v>
      </c>
      <c r="M77" t="s">
        <v>239</v>
      </c>
      <c r="N77" t="s">
        <v>215</v>
      </c>
      <c r="O77" s="57">
        <v>46268.587453703702</v>
      </c>
      <c r="P77" s="57">
        <v>46268.588935185187</v>
      </c>
      <c r="Q77">
        <v>69383207</v>
      </c>
      <c r="S77">
        <v>146175114926</v>
      </c>
      <c r="T77" t="s">
        <v>2487</v>
      </c>
      <c r="U77" t="s">
        <v>2488</v>
      </c>
      <c r="V77" t="s">
        <v>2489</v>
      </c>
      <c r="Z77">
        <v>110.255214787</v>
      </c>
      <c r="AA77">
        <v>-7.5097864972013504</v>
      </c>
      <c r="AB77" t="s">
        <v>2490</v>
      </c>
      <c r="AC77" t="s">
        <v>236</v>
      </c>
      <c r="AL77" t="s">
        <v>217</v>
      </c>
      <c r="AM77" t="s">
        <v>2414</v>
      </c>
      <c r="AN77" t="s">
        <v>6</v>
      </c>
      <c r="AO77" s="57">
        <v>46090.590648148151</v>
      </c>
      <c r="AP77" s="57">
        <v>46269.541666666664</v>
      </c>
      <c r="AR77" t="s">
        <v>240</v>
      </c>
      <c r="AS77" t="s">
        <v>2491</v>
      </c>
      <c r="AT77" t="s">
        <v>230</v>
      </c>
      <c r="AV77" t="s">
        <v>239</v>
      </c>
      <c r="AW77" t="s">
        <v>883</v>
      </c>
      <c r="AX77" t="s">
        <v>222</v>
      </c>
      <c r="BA77" s="57">
        <v>46269.541666666664</v>
      </c>
      <c r="BB77" t="s">
        <v>2414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>
      <c r="A78">
        <v>77</v>
      </c>
      <c r="B78">
        <v>1002569889</v>
      </c>
      <c r="C78">
        <v>3</v>
      </c>
      <c r="D78" t="s">
        <v>45</v>
      </c>
      <c r="E78">
        <v>5</v>
      </c>
      <c r="F78" t="s">
        <v>113</v>
      </c>
      <c r="G78" t="s">
        <v>120</v>
      </c>
      <c r="H78" t="s">
        <v>312</v>
      </c>
      <c r="I78" t="s">
        <v>212</v>
      </c>
      <c r="J78" t="s">
        <v>213</v>
      </c>
      <c r="K78" t="s">
        <v>149</v>
      </c>
      <c r="L78" t="s">
        <v>214</v>
      </c>
      <c r="M78" t="s">
        <v>239</v>
      </c>
      <c r="N78" t="s">
        <v>215</v>
      </c>
      <c r="O78" s="57">
        <v>46268.585370370369</v>
      </c>
      <c r="P78" s="57">
        <v>46268.586180555554</v>
      </c>
      <c r="Q78">
        <v>69383206</v>
      </c>
      <c r="S78">
        <v>172517222631</v>
      </c>
      <c r="T78" t="s">
        <v>2492</v>
      </c>
      <c r="U78" t="s">
        <v>2493</v>
      </c>
      <c r="V78" t="s">
        <v>2494</v>
      </c>
      <c r="Z78">
        <v>120.2421071</v>
      </c>
      <c r="AA78">
        <v>-9.6706801000000002</v>
      </c>
      <c r="AB78" t="s">
        <v>2495</v>
      </c>
      <c r="AC78" t="s">
        <v>236</v>
      </c>
      <c r="AL78" t="s">
        <v>217</v>
      </c>
      <c r="AM78" t="s">
        <v>2496</v>
      </c>
      <c r="AN78" t="s">
        <v>6</v>
      </c>
      <c r="AO78" s="57">
        <v>46090.590648148151</v>
      </c>
      <c r="AP78" s="57">
        <v>46270.625</v>
      </c>
      <c r="AR78" t="s">
        <v>240</v>
      </c>
      <c r="AS78" t="s">
        <v>219</v>
      </c>
      <c r="AT78" t="s">
        <v>230</v>
      </c>
      <c r="AV78" t="s">
        <v>239</v>
      </c>
      <c r="AW78" t="s">
        <v>886</v>
      </c>
      <c r="AX78" t="s">
        <v>222</v>
      </c>
      <c r="BA78" s="57">
        <v>46270.625</v>
      </c>
      <c r="BB78" t="s">
        <v>2496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WAINGAPU</v>
      </c>
    </row>
    <row r="79" spans="1:61">
      <c r="A79">
        <v>78</v>
      </c>
      <c r="B79">
        <v>1002569880</v>
      </c>
      <c r="C79">
        <v>3</v>
      </c>
      <c r="D79" t="s">
        <v>38</v>
      </c>
      <c r="E79">
        <v>5</v>
      </c>
      <c r="F79" t="s">
        <v>92</v>
      </c>
      <c r="G79" t="s">
        <v>89</v>
      </c>
      <c r="H79" t="s">
        <v>360</v>
      </c>
      <c r="I79" t="s">
        <v>212</v>
      </c>
      <c r="J79" t="s">
        <v>213</v>
      </c>
      <c r="K79" t="s">
        <v>149</v>
      </c>
      <c r="L79" t="s">
        <v>214</v>
      </c>
      <c r="M79" t="s">
        <v>239</v>
      </c>
      <c r="N79" t="s">
        <v>215</v>
      </c>
      <c r="O79" s="57">
        <v>46268.583298611113</v>
      </c>
      <c r="P79" s="57">
        <v>46268.584791666668</v>
      </c>
      <c r="Q79">
        <v>69383201</v>
      </c>
      <c r="S79">
        <v>152644206588</v>
      </c>
      <c r="T79" t="s">
        <v>2497</v>
      </c>
      <c r="U79" t="s">
        <v>2498</v>
      </c>
      <c r="V79" t="s">
        <v>2499</v>
      </c>
      <c r="Z79">
        <v>111.53917949999899</v>
      </c>
      <c r="AA79">
        <v>-7.2577580999999904</v>
      </c>
      <c r="AB79" t="s">
        <v>2500</v>
      </c>
      <c r="AC79" t="s">
        <v>236</v>
      </c>
      <c r="AL79" t="s">
        <v>217</v>
      </c>
      <c r="AM79" t="s">
        <v>2501</v>
      </c>
      <c r="AN79" t="s">
        <v>6</v>
      </c>
      <c r="AO79" s="57">
        <v>46090.590648148151</v>
      </c>
      <c r="AP79" s="57">
        <v>46269.458333333336</v>
      </c>
      <c r="AR79" t="s">
        <v>240</v>
      </c>
      <c r="AS79" t="s">
        <v>1598</v>
      </c>
      <c r="AT79" t="s">
        <v>230</v>
      </c>
      <c r="AV79" t="s">
        <v>239</v>
      </c>
      <c r="AW79" t="s">
        <v>887</v>
      </c>
      <c r="AX79" t="s">
        <v>222</v>
      </c>
      <c r="BA79" s="57">
        <v>46269.458333333336</v>
      </c>
      <c r="BB79" t="s">
        <v>2501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BOJONEGORO</v>
      </c>
    </row>
    <row r="80" spans="1:61">
      <c r="A80">
        <v>79</v>
      </c>
      <c r="B80">
        <v>1002569885</v>
      </c>
      <c r="C80">
        <v>3</v>
      </c>
      <c r="D80" t="s">
        <v>51</v>
      </c>
      <c r="E80">
        <v>4</v>
      </c>
      <c r="F80" t="s">
        <v>234</v>
      </c>
      <c r="G80" t="s">
        <v>562</v>
      </c>
      <c r="H80" t="s">
        <v>2502</v>
      </c>
      <c r="I80" t="s">
        <v>212</v>
      </c>
      <c r="J80" t="s">
        <v>213</v>
      </c>
      <c r="K80" t="s">
        <v>149</v>
      </c>
      <c r="L80" t="s">
        <v>214</v>
      </c>
      <c r="M80" t="s">
        <v>239</v>
      </c>
      <c r="N80" t="s">
        <v>215</v>
      </c>
      <c r="O80" s="57">
        <v>46268.583993055552</v>
      </c>
      <c r="P80" s="57">
        <v>46268.584733796299</v>
      </c>
      <c r="Q80">
        <v>69383202</v>
      </c>
      <c r="S80">
        <v>146528600657</v>
      </c>
      <c r="T80" t="s">
        <v>2503</v>
      </c>
      <c r="U80" t="s">
        <v>2504</v>
      </c>
      <c r="V80" t="s">
        <v>2505</v>
      </c>
      <c r="Z80">
        <v>110.73686499999999</v>
      </c>
      <c r="AA80">
        <v>-7.5595179999999997</v>
      </c>
      <c r="AB80" t="s">
        <v>2506</v>
      </c>
      <c r="AC80" t="s">
        <v>236</v>
      </c>
      <c r="AL80" t="s">
        <v>217</v>
      </c>
      <c r="AM80" t="s">
        <v>2507</v>
      </c>
      <c r="AN80" t="s">
        <v>6</v>
      </c>
      <c r="AO80" s="57">
        <v>46090.590648148151</v>
      </c>
      <c r="AP80" s="57">
        <v>46269.541666666664</v>
      </c>
      <c r="AR80" t="s">
        <v>240</v>
      </c>
      <c r="AS80" t="s">
        <v>2508</v>
      </c>
      <c r="AT80" t="s">
        <v>230</v>
      </c>
      <c r="AV80" t="s">
        <v>239</v>
      </c>
      <c r="AW80" t="s">
        <v>921</v>
      </c>
      <c r="AX80" t="s">
        <v>222</v>
      </c>
      <c r="BA80" s="57">
        <v>46269.541666666664</v>
      </c>
      <c r="BB80" t="s">
        <v>2507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1002570651</v>
      </c>
      <c r="C81">
        <v>3</v>
      </c>
      <c r="D81" t="s">
        <v>59</v>
      </c>
      <c r="E81">
        <v>4</v>
      </c>
      <c r="F81" t="s">
        <v>549</v>
      </c>
      <c r="G81" t="s">
        <v>1698</v>
      </c>
      <c r="H81" t="s">
        <v>2007</v>
      </c>
      <c r="I81" t="s">
        <v>212</v>
      </c>
      <c r="J81" t="s">
        <v>213</v>
      </c>
      <c r="K81" t="s">
        <v>149</v>
      </c>
      <c r="L81" t="s">
        <v>214</v>
      </c>
      <c r="M81" t="s">
        <v>239</v>
      </c>
      <c r="N81" t="s">
        <v>215</v>
      </c>
      <c r="O81" s="57">
        <v>46268.758287037039</v>
      </c>
      <c r="P81" s="57">
        <v>46268.759733796294</v>
      </c>
      <c r="Q81">
        <v>69383494</v>
      </c>
      <c r="S81">
        <v>146144118739</v>
      </c>
      <c r="T81" t="s">
        <v>1568</v>
      </c>
      <c r="U81" t="s">
        <v>2509</v>
      </c>
      <c r="V81" t="s">
        <v>2510</v>
      </c>
      <c r="Z81">
        <v>110.41874989999999</v>
      </c>
      <c r="AA81">
        <v>-7.6865252999999996</v>
      </c>
      <c r="AB81" t="s">
        <v>2511</v>
      </c>
      <c r="AC81" t="s">
        <v>236</v>
      </c>
      <c r="AL81" t="s">
        <v>217</v>
      </c>
      <c r="AM81" t="s">
        <v>2254</v>
      </c>
      <c r="AN81" t="s">
        <v>6</v>
      </c>
      <c r="AO81" s="57">
        <v>46090.767534722225</v>
      </c>
      <c r="AP81" s="57">
        <v>46270.333333333336</v>
      </c>
      <c r="AR81" t="s">
        <v>240</v>
      </c>
      <c r="AS81" t="s">
        <v>219</v>
      </c>
      <c r="AT81" t="s">
        <v>344</v>
      </c>
      <c r="AV81" t="s">
        <v>239</v>
      </c>
      <c r="AW81" t="s">
        <v>2512</v>
      </c>
      <c r="AX81" t="s">
        <v>222</v>
      </c>
      <c r="BA81" s="57">
        <v>46270.333333333336</v>
      </c>
      <c r="BB81" t="s">
        <v>2254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1002569588</v>
      </c>
      <c r="C82">
        <v>3</v>
      </c>
      <c r="D82" t="s">
        <v>45</v>
      </c>
      <c r="E82">
        <v>5</v>
      </c>
      <c r="F82" t="s">
        <v>113</v>
      </c>
      <c r="G82" t="s">
        <v>113</v>
      </c>
      <c r="H82" t="s">
        <v>408</v>
      </c>
      <c r="I82" t="s">
        <v>212</v>
      </c>
      <c r="J82" t="s">
        <v>213</v>
      </c>
      <c r="K82" t="s">
        <v>149</v>
      </c>
      <c r="L82" t="s">
        <v>214</v>
      </c>
      <c r="M82" t="s">
        <v>239</v>
      </c>
      <c r="N82" t="s">
        <v>215</v>
      </c>
      <c r="O82" s="57">
        <v>46268.520787037036</v>
      </c>
      <c r="P82" s="57">
        <v>46268.522291666668</v>
      </c>
      <c r="Q82">
        <v>69383078</v>
      </c>
      <c r="S82">
        <v>172502311716</v>
      </c>
      <c r="T82" t="s">
        <v>2513</v>
      </c>
      <c r="U82" t="s">
        <v>2514</v>
      </c>
      <c r="V82" t="s">
        <v>2515</v>
      </c>
      <c r="Z82">
        <v>123.63090579999999</v>
      </c>
      <c r="AA82">
        <v>-10.151863000000001</v>
      </c>
      <c r="AB82" t="s">
        <v>2516</v>
      </c>
      <c r="AC82" t="s">
        <v>236</v>
      </c>
      <c r="AL82" t="s">
        <v>217</v>
      </c>
      <c r="AM82" t="s">
        <v>2517</v>
      </c>
      <c r="AN82" t="s">
        <v>6</v>
      </c>
      <c r="AO82" s="57">
        <v>46090.52783564815</v>
      </c>
      <c r="AP82" s="57">
        <v>46269.541666666664</v>
      </c>
      <c r="AR82" t="s">
        <v>240</v>
      </c>
      <c r="AS82" t="s">
        <v>113</v>
      </c>
      <c r="AT82" t="s">
        <v>230</v>
      </c>
      <c r="AV82" t="s">
        <v>239</v>
      </c>
      <c r="AW82" t="s">
        <v>890</v>
      </c>
      <c r="AX82" t="s">
        <v>222</v>
      </c>
      <c r="BA82" s="57">
        <v>46269.541666666664</v>
      </c>
      <c r="BB82" t="s">
        <v>2517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KUPANG</v>
      </c>
    </row>
    <row r="83" spans="1:61">
      <c r="A83">
        <v>82</v>
      </c>
      <c r="B83">
        <v>1002570658</v>
      </c>
      <c r="C83">
        <v>3</v>
      </c>
      <c r="D83" t="s">
        <v>42</v>
      </c>
      <c r="E83">
        <v>5</v>
      </c>
      <c r="F83" t="s">
        <v>232</v>
      </c>
      <c r="G83" t="s">
        <v>101</v>
      </c>
      <c r="H83" t="s">
        <v>259</v>
      </c>
      <c r="I83" t="s">
        <v>212</v>
      </c>
      <c r="J83" t="s">
        <v>213</v>
      </c>
      <c r="K83" t="s">
        <v>149</v>
      </c>
      <c r="L83" t="s">
        <v>214</v>
      </c>
      <c r="M83" t="s">
        <v>239</v>
      </c>
      <c r="N83" t="s">
        <v>215</v>
      </c>
      <c r="O83" s="57">
        <v>46268.763159722221</v>
      </c>
      <c r="P83" s="57">
        <v>46268.763958333337</v>
      </c>
      <c r="Q83">
        <v>69383509</v>
      </c>
      <c r="S83">
        <v>152316232584</v>
      </c>
      <c r="T83" t="s">
        <v>2518</v>
      </c>
      <c r="U83" t="s">
        <v>2519</v>
      </c>
      <c r="V83" t="s">
        <v>2520</v>
      </c>
      <c r="Z83">
        <v>112.7394489</v>
      </c>
      <c r="AA83">
        <v>-7.4633034</v>
      </c>
      <c r="AB83" t="s">
        <v>2521</v>
      </c>
      <c r="AC83" t="s">
        <v>236</v>
      </c>
      <c r="AL83" t="s">
        <v>217</v>
      </c>
      <c r="AM83" t="s">
        <v>2272</v>
      </c>
      <c r="AN83" t="s">
        <v>6</v>
      </c>
      <c r="AO83" s="57">
        <v>46090.767534722225</v>
      </c>
      <c r="AP83" s="57">
        <v>46269.625</v>
      </c>
      <c r="AR83" t="s">
        <v>240</v>
      </c>
      <c r="AS83" t="s">
        <v>232</v>
      </c>
      <c r="AT83" t="s">
        <v>230</v>
      </c>
      <c r="AV83" t="s">
        <v>239</v>
      </c>
      <c r="AW83" t="s">
        <v>885</v>
      </c>
      <c r="AX83" t="s">
        <v>222</v>
      </c>
      <c r="BA83" s="57">
        <v>46269.625</v>
      </c>
      <c r="BB83" t="s">
        <v>2272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SIDOARJO</v>
      </c>
    </row>
    <row r="84" spans="1:61">
      <c r="A84">
        <v>83</v>
      </c>
      <c r="B84">
        <v>1002569589</v>
      </c>
      <c r="C84">
        <v>3</v>
      </c>
      <c r="D84" t="s">
        <v>42</v>
      </c>
      <c r="E84">
        <v>5</v>
      </c>
      <c r="F84" t="s">
        <v>102</v>
      </c>
      <c r="G84" t="s">
        <v>102</v>
      </c>
      <c r="H84" t="s">
        <v>494</v>
      </c>
      <c r="I84" t="s">
        <v>212</v>
      </c>
      <c r="J84" t="s">
        <v>213</v>
      </c>
      <c r="K84" t="s">
        <v>149</v>
      </c>
      <c r="L84" t="s">
        <v>214</v>
      </c>
      <c r="M84" t="s">
        <v>239</v>
      </c>
      <c r="N84" t="s">
        <v>215</v>
      </c>
      <c r="O84" s="57">
        <v>46268.520787037036</v>
      </c>
      <c r="P84" s="57">
        <v>46268.522233796299</v>
      </c>
      <c r="Q84">
        <v>69383077</v>
      </c>
      <c r="S84">
        <v>152515203045</v>
      </c>
      <c r="T84" t="s">
        <v>2522</v>
      </c>
      <c r="U84" t="s">
        <v>2523</v>
      </c>
      <c r="V84" t="s">
        <v>2524</v>
      </c>
      <c r="Z84">
        <v>113.473223447799</v>
      </c>
      <c r="AA84">
        <v>-8.3697605823139192</v>
      </c>
      <c r="AB84" t="s">
        <v>2525</v>
      </c>
      <c r="AC84" t="s">
        <v>216</v>
      </c>
      <c r="AL84" t="s">
        <v>217</v>
      </c>
      <c r="AM84" t="s">
        <v>2526</v>
      </c>
      <c r="AN84" t="s">
        <v>6</v>
      </c>
      <c r="AO84" s="57">
        <v>46090.52783564815</v>
      </c>
      <c r="AP84" s="57">
        <v>46269.541666666664</v>
      </c>
      <c r="AR84" t="s">
        <v>240</v>
      </c>
      <c r="AS84" t="s">
        <v>2527</v>
      </c>
      <c r="AT84" t="s">
        <v>230</v>
      </c>
      <c r="AV84" t="s">
        <v>239</v>
      </c>
      <c r="AW84" t="s">
        <v>886</v>
      </c>
      <c r="AX84" t="s">
        <v>222</v>
      </c>
      <c r="BA84" s="57">
        <v>46269.541666666664</v>
      </c>
      <c r="BB84" t="s">
        <v>2526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JEMBER</v>
      </c>
    </row>
    <row r="85" spans="1:61">
      <c r="A85">
        <v>84</v>
      </c>
      <c r="B85">
        <v>1002569808</v>
      </c>
      <c r="C85">
        <v>3</v>
      </c>
      <c r="D85" t="s">
        <v>45</v>
      </c>
      <c r="E85">
        <v>5</v>
      </c>
      <c r="F85" t="s">
        <v>210</v>
      </c>
      <c r="G85" t="s">
        <v>118</v>
      </c>
      <c r="H85" t="s">
        <v>211</v>
      </c>
      <c r="I85" t="s">
        <v>212</v>
      </c>
      <c r="J85" t="s">
        <v>213</v>
      </c>
      <c r="K85" t="s">
        <v>149</v>
      </c>
      <c r="M85" t="s">
        <v>239</v>
      </c>
      <c r="N85" t="s">
        <v>215</v>
      </c>
      <c r="O85" s="57">
        <v>46268.57172453704</v>
      </c>
      <c r="P85" s="57">
        <v>46268.625069444446</v>
      </c>
      <c r="Q85">
        <v>69383194</v>
      </c>
      <c r="S85">
        <v>172606792386</v>
      </c>
      <c r="T85" t="s">
        <v>2528</v>
      </c>
      <c r="U85" t="s">
        <v>2529</v>
      </c>
      <c r="V85" t="s">
        <v>2530</v>
      </c>
      <c r="Z85">
        <v>117.75107819999999</v>
      </c>
      <c r="AA85">
        <v>-8.7652002000000007</v>
      </c>
      <c r="AB85" t="s">
        <v>2531</v>
      </c>
      <c r="AC85" t="s">
        <v>285</v>
      </c>
      <c r="AL85" t="s">
        <v>217</v>
      </c>
      <c r="AM85" t="s">
        <v>2532</v>
      </c>
      <c r="AN85" t="s">
        <v>6</v>
      </c>
      <c r="AO85" s="57">
        <v>46090.579861111109</v>
      </c>
      <c r="AP85" s="57">
        <v>46269.625</v>
      </c>
      <c r="AR85" t="s">
        <v>240</v>
      </c>
      <c r="AS85" t="s">
        <v>219</v>
      </c>
      <c r="AT85" t="s">
        <v>230</v>
      </c>
      <c r="AV85" t="s">
        <v>239</v>
      </c>
      <c r="AW85" t="s">
        <v>578</v>
      </c>
      <c r="AX85" t="s">
        <v>222</v>
      </c>
      <c r="BA85" s="57">
        <v>46269.625</v>
      </c>
      <c r="BB85" t="s">
        <v>2532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SUMBAWA</v>
      </c>
    </row>
    <row r="86" spans="1:61">
      <c r="A86">
        <v>85</v>
      </c>
      <c r="B86">
        <v>1002569844</v>
      </c>
      <c r="C86">
        <v>3</v>
      </c>
      <c r="D86" t="s">
        <v>45</v>
      </c>
      <c r="E86">
        <v>5</v>
      </c>
      <c r="F86" t="s">
        <v>210</v>
      </c>
      <c r="G86" t="s">
        <v>112</v>
      </c>
      <c r="H86" t="s">
        <v>263</v>
      </c>
      <c r="I86" t="s">
        <v>212</v>
      </c>
      <c r="J86" t="s">
        <v>213</v>
      </c>
      <c r="K86" t="s">
        <v>149</v>
      </c>
      <c r="L86" t="s">
        <v>214</v>
      </c>
      <c r="M86" t="s">
        <v>239</v>
      </c>
      <c r="N86" t="s">
        <v>215</v>
      </c>
      <c r="O86" s="57">
        <v>46268.577048611114</v>
      </c>
      <c r="P86" s="57">
        <v>46268.577847222223</v>
      </c>
      <c r="Q86">
        <v>69383174</v>
      </c>
      <c r="S86">
        <v>172601797583</v>
      </c>
      <c r="T86" t="s">
        <v>2533</v>
      </c>
      <c r="U86" t="s">
        <v>2534</v>
      </c>
      <c r="V86" t="s">
        <v>2535</v>
      </c>
      <c r="Z86">
        <v>116.138873</v>
      </c>
      <c r="AA86">
        <v>-8.5947840000000006</v>
      </c>
      <c r="AB86" t="s">
        <v>2536</v>
      </c>
      <c r="AC86" t="s">
        <v>236</v>
      </c>
      <c r="AL86" t="s">
        <v>217</v>
      </c>
      <c r="AM86" t="s">
        <v>2537</v>
      </c>
      <c r="AN86" t="s">
        <v>6</v>
      </c>
      <c r="AO86" s="57">
        <v>46090.579861111109</v>
      </c>
      <c r="AP86" s="57">
        <v>46270.333333333336</v>
      </c>
      <c r="AR86" t="s">
        <v>240</v>
      </c>
      <c r="AS86" t="s">
        <v>219</v>
      </c>
      <c r="AT86" t="s">
        <v>230</v>
      </c>
      <c r="AV86" t="s">
        <v>239</v>
      </c>
      <c r="AW86" t="s">
        <v>887</v>
      </c>
      <c r="AX86" t="s">
        <v>222</v>
      </c>
      <c r="BA86" s="57">
        <v>46270.333333333336</v>
      </c>
      <c r="BB86" t="s">
        <v>2537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MATARAM</v>
      </c>
    </row>
    <row r="87" spans="1:61">
      <c r="A87">
        <v>86</v>
      </c>
      <c r="B87">
        <v>1002569820</v>
      </c>
      <c r="C87">
        <v>3</v>
      </c>
      <c r="D87" t="s">
        <v>49</v>
      </c>
      <c r="E87">
        <v>4</v>
      </c>
      <c r="F87" t="s">
        <v>245</v>
      </c>
      <c r="G87" t="s">
        <v>2538</v>
      </c>
      <c r="H87" t="s">
        <v>2539</v>
      </c>
      <c r="I87" t="s">
        <v>212</v>
      </c>
      <c r="J87" t="s">
        <v>213</v>
      </c>
      <c r="K87" t="s">
        <v>149</v>
      </c>
      <c r="M87" t="s">
        <v>239</v>
      </c>
      <c r="N87" t="s">
        <v>215</v>
      </c>
      <c r="O87" s="57">
        <v>46268.574687499997</v>
      </c>
      <c r="P87" s="57">
        <v>46268.684745370374</v>
      </c>
      <c r="Q87">
        <v>69383173</v>
      </c>
      <c r="R87">
        <v>2946101009</v>
      </c>
      <c r="S87">
        <v>141409102967</v>
      </c>
      <c r="T87" t="s">
        <v>2540</v>
      </c>
      <c r="U87" t="s">
        <v>2541</v>
      </c>
      <c r="V87" t="s">
        <v>2542</v>
      </c>
      <c r="Z87">
        <v>110.0465123</v>
      </c>
      <c r="AA87">
        <v>-7.0878718000000003</v>
      </c>
      <c r="AB87" t="s">
        <v>2543</v>
      </c>
      <c r="AC87" t="s">
        <v>284</v>
      </c>
      <c r="AL87" t="s">
        <v>217</v>
      </c>
      <c r="AM87" t="s">
        <v>2428</v>
      </c>
      <c r="AN87" t="s">
        <v>6</v>
      </c>
      <c r="AO87" s="57">
        <v>46090.579861111109</v>
      </c>
      <c r="AP87" s="57">
        <v>46269.541666666664</v>
      </c>
      <c r="AR87" t="s">
        <v>240</v>
      </c>
      <c r="AS87" t="s">
        <v>219</v>
      </c>
      <c r="AT87" t="s">
        <v>230</v>
      </c>
      <c r="AV87" t="s">
        <v>239</v>
      </c>
      <c r="AW87" t="s">
        <v>545</v>
      </c>
      <c r="AX87" t="s">
        <v>222</v>
      </c>
      <c r="BA87" s="57">
        <v>46269.541666666664</v>
      </c>
      <c r="BB87" t="s">
        <v>2428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e">
        <f>VLOOKUP(H87,Sheet2!$A$1:$B$270,2,FALSE)</f>
        <v>#N/A</v>
      </c>
    </row>
    <row r="88" spans="1:61">
      <c r="A88">
        <v>87</v>
      </c>
      <c r="B88">
        <v>1002569842</v>
      </c>
      <c r="C88">
        <v>3</v>
      </c>
      <c r="D88" t="s">
        <v>42</v>
      </c>
      <c r="E88">
        <v>5</v>
      </c>
      <c r="F88" t="s">
        <v>232</v>
      </c>
      <c r="G88" t="s">
        <v>105</v>
      </c>
      <c r="H88" t="s">
        <v>371</v>
      </c>
      <c r="I88" t="s">
        <v>212</v>
      </c>
      <c r="J88" t="s">
        <v>213</v>
      </c>
      <c r="K88" t="s">
        <v>149</v>
      </c>
      <c r="M88" t="s">
        <v>239</v>
      </c>
      <c r="N88" t="s">
        <v>215</v>
      </c>
      <c r="O88" s="57">
        <v>46268.57744212963</v>
      </c>
      <c r="P88" s="57">
        <v>46268.651458333334</v>
      </c>
      <c r="Q88">
        <v>69383177</v>
      </c>
      <c r="S88">
        <v>152312243363</v>
      </c>
      <c r="T88" t="s">
        <v>2544</v>
      </c>
      <c r="U88" t="s">
        <v>2545</v>
      </c>
      <c r="V88" t="s">
        <v>2546</v>
      </c>
      <c r="Z88">
        <v>112.4590355</v>
      </c>
      <c r="AA88">
        <v>-7.4992048999999996</v>
      </c>
      <c r="AB88" t="s">
        <v>2547</v>
      </c>
      <c r="AC88" t="s">
        <v>229</v>
      </c>
      <c r="AL88" t="s">
        <v>217</v>
      </c>
      <c r="AM88" t="s">
        <v>2548</v>
      </c>
      <c r="AN88" t="s">
        <v>6</v>
      </c>
      <c r="AO88" s="57">
        <v>46090.579861111109</v>
      </c>
      <c r="AP88" s="57">
        <v>46269.625</v>
      </c>
      <c r="AR88" t="s">
        <v>240</v>
      </c>
      <c r="AS88" t="s">
        <v>105</v>
      </c>
      <c r="AT88" t="s">
        <v>230</v>
      </c>
      <c r="AV88" t="s">
        <v>239</v>
      </c>
      <c r="AW88" t="s">
        <v>544</v>
      </c>
      <c r="AX88" t="s">
        <v>222</v>
      </c>
      <c r="BA88" s="57">
        <v>46269.625</v>
      </c>
      <c r="BB88" t="s">
        <v>2548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MOJOKERTO</v>
      </c>
    </row>
    <row r="89" spans="1:61">
      <c r="A89">
        <v>88</v>
      </c>
      <c r="B89">
        <v>1002570423</v>
      </c>
      <c r="C89">
        <v>3</v>
      </c>
      <c r="D89" t="s">
        <v>55</v>
      </c>
      <c r="E89">
        <v>5</v>
      </c>
      <c r="F89" t="s">
        <v>307</v>
      </c>
      <c r="G89" t="s">
        <v>126</v>
      </c>
      <c r="H89" t="s">
        <v>372</v>
      </c>
      <c r="I89" t="s">
        <v>212</v>
      </c>
      <c r="J89" t="s">
        <v>213</v>
      </c>
      <c r="K89" t="s">
        <v>149</v>
      </c>
      <c r="L89" t="s">
        <v>1755</v>
      </c>
      <c r="M89" t="s">
        <v>239</v>
      </c>
      <c r="N89" t="s">
        <v>215</v>
      </c>
      <c r="O89" s="57">
        <v>46268.679131944446</v>
      </c>
      <c r="P89" s="57">
        <v>46268.680625000001</v>
      </c>
      <c r="Q89">
        <v>69383389</v>
      </c>
      <c r="R89">
        <v>3135953475</v>
      </c>
      <c r="S89">
        <v>152303248886</v>
      </c>
      <c r="T89" t="s">
        <v>2549</v>
      </c>
      <c r="U89" t="s">
        <v>2550</v>
      </c>
      <c r="V89" t="s">
        <v>2551</v>
      </c>
      <c r="Z89">
        <v>112.77660400000001</v>
      </c>
      <c r="AA89">
        <v>-7.280894</v>
      </c>
      <c r="AB89" t="s">
        <v>2552</v>
      </c>
      <c r="AC89" t="s">
        <v>236</v>
      </c>
      <c r="AL89" t="s">
        <v>217</v>
      </c>
      <c r="AM89" t="s">
        <v>2553</v>
      </c>
      <c r="AN89" t="s">
        <v>6</v>
      </c>
      <c r="AO89" s="57">
        <v>46090.684282407405</v>
      </c>
      <c r="AP89" s="57">
        <v>46271.458333333336</v>
      </c>
      <c r="AR89" t="s">
        <v>240</v>
      </c>
      <c r="AS89" t="s">
        <v>126</v>
      </c>
      <c r="AT89" t="s">
        <v>230</v>
      </c>
      <c r="AV89" t="s">
        <v>239</v>
      </c>
      <c r="AW89" t="s">
        <v>2554</v>
      </c>
      <c r="AX89" t="s">
        <v>222</v>
      </c>
      <c r="BA89" s="57">
        <v>46271.458333333336</v>
      </c>
      <c r="BB89" t="s">
        <v>2553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SURABAYA SELATAN</v>
      </c>
    </row>
    <row r="90" spans="1:61">
      <c r="A90">
        <v>89</v>
      </c>
      <c r="B90">
        <v>1002569855</v>
      </c>
      <c r="C90">
        <v>3</v>
      </c>
      <c r="D90" t="s">
        <v>38</v>
      </c>
      <c r="E90">
        <v>5</v>
      </c>
      <c r="F90" t="s">
        <v>248</v>
      </c>
      <c r="G90" t="s">
        <v>91</v>
      </c>
      <c r="H90" t="s">
        <v>388</v>
      </c>
      <c r="I90" t="s">
        <v>212</v>
      </c>
      <c r="J90" t="s">
        <v>213</v>
      </c>
      <c r="K90" t="s">
        <v>149</v>
      </c>
      <c r="L90" t="s">
        <v>214</v>
      </c>
      <c r="M90" t="s">
        <v>239</v>
      </c>
      <c r="N90" t="s">
        <v>215</v>
      </c>
      <c r="O90" s="57">
        <v>46268.57912037037</v>
      </c>
      <c r="P90" s="57">
        <v>46268.580567129633</v>
      </c>
      <c r="Q90">
        <v>69383180</v>
      </c>
      <c r="S90">
        <v>152703903726</v>
      </c>
      <c r="T90" t="s">
        <v>2555</v>
      </c>
      <c r="U90" t="s">
        <v>2556</v>
      </c>
      <c r="V90" t="s">
        <v>2557</v>
      </c>
      <c r="Z90">
        <v>112.61056600000001</v>
      </c>
      <c r="AA90">
        <v>-7.9567730000000001</v>
      </c>
      <c r="AB90" t="s">
        <v>2558</v>
      </c>
      <c r="AC90" t="s">
        <v>236</v>
      </c>
      <c r="AL90" t="s">
        <v>217</v>
      </c>
      <c r="AM90" t="s">
        <v>2559</v>
      </c>
      <c r="AN90" t="s">
        <v>6</v>
      </c>
      <c r="AO90" s="57">
        <v>46090.579861111109</v>
      </c>
      <c r="AP90" s="57">
        <v>46270.333333333336</v>
      </c>
      <c r="AR90" t="s">
        <v>240</v>
      </c>
      <c r="AS90" t="s">
        <v>557</v>
      </c>
      <c r="AT90" t="s">
        <v>230</v>
      </c>
      <c r="AV90" t="s">
        <v>239</v>
      </c>
      <c r="AW90" t="s">
        <v>887</v>
      </c>
      <c r="AX90" t="s">
        <v>222</v>
      </c>
      <c r="BA90" s="57">
        <v>46270.333333333336</v>
      </c>
      <c r="BB90" t="s">
        <v>2559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MALANG</v>
      </c>
    </row>
    <row r="91" spans="1:61">
      <c r="A91">
        <v>90</v>
      </c>
      <c r="B91">
        <v>1002569790</v>
      </c>
      <c r="C91">
        <v>3</v>
      </c>
      <c r="D91" t="s">
        <v>55</v>
      </c>
      <c r="E91">
        <v>5</v>
      </c>
      <c r="F91" t="s">
        <v>307</v>
      </c>
      <c r="G91" t="s">
        <v>124</v>
      </c>
      <c r="H91" t="s">
        <v>328</v>
      </c>
      <c r="I91" t="s">
        <v>212</v>
      </c>
      <c r="J91" t="s">
        <v>213</v>
      </c>
      <c r="K91" t="s">
        <v>149</v>
      </c>
      <c r="M91" t="s">
        <v>239</v>
      </c>
      <c r="N91" t="s">
        <v>215</v>
      </c>
      <c r="O91" s="57">
        <v>46268.570972222224</v>
      </c>
      <c r="P91" s="57">
        <v>46269.361122685186</v>
      </c>
      <c r="Q91">
        <v>69383167</v>
      </c>
      <c r="S91">
        <v>152305231099</v>
      </c>
      <c r="T91" t="s">
        <v>2560</v>
      </c>
      <c r="U91" t="s">
        <v>2561</v>
      </c>
      <c r="V91" t="s">
        <v>2562</v>
      </c>
      <c r="Z91">
        <v>112.77570830000001</v>
      </c>
      <c r="AA91">
        <v>-7.3422147000000004</v>
      </c>
      <c r="AB91" t="s">
        <v>2563</v>
      </c>
      <c r="AC91" t="s">
        <v>229</v>
      </c>
      <c r="AL91" t="s">
        <v>217</v>
      </c>
      <c r="AM91" t="s">
        <v>2564</v>
      </c>
      <c r="AN91" t="s">
        <v>6</v>
      </c>
      <c r="AO91" s="57">
        <v>46090.579861111109</v>
      </c>
      <c r="AP91" s="57">
        <v>46272.625</v>
      </c>
      <c r="AR91" t="s">
        <v>240</v>
      </c>
      <c r="AS91" t="s">
        <v>2385</v>
      </c>
      <c r="AT91" t="s">
        <v>230</v>
      </c>
      <c r="AV91" t="s">
        <v>239</v>
      </c>
      <c r="AW91" t="s">
        <v>545</v>
      </c>
      <c r="AX91" t="s">
        <v>222</v>
      </c>
      <c r="BA91" s="57">
        <v>46272.625</v>
      </c>
      <c r="BB91" t="s">
        <v>2564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SURABAYA SELATAN</v>
      </c>
    </row>
    <row r="92" spans="1:61">
      <c r="A92">
        <v>91</v>
      </c>
      <c r="B92">
        <v>1002569800</v>
      </c>
      <c r="C92">
        <v>3</v>
      </c>
      <c r="D92" t="s">
        <v>59</v>
      </c>
      <c r="E92">
        <v>4</v>
      </c>
      <c r="F92" t="s">
        <v>242</v>
      </c>
      <c r="G92" t="s">
        <v>1544</v>
      </c>
      <c r="H92" t="s">
        <v>1545</v>
      </c>
      <c r="I92" t="s">
        <v>212</v>
      </c>
      <c r="J92" t="s">
        <v>213</v>
      </c>
      <c r="K92" t="s">
        <v>149</v>
      </c>
      <c r="M92" t="s">
        <v>239</v>
      </c>
      <c r="N92" t="s">
        <v>215</v>
      </c>
      <c r="O92" s="57">
        <v>46268.570173611108</v>
      </c>
      <c r="P92" s="57">
        <v>46268.618067129632</v>
      </c>
      <c r="Q92">
        <v>69383172</v>
      </c>
      <c r="R92">
        <v>2865220054</v>
      </c>
      <c r="S92">
        <v>141373127378</v>
      </c>
      <c r="T92" t="s">
        <v>2565</v>
      </c>
      <c r="U92" t="s">
        <v>2566</v>
      </c>
      <c r="V92" t="s">
        <v>2567</v>
      </c>
      <c r="Z92">
        <v>109.9100456</v>
      </c>
      <c r="AA92">
        <v>-7.3606774000000001</v>
      </c>
      <c r="AB92" t="s">
        <v>2568</v>
      </c>
      <c r="AC92" t="s">
        <v>225</v>
      </c>
      <c r="AL92" t="s">
        <v>217</v>
      </c>
      <c r="AM92" t="s">
        <v>2569</v>
      </c>
      <c r="AN92" t="s">
        <v>6</v>
      </c>
      <c r="AO92" s="57">
        <v>46090.579861111109</v>
      </c>
      <c r="AP92" s="57">
        <v>46269.541666666664</v>
      </c>
      <c r="AR92" t="s">
        <v>240</v>
      </c>
      <c r="AS92" t="s">
        <v>219</v>
      </c>
      <c r="AT92" t="s">
        <v>230</v>
      </c>
      <c r="AV92" t="s">
        <v>239</v>
      </c>
      <c r="AW92" t="s">
        <v>585</v>
      </c>
      <c r="AX92" t="s">
        <v>222</v>
      </c>
      <c r="BA92" s="57">
        <v>46269.541666666664</v>
      </c>
      <c r="BB92" t="s">
        <v>2569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e">
        <f>VLOOKUP(H92,Sheet2!$A$1:$B$270,2,FALSE)</f>
        <v>#N/A</v>
      </c>
    </row>
    <row r="93" spans="1:61">
      <c r="A93">
        <v>92</v>
      </c>
      <c r="B93">
        <v>1002569812</v>
      </c>
      <c r="C93">
        <v>3</v>
      </c>
      <c r="D93" t="s">
        <v>49</v>
      </c>
      <c r="E93">
        <v>4</v>
      </c>
      <c r="F93" t="s">
        <v>245</v>
      </c>
      <c r="G93" t="s">
        <v>1924</v>
      </c>
      <c r="H93" t="s">
        <v>2570</v>
      </c>
      <c r="I93" t="s">
        <v>212</v>
      </c>
      <c r="J93" t="s">
        <v>213</v>
      </c>
      <c r="K93" t="s">
        <v>149</v>
      </c>
      <c r="L93" t="s">
        <v>214</v>
      </c>
      <c r="M93" t="s">
        <v>239</v>
      </c>
      <c r="N93" t="s">
        <v>215</v>
      </c>
      <c r="O93" s="57">
        <v>46268.571481481478</v>
      </c>
      <c r="P93" s="57">
        <v>46268.572233796294</v>
      </c>
      <c r="Q93">
        <v>69383195</v>
      </c>
      <c r="S93">
        <v>141459109258</v>
      </c>
      <c r="T93" t="s">
        <v>2571</v>
      </c>
      <c r="U93" t="s">
        <v>2572</v>
      </c>
      <c r="V93" t="s">
        <v>2573</v>
      </c>
      <c r="Z93">
        <v>110.45977000000001</v>
      </c>
      <c r="AA93">
        <v>-7.2409720000000002</v>
      </c>
      <c r="AB93" t="s">
        <v>2574</v>
      </c>
      <c r="AC93" t="s">
        <v>236</v>
      </c>
      <c r="AL93" t="s">
        <v>217</v>
      </c>
      <c r="AM93" t="s">
        <v>2575</v>
      </c>
      <c r="AN93" t="s">
        <v>6</v>
      </c>
      <c r="AO93" s="57">
        <v>46090.579861111109</v>
      </c>
      <c r="AP93" s="57">
        <v>46269.541666666664</v>
      </c>
      <c r="AR93" t="s">
        <v>240</v>
      </c>
      <c r="AS93" t="s">
        <v>1931</v>
      </c>
      <c r="AT93" t="s">
        <v>230</v>
      </c>
      <c r="AV93" t="s">
        <v>239</v>
      </c>
      <c r="AW93" t="s">
        <v>2576</v>
      </c>
      <c r="AX93" t="s">
        <v>222</v>
      </c>
      <c r="BA93" s="57">
        <v>46269.541666666664</v>
      </c>
      <c r="BB93" t="s">
        <v>2575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e">
        <f>VLOOKUP(H93,Sheet2!$A$1:$B$270,2,FALSE)</f>
        <v>#N/A</v>
      </c>
    </row>
    <row r="94" spans="1:61">
      <c r="A94">
        <v>93</v>
      </c>
      <c r="B94">
        <v>1002570443</v>
      </c>
      <c r="C94">
        <v>3</v>
      </c>
      <c r="D94" t="s">
        <v>51</v>
      </c>
      <c r="E94">
        <v>4</v>
      </c>
      <c r="F94" t="s">
        <v>234</v>
      </c>
      <c r="G94" t="s">
        <v>2577</v>
      </c>
      <c r="H94" t="s">
        <v>2578</v>
      </c>
      <c r="I94" t="s">
        <v>212</v>
      </c>
      <c r="J94" t="s">
        <v>213</v>
      </c>
      <c r="K94" t="s">
        <v>149</v>
      </c>
      <c r="L94" t="s">
        <v>214</v>
      </c>
      <c r="M94" t="s">
        <v>239</v>
      </c>
      <c r="N94" t="s">
        <v>215</v>
      </c>
      <c r="O94" s="57">
        <v>46268.681898148148</v>
      </c>
      <c r="P94" s="57">
        <v>46268.68340277778</v>
      </c>
      <c r="Q94">
        <v>69383380</v>
      </c>
      <c r="S94">
        <v>142567104655</v>
      </c>
      <c r="T94" t="s">
        <v>2579</v>
      </c>
      <c r="U94" t="s">
        <v>2580</v>
      </c>
      <c r="V94" t="s">
        <v>2581</v>
      </c>
      <c r="Z94">
        <v>110.959109</v>
      </c>
      <c r="AA94">
        <v>-7.584168</v>
      </c>
      <c r="AB94" t="s">
        <v>2582</v>
      </c>
      <c r="AC94" t="s">
        <v>236</v>
      </c>
      <c r="AL94" t="s">
        <v>217</v>
      </c>
      <c r="AM94" t="s">
        <v>2583</v>
      </c>
      <c r="AN94" t="s">
        <v>6</v>
      </c>
      <c r="AO94" s="57">
        <v>46090.684282407405</v>
      </c>
      <c r="AP94" s="57">
        <v>46269.541666666664</v>
      </c>
      <c r="AR94" t="s">
        <v>240</v>
      </c>
      <c r="AS94" t="s">
        <v>2584</v>
      </c>
      <c r="AT94" t="s">
        <v>230</v>
      </c>
      <c r="AV94" t="s">
        <v>239</v>
      </c>
      <c r="AW94" t="s">
        <v>883</v>
      </c>
      <c r="AX94" t="s">
        <v>222</v>
      </c>
      <c r="BA94" s="57">
        <v>46269.541666666664</v>
      </c>
      <c r="BB94" t="s">
        <v>2583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e">
        <f>VLOOKUP(H94,Sheet2!$A$1:$B$270,2,FALSE)</f>
        <v>#N/A</v>
      </c>
    </row>
    <row r="95" spans="1:61">
      <c r="A95">
        <v>94</v>
      </c>
      <c r="B95">
        <v>1002570445</v>
      </c>
      <c r="C95">
        <v>3</v>
      </c>
      <c r="D95" t="s">
        <v>51</v>
      </c>
      <c r="E95">
        <v>4</v>
      </c>
      <c r="F95" t="s">
        <v>269</v>
      </c>
      <c r="G95" t="s">
        <v>551</v>
      </c>
      <c r="H95" t="s">
        <v>2585</v>
      </c>
      <c r="I95" t="s">
        <v>212</v>
      </c>
      <c r="J95" t="s">
        <v>213</v>
      </c>
      <c r="K95" t="s">
        <v>149</v>
      </c>
      <c r="L95" t="s">
        <v>214</v>
      </c>
      <c r="M95" t="s">
        <v>239</v>
      </c>
      <c r="N95" t="s">
        <v>215</v>
      </c>
      <c r="O95" s="57">
        <v>46268.681979166664</v>
      </c>
      <c r="P95" s="57">
        <v>46268.683344907404</v>
      </c>
      <c r="Q95">
        <v>69383395</v>
      </c>
      <c r="S95">
        <v>141568113965</v>
      </c>
      <c r="T95" t="s">
        <v>2586</v>
      </c>
      <c r="U95" t="s">
        <v>2587</v>
      </c>
      <c r="V95" t="s">
        <v>2588</v>
      </c>
      <c r="Z95">
        <v>110.9117708</v>
      </c>
      <c r="AA95">
        <v>-7.0909963999999999</v>
      </c>
      <c r="AB95" t="s">
        <v>2589</v>
      </c>
      <c r="AC95" t="s">
        <v>236</v>
      </c>
      <c r="AL95" t="s">
        <v>217</v>
      </c>
      <c r="AM95" t="s">
        <v>2517</v>
      </c>
      <c r="AN95" t="s">
        <v>6</v>
      </c>
      <c r="AO95" s="57">
        <v>46090.684282407405</v>
      </c>
      <c r="AP95" s="57">
        <v>46269.541666666664</v>
      </c>
      <c r="AR95" t="s">
        <v>240</v>
      </c>
      <c r="AS95" t="s">
        <v>219</v>
      </c>
      <c r="AT95" t="s">
        <v>230</v>
      </c>
      <c r="AV95" t="s">
        <v>239</v>
      </c>
      <c r="AW95" t="s">
        <v>894</v>
      </c>
      <c r="AX95" t="s">
        <v>222</v>
      </c>
      <c r="BA95" s="57">
        <v>46269.541666666664</v>
      </c>
      <c r="BB95" t="s">
        <v>2517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e">
        <f>VLOOKUP(H95,Sheet2!$A$1:$B$270,2,FALSE)</f>
        <v>#N/A</v>
      </c>
    </row>
    <row r="96" spans="1:61">
      <c r="A96">
        <v>95</v>
      </c>
      <c r="B96">
        <v>1002569164</v>
      </c>
      <c r="C96">
        <v>3</v>
      </c>
      <c r="D96" t="s">
        <v>38</v>
      </c>
      <c r="E96">
        <v>5</v>
      </c>
      <c r="F96" t="s">
        <v>92</v>
      </c>
      <c r="G96" t="s">
        <v>92</v>
      </c>
      <c r="H96" t="s">
        <v>472</v>
      </c>
      <c r="I96" t="s">
        <v>212</v>
      </c>
      <c r="J96" t="s">
        <v>213</v>
      </c>
      <c r="K96" t="s">
        <v>149</v>
      </c>
      <c r="L96" t="s">
        <v>214</v>
      </c>
      <c r="M96" t="s">
        <v>239</v>
      </c>
      <c r="N96" t="s">
        <v>215</v>
      </c>
      <c r="O96" s="57">
        <v>46268.436064814814</v>
      </c>
      <c r="P96" s="57">
        <v>46268.437511574077</v>
      </c>
      <c r="Q96">
        <v>69382904</v>
      </c>
      <c r="S96">
        <v>152632207018</v>
      </c>
      <c r="T96" t="s">
        <v>2590</v>
      </c>
      <c r="U96" t="s">
        <v>2591</v>
      </c>
      <c r="V96" t="s">
        <v>2592</v>
      </c>
      <c r="Z96">
        <v>111.667725098342</v>
      </c>
      <c r="AA96">
        <v>-7.5458439174376402</v>
      </c>
      <c r="AB96" t="s">
        <v>2593</v>
      </c>
      <c r="AC96" t="s">
        <v>236</v>
      </c>
      <c r="AL96" t="s">
        <v>217</v>
      </c>
      <c r="AM96" t="s">
        <v>2594</v>
      </c>
      <c r="AN96" t="s">
        <v>6</v>
      </c>
      <c r="AO96" s="57">
        <v>46090.444398148145</v>
      </c>
      <c r="AP96" s="57">
        <v>46269.541666666664</v>
      </c>
      <c r="AR96" t="s">
        <v>240</v>
      </c>
      <c r="AS96" t="s">
        <v>570</v>
      </c>
      <c r="AT96" t="s">
        <v>230</v>
      </c>
      <c r="AV96" t="s">
        <v>239</v>
      </c>
      <c r="AW96" t="s">
        <v>890</v>
      </c>
      <c r="AX96" t="s">
        <v>222</v>
      </c>
      <c r="BA96" s="57">
        <v>46269.541666666664</v>
      </c>
      <c r="BB96" t="s">
        <v>2594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MADIUN</v>
      </c>
    </row>
    <row r="97" spans="1:61">
      <c r="A97">
        <v>96</v>
      </c>
      <c r="B97">
        <v>1002570449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351</v>
      </c>
      <c r="I97" t="s">
        <v>212</v>
      </c>
      <c r="J97" t="s">
        <v>213</v>
      </c>
      <c r="K97" t="s">
        <v>149</v>
      </c>
      <c r="L97" t="s">
        <v>214</v>
      </c>
      <c r="M97" t="s">
        <v>239</v>
      </c>
      <c r="N97" t="s">
        <v>215</v>
      </c>
      <c r="O97" s="57">
        <v>46268.683287037034</v>
      </c>
      <c r="P97" s="57">
        <v>46268.684733796297</v>
      </c>
      <c r="Q97">
        <v>69383381</v>
      </c>
      <c r="S97">
        <v>172620205008</v>
      </c>
      <c r="T97" t="s">
        <v>2595</v>
      </c>
      <c r="U97" t="s">
        <v>2596</v>
      </c>
      <c r="V97" t="s">
        <v>2597</v>
      </c>
      <c r="Z97">
        <v>116.411438</v>
      </c>
      <c r="AA97">
        <v>-8.6403770000000009</v>
      </c>
      <c r="AB97" t="s">
        <v>2598</v>
      </c>
      <c r="AC97" t="s">
        <v>236</v>
      </c>
      <c r="AL97" t="s">
        <v>217</v>
      </c>
      <c r="AM97" t="s">
        <v>2599</v>
      </c>
      <c r="AN97" t="s">
        <v>6</v>
      </c>
      <c r="AO97" s="57">
        <v>46090.684282407405</v>
      </c>
      <c r="AP97" s="57">
        <v>46269.625</v>
      </c>
      <c r="AR97" t="s">
        <v>240</v>
      </c>
      <c r="AS97" t="s">
        <v>1714</v>
      </c>
      <c r="AT97" t="s">
        <v>230</v>
      </c>
      <c r="AV97" t="s">
        <v>239</v>
      </c>
      <c r="AW97" t="s">
        <v>886</v>
      </c>
      <c r="AX97" t="s">
        <v>222</v>
      </c>
      <c r="BA97" s="57">
        <v>46269.625</v>
      </c>
      <c r="BB97" t="s">
        <v>2599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1002569674</v>
      </c>
      <c r="C98">
        <v>3</v>
      </c>
      <c r="D98" t="s">
        <v>55</v>
      </c>
      <c r="E98">
        <v>5</v>
      </c>
      <c r="F98" t="s">
        <v>261</v>
      </c>
      <c r="G98" t="s">
        <v>122</v>
      </c>
      <c r="H98" t="s">
        <v>291</v>
      </c>
      <c r="I98" t="s">
        <v>212</v>
      </c>
      <c r="J98" t="s">
        <v>213</v>
      </c>
      <c r="K98" t="s">
        <v>149</v>
      </c>
      <c r="L98" t="s">
        <v>214</v>
      </c>
      <c r="M98" t="s">
        <v>239</v>
      </c>
      <c r="N98" t="s">
        <v>215</v>
      </c>
      <c r="O98" s="57">
        <v>46268.544409722221</v>
      </c>
      <c r="P98" s="57">
        <v>46268.54587962963</v>
      </c>
      <c r="Q98">
        <v>69383139</v>
      </c>
      <c r="S98">
        <v>152446246146</v>
      </c>
      <c r="T98" t="s">
        <v>2600</v>
      </c>
      <c r="U98" t="s">
        <v>2601</v>
      </c>
      <c r="V98" t="s">
        <v>2602</v>
      </c>
      <c r="Z98">
        <v>112.573114335536</v>
      </c>
      <c r="AA98">
        <v>-7.2489301902842103</v>
      </c>
      <c r="AB98" t="s">
        <v>2603</v>
      </c>
      <c r="AC98" t="s">
        <v>216</v>
      </c>
      <c r="AL98" t="s">
        <v>217</v>
      </c>
      <c r="AM98" t="s">
        <v>2604</v>
      </c>
      <c r="AN98" t="s">
        <v>6</v>
      </c>
      <c r="AO98" s="57">
        <v>46090.549004629633</v>
      </c>
      <c r="AP98" s="57">
        <v>46271.458333333336</v>
      </c>
      <c r="AR98" t="s">
        <v>240</v>
      </c>
      <c r="AS98" t="s">
        <v>1768</v>
      </c>
      <c r="AT98" t="s">
        <v>230</v>
      </c>
      <c r="AV98" t="s">
        <v>239</v>
      </c>
      <c r="AW98" t="s">
        <v>890</v>
      </c>
      <c r="AX98" t="s">
        <v>222</v>
      </c>
      <c r="BA98" s="57">
        <v>46271.458333333336</v>
      </c>
      <c r="BB98" t="s">
        <v>2604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GRESIK</v>
      </c>
    </row>
    <row r="99" spans="1:61">
      <c r="A99">
        <v>98</v>
      </c>
      <c r="B99">
        <v>1002569668</v>
      </c>
      <c r="C99">
        <v>3</v>
      </c>
      <c r="D99" t="s">
        <v>55</v>
      </c>
      <c r="E99">
        <v>5</v>
      </c>
      <c r="F99" t="s">
        <v>261</v>
      </c>
      <c r="G99" t="s">
        <v>122</v>
      </c>
      <c r="H99" t="s">
        <v>347</v>
      </c>
      <c r="I99" t="s">
        <v>212</v>
      </c>
      <c r="J99" t="s">
        <v>213</v>
      </c>
      <c r="K99" t="s">
        <v>149</v>
      </c>
      <c r="L99" t="s">
        <v>214</v>
      </c>
      <c r="M99" t="s">
        <v>239</v>
      </c>
      <c r="N99" t="s">
        <v>215</v>
      </c>
      <c r="O99" s="57">
        <v>46268.542326388888</v>
      </c>
      <c r="P99" s="57">
        <v>46268.543078703704</v>
      </c>
      <c r="Q99">
        <v>69383137</v>
      </c>
      <c r="S99">
        <v>152421262603</v>
      </c>
      <c r="T99" t="s">
        <v>2605</v>
      </c>
      <c r="U99" t="s">
        <v>2606</v>
      </c>
      <c r="V99" t="s">
        <v>2607</v>
      </c>
      <c r="Z99">
        <v>112.64590560000001</v>
      </c>
      <c r="AA99">
        <v>-7.1783976000000003</v>
      </c>
      <c r="AB99" t="s">
        <v>2608</v>
      </c>
      <c r="AC99" t="s">
        <v>216</v>
      </c>
      <c r="AL99" t="s">
        <v>217</v>
      </c>
      <c r="AM99" t="s">
        <v>2609</v>
      </c>
      <c r="AN99" t="s">
        <v>6</v>
      </c>
      <c r="AO99" s="57">
        <v>46090.549004629633</v>
      </c>
      <c r="AP99" s="57">
        <v>46269.458333333336</v>
      </c>
      <c r="AR99" t="s">
        <v>240</v>
      </c>
      <c r="AS99" t="s">
        <v>122</v>
      </c>
      <c r="AT99" t="s">
        <v>230</v>
      </c>
      <c r="AV99" t="s">
        <v>239</v>
      </c>
      <c r="AW99" t="s">
        <v>884</v>
      </c>
      <c r="AX99" t="s">
        <v>222</v>
      </c>
      <c r="BA99" s="57">
        <v>46269.458333333336</v>
      </c>
      <c r="BB99" t="s">
        <v>2609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GRESIK</v>
      </c>
    </row>
    <row r="100" spans="1:61">
      <c r="A100">
        <v>99</v>
      </c>
      <c r="B100">
        <v>1002569669</v>
      </c>
      <c r="C100">
        <v>3</v>
      </c>
      <c r="D100" t="s">
        <v>49</v>
      </c>
      <c r="E100">
        <v>4</v>
      </c>
      <c r="F100" t="s">
        <v>245</v>
      </c>
      <c r="G100" t="s">
        <v>246</v>
      </c>
      <c r="H100" t="s">
        <v>2610</v>
      </c>
      <c r="I100" t="s">
        <v>212</v>
      </c>
      <c r="J100" t="s">
        <v>213</v>
      </c>
      <c r="K100" t="s">
        <v>149</v>
      </c>
      <c r="L100" t="s">
        <v>214</v>
      </c>
      <c r="M100" t="s">
        <v>239</v>
      </c>
      <c r="N100" t="s">
        <v>215</v>
      </c>
      <c r="O100" s="57">
        <v>46268.542337962965</v>
      </c>
      <c r="P100" s="57">
        <v>46268.543067129627</v>
      </c>
      <c r="Q100">
        <v>69383112</v>
      </c>
      <c r="S100">
        <v>141423136807</v>
      </c>
      <c r="T100" t="s">
        <v>2611</v>
      </c>
      <c r="U100" t="s">
        <v>2612</v>
      </c>
      <c r="V100" t="s">
        <v>2613</v>
      </c>
      <c r="Z100">
        <v>110.4410724</v>
      </c>
      <c r="AA100">
        <v>-7.0680452999999996</v>
      </c>
      <c r="AB100" t="s">
        <v>2614</v>
      </c>
      <c r="AC100" t="s">
        <v>236</v>
      </c>
      <c r="AL100" t="s">
        <v>217</v>
      </c>
      <c r="AM100" t="s">
        <v>2615</v>
      </c>
      <c r="AN100" t="s">
        <v>6</v>
      </c>
      <c r="AO100" s="57">
        <v>46090.549004629633</v>
      </c>
      <c r="AP100" s="57">
        <v>46269.541666666664</v>
      </c>
      <c r="AR100" t="s">
        <v>240</v>
      </c>
      <c r="AS100" t="s">
        <v>219</v>
      </c>
      <c r="AT100" t="s">
        <v>230</v>
      </c>
      <c r="AV100" t="s">
        <v>239</v>
      </c>
      <c r="AW100" t="s">
        <v>886</v>
      </c>
      <c r="AX100" t="s">
        <v>222</v>
      </c>
      <c r="BA100" s="57">
        <v>46269.541666666664</v>
      </c>
      <c r="BB100" t="s">
        <v>2615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1002570688</v>
      </c>
      <c r="C101">
        <v>3</v>
      </c>
      <c r="D101" t="s">
        <v>55</v>
      </c>
      <c r="E101">
        <v>5</v>
      </c>
      <c r="F101" t="s">
        <v>307</v>
      </c>
      <c r="G101" t="s">
        <v>126</v>
      </c>
      <c r="H101" t="s">
        <v>308</v>
      </c>
      <c r="I101" t="s">
        <v>212</v>
      </c>
      <c r="J101" t="s">
        <v>213</v>
      </c>
      <c r="K101" t="s">
        <v>149</v>
      </c>
      <c r="L101" t="s">
        <v>214</v>
      </c>
      <c r="M101" t="s">
        <v>239</v>
      </c>
      <c r="N101" t="s">
        <v>215</v>
      </c>
      <c r="O101" s="57">
        <v>46268.806203703702</v>
      </c>
      <c r="P101" s="57">
        <v>46268.807013888887</v>
      </c>
      <c r="Q101">
        <v>69383521</v>
      </c>
      <c r="S101">
        <v>152320246376</v>
      </c>
      <c r="T101" t="s">
        <v>2616</v>
      </c>
      <c r="U101" t="s">
        <v>2617</v>
      </c>
      <c r="V101" t="s">
        <v>2618</v>
      </c>
      <c r="Z101">
        <v>112.76026160000001</v>
      </c>
      <c r="AA101">
        <v>-7.2698505000000004</v>
      </c>
      <c r="AB101" t="s">
        <v>2619</v>
      </c>
      <c r="AC101" t="s">
        <v>216</v>
      </c>
      <c r="AL101" t="s">
        <v>217</v>
      </c>
      <c r="AM101" t="s">
        <v>2620</v>
      </c>
      <c r="AN101" t="s">
        <v>6</v>
      </c>
      <c r="AO101" s="57">
        <v>46090.809652777774</v>
      </c>
      <c r="AP101" s="57">
        <v>46270.333333333336</v>
      </c>
      <c r="AR101" t="s">
        <v>240</v>
      </c>
      <c r="AS101" t="s">
        <v>907</v>
      </c>
      <c r="AT101" t="s">
        <v>344</v>
      </c>
      <c r="AV101" t="s">
        <v>239</v>
      </c>
      <c r="AW101" t="s">
        <v>1185</v>
      </c>
      <c r="AX101" t="s">
        <v>222</v>
      </c>
      <c r="BA101" s="57">
        <v>46270.333333333336</v>
      </c>
      <c r="BB101" t="s">
        <v>2620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SURABAYA SELATAN</v>
      </c>
    </row>
    <row r="102" spans="1:61">
      <c r="A102">
        <v>101</v>
      </c>
      <c r="B102">
        <v>1002570682</v>
      </c>
      <c r="C102">
        <v>3</v>
      </c>
      <c r="D102" t="s">
        <v>59</v>
      </c>
      <c r="E102">
        <v>4</v>
      </c>
      <c r="F102" t="s">
        <v>223</v>
      </c>
      <c r="G102" t="s">
        <v>223</v>
      </c>
      <c r="H102" t="s">
        <v>845</v>
      </c>
      <c r="I102" t="s">
        <v>212</v>
      </c>
      <c r="J102" t="s">
        <v>213</v>
      </c>
      <c r="K102" t="s">
        <v>149</v>
      </c>
      <c r="L102" t="s">
        <v>214</v>
      </c>
      <c r="M102" t="s">
        <v>239</v>
      </c>
      <c r="N102" t="s">
        <v>215</v>
      </c>
      <c r="O102" s="57">
        <v>46268.80064814815</v>
      </c>
      <c r="P102" s="57">
        <v>46268.801469907405</v>
      </c>
      <c r="Q102">
        <v>69383516</v>
      </c>
      <c r="S102">
        <v>143387116900</v>
      </c>
      <c r="T102" t="s">
        <v>2621</v>
      </c>
      <c r="U102" t="s">
        <v>2622</v>
      </c>
      <c r="V102" t="s">
        <v>2623</v>
      </c>
      <c r="Z102">
        <v>109.05146999999999</v>
      </c>
      <c r="AA102">
        <v>-7.5411149999999996</v>
      </c>
      <c r="AB102" t="s">
        <v>2624</v>
      </c>
      <c r="AC102" t="s">
        <v>236</v>
      </c>
      <c r="AL102" t="s">
        <v>217</v>
      </c>
      <c r="AM102" t="s">
        <v>2625</v>
      </c>
      <c r="AN102" t="s">
        <v>6</v>
      </c>
      <c r="AO102" s="57">
        <v>46090.809652777774</v>
      </c>
      <c r="AP102" s="57">
        <v>46270.333333333336</v>
      </c>
      <c r="AR102" t="s">
        <v>240</v>
      </c>
      <c r="AS102" t="s">
        <v>910</v>
      </c>
      <c r="AT102" t="s">
        <v>230</v>
      </c>
      <c r="AV102" t="s">
        <v>239</v>
      </c>
      <c r="AW102" t="s">
        <v>888</v>
      </c>
      <c r="AX102" t="s">
        <v>222</v>
      </c>
      <c r="BA102" s="57">
        <v>46270.333333333336</v>
      </c>
      <c r="BB102" t="s">
        <v>2625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e">
        <f>VLOOKUP(H102,Sheet2!$A$1:$B$270,2,FALSE)</f>
        <v>#N/A</v>
      </c>
    </row>
    <row r="103" spans="1:61">
      <c r="A103">
        <v>102</v>
      </c>
      <c r="B103">
        <v>1002570596</v>
      </c>
      <c r="C103">
        <v>3</v>
      </c>
      <c r="D103" t="s">
        <v>59</v>
      </c>
      <c r="E103">
        <v>4</v>
      </c>
      <c r="F103" t="s">
        <v>223</v>
      </c>
      <c r="G103" t="s">
        <v>223</v>
      </c>
      <c r="H103" t="s">
        <v>1009</v>
      </c>
      <c r="I103" t="s">
        <v>212</v>
      </c>
      <c r="J103" t="s">
        <v>213</v>
      </c>
      <c r="K103" t="s">
        <v>149</v>
      </c>
      <c r="L103" t="s">
        <v>214</v>
      </c>
      <c r="M103" t="s">
        <v>239</v>
      </c>
      <c r="N103" t="s">
        <v>215</v>
      </c>
      <c r="O103" s="57">
        <v>46268.719398148147</v>
      </c>
      <c r="P103" s="57">
        <v>46268.72084490741</v>
      </c>
      <c r="Q103">
        <v>69383457</v>
      </c>
      <c r="S103">
        <v>146396100349</v>
      </c>
      <c r="T103" t="s">
        <v>2626</v>
      </c>
      <c r="U103" t="s">
        <v>2627</v>
      </c>
      <c r="V103" t="s">
        <v>2628</v>
      </c>
      <c r="Z103">
        <v>109.240239</v>
      </c>
      <c r="AA103">
        <v>-7.3106689999999999</v>
      </c>
      <c r="AB103" t="s">
        <v>2629</v>
      </c>
      <c r="AC103" t="s">
        <v>236</v>
      </c>
      <c r="AL103" t="s">
        <v>217</v>
      </c>
      <c r="AM103" t="s">
        <v>2264</v>
      </c>
      <c r="AN103" t="s">
        <v>6</v>
      </c>
      <c r="AO103" s="57">
        <v>46090.725902777776</v>
      </c>
      <c r="AP103" s="57">
        <v>46269.625</v>
      </c>
      <c r="AR103" t="s">
        <v>240</v>
      </c>
      <c r="AS103" t="s">
        <v>219</v>
      </c>
      <c r="AT103" t="s">
        <v>230</v>
      </c>
      <c r="AV103" t="s">
        <v>239</v>
      </c>
      <c r="AW103" t="s">
        <v>883</v>
      </c>
      <c r="AX103" t="s">
        <v>222</v>
      </c>
      <c r="BA103" s="57">
        <v>46269.625</v>
      </c>
      <c r="BB103" t="s">
        <v>2264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e">
        <f>VLOOKUP(H103,Sheet2!$A$1:$B$270,2,FALSE)</f>
        <v>#N/A</v>
      </c>
    </row>
    <row r="104" spans="1:61">
      <c r="A104">
        <v>103</v>
      </c>
      <c r="B104">
        <v>1002568668</v>
      </c>
      <c r="C104">
        <v>3</v>
      </c>
      <c r="D104" t="s">
        <v>42</v>
      </c>
      <c r="E104">
        <v>5</v>
      </c>
      <c r="F104" t="s">
        <v>232</v>
      </c>
      <c r="G104" t="s">
        <v>106</v>
      </c>
      <c r="H104" t="s">
        <v>319</v>
      </c>
      <c r="I104" t="s">
        <v>212</v>
      </c>
      <c r="J104" t="s">
        <v>213</v>
      </c>
      <c r="K104" t="s">
        <v>149</v>
      </c>
      <c r="L104" t="s">
        <v>214</v>
      </c>
      <c r="M104" t="s">
        <v>239</v>
      </c>
      <c r="N104" t="s">
        <v>215</v>
      </c>
      <c r="O104" s="57">
        <v>46268.339548611111</v>
      </c>
      <c r="P104" s="57">
        <v>46268.34034722222</v>
      </c>
      <c r="Q104">
        <v>69382711</v>
      </c>
      <c r="S104">
        <v>152742207456</v>
      </c>
      <c r="T104" t="s">
        <v>2630</v>
      </c>
      <c r="U104" t="s">
        <v>2631</v>
      </c>
      <c r="V104" t="s">
        <v>2632</v>
      </c>
      <c r="Z104">
        <v>112.718192</v>
      </c>
      <c r="AA104">
        <v>-7.5937273999999899</v>
      </c>
      <c r="AB104" t="s">
        <v>2633</v>
      </c>
      <c r="AC104" t="s">
        <v>236</v>
      </c>
      <c r="AL104" t="s">
        <v>217</v>
      </c>
      <c r="AM104" t="s">
        <v>2634</v>
      </c>
      <c r="AN104" t="s">
        <v>6</v>
      </c>
      <c r="AO104" s="57">
        <v>46090.340266203704</v>
      </c>
      <c r="AP104" s="57">
        <v>46271.333333333336</v>
      </c>
      <c r="AR104" t="s">
        <v>240</v>
      </c>
      <c r="AS104" t="s">
        <v>1513</v>
      </c>
      <c r="AT104" t="s">
        <v>230</v>
      </c>
      <c r="AV104" t="s">
        <v>239</v>
      </c>
      <c r="AW104" t="s">
        <v>886</v>
      </c>
      <c r="AX104" t="s">
        <v>222</v>
      </c>
      <c r="BA104" s="57">
        <v>46271.333333333336</v>
      </c>
      <c r="BB104" t="s">
        <v>2634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PASURUAN</v>
      </c>
    </row>
    <row r="105" spans="1:61">
      <c r="A105">
        <v>104</v>
      </c>
      <c r="B105">
        <v>1002567313</v>
      </c>
      <c r="C105">
        <v>3</v>
      </c>
      <c r="D105" t="s">
        <v>51</v>
      </c>
      <c r="E105">
        <v>4</v>
      </c>
      <c r="F105" t="s">
        <v>234</v>
      </c>
      <c r="G105" t="s">
        <v>562</v>
      </c>
      <c r="H105" t="s">
        <v>854</v>
      </c>
      <c r="I105" t="s">
        <v>212</v>
      </c>
      <c r="J105" t="s">
        <v>213</v>
      </c>
      <c r="K105" t="s">
        <v>149</v>
      </c>
      <c r="L105" t="s">
        <v>214</v>
      </c>
      <c r="M105" t="s">
        <v>239</v>
      </c>
      <c r="N105" t="s">
        <v>215</v>
      </c>
      <c r="O105" s="57">
        <v>46267.481203703705</v>
      </c>
      <c r="P105" s="57">
        <v>46267.481956018521</v>
      </c>
      <c r="Q105">
        <v>69382210</v>
      </c>
      <c r="S105">
        <v>142566103740</v>
      </c>
      <c r="T105" t="s">
        <v>1599</v>
      </c>
      <c r="U105" t="s">
        <v>1600</v>
      </c>
      <c r="V105" t="s">
        <v>1601</v>
      </c>
      <c r="Z105">
        <v>110.8475772</v>
      </c>
      <c r="AA105">
        <v>-7.5198448999999998</v>
      </c>
      <c r="AB105" t="s">
        <v>1602</v>
      </c>
      <c r="AC105" t="s">
        <v>236</v>
      </c>
      <c r="AL105" t="s">
        <v>217</v>
      </c>
      <c r="AM105" t="s">
        <v>1603</v>
      </c>
      <c r="AN105" t="s">
        <v>6</v>
      </c>
      <c r="AO105" s="57">
        <v>46062.486145833333</v>
      </c>
      <c r="AP105" s="57">
        <v>46270.333333333336</v>
      </c>
      <c r="AR105" t="s">
        <v>240</v>
      </c>
      <c r="AS105" t="s">
        <v>914</v>
      </c>
      <c r="AT105" t="s">
        <v>230</v>
      </c>
      <c r="AV105" t="s">
        <v>239</v>
      </c>
      <c r="AW105" t="s">
        <v>890</v>
      </c>
      <c r="AX105" t="s">
        <v>222</v>
      </c>
      <c r="BA105" s="57">
        <v>46270.333333333336</v>
      </c>
      <c r="BB105" t="s">
        <v>1603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e">
        <f>VLOOKUP(H105,Sheet2!$A$1:$B$270,2,FALSE)</f>
        <v>#N/A</v>
      </c>
    </row>
    <row r="106" spans="1:61">
      <c r="A106">
        <v>105</v>
      </c>
      <c r="B106">
        <v>1002568555</v>
      </c>
      <c r="C106">
        <v>3</v>
      </c>
      <c r="D106" t="s">
        <v>59</v>
      </c>
      <c r="E106">
        <v>4</v>
      </c>
      <c r="F106" t="s">
        <v>549</v>
      </c>
      <c r="G106" t="s">
        <v>825</v>
      </c>
      <c r="H106" t="s">
        <v>1604</v>
      </c>
      <c r="I106" t="s">
        <v>212</v>
      </c>
      <c r="J106" t="s">
        <v>213</v>
      </c>
      <c r="K106" t="s">
        <v>149</v>
      </c>
      <c r="L106" t="s">
        <v>214</v>
      </c>
      <c r="M106" t="s">
        <v>239</v>
      </c>
      <c r="N106" t="s">
        <v>215</v>
      </c>
      <c r="O106" s="57">
        <v>46267.767314814817</v>
      </c>
      <c r="P106" s="57">
        <v>46267.769456018519</v>
      </c>
      <c r="Q106">
        <v>69382617</v>
      </c>
      <c r="S106">
        <v>146143118536</v>
      </c>
      <c r="T106" t="s">
        <v>1568</v>
      </c>
      <c r="U106" t="s">
        <v>1605</v>
      </c>
      <c r="V106" t="s">
        <v>1606</v>
      </c>
      <c r="Z106">
        <v>110.153674</v>
      </c>
      <c r="AA106">
        <v>-7.8596780999999902</v>
      </c>
      <c r="AB106" t="s">
        <v>1607</v>
      </c>
      <c r="AC106" t="s">
        <v>236</v>
      </c>
      <c r="AL106" t="s">
        <v>217</v>
      </c>
      <c r="AM106" t="s">
        <v>1608</v>
      </c>
      <c r="AN106" t="s">
        <v>6</v>
      </c>
      <c r="AO106" s="57">
        <v>46062.777731481481</v>
      </c>
      <c r="AP106" s="57">
        <v>46269.625</v>
      </c>
      <c r="AR106" t="s">
        <v>240</v>
      </c>
      <c r="AS106" t="s">
        <v>1609</v>
      </c>
      <c r="AT106" t="s">
        <v>230</v>
      </c>
      <c r="AV106" t="s">
        <v>239</v>
      </c>
      <c r="AW106" t="s">
        <v>887</v>
      </c>
      <c r="AX106" t="s">
        <v>222</v>
      </c>
      <c r="BA106" s="57">
        <v>46269.625</v>
      </c>
      <c r="BB106" t="s">
        <v>1608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e">
        <f>VLOOKUP(H106,Sheet2!$A$1:$B$270,2,FALSE)</f>
        <v>#N/A</v>
      </c>
    </row>
    <row r="107" spans="1:61">
      <c r="A107">
        <v>106</v>
      </c>
      <c r="B107">
        <v>1002567556</v>
      </c>
      <c r="C107">
        <v>3</v>
      </c>
      <c r="D107" t="s">
        <v>59</v>
      </c>
      <c r="E107">
        <v>4</v>
      </c>
      <c r="F107" t="s">
        <v>549</v>
      </c>
      <c r="G107" t="s">
        <v>582</v>
      </c>
      <c r="H107" t="s">
        <v>835</v>
      </c>
      <c r="I107" t="s">
        <v>212</v>
      </c>
      <c r="J107" t="s">
        <v>213</v>
      </c>
      <c r="K107" t="s">
        <v>149</v>
      </c>
      <c r="M107" t="s">
        <v>239</v>
      </c>
      <c r="N107" t="s">
        <v>215</v>
      </c>
      <c r="O107" s="57">
        <v>46267.554293981484</v>
      </c>
      <c r="P107" s="57">
        <v>46268.443067129629</v>
      </c>
      <c r="Q107">
        <v>69382299</v>
      </c>
      <c r="R107">
        <v>2745059176</v>
      </c>
      <c r="S107">
        <v>146113146876</v>
      </c>
      <c r="T107" t="s">
        <v>1534</v>
      </c>
      <c r="U107" t="s">
        <v>1535</v>
      </c>
      <c r="V107" t="s">
        <v>2635</v>
      </c>
      <c r="Z107">
        <v>110.3612481</v>
      </c>
      <c r="AA107">
        <v>-7.7611556000000004</v>
      </c>
      <c r="AB107" t="s">
        <v>1536</v>
      </c>
      <c r="AC107" t="s">
        <v>284</v>
      </c>
      <c r="AL107" t="s">
        <v>217</v>
      </c>
      <c r="AM107" t="s">
        <v>2636</v>
      </c>
      <c r="AN107" t="s">
        <v>6</v>
      </c>
      <c r="AO107" s="57">
        <v>46062.559687499997</v>
      </c>
      <c r="AP107" s="57">
        <v>46269.625</v>
      </c>
      <c r="AR107" t="s">
        <v>240</v>
      </c>
      <c r="AS107" t="s">
        <v>219</v>
      </c>
      <c r="AT107" t="s">
        <v>230</v>
      </c>
      <c r="AV107" t="s">
        <v>239</v>
      </c>
      <c r="AW107" t="s">
        <v>545</v>
      </c>
      <c r="AX107" t="s">
        <v>222</v>
      </c>
      <c r="BA107" s="57">
        <v>46269.625</v>
      </c>
      <c r="BB107" t="s">
        <v>2636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e">
        <f>VLOOKUP(H107,Sheet2!$A$1:$B$270,2,FALSE)</f>
        <v>#N/A</v>
      </c>
    </row>
    <row r="108" spans="1:61">
      <c r="A108">
        <v>107</v>
      </c>
      <c r="B108">
        <v>1002568139</v>
      </c>
      <c r="C108">
        <v>3</v>
      </c>
      <c r="D108" t="s">
        <v>55</v>
      </c>
      <c r="E108">
        <v>5</v>
      </c>
      <c r="F108" t="s">
        <v>261</v>
      </c>
      <c r="G108" t="s">
        <v>122</v>
      </c>
      <c r="H108" t="s">
        <v>347</v>
      </c>
      <c r="I108" t="s">
        <v>212</v>
      </c>
      <c r="J108" t="s">
        <v>213</v>
      </c>
      <c r="K108" t="s">
        <v>149</v>
      </c>
      <c r="L108" t="s">
        <v>214</v>
      </c>
      <c r="M108" t="s">
        <v>239</v>
      </c>
      <c r="N108" t="s">
        <v>215</v>
      </c>
      <c r="O108" s="57">
        <v>46267.649953703702</v>
      </c>
      <c r="P108" s="57">
        <v>46267.651412037034</v>
      </c>
      <c r="Q108">
        <v>69382486</v>
      </c>
      <c r="S108">
        <v>152421262584</v>
      </c>
      <c r="T108" t="s">
        <v>1693</v>
      </c>
      <c r="U108" t="s">
        <v>1694</v>
      </c>
      <c r="V108" t="s">
        <v>1695</v>
      </c>
      <c r="Z108">
        <v>112.616857231757</v>
      </c>
      <c r="AA108">
        <v>-7.1571912655527798</v>
      </c>
      <c r="AB108" t="s">
        <v>1696</v>
      </c>
      <c r="AC108" t="s">
        <v>236</v>
      </c>
      <c r="AL108" t="s">
        <v>217</v>
      </c>
      <c r="AM108" t="s">
        <v>1697</v>
      </c>
      <c r="AN108" t="s">
        <v>6</v>
      </c>
      <c r="AO108" s="57">
        <v>46062.652743055558</v>
      </c>
      <c r="AP108" s="57">
        <v>46271.625</v>
      </c>
      <c r="AR108" t="s">
        <v>240</v>
      </c>
      <c r="AS108" t="s">
        <v>122</v>
      </c>
      <c r="AT108" t="s">
        <v>230</v>
      </c>
      <c r="AV108" t="s">
        <v>239</v>
      </c>
      <c r="AW108" t="s">
        <v>886</v>
      </c>
      <c r="AX108" t="s">
        <v>222</v>
      </c>
      <c r="BA108" s="57">
        <v>46271.625</v>
      </c>
      <c r="BB108" t="s">
        <v>1697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GRESIK</v>
      </c>
    </row>
    <row r="109" spans="1:61">
      <c r="A109">
        <v>108</v>
      </c>
      <c r="B109">
        <v>1002568578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358</v>
      </c>
      <c r="I109" t="s">
        <v>212</v>
      </c>
      <c r="J109" t="s">
        <v>213</v>
      </c>
      <c r="K109" t="s">
        <v>149</v>
      </c>
      <c r="L109" t="s">
        <v>214</v>
      </c>
      <c r="M109" t="s">
        <v>239</v>
      </c>
      <c r="N109" t="s">
        <v>215</v>
      </c>
      <c r="O109" s="57">
        <v>46267.794398148151</v>
      </c>
      <c r="P109" s="57">
        <v>46267.795844907407</v>
      </c>
      <c r="Q109">
        <v>69382639</v>
      </c>
      <c r="S109">
        <v>172619203421</v>
      </c>
      <c r="T109" t="s">
        <v>1709</v>
      </c>
      <c r="U109" t="s">
        <v>1710</v>
      </c>
      <c r="V109" t="s">
        <v>1711</v>
      </c>
      <c r="Z109">
        <v>116.63152590394</v>
      </c>
      <c r="AA109">
        <v>-8.5578075978598296</v>
      </c>
      <c r="AB109" t="s">
        <v>1712</v>
      </c>
      <c r="AC109" t="s">
        <v>216</v>
      </c>
      <c r="AL109" t="s">
        <v>217</v>
      </c>
      <c r="AM109" t="s">
        <v>1713</v>
      </c>
      <c r="AN109" t="s">
        <v>6</v>
      </c>
      <c r="AO109" s="57">
        <v>46062.798587962963</v>
      </c>
      <c r="AP109" s="57">
        <v>46271.541666666664</v>
      </c>
      <c r="AR109" t="s">
        <v>240</v>
      </c>
      <c r="AS109" t="s">
        <v>1714</v>
      </c>
      <c r="AT109" t="s">
        <v>230</v>
      </c>
      <c r="AV109" t="s">
        <v>239</v>
      </c>
      <c r="AW109" t="s">
        <v>882</v>
      </c>
      <c r="AX109" t="s">
        <v>222</v>
      </c>
      <c r="BA109" s="57">
        <v>46271.541666666664</v>
      </c>
      <c r="BB109" t="s">
        <v>1713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SELONG</v>
      </c>
    </row>
    <row r="110" spans="1:61">
      <c r="A110">
        <v>109</v>
      </c>
      <c r="B110">
        <v>1002566767</v>
      </c>
      <c r="C110">
        <v>3</v>
      </c>
      <c r="D110" t="s">
        <v>34</v>
      </c>
      <c r="E110">
        <v>5</v>
      </c>
      <c r="F110" t="s">
        <v>554</v>
      </c>
      <c r="G110" t="s">
        <v>82</v>
      </c>
      <c r="H110" t="s">
        <v>264</v>
      </c>
      <c r="I110" t="s">
        <v>212</v>
      </c>
      <c r="J110" t="s">
        <v>213</v>
      </c>
      <c r="K110" t="s">
        <v>149</v>
      </c>
      <c r="M110" t="s">
        <v>239</v>
      </c>
      <c r="N110" t="s">
        <v>215</v>
      </c>
      <c r="O110" s="57">
        <v>46267.382025462961</v>
      </c>
      <c r="P110" s="57">
        <v>46268.668067129627</v>
      </c>
      <c r="Q110">
        <v>69382007</v>
      </c>
      <c r="S110">
        <v>172428816065</v>
      </c>
      <c r="T110" t="s">
        <v>2637</v>
      </c>
      <c r="U110" t="s">
        <v>1537</v>
      </c>
      <c r="V110" t="s">
        <v>2638</v>
      </c>
      <c r="Z110">
        <v>115.4412536</v>
      </c>
      <c r="AA110">
        <v>-8.7049766000000002</v>
      </c>
      <c r="AB110" t="s">
        <v>1538</v>
      </c>
      <c r="AC110" t="s">
        <v>229</v>
      </c>
      <c r="AL110" t="s">
        <v>217</v>
      </c>
      <c r="AM110" t="s">
        <v>2639</v>
      </c>
      <c r="AN110" t="s">
        <v>6</v>
      </c>
      <c r="AO110" s="57">
        <v>46062.402870370373</v>
      </c>
      <c r="AP110" s="57">
        <v>46269.541666666664</v>
      </c>
      <c r="AR110" t="s">
        <v>240</v>
      </c>
      <c r="AS110" t="s">
        <v>555</v>
      </c>
      <c r="AT110" t="s">
        <v>230</v>
      </c>
      <c r="AV110" t="s">
        <v>239</v>
      </c>
      <c r="AW110" t="s">
        <v>545</v>
      </c>
      <c r="AX110" t="s">
        <v>222</v>
      </c>
      <c r="BA110" s="57">
        <v>46269.541666666664</v>
      </c>
      <c r="BB110" t="s">
        <v>2639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KLUNGKUNG</v>
      </c>
    </row>
    <row r="111" spans="1:61">
      <c r="A111">
        <v>110</v>
      </c>
      <c r="B111">
        <v>1002567489</v>
      </c>
      <c r="C111">
        <v>3</v>
      </c>
      <c r="D111" t="s">
        <v>51</v>
      </c>
      <c r="E111">
        <v>4</v>
      </c>
      <c r="F111" t="s">
        <v>234</v>
      </c>
      <c r="G111" t="s">
        <v>1769</v>
      </c>
      <c r="H111" t="s">
        <v>1770</v>
      </c>
      <c r="I111" t="s">
        <v>212</v>
      </c>
      <c r="J111" t="s">
        <v>213</v>
      </c>
      <c r="K111" t="s">
        <v>149</v>
      </c>
      <c r="L111" t="s">
        <v>214</v>
      </c>
      <c r="M111" t="s">
        <v>239</v>
      </c>
      <c r="N111" t="s">
        <v>215</v>
      </c>
      <c r="O111" s="57">
        <v>46267.523576388892</v>
      </c>
      <c r="P111" s="57">
        <v>46267.525034722225</v>
      </c>
      <c r="Q111">
        <v>69382285</v>
      </c>
      <c r="S111">
        <v>146550124358</v>
      </c>
      <c r="T111" t="s">
        <v>1771</v>
      </c>
      <c r="U111" t="s">
        <v>1772</v>
      </c>
      <c r="V111" t="s">
        <v>1773</v>
      </c>
      <c r="Z111">
        <v>110.5951146</v>
      </c>
      <c r="AA111">
        <v>-7.6287841999999904</v>
      </c>
      <c r="AB111" t="s">
        <v>1774</v>
      </c>
      <c r="AC111" t="s">
        <v>236</v>
      </c>
      <c r="AL111" t="s">
        <v>217</v>
      </c>
      <c r="AM111" t="s">
        <v>1775</v>
      </c>
      <c r="AN111" t="s">
        <v>6</v>
      </c>
      <c r="AO111" s="57">
        <v>46062.527777777781</v>
      </c>
      <c r="AP111" s="57">
        <v>46272.541666666664</v>
      </c>
      <c r="AR111" t="s">
        <v>240</v>
      </c>
      <c r="AS111" t="s">
        <v>219</v>
      </c>
      <c r="AT111" t="s">
        <v>230</v>
      </c>
      <c r="AV111" t="s">
        <v>239</v>
      </c>
      <c r="AW111" t="s">
        <v>886</v>
      </c>
      <c r="AX111" t="s">
        <v>222</v>
      </c>
      <c r="BA111" s="57">
        <v>46272.541666666664</v>
      </c>
      <c r="BB111" t="s">
        <v>1775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1002567484</v>
      </c>
      <c r="C112">
        <v>3</v>
      </c>
      <c r="D112" t="s">
        <v>51</v>
      </c>
      <c r="E112">
        <v>4</v>
      </c>
      <c r="F112" t="s">
        <v>234</v>
      </c>
      <c r="G112" t="s">
        <v>1769</v>
      </c>
      <c r="H112" t="s">
        <v>1770</v>
      </c>
      <c r="I112" t="s">
        <v>212</v>
      </c>
      <c r="J112" t="s">
        <v>213</v>
      </c>
      <c r="K112" t="s">
        <v>149</v>
      </c>
      <c r="L112" t="s">
        <v>214</v>
      </c>
      <c r="M112" t="s">
        <v>239</v>
      </c>
      <c r="N112" t="s">
        <v>215</v>
      </c>
      <c r="O112" s="57">
        <v>46267.522881944446</v>
      </c>
      <c r="P112" s="57">
        <v>46267.523622685185</v>
      </c>
      <c r="Q112">
        <v>69382264</v>
      </c>
      <c r="S112">
        <v>146550124357</v>
      </c>
      <c r="T112" t="s">
        <v>1785</v>
      </c>
      <c r="U112" t="s">
        <v>1772</v>
      </c>
      <c r="V112" t="s">
        <v>1786</v>
      </c>
      <c r="Z112">
        <v>110.59512532407901</v>
      </c>
      <c r="AA112">
        <v>-7.6285608809295899</v>
      </c>
      <c r="AB112" t="s">
        <v>1787</v>
      </c>
      <c r="AC112" t="s">
        <v>236</v>
      </c>
      <c r="AL112" t="s">
        <v>217</v>
      </c>
      <c r="AM112" t="s">
        <v>1788</v>
      </c>
      <c r="AN112" t="s">
        <v>6</v>
      </c>
      <c r="AO112" s="57">
        <v>46062.527777777781</v>
      </c>
      <c r="AP112" s="57">
        <v>46272.333333333336</v>
      </c>
      <c r="AR112" t="s">
        <v>240</v>
      </c>
      <c r="AS112" t="s">
        <v>219</v>
      </c>
      <c r="AT112" t="s">
        <v>230</v>
      </c>
      <c r="AV112" t="s">
        <v>239</v>
      </c>
      <c r="AW112" t="s">
        <v>886</v>
      </c>
      <c r="AX112" t="s">
        <v>222</v>
      </c>
      <c r="BA112" s="57">
        <v>46272.333333333336</v>
      </c>
      <c r="BB112" t="s">
        <v>1788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e">
        <f>VLOOKUP(H112,Sheet2!$A$1:$B$270,2,FALSE)</f>
        <v>#N/A</v>
      </c>
    </row>
    <row r="113" spans="1:61">
      <c r="A113">
        <v>112</v>
      </c>
      <c r="B113">
        <v>1002567485</v>
      </c>
      <c r="C113">
        <v>3</v>
      </c>
      <c r="D113" t="s">
        <v>51</v>
      </c>
      <c r="E113">
        <v>4</v>
      </c>
      <c r="F113" t="s">
        <v>234</v>
      </c>
      <c r="G113" t="s">
        <v>1769</v>
      </c>
      <c r="H113" t="s">
        <v>1770</v>
      </c>
      <c r="I113" t="s">
        <v>212</v>
      </c>
      <c r="J113" t="s">
        <v>213</v>
      </c>
      <c r="K113" t="s">
        <v>149</v>
      </c>
      <c r="L113" t="s">
        <v>214</v>
      </c>
      <c r="M113" t="s">
        <v>239</v>
      </c>
      <c r="N113" t="s">
        <v>215</v>
      </c>
      <c r="O113" s="57">
        <v>46267.522881944446</v>
      </c>
      <c r="P113" s="57">
        <v>46267.523622685185</v>
      </c>
      <c r="Q113">
        <v>69382263</v>
      </c>
      <c r="S113">
        <v>146550124356</v>
      </c>
      <c r="T113" t="s">
        <v>1789</v>
      </c>
      <c r="U113" t="s">
        <v>1772</v>
      </c>
      <c r="V113" t="s">
        <v>1790</v>
      </c>
      <c r="Z113">
        <v>110.5951146</v>
      </c>
      <c r="AA113">
        <v>-7.6287841999999904</v>
      </c>
      <c r="AB113" t="s">
        <v>1791</v>
      </c>
      <c r="AC113" t="s">
        <v>236</v>
      </c>
      <c r="AL113" t="s">
        <v>217</v>
      </c>
      <c r="AM113" t="s">
        <v>1788</v>
      </c>
      <c r="AN113" t="s">
        <v>6</v>
      </c>
      <c r="AO113" s="57">
        <v>46062.527777777781</v>
      </c>
      <c r="AP113" s="57">
        <v>46272.333333333336</v>
      </c>
      <c r="AR113" t="s">
        <v>240</v>
      </c>
      <c r="AS113" t="s">
        <v>219</v>
      </c>
      <c r="AT113" t="s">
        <v>230</v>
      </c>
      <c r="AV113" t="s">
        <v>239</v>
      </c>
      <c r="AW113" t="s">
        <v>886</v>
      </c>
      <c r="AX113" t="s">
        <v>222</v>
      </c>
      <c r="BA113" s="57">
        <v>46272.333333333336</v>
      </c>
      <c r="BB113" t="s">
        <v>1788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:61">
      <c r="A114">
        <v>113</v>
      </c>
      <c r="B114">
        <v>1002568374</v>
      </c>
      <c r="C114">
        <v>3</v>
      </c>
      <c r="D114" t="s">
        <v>55</v>
      </c>
      <c r="E114">
        <v>5</v>
      </c>
      <c r="F114" t="s">
        <v>261</v>
      </c>
      <c r="G114" t="s">
        <v>123</v>
      </c>
      <c r="H114" t="s">
        <v>287</v>
      </c>
      <c r="I114" t="s">
        <v>212</v>
      </c>
      <c r="J114" t="s">
        <v>213</v>
      </c>
      <c r="K114" t="s">
        <v>149</v>
      </c>
      <c r="L114" t="s">
        <v>214</v>
      </c>
      <c r="M114" t="s">
        <v>239</v>
      </c>
      <c r="N114" t="s">
        <v>215</v>
      </c>
      <c r="O114" s="57">
        <v>46267.691631944443</v>
      </c>
      <c r="P114" s="57">
        <v>46267.693067129629</v>
      </c>
      <c r="Q114">
        <v>69382545</v>
      </c>
      <c r="S114">
        <v>152401227605</v>
      </c>
      <c r="T114" t="s">
        <v>1802</v>
      </c>
      <c r="U114" t="s">
        <v>1803</v>
      </c>
      <c r="V114" t="s">
        <v>1804</v>
      </c>
      <c r="Z114">
        <v>112.7438654</v>
      </c>
      <c r="AA114">
        <v>-7.2420342</v>
      </c>
      <c r="AB114" t="s">
        <v>1805</v>
      </c>
      <c r="AC114" t="s">
        <v>236</v>
      </c>
      <c r="AL114" t="s">
        <v>217</v>
      </c>
      <c r="AM114" t="s">
        <v>1806</v>
      </c>
      <c r="AN114" t="s">
        <v>6</v>
      </c>
      <c r="AO114" s="57">
        <v>46062.694432870368</v>
      </c>
      <c r="AP114" s="57">
        <v>46269.458333333336</v>
      </c>
      <c r="AR114" t="s">
        <v>240</v>
      </c>
      <c r="AS114" t="s">
        <v>271</v>
      </c>
      <c r="AT114" t="s">
        <v>230</v>
      </c>
      <c r="AV114" t="s">
        <v>239</v>
      </c>
      <c r="AW114" t="s">
        <v>886</v>
      </c>
      <c r="AX114" t="s">
        <v>222</v>
      </c>
      <c r="BA114" s="57">
        <v>46269.458333333336</v>
      </c>
      <c r="BB114" t="s">
        <v>1806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SURABAYA UTARA</v>
      </c>
    </row>
    <row r="115" spans="1:61">
      <c r="A115">
        <v>114</v>
      </c>
      <c r="B115">
        <v>1002566618</v>
      </c>
      <c r="C115">
        <v>3</v>
      </c>
      <c r="D115" t="s">
        <v>59</v>
      </c>
      <c r="E115">
        <v>4</v>
      </c>
      <c r="F115" t="s">
        <v>242</v>
      </c>
      <c r="G115" t="s">
        <v>242</v>
      </c>
      <c r="H115" t="s">
        <v>288</v>
      </c>
      <c r="I115" t="s">
        <v>212</v>
      </c>
      <c r="J115" t="s">
        <v>213</v>
      </c>
      <c r="K115" t="s">
        <v>149</v>
      </c>
      <c r="L115" t="s">
        <v>214</v>
      </c>
      <c r="M115" t="s">
        <v>239</v>
      </c>
      <c r="N115" t="s">
        <v>215</v>
      </c>
      <c r="O115" s="57">
        <v>46267.34648148148</v>
      </c>
      <c r="P115" s="57">
        <v>46267.347233796296</v>
      </c>
      <c r="Q115">
        <v>69381943</v>
      </c>
      <c r="S115">
        <v>146137149102</v>
      </c>
      <c r="T115" t="s">
        <v>1807</v>
      </c>
      <c r="U115" t="s">
        <v>1808</v>
      </c>
      <c r="V115" t="s">
        <v>1809</v>
      </c>
      <c r="Z115">
        <v>110.27992999999999</v>
      </c>
      <c r="AA115">
        <v>-7.43513</v>
      </c>
      <c r="AB115" t="s">
        <v>1810</v>
      </c>
      <c r="AC115" t="s">
        <v>236</v>
      </c>
      <c r="AL115" t="s">
        <v>217</v>
      </c>
      <c r="AM115" t="s">
        <v>1811</v>
      </c>
      <c r="AN115" t="s">
        <v>6</v>
      </c>
      <c r="AO115" s="57">
        <v>46062.350763888891</v>
      </c>
      <c r="AP115" s="57">
        <v>46273.333333333336</v>
      </c>
      <c r="AR115" t="s">
        <v>240</v>
      </c>
      <c r="AS115" t="s">
        <v>219</v>
      </c>
      <c r="AT115" t="s">
        <v>230</v>
      </c>
      <c r="AV115" t="s">
        <v>239</v>
      </c>
      <c r="AW115" t="s">
        <v>921</v>
      </c>
      <c r="AX115" t="s">
        <v>222</v>
      </c>
      <c r="BA115" s="57">
        <v>46273.333333333336</v>
      </c>
      <c r="BB115" t="s">
        <v>1811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:61">
      <c r="A116">
        <v>115</v>
      </c>
      <c r="B116">
        <v>1002567524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268</v>
      </c>
      <c r="I116" t="s">
        <v>212</v>
      </c>
      <c r="J116" t="s">
        <v>213</v>
      </c>
      <c r="K116" t="s">
        <v>149</v>
      </c>
      <c r="L116" t="s">
        <v>214</v>
      </c>
      <c r="M116" t="s">
        <v>239</v>
      </c>
      <c r="N116" t="s">
        <v>215</v>
      </c>
      <c r="O116" s="57">
        <v>46267.538148148145</v>
      </c>
      <c r="P116" s="57">
        <v>46267.538900462961</v>
      </c>
      <c r="Q116">
        <v>69382305</v>
      </c>
      <c r="S116">
        <v>172604214270</v>
      </c>
      <c r="T116" t="s">
        <v>1847</v>
      </c>
      <c r="U116" t="s">
        <v>1848</v>
      </c>
      <c r="V116" t="s">
        <v>1849</v>
      </c>
      <c r="Z116">
        <v>116.15055649999999</v>
      </c>
      <c r="AA116">
        <v>-8.3577069000000002</v>
      </c>
      <c r="AB116" t="s">
        <v>1850</v>
      </c>
      <c r="AC116" t="s">
        <v>236</v>
      </c>
      <c r="AL116" t="s">
        <v>217</v>
      </c>
      <c r="AM116" t="s">
        <v>1851</v>
      </c>
      <c r="AN116" t="s">
        <v>6</v>
      </c>
      <c r="AO116" s="57">
        <v>46062.548622685186</v>
      </c>
      <c r="AP116" s="57">
        <v>46269.541666666664</v>
      </c>
      <c r="AR116" t="s">
        <v>240</v>
      </c>
      <c r="AS116" t="s">
        <v>912</v>
      </c>
      <c r="AT116" t="s">
        <v>230</v>
      </c>
      <c r="AV116" t="s">
        <v>239</v>
      </c>
      <c r="AW116" t="s">
        <v>886</v>
      </c>
      <c r="AX116" t="s">
        <v>222</v>
      </c>
      <c r="BA116" s="57">
        <v>46269.541666666664</v>
      </c>
      <c r="BB116" t="s">
        <v>1851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1002567147</v>
      </c>
      <c r="C117">
        <v>3</v>
      </c>
      <c r="D117" t="s">
        <v>49</v>
      </c>
      <c r="E117">
        <v>4</v>
      </c>
      <c r="F117" t="s">
        <v>250</v>
      </c>
      <c r="G117" t="s">
        <v>539</v>
      </c>
      <c r="H117" t="s">
        <v>577</v>
      </c>
      <c r="I117" t="s">
        <v>212</v>
      </c>
      <c r="J117" t="s">
        <v>213</v>
      </c>
      <c r="K117" t="s">
        <v>149</v>
      </c>
      <c r="L117" t="s">
        <v>214</v>
      </c>
      <c r="M117" t="s">
        <v>239</v>
      </c>
      <c r="N117" t="s">
        <v>215</v>
      </c>
      <c r="O117" s="57">
        <v>46267.447870370372</v>
      </c>
      <c r="P117" s="57">
        <v>46267.448622685188</v>
      </c>
      <c r="Q117">
        <v>69382146</v>
      </c>
      <c r="S117">
        <v>142214107790</v>
      </c>
      <c r="T117" t="s">
        <v>1863</v>
      </c>
      <c r="U117" t="s">
        <v>1864</v>
      </c>
      <c r="V117" t="s">
        <v>1865</v>
      </c>
      <c r="Z117">
        <v>108.82876</v>
      </c>
      <c r="AA117">
        <v>-7.0651979999999996</v>
      </c>
      <c r="AB117" t="s">
        <v>1866</v>
      </c>
      <c r="AC117" t="s">
        <v>236</v>
      </c>
      <c r="AL117" t="s">
        <v>217</v>
      </c>
      <c r="AM117" t="s">
        <v>1867</v>
      </c>
      <c r="AN117" t="s">
        <v>6</v>
      </c>
      <c r="AO117" s="57">
        <v>46062.454895833333</v>
      </c>
      <c r="AP117" s="57">
        <v>46270.333333333336</v>
      </c>
      <c r="AR117" t="s">
        <v>240</v>
      </c>
      <c r="AS117" t="s">
        <v>909</v>
      </c>
      <c r="AT117" t="s">
        <v>230</v>
      </c>
      <c r="AV117" t="s">
        <v>239</v>
      </c>
      <c r="AW117" t="s">
        <v>886</v>
      </c>
      <c r="AX117" t="s">
        <v>222</v>
      </c>
      <c r="BA117" s="57">
        <v>46270.333333333336</v>
      </c>
      <c r="BB117" t="s">
        <v>1867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e">
        <f>VLOOKUP(H117,Sheet2!$A$1:$B$270,2,FALSE)</f>
        <v>#N/A</v>
      </c>
    </row>
    <row r="118" spans="1:61">
      <c r="A118">
        <v>117</v>
      </c>
      <c r="B118">
        <v>1002566014</v>
      </c>
      <c r="C118">
        <v>3</v>
      </c>
      <c r="D118" t="s">
        <v>51</v>
      </c>
      <c r="E118">
        <v>4</v>
      </c>
      <c r="F118" t="s">
        <v>234</v>
      </c>
      <c r="G118" t="s">
        <v>562</v>
      </c>
      <c r="H118" t="s">
        <v>873</v>
      </c>
      <c r="I118" t="s">
        <v>212</v>
      </c>
      <c r="J118" t="s">
        <v>213</v>
      </c>
      <c r="K118" t="s">
        <v>149</v>
      </c>
      <c r="L118" t="s">
        <v>214</v>
      </c>
      <c r="M118" t="s">
        <v>239</v>
      </c>
      <c r="N118" t="s">
        <v>215</v>
      </c>
      <c r="O118" s="57">
        <v>46266.650659722225</v>
      </c>
      <c r="P118" s="57">
        <v>46266.651400462964</v>
      </c>
      <c r="Q118">
        <v>69381694</v>
      </c>
      <c r="S118">
        <v>142526106506</v>
      </c>
      <c r="T118" t="s">
        <v>1057</v>
      </c>
      <c r="U118" t="s">
        <v>1058</v>
      </c>
      <c r="V118" t="s">
        <v>1059</v>
      </c>
      <c r="Z118">
        <v>110.878006</v>
      </c>
      <c r="AA118">
        <v>-7.5586039999999999</v>
      </c>
      <c r="AB118" t="s">
        <v>1060</v>
      </c>
      <c r="AC118" t="s">
        <v>236</v>
      </c>
      <c r="AL118" t="s">
        <v>217</v>
      </c>
      <c r="AM118" t="s">
        <v>1061</v>
      </c>
      <c r="AN118" t="s">
        <v>6</v>
      </c>
      <c r="AO118" s="57">
        <v>46031.653344907405</v>
      </c>
      <c r="AP118" s="57">
        <v>46272.541666666664</v>
      </c>
      <c r="AR118" t="s">
        <v>240</v>
      </c>
      <c r="AS118" t="s">
        <v>914</v>
      </c>
      <c r="AT118" t="s">
        <v>230</v>
      </c>
      <c r="AV118" t="s">
        <v>239</v>
      </c>
      <c r="AW118" t="s">
        <v>891</v>
      </c>
      <c r="AX118" t="s">
        <v>222</v>
      </c>
      <c r="BA118" s="57">
        <v>46272.541666666664</v>
      </c>
      <c r="BB118" t="s">
        <v>1061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e">
        <f>VLOOKUP(H118,Sheet2!$A$1:$B$270,2,FALSE)</f>
        <v>#N/A</v>
      </c>
    </row>
    <row r="119" spans="1:61">
      <c r="A119">
        <v>118</v>
      </c>
      <c r="B119">
        <v>1002564622</v>
      </c>
      <c r="C119">
        <v>3</v>
      </c>
      <c r="D119" t="s">
        <v>51</v>
      </c>
      <c r="E119">
        <v>4</v>
      </c>
      <c r="F119" t="s">
        <v>234</v>
      </c>
      <c r="G119" t="s">
        <v>562</v>
      </c>
      <c r="H119" t="s">
        <v>854</v>
      </c>
      <c r="I119" t="s">
        <v>212</v>
      </c>
      <c r="J119" t="s">
        <v>213</v>
      </c>
      <c r="K119" t="s">
        <v>149</v>
      </c>
      <c r="M119" t="s">
        <v>239</v>
      </c>
      <c r="N119" t="s">
        <v>215</v>
      </c>
      <c r="O119" s="57">
        <v>46266.422314814816</v>
      </c>
      <c r="P119" s="57">
        <v>46267.518078703702</v>
      </c>
      <c r="Q119">
        <v>69381275</v>
      </c>
      <c r="S119">
        <v>142566103551</v>
      </c>
      <c r="T119" t="s">
        <v>1356</v>
      </c>
      <c r="U119" t="s">
        <v>1357</v>
      </c>
      <c r="V119" t="s">
        <v>1870</v>
      </c>
      <c r="Z119">
        <v>110.833864510059</v>
      </c>
      <c r="AA119">
        <v>-7.5277802287342297</v>
      </c>
      <c r="AB119" t="s">
        <v>1358</v>
      </c>
      <c r="AC119" t="s">
        <v>285</v>
      </c>
      <c r="AL119" t="s">
        <v>217</v>
      </c>
      <c r="AM119" t="s">
        <v>1871</v>
      </c>
      <c r="AN119" t="s">
        <v>6</v>
      </c>
      <c r="AO119" s="57">
        <v>46031.423645833333</v>
      </c>
      <c r="AP119" s="57">
        <v>46270.541666666664</v>
      </c>
      <c r="AR119" t="s">
        <v>240</v>
      </c>
      <c r="AS119" t="s">
        <v>914</v>
      </c>
      <c r="AT119" t="s">
        <v>230</v>
      </c>
      <c r="AV119" t="s">
        <v>239</v>
      </c>
      <c r="AW119" t="s">
        <v>545</v>
      </c>
      <c r="AX119" t="s">
        <v>222</v>
      </c>
      <c r="BA119" s="57">
        <v>46270.541666666664</v>
      </c>
      <c r="BB119" t="s">
        <v>1871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:61">
      <c r="A120">
        <v>119</v>
      </c>
      <c r="B120">
        <v>1002564895</v>
      </c>
      <c r="C120">
        <v>3</v>
      </c>
      <c r="D120" t="s">
        <v>45</v>
      </c>
      <c r="E120">
        <v>5</v>
      </c>
      <c r="F120" t="s">
        <v>210</v>
      </c>
      <c r="G120" t="s">
        <v>115</v>
      </c>
      <c r="H120" t="s">
        <v>395</v>
      </c>
      <c r="I120" t="s">
        <v>212</v>
      </c>
      <c r="J120" t="s">
        <v>213</v>
      </c>
      <c r="K120" t="s">
        <v>149</v>
      </c>
      <c r="L120" t="s">
        <v>214</v>
      </c>
      <c r="M120" t="s">
        <v>239</v>
      </c>
      <c r="N120" t="s">
        <v>215</v>
      </c>
      <c r="O120" s="57">
        <v>46266.458287037036</v>
      </c>
      <c r="P120" s="57">
        <v>46266.459733796299</v>
      </c>
      <c r="Q120">
        <v>69381343</v>
      </c>
      <c r="S120">
        <v>172602202850</v>
      </c>
      <c r="T120" t="s">
        <v>1191</v>
      </c>
      <c r="U120" t="s">
        <v>1192</v>
      </c>
      <c r="V120" t="s">
        <v>1193</v>
      </c>
      <c r="Z120">
        <v>115.88324419999999</v>
      </c>
      <c r="AA120">
        <v>-8.7682804999999995</v>
      </c>
      <c r="AB120" t="s">
        <v>1194</v>
      </c>
      <c r="AC120" t="s">
        <v>236</v>
      </c>
      <c r="AL120" t="s">
        <v>217</v>
      </c>
      <c r="AM120" t="s">
        <v>1195</v>
      </c>
      <c r="AN120" t="s">
        <v>6</v>
      </c>
      <c r="AO120" s="57">
        <v>46031.465405092589</v>
      </c>
      <c r="AP120" s="57">
        <v>46270.625</v>
      </c>
      <c r="AR120" t="s">
        <v>240</v>
      </c>
      <c r="AS120" t="s">
        <v>901</v>
      </c>
      <c r="AT120" t="s">
        <v>230</v>
      </c>
      <c r="AV120" t="s">
        <v>239</v>
      </c>
      <c r="AW120" t="s">
        <v>887</v>
      </c>
      <c r="AX120" t="s">
        <v>222</v>
      </c>
      <c r="BA120" s="57">
        <v>46270.625</v>
      </c>
      <c r="BB120" t="s">
        <v>1195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SELONG</v>
      </c>
    </row>
    <row r="121" spans="1:61">
      <c r="A121">
        <v>120</v>
      </c>
      <c r="B121">
        <v>1002565594</v>
      </c>
      <c r="C121">
        <v>3</v>
      </c>
      <c r="D121" t="s">
        <v>45</v>
      </c>
      <c r="E121">
        <v>5</v>
      </c>
      <c r="F121" t="s">
        <v>210</v>
      </c>
      <c r="G121" t="s">
        <v>115</v>
      </c>
      <c r="H121" t="s">
        <v>395</v>
      </c>
      <c r="I121" t="s">
        <v>212</v>
      </c>
      <c r="J121" t="s">
        <v>213</v>
      </c>
      <c r="K121" t="s">
        <v>149</v>
      </c>
      <c r="L121" t="s">
        <v>214</v>
      </c>
      <c r="M121" t="s">
        <v>239</v>
      </c>
      <c r="N121" t="s">
        <v>215</v>
      </c>
      <c r="O121" s="57">
        <v>46266.590231481481</v>
      </c>
      <c r="P121" s="57">
        <v>46266.591689814813</v>
      </c>
      <c r="Q121">
        <v>69381569</v>
      </c>
      <c r="S121">
        <v>172602203391</v>
      </c>
      <c r="T121" t="s">
        <v>1316</v>
      </c>
      <c r="U121" t="s">
        <v>1317</v>
      </c>
      <c r="V121" t="s">
        <v>1318</v>
      </c>
      <c r="Z121">
        <v>116.0745301</v>
      </c>
      <c r="AA121">
        <v>-8.7271529000000001</v>
      </c>
      <c r="AB121" t="s">
        <v>1319</v>
      </c>
      <c r="AC121" t="s">
        <v>216</v>
      </c>
      <c r="AL121" t="s">
        <v>217</v>
      </c>
      <c r="AM121" t="s">
        <v>1320</v>
      </c>
      <c r="AN121" t="s">
        <v>6</v>
      </c>
      <c r="AO121" s="57">
        <v>46031.600787037038</v>
      </c>
      <c r="AP121" s="57">
        <v>46271.333333333336</v>
      </c>
      <c r="AR121" t="s">
        <v>240</v>
      </c>
      <c r="AS121" t="s">
        <v>901</v>
      </c>
      <c r="AT121" t="s">
        <v>230</v>
      </c>
      <c r="AV121" t="s">
        <v>239</v>
      </c>
      <c r="AW121" t="s">
        <v>884</v>
      </c>
      <c r="AX121" t="s">
        <v>222</v>
      </c>
      <c r="BA121" s="57">
        <v>46271.333333333336</v>
      </c>
      <c r="BB121" t="s">
        <v>1320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SELONG</v>
      </c>
    </row>
    <row r="122" spans="1:61">
      <c r="A122">
        <v>121</v>
      </c>
      <c r="B122">
        <v>1002564240</v>
      </c>
      <c r="C122">
        <v>3</v>
      </c>
      <c r="D122" t="s">
        <v>45</v>
      </c>
      <c r="E122">
        <v>5</v>
      </c>
      <c r="F122" t="s">
        <v>210</v>
      </c>
      <c r="G122" t="s">
        <v>115</v>
      </c>
      <c r="H122" t="s">
        <v>395</v>
      </c>
      <c r="I122" t="s">
        <v>212</v>
      </c>
      <c r="J122" t="s">
        <v>213</v>
      </c>
      <c r="K122" t="s">
        <v>149</v>
      </c>
      <c r="L122" t="s">
        <v>214</v>
      </c>
      <c r="M122" t="s">
        <v>239</v>
      </c>
      <c r="N122" t="s">
        <v>215</v>
      </c>
      <c r="O122" s="57">
        <v>46266.375648148147</v>
      </c>
      <c r="P122" s="57">
        <v>46266.376400462963</v>
      </c>
      <c r="Q122">
        <v>69381193</v>
      </c>
      <c r="S122">
        <v>172602202849</v>
      </c>
      <c r="T122" t="s">
        <v>1334</v>
      </c>
      <c r="U122" t="s">
        <v>1033</v>
      </c>
      <c r="V122" t="s">
        <v>1335</v>
      </c>
      <c r="Z122">
        <v>116.15069099999999</v>
      </c>
      <c r="AA122">
        <v>-8.6803889999999999</v>
      </c>
      <c r="AB122" t="s">
        <v>1336</v>
      </c>
      <c r="AC122" t="s">
        <v>236</v>
      </c>
      <c r="AL122" t="s">
        <v>217</v>
      </c>
      <c r="AM122" t="s">
        <v>1337</v>
      </c>
      <c r="AN122" t="s">
        <v>6</v>
      </c>
      <c r="AO122" s="57">
        <v>46031.382175925923</v>
      </c>
      <c r="AP122" s="57">
        <v>46269.541666666664</v>
      </c>
      <c r="AR122" t="s">
        <v>240</v>
      </c>
      <c r="AS122" t="s">
        <v>901</v>
      </c>
      <c r="AT122" t="s">
        <v>230</v>
      </c>
      <c r="AV122" t="s">
        <v>239</v>
      </c>
      <c r="AW122" t="s">
        <v>831</v>
      </c>
      <c r="AX122" t="s">
        <v>222</v>
      </c>
      <c r="BA122" s="57">
        <v>46269.541666666664</v>
      </c>
      <c r="BB122" t="s">
        <v>1337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SELONG</v>
      </c>
    </row>
    <row r="123" spans="1:61">
      <c r="A123">
        <v>122</v>
      </c>
      <c r="B123">
        <v>1002566294</v>
      </c>
      <c r="C123">
        <v>3</v>
      </c>
      <c r="D123" t="s">
        <v>38</v>
      </c>
      <c r="E123">
        <v>5</v>
      </c>
      <c r="F123" t="s">
        <v>248</v>
      </c>
      <c r="G123" t="s">
        <v>91</v>
      </c>
      <c r="H123" t="s">
        <v>436</v>
      </c>
      <c r="I123" t="s">
        <v>212</v>
      </c>
      <c r="J123" t="s">
        <v>213</v>
      </c>
      <c r="K123" t="s">
        <v>149</v>
      </c>
      <c r="M123" t="s">
        <v>239</v>
      </c>
      <c r="N123" t="s">
        <v>215</v>
      </c>
      <c r="O123" s="57">
        <v>46266.698819444442</v>
      </c>
      <c r="P123" s="57">
        <v>46267.502858796295</v>
      </c>
      <c r="Q123">
        <v>18307703</v>
      </c>
      <c r="S123">
        <v>152708207587</v>
      </c>
      <c r="T123" t="s">
        <v>1043</v>
      </c>
      <c r="U123" t="s">
        <v>1044</v>
      </c>
      <c r="V123" t="s">
        <v>1872</v>
      </c>
      <c r="Z123">
        <v>112.6431041</v>
      </c>
      <c r="AA123">
        <v>-8.0098272999999995</v>
      </c>
      <c r="AB123" t="s">
        <v>1045</v>
      </c>
      <c r="AC123" t="s">
        <v>229</v>
      </c>
      <c r="AL123" t="s">
        <v>217</v>
      </c>
      <c r="AM123" t="s">
        <v>1873</v>
      </c>
      <c r="AN123" t="s">
        <v>6</v>
      </c>
      <c r="AO123" s="57">
        <v>46031.704814814817</v>
      </c>
      <c r="AP123" s="57">
        <v>46270.333333333336</v>
      </c>
      <c r="AR123" t="s">
        <v>240</v>
      </c>
      <c r="AS123" t="s">
        <v>591</v>
      </c>
      <c r="AT123" t="s">
        <v>230</v>
      </c>
      <c r="AV123" t="s">
        <v>239</v>
      </c>
      <c r="AW123" t="s">
        <v>546</v>
      </c>
      <c r="AX123" t="s">
        <v>222</v>
      </c>
      <c r="BA123" s="57">
        <v>46270.333333333336</v>
      </c>
      <c r="BB123" t="s">
        <v>1873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MALANG</v>
      </c>
    </row>
    <row r="124" spans="1:61">
      <c r="A124">
        <v>123</v>
      </c>
      <c r="B124">
        <v>1002568753</v>
      </c>
      <c r="C124">
        <v>3</v>
      </c>
      <c r="D124" t="s">
        <v>45</v>
      </c>
      <c r="E124">
        <v>5</v>
      </c>
      <c r="F124" t="s">
        <v>210</v>
      </c>
      <c r="G124" t="s">
        <v>118</v>
      </c>
      <c r="H124" t="s">
        <v>277</v>
      </c>
      <c r="I124" t="s">
        <v>212</v>
      </c>
      <c r="J124" t="s">
        <v>213</v>
      </c>
      <c r="K124" t="s">
        <v>149</v>
      </c>
      <c r="M124" t="s">
        <v>576</v>
      </c>
      <c r="N124" t="s">
        <v>215</v>
      </c>
      <c r="O124" s="57">
        <v>46268.363275462965</v>
      </c>
      <c r="P124" s="57">
        <v>46268.390567129631</v>
      </c>
      <c r="Q124">
        <v>69382753</v>
      </c>
      <c r="S124">
        <v>172610203605</v>
      </c>
      <c r="T124" t="s">
        <v>2640</v>
      </c>
      <c r="U124" t="s">
        <v>2641</v>
      </c>
      <c r="Z124">
        <v>116.850988</v>
      </c>
      <c r="AA124">
        <v>-8.734769</v>
      </c>
      <c r="AB124" t="s">
        <v>2642</v>
      </c>
      <c r="AC124" t="s">
        <v>285</v>
      </c>
      <c r="AO124" s="57">
        <v>46090.37158564815</v>
      </c>
      <c r="AR124" t="s">
        <v>5</v>
      </c>
      <c r="AS124" t="s">
        <v>908</v>
      </c>
      <c r="AT124" t="s">
        <v>230</v>
      </c>
      <c r="AV124" t="s">
        <v>2643</v>
      </c>
      <c r="AW124" t="s">
        <v>571</v>
      </c>
      <c r="AX124" t="s">
        <v>222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SUMBAWA</v>
      </c>
    </row>
    <row r="125" spans="1:61">
      <c r="A125">
        <v>124</v>
      </c>
      <c r="B125">
        <v>1002568709</v>
      </c>
      <c r="C125">
        <v>3</v>
      </c>
      <c r="D125" t="s">
        <v>34</v>
      </c>
      <c r="E125">
        <v>5</v>
      </c>
      <c r="F125" t="s">
        <v>554</v>
      </c>
      <c r="G125" t="s">
        <v>85</v>
      </c>
      <c r="H125" t="s">
        <v>279</v>
      </c>
      <c r="I125" t="s">
        <v>212</v>
      </c>
      <c r="J125" t="s">
        <v>213</v>
      </c>
      <c r="K125" t="s">
        <v>149</v>
      </c>
      <c r="M125" t="s">
        <v>576</v>
      </c>
      <c r="N125" t="s">
        <v>215</v>
      </c>
      <c r="O125" s="57">
        <v>46268.356527777774</v>
      </c>
      <c r="P125" s="57">
        <v>46268.38484953704</v>
      </c>
      <c r="Q125">
        <v>69382703</v>
      </c>
      <c r="S125">
        <v>172413244716</v>
      </c>
      <c r="T125" t="s">
        <v>2644</v>
      </c>
      <c r="U125" t="s">
        <v>2221</v>
      </c>
      <c r="Z125">
        <v>115.143073</v>
      </c>
      <c r="AA125">
        <v>-8.5688189999999995</v>
      </c>
      <c r="AB125" t="s">
        <v>2427</v>
      </c>
      <c r="AC125" t="s">
        <v>229</v>
      </c>
      <c r="AO125" s="57">
        <v>46090.361134259256</v>
      </c>
      <c r="AR125" t="s">
        <v>5</v>
      </c>
      <c r="AS125" t="s">
        <v>85</v>
      </c>
      <c r="AT125" t="s">
        <v>344</v>
      </c>
      <c r="AV125" t="s">
        <v>2645</v>
      </c>
      <c r="AW125" t="s">
        <v>545</v>
      </c>
      <c r="AX125" t="s">
        <v>222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TABANAN</v>
      </c>
    </row>
    <row r="126" spans="1:61">
      <c r="A126">
        <v>125</v>
      </c>
      <c r="B126">
        <v>1002570552</v>
      </c>
      <c r="C126">
        <v>3</v>
      </c>
      <c r="D126" t="s">
        <v>59</v>
      </c>
      <c r="E126">
        <v>4</v>
      </c>
      <c r="F126" t="s">
        <v>223</v>
      </c>
      <c r="G126" t="s">
        <v>223</v>
      </c>
      <c r="H126" t="s">
        <v>2646</v>
      </c>
      <c r="I126" t="s">
        <v>212</v>
      </c>
      <c r="J126" t="s">
        <v>213</v>
      </c>
      <c r="K126" t="s">
        <v>149</v>
      </c>
      <c r="M126" t="s">
        <v>576</v>
      </c>
      <c r="N126" t="s">
        <v>215</v>
      </c>
      <c r="O126" s="57">
        <v>46268.707685185182</v>
      </c>
      <c r="P126" s="57">
        <v>46269.401666666665</v>
      </c>
      <c r="Q126">
        <v>69383438</v>
      </c>
      <c r="S126">
        <v>146388101172</v>
      </c>
      <c r="T126" t="s">
        <v>2647</v>
      </c>
      <c r="U126" t="s">
        <v>2648</v>
      </c>
      <c r="Z126">
        <v>109.135374</v>
      </c>
      <c r="AA126">
        <v>-7.3749010000000004</v>
      </c>
      <c r="AB126" t="s">
        <v>2649</v>
      </c>
      <c r="AC126" t="s">
        <v>225</v>
      </c>
      <c r="AO126" s="57">
        <v>46090.715532407405</v>
      </c>
      <c r="AR126" t="s">
        <v>5</v>
      </c>
      <c r="AS126" t="s">
        <v>910</v>
      </c>
      <c r="AT126" t="s">
        <v>230</v>
      </c>
      <c r="AV126" t="s">
        <v>2650</v>
      </c>
      <c r="AW126" t="s">
        <v>545</v>
      </c>
      <c r="AX126" t="s">
        <v>222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e">
        <f>VLOOKUP(H126,Sheet2!$A$1:$B$270,2,FALSE)</f>
        <v>#N/A</v>
      </c>
    </row>
    <row r="127" spans="1:61">
      <c r="A127">
        <v>126</v>
      </c>
      <c r="B127">
        <v>1002569031</v>
      </c>
      <c r="C127">
        <v>3</v>
      </c>
      <c r="D127" t="s">
        <v>45</v>
      </c>
      <c r="E127">
        <v>5</v>
      </c>
      <c r="F127" t="s">
        <v>210</v>
      </c>
      <c r="G127" t="s">
        <v>115</v>
      </c>
      <c r="H127" t="s">
        <v>273</v>
      </c>
      <c r="I127" t="s">
        <v>212</v>
      </c>
      <c r="J127" t="s">
        <v>213</v>
      </c>
      <c r="K127" t="s">
        <v>149</v>
      </c>
      <c r="M127" t="s">
        <v>576</v>
      </c>
      <c r="N127" t="s">
        <v>215</v>
      </c>
      <c r="O127" s="57">
        <v>46268.4140162037</v>
      </c>
      <c r="P127" s="57">
        <v>46269.440011574072</v>
      </c>
      <c r="Q127">
        <v>69382856</v>
      </c>
      <c r="S127">
        <v>172603791832</v>
      </c>
      <c r="T127" t="s">
        <v>2651</v>
      </c>
      <c r="U127" t="s">
        <v>2652</v>
      </c>
      <c r="Z127">
        <v>116.28318400000001</v>
      </c>
      <c r="AA127">
        <v>-8.8935589999999998</v>
      </c>
      <c r="AB127" t="s">
        <v>2653</v>
      </c>
      <c r="AC127" t="s">
        <v>285</v>
      </c>
      <c r="AO127" s="57">
        <v>46090.423622685186</v>
      </c>
      <c r="AR127" t="s">
        <v>5</v>
      </c>
      <c r="AS127" t="s">
        <v>901</v>
      </c>
      <c r="AT127" t="s">
        <v>230</v>
      </c>
      <c r="AV127" t="s">
        <v>2654</v>
      </c>
      <c r="AW127" t="s">
        <v>545</v>
      </c>
      <c r="AX127" t="s">
        <v>222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SELONG</v>
      </c>
    </row>
    <row r="128" spans="1:61">
      <c r="A128">
        <v>127</v>
      </c>
      <c r="B128">
        <v>1002569624</v>
      </c>
      <c r="C128">
        <v>3</v>
      </c>
      <c r="D128" t="s">
        <v>55</v>
      </c>
      <c r="E128">
        <v>5</v>
      </c>
      <c r="F128" t="s">
        <v>227</v>
      </c>
      <c r="G128" t="s">
        <v>127</v>
      </c>
      <c r="H128" t="s">
        <v>323</v>
      </c>
      <c r="I128" t="s">
        <v>212</v>
      </c>
      <c r="J128" t="s">
        <v>213</v>
      </c>
      <c r="K128" t="s">
        <v>149</v>
      </c>
      <c r="L128" t="s">
        <v>214</v>
      </c>
      <c r="M128" t="s">
        <v>280</v>
      </c>
      <c r="N128" t="s">
        <v>215</v>
      </c>
      <c r="O128" s="57">
        <v>46268.531898148147</v>
      </c>
      <c r="P128" s="57">
        <v>46268.850451388891</v>
      </c>
      <c r="Q128">
        <v>69383103</v>
      </c>
      <c r="S128">
        <v>152431232542</v>
      </c>
      <c r="T128" t="s">
        <v>2655</v>
      </c>
      <c r="U128" t="s">
        <v>2656</v>
      </c>
      <c r="V128" t="s">
        <v>2657</v>
      </c>
      <c r="Z128">
        <v>113.8699129</v>
      </c>
      <c r="AA128">
        <v>-6.9961244999999996</v>
      </c>
      <c r="AB128" t="s">
        <v>2658</v>
      </c>
      <c r="AC128" t="s">
        <v>216</v>
      </c>
      <c r="AL128" t="s">
        <v>217</v>
      </c>
      <c r="AM128" t="s">
        <v>2659</v>
      </c>
      <c r="AN128" t="s">
        <v>6</v>
      </c>
      <c r="AO128" s="57">
        <v>46090.538240740738</v>
      </c>
      <c r="AP128" s="57">
        <v>46269.458333333336</v>
      </c>
      <c r="AR128" t="s">
        <v>240</v>
      </c>
      <c r="AS128" t="s">
        <v>219</v>
      </c>
      <c r="AT128" t="s">
        <v>230</v>
      </c>
      <c r="AV128" t="s">
        <v>826</v>
      </c>
      <c r="AW128" t="s">
        <v>537</v>
      </c>
      <c r="AX128" t="s">
        <v>222</v>
      </c>
      <c r="BA128" s="57">
        <v>46269.458333333336</v>
      </c>
      <c r="BB128" t="s">
        <v>2659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MADURA</v>
      </c>
    </row>
    <row r="129" spans="1:61">
      <c r="A129">
        <v>128</v>
      </c>
      <c r="B129">
        <v>1002568760</v>
      </c>
      <c r="C129">
        <v>3</v>
      </c>
      <c r="D129" t="s">
        <v>55</v>
      </c>
      <c r="E129">
        <v>5</v>
      </c>
      <c r="F129" t="s">
        <v>307</v>
      </c>
      <c r="G129" t="s">
        <v>124</v>
      </c>
      <c r="H129" t="s">
        <v>329</v>
      </c>
      <c r="I129" t="s">
        <v>212</v>
      </c>
      <c r="J129" t="s">
        <v>213</v>
      </c>
      <c r="K129" t="s">
        <v>149</v>
      </c>
      <c r="L129" t="s">
        <v>1755</v>
      </c>
      <c r="M129" t="s">
        <v>280</v>
      </c>
      <c r="N129" t="s">
        <v>215</v>
      </c>
      <c r="O129" s="57">
        <v>46268.363159722219</v>
      </c>
      <c r="P129" s="57">
        <v>46268.848692129628</v>
      </c>
      <c r="Q129">
        <v>69381507</v>
      </c>
      <c r="R129">
        <v>3135938204</v>
      </c>
      <c r="S129">
        <v>152306253349</v>
      </c>
      <c r="T129" t="s">
        <v>2660</v>
      </c>
      <c r="U129" t="s">
        <v>2661</v>
      </c>
      <c r="V129" t="s">
        <v>2662</v>
      </c>
      <c r="Z129">
        <v>112.721474</v>
      </c>
      <c r="AA129">
        <v>-7.3137648000000004</v>
      </c>
      <c r="AB129" t="s">
        <v>2663</v>
      </c>
      <c r="AC129" t="s">
        <v>236</v>
      </c>
      <c r="AL129" t="s">
        <v>217</v>
      </c>
      <c r="AM129" t="s">
        <v>2664</v>
      </c>
      <c r="AN129" t="s">
        <v>6</v>
      </c>
      <c r="AO129" s="57">
        <v>46090.37158564815</v>
      </c>
      <c r="AP129" s="57">
        <v>46269.333333333336</v>
      </c>
      <c r="AR129" t="s">
        <v>240</v>
      </c>
      <c r="AS129" t="s">
        <v>917</v>
      </c>
      <c r="AT129" t="s">
        <v>230</v>
      </c>
      <c r="AV129" t="s">
        <v>826</v>
      </c>
      <c r="AW129" t="s">
        <v>2665</v>
      </c>
      <c r="AX129" t="s">
        <v>222</v>
      </c>
      <c r="BA129" s="57">
        <v>46269.333333333336</v>
      </c>
      <c r="BB129" t="s">
        <v>2664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SURABAYA SELATAN</v>
      </c>
    </row>
    <row r="130" spans="1:61">
      <c r="A130">
        <v>129</v>
      </c>
      <c r="B130">
        <v>1002569340</v>
      </c>
      <c r="C130">
        <v>3</v>
      </c>
      <c r="D130" t="s">
        <v>42</v>
      </c>
      <c r="E130">
        <v>5</v>
      </c>
      <c r="F130" t="s">
        <v>232</v>
      </c>
      <c r="G130" t="s">
        <v>101</v>
      </c>
      <c r="H130" t="s">
        <v>233</v>
      </c>
      <c r="I130" t="s">
        <v>212</v>
      </c>
      <c r="J130" t="s">
        <v>213</v>
      </c>
      <c r="K130" t="s">
        <v>149</v>
      </c>
      <c r="L130" t="s">
        <v>214</v>
      </c>
      <c r="M130" t="s">
        <v>280</v>
      </c>
      <c r="N130" t="s">
        <v>215</v>
      </c>
      <c r="O130" s="57">
        <v>46268.468715277777</v>
      </c>
      <c r="P130" s="57">
        <v>46268.724849537037</v>
      </c>
      <c r="Q130">
        <v>69382972</v>
      </c>
      <c r="S130">
        <v>152327226545</v>
      </c>
      <c r="T130" t="s">
        <v>2666</v>
      </c>
      <c r="U130" t="s">
        <v>2667</v>
      </c>
      <c r="V130" t="s">
        <v>2668</v>
      </c>
      <c r="Z130">
        <v>112.6208906</v>
      </c>
      <c r="AA130">
        <v>-7.4702374999999996</v>
      </c>
      <c r="AB130" t="s">
        <v>2669</v>
      </c>
      <c r="AC130" t="s">
        <v>2670</v>
      </c>
      <c r="AL130" t="s">
        <v>217</v>
      </c>
      <c r="AM130" t="s">
        <v>2671</v>
      </c>
      <c r="AN130" t="s">
        <v>6</v>
      </c>
      <c r="AO130" s="57">
        <v>46090.475925925923</v>
      </c>
      <c r="AP130" s="57">
        <v>46269.333333333336</v>
      </c>
      <c r="AR130" t="s">
        <v>240</v>
      </c>
      <c r="AS130" t="s">
        <v>770</v>
      </c>
      <c r="AT130" t="s">
        <v>230</v>
      </c>
      <c r="AV130" t="s">
        <v>2672</v>
      </c>
      <c r="AW130" t="s">
        <v>891</v>
      </c>
      <c r="AX130" t="s">
        <v>222</v>
      </c>
      <c r="BA130" s="57">
        <v>46269.333333333336</v>
      </c>
      <c r="BB130" t="s">
        <v>2671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SIDOARJO</v>
      </c>
    </row>
    <row r="131" spans="1:61">
      <c r="A131">
        <v>130</v>
      </c>
      <c r="B131">
        <v>1002569563</v>
      </c>
      <c r="C131">
        <v>3</v>
      </c>
      <c r="D131" t="s">
        <v>55</v>
      </c>
      <c r="E131">
        <v>5</v>
      </c>
      <c r="F131" t="s">
        <v>261</v>
      </c>
      <c r="G131" t="s">
        <v>128</v>
      </c>
      <c r="H131" t="s">
        <v>270</v>
      </c>
      <c r="I131" t="s">
        <v>212</v>
      </c>
      <c r="J131" t="s">
        <v>213</v>
      </c>
      <c r="K131" t="s">
        <v>149</v>
      </c>
      <c r="M131" t="s">
        <v>280</v>
      </c>
      <c r="N131" t="s">
        <v>215</v>
      </c>
      <c r="O131" s="57">
        <v>46268.512314814812</v>
      </c>
      <c r="P131" s="57">
        <v>46268.851006944446</v>
      </c>
      <c r="Q131">
        <v>69383067</v>
      </c>
      <c r="S131">
        <v>152418251604</v>
      </c>
      <c r="T131" t="s">
        <v>2673</v>
      </c>
      <c r="U131" t="s">
        <v>2674</v>
      </c>
      <c r="V131" t="s">
        <v>2675</v>
      </c>
      <c r="Z131">
        <v>112.6673921</v>
      </c>
      <c r="AA131">
        <v>-7.2434411000000001</v>
      </c>
      <c r="AB131" t="s">
        <v>2676</v>
      </c>
      <c r="AC131" t="s">
        <v>225</v>
      </c>
      <c r="AL131" t="s">
        <v>217</v>
      </c>
      <c r="AM131" t="s">
        <v>2677</v>
      </c>
      <c r="AN131" t="s">
        <v>6</v>
      </c>
      <c r="AO131" s="57">
        <v>46090.517581018517</v>
      </c>
      <c r="AP131" s="57">
        <v>46269.458333333336</v>
      </c>
      <c r="AR131" t="s">
        <v>240</v>
      </c>
      <c r="AS131" t="s">
        <v>271</v>
      </c>
      <c r="AT131" t="s">
        <v>230</v>
      </c>
      <c r="AV131" t="s">
        <v>826</v>
      </c>
      <c r="AW131" t="s">
        <v>572</v>
      </c>
      <c r="AX131" t="s">
        <v>222</v>
      </c>
      <c r="BA131" s="57">
        <v>46269.458333333336</v>
      </c>
      <c r="BB131" t="s">
        <v>2677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SURABAYA UTARA</v>
      </c>
    </row>
    <row r="132" spans="1:61">
      <c r="A132">
        <v>131</v>
      </c>
      <c r="B132">
        <v>1002569090</v>
      </c>
      <c r="C132">
        <v>3</v>
      </c>
      <c r="D132" t="s">
        <v>38</v>
      </c>
      <c r="E132">
        <v>5</v>
      </c>
      <c r="F132" t="s">
        <v>90</v>
      </c>
      <c r="G132" t="s">
        <v>88</v>
      </c>
      <c r="H132" t="s">
        <v>426</v>
      </c>
      <c r="I132" t="s">
        <v>212</v>
      </c>
      <c r="J132" t="s">
        <v>213</v>
      </c>
      <c r="K132" t="s">
        <v>149</v>
      </c>
      <c r="L132" t="s">
        <v>214</v>
      </c>
      <c r="M132" t="s">
        <v>280</v>
      </c>
      <c r="N132" t="s">
        <v>215</v>
      </c>
      <c r="O132" s="57">
        <v>46268.42287037037</v>
      </c>
      <c r="P132" s="57">
        <v>46269.242037037038</v>
      </c>
      <c r="Q132">
        <v>69382891</v>
      </c>
      <c r="S132">
        <v>152730235562</v>
      </c>
      <c r="T132" t="s">
        <v>2678</v>
      </c>
      <c r="U132" t="s">
        <v>2679</v>
      </c>
      <c r="V132" t="s">
        <v>2680</v>
      </c>
      <c r="Z132">
        <v>112.169436670564</v>
      </c>
      <c r="AA132">
        <v>-8.0990096680674206</v>
      </c>
      <c r="AB132" t="s">
        <v>2681</v>
      </c>
      <c r="AC132" t="s">
        <v>236</v>
      </c>
      <c r="AL132" t="s">
        <v>217</v>
      </c>
      <c r="AM132" t="s">
        <v>2682</v>
      </c>
      <c r="AN132" t="s">
        <v>6</v>
      </c>
      <c r="AO132" s="57">
        <v>46090.423622685186</v>
      </c>
      <c r="AP132" s="57">
        <v>46269.333333333336</v>
      </c>
      <c r="AR132" t="s">
        <v>240</v>
      </c>
      <c r="AS132" t="s">
        <v>219</v>
      </c>
      <c r="AT132" t="s">
        <v>230</v>
      </c>
      <c r="AV132" t="s">
        <v>826</v>
      </c>
      <c r="AW132" t="s">
        <v>886</v>
      </c>
      <c r="AX132" t="s">
        <v>222</v>
      </c>
      <c r="BA132" s="57">
        <v>46269.333333333336</v>
      </c>
      <c r="BB132" t="s">
        <v>2682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BLITAR</v>
      </c>
    </row>
    <row r="133" spans="1:61">
      <c r="A133">
        <v>132</v>
      </c>
      <c r="B133">
        <v>1002569127</v>
      </c>
      <c r="C133">
        <v>3</v>
      </c>
      <c r="D133" t="s">
        <v>55</v>
      </c>
      <c r="E133">
        <v>5</v>
      </c>
      <c r="F133" t="s">
        <v>261</v>
      </c>
      <c r="G133" t="s">
        <v>128</v>
      </c>
      <c r="H133" t="s">
        <v>352</v>
      </c>
      <c r="I133" t="s">
        <v>212</v>
      </c>
      <c r="J133" t="s">
        <v>213</v>
      </c>
      <c r="K133" t="s">
        <v>149</v>
      </c>
      <c r="L133" t="s">
        <v>214</v>
      </c>
      <c r="M133" t="s">
        <v>280</v>
      </c>
      <c r="N133" t="s">
        <v>215</v>
      </c>
      <c r="O133" s="57">
        <v>46268.429120370369</v>
      </c>
      <c r="P133" s="57">
        <v>46268.849791666667</v>
      </c>
      <c r="Q133">
        <v>69382905</v>
      </c>
      <c r="S133">
        <v>152412249136</v>
      </c>
      <c r="T133" t="s">
        <v>2683</v>
      </c>
      <c r="U133" t="s">
        <v>2684</v>
      </c>
      <c r="V133" t="s">
        <v>2685</v>
      </c>
      <c r="Z133">
        <v>112.60086212307201</v>
      </c>
      <c r="AA133">
        <v>-7.2256541631925604</v>
      </c>
      <c r="AB133" t="s">
        <v>2686</v>
      </c>
      <c r="AC133" t="s">
        <v>216</v>
      </c>
      <c r="AL133" t="s">
        <v>217</v>
      </c>
      <c r="AM133" t="s">
        <v>2687</v>
      </c>
      <c r="AN133" t="s">
        <v>6</v>
      </c>
      <c r="AO133" s="57">
        <v>46090.434074074074</v>
      </c>
      <c r="AP133" s="57">
        <v>46269.333333333336</v>
      </c>
      <c r="AR133" t="s">
        <v>240</v>
      </c>
      <c r="AS133" t="s">
        <v>594</v>
      </c>
      <c r="AT133" t="s">
        <v>230</v>
      </c>
      <c r="AV133" t="s">
        <v>826</v>
      </c>
      <c r="AW133" t="s">
        <v>883</v>
      </c>
      <c r="AX133" t="s">
        <v>222</v>
      </c>
      <c r="BA133" s="57">
        <v>46269.333333333336</v>
      </c>
      <c r="BB133" t="s">
        <v>2687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SURABAYA UTARA</v>
      </c>
    </row>
    <row r="134" spans="1:61">
      <c r="A134">
        <v>133</v>
      </c>
      <c r="B134">
        <v>1002566559</v>
      </c>
      <c r="C134">
        <v>3</v>
      </c>
      <c r="D134" t="s">
        <v>55</v>
      </c>
      <c r="E134">
        <v>5</v>
      </c>
      <c r="F134" t="s">
        <v>261</v>
      </c>
      <c r="G134" t="s">
        <v>126</v>
      </c>
      <c r="H134" t="s">
        <v>262</v>
      </c>
      <c r="I134" t="s">
        <v>212</v>
      </c>
      <c r="J134" t="s">
        <v>213</v>
      </c>
      <c r="K134" t="s">
        <v>149</v>
      </c>
      <c r="L134" t="s">
        <v>214</v>
      </c>
      <c r="M134" t="s">
        <v>280</v>
      </c>
      <c r="N134" t="s">
        <v>215</v>
      </c>
      <c r="O134" s="57">
        <v>46267.306898148148</v>
      </c>
      <c r="P134" s="57">
        <v>46267.902905092589</v>
      </c>
      <c r="Q134">
        <v>69381898</v>
      </c>
      <c r="S134">
        <v>152413167925</v>
      </c>
      <c r="T134" t="s">
        <v>1877</v>
      </c>
      <c r="U134" t="s">
        <v>1878</v>
      </c>
      <c r="V134" t="s">
        <v>1879</v>
      </c>
      <c r="Z134">
        <v>112.7437266</v>
      </c>
      <c r="AA134">
        <v>-7.2708913999999902</v>
      </c>
      <c r="AB134" t="s">
        <v>1880</v>
      </c>
      <c r="AC134" t="s">
        <v>216</v>
      </c>
      <c r="AL134" t="s">
        <v>217</v>
      </c>
      <c r="AM134" t="s">
        <v>1881</v>
      </c>
      <c r="AN134" t="s">
        <v>6</v>
      </c>
      <c r="AO134" s="57">
        <v>46062.309317129628</v>
      </c>
      <c r="AP134" s="57">
        <v>46268.333333333336</v>
      </c>
      <c r="AR134" t="s">
        <v>240</v>
      </c>
      <c r="AS134" t="s">
        <v>575</v>
      </c>
      <c r="AT134" t="s">
        <v>230</v>
      </c>
      <c r="AV134" t="s">
        <v>826</v>
      </c>
      <c r="AW134" t="s">
        <v>884</v>
      </c>
      <c r="AX134" t="s">
        <v>222</v>
      </c>
      <c r="BA134" s="57">
        <v>46268.333333333336</v>
      </c>
      <c r="BB134" t="s">
        <v>1881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SURABAYA SELATAN</v>
      </c>
    </row>
    <row r="135" spans="1:61">
      <c r="A135">
        <v>134</v>
      </c>
      <c r="B135">
        <v>1002567328</v>
      </c>
      <c r="C135">
        <v>3</v>
      </c>
      <c r="D135" t="s">
        <v>55</v>
      </c>
      <c r="E135">
        <v>5</v>
      </c>
      <c r="F135" t="s">
        <v>261</v>
      </c>
      <c r="G135" t="s">
        <v>126</v>
      </c>
      <c r="H135" t="s">
        <v>262</v>
      </c>
      <c r="I135" t="s">
        <v>212</v>
      </c>
      <c r="J135" t="s">
        <v>213</v>
      </c>
      <c r="K135" t="s">
        <v>149</v>
      </c>
      <c r="L135" t="s">
        <v>214</v>
      </c>
      <c r="M135" t="s">
        <v>280</v>
      </c>
      <c r="N135" t="s">
        <v>215</v>
      </c>
      <c r="O135" s="57">
        <v>46267.483993055554</v>
      </c>
      <c r="P135" s="57">
        <v>46267.902256944442</v>
      </c>
      <c r="Q135">
        <v>69382215</v>
      </c>
      <c r="S135">
        <v>152413167928</v>
      </c>
      <c r="T135" t="s">
        <v>1882</v>
      </c>
      <c r="U135" t="s">
        <v>1883</v>
      </c>
      <c r="V135" t="s">
        <v>1884</v>
      </c>
      <c r="Z135">
        <v>112.737861342861</v>
      </c>
      <c r="AA135">
        <v>-7.2616148630009896</v>
      </c>
      <c r="AB135" t="s">
        <v>1885</v>
      </c>
      <c r="AC135" t="s">
        <v>236</v>
      </c>
      <c r="AL135" t="s">
        <v>217</v>
      </c>
      <c r="AM135" t="s">
        <v>1125</v>
      </c>
      <c r="AN135" t="s">
        <v>6</v>
      </c>
      <c r="AO135" s="57">
        <v>46062.486145833333</v>
      </c>
      <c r="AP135" s="57">
        <v>46268.333333333336</v>
      </c>
      <c r="AR135" t="s">
        <v>240</v>
      </c>
      <c r="AS135" t="s">
        <v>575</v>
      </c>
      <c r="AT135" t="s">
        <v>230</v>
      </c>
      <c r="AV135" t="s">
        <v>826</v>
      </c>
      <c r="AW135" t="s">
        <v>237</v>
      </c>
      <c r="AX135" t="s">
        <v>222</v>
      </c>
      <c r="BA135" s="57">
        <v>46268.333333333336</v>
      </c>
      <c r="BB135" t="s">
        <v>1125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SURABAYA SELATAN</v>
      </c>
    </row>
    <row r="136" spans="1:61">
      <c r="A136">
        <v>135</v>
      </c>
      <c r="B136">
        <v>1002564024</v>
      </c>
      <c r="C136">
        <v>3</v>
      </c>
      <c r="D136" t="s">
        <v>55</v>
      </c>
      <c r="E136">
        <v>5</v>
      </c>
      <c r="F136" t="s">
        <v>227</v>
      </c>
      <c r="G136" t="s">
        <v>121</v>
      </c>
      <c r="H136" t="s">
        <v>278</v>
      </c>
      <c r="I136" t="s">
        <v>212</v>
      </c>
      <c r="J136" t="s">
        <v>213</v>
      </c>
      <c r="K136" t="s">
        <v>149</v>
      </c>
      <c r="L136" t="s">
        <v>214</v>
      </c>
      <c r="M136" t="s">
        <v>280</v>
      </c>
      <c r="N136" t="s">
        <v>215</v>
      </c>
      <c r="O136" s="57">
        <v>46266.3124537037</v>
      </c>
      <c r="P136" s="57">
        <v>46266.748344907406</v>
      </c>
      <c r="Q136">
        <v>69381131</v>
      </c>
      <c r="S136">
        <v>152437905734</v>
      </c>
      <c r="T136" t="s">
        <v>1362</v>
      </c>
      <c r="U136" t="s">
        <v>1363</v>
      </c>
      <c r="V136" t="s">
        <v>1364</v>
      </c>
      <c r="Z136">
        <v>113.276343941688</v>
      </c>
      <c r="AA136">
        <v>-6.9417270909104403</v>
      </c>
      <c r="AB136" t="s">
        <v>1365</v>
      </c>
      <c r="AC136" t="s">
        <v>216</v>
      </c>
      <c r="AL136" t="s">
        <v>217</v>
      </c>
      <c r="AM136" t="s">
        <v>1366</v>
      </c>
      <c r="AN136" t="s">
        <v>6</v>
      </c>
      <c r="AO136" s="57">
        <v>46031.319398148145</v>
      </c>
      <c r="AP136" s="57">
        <v>46267.333333333336</v>
      </c>
      <c r="AR136" t="s">
        <v>240</v>
      </c>
      <c r="AS136" t="s">
        <v>219</v>
      </c>
      <c r="AT136" t="s">
        <v>220</v>
      </c>
      <c r="AV136" t="s">
        <v>826</v>
      </c>
      <c r="AW136" t="s">
        <v>833</v>
      </c>
      <c r="AX136" t="s">
        <v>222</v>
      </c>
      <c r="BA136" s="57">
        <v>46267.333333333336</v>
      </c>
      <c r="BB136" t="s">
        <v>1366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MADURA</v>
      </c>
    </row>
    <row r="137" spans="1:61">
      <c r="A137">
        <v>136</v>
      </c>
      <c r="B137">
        <v>1002564716</v>
      </c>
      <c r="C137">
        <v>3</v>
      </c>
      <c r="D137" t="s">
        <v>55</v>
      </c>
      <c r="E137">
        <v>5</v>
      </c>
      <c r="F137" t="s">
        <v>227</v>
      </c>
      <c r="G137" t="s">
        <v>121</v>
      </c>
      <c r="H137" t="s">
        <v>437</v>
      </c>
      <c r="I137" t="s">
        <v>212</v>
      </c>
      <c r="J137" t="s">
        <v>213</v>
      </c>
      <c r="K137" t="s">
        <v>149</v>
      </c>
      <c r="L137" t="s">
        <v>214</v>
      </c>
      <c r="M137" t="s">
        <v>280</v>
      </c>
      <c r="N137" t="s">
        <v>215</v>
      </c>
      <c r="O137" s="57">
        <v>46266.434004629627</v>
      </c>
      <c r="P137" s="57">
        <v>46266.749120370368</v>
      </c>
      <c r="Q137">
        <v>69381300</v>
      </c>
      <c r="S137">
        <v>152438901086</v>
      </c>
      <c r="T137" t="s">
        <v>1372</v>
      </c>
      <c r="U137" t="s">
        <v>1373</v>
      </c>
      <c r="V137" t="s">
        <v>1374</v>
      </c>
      <c r="Z137">
        <v>113.35420712828601</v>
      </c>
      <c r="AA137">
        <v>-7.0510811103671998</v>
      </c>
      <c r="AB137" t="s">
        <v>1375</v>
      </c>
      <c r="AC137" t="s">
        <v>216</v>
      </c>
      <c r="AL137" t="s">
        <v>217</v>
      </c>
      <c r="AM137" t="s">
        <v>1376</v>
      </c>
      <c r="AN137" t="s">
        <v>6</v>
      </c>
      <c r="AO137" s="57">
        <v>46031.444409722222</v>
      </c>
      <c r="AP137" s="57">
        <v>46267.333333333336</v>
      </c>
      <c r="AR137" t="s">
        <v>240</v>
      </c>
      <c r="AS137" t="s">
        <v>219</v>
      </c>
      <c r="AT137" t="s">
        <v>220</v>
      </c>
      <c r="AV137" t="s">
        <v>826</v>
      </c>
      <c r="AW137" t="s">
        <v>833</v>
      </c>
      <c r="AX137" t="s">
        <v>222</v>
      </c>
      <c r="BA137" s="57">
        <v>46267.333333333336</v>
      </c>
      <c r="BB137" t="s">
        <v>1376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MADURA</v>
      </c>
    </row>
    <row r="138" spans="1:61">
      <c r="A138">
        <v>137</v>
      </c>
      <c r="B138">
        <v>1002566030</v>
      </c>
      <c r="C138">
        <v>3</v>
      </c>
      <c r="D138" t="s">
        <v>38</v>
      </c>
      <c r="E138">
        <v>5</v>
      </c>
      <c r="F138" t="s">
        <v>248</v>
      </c>
      <c r="G138" t="s">
        <v>91</v>
      </c>
      <c r="H138" t="s">
        <v>388</v>
      </c>
      <c r="I138" t="s">
        <v>212</v>
      </c>
      <c r="J138" t="s">
        <v>213</v>
      </c>
      <c r="K138" t="s">
        <v>149</v>
      </c>
      <c r="L138" t="s">
        <v>214</v>
      </c>
      <c r="M138" t="s">
        <v>280</v>
      </c>
      <c r="N138" t="s">
        <v>215</v>
      </c>
      <c r="O138" s="57">
        <v>46266.652743055558</v>
      </c>
      <c r="P138" s="57">
        <v>46267.444791666669</v>
      </c>
      <c r="Q138">
        <v>69381696</v>
      </c>
      <c r="S138">
        <v>152703903703</v>
      </c>
      <c r="T138" t="s">
        <v>1241</v>
      </c>
      <c r="U138" t="s">
        <v>1242</v>
      </c>
      <c r="V138" t="s">
        <v>1243</v>
      </c>
      <c r="Z138">
        <v>112.62214299999999</v>
      </c>
      <c r="AA138">
        <v>-7.9638900000000001</v>
      </c>
      <c r="AB138" t="s">
        <v>1244</v>
      </c>
      <c r="AC138" t="s">
        <v>236</v>
      </c>
      <c r="AL138" t="s">
        <v>217</v>
      </c>
      <c r="AM138" t="s">
        <v>1161</v>
      </c>
      <c r="AN138" t="s">
        <v>6</v>
      </c>
      <c r="AO138" s="57">
        <v>46031.663206018522</v>
      </c>
      <c r="AP138" s="57">
        <v>46267.541666666664</v>
      </c>
      <c r="AR138" t="s">
        <v>240</v>
      </c>
      <c r="AS138" t="s">
        <v>557</v>
      </c>
      <c r="AT138" t="s">
        <v>230</v>
      </c>
      <c r="AV138" t="s">
        <v>826</v>
      </c>
      <c r="AW138" t="s">
        <v>887</v>
      </c>
      <c r="AX138" t="s">
        <v>222</v>
      </c>
      <c r="BA138" s="57">
        <v>46267.541666666664</v>
      </c>
      <c r="BB138" t="s">
        <v>1161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MALANG</v>
      </c>
    </row>
    <row r="139" spans="1:61">
      <c r="A139">
        <v>138</v>
      </c>
      <c r="B139">
        <v>1002568947</v>
      </c>
      <c r="C139">
        <v>3</v>
      </c>
      <c r="D139" t="s">
        <v>34</v>
      </c>
      <c r="E139">
        <v>5</v>
      </c>
      <c r="F139" t="s">
        <v>563</v>
      </c>
      <c r="G139" t="s">
        <v>86</v>
      </c>
      <c r="H139" t="s">
        <v>416</v>
      </c>
      <c r="I139" t="s">
        <v>212</v>
      </c>
      <c r="J139" t="s">
        <v>213</v>
      </c>
      <c r="K139" t="s">
        <v>149</v>
      </c>
      <c r="M139" t="s">
        <v>256</v>
      </c>
      <c r="N139" t="s">
        <v>215</v>
      </c>
      <c r="O139" s="57">
        <v>46268.399664351855</v>
      </c>
      <c r="P139" s="57">
        <v>46268.48673611111</v>
      </c>
      <c r="Q139">
        <v>69380513</v>
      </c>
      <c r="S139">
        <v>172419207274</v>
      </c>
      <c r="T139" t="s">
        <v>1996</v>
      </c>
      <c r="U139" t="s">
        <v>2688</v>
      </c>
      <c r="V139" t="s">
        <v>2689</v>
      </c>
      <c r="Z139">
        <v>115.19735204</v>
      </c>
      <c r="AA139">
        <v>-8.6609860090000002</v>
      </c>
      <c r="AB139" t="s">
        <v>2690</v>
      </c>
      <c r="AC139" t="s">
        <v>216</v>
      </c>
      <c r="AL139" t="s">
        <v>217</v>
      </c>
      <c r="AM139" t="s">
        <v>2691</v>
      </c>
      <c r="AN139" t="s">
        <v>6</v>
      </c>
      <c r="AO139" s="57">
        <v>46090.402800925927</v>
      </c>
      <c r="AR139" t="s">
        <v>257</v>
      </c>
      <c r="AS139" t="s">
        <v>817</v>
      </c>
      <c r="AT139" t="s">
        <v>230</v>
      </c>
      <c r="AV139" t="s">
        <v>258</v>
      </c>
      <c r="AW139" t="s">
        <v>545</v>
      </c>
      <c r="AX139" t="s">
        <v>222</v>
      </c>
      <c r="BA139" s="57">
        <v>46268.291666666664</v>
      </c>
      <c r="BB139" t="s">
        <v>2691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UBUNG</v>
      </c>
    </row>
    <row r="140" spans="1:61">
      <c r="A140">
        <v>139</v>
      </c>
      <c r="B140">
        <v>1002569272</v>
      </c>
      <c r="C140">
        <v>3</v>
      </c>
      <c r="D140" t="s">
        <v>38</v>
      </c>
      <c r="E140">
        <v>5</v>
      </c>
      <c r="F140" t="s">
        <v>248</v>
      </c>
      <c r="G140" t="s">
        <v>91</v>
      </c>
      <c r="H140" t="s">
        <v>398</v>
      </c>
      <c r="I140" t="s">
        <v>212</v>
      </c>
      <c r="J140" t="s">
        <v>213</v>
      </c>
      <c r="K140" t="s">
        <v>149</v>
      </c>
      <c r="L140" t="s">
        <v>214</v>
      </c>
      <c r="M140" t="s">
        <v>256</v>
      </c>
      <c r="N140" t="s">
        <v>215</v>
      </c>
      <c r="O140" s="57">
        <v>46268.45621527778</v>
      </c>
      <c r="P140" s="57">
        <v>46268.808622685188</v>
      </c>
      <c r="Q140">
        <v>69382944</v>
      </c>
      <c r="S140">
        <v>152718219162</v>
      </c>
      <c r="T140" t="s">
        <v>2692</v>
      </c>
      <c r="U140" t="s">
        <v>2693</v>
      </c>
      <c r="V140" t="s">
        <v>2694</v>
      </c>
      <c r="Z140">
        <v>112.553937311583</v>
      </c>
      <c r="AA140">
        <v>-8.1178381671383999</v>
      </c>
      <c r="AB140" t="s">
        <v>2695</v>
      </c>
      <c r="AC140" t="s">
        <v>236</v>
      </c>
      <c r="AL140" t="s">
        <v>217</v>
      </c>
      <c r="AM140" t="s">
        <v>2696</v>
      </c>
      <c r="AN140" t="s">
        <v>6</v>
      </c>
      <c r="AO140" s="57">
        <v>46090.465405092589</v>
      </c>
      <c r="AP140" s="57">
        <v>46269.333333333336</v>
      </c>
      <c r="AR140" t="s">
        <v>257</v>
      </c>
      <c r="AS140" t="s">
        <v>91</v>
      </c>
      <c r="AT140" t="s">
        <v>344</v>
      </c>
      <c r="AV140" t="s">
        <v>258</v>
      </c>
      <c r="AW140" t="s">
        <v>2697</v>
      </c>
      <c r="AX140" t="s">
        <v>222</v>
      </c>
      <c r="BA140" s="57">
        <v>46269.333333333336</v>
      </c>
      <c r="BB140" t="s">
        <v>2696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MALANG</v>
      </c>
    </row>
    <row r="141" spans="1:61">
      <c r="A141">
        <v>140</v>
      </c>
      <c r="B141">
        <v>1002569432</v>
      </c>
      <c r="C141">
        <v>3</v>
      </c>
      <c r="D141" t="s">
        <v>59</v>
      </c>
      <c r="E141">
        <v>4</v>
      </c>
      <c r="F141" t="s">
        <v>549</v>
      </c>
      <c r="G141" t="s">
        <v>582</v>
      </c>
      <c r="H141" t="s">
        <v>590</v>
      </c>
      <c r="I141" t="s">
        <v>212</v>
      </c>
      <c r="J141" t="s">
        <v>213</v>
      </c>
      <c r="K141" t="s">
        <v>149</v>
      </c>
      <c r="M141" t="s">
        <v>256</v>
      </c>
      <c r="N141" t="s">
        <v>215</v>
      </c>
      <c r="O141" s="57">
        <v>46268.485300925924</v>
      </c>
      <c r="P141" s="57">
        <v>46269.443067129629</v>
      </c>
      <c r="Q141">
        <v>69381014</v>
      </c>
      <c r="S141">
        <v>146131120737</v>
      </c>
      <c r="T141" t="s">
        <v>2175</v>
      </c>
      <c r="U141" t="s">
        <v>2176</v>
      </c>
      <c r="V141" t="s">
        <v>2698</v>
      </c>
      <c r="Z141">
        <v>110.427438626984</v>
      </c>
      <c r="AA141">
        <v>-7.7804910405375702</v>
      </c>
      <c r="AB141" t="s">
        <v>2178</v>
      </c>
      <c r="AC141" t="s">
        <v>284</v>
      </c>
      <c r="AL141" t="s">
        <v>217</v>
      </c>
      <c r="AM141" t="s">
        <v>2179</v>
      </c>
      <c r="AN141" t="s">
        <v>6</v>
      </c>
      <c r="AO141" s="57">
        <v>46090.486041666663</v>
      </c>
      <c r="AR141" t="s">
        <v>257</v>
      </c>
      <c r="AS141" t="s">
        <v>219</v>
      </c>
      <c r="AT141" t="s">
        <v>230</v>
      </c>
      <c r="AV141" t="s">
        <v>258</v>
      </c>
      <c r="AW141" t="s">
        <v>545</v>
      </c>
      <c r="AX141" t="s">
        <v>222</v>
      </c>
      <c r="BA141" s="57">
        <v>46268.291666666664</v>
      </c>
      <c r="BB141" t="s">
        <v>2179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:61">
      <c r="A142">
        <v>141</v>
      </c>
      <c r="B142">
        <v>1002569798</v>
      </c>
      <c r="C142">
        <v>3</v>
      </c>
      <c r="D142" t="s">
        <v>38</v>
      </c>
      <c r="E142">
        <v>5</v>
      </c>
      <c r="F142" t="s">
        <v>90</v>
      </c>
      <c r="G142" t="s">
        <v>93</v>
      </c>
      <c r="H142" t="s">
        <v>421</v>
      </c>
      <c r="I142" t="s">
        <v>212</v>
      </c>
      <c r="J142" t="s">
        <v>213</v>
      </c>
      <c r="K142" t="s">
        <v>149</v>
      </c>
      <c r="L142" t="s">
        <v>214</v>
      </c>
      <c r="M142" t="s">
        <v>256</v>
      </c>
      <c r="N142" t="s">
        <v>215</v>
      </c>
      <c r="O142" s="57">
        <v>46268.568715277775</v>
      </c>
      <c r="P142" s="57">
        <v>46269.441412037035</v>
      </c>
      <c r="Q142">
        <v>69383188</v>
      </c>
      <c r="S142">
        <v>152628205054</v>
      </c>
      <c r="T142" t="s">
        <v>2699</v>
      </c>
      <c r="U142" t="s">
        <v>2700</v>
      </c>
      <c r="V142" t="s">
        <v>2701</v>
      </c>
      <c r="Z142">
        <v>111.95857700000001</v>
      </c>
      <c r="AA142">
        <v>-7.5283420000000003</v>
      </c>
      <c r="AB142" t="s">
        <v>2702</v>
      </c>
      <c r="AC142" t="s">
        <v>236</v>
      </c>
      <c r="AL142" t="s">
        <v>217</v>
      </c>
      <c r="AM142" t="s">
        <v>2583</v>
      </c>
      <c r="AN142" t="s">
        <v>6</v>
      </c>
      <c r="AO142" s="57">
        <v>46090.569456018522</v>
      </c>
      <c r="AP142" s="57">
        <v>46269.541666666664</v>
      </c>
      <c r="AR142" t="s">
        <v>257</v>
      </c>
      <c r="AS142" t="s">
        <v>589</v>
      </c>
      <c r="AT142" t="s">
        <v>230</v>
      </c>
      <c r="AV142" t="s">
        <v>258</v>
      </c>
      <c r="AW142" t="s">
        <v>882</v>
      </c>
      <c r="AX142" t="s">
        <v>222</v>
      </c>
      <c r="BA142" s="57">
        <v>46269.541666666664</v>
      </c>
      <c r="BB142" t="s">
        <v>2583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NGANJUK</v>
      </c>
    </row>
    <row r="143" spans="1:61">
      <c r="A143">
        <v>142</v>
      </c>
      <c r="B143">
        <v>1002569768</v>
      </c>
      <c r="C143">
        <v>3</v>
      </c>
      <c r="D143" t="s">
        <v>45</v>
      </c>
      <c r="E143">
        <v>5</v>
      </c>
      <c r="F143" t="s">
        <v>113</v>
      </c>
      <c r="G143" t="s">
        <v>114</v>
      </c>
      <c r="H143" t="s">
        <v>359</v>
      </c>
      <c r="I143" t="s">
        <v>212</v>
      </c>
      <c r="J143" t="s">
        <v>213</v>
      </c>
      <c r="K143" t="s">
        <v>149</v>
      </c>
      <c r="L143" t="s">
        <v>214</v>
      </c>
      <c r="M143" t="s">
        <v>256</v>
      </c>
      <c r="N143" t="s">
        <v>215</v>
      </c>
      <c r="O143" s="57">
        <v>46268.56453703704</v>
      </c>
      <c r="P143" s="57">
        <v>46269.394942129627</v>
      </c>
      <c r="Q143">
        <v>69383163</v>
      </c>
      <c r="S143">
        <v>172514217058</v>
      </c>
      <c r="T143" t="s">
        <v>2703</v>
      </c>
      <c r="U143" t="s">
        <v>2704</v>
      </c>
      <c r="V143" t="s">
        <v>2705</v>
      </c>
      <c r="Z143">
        <v>120.46368820000001</v>
      </c>
      <c r="AA143">
        <v>-8.5997965000000001</v>
      </c>
      <c r="AB143" t="s">
        <v>2706</v>
      </c>
      <c r="AC143" t="s">
        <v>236</v>
      </c>
      <c r="AL143" t="s">
        <v>217</v>
      </c>
      <c r="AM143" t="s">
        <v>2707</v>
      </c>
      <c r="AN143" t="s">
        <v>6</v>
      </c>
      <c r="AO143" s="57">
        <v>46090.569456018522</v>
      </c>
      <c r="AP143" s="57">
        <v>46269.541666666664</v>
      </c>
      <c r="AR143" t="s">
        <v>257</v>
      </c>
      <c r="AS143" t="s">
        <v>219</v>
      </c>
      <c r="AT143" t="s">
        <v>220</v>
      </c>
      <c r="AV143" t="s">
        <v>258</v>
      </c>
      <c r="AW143" t="s">
        <v>2708</v>
      </c>
      <c r="AX143" t="s">
        <v>222</v>
      </c>
      <c r="BA143" s="57">
        <v>46269.541666666664</v>
      </c>
      <c r="BB143" t="s">
        <v>2707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LABOAN BAJO</v>
      </c>
    </row>
    <row r="144" spans="1:61">
      <c r="A144">
        <v>143</v>
      </c>
      <c r="B144">
        <v>1002568624</v>
      </c>
      <c r="C144">
        <v>3</v>
      </c>
      <c r="D144" t="s">
        <v>38</v>
      </c>
      <c r="E144">
        <v>5</v>
      </c>
      <c r="F144" t="s">
        <v>248</v>
      </c>
      <c r="G144" t="s">
        <v>91</v>
      </c>
      <c r="H144" t="s">
        <v>398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46268.313148148147</v>
      </c>
      <c r="P144" s="57">
        <v>46268.556909722225</v>
      </c>
      <c r="Q144">
        <v>69382676</v>
      </c>
      <c r="S144">
        <v>152718219037</v>
      </c>
      <c r="T144" t="s">
        <v>2709</v>
      </c>
      <c r="U144" t="s">
        <v>2710</v>
      </c>
      <c r="V144" t="s">
        <v>2711</v>
      </c>
      <c r="Z144">
        <v>112.5651574</v>
      </c>
      <c r="AA144">
        <v>-8.1250394999999997</v>
      </c>
      <c r="AB144" t="s">
        <v>2712</v>
      </c>
      <c r="AC144" t="s">
        <v>236</v>
      </c>
      <c r="AL144" t="s">
        <v>217</v>
      </c>
      <c r="AM144" t="s">
        <v>2713</v>
      </c>
      <c r="AN144" t="s">
        <v>6</v>
      </c>
      <c r="AO144" s="57">
        <v>46090.319363425922</v>
      </c>
      <c r="AP144" s="57">
        <v>46269.333333333336</v>
      </c>
      <c r="AR144" t="s">
        <v>218</v>
      </c>
      <c r="AS144" t="s">
        <v>91</v>
      </c>
      <c r="AT144" t="s">
        <v>344</v>
      </c>
      <c r="AU144">
        <v>20260903</v>
      </c>
      <c r="AV144" t="s">
        <v>221</v>
      </c>
      <c r="AW144" t="s">
        <v>1664</v>
      </c>
      <c r="AX144" t="s">
        <v>222</v>
      </c>
      <c r="BA144" s="57">
        <v>46269.333333333336</v>
      </c>
      <c r="BB144" t="s">
        <v>2713</v>
      </c>
      <c r="BC144">
        <v>2026</v>
      </c>
      <c r="BD144">
        <v>9</v>
      </c>
      <c r="BE144">
        <v>3</v>
      </c>
      <c r="BF144" s="6">
        <f t="shared" si="6"/>
        <v>46268</v>
      </c>
      <c r="BG144">
        <f t="shared" si="7"/>
        <v>-1.3333333333357587</v>
      </c>
      <c r="BH144" t="str">
        <f t="shared" si="8"/>
        <v>COMPLY</v>
      </c>
      <c r="BI144" t="str">
        <f>VLOOKUP(H144,Sheet2!$A$1:$B$270,2,FALSE)</f>
        <v>MALANG</v>
      </c>
    </row>
    <row r="145" spans="1:61">
      <c r="A145">
        <v>144</v>
      </c>
      <c r="B145">
        <v>1002569199</v>
      </c>
      <c r="C145">
        <v>3</v>
      </c>
      <c r="D145" t="s">
        <v>42</v>
      </c>
      <c r="E145">
        <v>5</v>
      </c>
      <c r="F145" t="s">
        <v>232</v>
      </c>
      <c r="G145" t="s">
        <v>103</v>
      </c>
      <c r="H145" t="s">
        <v>391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46268.445949074077</v>
      </c>
      <c r="P145" s="57">
        <v>46268.856990740744</v>
      </c>
      <c r="Q145">
        <v>69382932</v>
      </c>
      <c r="S145">
        <v>152318242568</v>
      </c>
      <c r="T145" t="s">
        <v>2714</v>
      </c>
      <c r="U145" t="s">
        <v>2715</v>
      </c>
      <c r="V145" t="s">
        <v>2716</v>
      </c>
      <c r="Z145">
        <v>112.2247893</v>
      </c>
      <c r="AA145">
        <v>-7.5554037999999997</v>
      </c>
      <c r="AB145" t="s">
        <v>2717</v>
      </c>
      <c r="AC145" t="s">
        <v>229</v>
      </c>
      <c r="AL145" t="s">
        <v>217</v>
      </c>
      <c r="AM145" t="s">
        <v>2718</v>
      </c>
      <c r="AN145" t="s">
        <v>6</v>
      </c>
      <c r="AO145" s="57">
        <v>46090.454791666663</v>
      </c>
      <c r="AP145" s="57">
        <v>46269.625</v>
      </c>
      <c r="AQ145" t="s">
        <v>2184</v>
      </c>
      <c r="AR145" t="s">
        <v>218</v>
      </c>
      <c r="AS145" t="s">
        <v>103</v>
      </c>
      <c r="AT145" t="s">
        <v>230</v>
      </c>
      <c r="AU145">
        <v>20260903</v>
      </c>
      <c r="AV145" t="s">
        <v>221</v>
      </c>
      <c r="AW145" t="s">
        <v>545</v>
      </c>
      <c r="AX145" t="s">
        <v>222</v>
      </c>
      <c r="BA145" s="57">
        <v>46269.625</v>
      </c>
      <c r="BB145" t="s">
        <v>2718</v>
      </c>
      <c r="BC145">
        <v>2026</v>
      </c>
      <c r="BD145">
        <v>9</v>
      </c>
      <c r="BE145">
        <v>3</v>
      </c>
      <c r="BF145" s="6">
        <f t="shared" si="6"/>
        <v>46268</v>
      </c>
      <c r="BG145">
        <f t="shared" si="7"/>
        <v>-1.625</v>
      </c>
      <c r="BH145" t="str">
        <f t="shared" si="8"/>
        <v>COMPLY</v>
      </c>
      <c r="BI145" t="str">
        <f>VLOOKUP(H145,Sheet2!$A$1:$B$270,2,FALSE)</f>
        <v>MOJOKERTO</v>
      </c>
    </row>
    <row r="146" spans="1:61">
      <c r="A146">
        <v>145</v>
      </c>
      <c r="B146">
        <v>1002568925</v>
      </c>
      <c r="C146">
        <v>3</v>
      </c>
      <c r="D146" t="s">
        <v>59</v>
      </c>
      <c r="E146">
        <v>4</v>
      </c>
      <c r="F146" t="s">
        <v>242</v>
      </c>
      <c r="G146" t="s">
        <v>242</v>
      </c>
      <c r="H146" t="s">
        <v>2486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46268.39439814815</v>
      </c>
      <c r="P146" s="57">
        <v>46268.624085648145</v>
      </c>
      <c r="Q146">
        <v>69382826</v>
      </c>
      <c r="S146">
        <v>146175114862</v>
      </c>
      <c r="T146" t="s">
        <v>2719</v>
      </c>
      <c r="U146" t="s">
        <v>2720</v>
      </c>
      <c r="V146" t="s">
        <v>2721</v>
      </c>
      <c r="Z146">
        <v>110.25091500000001</v>
      </c>
      <c r="AA146">
        <v>-7.5185459999999997</v>
      </c>
      <c r="AB146" t="s">
        <v>2722</v>
      </c>
      <c r="AC146" t="s">
        <v>236</v>
      </c>
      <c r="AL146" t="s">
        <v>217</v>
      </c>
      <c r="AM146" t="s">
        <v>2723</v>
      </c>
      <c r="AN146" t="s">
        <v>6</v>
      </c>
      <c r="AO146" s="57">
        <v>46090.402800925927</v>
      </c>
      <c r="AP146" s="57">
        <v>46269.333333333336</v>
      </c>
      <c r="AR146" t="s">
        <v>218</v>
      </c>
      <c r="AS146" t="s">
        <v>2491</v>
      </c>
      <c r="AT146" t="s">
        <v>230</v>
      </c>
      <c r="AU146">
        <v>20260903</v>
      </c>
      <c r="AV146" t="s">
        <v>221</v>
      </c>
      <c r="AW146" t="s">
        <v>886</v>
      </c>
      <c r="AX146" t="s">
        <v>222</v>
      </c>
      <c r="BA146" s="57">
        <v>46269.333333333336</v>
      </c>
      <c r="BB146" t="s">
        <v>2723</v>
      </c>
      <c r="BC146">
        <v>2026</v>
      </c>
      <c r="BD146">
        <v>9</v>
      </c>
      <c r="BE146">
        <v>3</v>
      </c>
      <c r="BF146" s="6">
        <f t="shared" si="6"/>
        <v>46268</v>
      </c>
      <c r="BG146">
        <f t="shared" si="7"/>
        <v>-1.3333333333357587</v>
      </c>
      <c r="BH146" t="str">
        <f t="shared" si="8"/>
        <v>COMPLY</v>
      </c>
      <c r="BI146" t="e">
        <f>VLOOKUP(H146,Sheet2!$A$1:$B$270,2,FALSE)</f>
        <v>#N/A</v>
      </c>
    </row>
    <row r="147" spans="1:61">
      <c r="A147">
        <v>146</v>
      </c>
      <c r="B147">
        <v>1002568919</v>
      </c>
      <c r="C147">
        <v>3</v>
      </c>
      <c r="D147" t="s">
        <v>59</v>
      </c>
      <c r="E147">
        <v>4</v>
      </c>
      <c r="F147" t="s">
        <v>223</v>
      </c>
      <c r="G147" t="s">
        <v>223</v>
      </c>
      <c r="H147" t="s">
        <v>827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46268.394675925927</v>
      </c>
      <c r="P147" s="57">
        <v>46268.655844907407</v>
      </c>
      <c r="Q147">
        <v>69378309</v>
      </c>
      <c r="S147">
        <v>146303629015</v>
      </c>
      <c r="T147" t="s">
        <v>2724</v>
      </c>
      <c r="U147" t="s">
        <v>2725</v>
      </c>
      <c r="V147" t="s">
        <v>2726</v>
      </c>
      <c r="Z147">
        <v>109.2554342</v>
      </c>
      <c r="AA147">
        <v>-7.4254781000000003</v>
      </c>
      <c r="AB147" t="s">
        <v>2727</v>
      </c>
      <c r="AC147" t="s">
        <v>284</v>
      </c>
      <c r="AL147" t="s">
        <v>217</v>
      </c>
      <c r="AM147" t="s">
        <v>2728</v>
      </c>
      <c r="AN147" t="s">
        <v>6</v>
      </c>
      <c r="AO147" s="57">
        <v>46090.402800925927</v>
      </c>
      <c r="AR147" t="s">
        <v>218</v>
      </c>
      <c r="AS147" t="s">
        <v>219</v>
      </c>
      <c r="AT147" t="s">
        <v>230</v>
      </c>
      <c r="AU147">
        <v>20260903</v>
      </c>
      <c r="AV147" t="s">
        <v>221</v>
      </c>
      <c r="AW147" t="s">
        <v>2729</v>
      </c>
      <c r="AX147" t="s">
        <v>222</v>
      </c>
      <c r="BA147" s="57">
        <v>46268.291666666664</v>
      </c>
      <c r="BB147" t="s">
        <v>2728</v>
      </c>
      <c r="BC147">
        <v>2026</v>
      </c>
      <c r="BD147">
        <v>9</v>
      </c>
      <c r="BE147">
        <v>3</v>
      </c>
      <c r="BF147" s="6">
        <f t="shared" si="6"/>
        <v>46268</v>
      </c>
      <c r="BG147">
        <f t="shared" si="7"/>
        <v>-0.29166666666424135</v>
      </c>
      <c r="BH147" t="str">
        <f t="shared" si="8"/>
        <v>COMPLY</v>
      </c>
      <c r="BI147" t="e">
        <f>VLOOKUP(H147,Sheet2!$A$1:$B$270,2,FALSE)</f>
        <v>#N/A</v>
      </c>
    </row>
    <row r="148" spans="1:61">
      <c r="A148">
        <v>147</v>
      </c>
      <c r="B148">
        <v>1002568730</v>
      </c>
      <c r="C148">
        <v>3</v>
      </c>
      <c r="D148" t="s">
        <v>59</v>
      </c>
      <c r="E148">
        <v>4</v>
      </c>
      <c r="F148" t="s">
        <v>549</v>
      </c>
      <c r="G148" t="s">
        <v>850</v>
      </c>
      <c r="H148" t="s">
        <v>851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46268.356909722221</v>
      </c>
      <c r="P148" s="57">
        <v>46268.562349537038</v>
      </c>
      <c r="Q148">
        <v>69382728</v>
      </c>
      <c r="S148">
        <v>143135115205</v>
      </c>
      <c r="T148" t="s">
        <v>2730</v>
      </c>
      <c r="U148" t="s">
        <v>2731</v>
      </c>
      <c r="V148" t="s">
        <v>2732</v>
      </c>
      <c r="Z148">
        <v>110.7119841</v>
      </c>
      <c r="AA148">
        <v>-7.9710396000000001</v>
      </c>
      <c r="AB148" t="s">
        <v>2733</v>
      </c>
      <c r="AC148" t="s">
        <v>236</v>
      </c>
      <c r="AL148" t="s">
        <v>217</v>
      </c>
      <c r="AM148" t="s">
        <v>2734</v>
      </c>
      <c r="AN148" t="s">
        <v>6</v>
      </c>
      <c r="AO148" s="57">
        <v>46090.361134259256</v>
      </c>
      <c r="AP148" s="57">
        <v>46269.333333333336</v>
      </c>
      <c r="AR148" t="s">
        <v>218</v>
      </c>
      <c r="AS148" t="s">
        <v>903</v>
      </c>
      <c r="AT148" t="s">
        <v>230</v>
      </c>
      <c r="AU148">
        <v>20260903</v>
      </c>
      <c r="AV148" t="s">
        <v>221</v>
      </c>
      <c r="AW148" t="s">
        <v>921</v>
      </c>
      <c r="AX148" t="s">
        <v>222</v>
      </c>
      <c r="BA148" s="57">
        <v>46269.333333333336</v>
      </c>
      <c r="BB148" t="s">
        <v>2734</v>
      </c>
      <c r="BC148">
        <v>2026</v>
      </c>
      <c r="BD148">
        <v>9</v>
      </c>
      <c r="BE148">
        <v>3</v>
      </c>
      <c r="BF148" s="6">
        <f t="shared" si="6"/>
        <v>46268</v>
      </c>
      <c r="BG148">
        <f t="shared" si="7"/>
        <v>-1.3333333333357587</v>
      </c>
      <c r="BH148" t="str">
        <f t="shared" si="8"/>
        <v>COMPLY</v>
      </c>
      <c r="BI148" t="e">
        <f>VLOOKUP(H148,Sheet2!$A$1:$B$270,2,FALSE)</f>
        <v>#N/A</v>
      </c>
    </row>
    <row r="149" spans="1:61">
      <c r="A149">
        <v>148</v>
      </c>
      <c r="B149">
        <v>1002568705</v>
      </c>
      <c r="C149">
        <v>3</v>
      </c>
      <c r="D149" t="s">
        <v>38</v>
      </c>
      <c r="E149">
        <v>5</v>
      </c>
      <c r="F149" t="s">
        <v>90</v>
      </c>
      <c r="G149" t="s">
        <v>90</v>
      </c>
      <c r="H149" t="s">
        <v>470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46268.352048611108</v>
      </c>
      <c r="P149" s="57">
        <v>46268.520486111112</v>
      </c>
      <c r="Q149">
        <v>69382699</v>
      </c>
      <c r="S149">
        <v>152625207545</v>
      </c>
      <c r="T149" t="s">
        <v>2735</v>
      </c>
      <c r="U149" t="s">
        <v>2736</v>
      </c>
      <c r="V149" t="s">
        <v>2737</v>
      </c>
      <c r="Z149">
        <v>112.137177921831</v>
      </c>
      <c r="AA149">
        <v>-7.8247138493008697</v>
      </c>
      <c r="AB149" t="s">
        <v>2738</v>
      </c>
      <c r="AC149" t="s">
        <v>216</v>
      </c>
      <c r="AL149" t="s">
        <v>217</v>
      </c>
      <c r="AM149" t="s">
        <v>2739</v>
      </c>
      <c r="AN149" t="s">
        <v>6</v>
      </c>
      <c r="AO149" s="57">
        <v>46090.361134259256</v>
      </c>
      <c r="AP149" s="57">
        <v>46269.333333333336</v>
      </c>
      <c r="AR149" t="s">
        <v>218</v>
      </c>
      <c r="AS149" t="s">
        <v>556</v>
      </c>
      <c r="AT149" t="s">
        <v>230</v>
      </c>
      <c r="AU149">
        <v>20260903</v>
      </c>
      <c r="AV149" t="s">
        <v>221</v>
      </c>
      <c r="AW149" t="s">
        <v>883</v>
      </c>
      <c r="AX149" t="s">
        <v>222</v>
      </c>
      <c r="BA149" s="57">
        <v>46269.333333333336</v>
      </c>
      <c r="BB149" t="s">
        <v>2739</v>
      </c>
      <c r="BC149">
        <v>2026</v>
      </c>
      <c r="BD149">
        <v>9</v>
      </c>
      <c r="BE149">
        <v>3</v>
      </c>
      <c r="BF149" s="6">
        <f t="shared" si="6"/>
        <v>46268</v>
      </c>
      <c r="BG149">
        <f t="shared" si="7"/>
        <v>-1.3333333333357587</v>
      </c>
      <c r="BH149" t="str">
        <f t="shared" si="8"/>
        <v>COMPLY</v>
      </c>
      <c r="BI149" t="str">
        <f>VLOOKUP(H149,Sheet2!$A$1:$B$270,2,FALSE)</f>
        <v>KEDIRI</v>
      </c>
    </row>
    <row r="150" spans="1:61">
      <c r="A150">
        <v>149</v>
      </c>
      <c r="B150">
        <v>1002569445</v>
      </c>
      <c r="C150">
        <v>3</v>
      </c>
      <c r="D150" t="s">
        <v>42</v>
      </c>
      <c r="E150">
        <v>5</v>
      </c>
      <c r="F150" t="s">
        <v>102</v>
      </c>
      <c r="G150" t="s">
        <v>99</v>
      </c>
      <c r="H150" t="s">
        <v>281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46268.486192129632</v>
      </c>
      <c r="P150" s="57">
        <v>46269.349074074074</v>
      </c>
      <c r="Q150">
        <v>69383008</v>
      </c>
      <c r="S150">
        <v>152519204342</v>
      </c>
      <c r="T150" t="s">
        <v>2740</v>
      </c>
      <c r="U150" t="s">
        <v>2741</v>
      </c>
      <c r="V150" t="s">
        <v>2742</v>
      </c>
      <c r="Z150">
        <v>114.1468156</v>
      </c>
      <c r="AA150">
        <v>-8.3672071999999993</v>
      </c>
      <c r="AB150" t="s">
        <v>2743</v>
      </c>
      <c r="AC150" t="s">
        <v>236</v>
      </c>
      <c r="AL150" t="s">
        <v>217</v>
      </c>
      <c r="AM150" t="s">
        <v>2744</v>
      </c>
      <c r="AN150" t="s">
        <v>6</v>
      </c>
      <c r="AO150" s="57">
        <v>46090.496493055558</v>
      </c>
      <c r="AP150" s="57">
        <v>46269.333333333336</v>
      </c>
      <c r="AR150" t="s">
        <v>218</v>
      </c>
      <c r="AS150" t="s">
        <v>568</v>
      </c>
      <c r="AT150" t="s">
        <v>230</v>
      </c>
      <c r="AU150">
        <v>20260904</v>
      </c>
      <c r="AV150" t="s">
        <v>221</v>
      </c>
      <c r="AW150" t="s">
        <v>886</v>
      </c>
      <c r="AX150" t="s">
        <v>222</v>
      </c>
      <c r="BA150" s="57">
        <v>46269.333333333336</v>
      </c>
      <c r="BB150" t="s">
        <v>2744</v>
      </c>
      <c r="BC150">
        <v>2026</v>
      </c>
      <c r="BD150">
        <v>9</v>
      </c>
      <c r="BE150">
        <v>4</v>
      </c>
      <c r="BF150" s="6">
        <f t="shared" si="6"/>
        <v>46269</v>
      </c>
      <c r="BG150">
        <f t="shared" si="7"/>
        <v>-0.33333333333575865</v>
      </c>
      <c r="BH150" t="str">
        <f t="shared" si="8"/>
        <v>COMPLY</v>
      </c>
      <c r="BI150" t="str">
        <f>VLOOKUP(H150,Sheet2!$A$1:$B$270,2,FALSE)</f>
        <v>BANYUWANGI</v>
      </c>
    </row>
    <row r="151" spans="1:61">
      <c r="A151">
        <v>150</v>
      </c>
      <c r="B151">
        <v>1002569485</v>
      </c>
      <c r="C151">
        <v>3</v>
      </c>
      <c r="D151" t="s">
        <v>59</v>
      </c>
      <c r="E151">
        <v>4</v>
      </c>
      <c r="F151" t="s">
        <v>242</v>
      </c>
      <c r="G151" t="s">
        <v>1544</v>
      </c>
      <c r="H151" t="s">
        <v>1545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46268.493101851855</v>
      </c>
      <c r="P151" s="57">
        <v>46268.591574074075</v>
      </c>
      <c r="Q151">
        <v>69377249</v>
      </c>
      <c r="S151">
        <v>141373127374</v>
      </c>
      <c r="T151" t="s">
        <v>2745</v>
      </c>
      <c r="U151" t="s">
        <v>2746</v>
      </c>
      <c r="V151" t="s">
        <v>2747</v>
      </c>
      <c r="Z151">
        <v>109.9118476</v>
      </c>
      <c r="AA151">
        <v>-7.2078765999999996</v>
      </c>
      <c r="AB151" t="s">
        <v>2748</v>
      </c>
      <c r="AC151" t="s">
        <v>284</v>
      </c>
      <c r="AL151" t="s">
        <v>217</v>
      </c>
      <c r="AM151" t="s">
        <v>2749</v>
      </c>
      <c r="AN151" t="s">
        <v>6</v>
      </c>
      <c r="AO151" s="57">
        <v>46090.496493055558</v>
      </c>
      <c r="AR151" t="s">
        <v>218</v>
      </c>
      <c r="AS151" t="s">
        <v>219</v>
      </c>
      <c r="AT151" t="s">
        <v>230</v>
      </c>
      <c r="AU151">
        <v>20260903</v>
      </c>
      <c r="AV151" t="s">
        <v>221</v>
      </c>
      <c r="AW151" t="s">
        <v>2750</v>
      </c>
      <c r="AX151" t="s">
        <v>222</v>
      </c>
      <c r="BA151" s="57">
        <v>46268.291666666664</v>
      </c>
      <c r="BB151" t="s">
        <v>2749</v>
      </c>
      <c r="BC151">
        <v>2026</v>
      </c>
      <c r="BD151">
        <v>9</v>
      </c>
      <c r="BE151">
        <v>3</v>
      </c>
      <c r="BF151" s="6">
        <f t="shared" si="6"/>
        <v>46268</v>
      </c>
      <c r="BG151">
        <f t="shared" si="7"/>
        <v>-0.29166666666424135</v>
      </c>
      <c r="BH151" t="str">
        <f t="shared" si="8"/>
        <v>COMPLY</v>
      </c>
      <c r="BI151" t="e">
        <f>VLOOKUP(H151,Sheet2!$A$1:$B$270,2,FALSE)</f>
        <v>#N/A</v>
      </c>
    </row>
    <row r="152" spans="1:61">
      <c r="A152">
        <v>151</v>
      </c>
      <c r="B152">
        <v>1002569307</v>
      </c>
      <c r="C152">
        <v>3</v>
      </c>
      <c r="D152" t="s">
        <v>49</v>
      </c>
      <c r="E152">
        <v>4</v>
      </c>
      <c r="F152" t="s">
        <v>245</v>
      </c>
      <c r="G152" t="s">
        <v>246</v>
      </c>
      <c r="H152" t="s">
        <v>1959</v>
      </c>
      <c r="I152" t="s">
        <v>212</v>
      </c>
      <c r="J152" t="s">
        <v>213</v>
      </c>
      <c r="K152" t="s">
        <v>149</v>
      </c>
      <c r="M152" t="s">
        <v>76</v>
      </c>
      <c r="N152" t="s">
        <v>215</v>
      </c>
      <c r="O152" s="57">
        <v>46268.465694444443</v>
      </c>
      <c r="P152" s="57">
        <v>46268.506342592591</v>
      </c>
      <c r="Q152">
        <v>69378879</v>
      </c>
      <c r="S152">
        <v>142426803290</v>
      </c>
      <c r="T152" t="s">
        <v>2751</v>
      </c>
      <c r="U152" t="s">
        <v>2752</v>
      </c>
      <c r="V152" t="s">
        <v>2753</v>
      </c>
      <c r="Z152">
        <v>110.31925200000001</v>
      </c>
      <c r="AA152">
        <v>-7.0226050000000004</v>
      </c>
      <c r="AB152" t="s">
        <v>2754</v>
      </c>
      <c r="AC152" t="s">
        <v>225</v>
      </c>
      <c r="AL152" t="s">
        <v>217</v>
      </c>
      <c r="AM152" t="s">
        <v>2755</v>
      </c>
      <c r="AN152" t="s">
        <v>6</v>
      </c>
      <c r="AO152" s="57">
        <v>46090.475925925923</v>
      </c>
      <c r="AR152" t="s">
        <v>218</v>
      </c>
      <c r="AS152" t="s">
        <v>1965</v>
      </c>
      <c r="AT152" t="s">
        <v>230</v>
      </c>
      <c r="AU152">
        <v>20260903</v>
      </c>
      <c r="AV152" t="s">
        <v>221</v>
      </c>
      <c r="AW152" t="s">
        <v>544</v>
      </c>
      <c r="AX152" t="s">
        <v>222</v>
      </c>
      <c r="BA152" s="57">
        <v>46268.291666666664</v>
      </c>
      <c r="BB152" t="s">
        <v>2755</v>
      </c>
      <c r="BC152">
        <v>2026</v>
      </c>
      <c r="BD152">
        <v>9</v>
      </c>
      <c r="BE152">
        <v>3</v>
      </c>
      <c r="BF152" s="6">
        <f t="shared" si="6"/>
        <v>46268</v>
      </c>
      <c r="BG152">
        <f t="shared" si="7"/>
        <v>-0.29166666666424135</v>
      </c>
      <c r="BH152" t="str">
        <f t="shared" si="8"/>
        <v>COMPLY</v>
      </c>
      <c r="BI152" t="e">
        <f>VLOOKUP(H152,Sheet2!$A$1:$B$270,2,FALSE)</f>
        <v>#N/A</v>
      </c>
    </row>
    <row r="153" spans="1:61">
      <c r="A153">
        <v>152</v>
      </c>
      <c r="B153">
        <v>1002570225</v>
      </c>
      <c r="C153">
        <v>3</v>
      </c>
      <c r="D153" t="s">
        <v>45</v>
      </c>
      <c r="E153">
        <v>5</v>
      </c>
      <c r="F153" t="s">
        <v>210</v>
      </c>
      <c r="G153" t="s">
        <v>118</v>
      </c>
      <c r="H153" t="s">
        <v>478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46268.647719907407</v>
      </c>
      <c r="P153" s="57">
        <v>46268.799305555556</v>
      </c>
      <c r="Q153">
        <v>69367383</v>
      </c>
      <c r="S153">
        <v>172607203857</v>
      </c>
      <c r="T153" t="s">
        <v>2756</v>
      </c>
      <c r="U153" t="s">
        <v>2757</v>
      </c>
      <c r="V153" t="s">
        <v>2758</v>
      </c>
      <c r="Z153">
        <v>116.9409467</v>
      </c>
      <c r="AA153">
        <v>-8.5214402000000007</v>
      </c>
      <c r="AB153" t="s">
        <v>2759</v>
      </c>
      <c r="AC153" t="s">
        <v>216</v>
      </c>
      <c r="AL153" t="s">
        <v>217</v>
      </c>
      <c r="AM153" t="s">
        <v>2760</v>
      </c>
      <c r="AN153" t="s">
        <v>6</v>
      </c>
      <c r="AO153" s="57">
        <v>46090.652951388889</v>
      </c>
      <c r="AR153" t="s">
        <v>218</v>
      </c>
      <c r="AS153" t="s">
        <v>902</v>
      </c>
      <c r="AT153" t="s">
        <v>230</v>
      </c>
      <c r="AU153">
        <v>20260903</v>
      </c>
      <c r="AV153" t="s">
        <v>221</v>
      </c>
      <c r="AW153" t="s">
        <v>545</v>
      </c>
      <c r="AX153" t="s">
        <v>222</v>
      </c>
      <c r="BA153" s="57">
        <v>46268.291666666664</v>
      </c>
      <c r="BB153" t="s">
        <v>2760</v>
      </c>
      <c r="BC153">
        <v>2026</v>
      </c>
      <c r="BD153">
        <v>9</v>
      </c>
      <c r="BE153">
        <v>3</v>
      </c>
      <c r="BF153" s="6">
        <f t="shared" si="6"/>
        <v>46268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SUMBAWA</v>
      </c>
    </row>
    <row r="154" spans="1:61">
      <c r="A154">
        <v>153</v>
      </c>
      <c r="B154">
        <v>1002570194</v>
      </c>
      <c r="C154">
        <v>3</v>
      </c>
      <c r="D154" t="s">
        <v>38</v>
      </c>
      <c r="E154">
        <v>5</v>
      </c>
      <c r="F154" t="s">
        <v>90</v>
      </c>
      <c r="G154" t="s">
        <v>93</v>
      </c>
      <c r="H154" t="s">
        <v>381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46268.642314814817</v>
      </c>
      <c r="P154" s="57">
        <v>46269.441145833334</v>
      </c>
      <c r="Q154">
        <v>69383307</v>
      </c>
      <c r="S154">
        <v>152615203389</v>
      </c>
      <c r="T154" t="s">
        <v>2761</v>
      </c>
      <c r="U154" t="s">
        <v>2762</v>
      </c>
      <c r="V154" t="s">
        <v>2763</v>
      </c>
      <c r="Z154">
        <v>112.111769</v>
      </c>
      <c r="AA154">
        <v>-7.5733870000000003</v>
      </c>
      <c r="AB154" t="s">
        <v>2764</v>
      </c>
      <c r="AC154" t="s">
        <v>236</v>
      </c>
      <c r="AL154" t="s">
        <v>217</v>
      </c>
      <c r="AM154" t="s">
        <v>2765</v>
      </c>
      <c r="AN154" t="s">
        <v>6</v>
      </c>
      <c r="AO154" s="57">
        <v>46090.652951388889</v>
      </c>
      <c r="AP154" s="57">
        <v>46269.541666666664</v>
      </c>
      <c r="AR154" t="s">
        <v>218</v>
      </c>
      <c r="AS154" t="s">
        <v>589</v>
      </c>
      <c r="AT154" t="s">
        <v>230</v>
      </c>
      <c r="AU154">
        <v>20260904</v>
      </c>
      <c r="AV154" t="s">
        <v>221</v>
      </c>
      <c r="AW154" t="s">
        <v>888</v>
      </c>
      <c r="AX154" t="s">
        <v>222</v>
      </c>
      <c r="BA154" s="57">
        <v>46269.541666666664</v>
      </c>
      <c r="BB154" t="s">
        <v>2765</v>
      </c>
      <c r="BC154">
        <v>2026</v>
      </c>
      <c r="BD154">
        <v>9</v>
      </c>
      <c r="BE154">
        <v>4</v>
      </c>
      <c r="BF154" s="6">
        <f t="shared" si="6"/>
        <v>46269</v>
      </c>
      <c r="BG154">
        <f t="shared" si="7"/>
        <v>-0.54166666666424135</v>
      </c>
      <c r="BH154" t="str">
        <f t="shared" si="8"/>
        <v>COMPLY</v>
      </c>
      <c r="BI154" t="str">
        <f>VLOOKUP(H154,Sheet2!$A$1:$B$270,2,FALSE)</f>
        <v>NGANJUK</v>
      </c>
    </row>
    <row r="155" spans="1:61">
      <c r="A155">
        <v>154</v>
      </c>
      <c r="B155">
        <v>1002570218</v>
      </c>
      <c r="C155">
        <v>3</v>
      </c>
      <c r="D155" t="s">
        <v>51</v>
      </c>
      <c r="E155">
        <v>4</v>
      </c>
      <c r="F155" t="s">
        <v>234</v>
      </c>
      <c r="G155" t="s">
        <v>1769</v>
      </c>
      <c r="H155" t="s">
        <v>2766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46268.645798611113</v>
      </c>
      <c r="P155" s="57">
        <v>46268.874143518522</v>
      </c>
      <c r="Q155">
        <v>69383329</v>
      </c>
      <c r="S155">
        <v>143592109526</v>
      </c>
      <c r="T155" t="s">
        <v>2767</v>
      </c>
      <c r="U155" t="s">
        <v>2768</v>
      </c>
      <c r="V155" t="s">
        <v>2769</v>
      </c>
      <c r="Z155">
        <v>110.67418410000001</v>
      </c>
      <c r="AA155">
        <v>-7.6588589999999996</v>
      </c>
      <c r="AB155" t="s">
        <v>2770</v>
      </c>
      <c r="AC155" t="s">
        <v>236</v>
      </c>
      <c r="AL155" t="s">
        <v>217</v>
      </c>
      <c r="AM155" t="s">
        <v>2771</v>
      </c>
      <c r="AN155" t="s">
        <v>6</v>
      </c>
      <c r="AO155" s="57">
        <v>46090.652951388889</v>
      </c>
      <c r="AP155" s="57">
        <v>46269.541666666664</v>
      </c>
      <c r="AR155" t="s">
        <v>218</v>
      </c>
      <c r="AS155" t="s">
        <v>2772</v>
      </c>
      <c r="AT155" t="s">
        <v>230</v>
      </c>
      <c r="AU155">
        <v>20260903</v>
      </c>
      <c r="AV155" t="s">
        <v>221</v>
      </c>
      <c r="AW155" t="s">
        <v>882</v>
      </c>
      <c r="AX155" t="s">
        <v>222</v>
      </c>
      <c r="BA155" s="57">
        <v>46269.541666666664</v>
      </c>
      <c r="BB155" t="s">
        <v>2771</v>
      </c>
      <c r="BC155">
        <v>2026</v>
      </c>
      <c r="BD155">
        <v>9</v>
      </c>
      <c r="BE155">
        <v>3</v>
      </c>
      <c r="BF155" s="6">
        <f t="shared" si="6"/>
        <v>46268</v>
      </c>
      <c r="BG155">
        <f t="shared" si="7"/>
        <v>-1.5416666666642413</v>
      </c>
      <c r="BH155" t="str">
        <f t="shared" si="8"/>
        <v>COMPLY</v>
      </c>
      <c r="BI155" t="e">
        <f>VLOOKUP(H155,Sheet2!$A$1:$B$270,2,FALSE)</f>
        <v>#N/A</v>
      </c>
    </row>
    <row r="156" spans="1:61">
      <c r="A156">
        <v>155</v>
      </c>
      <c r="B156">
        <v>1002570108</v>
      </c>
      <c r="C156">
        <v>3</v>
      </c>
      <c r="D156" t="s">
        <v>38</v>
      </c>
      <c r="E156">
        <v>5</v>
      </c>
      <c r="F156" t="s">
        <v>90</v>
      </c>
      <c r="G156" t="s">
        <v>90</v>
      </c>
      <c r="H156" t="s">
        <v>409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46268.624583333331</v>
      </c>
      <c r="P156" s="57">
        <v>46268.732511574075</v>
      </c>
      <c r="Q156">
        <v>69379989</v>
      </c>
      <c r="S156">
        <v>152610241455</v>
      </c>
      <c r="T156" t="s">
        <v>2773</v>
      </c>
      <c r="U156" t="s">
        <v>2774</v>
      </c>
      <c r="V156" t="s">
        <v>2775</v>
      </c>
      <c r="Z156">
        <v>112.016766</v>
      </c>
      <c r="AA156">
        <v>-7.7785650000000004</v>
      </c>
      <c r="AB156" t="s">
        <v>2776</v>
      </c>
      <c r="AC156" t="s">
        <v>216</v>
      </c>
      <c r="AL156" t="s">
        <v>217</v>
      </c>
      <c r="AM156" t="s">
        <v>1476</v>
      </c>
      <c r="AN156" t="s">
        <v>6</v>
      </c>
      <c r="AO156" s="57">
        <v>46090.64261574074</v>
      </c>
      <c r="AR156" t="s">
        <v>218</v>
      </c>
      <c r="AS156" t="s">
        <v>219</v>
      </c>
      <c r="AT156" t="s">
        <v>230</v>
      </c>
      <c r="AU156">
        <v>20260903</v>
      </c>
      <c r="AV156" t="s">
        <v>221</v>
      </c>
      <c r="AW156" t="s">
        <v>578</v>
      </c>
      <c r="AX156" t="s">
        <v>222</v>
      </c>
      <c r="BA156" s="57">
        <v>46268.291666666664</v>
      </c>
      <c r="BB156" t="s">
        <v>1476</v>
      </c>
      <c r="BC156">
        <v>2026</v>
      </c>
      <c r="BD156">
        <v>9</v>
      </c>
      <c r="BE156">
        <v>3</v>
      </c>
      <c r="BF156" s="6">
        <f t="shared" si="6"/>
        <v>46268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KEDIRI</v>
      </c>
    </row>
    <row r="157" spans="1:61">
      <c r="A157">
        <v>156</v>
      </c>
      <c r="B157">
        <v>1002569284</v>
      </c>
      <c r="C157">
        <v>3</v>
      </c>
      <c r="D157" t="s">
        <v>42</v>
      </c>
      <c r="E157">
        <v>5</v>
      </c>
      <c r="F157" t="s">
        <v>232</v>
      </c>
      <c r="G157" t="s">
        <v>103</v>
      </c>
      <c r="H157" t="s">
        <v>391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46268.459004629629</v>
      </c>
      <c r="P157" s="57">
        <v>46268.731238425928</v>
      </c>
      <c r="Q157">
        <v>69382953</v>
      </c>
      <c r="S157">
        <v>152318242569</v>
      </c>
      <c r="T157" t="s">
        <v>2714</v>
      </c>
      <c r="U157" t="s">
        <v>2715</v>
      </c>
      <c r="V157" t="s">
        <v>2777</v>
      </c>
      <c r="Z157">
        <v>112.2247893</v>
      </c>
      <c r="AA157">
        <v>-7.5554037999999997</v>
      </c>
      <c r="AB157" t="s">
        <v>2778</v>
      </c>
      <c r="AC157" t="s">
        <v>229</v>
      </c>
      <c r="AL157" t="s">
        <v>217</v>
      </c>
      <c r="AM157" t="s">
        <v>2779</v>
      </c>
      <c r="AN157" t="s">
        <v>6</v>
      </c>
      <c r="AO157" s="57">
        <v>46090.465405092589</v>
      </c>
      <c r="AP157" s="57">
        <v>46269.625</v>
      </c>
      <c r="AR157" t="s">
        <v>218</v>
      </c>
      <c r="AS157" t="s">
        <v>103</v>
      </c>
      <c r="AT157" t="s">
        <v>230</v>
      </c>
      <c r="AU157">
        <v>20260903</v>
      </c>
      <c r="AV157" t="s">
        <v>221</v>
      </c>
      <c r="AW157" t="s">
        <v>2780</v>
      </c>
      <c r="AX157" t="s">
        <v>222</v>
      </c>
      <c r="BA157" s="57">
        <v>46269.625</v>
      </c>
      <c r="BB157" t="s">
        <v>2779</v>
      </c>
      <c r="BC157">
        <v>2026</v>
      </c>
      <c r="BD157">
        <v>9</v>
      </c>
      <c r="BE157">
        <v>3</v>
      </c>
      <c r="BF157" s="6">
        <f t="shared" si="6"/>
        <v>46268</v>
      </c>
      <c r="BG157">
        <f t="shared" si="7"/>
        <v>-1.625</v>
      </c>
      <c r="BH157" t="str">
        <f t="shared" si="8"/>
        <v>COMPLY</v>
      </c>
      <c r="BI157" t="str">
        <f>VLOOKUP(H157,Sheet2!$A$1:$B$270,2,FALSE)</f>
        <v>MOJOKERTO</v>
      </c>
    </row>
    <row r="158" spans="1:61">
      <c r="A158">
        <v>157</v>
      </c>
      <c r="B158">
        <v>1002569315</v>
      </c>
      <c r="C158">
        <v>3</v>
      </c>
      <c r="D158" t="s">
        <v>55</v>
      </c>
      <c r="E158">
        <v>5</v>
      </c>
      <c r="F158" t="s">
        <v>261</v>
      </c>
      <c r="G158" t="s">
        <v>125</v>
      </c>
      <c r="H158" t="s">
        <v>325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46268.464722222219</v>
      </c>
      <c r="P158" s="57">
        <v>46268.559351851851</v>
      </c>
      <c r="Q158">
        <v>69381406</v>
      </c>
      <c r="S158">
        <v>152441211657</v>
      </c>
      <c r="T158" t="s">
        <v>1381</v>
      </c>
      <c r="U158" t="s">
        <v>2781</v>
      </c>
      <c r="V158" t="s">
        <v>2782</v>
      </c>
      <c r="Z158">
        <v>112.12163700000001</v>
      </c>
      <c r="AA158">
        <v>-7.350047</v>
      </c>
      <c r="AB158" t="s">
        <v>1384</v>
      </c>
      <c r="AC158" t="s">
        <v>216</v>
      </c>
      <c r="AL158" t="s">
        <v>217</v>
      </c>
      <c r="AM158" t="s">
        <v>2783</v>
      </c>
      <c r="AN158" t="s">
        <v>6</v>
      </c>
      <c r="AO158" s="57">
        <v>46090.465405092589</v>
      </c>
      <c r="AR158" t="s">
        <v>218</v>
      </c>
      <c r="AS158" t="s">
        <v>219</v>
      </c>
      <c r="AT158" t="s">
        <v>230</v>
      </c>
      <c r="AU158">
        <v>20260903</v>
      </c>
      <c r="AV158" t="s">
        <v>221</v>
      </c>
      <c r="AW158" t="s">
        <v>546</v>
      </c>
      <c r="AX158" t="s">
        <v>222</v>
      </c>
      <c r="BA158" s="57">
        <v>46268.291666666664</v>
      </c>
      <c r="BB158" t="s">
        <v>2783</v>
      </c>
      <c r="BC158">
        <v>2026</v>
      </c>
      <c r="BD158">
        <v>9</v>
      </c>
      <c r="BE158">
        <v>3</v>
      </c>
      <c r="BF158" s="6">
        <f t="shared" si="6"/>
        <v>46268</v>
      </c>
      <c r="BG158">
        <f t="shared" si="7"/>
        <v>-0.29166666666424135</v>
      </c>
      <c r="BH158" t="str">
        <f t="shared" si="8"/>
        <v>COMPLY</v>
      </c>
      <c r="BI158" t="str">
        <f>VLOOKUP(H158,Sheet2!$A$1:$B$270,2,FALSE)</f>
        <v>GRESIK</v>
      </c>
    </row>
    <row r="159" spans="1:61">
      <c r="A159">
        <v>158</v>
      </c>
      <c r="B159">
        <v>1002570546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211</v>
      </c>
      <c r="I159" t="s">
        <v>212</v>
      </c>
      <c r="J159" t="s">
        <v>213</v>
      </c>
      <c r="K159" t="s">
        <v>149</v>
      </c>
      <c r="M159" t="s">
        <v>76</v>
      </c>
      <c r="N159" t="s">
        <v>215</v>
      </c>
      <c r="O159" s="57">
        <v>46268.706585648149</v>
      </c>
      <c r="P159" s="57">
        <v>46268.773738425924</v>
      </c>
      <c r="Q159">
        <v>69379830</v>
      </c>
      <c r="S159">
        <v>172606792390</v>
      </c>
      <c r="T159" t="s">
        <v>2784</v>
      </c>
      <c r="U159" t="s">
        <v>2785</v>
      </c>
      <c r="V159" t="s">
        <v>2786</v>
      </c>
      <c r="Z159">
        <v>117.421638356881</v>
      </c>
      <c r="AA159">
        <v>-8.4951726080101899</v>
      </c>
      <c r="AB159" t="s">
        <v>2787</v>
      </c>
      <c r="AC159" t="s">
        <v>216</v>
      </c>
      <c r="AL159" t="s">
        <v>217</v>
      </c>
      <c r="AM159" t="s">
        <v>2788</v>
      </c>
      <c r="AN159" t="s">
        <v>6</v>
      </c>
      <c r="AO159" s="57">
        <v>46090.715532407405</v>
      </c>
      <c r="AR159" t="s">
        <v>218</v>
      </c>
      <c r="AS159" t="s">
        <v>219</v>
      </c>
      <c r="AT159" t="s">
        <v>344</v>
      </c>
      <c r="AU159">
        <v>20260903</v>
      </c>
      <c r="AV159" t="s">
        <v>221</v>
      </c>
      <c r="AW159" t="s">
        <v>545</v>
      </c>
      <c r="AX159" t="s">
        <v>222</v>
      </c>
      <c r="BA159" s="57">
        <v>46268.291666666664</v>
      </c>
      <c r="BB159" t="s">
        <v>2788</v>
      </c>
      <c r="BC159">
        <v>2026</v>
      </c>
      <c r="BD159">
        <v>9</v>
      </c>
      <c r="BE159">
        <v>3</v>
      </c>
      <c r="BF159" s="6">
        <f t="shared" si="6"/>
        <v>46268</v>
      </c>
      <c r="BG159">
        <f t="shared" si="7"/>
        <v>-0.29166666666424135</v>
      </c>
      <c r="BH159" t="str">
        <f t="shared" si="8"/>
        <v>COMPLY</v>
      </c>
      <c r="BI159" t="str">
        <f>VLOOKUP(H159,Sheet2!$A$1:$B$270,2,FALSE)</f>
        <v>SUMBAWA</v>
      </c>
    </row>
    <row r="160" spans="1:61">
      <c r="A160">
        <v>159</v>
      </c>
      <c r="B160">
        <v>1002569427</v>
      </c>
      <c r="C160">
        <v>3</v>
      </c>
      <c r="D160" t="s">
        <v>51</v>
      </c>
      <c r="E160">
        <v>4</v>
      </c>
      <c r="F160" t="s">
        <v>269</v>
      </c>
      <c r="G160" t="s">
        <v>823</v>
      </c>
      <c r="H160" t="s">
        <v>849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46268.484664351854</v>
      </c>
      <c r="P160" s="57">
        <v>46268.564085648148</v>
      </c>
      <c r="Q160">
        <v>69380240</v>
      </c>
      <c r="S160">
        <v>142507105454</v>
      </c>
      <c r="T160" t="s">
        <v>2789</v>
      </c>
      <c r="U160" t="s">
        <v>2790</v>
      </c>
      <c r="V160" t="s">
        <v>2791</v>
      </c>
      <c r="Z160">
        <v>110.767030123219</v>
      </c>
      <c r="AA160">
        <v>-6.5239387834940601</v>
      </c>
      <c r="AB160" t="s">
        <v>2792</v>
      </c>
      <c r="AC160" t="s">
        <v>284</v>
      </c>
      <c r="AL160" t="s">
        <v>217</v>
      </c>
      <c r="AM160" t="s">
        <v>2793</v>
      </c>
      <c r="AN160" t="s">
        <v>6</v>
      </c>
      <c r="AO160" s="57">
        <v>46090.486041666663</v>
      </c>
      <c r="AR160" t="s">
        <v>218</v>
      </c>
      <c r="AS160" t="s">
        <v>219</v>
      </c>
      <c r="AT160" t="s">
        <v>230</v>
      </c>
      <c r="AU160">
        <v>20260903</v>
      </c>
      <c r="AV160" t="s">
        <v>221</v>
      </c>
      <c r="AW160" t="s">
        <v>2794</v>
      </c>
      <c r="AX160" t="s">
        <v>222</v>
      </c>
      <c r="BA160" s="57">
        <v>46268.291666666664</v>
      </c>
      <c r="BB160" t="s">
        <v>2793</v>
      </c>
      <c r="BC160">
        <v>2026</v>
      </c>
      <c r="BD160">
        <v>9</v>
      </c>
      <c r="BE160">
        <v>3</v>
      </c>
      <c r="BF160" s="6">
        <f t="shared" si="6"/>
        <v>46268</v>
      </c>
      <c r="BG160">
        <f t="shared" si="7"/>
        <v>-0.29166666666424135</v>
      </c>
      <c r="BH160" t="str">
        <f t="shared" si="8"/>
        <v>COMPLY</v>
      </c>
      <c r="BI160" t="e">
        <f>VLOOKUP(H160,Sheet2!$A$1:$B$270,2,FALSE)</f>
        <v>#N/A</v>
      </c>
    </row>
    <row r="161" spans="1:61">
      <c r="A161">
        <v>160</v>
      </c>
      <c r="B161">
        <v>1002569416</v>
      </c>
      <c r="C161">
        <v>3</v>
      </c>
      <c r="D161" t="s">
        <v>55</v>
      </c>
      <c r="E161">
        <v>5</v>
      </c>
      <c r="F161" t="s">
        <v>307</v>
      </c>
      <c r="G161" t="s">
        <v>126</v>
      </c>
      <c r="H161" t="s">
        <v>308</v>
      </c>
      <c r="I161" t="s">
        <v>212</v>
      </c>
      <c r="J161" t="s">
        <v>213</v>
      </c>
      <c r="K161" t="s">
        <v>149</v>
      </c>
      <c r="M161" t="s">
        <v>76</v>
      </c>
      <c r="N161" t="s">
        <v>215</v>
      </c>
      <c r="O161" s="57">
        <v>46268.482986111114</v>
      </c>
      <c r="P161" s="57">
        <v>46268.57603009259</v>
      </c>
      <c r="Q161">
        <v>69382627</v>
      </c>
      <c r="S161">
        <v>152320246369</v>
      </c>
      <c r="T161" t="s">
        <v>1557</v>
      </c>
      <c r="U161" t="s">
        <v>2795</v>
      </c>
      <c r="V161" t="s">
        <v>2796</v>
      </c>
      <c r="Z161">
        <v>112.75920000000001</v>
      </c>
      <c r="AA161">
        <v>-7.2641</v>
      </c>
      <c r="AB161" t="s">
        <v>1560</v>
      </c>
      <c r="AC161" t="s">
        <v>216</v>
      </c>
      <c r="AL161" t="s">
        <v>217</v>
      </c>
      <c r="AM161" t="s">
        <v>2797</v>
      </c>
      <c r="AN161" t="s">
        <v>6</v>
      </c>
      <c r="AO161" s="57">
        <v>46090.486041666663</v>
      </c>
      <c r="AR161" t="s">
        <v>218</v>
      </c>
      <c r="AS161" t="s">
        <v>907</v>
      </c>
      <c r="AT161" t="s">
        <v>230</v>
      </c>
      <c r="AU161">
        <v>20260903</v>
      </c>
      <c r="AV161" t="s">
        <v>221</v>
      </c>
      <c r="AW161" t="s">
        <v>560</v>
      </c>
      <c r="AX161" t="s">
        <v>222</v>
      </c>
      <c r="BA161" s="57">
        <v>46268.291666666664</v>
      </c>
      <c r="BB161" t="s">
        <v>2797</v>
      </c>
      <c r="BC161">
        <v>2026</v>
      </c>
      <c r="BD161">
        <v>9</v>
      </c>
      <c r="BE161">
        <v>3</v>
      </c>
      <c r="BF161" s="6">
        <f t="shared" si="6"/>
        <v>46268</v>
      </c>
      <c r="BG161">
        <f t="shared" si="7"/>
        <v>-0.29166666666424135</v>
      </c>
      <c r="BH161" t="str">
        <f t="shared" si="8"/>
        <v>COMPLY</v>
      </c>
      <c r="BI161" t="str">
        <f>VLOOKUP(H161,Sheet2!$A$1:$B$270,2,FALSE)</f>
        <v>SURABAYA SELATAN</v>
      </c>
    </row>
    <row r="162" spans="1:61">
      <c r="A162">
        <v>161</v>
      </c>
      <c r="B162">
        <v>1002568830</v>
      </c>
      <c r="C162">
        <v>3</v>
      </c>
      <c r="D162" t="s">
        <v>34</v>
      </c>
      <c r="E162">
        <v>5</v>
      </c>
      <c r="F162" t="s">
        <v>563</v>
      </c>
      <c r="G162" t="s">
        <v>86</v>
      </c>
      <c r="H162" t="s">
        <v>416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46268.379988425928</v>
      </c>
      <c r="P162" s="57">
        <v>46269.422268518516</v>
      </c>
      <c r="Q162">
        <v>69380629</v>
      </c>
      <c r="S162">
        <v>172419207272</v>
      </c>
      <c r="T162" t="s">
        <v>1996</v>
      </c>
      <c r="U162" t="s">
        <v>2688</v>
      </c>
      <c r="V162" t="s">
        <v>2798</v>
      </c>
      <c r="Z162">
        <v>115.197194541104</v>
      </c>
      <c r="AA162">
        <v>-8.6606507128151495</v>
      </c>
      <c r="AB162" t="s">
        <v>2799</v>
      </c>
      <c r="AC162" t="s">
        <v>229</v>
      </c>
      <c r="AL162" t="s">
        <v>217</v>
      </c>
      <c r="AM162" t="s">
        <v>2800</v>
      </c>
      <c r="AN162" t="s">
        <v>6</v>
      </c>
      <c r="AO162" s="57">
        <v>46090.382060185184</v>
      </c>
      <c r="AR162" t="s">
        <v>218</v>
      </c>
      <c r="AS162" t="s">
        <v>817</v>
      </c>
      <c r="AT162" t="s">
        <v>230</v>
      </c>
      <c r="AU162">
        <v>20260904</v>
      </c>
      <c r="AV162" t="s">
        <v>221</v>
      </c>
      <c r="AW162" t="s">
        <v>571</v>
      </c>
      <c r="AX162" t="s">
        <v>222</v>
      </c>
      <c r="BA162" s="57">
        <v>46268.291666666664</v>
      </c>
      <c r="BB162" t="s">
        <v>2800</v>
      </c>
      <c r="BC162">
        <v>2026</v>
      </c>
      <c r="BD162">
        <v>9</v>
      </c>
      <c r="BE162">
        <v>4</v>
      </c>
      <c r="BF162" s="6">
        <f t="shared" si="6"/>
        <v>46269</v>
      </c>
      <c r="BG162">
        <f t="shared" si="7"/>
        <v>0.70833333333575865</v>
      </c>
      <c r="BH162" t="str">
        <f t="shared" si="8"/>
        <v>COMPLY</v>
      </c>
      <c r="BI162" t="str">
        <f>VLOOKUP(H162,Sheet2!$A$1:$B$270,2,FALSE)</f>
        <v>UBUNG</v>
      </c>
    </row>
    <row r="163" spans="1:61">
      <c r="A163">
        <v>162</v>
      </c>
      <c r="B163">
        <v>1002570507</v>
      </c>
      <c r="C163">
        <v>3</v>
      </c>
      <c r="D163" t="s">
        <v>45</v>
      </c>
      <c r="E163">
        <v>5</v>
      </c>
      <c r="F163" t="s">
        <v>210</v>
      </c>
      <c r="G163" t="s">
        <v>116</v>
      </c>
      <c r="H163" t="s">
        <v>268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46268.697025462963</v>
      </c>
      <c r="P163" s="57">
        <v>46268.755590277775</v>
      </c>
      <c r="Q163">
        <v>69376746</v>
      </c>
      <c r="S163">
        <v>172604214283</v>
      </c>
      <c r="T163" t="s">
        <v>2801</v>
      </c>
      <c r="U163" t="s">
        <v>2802</v>
      </c>
      <c r="V163" t="s">
        <v>2803</v>
      </c>
      <c r="Z163">
        <v>116.0436</v>
      </c>
      <c r="AA163">
        <v>-8.3533000000000008</v>
      </c>
      <c r="AB163" t="s">
        <v>2804</v>
      </c>
      <c r="AC163" t="s">
        <v>216</v>
      </c>
      <c r="AL163" t="s">
        <v>217</v>
      </c>
      <c r="AM163" t="s">
        <v>2805</v>
      </c>
      <c r="AN163" t="s">
        <v>6</v>
      </c>
      <c r="AO163" s="57">
        <v>46090.704918981479</v>
      </c>
      <c r="AR163" t="s">
        <v>218</v>
      </c>
      <c r="AS163" t="s">
        <v>912</v>
      </c>
      <c r="AT163" t="s">
        <v>220</v>
      </c>
      <c r="AU163">
        <v>20260903</v>
      </c>
      <c r="AV163" t="s">
        <v>221</v>
      </c>
      <c r="AW163" t="s">
        <v>598</v>
      </c>
      <c r="AX163" t="s">
        <v>222</v>
      </c>
      <c r="BA163" s="57">
        <v>46268.291666666664</v>
      </c>
      <c r="BB163" t="s">
        <v>2805</v>
      </c>
      <c r="BC163">
        <v>2026</v>
      </c>
      <c r="BD163">
        <v>9</v>
      </c>
      <c r="BE163">
        <v>3</v>
      </c>
      <c r="BF163" s="6">
        <f t="shared" si="6"/>
        <v>46268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SELONG</v>
      </c>
    </row>
    <row r="164" spans="1:61">
      <c r="A164">
        <v>163</v>
      </c>
      <c r="B164">
        <v>1002569412</v>
      </c>
      <c r="C164">
        <v>3</v>
      </c>
      <c r="D164" t="s">
        <v>38</v>
      </c>
      <c r="E164">
        <v>5</v>
      </c>
      <c r="F164" t="s">
        <v>92</v>
      </c>
      <c r="G164" t="s">
        <v>95</v>
      </c>
      <c r="H164" t="s">
        <v>244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46268.481203703705</v>
      </c>
      <c r="P164" s="57">
        <v>46268.733969907407</v>
      </c>
      <c r="Q164">
        <v>69382981</v>
      </c>
      <c r="S164">
        <v>152604231108</v>
      </c>
      <c r="T164" t="s">
        <v>2806</v>
      </c>
      <c r="U164" t="s">
        <v>2807</v>
      </c>
      <c r="V164" t="s">
        <v>2808</v>
      </c>
      <c r="Z164">
        <v>111.48938349957101</v>
      </c>
      <c r="AA164">
        <v>-7.8944413194724499</v>
      </c>
      <c r="AB164" t="s">
        <v>2809</v>
      </c>
      <c r="AC164" t="s">
        <v>1555</v>
      </c>
      <c r="AL164" t="s">
        <v>217</v>
      </c>
      <c r="AM164" t="s">
        <v>2810</v>
      </c>
      <c r="AN164" t="s">
        <v>6</v>
      </c>
      <c r="AO164" s="57">
        <v>46090.486041666663</v>
      </c>
      <c r="AP164" s="57">
        <v>46269.333333333336</v>
      </c>
      <c r="AR164" t="s">
        <v>218</v>
      </c>
      <c r="AS164" t="s">
        <v>2811</v>
      </c>
      <c r="AT164" t="s">
        <v>230</v>
      </c>
      <c r="AU164">
        <v>20260903</v>
      </c>
      <c r="AV164" t="s">
        <v>221</v>
      </c>
      <c r="AW164" t="s">
        <v>2812</v>
      </c>
      <c r="AX164" t="s">
        <v>222</v>
      </c>
      <c r="BA164" s="57">
        <v>46269.333333333336</v>
      </c>
      <c r="BB164" t="s">
        <v>2810</v>
      </c>
      <c r="BC164">
        <v>2026</v>
      </c>
      <c r="BD164">
        <v>9</v>
      </c>
      <c r="BE164">
        <v>3</v>
      </c>
      <c r="BF164" s="6">
        <f t="shared" si="6"/>
        <v>46268</v>
      </c>
      <c r="BG164">
        <f t="shared" si="7"/>
        <v>-1.3333333333357587</v>
      </c>
      <c r="BH164" t="str">
        <f t="shared" si="8"/>
        <v>COMPLY</v>
      </c>
      <c r="BI164" t="str">
        <f>VLOOKUP(H164,Sheet2!$A$1:$B$270,2,FALSE)</f>
        <v>PONOROGO</v>
      </c>
    </row>
    <row r="165" spans="1:61">
      <c r="A165">
        <v>164</v>
      </c>
      <c r="B165">
        <v>1002568824</v>
      </c>
      <c r="C165">
        <v>3</v>
      </c>
      <c r="D165" t="s">
        <v>34</v>
      </c>
      <c r="E165">
        <v>5</v>
      </c>
      <c r="F165" t="s">
        <v>563</v>
      </c>
      <c r="G165" t="s">
        <v>86</v>
      </c>
      <c r="H165" t="s">
        <v>416</v>
      </c>
      <c r="I165" t="s">
        <v>212</v>
      </c>
      <c r="J165" t="s">
        <v>213</v>
      </c>
      <c r="K165" t="s">
        <v>149</v>
      </c>
      <c r="M165" t="s">
        <v>76</v>
      </c>
      <c r="N165" t="s">
        <v>215</v>
      </c>
      <c r="O165" s="57">
        <v>46268.378171296295</v>
      </c>
      <c r="P165" s="57">
        <v>46268.651701388888</v>
      </c>
      <c r="Q165">
        <v>69380628</v>
      </c>
      <c r="S165">
        <v>172419207271</v>
      </c>
      <c r="T165" t="s">
        <v>1996</v>
      </c>
      <c r="U165" t="s">
        <v>2688</v>
      </c>
      <c r="V165" t="s">
        <v>2813</v>
      </c>
      <c r="Z165">
        <v>115.197194541104</v>
      </c>
      <c r="AA165">
        <v>-8.6606507128151495</v>
      </c>
      <c r="AB165" t="s">
        <v>2799</v>
      </c>
      <c r="AC165" t="s">
        <v>229</v>
      </c>
      <c r="AL165" t="s">
        <v>217</v>
      </c>
      <c r="AM165" t="s">
        <v>2814</v>
      </c>
      <c r="AN165" t="s">
        <v>6</v>
      </c>
      <c r="AO165" s="57">
        <v>46090.382060185184</v>
      </c>
      <c r="AR165" t="s">
        <v>218</v>
      </c>
      <c r="AS165" t="s">
        <v>817</v>
      </c>
      <c r="AT165" t="s">
        <v>230</v>
      </c>
      <c r="AU165">
        <v>20260903</v>
      </c>
      <c r="AV165" t="s">
        <v>221</v>
      </c>
      <c r="AW165" t="s">
        <v>571</v>
      </c>
      <c r="AX165" t="s">
        <v>222</v>
      </c>
      <c r="BA165" s="57">
        <v>46268.291666666664</v>
      </c>
      <c r="BB165" t="s">
        <v>2814</v>
      </c>
      <c r="BC165">
        <v>2026</v>
      </c>
      <c r="BD165">
        <v>9</v>
      </c>
      <c r="BE165">
        <v>3</v>
      </c>
      <c r="BF165" s="6">
        <f t="shared" si="6"/>
        <v>46268</v>
      </c>
      <c r="BG165">
        <f t="shared" si="7"/>
        <v>-0.29166666666424135</v>
      </c>
      <c r="BH165" t="str">
        <f t="shared" si="8"/>
        <v>COMPLY</v>
      </c>
      <c r="BI165" t="str">
        <f>VLOOKUP(H165,Sheet2!$A$1:$B$270,2,FALSE)</f>
        <v>UBUNG</v>
      </c>
    </row>
    <row r="166" spans="1:61">
      <c r="A166">
        <v>165</v>
      </c>
      <c r="B166">
        <v>1002568806</v>
      </c>
      <c r="C166">
        <v>3</v>
      </c>
      <c r="D166" t="s">
        <v>42</v>
      </c>
      <c r="E166">
        <v>5</v>
      </c>
      <c r="F166" t="s">
        <v>106</v>
      </c>
      <c r="G166" t="s">
        <v>106</v>
      </c>
      <c r="H166" t="s">
        <v>337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46268.375474537039</v>
      </c>
      <c r="P166" s="57">
        <v>46268.724930555552</v>
      </c>
      <c r="Q166">
        <v>69382737</v>
      </c>
      <c r="S166">
        <v>152729256790</v>
      </c>
      <c r="T166" t="s">
        <v>2815</v>
      </c>
      <c r="U166" t="s">
        <v>2816</v>
      </c>
      <c r="V166" t="s">
        <v>2817</v>
      </c>
      <c r="Z166">
        <v>112.9027985</v>
      </c>
      <c r="AA166">
        <v>-7.6410157999999999</v>
      </c>
      <c r="AB166" t="s">
        <v>2818</v>
      </c>
      <c r="AC166" t="s">
        <v>229</v>
      </c>
      <c r="AL166" t="s">
        <v>217</v>
      </c>
      <c r="AM166" t="s">
        <v>2819</v>
      </c>
      <c r="AN166" t="s">
        <v>6</v>
      </c>
      <c r="AO166" s="57">
        <v>46090.382060185184</v>
      </c>
      <c r="AP166" s="57">
        <v>46269.458333333336</v>
      </c>
      <c r="AR166" t="s">
        <v>218</v>
      </c>
      <c r="AS166" t="s">
        <v>106</v>
      </c>
      <c r="AT166" t="s">
        <v>230</v>
      </c>
      <c r="AU166">
        <v>20260903</v>
      </c>
      <c r="AV166" t="s">
        <v>221</v>
      </c>
      <c r="AW166" t="s">
        <v>545</v>
      </c>
      <c r="AX166" t="s">
        <v>222</v>
      </c>
      <c r="BA166" s="57">
        <v>46269.458333333336</v>
      </c>
      <c r="BB166" t="s">
        <v>2819</v>
      </c>
      <c r="BC166">
        <v>2026</v>
      </c>
      <c r="BD166">
        <v>9</v>
      </c>
      <c r="BE166">
        <v>3</v>
      </c>
      <c r="BF166" s="6">
        <f t="shared" si="6"/>
        <v>46268</v>
      </c>
      <c r="BG166">
        <f t="shared" si="7"/>
        <v>-1.4583333333357587</v>
      </c>
      <c r="BH166" t="str">
        <f t="shared" si="8"/>
        <v>COMPLY</v>
      </c>
      <c r="BI166" t="str">
        <f>VLOOKUP(H166,Sheet2!$A$1:$B$270,2,FALSE)</f>
        <v>PASURUAN</v>
      </c>
    </row>
    <row r="167" spans="1:61">
      <c r="A167">
        <v>166</v>
      </c>
      <c r="B167">
        <v>1002570079</v>
      </c>
      <c r="C167">
        <v>3</v>
      </c>
      <c r="D167" t="s">
        <v>55</v>
      </c>
      <c r="E167">
        <v>5</v>
      </c>
      <c r="F167" t="s">
        <v>307</v>
      </c>
      <c r="G167" t="s">
        <v>126</v>
      </c>
      <c r="H167" t="s">
        <v>372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46268.620821759258</v>
      </c>
      <c r="P167" s="57">
        <v>46268.718078703707</v>
      </c>
      <c r="Q167">
        <v>69378177</v>
      </c>
      <c r="R167">
        <v>3135953673</v>
      </c>
      <c r="S167">
        <v>152303244000</v>
      </c>
      <c r="T167" t="s">
        <v>2549</v>
      </c>
      <c r="U167" t="s">
        <v>2820</v>
      </c>
      <c r="V167" t="s">
        <v>2821</v>
      </c>
      <c r="Z167">
        <v>112.77500000000001</v>
      </c>
      <c r="AA167">
        <v>-7.2807000000000004</v>
      </c>
      <c r="AB167" t="s">
        <v>2822</v>
      </c>
      <c r="AC167" t="s">
        <v>229</v>
      </c>
      <c r="AL167" t="s">
        <v>217</v>
      </c>
      <c r="AM167" t="s">
        <v>2823</v>
      </c>
      <c r="AN167" t="s">
        <v>6</v>
      </c>
      <c r="AO167" s="57">
        <v>46090.621493055558</v>
      </c>
      <c r="AR167" t="s">
        <v>218</v>
      </c>
      <c r="AS167" t="s">
        <v>126</v>
      </c>
      <c r="AT167" t="s">
        <v>230</v>
      </c>
      <c r="AU167">
        <v>20260903</v>
      </c>
      <c r="AV167" t="s">
        <v>221</v>
      </c>
      <c r="AW167" t="s">
        <v>585</v>
      </c>
      <c r="AX167" t="s">
        <v>222</v>
      </c>
      <c r="BA167" s="57">
        <v>46268.291666666664</v>
      </c>
      <c r="BB167" t="s">
        <v>2823</v>
      </c>
      <c r="BC167">
        <v>2026</v>
      </c>
      <c r="BD167">
        <v>9</v>
      </c>
      <c r="BE167">
        <v>3</v>
      </c>
      <c r="BF167" s="6">
        <f t="shared" si="6"/>
        <v>46268</v>
      </c>
      <c r="BG167">
        <f t="shared" si="7"/>
        <v>-0.29166666666424135</v>
      </c>
      <c r="BH167" t="str">
        <f t="shared" si="8"/>
        <v>COMPLY</v>
      </c>
      <c r="BI167" t="str">
        <f>VLOOKUP(H167,Sheet2!$A$1:$B$270,2,FALSE)</f>
        <v>SURABAYA SELATAN</v>
      </c>
    </row>
    <row r="168" spans="1:61">
      <c r="A168">
        <v>167</v>
      </c>
      <c r="B168">
        <v>1002570046</v>
      </c>
      <c r="C168">
        <v>3</v>
      </c>
      <c r="D168" t="s">
        <v>45</v>
      </c>
      <c r="E168">
        <v>5</v>
      </c>
      <c r="F168" t="s">
        <v>210</v>
      </c>
      <c r="G168" t="s">
        <v>118</v>
      </c>
      <c r="H168" t="s">
        <v>277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46268.614224537036</v>
      </c>
      <c r="P168" s="57">
        <v>46268.703067129631</v>
      </c>
      <c r="Q168">
        <v>69381485</v>
      </c>
      <c r="S168">
        <v>172610203699</v>
      </c>
      <c r="T168" t="s">
        <v>964</v>
      </c>
      <c r="U168" t="s">
        <v>2824</v>
      </c>
      <c r="V168" t="s">
        <v>2825</v>
      </c>
      <c r="Z168">
        <v>116.85702000000001</v>
      </c>
      <c r="AA168">
        <v>-8.7389074000000004</v>
      </c>
      <c r="AB168" t="s">
        <v>1213</v>
      </c>
      <c r="AC168" t="s">
        <v>216</v>
      </c>
      <c r="AL168" t="s">
        <v>217</v>
      </c>
      <c r="AM168" t="s">
        <v>2826</v>
      </c>
      <c r="AN168" t="s">
        <v>6</v>
      </c>
      <c r="AO168" s="57">
        <v>46090.621493055558</v>
      </c>
      <c r="AR168" t="s">
        <v>218</v>
      </c>
      <c r="AS168" t="s">
        <v>908</v>
      </c>
      <c r="AT168" t="s">
        <v>230</v>
      </c>
      <c r="AU168">
        <v>20260903</v>
      </c>
      <c r="AV168" t="s">
        <v>221</v>
      </c>
      <c r="AW168" t="s">
        <v>545</v>
      </c>
      <c r="AX168" t="s">
        <v>222</v>
      </c>
      <c r="BA168" s="57">
        <v>46268.291666666664</v>
      </c>
      <c r="BB168" t="s">
        <v>2826</v>
      </c>
      <c r="BC168">
        <v>2026</v>
      </c>
      <c r="BD168">
        <v>9</v>
      </c>
      <c r="BE168">
        <v>3</v>
      </c>
      <c r="BF168" s="6">
        <f t="shared" si="6"/>
        <v>46268</v>
      </c>
      <c r="BG168">
        <f t="shared" si="7"/>
        <v>-0.29166666666424135</v>
      </c>
      <c r="BH168" t="str">
        <f t="shared" si="8"/>
        <v>COMPLY</v>
      </c>
      <c r="BI168" t="str">
        <f>VLOOKUP(H168,Sheet2!$A$1:$B$270,2,FALSE)</f>
        <v>SUMBAWA</v>
      </c>
    </row>
    <row r="169" spans="1:61">
      <c r="A169">
        <v>168</v>
      </c>
      <c r="B169">
        <v>1002570571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277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46268.709386574075</v>
      </c>
      <c r="P169" s="57">
        <v>46268.849386574075</v>
      </c>
      <c r="Q169">
        <v>69380976</v>
      </c>
      <c r="S169">
        <v>172610203701</v>
      </c>
      <c r="T169" t="s">
        <v>2827</v>
      </c>
      <c r="U169" t="s">
        <v>2828</v>
      </c>
      <c r="V169" t="s">
        <v>2829</v>
      </c>
      <c r="Z169">
        <v>116.82758201</v>
      </c>
      <c r="AA169">
        <v>-8.7691850349999996</v>
      </c>
      <c r="AB169" t="s">
        <v>2830</v>
      </c>
      <c r="AC169" t="s">
        <v>216</v>
      </c>
      <c r="AL169" t="s">
        <v>217</v>
      </c>
      <c r="AM169" t="s">
        <v>2831</v>
      </c>
      <c r="AN169" t="s">
        <v>6</v>
      </c>
      <c r="AO169" s="57">
        <v>46090.715532407405</v>
      </c>
      <c r="AR169" t="s">
        <v>218</v>
      </c>
      <c r="AS169" t="s">
        <v>908</v>
      </c>
      <c r="AT169" t="s">
        <v>230</v>
      </c>
      <c r="AU169">
        <v>20260903</v>
      </c>
      <c r="AV169" t="s">
        <v>221</v>
      </c>
      <c r="AW169" t="s">
        <v>545</v>
      </c>
      <c r="AX169" t="s">
        <v>222</v>
      </c>
      <c r="BA169" s="57">
        <v>46268.291666666664</v>
      </c>
      <c r="BB169" t="s">
        <v>2831</v>
      </c>
      <c r="BC169">
        <v>2026</v>
      </c>
      <c r="BD169">
        <v>9</v>
      </c>
      <c r="BE169">
        <v>3</v>
      </c>
      <c r="BF169" s="6">
        <f t="shared" si="6"/>
        <v>46268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SUMBAWA</v>
      </c>
    </row>
    <row r="170" spans="1:61">
      <c r="A170">
        <v>169</v>
      </c>
      <c r="B170">
        <v>1002570033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445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46268.611655092594</v>
      </c>
      <c r="P170" s="57">
        <v>46269.331018518518</v>
      </c>
      <c r="Q170">
        <v>69381373</v>
      </c>
      <c r="S170">
        <v>172610305704</v>
      </c>
      <c r="T170" t="s">
        <v>1287</v>
      </c>
      <c r="U170" t="s">
        <v>2832</v>
      </c>
      <c r="V170" t="s">
        <v>2833</v>
      </c>
      <c r="Z170">
        <v>118.97285119999999</v>
      </c>
      <c r="AA170">
        <v>-8.5630819000000002</v>
      </c>
      <c r="AB170" t="s">
        <v>1290</v>
      </c>
      <c r="AC170" t="s">
        <v>284</v>
      </c>
      <c r="AL170" t="s">
        <v>217</v>
      </c>
      <c r="AM170" t="s">
        <v>2834</v>
      </c>
      <c r="AN170" t="s">
        <v>6</v>
      </c>
      <c r="AO170" s="57">
        <v>46090.621493055558</v>
      </c>
      <c r="AR170" t="s">
        <v>218</v>
      </c>
      <c r="AS170" t="s">
        <v>915</v>
      </c>
      <c r="AT170" t="s">
        <v>220</v>
      </c>
      <c r="AU170">
        <v>20260904</v>
      </c>
      <c r="AV170" t="s">
        <v>221</v>
      </c>
      <c r="AW170" t="s">
        <v>545</v>
      </c>
      <c r="AX170" t="s">
        <v>222</v>
      </c>
      <c r="BA170" s="57">
        <v>46268.291666666664</v>
      </c>
      <c r="BB170" t="s">
        <v>2834</v>
      </c>
      <c r="BC170">
        <v>2026</v>
      </c>
      <c r="BD170">
        <v>9</v>
      </c>
      <c r="BE170">
        <v>4</v>
      </c>
      <c r="BF170" s="6">
        <f t="shared" si="6"/>
        <v>46269</v>
      </c>
      <c r="BG170">
        <f t="shared" si="7"/>
        <v>0.70833333333575865</v>
      </c>
      <c r="BH170" t="str">
        <f t="shared" si="8"/>
        <v>COMPLY</v>
      </c>
      <c r="BI170" t="str">
        <f>VLOOKUP(H170,Sheet2!$A$1:$B$270,2,FALSE)</f>
        <v>BIMA</v>
      </c>
    </row>
    <row r="171" spans="1:61">
      <c r="A171">
        <v>170</v>
      </c>
      <c r="B171">
        <v>1002569581</v>
      </c>
      <c r="C171">
        <v>3</v>
      </c>
      <c r="D171" t="s">
        <v>45</v>
      </c>
      <c r="E171">
        <v>5</v>
      </c>
      <c r="F171" t="s">
        <v>210</v>
      </c>
      <c r="G171" t="s">
        <v>115</v>
      </c>
      <c r="H171" t="s">
        <v>273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46268.516631944447</v>
      </c>
      <c r="P171" s="57">
        <v>46268.803483796299</v>
      </c>
      <c r="Q171">
        <v>69383074</v>
      </c>
      <c r="S171">
        <v>172603791838</v>
      </c>
      <c r="T171" t="s">
        <v>2835</v>
      </c>
      <c r="U171" t="s">
        <v>2836</v>
      </c>
      <c r="V171" t="s">
        <v>2837</v>
      </c>
      <c r="Z171">
        <v>116.322920322418</v>
      </c>
      <c r="AA171">
        <v>-8.8939756321751897</v>
      </c>
      <c r="AB171" t="s">
        <v>2838</v>
      </c>
      <c r="AC171" t="s">
        <v>216</v>
      </c>
      <c r="AL171" t="s">
        <v>217</v>
      </c>
      <c r="AM171" t="s">
        <v>2620</v>
      </c>
      <c r="AN171" t="s">
        <v>6</v>
      </c>
      <c r="AO171" s="57">
        <v>46090.517581018517</v>
      </c>
      <c r="AP171" s="57">
        <v>46270.333333333336</v>
      </c>
      <c r="AR171" t="s">
        <v>218</v>
      </c>
      <c r="AS171" t="s">
        <v>901</v>
      </c>
      <c r="AT171" t="s">
        <v>230</v>
      </c>
      <c r="AU171">
        <v>20260903</v>
      </c>
      <c r="AV171" t="s">
        <v>221</v>
      </c>
      <c r="AW171" t="s">
        <v>537</v>
      </c>
      <c r="AX171" t="s">
        <v>222</v>
      </c>
      <c r="BA171" s="57">
        <v>46270.333333333336</v>
      </c>
      <c r="BB171" t="s">
        <v>2620</v>
      </c>
      <c r="BC171">
        <v>2026</v>
      </c>
      <c r="BD171">
        <v>9</v>
      </c>
      <c r="BE171">
        <v>3</v>
      </c>
      <c r="BF171" s="6">
        <f t="shared" si="6"/>
        <v>46268</v>
      </c>
      <c r="BG171">
        <f t="shared" si="7"/>
        <v>-2.3333333333357587</v>
      </c>
      <c r="BH171" t="str">
        <f t="shared" si="8"/>
        <v>COMPLY</v>
      </c>
      <c r="BI171" t="str">
        <f>VLOOKUP(H171,Sheet2!$A$1:$B$270,2,FALSE)</f>
        <v>SELONG</v>
      </c>
    </row>
    <row r="172" spans="1:61">
      <c r="A172">
        <v>171</v>
      </c>
      <c r="B172">
        <v>1002569039</v>
      </c>
      <c r="C172">
        <v>3</v>
      </c>
      <c r="D172" t="s">
        <v>49</v>
      </c>
      <c r="E172">
        <v>4</v>
      </c>
      <c r="F172" t="s">
        <v>245</v>
      </c>
      <c r="G172" t="s">
        <v>246</v>
      </c>
      <c r="H172" t="s">
        <v>2839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46268.415243055555</v>
      </c>
      <c r="P172" s="57">
        <v>46268.708113425928</v>
      </c>
      <c r="Q172">
        <v>69382859</v>
      </c>
      <c r="S172">
        <v>143424112875</v>
      </c>
      <c r="T172" t="s">
        <v>2840</v>
      </c>
      <c r="U172" t="s">
        <v>2841</v>
      </c>
      <c r="V172" t="s">
        <v>2842</v>
      </c>
      <c r="Z172">
        <v>110.467466</v>
      </c>
      <c r="AA172">
        <v>-6.9592809999999998</v>
      </c>
      <c r="AB172" t="s">
        <v>2843</v>
      </c>
      <c r="AC172" t="s">
        <v>236</v>
      </c>
      <c r="AL172" t="s">
        <v>217</v>
      </c>
      <c r="AM172" t="s">
        <v>2844</v>
      </c>
      <c r="AN172" t="s">
        <v>6</v>
      </c>
      <c r="AO172" s="57">
        <v>46090.423622685186</v>
      </c>
      <c r="AP172" s="57">
        <v>46269.333333333336</v>
      </c>
      <c r="AR172" t="s">
        <v>218</v>
      </c>
      <c r="AS172" t="s">
        <v>900</v>
      </c>
      <c r="AT172" t="s">
        <v>230</v>
      </c>
      <c r="AU172">
        <v>20260903</v>
      </c>
      <c r="AV172" t="s">
        <v>221</v>
      </c>
      <c r="AW172" t="s">
        <v>887</v>
      </c>
      <c r="AX172" t="s">
        <v>222</v>
      </c>
      <c r="BA172" s="57">
        <v>46269.333333333336</v>
      </c>
      <c r="BB172" t="s">
        <v>2844</v>
      </c>
      <c r="BC172">
        <v>2026</v>
      </c>
      <c r="BD172">
        <v>9</v>
      </c>
      <c r="BE172">
        <v>3</v>
      </c>
      <c r="BF172" s="6">
        <f t="shared" si="6"/>
        <v>46268</v>
      </c>
      <c r="BG172">
        <f t="shared" si="7"/>
        <v>-1.3333333333357587</v>
      </c>
      <c r="BH172" t="str">
        <f t="shared" si="8"/>
        <v>COMPLY</v>
      </c>
      <c r="BI172" t="e">
        <f>VLOOKUP(H172,Sheet2!$A$1:$B$270,2,FALSE)</f>
        <v>#N/A</v>
      </c>
    </row>
    <row r="173" spans="1:61">
      <c r="A173">
        <v>172</v>
      </c>
      <c r="B173">
        <v>1002569771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367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46268.566331018519</v>
      </c>
      <c r="P173" s="57">
        <v>46268.663298611114</v>
      </c>
      <c r="Q173">
        <v>69379218</v>
      </c>
      <c r="S173">
        <v>172612801408</v>
      </c>
      <c r="T173" t="s">
        <v>2845</v>
      </c>
      <c r="U173" t="s">
        <v>2846</v>
      </c>
      <c r="V173" t="s">
        <v>2847</v>
      </c>
      <c r="Z173">
        <v>118.0050055</v>
      </c>
      <c r="AA173">
        <v>-8.7703138000000003</v>
      </c>
      <c r="AB173" t="s">
        <v>2848</v>
      </c>
      <c r="AC173" t="s">
        <v>216</v>
      </c>
      <c r="AL173" t="s">
        <v>217</v>
      </c>
      <c r="AM173" t="s">
        <v>2849</v>
      </c>
      <c r="AN173" t="s">
        <v>6</v>
      </c>
      <c r="AO173" s="57">
        <v>46090.569456018522</v>
      </c>
      <c r="AR173" t="s">
        <v>218</v>
      </c>
      <c r="AS173" t="s">
        <v>902</v>
      </c>
      <c r="AT173" t="s">
        <v>220</v>
      </c>
      <c r="AU173">
        <v>20260903</v>
      </c>
      <c r="AV173" t="s">
        <v>221</v>
      </c>
      <c r="AW173" t="s">
        <v>567</v>
      </c>
      <c r="AX173" t="s">
        <v>222</v>
      </c>
      <c r="BA173" s="57">
        <v>46268.291666666664</v>
      </c>
      <c r="BB173" t="s">
        <v>2849</v>
      </c>
      <c r="BC173">
        <v>2026</v>
      </c>
      <c r="BD173">
        <v>9</v>
      </c>
      <c r="BE173">
        <v>3</v>
      </c>
      <c r="BF173" s="6">
        <f t="shared" si="6"/>
        <v>46268</v>
      </c>
      <c r="BG173">
        <f t="shared" si="7"/>
        <v>-0.29166666666424135</v>
      </c>
      <c r="BH173" t="str">
        <f t="shared" si="8"/>
        <v>COMPLY</v>
      </c>
      <c r="BI173" t="str">
        <f>VLOOKUP(H173,Sheet2!$A$1:$B$270,2,FALSE)</f>
        <v>SUMBAWA</v>
      </c>
    </row>
    <row r="174" spans="1:61">
      <c r="A174">
        <v>173</v>
      </c>
      <c r="B174">
        <v>1002569762</v>
      </c>
      <c r="C174">
        <v>3</v>
      </c>
      <c r="D174" t="s">
        <v>59</v>
      </c>
      <c r="E174">
        <v>4</v>
      </c>
      <c r="F174" t="s">
        <v>242</v>
      </c>
      <c r="G174" t="s">
        <v>600</v>
      </c>
      <c r="H174" t="s">
        <v>601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46268.56486111111</v>
      </c>
      <c r="P174" s="57">
        <v>46268.618715277778</v>
      </c>
      <c r="Q174">
        <v>69381389</v>
      </c>
      <c r="S174">
        <v>141149112957</v>
      </c>
      <c r="T174" t="s">
        <v>1296</v>
      </c>
      <c r="U174" t="s">
        <v>2850</v>
      </c>
      <c r="V174" t="s">
        <v>2851</v>
      </c>
      <c r="Z174">
        <v>110.088425</v>
      </c>
      <c r="AA174">
        <v>-7.2865549999999999</v>
      </c>
      <c r="AB174" t="s">
        <v>1299</v>
      </c>
      <c r="AC174" t="s">
        <v>284</v>
      </c>
      <c r="AL174" t="s">
        <v>217</v>
      </c>
      <c r="AM174" t="s">
        <v>2852</v>
      </c>
      <c r="AN174" t="s">
        <v>6</v>
      </c>
      <c r="AO174" s="57">
        <v>46090.569456018522</v>
      </c>
      <c r="AR174" t="s">
        <v>218</v>
      </c>
      <c r="AS174" t="s">
        <v>920</v>
      </c>
      <c r="AT174" t="s">
        <v>230</v>
      </c>
      <c r="AU174">
        <v>20260903</v>
      </c>
      <c r="AV174" t="s">
        <v>221</v>
      </c>
      <c r="AW174" t="s">
        <v>560</v>
      </c>
      <c r="AX174" t="s">
        <v>222</v>
      </c>
      <c r="BA174" s="57">
        <v>46268.291666666664</v>
      </c>
      <c r="BB174" t="s">
        <v>2852</v>
      </c>
      <c r="BC174">
        <v>2026</v>
      </c>
      <c r="BD174">
        <v>9</v>
      </c>
      <c r="BE174">
        <v>3</v>
      </c>
      <c r="BF174" s="6">
        <f t="shared" si="6"/>
        <v>46268</v>
      </c>
      <c r="BG174">
        <f t="shared" si="7"/>
        <v>-0.29166666666424135</v>
      </c>
      <c r="BH174" t="str">
        <f t="shared" si="8"/>
        <v>COMPLY</v>
      </c>
      <c r="BI174" t="e">
        <f>VLOOKUP(H174,Sheet2!$A$1:$B$270,2,FALSE)</f>
        <v>#N/A</v>
      </c>
    </row>
    <row r="175" spans="1:61">
      <c r="A175">
        <v>174</v>
      </c>
      <c r="B175">
        <v>1002569067</v>
      </c>
      <c r="C175">
        <v>3</v>
      </c>
      <c r="D175" t="s">
        <v>42</v>
      </c>
      <c r="E175">
        <v>5</v>
      </c>
      <c r="F175" t="s">
        <v>232</v>
      </c>
      <c r="G175" t="s">
        <v>101</v>
      </c>
      <c r="H175" t="s">
        <v>259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46268.420034722221</v>
      </c>
      <c r="P175" s="57">
        <v>46269.29792824074</v>
      </c>
      <c r="Q175">
        <v>69382887</v>
      </c>
      <c r="S175">
        <v>152316232565</v>
      </c>
      <c r="T175" t="s">
        <v>2853</v>
      </c>
      <c r="U175" t="s">
        <v>2854</v>
      </c>
      <c r="V175" t="s">
        <v>2855</v>
      </c>
      <c r="Z175">
        <v>112.70549389999999</v>
      </c>
      <c r="AA175">
        <v>-7.4433011999999996</v>
      </c>
      <c r="AB175" t="s">
        <v>2856</v>
      </c>
      <c r="AC175" t="s">
        <v>229</v>
      </c>
      <c r="AL175" t="s">
        <v>217</v>
      </c>
      <c r="AM175" t="s">
        <v>2857</v>
      </c>
      <c r="AN175" t="s">
        <v>6</v>
      </c>
      <c r="AO175" s="57">
        <v>46090.423622685186</v>
      </c>
      <c r="AP175" s="57">
        <v>46269.625</v>
      </c>
      <c r="AR175" t="s">
        <v>218</v>
      </c>
      <c r="AS175" t="s">
        <v>232</v>
      </c>
      <c r="AT175" t="s">
        <v>230</v>
      </c>
      <c r="AU175">
        <v>20260904</v>
      </c>
      <c r="AV175" t="s">
        <v>221</v>
      </c>
      <c r="AW175" t="s">
        <v>572</v>
      </c>
      <c r="AX175" t="s">
        <v>222</v>
      </c>
      <c r="BA175" s="57">
        <v>46269.625</v>
      </c>
      <c r="BB175" t="s">
        <v>2857</v>
      </c>
      <c r="BC175">
        <v>2026</v>
      </c>
      <c r="BD175">
        <v>9</v>
      </c>
      <c r="BE175">
        <v>4</v>
      </c>
      <c r="BF175" s="6">
        <f t="shared" si="6"/>
        <v>46269</v>
      </c>
      <c r="BG175">
        <f t="shared" si="7"/>
        <v>-0.625</v>
      </c>
      <c r="BH175" t="str">
        <f t="shared" si="8"/>
        <v>COMPLY</v>
      </c>
      <c r="BI175" t="str">
        <f>VLOOKUP(H175,Sheet2!$A$1:$B$270,2,FALSE)</f>
        <v>SIDOARJO</v>
      </c>
    </row>
    <row r="176" spans="1:61">
      <c r="A176">
        <v>175</v>
      </c>
      <c r="B176">
        <v>1002569698</v>
      </c>
      <c r="C176">
        <v>3</v>
      </c>
      <c r="D176" t="s">
        <v>38</v>
      </c>
      <c r="E176">
        <v>5</v>
      </c>
      <c r="F176" t="s">
        <v>90</v>
      </c>
      <c r="G176" t="s">
        <v>96</v>
      </c>
      <c r="H176" t="s">
        <v>283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46268.55064814815</v>
      </c>
      <c r="P176" s="57">
        <v>46268.677546296298</v>
      </c>
      <c r="Q176">
        <v>69383147</v>
      </c>
      <c r="S176">
        <v>152608209019</v>
      </c>
      <c r="T176" t="s">
        <v>2858</v>
      </c>
      <c r="U176" t="s">
        <v>2859</v>
      </c>
      <c r="V176" t="s">
        <v>2860</v>
      </c>
      <c r="Z176">
        <v>111.574030034244</v>
      </c>
      <c r="AA176">
        <v>-8.0951220620013498</v>
      </c>
      <c r="AB176" t="s">
        <v>2861</v>
      </c>
      <c r="AC176" t="s">
        <v>216</v>
      </c>
      <c r="AL176" t="s">
        <v>217</v>
      </c>
      <c r="AM176" t="s">
        <v>2862</v>
      </c>
      <c r="AN176" t="s">
        <v>6</v>
      </c>
      <c r="AO176" s="57">
        <v>46090.559363425928</v>
      </c>
      <c r="AP176" s="57">
        <v>46269.541666666664</v>
      </c>
      <c r="AR176" t="s">
        <v>218</v>
      </c>
      <c r="AS176" t="s">
        <v>96</v>
      </c>
      <c r="AT176" t="s">
        <v>230</v>
      </c>
      <c r="AU176">
        <v>20260903</v>
      </c>
      <c r="AV176" t="s">
        <v>221</v>
      </c>
      <c r="AW176" t="s">
        <v>883</v>
      </c>
      <c r="AX176" t="s">
        <v>222</v>
      </c>
      <c r="BA176" s="57">
        <v>46269.541666666664</v>
      </c>
      <c r="BB176" t="s">
        <v>2862</v>
      </c>
      <c r="BC176">
        <v>2026</v>
      </c>
      <c r="BD176">
        <v>9</v>
      </c>
      <c r="BE176">
        <v>3</v>
      </c>
      <c r="BF176" s="6">
        <f t="shared" si="6"/>
        <v>46268</v>
      </c>
      <c r="BG176">
        <f t="shared" si="7"/>
        <v>-1.5416666666642413</v>
      </c>
      <c r="BH176" t="str">
        <f t="shared" si="8"/>
        <v>COMPLY</v>
      </c>
      <c r="BI176" t="str">
        <f>VLOOKUP(H176,Sheet2!$A$1:$B$270,2,FALSE)</f>
        <v>PONOROGO</v>
      </c>
    </row>
    <row r="177" spans="1:61">
      <c r="A177">
        <v>176</v>
      </c>
      <c r="B177">
        <v>1002569510</v>
      </c>
      <c r="C177">
        <v>3</v>
      </c>
      <c r="D177" t="s">
        <v>49</v>
      </c>
      <c r="E177">
        <v>4</v>
      </c>
      <c r="F177" t="s">
        <v>245</v>
      </c>
      <c r="G177" t="s">
        <v>246</v>
      </c>
      <c r="H177" t="s">
        <v>2610</v>
      </c>
      <c r="I177" t="s">
        <v>212</v>
      </c>
      <c r="J177" t="s">
        <v>213</v>
      </c>
      <c r="K177" t="s">
        <v>149</v>
      </c>
      <c r="M177" t="s">
        <v>76</v>
      </c>
      <c r="N177" t="s">
        <v>215</v>
      </c>
      <c r="O177" s="57">
        <v>46268.49695601852</v>
      </c>
      <c r="P177" s="57">
        <v>46268.708680555559</v>
      </c>
      <c r="Q177">
        <v>69365498</v>
      </c>
      <c r="S177">
        <v>141423136806</v>
      </c>
      <c r="T177" t="s">
        <v>2863</v>
      </c>
      <c r="U177" t="s">
        <v>2864</v>
      </c>
      <c r="V177" t="s">
        <v>2865</v>
      </c>
      <c r="Z177">
        <v>110.437453</v>
      </c>
      <c r="AA177">
        <v>-7.0665490000000002</v>
      </c>
      <c r="AB177" t="s">
        <v>2866</v>
      </c>
      <c r="AC177" t="s">
        <v>216</v>
      </c>
      <c r="AL177" t="s">
        <v>217</v>
      </c>
      <c r="AM177" t="s">
        <v>2867</v>
      </c>
      <c r="AN177" t="s">
        <v>6</v>
      </c>
      <c r="AO177" s="57">
        <v>46090.506990740738</v>
      </c>
      <c r="AR177" t="s">
        <v>218</v>
      </c>
      <c r="AS177" t="s">
        <v>219</v>
      </c>
      <c r="AT177" t="s">
        <v>230</v>
      </c>
      <c r="AU177">
        <v>20260903</v>
      </c>
      <c r="AV177" t="s">
        <v>221</v>
      </c>
      <c r="AW177" t="s">
        <v>545</v>
      </c>
      <c r="AX177" t="s">
        <v>222</v>
      </c>
      <c r="BA177" s="57">
        <v>46268.291666666664</v>
      </c>
      <c r="BB177" t="s">
        <v>2867</v>
      </c>
      <c r="BC177">
        <v>2026</v>
      </c>
      <c r="BD177">
        <v>9</v>
      </c>
      <c r="BE177">
        <v>3</v>
      </c>
      <c r="BF177" s="6">
        <f t="shared" si="6"/>
        <v>46268</v>
      </c>
      <c r="BG177">
        <f t="shared" si="7"/>
        <v>-0.29166666666424135</v>
      </c>
      <c r="BH177" t="str">
        <f t="shared" si="8"/>
        <v>COMPLY</v>
      </c>
      <c r="BI177" t="e">
        <f>VLOOKUP(H177,Sheet2!$A$1:$B$270,2,FALSE)</f>
        <v>#N/A</v>
      </c>
    </row>
    <row r="178" spans="1:61">
      <c r="A178">
        <v>177</v>
      </c>
      <c r="B178">
        <v>1002568650</v>
      </c>
      <c r="C178">
        <v>3</v>
      </c>
      <c r="D178" t="s">
        <v>38</v>
      </c>
      <c r="E178">
        <v>5</v>
      </c>
      <c r="F178" t="s">
        <v>248</v>
      </c>
      <c r="G178" t="s">
        <v>91</v>
      </c>
      <c r="H178" t="s">
        <v>398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46268.32912037037</v>
      </c>
      <c r="P178" s="57">
        <v>46268.525590277779</v>
      </c>
      <c r="Q178">
        <v>69382687</v>
      </c>
      <c r="S178">
        <v>152718219160</v>
      </c>
      <c r="T178" t="s">
        <v>2709</v>
      </c>
      <c r="U178" t="s">
        <v>2710</v>
      </c>
      <c r="V178" t="s">
        <v>2868</v>
      </c>
      <c r="Z178">
        <v>112.5651574</v>
      </c>
      <c r="AA178">
        <v>-8.1250394999999997</v>
      </c>
      <c r="AB178" t="s">
        <v>2869</v>
      </c>
      <c r="AC178" t="s">
        <v>236</v>
      </c>
      <c r="AL178" t="s">
        <v>217</v>
      </c>
      <c r="AM178" t="s">
        <v>2713</v>
      </c>
      <c r="AN178" t="s">
        <v>6</v>
      </c>
      <c r="AO178" s="57">
        <v>46090.329814814817</v>
      </c>
      <c r="AP178" s="57">
        <v>46269.333333333336</v>
      </c>
      <c r="AR178" t="s">
        <v>218</v>
      </c>
      <c r="AS178" t="s">
        <v>91</v>
      </c>
      <c r="AT178" t="s">
        <v>344</v>
      </c>
      <c r="AU178">
        <v>20260903</v>
      </c>
      <c r="AV178" t="s">
        <v>221</v>
      </c>
      <c r="AW178" t="s">
        <v>1664</v>
      </c>
      <c r="AX178" t="s">
        <v>222</v>
      </c>
      <c r="BA178" s="57">
        <v>46269.333333333336</v>
      </c>
      <c r="BB178" t="s">
        <v>2713</v>
      </c>
      <c r="BC178">
        <v>2026</v>
      </c>
      <c r="BD178">
        <v>9</v>
      </c>
      <c r="BE178">
        <v>3</v>
      </c>
      <c r="BF178" s="6">
        <f t="shared" si="6"/>
        <v>46268</v>
      </c>
      <c r="BG178">
        <f t="shared" si="7"/>
        <v>-1.3333333333357587</v>
      </c>
      <c r="BH178" t="str">
        <f t="shared" si="8"/>
        <v>COMPLY</v>
      </c>
      <c r="BI178" t="str">
        <f>VLOOKUP(H178,Sheet2!$A$1:$B$270,2,FALSE)</f>
        <v>MALANG</v>
      </c>
    </row>
    <row r="179" spans="1:61">
      <c r="A179">
        <v>178</v>
      </c>
      <c r="B179">
        <v>1002569811</v>
      </c>
      <c r="C179">
        <v>3</v>
      </c>
      <c r="D179" t="s">
        <v>59</v>
      </c>
      <c r="E179">
        <v>4</v>
      </c>
      <c r="F179" t="s">
        <v>549</v>
      </c>
      <c r="G179" t="s">
        <v>582</v>
      </c>
      <c r="H179" t="s">
        <v>835</v>
      </c>
      <c r="I179" t="s">
        <v>212</v>
      </c>
      <c r="J179" t="s">
        <v>213</v>
      </c>
      <c r="K179" t="s">
        <v>149</v>
      </c>
      <c r="M179" t="s">
        <v>76</v>
      </c>
      <c r="N179" t="s">
        <v>581</v>
      </c>
      <c r="O179" s="57">
        <v>46268.571759259263</v>
      </c>
      <c r="P179" s="57">
        <v>46268.649583333332</v>
      </c>
      <c r="Q179">
        <v>69381235</v>
      </c>
      <c r="R179">
        <v>2745059207</v>
      </c>
      <c r="S179">
        <v>146113146908</v>
      </c>
      <c r="T179" t="s">
        <v>1035</v>
      </c>
      <c r="U179" t="s">
        <v>2870</v>
      </c>
      <c r="V179" t="s">
        <v>2871</v>
      </c>
      <c r="Z179">
        <v>110.390365614787</v>
      </c>
      <c r="AA179">
        <v>-7.7760586641504101</v>
      </c>
      <c r="AB179" t="s">
        <v>1355</v>
      </c>
      <c r="AC179" t="s">
        <v>587</v>
      </c>
      <c r="AL179" t="s">
        <v>217</v>
      </c>
      <c r="AM179" t="s">
        <v>2872</v>
      </c>
      <c r="AN179" t="s">
        <v>6</v>
      </c>
      <c r="AO179" s="57">
        <v>46090.579861111109</v>
      </c>
      <c r="AR179" t="s">
        <v>218</v>
      </c>
      <c r="AS179" t="s">
        <v>219</v>
      </c>
      <c r="AT179" t="s">
        <v>230</v>
      </c>
      <c r="AU179">
        <v>20260903</v>
      </c>
      <c r="AV179" t="s">
        <v>221</v>
      </c>
      <c r="AW179" t="s">
        <v>585</v>
      </c>
      <c r="AX179" t="s">
        <v>222</v>
      </c>
      <c r="BA179" s="57">
        <v>46268.291666666664</v>
      </c>
      <c r="BB179" t="s">
        <v>2872</v>
      </c>
      <c r="BC179">
        <v>2026</v>
      </c>
      <c r="BD179">
        <v>9</v>
      </c>
      <c r="BE179">
        <v>3</v>
      </c>
      <c r="BF179" s="6">
        <f t="shared" si="6"/>
        <v>46268</v>
      </c>
      <c r="BG179">
        <f t="shared" si="7"/>
        <v>-0.29166666666424135</v>
      </c>
      <c r="BH179" t="str">
        <f t="shared" si="8"/>
        <v>COMPLY</v>
      </c>
      <c r="BI179" t="e">
        <f>VLOOKUP(H179,Sheet2!$A$1:$B$270,2,FALSE)</f>
        <v>#N/A</v>
      </c>
    </row>
    <row r="180" spans="1:61">
      <c r="A180">
        <v>179</v>
      </c>
      <c r="B180">
        <v>1002570394</v>
      </c>
      <c r="C180">
        <v>3</v>
      </c>
      <c r="D180" t="s">
        <v>38</v>
      </c>
      <c r="E180">
        <v>5</v>
      </c>
      <c r="F180" t="s">
        <v>92</v>
      </c>
      <c r="G180" t="s">
        <v>94</v>
      </c>
      <c r="H180" t="s">
        <v>442</v>
      </c>
      <c r="I180" t="s">
        <v>212</v>
      </c>
      <c r="J180" t="s">
        <v>213</v>
      </c>
      <c r="K180" t="s">
        <v>149</v>
      </c>
      <c r="M180" t="s">
        <v>76</v>
      </c>
      <c r="N180" t="s">
        <v>215</v>
      </c>
      <c r="O180" s="57">
        <v>46268.675555555557</v>
      </c>
      <c r="P180" s="57">
        <v>46268.961134259262</v>
      </c>
      <c r="Q180">
        <v>69374507</v>
      </c>
      <c r="S180">
        <v>152635205092</v>
      </c>
      <c r="T180" t="s">
        <v>2873</v>
      </c>
      <c r="U180" t="s">
        <v>2874</v>
      </c>
      <c r="V180" t="s">
        <v>2875</v>
      </c>
      <c r="Z180">
        <v>111.29630706816501</v>
      </c>
      <c r="AA180">
        <v>-7.5671988500294898</v>
      </c>
      <c r="AB180" t="s">
        <v>2876</v>
      </c>
      <c r="AC180" t="s">
        <v>216</v>
      </c>
      <c r="AL180" t="s">
        <v>217</v>
      </c>
      <c r="AM180" t="s">
        <v>2877</v>
      </c>
      <c r="AN180" t="s">
        <v>6</v>
      </c>
      <c r="AO180" s="57">
        <v>46090.684282407405</v>
      </c>
      <c r="AR180" t="s">
        <v>218</v>
      </c>
      <c r="AS180" t="s">
        <v>219</v>
      </c>
      <c r="AT180" t="s">
        <v>230</v>
      </c>
      <c r="AU180">
        <v>20260903</v>
      </c>
      <c r="AV180" t="s">
        <v>221</v>
      </c>
      <c r="AW180" t="s">
        <v>2878</v>
      </c>
      <c r="AX180" t="s">
        <v>222</v>
      </c>
      <c r="BA180" s="57">
        <v>46268.291666666664</v>
      </c>
      <c r="BB180" t="s">
        <v>2877</v>
      </c>
      <c r="BC180">
        <v>2026</v>
      </c>
      <c r="BD180">
        <v>9</v>
      </c>
      <c r="BE180">
        <v>3</v>
      </c>
      <c r="BF180" s="6">
        <f t="shared" si="6"/>
        <v>46268</v>
      </c>
      <c r="BG180">
        <f t="shared" si="7"/>
        <v>-0.29166666666424135</v>
      </c>
      <c r="BH180" t="str">
        <f t="shared" si="8"/>
        <v>COMPLY</v>
      </c>
      <c r="BI180" t="str">
        <f>VLOOKUP(H180,Sheet2!$A$1:$B$270,2,FALSE)</f>
        <v>MADIUN</v>
      </c>
    </row>
    <row r="181" spans="1:61">
      <c r="A181">
        <v>180</v>
      </c>
      <c r="B181">
        <v>1002569793</v>
      </c>
      <c r="C181">
        <v>3</v>
      </c>
      <c r="D181" t="s">
        <v>42</v>
      </c>
      <c r="E181">
        <v>5</v>
      </c>
      <c r="F181" t="s">
        <v>232</v>
      </c>
      <c r="G181" t="s">
        <v>105</v>
      </c>
      <c r="H181" t="s">
        <v>434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46268.57104166667</v>
      </c>
      <c r="P181" s="57">
        <v>46268.760520833333</v>
      </c>
      <c r="Q181">
        <v>69383191</v>
      </c>
      <c r="S181">
        <v>152330220812</v>
      </c>
      <c r="T181" t="s">
        <v>2879</v>
      </c>
      <c r="U181" t="s">
        <v>2880</v>
      </c>
      <c r="V181" t="s">
        <v>2881</v>
      </c>
      <c r="Z181">
        <v>112.5263765</v>
      </c>
      <c r="AA181">
        <v>-7.5227998999999999</v>
      </c>
      <c r="AB181" t="s">
        <v>2547</v>
      </c>
      <c r="AC181" t="s">
        <v>229</v>
      </c>
      <c r="AL181" t="s">
        <v>217</v>
      </c>
      <c r="AM181" t="s">
        <v>2882</v>
      </c>
      <c r="AN181" t="s">
        <v>6</v>
      </c>
      <c r="AO181" s="57">
        <v>46090.579861111109</v>
      </c>
      <c r="AP181" s="57">
        <v>46269.625</v>
      </c>
      <c r="AR181" t="s">
        <v>218</v>
      </c>
      <c r="AS181" t="s">
        <v>105</v>
      </c>
      <c r="AT181" t="s">
        <v>230</v>
      </c>
      <c r="AU181">
        <v>20260903</v>
      </c>
      <c r="AV181" t="s">
        <v>221</v>
      </c>
      <c r="AW181" t="s">
        <v>545</v>
      </c>
      <c r="AX181" t="s">
        <v>222</v>
      </c>
      <c r="BA181" s="57">
        <v>46269.625</v>
      </c>
      <c r="BB181" t="s">
        <v>2882</v>
      </c>
      <c r="BC181">
        <v>2026</v>
      </c>
      <c r="BD181">
        <v>9</v>
      </c>
      <c r="BE181">
        <v>3</v>
      </c>
      <c r="BF181" s="6">
        <f t="shared" si="6"/>
        <v>46268</v>
      </c>
      <c r="BG181">
        <f t="shared" si="7"/>
        <v>-1.625</v>
      </c>
      <c r="BH181" t="str">
        <f t="shared" si="8"/>
        <v>COMPLY</v>
      </c>
      <c r="BI181" t="str">
        <f>VLOOKUP(H181,Sheet2!$A$1:$B$270,2,FALSE)</f>
        <v>MOJOKERTO</v>
      </c>
    </row>
    <row r="182" spans="1:61">
      <c r="A182">
        <v>181</v>
      </c>
      <c r="B182">
        <v>1002570693</v>
      </c>
      <c r="C182">
        <v>3</v>
      </c>
      <c r="D182" t="s">
        <v>42</v>
      </c>
      <c r="E182">
        <v>5</v>
      </c>
      <c r="F182" t="s">
        <v>102</v>
      </c>
      <c r="G182" t="s">
        <v>100</v>
      </c>
      <c r="H182" t="s">
        <v>276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46268.81453703704</v>
      </c>
      <c r="P182" s="57">
        <v>46268.98296296296</v>
      </c>
      <c r="Q182">
        <v>69383523</v>
      </c>
      <c r="S182">
        <v>152507223996</v>
      </c>
      <c r="T182" t="s">
        <v>2883</v>
      </c>
      <c r="U182" t="s">
        <v>2884</v>
      </c>
      <c r="V182" t="s">
        <v>2885</v>
      </c>
      <c r="Z182">
        <v>113.72334379702799</v>
      </c>
      <c r="AA182">
        <v>-8.0209698707625101</v>
      </c>
      <c r="AB182" t="s">
        <v>2886</v>
      </c>
      <c r="AC182" t="s">
        <v>216</v>
      </c>
      <c r="AL182" t="s">
        <v>217</v>
      </c>
      <c r="AM182" t="s">
        <v>2620</v>
      </c>
      <c r="AN182" t="s">
        <v>6</v>
      </c>
      <c r="AO182" s="57">
        <v>46090.819328703707</v>
      </c>
      <c r="AP182" s="57">
        <v>46270.333333333336</v>
      </c>
      <c r="AR182" t="s">
        <v>218</v>
      </c>
      <c r="AS182" t="s">
        <v>100</v>
      </c>
      <c r="AT182" t="s">
        <v>230</v>
      </c>
      <c r="AU182">
        <v>20260903</v>
      </c>
      <c r="AV182" t="s">
        <v>221</v>
      </c>
      <c r="AW182" t="s">
        <v>882</v>
      </c>
      <c r="AX182" t="s">
        <v>222</v>
      </c>
      <c r="BA182" s="57">
        <v>46270.333333333336</v>
      </c>
      <c r="BB182" t="s">
        <v>2620</v>
      </c>
      <c r="BC182">
        <v>2026</v>
      </c>
      <c r="BD182">
        <v>9</v>
      </c>
      <c r="BE182">
        <v>3</v>
      </c>
      <c r="BF182" s="6">
        <f t="shared" si="6"/>
        <v>46268</v>
      </c>
      <c r="BG182">
        <f t="shared" si="7"/>
        <v>-2.3333333333357587</v>
      </c>
      <c r="BH182" t="str">
        <f t="shared" si="8"/>
        <v>COMPLY</v>
      </c>
      <c r="BI182" t="str">
        <f>VLOOKUP(H182,Sheet2!$A$1:$B$270,2,FALSE)</f>
        <v>JEMBER</v>
      </c>
    </row>
    <row r="183" spans="1:61">
      <c r="A183">
        <v>182</v>
      </c>
      <c r="B183">
        <v>1002569112</v>
      </c>
      <c r="C183">
        <v>3</v>
      </c>
      <c r="D183" t="s">
        <v>45</v>
      </c>
      <c r="E183">
        <v>5</v>
      </c>
      <c r="F183" t="s">
        <v>210</v>
      </c>
      <c r="G183" t="s">
        <v>116</v>
      </c>
      <c r="H183" t="s">
        <v>268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46268.427581018521</v>
      </c>
      <c r="P183" s="57">
        <v>46268.724861111114</v>
      </c>
      <c r="Q183">
        <v>69380682</v>
      </c>
      <c r="S183">
        <v>172604214280</v>
      </c>
      <c r="T183" t="s">
        <v>2887</v>
      </c>
      <c r="U183" t="s">
        <v>2888</v>
      </c>
      <c r="V183" t="s">
        <v>2889</v>
      </c>
      <c r="Z183">
        <v>116.266319</v>
      </c>
      <c r="AA183">
        <v>-8.2741451000000001</v>
      </c>
      <c r="AB183" t="s">
        <v>2890</v>
      </c>
      <c r="AC183" t="s">
        <v>216</v>
      </c>
      <c r="AL183" t="s">
        <v>217</v>
      </c>
      <c r="AM183" t="s">
        <v>2891</v>
      </c>
      <c r="AN183" t="s">
        <v>6</v>
      </c>
      <c r="AO183" s="57">
        <v>46090.434074074074</v>
      </c>
      <c r="AR183" t="s">
        <v>218</v>
      </c>
      <c r="AS183" t="s">
        <v>912</v>
      </c>
      <c r="AT183" t="s">
        <v>230</v>
      </c>
      <c r="AU183">
        <v>20260903</v>
      </c>
      <c r="AV183" t="s">
        <v>221</v>
      </c>
      <c r="AW183" t="s">
        <v>545</v>
      </c>
      <c r="AX183" t="s">
        <v>222</v>
      </c>
      <c r="BA183" s="57">
        <v>46268.291666666664</v>
      </c>
      <c r="BB183" t="s">
        <v>2891</v>
      </c>
      <c r="BC183">
        <v>2026</v>
      </c>
      <c r="BD183">
        <v>9</v>
      </c>
      <c r="BE183">
        <v>3</v>
      </c>
      <c r="BF183" s="6">
        <f t="shared" si="6"/>
        <v>46268</v>
      </c>
      <c r="BG183">
        <f t="shared" si="7"/>
        <v>-0.29166666666424135</v>
      </c>
      <c r="BH183" t="str">
        <f t="shared" si="8"/>
        <v>COMPLY</v>
      </c>
      <c r="BI183" t="str">
        <f>VLOOKUP(H183,Sheet2!$A$1:$B$270,2,FALSE)</f>
        <v>SELONG</v>
      </c>
    </row>
    <row r="184" spans="1:61">
      <c r="A184">
        <v>183</v>
      </c>
      <c r="B184">
        <v>1002569123</v>
      </c>
      <c r="C184">
        <v>3</v>
      </c>
      <c r="D184" t="s">
        <v>42</v>
      </c>
      <c r="E184">
        <v>5</v>
      </c>
      <c r="F184" t="s">
        <v>232</v>
      </c>
      <c r="G184" t="s">
        <v>101</v>
      </c>
      <c r="H184" t="s">
        <v>233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46268.429305555554</v>
      </c>
      <c r="P184" s="57">
        <v>46268.822905092595</v>
      </c>
      <c r="Q184">
        <v>69382884</v>
      </c>
      <c r="S184">
        <v>152327226538</v>
      </c>
      <c r="T184" t="s">
        <v>2892</v>
      </c>
      <c r="U184" t="s">
        <v>2893</v>
      </c>
      <c r="V184" t="s">
        <v>2894</v>
      </c>
      <c r="Z184">
        <v>112.6960146</v>
      </c>
      <c r="AA184">
        <v>-7.5163735999999997</v>
      </c>
      <c r="AB184" t="s">
        <v>2895</v>
      </c>
      <c r="AC184" t="s">
        <v>229</v>
      </c>
      <c r="AL184" t="s">
        <v>217</v>
      </c>
      <c r="AM184" t="s">
        <v>2896</v>
      </c>
      <c r="AN184" t="s">
        <v>6</v>
      </c>
      <c r="AO184" s="57">
        <v>46090.434074074074</v>
      </c>
      <c r="AP184" s="57">
        <v>46269.333333333336</v>
      </c>
      <c r="AR184" t="s">
        <v>218</v>
      </c>
      <c r="AS184" t="s">
        <v>770</v>
      </c>
      <c r="AT184" t="s">
        <v>230</v>
      </c>
      <c r="AU184">
        <v>20260903</v>
      </c>
      <c r="AV184" t="s">
        <v>221</v>
      </c>
      <c r="AW184" t="s">
        <v>546</v>
      </c>
      <c r="AX184" t="s">
        <v>222</v>
      </c>
      <c r="BA184" s="57">
        <v>46269.333333333336</v>
      </c>
      <c r="BB184" t="s">
        <v>2896</v>
      </c>
      <c r="BC184">
        <v>2026</v>
      </c>
      <c r="BD184">
        <v>9</v>
      </c>
      <c r="BE184">
        <v>3</v>
      </c>
      <c r="BF184" s="6">
        <f t="shared" si="6"/>
        <v>46268</v>
      </c>
      <c r="BG184">
        <f t="shared" si="7"/>
        <v>-1.3333333333357587</v>
      </c>
      <c r="BH184" t="str">
        <f t="shared" si="8"/>
        <v>COMPLY</v>
      </c>
      <c r="BI184" t="str">
        <f>VLOOKUP(H184,Sheet2!$A$1:$B$270,2,FALSE)</f>
        <v>SIDOARJO</v>
      </c>
    </row>
    <row r="185" spans="1:61">
      <c r="A185">
        <v>184</v>
      </c>
      <c r="B185">
        <v>1002568971</v>
      </c>
      <c r="C185">
        <v>3</v>
      </c>
      <c r="D185" t="s">
        <v>42</v>
      </c>
      <c r="E185">
        <v>5</v>
      </c>
      <c r="F185" t="s">
        <v>232</v>
      </c>
      <c r="G185" t="s">
        <v>103</v>
      </c>
      <c r="H185" t="s">
        <v>294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46268.403819444444</v>
      </c>
      <c r="P185" s="57">
        <v>46268.630011574074</v>
      </c>
      <c r="Q185">
        <v>69382842</v>
      </c>
      <c r="S185">
        <v>152319208230</v>
      </c>
      <c r="T185" t="s">
        <v>2897</v>
      </c>
      <c r="U185" t="s">
        <v>2898</v>
      </c>
      <c r="V185" t="s">
        <v>2899</v>
      </c>
      <c r="Z185">
        <v>112.4170999</v>
      </c>
      <c r="AA185">
        <v>-7.5831483999999998</v>
      </c>
      <c r="AB185" t="s">
        <v>2900</v>
      </c>
      <c r="AC185" t="s">
        <v>229</v>
      </c>
      <c r="AL185" t="s">
        <v>217</v>
      </c>
      <c r="AM185" t="s">
        <v>2901</v>
      </c>
      <c r="AN185" t="s">
        <v>6</v>
      </c>
      <c r="AO185" s="57">
        <v>46090.413159722222</v>
      </c>
      <c r="AP185" s="57">
        <v>46269.333333333336</v>
      </c>
      <c r="AR185" t="s">
        <v>218</v>
      </c>
      <c r="AS185" t="s">
        <v>103</v>
      </c>
      <c r="AT185" t="s">
        <v>230</v>
      </c>
      <c r="AU185">
        <v>20260903</v>
      </c>
      <c r="AV185" t="s">
        <v>221</v>
      </c>
      <c r="AW185" t="s">
        <v>545</v>
      </c>
      <c r="AX185" t="s">
        <v>222</v>
      </c>
      <c r="BA185" s="57">
        <v>46269.333333333336</v>
      </c>
      <c r="BB185" t="s">
        <v>2901</v>
      </c>
      <c r="BC185">
        <v>2026</v>
      </c>
      <c r="BD185">
        <v>9</v>
      </c>
      <c r="BE185">
        <v>3</v>
      </c>
      <c r="BF185" s="6">
        <f t="shared" si="6"/>
        <v>46268</v>
      </c>
      <c r="BG185">
        <f t="shared" si="7"/>
        <v>-1.3333333333357587</v>
      </c>
      <c r="BH185" t="str">
        <f t="shared" si="8"/>
        <v>COMPLY</v>
      </c>
      <c r="BI185" t="str">
        <f>VLOOKUP(H185,Sheet2!$A$1:$B$270,2,FALSE)</f>
        <v>MOJOKERTO</v>
      </c>
    </row>
    <row r="186" spans="1:61">
      <c r="A186">
        <v>185</v>
      </c>
      <c r="B186">
        <v>1002568697</v>
      </c>
      <c r="C186">
        <v>3</v>
      </c>
      <c r="D186" t="s">
        <v>38</v>
      </c>
      <c r="E186">
        <v>5</v>
      </c>
      <c r="F186" t="s">
        <v>90</v>
      </c>
      <c r="G186" t="s">
        <v>90</v>
      </c>
      <c r="H186" t="s">
        <v>346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46268.348564814813</v>
      </c>
      <c r="P186" s="57">
        <v>46268.732974537037</v>
      </c>
      <c r="Q186">
        <v>69382722</v>
      </c>
      <c r="S186">
        <v>152639219547</v>
      </c>
      <c r="T186" t="s">
        <v>2902</v>
      </c>
      <c r="U186" t="s">
        <v>2903</v>
      </c>
      <c r="V186" t="s">
        <v>2904</v>
      </c>
      <c r="Z186">
        <v>112.174905</v>
      </c>
      <c r="AA186">
        <v>-7.8463229999999999</v>
      </c>
      <c r="AB186" t="s">
        <v>2905</v>
      </c>
      <c r="AC186" t="s">
        <v>236</v>
      </c>
      <c r="AL186" t="s">
        <v>217</v>
      </c>
      <c r="AM186" t="s">
        <v>2906</v>
      </c>
      <c r="AN186" t="s">
        <v>6</v>
      </c>
      <c r="AO186" s="57">
        <v>46090.350740740738</v>
      </c>
      <c r="AP186" s="57">
        <v>46269.333333333336</v>
      </c>
      <c r="AR186" t="s">
        <v>218</v>
      </c>
      <c r="AS186" t="s">
        <v>304</v>
      </c>
      <c r="AT186" t="s">
        <v>230</v>
      </c>
      <c r="AU186">
        <v>20260903</v>
      </c>
      <c r="AV186" t="s">
        <v>221</v>
      </c>
      <c r="AW186" t="s">
        <v>886</v>
      </c>
      <c r="AX186" t="s">
        <v>222</v>
      </c>
      <c r="BA186" s="57">
        <v>46269.333333333336</v>
      </c>
      <c r="BB186" t="s">
        <v>2906</v>
      </c>
      <c r="BC186">
        <v>2026</v>
      </c>
      <c r="BD186">
        <v>9</v>
      </c>
      <c r="BE186">
        <v>3</v>
      </c>
      <c r="BF186" s="6">
        <f t="shared" si="6"/>
        <v>46268</v>
      </c>
      <c r="BG186">
        <f t="shared" si="7"/>
        <v>-1.3333333333357587</v>
      </c>
      <c r="BH186" t="str">
        <f t="shared" si="8"/>
        <v>COMPLY</v>
      </c>
      <c r="BI186" t="str">
        <f>VLOOKUP(H186,Sheet2!$A$1:$B$270,2,FALSE)</f>
        <v>KEDIRI</v>
      </c>
    </row>
    <row r="187" spans="1:61">
      <c r="A187">
        <v>186</v>
      </c>
      <c r="B187">
        <v>1002568665</v>
      </c>
      <c r="C187">
        <v>3</v>
      </c>
      <c r="D187" t="s">
        <v>38</v>
      </c>
      <c r="E187">
        <v>5</v>
      </c>
      <c r="F187" t="s">
        <v>248</v>
      </c>
      <c r="G187" t="s">
        <v>91</v>
      </c>
      <c r="H187" t="s">
        <v>403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46268.338159722225</v>
      </c>
      <c r="P187" s="57">
        <v>46268.66883101852</v>
      </c>
      <c r="Q187">
        <v>69382707</v>
      </c>
      <c r="S187">
        <v>152701239134</v>
      </c>
      <c r="T187" t="s">
        <v>2907</v>
      </c>
      <c r="U187" t="s">
        <v>2225</v>
      </c>
      <c r="V187" t="s">
        <v>2908</v>
      </c>
      <c r="Z187">
        <v>112.631162</v>
      </c>
      <c r="AA187">
        <v>-7.9713270999999999</v>
      </c>
      <c r="AB187" t="s">
        <v>2909</v>
      </c>
      <c r="AC187" t="s">
        <v>236</v>
      </c>
      <c r="AL187" t="s">
        <v>217</v>
      </c>
      <c r="AM187" t="s">
        <v>2910</v>
      </c>
      <c r="AN187" t="s">
        <v>6</v>
      </c>
      <c r="AO187" s="57">
        <v>46090.340266203704</v>
      </c>
      <c r="AP187" s="57">
        <v>46269.333333333336</v>
      </c>
      <c r="AR187" t="s">
        <v>218</v>
      </c>
      <c r="AS187" t="s">
        <v>248</v>
      </c>
      <c r="AT187" t="s">
        <v>230</v>
      </c>
      <c r="AU187">
        <v>20260903</v>
      </c>
      <c r="AV187" t="s">
        <v>221</v>
      </c>
      <c r="AW187" t="s">
        <v>887</v>
      </c>
      <c r="AX187" t="s">
        <v>222</v>
      </c>
      <c r="BA187" s="57">
        <v>46269.333333333336</v>
      </c>
      <c r="BB187" t="s">
        <v>2910</v>
      </c>
      <c r="BC187">
        <v>2026</v>
      </c>
      <c r="BD187">
        <v>9</v>
      </c>
      <c r="BE187">
        <v>3</v>
      </c>
      <c r="BF187" s="6">
        <f t="shared" si="6"/>
        <v>46268</v>
      </c>
      <c r="BG187">
        <f t="shared" si="7"/>
        <v>-1.3333333333357587</v>
      </c>
      <c r="BH187" t="str">
        <f t="shared" si="8"/>
        <v>COMPLY</v>
      </c>
      <c r="BI187" t="str">
        <f>VLOOKUP(H187,Sheet2!$A$1:$B$270,2,FALSE)</f>
        <v>MALANG</v>
      </c>
    </row>
    <row r="188" spans="1:61">
      <c r="A188">
        <v>187</v>
      </c>
      <c r="B188">
        <v>1002568658</v>
      </c>
      <c r="C188">
        <v>3</v>
      </c>
      <c r="D188" t="s">
        <v>55</v>
      </c>
      <c r="E188">
        <v>5</v>
      </c>
      <c r="F188" t="s">
        <v>261</v>
      </c>
      <c r="G188" t="s">
        <v>122</v>
      </c>
      <c r="H188" t="s">
        <v>347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46268.336076388892</v>
      </c>
      <c r="P188" s="57">
        <v>46268.776585648149</v>
      </c>
      <c r="Q188">
        <v>69382689</v>
      </c>
      <c r="S188">
        <v>152421262594</v>
      </c>
      <c r="T188" t="s">
        <v>2911</v>
      </c>
      <c r="U188" t="s">
        <v>1283</v>
      </c>
      <c r="V188" t="s">
        <v>2912</v>
      </c>
      <c r="Z188">
        <v>112.65820004045899</v>
      </c>
      <c r="AA188">
        <v>-7.1553099263990996</v>
      </c>
      <c r="AB188" t="s">
        <v>2913</v>
      </c>
      <c r="AC188" t="s">
        <v>216</v>
      </c>
      <c r="AL188" t="s">
        <v>217</v>
      </c>
      <c r="AM188" t="s">
        <v>2914</v>
      </c>
      <c r="AN188" t="s">
        <v>6</v>
      </c>
      <c r="AO188" s="57">
        <v>46090.340266203704</v>
      </c>
      <c r="AP188" s="57">
        <v>46272.458333333336</v>
      </c>
      <c r="AR188" t="s">
        <v>218</v>
      </c>
      <c r="AS188" t="s">
        <v>122</v>
      </c>
      <c r="AT188" t="s">
        <v>230</v>
      </c>
      <c r="AU188">
        <v>20260903</v>
      </c>
      <c r="AV188" t="s">
        <v>221</v>
      </c>
      <c r="AW188" t="s">
        <v>890</v>
      </c>
      <c r="AX188" t="s">
        <v>222</v>
      </c>
      <c r="BA188" s="57">
        <v>46272.458333333336</v>
      </c>
      <c r="BB188" t="s">
        <v>2914</v>
      </c>
      <c r="BC188">
        <v>2026</v>
      </c>
      <c r="BD188">
        <v>9</v>
      </c>
      <c r="BE188">
        <v>3</v>
      </c>
      <c r="BF188" s="6">
        <f t="shared" si="6"/>
        <v>46268</v>
      </c>
      <c r="BG188">
        <f t="shared" si="7"/>
        <v>-4.4583333333357587</v>
      </c>
      <c r="BH188" t="str">
        <f t="shared" si="8"/>
        <v>COMPLY</v>
      </c>
      <c r="BI188" t="str">
        <f>VLOOKUP(H188,Sheet2!$A$1:$B$270,2,FALSE)</f>
        <v>GRESIK</v>
      </c>
    </row>
    <row r="189" spans="1:61">
      <c r="A189">
        <v>188</v>
      </c>
      <c r="B189">
        <v>1002566996</v>
      </c>
      <c r="C189">
        <v>3</v>
      </c>
      <c r="D189" t="s">
        <v>45</v>
      </c>
      <c r="E189">
        <v>5</v>
      </c>
      <c r="F189" t="s">
        <v>113</v>
      </c>
      <c r="G189" t="s">
        <v>109</v>
      </c>
      <c r="H189" t="s">
        <v>413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46267.421481481484</v>
      </c>
      <c r="P189" s="57">
        <v>46268.882604166669</v>
      </c>
      <c r="Q189">
        <v>69382062</v>
      </c>
      <c r="S189">
        <v>172518797056</v>
      </c>
      <c r="T189" t="s">
        <v>2079</v>
      </c>
      <c r="U189" t="s">
        <v>2080</v>
      </c>
      <c r="V189" t="s">
        <v>2081</v>
      </c>
      <c r="Z189">
        <v>124.48156237722</v>
      </c>
      <c r="AA189">
        <v>-9.4678893831694708</v>
      </c>
      <c r="AB189" t="s">
        <v>2082</v>
      </c>
      <c r="AC189" t="s">
        <v>236</v>
      </c>
      <c r="AL189" t="s">
        <v>217</v>
      </c>
      <c r="AM189" t="s">
        <v>2059</v>
      </c>
      <c r="AN189" t="s">
        <v>6</v>
      </c>
      <c r="AO189" s="57">
        <v>46062.423657407409</v>
      </c>
      <c r="AP189" s="57">
        <v>46268.333333333336</v>
      </c>
      <c r="AR189" t="s">
        <v>218</v>
      </c>
      <c r="AS189" t="s">
        <v>219</v>
      </c>
      <c r="AT189" t="s">
        <v>230</v>
      </c>
      <c r="AU189">
        <v>20260903</v>
      </c>
      <c r="AV189" t="s">
        <v>221</v>
      </c>
      <c r="AW189" t="s">
        <v>886</v>
      </c>
      <c r="AX189" t="s">
        <v>222</v>
      </c>
      <c r="BA189" s="57">
        <v>46268.333333333336</v>
      </c>
      <c r="BB189" t="s">
        <v>2059</v>
      </c>
      <c r="BC189">
        <v>2026</v>
      </c>
      <c r="BD189">
        <v>9</v>
      </c>
      <c r="BE189">
        <v>3</v>
      </c>
      <c r="BF189" s="6">
        <f t="shared" si="6"/>
        <v>46268</v>
      </c>
      <c r="BG189">
        <f t="shared" si="7"/>
        <v>-0.33333333333575865</v>
      </c>
      <c r="BH189" t="str">
        <f t="shared" si="8"/>
        <v>COMPLY</v>
      </c>
      <c r="BI189" t="str">
        <f>VLOOKUP(H189,Sheet2!$A$1:$B$270,2,FALSE)</f>
        <v>ATAMBUA</v>
      </c>
    </row>
    <row r="190" spans="1:61">
      <c r="A190">
        <v>189</v>
      </c>
      <c r="B190">
        <v>1002568552</v>
      </c>
      <c r="C190">
        <v>3</v>
      </c>
      <c r="D190" t="s">
        <v>59</v>
      </c>
      <c r="E190">
        <v>4</v>
      </c>
      <c r="F190" t="s">
        <v>549</v>
      </c>
      <c r="G190" t="s">
        <v>582</v>
      </c>
      <c r="H190" t="s">
        <v>835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46267.762465277781</v>
      </c>
      <c r="P190" s="57">
        <v>46268.498101851852</v>
      </c>
      <c r="Q190">
        <v>69382616</v>
      </c>
      <c r="S190">
        <v>146113146899</v>
      </c>
      <c r="T190" t="s">
        <v>1568</v>
      </c>
      <c r="U190" t="s">
        <v>2915</v>
      </c>
      <c r="V190" t="s">
        <v>1569</v>
      </c>
      <c r="Z190">
        <v>110.3804032</v>
      </c>
      <c r="AA190">
        <v>-7.7611340999999996</v>
      </c>
      <c r="AB190" t="s">
        <v>1570</v>
      </c>
      <c r="AC190" t="s">
        <v>236</v>
      </c>
      <c r="AL190" t="s">
        <v>217</v>
      </c>
      <c r="AM190" t="s">
        <v>1571</v>
      </c>
      <c r="AN190" t="s">
        <v>6</v>
      </c>
      <c r="AO190" s="57">
        <v>46062.767453703702</v>
      </c>
      <c r="AP190" s="57">
        <v>46269.416666666664</v>
      </c>
      <c r="AR190" t="s">
        <v>218</v>
      </c>
      <c r="AS190" t="s">
        <v>219</v>
      </c>
      <c r="AT190" t="s">
        <v>230</v>
      </c>
      <c r="AU190">
        <v>20260903</v>
      </c>
      <c r="AV190" t="s">
        <v>221</v>
      </c>
      <c r="AW190" t="s">
        <v>887</v>
      </c>
      <c r="AX190" t="s">
        <v>222</v>
      </c>
      <c r="BA190" s="57">
        <v>46269.416666666664</v>
      </c>
      <c r="BB190" t="s">
        <v>1571</v>
      </c>
      <c r="BC190">
        <v>2026</v>
      </c>
      <c r="BD190">
        <v>9</v>
      </c>
      <c r="BE190">
        <v>3</v>
      </c>
      <c r="BF190" s="6">
        <f t="shared" si="6"/>
        <v>46268</v>
      </c>
      <c r="BG190">
        <f t="shared" si="7"/>
        <v>-1.4166666666642413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1002566558</v>
      </c>
      <c r="C191">
        <v>3</v>
      </c>
      <c r="D191" t="s">
        <v>55</v>
      </c>
      <c r="E191">
        <v>5</v>
      </c>
      <c r="F191" t="s">
        <v>261</v>
      </c>
      <c r="G191" t="s">
        <v>125</v>
      </c>
      <c r="H191" t="s">
        <v>405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46267.304814814815</v>
      </c>
      <c r="P191" s="57">
        <v>46267.934884259259</v>
      </c>
      <c r="Q191">
        <v>69381897</v>
      </c>
      <c r="S191">
        <v>152433910152</v>
      </c>
      <c r="T191" t="s">
        <v>1900</v>
      </c>
      <c r="U191" t="s">
        <v>1901</v>
      </c>
      <c r="V191" t="s">
        <v>1902</v>
      </c>
      <c r="Z191">
        <v>112.35989600000001</v>
      </c>
      <c r="AA191">
        <v>-7.2632190000000003</v>
      </c>
      <c r="AB191" t="s">
        <v>1903</v>
      </c>
      <c r="AC191" t="s">
        <v>236</v>
      </c>
      <c r="AL191" t="s">
        <v>217</v>
      </c>
      <c r="AM191" t="s">
        <v>1904</v>
      </c>
      <c r="AN191" t="s">
        <v>6</v>
      </c>
      <c r="AO191" s="57">
        <v>46062.309317129628</v>
      </c>
      <c r="AP191" s="57">
        <v>46268.416666666664</v>
      </c>
      <c r="AR191" t="s">
        <v>218</v>
      </c>
      <c r="AS191" t="s">
        <v>125</v>
      </c>
      <c r="AT191" t="s">
        <v>344</v>
      </c>
      <c r="AU191">
        <v>20260902</v>
      </c>
      <c r="AV191" t="s">
        <v>221</v>
      </c>
      <c r="AW191" t="s">
        <v>1905</v>
      </c>
      <c r="AX191" t="s">
        <v>222</v>
      </c>
      <c r="BA191" s="57">
        <v>46268.416666666664</v>
      </c>
      <c r="BB191" t="s">
        <v>1904</v>
      </c>
      <c r="BC191">
        <v>2026</v>
      </c>
      <c r="BD191">
        <v>9</v>
      </c>
      <c r="BE191">
        <v>2</v>
      </c>
      <c r="BF191" s="6">
        <f t="shared" si="6"/>
        <v>46267</v>
      </c>
      <c r="BG191">
        <f t="shared" si="7"/>
        <v>-1.4166666666642413</v>
      </c>
      <c r="BH191" t="str">
        <f t="shared" si="8"/>
        <v>COMPLY</v>
      </c>
      <c r="BI191" t="str">
        <f>VLOOKUP(H191,Sheet2!$A$1:$B$270,2,FALSE)</f>
        <v>GRESIK</v>
      </c>
    </row>
    <row r="192" spans="1:61">
      <c r="A192">
        <v>191</v>
      </c>
      <c r="B192">
        <v>1002567799</v>
      </c>
      <c r="C192">
        <v>3</v>
      </c>
      <c r="D192" t="s">
        <v>49</v>
      </c>
      <c r="E192">
        <v>4</v>
      </c>
      <c r="F192" t="s">
        <v>250</v>
      </c>
      <c r="G192" t="s">
        <v>250</v>
      </c>
      <c r="H192" t="s">
        <v>611</v>
      </c>
      <c r="I192" t="s">
        <v>212</v>
      </c>
      <c r="J192" t="s">
        <v>213</v>
      </c>
      <c r="K192" t="s">
        <v>149</v>
      </c>
      <c r="M192" t="s">
        <v>76</v>
      </c>
      <c r="N192" t="s">
        <v>215</v>
      </c>
      <c r="O192" s="57">
        <v>46267.592835648145</v>
      </c>
      <c r="P192" s="57">
        <v>46267.628206018519</v>
      </c>
      <c r="Q192">
        <v>69380809</v>
      </c>
      <c r="S192">
        <v>146285103915</v>
      </c>
      <c r="T192" t="s">
        <v>1906</v>
      </c>
      <c r="U192" t="s">
        <v>1482</v>
      </c>
      <c r="V192" t="s">
        <v>1907</v>
      </c>
      <c r="Z192">
        <v>109.63218000000001</v>
      </c>
      <c r="AA192">
        <v>-6.9770830000000004</v>
      </c>
      <c r="AB192" t="s">
        <v>1908</v>
      </c>
      <c r="AC192" t="s">
        <v>284</v>
      </c>
      <c r="AL192" t="s">
        <v>217</v>
      </c>
      <c r="AM192" t="s">
        <v>1909</v>
      </c>
      <c r="AN192" t="s">
        <v>6</v>
      </c>
      <c r="AO192" s="57">
        <v>46062.600717592592</v>
      </c>
      <c r="AR192" t="s">
        <v>218</v>
      </c>
      <c r="AS192" t="s">
        <v>899</v>
      </c>
      <c r="AT192" t="s">
        <v>230</v>
      </c>
      <c r="AU192">
        <v>20260902</v>
      </c>
      <c r="AV192" t="s">
        <v>221</v>
      </c>
      <c r="AW192" t="s">
        <v>545</v>
      </c>
      <c r="AX192" t="s">
        <v>222</v>
      </c>
      <c r="BA192" s="57">
        <v>46267.291666666664</v>
      </c>
      <c r="BB192" t="s">
        <v>1909</v>
      </c>
      <c r="BC192">
        <v>2026</v>
      </c>
      <c r="BD192">
        <v>9</v>
      </c>
      <c r="BE192">
        <v>2</v>
      </c>
      <c r="BF192" s="6">
        <f t="shared" si="6"/>
        <v>46267</v>
      </c>
      <c r="BG192">
        <f t="shared" si="7"/>
        <v>-0.29166666666424135</v>
      </c>
      <c r="BH192" t="str">
        <f t="shared" si="8"/>
        <v>COMPLY</v>
      </c>
      <c r="BI192" t="e">
        <f>VLOOKUP(H192,Sheet2!$A$1:$B$270,2,FALSE)</f>
        <v>#N/A</v>
      </c>
    </row>
    <row r="193" spans="1:61">
      <c r="A193">
        <v>192</v>
      </c>
      <c r="B193">
        <v>1002567809</v>
      </c>
      <c r="C193">
        <v>3</v>
      </c>
      <c r="D193" t="s">
        <v>49</v>
      </c>
      <c r="E193">
        <v>4</v>
      </c>
      <c r="F193" t="s">
        <v>250</v>
      </c>
      <c r="G193" t="s">
        <v>539</v>
      </c>
      <c r="H193" t="s">
        <v>838</v>
      </c>
      <c r="I193" t="s">
        <v>212</v>
      </c>
      <c r="J193" t="s">
        <v>213</v>
      </c>
      <c r="K193" t="s">
        <v>149</v>
      </c>
      <c r="M193" t="s">
        <v>76</v>
      </c>
      <c r="N193" t="s">
        <v>215</v>
      </c>
      <c r="O193" s="57">
        <v>46267.595520833333</v>
      </c>
      <c r="P193" s="57">
        <v>46267.63517361111</v>
      </c>
      <c r="Q193">
        <v>69381339</v>
      </c>
      <c r="S193">
        <v>142205105819</v>
      </c>
      <c r="T193" t="s">
        <v>1175</v>
      </c>
      <c r="U193" t="s">
        <v>1910</v>
      </c>
      <c r="V193" t="s">
        <v>1911</v>
      </c>
      <c r="Z193">
        <v>108.990799</v>
      </c>
      <c r="AA193">
        <v>-6.9198139999999997</v>
      </c>
      <c r="AB193" t="s">
        <v>1178</v>
      </c>
      <c r="AC193" t="s">
        <v>284</v>
      </c>
      <c r="AL193" t="s">
        <v>217</v>
      </c>
      <c r="AM193" t="s">
        <v>1912</v>
      </c>
      <c r="AN193" t="s">
        <v>6</v>
      </c>
      <c r="AO193" s="57">
        <v>46062.600717592592</v>
      </c>
      <c r="AR193" t="s">
        <v>218</v>
      </c>
      <c r="AS193" t="s">
        <v>219</v>
      </c>
      <c r="AT193" t="s">
        <v>230</v>
      </c>
      <c r="AU193">
        <v>20260902</v>
      </c>
      <c r="AV193" t="s">
        <v>221</v>
      </c>
      <c r="AW193" t="s">
        <v>1913</v>
      </c>
      <c r="AX193" t="s">
        <v>222</v>
      </c>
      <c r="BA193" s="57">
        <v>46267.291666666664</v>
      </c>
      <c r="BB193" t="s">
        <v>1912</v>
      </c>
      <c r="BC193">
        <v>2026</v>
      </c>
      <c r="BD193">
        <v>9</v>
      </c>
      <c r="BE193">
        <v>2</v>
      </c>
      <c r="BF193" s="6">
        <f t="shared" si="6"/>
        <v>46267</v>
      </c>
      <c r="BG193">
        <f t="shared" si="7"/>
        <v>-0.29166666666424135</v>
      </c>
      <c r="BH193" t="str">
        <f t="shared" si="8"/>
        <v>COMPLY</v>
      </c>
      <c r="BI193" t="e">
        <f>VLOOKUP(H193,Sheet2!$A$1:$B$270,2,FALSE)</f>
        <v>#N/A</v>
      </c>
    </row>
    <row r="194" spans="1:61">
      <c r="A194">
        <v>193</v>
      </c>
      <c r="B194">
        <v>1002568399</v>
      </c>
      <c r="C194">
        <v>3</v>
      </c>
      <c r="D194" t="s">
        <v>55</v>
      </c>
      <c r="E194">
        <v>5</v>
      </c>
      <c r="F194" t="s">
        <v>307</v>
      </c>
      <c r="G194" t="s">
        <v>124</v>
      </c>
      <c r="H194" t="s">
        <v>309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46267.697870370372</v>
      </c>
      <c r="P194" s="57">
        <v>46268.576840277776</v>
      </c>
      <c r="Q194">
        <v>69382568</v>
      </c>
      <c r="S194">
        <v>152308243235</v>
      </c>
      <c r="T194" t="s">
        <v>1572</v>
      </c>
      <c r="U194" t="s">
        <v>1573</v>
      </c>
      <c r="V194" t="s">
        <v>1574</v>
      </c>
      <c r="Z194">
        <v>112.73393590003199</v>
      </c>
      <c r="AA194">
        <v>-7.32036786912564</v>
      </c>
      <c r="AB194" t="s">
        <v>1575</v>
      </c>
      <c r="AC194" t="s">
        <v>216</v>
      </c>
      <c r="AL194" t="s">
        <v>217</v>
      </c>
      <c r="AM194" t="s">
        <v>1576</v>
      </c>
      <c r="AN194" t="s">
        <v>6</v>
      </c>
      <c r="AO194" s="57">
        <v>46062.704965277779</v>
      </c>
      <c r="AP194" s="57">
        <v>46268.625</v>
      </c>
      <c r="AR194" t="s">
        <v>218</v>
      </c>
      <c r="AS194" t="s">
        <v>605</v>
      </c>
      <c r="AT194" t="s">
        <v>230</v>
      </c>
      <c r="AU194">
        <v>20260903</v>
      </c>
      <c r="AV194" t="s">
        <v>221</v>
      </c>
      <c r="AW194" t="s">
        <v>891</v>
      </c>
      <c r="AX194" t="s">
        <v>222</v>
      </c>
      <c r="BA194" s="57">
        <v>46268.625</v>
      </c>
      <c r="BB194" t="s">
        <v>1576</v>
      </c>
      <c r="BC194">
        <v>2026</v>
      </c>
      <c r="BD194">
        <v>9</v>
      </c>
      <c r="BE194">
        <v>3</v>
      </c>
      <c r="BF194" s="6">
        <f t="shared" ref="BF194:BF257" si="9">DATE(BC194,BD194,BE194)</f>
        <v>46268</v>
      </c>
      <c r="BG194">
        <f t="shared" ref="BG194:BG257" si="10">BF194-BA194</f>
        <v>-0.625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SURABAYA SELATAN</v>
      </c>
    </row>
    <row r="195" spans="1:61">
      <c r="A195">
        <v>194</v>
      </c>
      <c r="B195">
        <v>1002566950</v>
      </c>
      <c r="C195">
        <v>3</v>
      </c>
      <c r="D195" t="s">
        <v>38</v>
      </c>
      <c r="E195">
        <v>5</v>
      </c>
      <c r="F195" t="s">
        <v>248</v>
      </c>
      <c r="G195" t="s">
        <v>91</v>
      </c>
      <c r="H195" t="s">
        <v>412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46267.412476851852</v>
      </c>
      <c r="P195" s="57">
        <v>46267.601770833331</v>
      </c>
      <c r="Q195">
        <v>69382053</v>
      </c>
      <c r="S195">
        <v>152715213311</v>
      </c>
      <c r="T195" t="s">
        <v>1914</v>
      </c>
      <c r="U195" t="s">
        <v>1915</v>
      </c>
      <c r="V195" t="s">
        <v>1916</v>
      </c>
      <c r="Z195">
        <v>112.61499646168799</v>
      </c>
      <c r="AA195">
        <v>-8.1434994211175802</v>
      </c>
      <c r="AB195" t="s">
        <v>1917</v>
      </c>
      <c r="AC195" t="s">
        <v>236</v>
      </c>
      <c r="AL195" t="s">
        <v>217</v>
      </c>
      <c r="AM195" t="s">
        <v>1918</v>
      </c>
      <c r="AN195" t="s">
        <v>6</v>
      </c>
      <c r="AO195" s="57">
        <v>46062.413263888891</v>
      </c>
      <c r="AP195" s="57">
        <v>46268.333333333336</v>
      </c>
      <c r="AR195" t="s">
        <v>218</v>
      </c>
      <c r="AS195" t="s">
        <v>584</v>
      </c>
      <c r="AT195" t="s">
        <v>220</v>
      </c>
      <c r="AU195">
        <v>20260902</v>
      </c>
      <c r="AV195" t="s">
        <v>221</v>
      </c>
      <c r="AW195" t="s">
        <v>881</v>
      </c>
      <c r="AX195" t="s">
        <v>222</v>
      </c>
      <c r="BA195" s="57">
        <v>46268.333333333336</v>
      </c>
      <c r="BB195" t="s">
        <v>1918</v>
      </c>
      <c r="BC195">
        <v>2026</v>
      </c>
      <c r="BD195">
        <v>9</v>
      </c>
      <c r="BE195">
        <v>2</v>
      </c>
      <c r="BF195" s="6">
        <f t="shared" si="9"/>
        <v>46267</v>
      </c>
      <c r="BG195">
        <f t="shared" si="10"/>
        <v>-1.3333333333357587</v>
      </c>
      <c r="BH195" t="str">
        <f t="shared" si="11"/>
        <v>COMPLY</v>
      </c>
      <c r="BI195" t="str">
        <f>VLOOKUP(H195,Sheet2!$A$1:$B$270,2,FALSE)</f>
        <v>MALANG</v>
      </c>
    </row>
    <row r="196" spans="1:61">
      <c r="A196">
        <v>195</v>
      </c>
      <c r="B196">
        <v>1002566886</v>
      </c>
      <c r="C196">
        <v>3</v>
      </c>
      <c r="D196" t="s">
        <v>38</v>
      </c>
      <c r="E196">
        <v>5</v>
      </c>
      <c r="F196" t="s">
        <v>90</v>
      </c>
      <c r="G196" t="s">
        <v>93</v>
      </c>
      <c r="H196" t="s">
        <v>381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46267.402743055558</v>
      </c>
      <c r="P196" s="57">
        <v>46267.712384259263</v>
      </c>
      <c r="Q196">
        <v>69382041</v>
      </c>
      <c r="S196">
        <v>152615203387</v>
      </c>
      <c r="T196" t="s">
        <v>1919</v>
      </c>
      <c r="U196" t="s">
        <v>1920</v>
      </c>
      <c r="V196" t="s">
        <v>1921</v>
      </c>
      <c r="Z196">
        <v>112.092991881072</v>
      </c>
      <c r="AA196">
        <v>-7.6391968756506801</v>
      </c>
      <c r="AB196" t="s">
        <v>1922</v>
      </c>
      <c r="AC196" t="s">
        <v>216</v>
      </c>
      <c r="AL196" t="s">
        <v>217</v>
      </c>
      <c r="AM196" t="s">
        <v>1923</v>
      </c>
      <c r="AN196" t="s">
        <v>6</v>
      </c>
      <c r="AO196" s="57">
        <v>46062.413263888891</v>
      </c>
      <c r="AP196" s="57">
        <v>46268.625</v>
      </c>
      <c r="AR196" t="s">
        <v>218</v>
      </c>
      <c r="AS196" t="s">
        <v>589</v>
      </c>
      <c r="AT196" t="s">
        <v>230</v>
      </c>
      <c r="AU196">
        <v>20260902</v>
      </c>
      <c r="AV196" t="s">
        <v>221</v>
      </c>
      <c r="AW196" t="s">
        <v>885</v>
      </c>
      <c r="AX196" t="s">
        <v>222</v>
      </c>
      <c r="BA196" s="57">
        <v>46268.625</v>
      </c>
      <c r="BB196" t="s">
        <v>1923</v>
      </c>
      <c r="BC196">
        <v>2026</v>
      </c>
      <c r="BD196">
        <v>9</v>
      </c>
      <c r="BE196">
        <v>2</v>
      </c>
      <c r="BF196" s="6">
        <f t="shared" si="9"/>
        <v>46267</v>
      </c>
      <c r="BG196">
        <f t="shared" si="10"/>
        <v>-1.625</v>
      </c>
      <c r="BH196" t="str">
        <f t="shared" si="11"/>
        <v>COMPLY</v>
      </c>
      <c r="BI196" t="str">
        <f>VLOOKUP(H196,Sheet2!$A$1:$B$270,2,FALSE)</f>
        <v>NGANJUK</v>
      </c>
    </row>
    <row r="197" spans="1:61">
      <c r="A197">
        <v>196</v>
      </c>
      <c r="B197">
        <v>1002566921</v>
      </c>
      <c r="C197">
        <v>3</v>
      </c>
      <c r="D197" t="s">
        <v>49</v>
      </c>
      <c r="E197">
        <v>4</v>
      </c>
      <c r="F197" t="s">
        <v>245</v>
      </c>
      <c r="G197" t="s">
        <v>1924</v>
      </c>
      <c r="H197" t="s">
        <v>1925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46267.406898148147</v>
      </c>
      <c r="P197" s="57">
        <v>46267.828483796293</v>
      </c>
      <c r="Q197">
        <v>69382050</v>
      </c>
      <c r="S197">
        <v>141459109252</v>
      </c>
      <c r="T197" t="s">
        <v>1926</v>
      </c>
      <c r="U197" t="s">
        <v>1927</v>
      </c>
      <c r="V197" t="s">
        <v>1928</v>
      </c>
      <c r="Z197">
        <v>110.408392958343</v>
      </c>
      <c r="AA197">
        <v>-7.25346112780369</v>
      </c>
      <c r="AB197" t="s">
        <v>1929</v>
      </c>
      <c r="AC197" t="s">
        <v>216</v>
      </c>
      <c r="AL197" t="s">
        <v>217</v>
      </c>
      <c r="AM197" t="s">
        <v>1930</v>
      </c>
      <c r="AN197" t="s">
        <v>6</v>
      </c>
      <c r="AO197" s="57">
        <v>46062.413263888891</v>
      </c>
      <c r="AP197" s="57">
        <v>46268.333333333336</v>
      </c>
      <c r="AR197" t="s">
        <v>218</v>
      </c>
      <c r="AS197" t="s">
        <v>1931</v>
      </c>
      <c r="AT197" t="s">
        <v>230</v>
      </c>
      <c r="AU197">
        <v>20260902</v>
      </c>
      <c r="AV197" t="s">
        <v>221</v>
      </c>
      <c r="AW197" t="s">
        <v>883</v>
      </c>
      <c r="AX197" t="s">
        <v>222</v>
      </c>
      <c r="BA197" s="57">
        <v>46268.333333333336</v>
      </c>
      <c r="BB197" t="s">
        <v>1930</v>
      </c>
      <c r="BC197">
        <v>2026</v>
      </c>
      <c r="BD197">
        <v>9</v>
      </c>
      <c r="BE197">
        <v>2</v>
      </c>
      <c r="BF197" s="6">
        <f t="shared" si="9"/>
        <v>46267</v>
      </c>
      <c r="BG197">
        <f t="shared" si="10"/>
        <v>-1.3333333333357587</v>
      </c>
      <c r="BH197" t="str">
        <f t="shared" si="11"/>
        <v>COMPLY</v>
      </c>
      <c r="BI197" t="e">
        <f>VLOOKUP(H197,Sheet2!$A$1:$B$270,2,FALSE)</f>
        <v>#N/A</v>
      </c>
    </row>
    <row r="198" spans="1:61">
      <c r="A198">
        <v>197</v>
      </c>
      <c r="B198">
        <v>1002568456</v>
      </c>
      <c r="C198">
        <v>3</v>
      </c>
      <c r="D198" t="s">
        <v>38</v>
      </c>
      <c r="E198">
        <v>5</v>
      </c>
      <c r="F198" t="s">
        <v>92</v>
      </c>
      <c r="G198" t="s">
        <v>89</v>
      </c>
      <c r="H198" t="s">
        <v>360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46267.712465277778</v>
      </c>
      <c r="P198" s="57">
        <v>46268.759768518517</v>
      </c>
      <c r="Q198">
        <v>69382589</v>
      </c>
      <c r="S198">
        <v>152644206416</v>
      </c>
      <c r="T198" t="s">
        <v>1593</v>
      </c>
      <c r="U198" t="s">
        <v>1594</v>
      </c>
      <c r="V198" t="s">
        <v>1595</v>
      </c>
      <c r="Z198">
        <v>111.597600531919</v>
      </c>
      <c r="AA198">
        <v>-7.2663955216170297</v>
      </c>
      <c r="AB198" t="s">
        <v>1596</v>
      </c>
      <c r="AC198" t="s">
        <v>236</v>
      </c>
      <c r="AL198" t="s">
        <v>217</v>
      </c>
      <c r="AM198" t="s">
        <v>1597</v>
      </c>
      <c r="AN198" t="s">
        <v>6</v>
      </c>
      <c r="AO198" s="57">
        <v>46062.715486111112</v>
      </c>
      <c r="AP198" s="57">
        <v>46268.625</v>
      </c>
      <c r="AR198" t="s">
        <v>218</v>
      </c>
      <c r="AS198" t="s">
        <v>1598</v>
      </c>
      <c r="AT198" t="s">
        <v>230</v>
      </c>
      <c r="AU198">
        <v>20260903</v>
      </c>
      <c r="AV198" t="s">
        <v>221</v>
      </c>
      <c r="AW198" t="s">
        <v>885</v>
      </c>
      <c r="AX198" t="s">
        <v>222</v>
      </c>
      <c r="BA198" s="57">
        <v>46268.625</v>
      </c>
      <c r="BB198" t="s">
        <v>1597</v>
      </c>
      <c r="BC198">
        <v>2026</v>
      </c>
      <c r="BD198">
        <v>9</v>
      </c>
      <c r="BE198">
        <v>3</v>
      </c>
      <c r="BF198" s="6">
        <f t="shared" si="9"/>
        <v>46268</v>
      </c>
      <c r="BG198">
        <f t="shared" si="10"/>
        <v>-0.625</v>
      </c>
      <c r="BH198" t="str">
        <f t="shared" si="11"/>
        <v>COMPLY</v>
      </c>
      <c r="BI198" t="str">
        <f>VLOOKUP(H198,Sheet2!$A$1:$B$270,2,FALSE)</f>
        <v>BOJONEGORO</v>
      </c>
    </row>
    <row r="199" spans="1:61">
      <c r="A199">
        <v>198</v>
      </c>
      <c r="B199">
        <v>1002567253</v>
      </c>
      <c r="C199">
        <v>3</v>
      </c>
      <c r="D199" t="s">
        <v>55</v>
      </c>
      <c r="E199">
        <v>5</v>
      </c>
      <c r="F199" t="s">
        <v>261</v>
      </c>
      <c r="G199" t="s">
        <v>123</v>
      </c>
      <c r="H199" t="s">
        <v>287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46267.477280092593</v>
      </c>
      <c r="P199" s="57">
        <v>46268.645983796298</v>
      </c>
      <c r="Q199">
        <v>69382161</v>
      </c>
      <c r="S199">
        <v>152401227303</v>
      </c>
      <c r="T199" t="s">
        <v>1540</v>
      </c>
      <c r="U199" t="s">
        <v>1541</v>
      </c>
      <c r="V199" t="s">
        <v>2916</v>
      </c>
      <c r="Z199">
        <v>112.7154621</v>
      </c>
      <c r="AA199">
        <v>-7.2402169000000001</v>
      </c>
      <c r="AB199" t="s">
        <v>1542</v>
      </c>
      <c r="AC199" t="s">
        <v>229</v>
      </c>
      <c r="AL199" t="s">
        <v>217</v>
      </c>
      <c r="AM199" t="s">
        <v>2917</v>
      </c>
      <c r="AN199" t="s">
        <v>6</v>
      </c>
      <c r="AO199" s="57">
        <v>46062.486145833333</v>
      </c>
      <c r="AP199" s="57">
        <v>46269.625</v>
      </c>
      <c r="AR199" t="s">
        <v>218</v>
      </c>
      <c r="AS199" t="s">
        <v>271</v>
      </c>
      <c r="AT199" t="s">
        <v>230</v>
      </c>
      <c r="AU199">
        <v>20260903</v>
      </c>
      <c r="AV199" t="s">
        <v>221</v>
      </c>
      <c r="AW199" t="s">
        <v>1543</v>
      </c>
      <c r="AX199" t="s">
        <v>222</v>
      </c>
      <c r="BA199" s="57">
        <v>46269.625</v>
      </c>
      <c r="BB199" t="s">
        <v>2917</v>
      </c>
      <c r="BC199">
        <v>2026</v>
      </c>
      <c r="BD199">
        <v>9</v>
      </c>
      <c r="BE199">
        <v>3</v>
      </c>
      <c r="BF199" s="6">
        <f t="shared" si="9"/>
        <v>46268</v>
      </c>
      <c r="BG199">
        <f t="shared" si="10"/>
        <v>-1.625</v>
      </c>
      <c r="BH199" t="str">
        <f t="shared" si="11"/>
        <v>COMPLY</v>
      </c>
      <c r="BI199" t="str">
        <f>VLOOKUP(H199,Sheet2!$A$1:$B$270,2,FALSE)</f>
        <v>SURABAYA UTARA</v>
      </c>
    </row>
    <row r="200" spans="1:61">
      <c r="A200">
        <v>199</v>
      </c>
      <c r="B200">
        <v>1002567302</v>
      </c>
      <c r="C200">
        <v>3</v>
      </c>
      <c r="D200" t="s">
        <v>51</v>
      </c>
      <c r="E200">
        <v>4</v>
      </c>
      <c r="F200" t="s">
        <v>269</v>
      </c>
      <c r="G200" t="s">
        <v>1932</v>
      </c>
      <c r="H200" t="s">
        <v>1933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46267.480787037035</v>
      </c>
      <c r="P200" s="57">
        <v>46267.802986111114</v>
      </c>
      <c r="Q200">
        <v>69380377</v>
      </c>
      <c r="S200">
        <v>141569115880</v>
      </c>
      <c r="T200" t="s">
        <v>1934</v>
      </c>
      <c r="U200" t="s">
        <v>1935</v>
      </c>
      <c r="V200" t="s">
        <v>1936</v>
      </c>
      <c r="Z200">
        <v>111.39656453359601</v>
      </c>
      <c r="AA200">
        <v>-6.9893009518497502</v>
      </c>
      <c r="AB200" t="s">
        <v>1937</v>
      </c>
      <c r="AC200" t="s">
        <v>285</v>
      </c>
      <c r="AL200" t="s">
        <v>217</v>
      </c>
      <c r="AM200" t="s">
        <v>1938</v>
      </c>
      <c r="AN200" t="s">
        <v>6</v>
      </c>
      <c r="AO200" s="57">
        <v>46062.486145833333</v>
      </c>
      <c r="AR200" t="s">
        <v>218</v>
      </c>
      <c r="AS200" t="s">
        <v>219</v>
      </c>
      <c r="AT200" t="s">
        <v>230</v>
      </c>
      <c r="AU200">
        <v>20260902</v>
      </c>
      <c r="AV200" t="s">
        <v>221</v>
      </c>
      <c r="AW200" t="s">
        <v>545</v>
      </c>
      <c r="AX200" t="s">
        <v>222</v>
      </c>
      <c r="BA200" s="57">
        <v>46267.291666666664</v>
      </c>
      <c r="BB200" t="s">
        <v>1938</v>
      </c>
      <c r="BC200">
        <v>2026</v>
      </c>
      <c r="BD200">
        <v>9</v>
      </c>
      <c r="BE200">
        <v>2</v>
      </c>
      <c r="BF200" s="6">
        <f t="shared" si="9"/>
        <v>46267</v>
      </c>
      <c r="BG200">
        <f t="shared" si="10"/>
        <v>-0.29166666666424135</v>
      </c>
      <c r="BH200" t="str">
        <f t="shared" si="11"/>
        <v>COMPLY</v>
      </c>
      <c r="BI200" t="e">
        <f>VLOOKUP(H200,Sheet2!$A$1:$B$270,2,FALSE)</f>
        <v>#N/A</v>
      </c>
    </row>
    <row r="201" spans="1:61">
      <c r="A201">
        <v>200</v>
      </c>
      <c r="B201">
        <v>1002568037</v>
      </c>
      <c r="C201">
        <v>3</v>
      </c>
      <c r="D201" t="s">
        <v>42</v>
      </c>
      <c r="E201">
        <v>5</v>
      </c>
      <c r="F201" t="s">
        <v>106</v>
      </c>
      <c r="G201" t="s">
        <v>107</v>
      </c>
      <c r="H201" t="s">
        <v>345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46267.633298611108</v>
      </c>
      <c r="P201" s="57">
        <v>46268.63417824074</v>
      </c>
      <c r="Q201">
        <v>69382457</v>
      </c>
      <c r="S201">
        <v>152509216392</v>
      </c>
      <c r="T201" t="s">
        <v>1610</v>
      </c>
      <c r="U201" t="s">
        <v>1611</v>
      </c>
      <c r="V201" t="s">
        <v>1612</v>
      </c>
      <c r="Z201">
        <v>113.379946611821</v>
      </c>
      <c r="AA201">
        <v>-7.8220765346997103</v>
      </c>
      <c r="AB201" t="s">
        <v>1613</v>
      </c>
      <c r="AC201" t="s">
        <v>216</v>
      </c>
      <c r="AL201" t="s">
        <v>217</v>
      </c>
      <c r="AM201" t="s">
        <v>1614</v>
      </c>
      <c r="AN201" t="s">
        <v>6</v>
      </c>
      <c r="AO201" s="57">
        <v>46062.642453703702</v>
      </c>
      <c r="AP201" s="57">
        <v>46268.541666666664</v>
      </c>
      <c r="AR201" t="s">
        <v>218</v>
      </c>
      <c r="AS201" t="s">
        <v>1615</v>
      </c>
      <c r="AT201" t="s">
        <v>230</v>
      </c>
      <c r="AU201">
        <v>20260903</v>
      </c>
      <c r="AV201" t="s">
        <v>221</v>
      </c>
      <c r="AW201" t="s">
        <v>886</v>
      </c>
      <c r="AX201" t="s">
        <v>222</v>
      </c>
      <c r="BA201" s="57">
        <v>46268.541666666664</v>
      </c>
      <c r="BB201" t="s">
        <v>1614</v>
      </c>
      <c r="BC201">
        <v>2026</v>
      </c>
      <c r="BD201">
        <v>9</v>
      </c>
      <c r="BE201">
        <v>3</v>
      </c>
      <c r="BF201" s="6">
        <f t="shared" si="9"/>
        <v>46268</v>
      </c>
      <c r="BG201">
        <f t="shared" si="10"/>
        <v>-0.54166666666424135</v>
      </c>
      <c r="BH201" t="str">
        <f t="shared" si="11"/>
        <v>COMPLY</v>
      </c>
      <c r="BI201" t="str">
        <f>VLOOKUP(H201,Sheet2!$A$1:$B$270,2,FALSE)</f>
        <v>PROBOLINGGO</v>
      </c>
    </row>
    <row r="202" spans="1:61">
      <c r="A202">
        <v>201</v>
      </c>
      <c r="B202">
        <v>1002568030</v>
      </c>
      <c r="C202">
        <v>3</v>
      </c>
      <c r="D202" t="s">
        <v>38</v>
      </c>
      <c r="E202">
        <v>5</v>
      </c>
      <c r="F202" t="s">
        <v>92</v>
      </c>
      <c r="G202" t="s">
        <v>97</v>
      </c>
      <c r="H202" t="s">
        <v>252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46267.631909722222</v>
      </c>
      <c r="P202" s="57">
        <v>46268.723587962966</v>
      </c>
      <c r="Q202">
        <v>69382432</v>
      </c>
      <c r="S202">
        <v>152612240422</v>
      </c>
      <c r="T202" t="s">
        <v>1616</v>
      </c>
      <c r="U202" t="s">
        <v>1617</v>
      </c>
      <c r="V202" t="s">
        <v>1618</v>
      </c>
      <c r="Z202">
        <v>112.042243480682</v>
      </c>
      <c r="AA202">
        <v>-6.8893245840678397</v>
      </c>
      <c r="AB202" t="s">
        <v>1619</v>
      </c>
      <c r="AC202" t="s">
        <v>216</v>
      </c>
      <c r="AL202" t="s">
        <v>217</v>
      </c>
      <c r="AM202" t="s">
        <v>1620</v>
      </c>
      <c r="AN202" t="s">
        <v>6</v>
      </c>
      <c r="AO202" s="57">
        <v>46062.642453703702</v>
      </c>
      <c r="AP202" s="57">
        <v>46269.333333333336</v>
      </c>
      <c r="AR202" t="s">
        <v>218</v>
      </c>
      <c r="AS202" t="s">
        <v>219</v>
      </c>
      <c r="AT202" t="s">
        <v>230</v>
      </c>
      <c r="AU202">
        <v>20260903</v>
      </c>
      <c r="AV202" t="s">
        <v>221</v>
      </c>
      <c r="AW202" t="s">
        <v>883</v>
      </c>
      <c r="AX202" t="s">
        <v>222</v>
      </c>
      <c r="BA202" s="57">
        <v>46269.333333333336</v>
      </c>
      <c r="BB202" t="s">
        <v>1620</v>
      </c>
      <c r="BC202">
        <v>2026</v>
      </c>
      <c r="BD202">
        <v>9</v>
      </c>
      <c r="BE202">
        <v>3</v>
      </c>
      <c r="BF202" s="6">
        <f t="shared" si="9"/>
        <v>46268</v>
      </c>
      <c r="BG202">
        <f t="shared" si="10"/>
        <v>-1.3333333333357587</v>
      </c>
      <c r="BH202" t="str">
        <f t="shared" si="11"/>
        <v>COMPLY</v>
      </c>
      <c r="BI202" t="str">
        <f>VLOOKUP(H202,Sheet2!$A$1:$B$270,2,FALSE)</f>
        <v>BOJONEGORO</v>
      </c>
    </row>
    <row r="203" spans="1:61">
      <c r="A203">
        <v>202</v>
      </c>
      <c r="B203">
        <v>1002568049</v>
      </c>
      <c r="C203">
        <v>3</v>
      </c>
      <c r="D203" t="s">
        <v>38</v>
      </c>
      <c r="E203">
        <v>5</v>
      </c>
      <c r="F203" t="s">
        <v>92</v>
      </c>
      <c r="G203" t="s">
        <v>89</v>
      </c>
      <c r="H203" t="s">
        <v>397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46267.636076388888</v>
      </c>
      <c r="P203" s="57">
        <v>46268.633333333331</v>
      </c>
      <c r="Q203">
        <v>69382459</v>
      </c>
      <c r="S203">
        <v>152642208296</v>
      </c>
      <c r="T203" t="s">
        <v>1621</v>
      </c>
      <c r="U203" t="s">
        <v>2918</v>
      </c>
      <c r="V203" t="s">
        <v>1622</v>
      </c>
      <c r="Z203">
        <v>111.984771799999</v>
      </c>
      <c r="AA203">
        <v>-7.1844241999999996</v>
      </c>
      <c r="AB203" t="s">
        <v>1623</v>
      </c>
      <c r="AC203" t="s">
        <v>236</v>
      </c>
      <c r="AL203" t="s">
        <v>217</v>
      </c>
      <c r="AM203" t="s">
        <v>1624</v>
      </c>
      <c r="AN203" t="s">
        <v>6</v>
      </c>
      <c r="AO203" s="57">
        <v>46062.642453703702</v>
      </c>
      <c r="AP203" s="57">
        <v>46268.625</v>
      </c>
      <c r="AR203" t="s">
        <v>218</v>
      </c>
      <c r="AS203" t="s">
        <v>1598</v>
      </c>
      <c r="AT203" t="s">
        <v>230</v>
      </c>
      <c r="AU203">
        <v>20260903</v>
      </c>
      <c r="AV203" t="s">
        <v>221</v>
      </c>
      <c r="AW203" t="s">
        <v>886</v>
      </c>
      <c r="AX203" t="s">
        <v>222</v>
      </c>
      <c r="BA203" s="57">
        <v>46268.625</v>
      </c>
      <c r="BB203" t="s">
        <v>1624</v>
      </c>
      <c r="BC203">
        <v>2026</v>
      </c>
      <c r="BD203">
        <v>9</v>
      </c>
      <c r="BE203">
        <v>3</v>
      </c>
      <c r="BF203" s="6">
        <f t="shared" si="9"/>
        <v>46268</v>
      </c>
      <c r="BG203">
        <f t="shared" si="10"/>
        <v>-0.625</v>
      </c>
      <c r="BH203" t="str">
        <f t="shared" si="11"/>
        <v>COMPLY</v>
      </c>
      <c r="BI203" t="str">
        <f>VLOOKUP(H203,Sheet2!$A$1:$B$270,2,FALSE)</f>
        <v>BOJONEGORO</v>
      </c>
    </row>
    <row r="204" spans="1:61">
      <c r="A204">
        <v>203</v>
      </c>
      <c r="B204">
        <v>1002567684</v>
      </c>
      <c r="C204">
        <v>3</v>
      </c>
      <c r="D204" t="s">
        <v>42</v>
      </c>
      <c r="E204">
        <v>5</v>
      </c>
      <c r="F204" t="s">
        <v>106</v>
      </c>
      <c r="G204" t="s">
        <v>106</v>
      </c>
      <c r="H204" t="s">
        <v>365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46267.573125000003</v>
      </c>
      <c r="P204" s="57">
        <v>46268.630555555559</v>
      </c>
      <c r="Q204">
        <v>69382355</v>
      </c>
      <c r="S204">
        <v>152731204219</v>
      </c>
      <c r="T204" t="s">
        <v>1625</v>
      </c>
      <c r="U204" t="s">
        <v>1626</v>
      </c>
      <c r="V204" t="s">
        <v>1627</v>
      </c>
      <c r="Z204">
        <v>112.9810363</v>
      </c>
      <c r="AA204">
        <v>-7.8022390000000001</v>
      </c>
      <c r="AB204" t="s">
        <v>1628</v>
      </c>
      <c r="AC204" t="s">
        <v>229</v>
      </c>
      <c r="AL204" t="s">
        <v>217</v>
      </c>
      <c r="AM204" t="s">
        <v>1629</v>
      </c>
      <c r="AN204" t="s">
        <v>6</v>
      </c>
      <c r="AO204" s="57">
        <v>46062.579953703702</v>
      </c>
      <c r="AP204" s="57">
        <v>46270.333333333336</v>
      </c>
      <c r="AR204" t="s">
        <v>218</v>
      </c>
      <c r="AS204" t="s">
        <v>219</v>
      </c>
      <c r="AT204" t="s">
        <v>230</v>
      </c>
      <c r="AU204">
        <v>20260903</v>
      </c>
      <c r="AV204" t="s">
        <v>221</v>
      </c>
      <c r="AW204" t="s">
        <v>545</v>
      </c>
      <c r="AX204" t="s">
        <v>222</v>
      </c>
      <c r="BA204" s="57">
        <v>46270.333333333336</v>
      </c>
      <c r="BB204" t="s">
        <v>1629</v>
      </c>
      <c r="BC204">
        <v>2026</v>
      </c>
      <c r="BD204">
        <v>9</v>
      </c>
      <c r="BE204">
        <v>3</v>
      </c>
      <c r="BF204" s="6">
        <f t="shared" si="9"/>
        <v>46268</v>
      </c>
      <c r="BG204">
        <f t="shared" si="10"/>
        <v>-2.3333333333357587</v>
      </c>
      <c r="BH204" t="str">
        <f t="shared" si="11"/>
        <v>COMPLY</v>
      </c>
      <c r="BI204" t="str">
        <f>VLOOKUP(H204,Sheet2!$A$1:$B$270,2,FALSE)</f>
        <v>PASURUAN</v>
      </c>
    </row>
    <row r="205" spans="1:61">
      <c r="A205">
        <v>204</v>
      </c>
      <c r="B205">
        <v>1002567710</v>
      </c>
      <c r="C205">
        <v>3</v>
      </c>
      <c r="D205" t="s">
        <v>34</v>
      </c>
      <c r="E205">
        <v>5</v>
      </c>
      <c r="F205" t="s">
        <v>563</v>
      </c>
      <c r="G205" t="s">
        <v>86</v>
      </c>
      <c r="H205" t="s">
        <v>416</v>
      </c>
      <c r="I205" t="s">
        <v>212</v>
      </c>
      <c r="J205" t="s">
        <v>213</v>
      </c>
      <c r="K205" t="s">
        <v>149</v>
      </c>
      <c r="M205" t="s">
        <v>76</v>
      </c>
      <c r="N205" t="s">
        <v>215</v>
      </c>
      <c r="O205" s="57">
        <v>46267.578206018516</v>
      </c>
      <c r="P205" s="57">
        <v>46268.700740740744</v>
      </c>
      <c r="Q205">
        <v>69380617</v>
      </c>
      <c r="S205">
        <v>172419207269</v>
      </c>
      <c r="T205" t="s">
        <v>1996</v>
      </c>
      <c r="U205" t="s">
        <v>1997</v>
      </c>
      <c r="V205" t="s">
        <v>2180</v>
      </c>
      <c r="Z205">
        <v>115.197194541104</v>
      </c>
      <c r="AA205">
        <v>-8.6606507128151495</v>
      </c>
      <c r="AB205" t="s">
        <v>2181</v>
      </c>
      <c r="AC205" t="s">
        <v>229</v>
      </c>
      <c r="AL205" t="s">
        <v>217</v>
      </c>
      <c r="AM205" t="s">
        <v>2182</v>
      </c>
      <c r="AN205" t="s">
        <v>6</v>
      </c>
      <c r="AO205" s="57">
        <v>46062.579953703702</v>
      </c>
      <c r="AQ205" t="s">
        <v>2162</v>
      </c>
      <c r="AR205" t="s">
        <v>218</v>
      </c>
      <c r="AS205" t="s">
        <v>817</v>
      </c>
      <c r="AT205" t="s">
        <v>230</v>
      </c>
      <c r="AU205">
        <v>20260903</v>
      </c>
      <c r="AV205" t="s">
        <v>221</v>
      </c>
      <c r="AW205" t="s">
        <v>571</v>
      </c>
      <c r="AX205" t="s">
        <v>222</v>
      </c>
      <c r="BA205" s="57">
        <v>46267.291666666664</v>
      </c>
      <c r="BB205" t="s">
        <v>2182</v>
      </c>
      <c r="BC205">
        <v>2026</v>
      </c>
      <c r="BD205">
        <v>9</v>
      </c>
      <c r="BE205">
        <v>3</v>
      </c>
      <c r="BF205" s="6">
        <f t="shared" si="9"/>
        <v>46268</v>
      </c>
      <c r="BG205">
        <f t="shared" si="10"/>
        <v>0.70833333333575865</v>
      </c>
      <c r="BH205" t="str">
        <f t="shared" si="11"/>
        <v>COMPLY</v>
      </c>
      <c r="BI205" t="str">
        <f>VLOOKUP(H205,Sheet2!$A$1:$B$270,2,FALSE)</f>
        <v>UBUNG</v>
      </c>
    </row>
    <row r="206" spans="1:61">
      <c r="A206">
        <v>205</v>
      </c>
      <c r="B206">
        <v>1002567508</v>
      </c>
      <c r="C206">
        <v>3</v>
      </c>
      <c r="D206" t="s">
        <v>34</v>
      </c>
      <c r="E206">
        <v>5</v>
      </c>
      <c r="F206" t="s">
        <v>563</v>
      </c>
      <c r="G206" t="s">
        <v>83</v>
      </c>
      <c r="H206" t="s">
        <v>318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46267.531724537039</v>
      </c>
      <c r="P206" s="57">
        <v>46267.635752314818</v>
      </c>
      <c r="Q206">
        <v>69377728</v>
      </c>
      <c r="R206">
        <v>3612108215</v>
      </c>
      <c r="S206">
        <v>172401793679</v>
      </c>
      <c r="T206" t="s">
        <v>1939</v>
      </c>
      <c r="U206" t="s">
        <v>1940</v>
      </c>
      <c r="V206" t="s">
        <v>1941</v>
      </c>
      <c r="Z206">
        <v>115.230468064463</v>
      </c>
      <c r="AA206">
        <v>-8.6603810957159109</v>
      </c>
      <c r="AB206" t="s">
        <v>1942</v>
      </c>
      <c r="AC206" t="s">
        <v>229</v>
      </c>
      <c r="AL206" t="s">
        <v>217</v>
      </c>
      <c r="AM206" t="s">
        <v>1943</v>
      </c>
      <c r="AN206" t="s">
        <v>6</v>
      </c>
      <c r="AO206" s="57">
        <v>46062.53837962963</v>
      </c>
      <c r="AR206" t="s">
        <v>218</v>
      </c>
      <c r="AS206" t="s">
        <v>1944</v>
      </c>
      <c r="AT206" t="s">
        <v>230</v>
      </c>
      <c r="AU206">
        <v>20260902</v>
      </c>
      <c r="AV206" t="s">
        <v>221</v>
      </c>
      <c r="AW206" t="s">
        <v>585</v>
      </c>
      <c r="AX206" t="s">
        <v>222</v>
      </c>
      <c r="BA206" s="57">
        <v>46267.291666666664</v>
      </c>
      <c r="BB206" t="s">
        <v>1943</v>
      </c>
      <c r="BC206">
        <v>2026</v>
      </c>
      <c r="BD206">
        <v>9</v>
      </c>
      <c r="BE206">
        <v>2</v>
      </c>
      <c r="BF206" s="6">
        <f t="shared" si="9"/>
        <v>46267</v>
      </c>
      <c r="BG206">
        <f t="shared" si="10"/>
        <v>-0.29166666666424135</v>
      </c>
      <c r="BH206" t="str">
        <f t="shared" si="11"/>
        <v>COMPLY</v>
      </c>
      <c r="BI206" t="str">
        <f>VLOOKUP(H206,Sheet2!$A$1:$B$270,2,FALSE)</f>
        <v>SANUR</v>
      </c>
    </row>
    <row r="207" spans="1:61">
      <c r="A207">
        <v>206</v>
      </c>
      <c r="B207">
        <v>1002567521</v>
      </c>
      <c r="C207">
        <v>3</v>
      </c>
      <c r="D207" t="s">
        <v>51</v>
      </c>
      <c r="E207">
        <v>4</v>
      </c>
      <c r="F207" t="s">
        <v>269</v>
      </c>
      <c r="G207" t="s">
        <v>1932</v>
      </c>
      <c r="H207" t="s">
        <v>1945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46267.537685185183</v>
      </c>
      <c r="P207" s="57">
        <v>46267.708124999997</v>
      </c>
      <c r="Q207">
        <v>69378799</v>
      </c>
      <c r="S207">
        <v>142552107738</v>
      </c>
      <c r="T207" t="s">
        <v>1946</v>
      </c>
      <c r="U207" t="s">
        <v>1947</v>
      </c>
      <c r="V207" t="s">
        <v>1948</v>
      </c>
      <c r="Z207">
        <v>111.583192</v>
      </c>
      <c r="AA207">
        <v>-7.1494498000000002</v>
      </c>
      <c r="AB207" t="s">
        <v>1949</v>
      </c>
      <c r="AC207" t="s">
        <v>285</v>
      </c>
      <c r="AL207" t="s">
        <v>217</v>
      </c>
      <c r="AM207" t="s">
        <v>1950</v>
      </c>
      <c r="AN207" t="s">
        <v>6</v>
      </c>
      <c r="AO207" s="57">
        <v>46062.53837962963</v>
      </c>
      <c r="AR207" t="s">
        <v>218</v>
      </c>
      <c r="AS207" t="s">
        <v>1951</v>
      </c>
      <c r="AT207" t="s">
        <v>230</v>
      </c>
      <c r="AU207">
        <v>20260902</v>
      </c>
      <c r="AV207" t="s">
        <v>221</v>
      </c>
      <c r="AW207" t="s">
        <v>545</v>
      </c>
      <c r="AX207" t="s">
        <v>222</v>
      </c>
      <c r="BA207" s="57">
        <v>46267.291666666664</v>
      </c>
      <c r="BB207" t="s">
        <v>1950</v>
      </c>
      <c r="BC207">
        <v>2026</v>
      </c>
      <c r="BD207">
        <v>9</v>
      </c>
      <c r="BE207">
        <v>2</v>
      </c>
      <c r="BF207" s="6">
        <f t="shared" si="9"/>
        <v>46267</v>
      </c>
      <c r="BG207">
        <f t="shared" si="10"/>
        <v>-0.29166666666424135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1002567513</v>
      </c>
      <c r="C208">
        <v>3</v>
      </c>
      <c r="D208" t="s">
        <v>45</v>
      </c>
      <c r="E208">
        <v>5</v>
      </c>
      <c r="F208" t="s">
        <v>210</v>
      </c>
      <c r="G208" t="s">
        <v>112</v>
      </c>
      <c r="H208" t="s">
        <v>243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46267.53496527778</v>
      </c>
      <c r="P208" s="57">
        <v>46267.623391203706</v>
      </c>
      <c r="Q208">
        <v>69378556</v>
      </c>
      <c r="S208">
        <v>172605804352</v>
      </c>
      <c r="T208" t="s">
        <v>1952</v>
      </c>
      <c r="U208" t="s">
        <v>1953</v>
      </c>
      <c r="V208" t="s">
        <v>1954</v>
      </c>
      <c r="Z208">
        <v>116.146677</v>
      </c>
      <c r="AA208">
        <v>-8.6013626999999993</v>
      </c>
      <c r="AB208" t="s">
        <v>1955</v>
      </c>
      <c r="AC208" t="s">
        <v>216</v>
      </c>
      <c r="AL208" t="s">
        <v>217</v>
      </c>
      <c r="AM208" t="s">
        <v>1956</v>
      </c>
      <c r="AN208" t="s">
        <v>6</v>
      </c>
      <c r="AO208" s="57">
        <v>46062.53837962963</v>
      </c>
      <c r="AR208" t="s">
        <v>218</v>
      </c>
      <c r="AS208" t="s">
        <v>219</v>
      </c>
      <c r="AT208" t="s">
        <v>230</v>
      </c>
      <c r="AU208">
        <v>20260902</v>
      </c>
      <c r="AV208" t="s">
        <v>221</v>
      </c>
      <c r="AW208" t="s">
        <v>545</v>
      </c>
      <c r="AX208" t="s">
        <v>222</v>
      </c>
      <c r="BA208" s="57">
        <v>46267.291666666664</v>
      </c>
      <c r="BB208" t="s">
        <v>1956</v>
      </c>
      <c r="BC208">
        <v>2026</v>
      </c>
      <c r="BD208">
        <v>9</v>
      </c>
      <c r="BE208">
        <v>2</v>
      </c>
      <c r="BF208" s="6">
        <f t="shared" si="9"/>
        <v>46267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MATARAM</v>
      </c>
    </row>
    <row r="209" spans="1:61">
      <c r="A209">
        <v>208</v>
      </c>
      <c r="B209">
        <v>1002567512</v>
      </c>
      <c r="C209">
        <v>3</v>
      </c>
      <c r="D209" t="s">
        <v>34</v>
      </c>
      <c r="E209">
        <v>5</v>
      </c>
      <c r="F209" t="s">
        <v>563</v>
      </c>
      <c r="G209" t="s">
        <v>83</v>
      </c>
      <c r="H209" t="s">
        <v>318</v>
      </c>
      <c r="I209" t="s">
        <v>212</v>
      </c>
      <c r="J209" t="s">
        <v>213</v>
      </c>
      <c r="K209" t="s">
        <v>149</v>
      </c>
      <c r="M209" t="s">
        <v>76</v>
      </c>
      <c r="N209" t="s">
        <v>215</v>
      </c>
      <c r="O209" s="57">
        <v>46267.53398148148</v>
      </c>
      <c r="P209" s="57">
        <v>46267.640798611108</v>
      </c>
      <c r="Q209">
        <v>69377715</v>
      </c>
      <c r="R209">
        <v>3612108216</v>
      </c>
      <c r="S209">
        <v>172401793681</v>
      </c>
      <c r="T209" t="s">
        <v>1939</v>
      </c>
      <c r="U209" t="s">
        <v>1940</v>
      </c>
      <c r="V209" t="s">
        <v>1957</v>
      </c>
      <c r="Z209">
        <v>115.230466976686</v>
      </c>
      <c r="AA209">
        <v>-8.6603906572665394</v>
      </c>
      <c r="AB209" t="s">
        <v>1942</v>
      </c>
      <c r="AC209" t="s">
        <v>229</v>
      </c>
      <c r="AL209" t="s">
        <v>217</v>
      </c>
      <c r="AM209" t="s">
        <v>1958</v>
      </c>
      <c r="AN209" t="s">
        <v>6</v>
      </c>
      <c r="AO209" s="57">
        <v>46062.53837962963</v>
      </c>
      <c r="AR209" t="s">
        <v>218</v>
      </c>
      <c r="AS209" t="s">
        <v>1944</v>
      </c>
      <c r="AT209" t="s">
        <v>230</v>
      </c>
      <c r="AU209">
        <v>20260902</v>
      </c>
      <c r="AV209" t="s">
        <v>221</v>
      </c>
      <c r="AW209" t="s">
        <v>880</v>
      </c>
      <c r="AX209" t="s">
        <v>222</v>
      </c>
      <c r="BA209" s="57">
        <v>46267.291666666664</v>
      </c>
      <c r="BB209" t="s">
        <v>1958</v>
      </c>
      <c r="BC209">
        <v>2026</v>
      </c>
      <c r="BD209">
        <v>9</v>
      </c>
      <c r="BE209">
        <v>2</v>
      </c>
      <c r="BF209" s="6">
        <f t="shared" si="9"/>
        <v>46267</v>
      </c>
      <c r="BG209">
        <f t="shared" si="10"/>
        <v>-0.29166666666424135</v>
      </c>
      <c r="BH209" t="str">
        <f t="shared" si="11"/>
        <v>COMPLY</v>
      </c>
      <c r="BI209" t="str">
        <f>VLOOKUP(H209,Sheet2!$A$1:$B$270,2,FALSE)</f>
        <v>SANUR</v>
      </c>
    </row>
    <row r="210" spans="1:61">
      <c r="A210">
        <v>209</v>
      </c>
      <c r="B210">
        <v>1002567503</v>
      </c>
      <c r="C210">
        <v>3</v>
      </c>
      <c r="D210" t="s">
        <v>49</v>
      </c>
      <c r="E210">
        <v>4</v>
      </c>
      <c r="F210" t="s">
        <v>245</v>
      </c>
      <c r="G210" t="s">
        <v>246</v>
      </c>
      <c r="H210" t="s">
        <v>1959</v>
      </c>
      <c r="I210" t="s">
        <v>212</v>
      </c>
      <c r="J210" t="s">
        <v>213</v>
      </c>
      <c r="K210" t="s">
        <v>149</v>
      </c>
      <c r="M210" t="s">
        <v>76</v>
      </c>
      <c r="N210" t="s">
        <v>215</v>
      </c>
      <c r="O210" s="57">
        <v>46267.529907407406</v>
      </c>
      <c r="P210" s="57">
        <v>46267.607847222222</v>
      </c>
      <c r="Q210">
        <v>69379859</v>
      </c>
      <c r="S210">
        <v>142426805107</v>
      </c>
      <c r="T210" t="s">
        <v>1960</v>
      </c>
      <c r="U210" t="s">
        <v>1961</v>
      </c>
      <c r="V210" t="s">
        <v>1962</v>
      </c>
      <c r="Z210">
        <v>110.33345199999999</v>
      </c>
      <c r="AA210">
        <v>-7.0401699999999998</v>
      </c>
      <c r="AB210" t="s">
        <v>1963</v>
      </c>
      <c r="AC210" t="s">
        <v>216</v>
      </c>
      <c r="AL210" t="s">
        <v>217</v>
      </c>
      <c r="AM210" t="s">
        <v>1964</v>
      </c>
      <c r="AN210" t="s">
        <v>6</v>
      </c>
      <c r="AO210" s="57">
        <v>46062.53837962963</v>
      </c>
      <c r="AR210" t="s">
        <v>218</v>
      </c>
      <c r="AS210" t="s">
        <v>1965</v>
      </c>
      <c r="AT210" t="s">
        <v>230</v>
      </c>
      <c r="AU210">
        <v>20260902</v>
      </c>
      <c r="AV210" t="s">
        <v>221</v>
      </c>
      <c r="AW210" t="s">
        <v>545</v>
      </c>
      <c r="AX210" t="s">
        <v>222</v>
      </c>
      <c r="BA210" s="57">
        <v>46267.291666666664</v>
      </c>
      <c r="BB210" t="s">
        <v>1964</v>
      </c>
      <c r="BC210">
        <v>2026</v>
      </c>
      <c r="BD210">
        <v>9</v>
      </c>
      <c r="BE210">
        <v>2</v>
      </c>
      <c r="BF210" s="6">
        <f t="shared" si="9"/>
        <v>46267</v>
      </c>
      <c r="BG210">
        <f t="shared" si="10"/>
        <v>-0.29166666666424135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1002568518</v>
      </c>
      <c r="C211">
        <v>3</v>
      </c>
      <c r="D211" t="s">
        <v>59</v>
      </c>
      <c r="E211">
        <v>4</v>
      </c>
      <c r="F211" t="s">
        <v>242</v>
      </c>
      <c r="G211" t="s">
        <v>542</v>
      </c>
      <c r="H211" t="s">
        <v>1636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46267.741631944446</v>
      </c>
      <c r="P211" s="57">
        <v>46268.478506944448</v>
      </c>
      <c r="Q211">
        <v>69382605</v>
      </c>
      <c r="S211">
        <v>141176104975</v>
      </c>
      <c r="T211" t="s">
        <v>1637</v>
      </c>
      <c r="U211" t="s">
        <v>1638</v>
      </c>
      <c r="V211" t="s">
        <v>1639</v>
      </c>
      <c r="Z211">
        <v>109.7888514</v>
      </c>
      <c r="AA211">
        <v>-7.8002635999999903</v>
      </c>
      <c r="AB211" t="s">
        <v>1640</v>
      </c>
      <c r="AC211" t="s">
        <v>236</v>
      </c>
      <c r="AL211" t="s">
        <v>217</v>
      </c>
      <c r="AM211" t="s">
        <v>1641</v>
      </c>
      <c r="AN211" t="s">
        <v>6</v>
      </c>
      <c r="AO211" s="57">
        <v>46062.746516203704</v>
      </c>
      <c r="AP211" s="57">
        <v>46268.625</v>
      </c>
      <c r="AR211" t="s">
        <v>218</v>
      </c>
      <c r="AS211" t="s">
        <v>219</v>
      </c>
      <c r="AT211" t="s">
        <v>230</v>
      </c>
      <c r="AU211">
        <v>20260903</v>
      </c>
      <c r="AV211" t="s">
        <v>221</v>
      </c>
      <c r="AW211" t="s">
        <v>890</v>
      </c>
      <c r="AX211" t="s">
        <v>222</v>
      </c>
      <c r="BA211" s="57">
        <v>46268.625</v>
      </c>
      <c r="BB211" t="s">
        <v>1641</v>
      </c>
      <c r="BC211">
        <v>2026</v>
      </c>
      <c r="BD211">
        <v>9</v>
      </c>
      <c r="BE211">
        <v>3</v>
      </c>
      <c r="BF211" s="6">
        <f t="shared" si="9"/>
        <v>46268</v>
      </c>
      <c r="BG211">
        <f t="shared" si="10"/>
        <v>-0.625</v>
      </c>
      <c r="BH211" t="str">
        <f t="shared" si="11"/>
        <v>COMPLY</v>
      </c>
      <c r="BI211" t="e">
        <f>VLOOKUP(H211,Sheet2!$A$1:$B$270,2,FALSE)</f>
        <v>#N/A</v>
      </c>
    </row>
    <row r="212" spans="1:61">
      <c r="A212">
        <v>211</v>
      </c>
      <c r="B212">
        <v>1002568520</v>
      </c>
      <c r="C212">
        <v>3</v>
      </c>
      <c r="D212" t="s">
        <v>45</v>
      </c>
      <c r="E212">
        <v>5</v>
      </c>
      <c r="F212" t="s">
        <v>210</v>
      </c>
      <c r="G212" t="s">
        <v>115</v>
      </c>
      <c r="H212" t="s">
        <v>395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46267.743425925924</v>
      </c>
      <c r="P212" s="57">
        <v>46267.774108796293</v>
      </c>
      <c r="Q212">
        <v>69380121</v>
      </c>
      <c r="S212">
        <v>172602203029</v>
      </c>
      <c r="T212" t="s">
        <v>1966</v>
      </c>
      <c r="U212" t="s">
        <v>1967</v>
      </c>
      <c r="V212" t="s">
        <v>1968</v>
      </c>
      <c r="Z212">
        <v>116.184251273825</v>
      </c>
      <c r="AA212">
        <v>-8.72128783291293</v>
      </c>
      <c r="AB212" t="s">
        <v>1969</v>
      </c>
      <c r="AC212" t="s">
        <v>284</v>
      </c>
      <c r="AL212" t="s">
        <v>217</v>
      </c>
      <c r="AM212" t="s">
        <v>1970</v>
      </c>
      <c r="AN212" t="s">
        <v>6</v>
      </c>
      <c r="AO212" s="57">
        <v>46062.746516203704</v>
      </c>
      <c r="AR212" t="s">
        <v>218</v>
      </c>
      <c r="AS212" t="s">
        <v>901</v>
      </c>
      <c r="AT212" t="s">
        <v>230</v>
      </c>
      <c r="AU212">
        <v>20260902</v>
      </c>
      <c r="AV212" t="s">
        <v>221</v>
      </c>
      <c r="AW212" t="s">
        <v>545</v>
      </c>
      <c r="AX212" t="s">
        <v>222</v>
      </c>
      <c r="BA212" s="57">
        <v>46267.291666666664</v>
      </c>
      <c r="BB212" t="s">
        <v>1970</v>
      </c>
      <c r="BC212">
        <v>2026</v>
      </c>
      <c r="BD212">
        <v>9</v>
      </c>
      <c r="BE212">
        <v>2</v>
      </c>
      <c r="BF212" s="6">
        <f t="shared" si="9"/>
        <v>46267</v>
      </c>
      <c r="BG212">
        <f t="shared" si="10"/>
        <v>-0.29166666666424135</v>
      </c>
      <c r="BH212" t="str">
        <f t="shared" si="11"/>
        <v>COMPLY</v>
      </c>
      <c r="BI212" t="str">
        <f>VLOOKUP(H212,Sheet2!$A$1:$B$270,2,FALSE)</f>
        <v>SELONG</v>
      </c>
    </row>
    <row r="213" spans="1:61">
      <c r="A213">
        <v>212</v>
      </c>
      <c r="B213">
        <v>1002568199</v>
      </c>
      <c r="C213">
        <v>3</v>
      </c>
      <c r="D213" t="s">
        <v>51</v>
      </c>
      <c r="E213">
        <v>4</v>
      </c>
      <c r="F213" t="s">
        <v>269</v>
      </c>
      <c r="G213" t="s">
        <v>1932</v>
      </c>
      <c r="H213" t="s">
        <v>1933</v>
      </c>
      <c r="I213" t="s">
        <v>212</v>
      </c>
      <c r="J213" t="s">
        <v>213</v>
      </c>
      <c r="K213" t="s">
        <v>149</v>
      </c>
      <c r="M213" t="s">
        <v>76</v>
      </c>
      <c r="N213" t="s">
        <v>215</v>
      </c>
      <c r="O213" s="57">
        <v>46267.659432870372</v>
      </c>
      <c r="P213" s="57">
        <v>46267.810370370367</v>
      </c>
      <c r="Q213">
        <v>69380564</v>
      </c>
      <c r="S213">
        <v>141569115883</v>
      </c>
      <c r="T213" t="s">
        <v>1971</v>
      </c>
      <c r="U213" t="s">
        <v>1972</v>
      </c>
      <c r="V213" t="s">
        <v>1973</v>
      </c>
      <c r="Z213">
        <v>111.529802027716</v>
      </c>
      <c r="AA213">
        <v>-6.9287640064710496</v>
      </c>
      <c r="AB213" t="s">
        <v>1974</v>
      </c>
      <c r="AC213" t="s">
        <v>285</v>
      </c>
      <c r="AL213" t="s">
        <v>217</v>
      </c>
      <c r="AM213" t="s">
        <v>1975</v>
      </c>
      <c r="AN213" t="s">
        <v>6</v>
      </c>
      <c r="AO213" s="57">
        <v>46062.663159722222</v>
      </c>
      <c r="AR213" t="s">
        <v>218</v>
      </c>
      <c r="AS213" t="s">
        <v>219</v>
      </c>
      <c r="AT213" t="s">
        <v>230</v>
      </c>
      <c r="AU213">
        <v>20260902</v>
      </c>
      <c r="AV213" t="s">
        <v>221</v>
      </c>
      <c r="AW213" t="s">
        <v>545</v>
      </c>
      <c r="AX213" t="s">
        <v>222</v>
      </c>
      <c r="BA213" s="57">
        <v>46267.291666666664</v>
      </c>
      <c r="BB213" t="s">
        <v>1975</v>
      </c>
      <c r="BC213">
        <v>2026</v>
      </c>
      <c r="BD213">
        <v>9</v>
      </c>
      <c r="BE213">
        <v>2</v>
      </c>
      <c r="BF213" s="6">
        <f t="shared" si="9"/>
        <v>46267</v>
      </c>
      <c r="BG213">
        <f t="shared" si="10"/>
        <v>-0.29166666666424135</v>
      </c>
      <c r="BH213" t="str">
        <f t="shared" si="11"/>
        <v>COMPLY</v>
      </c>
      <c r="BI213" t="e">
        <f>VLOOKUP(H213,Sheet2!$A$1:$B$270,2,FALSE)</f>
        <v>#N/A</v>
      </c>
    </row>
    <row r="214" spans="1:61">
      <c r="A214">
        <v>213</v>
      </c>
      <c r="B214">
        <v>1002568161</v>
      </c>
      <c r="C214">
        <v>3</v>
      </c>
      <c r="D214" t="s">
        <v>42</v>
      </c>
      <c r="E214">
        <v>5</v>
      </c>
      <c r="F214" t="s">
        <v>232</v>
      </c>
      <c r="G214" t="s">
        <v>106</v>
      </c>
      <c r="H214" t="s">
        <v>446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46267.653912037036</v>
      </c>
      <c r="P214" s="57">
        <v>46268.872210648151</v>
      </c>
      <c r="Q214">
        <v>69382472</v>
      </c>
      <c r="S214">
        <v>152746208711</v>
      </c>
      <c r="T214" t="s">
        <v>1531</v>
      </c>
      <c r="U214" t="s">
        <v>1532</v>
      </c>
      <c r="V214" t="s">
        <v>2919</v>
      </c>
      <c r="Z214">
        <v>112.592053413391</v>
      </c>
      <c r="AA214">
        <v>-7.6651713500788397</v>
      </c>
      <c r="AB214" t="s">
        <v>1533</v>
      </c>
      <c r="AC214" t="s">
        <v>229</v>
      </c>
      <c r="AL214" t="s">
        <v>217</v>
      </c>
      <c r="AM214" t="s">
        <v>2920</v>
      </c>
      <c r="AN214" t="s">
        <v>6</v>
      </c>
      <c r="AO214" s="57">
        <v>46062.663159722222</v>
      </c>
      <c r="AP214" s="57">
        <v>46269.333333333336</v>
      </c>
      <c r="AR214" t="s">
        <v>218</v>
      </c>
      <c r="AS214" t="s">
        <v>1513</v>
      </c>
      <c r="AT214" t="s">
        <v>230</v>
      </c>
      <c r="AU214">
        <v>20260903</v>
      </c>
      <c r="AV214" t="s">
        <v>221</v>
      </c>
      <c r="AW214" t="s">
        <v>545</v>
      </c>
      <c r="AX214" t="s">
        <v>222</v>
      </c>
      <c r="BA214" s="57">
        <v>46269.333333333336</v>
      </c>
      <c r="BB214" t="s">
        <v>2920</v>
      </c>
      <c r="BC214">
        <v>2026</v>
      </c>
      <c r="BD214">
        <v>9</v>
      </c>
      <c r="BE214">
        <v>3</v>
      </c>
      <c r="BF214" s="6">
        <f t="shared" si="9"/>
        <v>46268</v>
      </c>
      <c r="BG214">
        <f t="shared" si="10"/>
        <v>-1.3333333333357587</v>
      </c>
      <c r="BH214" t="str">
        <f t="shared" si="11"/>
        <v>COMPLY</v>
      </c>
      <c r="BI214" t="str">
        <f>VLOOKUP(H214,Sheet2!$A$1:$B$270,2,FALSE)</f>
        <v>PASURUAN</v>
      </c>
    </row>
    <row r="215" spans="1:61">
      <c r="A215">
        <v>214</v>
      </c>
      <c r="B215">
        <v>1002568195</v>
      </c>
      <c r="C215">
        <v>3</v>
      </c>
      <c r="D215" t="s">
        <v>59</v>
      </c>
      <c r="E215">
        <v>4</v>
      </c>
      <c r="F215" t="s">
        <v>242</v>
      </c>
      <c r="G215" t="s">
        <v>1642</v>
      </c>
      <c r="H215" t="s">
        <v>1643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46267.65828703704</v>
      </c>
      <c r="P215" s="57">
        <v>46268.585104166668</v>
      </c>
      <c r="Q215">
        <v>69382476</v>
      </c>
      <c r="S215">
        <v>142138510633</v>
      </c>
      <c r="T215" t="s">
        <v>1644</v>
      </c>
      <c r="U215" t="s">
        <v>1645</v>
      </c>
      <c r="V215" t="s">
        <v>1646</v>
      </c>
      <c r="Z215">
        <v>109.96678199999999</v>
      </c>
      <c r="AA215">
        <v>-7.7259229999999999</v>
      </c>
      <c r="AB215" t="s">
        <v>1647</v>
      </c>
      <c r="AC215" t="s">
        <v>236</v>
      </c>
      <c r="AL215" t="s">
        <v>217</v>
      </c>
      <c r="AM215" t="s">
        <v>1648</v>
      </c>
      <c r="AN215" t="s">
        <v>6</v>
      </c>
      <c r="AO215" s="57">
        <v>46062.663159722222</v>
      </c>
      <c r="AP215" s="57">
        <v>46268.541666666664</v>
      </c>
      <c r="AR215" t="s">
        <v>218</v>
      </c>
      <c r="AS215" t="s">
        <v>219</v>
      </c>
      <c r="AT215" t="s">
        <v>230</v>
      </c>
      <c r="AU215">
        <v>20260903</v>
      </c>
      <c r="AV215" t="s">
        <v>221</v>
      </c>
      <c r="AW215" t="s">
        <v>887</v>
      </c>
      <c r="AX215" t="s">
        <v>222</v>
      </c>
      <c r="BA215" s="57">
        <v>46268.541666666664</v>
      </c>
      <c r="BB215" t="s">
        <v>1648</v>
      </c>
      <c r="BC215">
        <v>2026</v>
      </c>
      <c r="BD215">
        <v>9</v>
      </c>
      <c r="BE215">
        <v>3</v>
      </c>
      <c r="BF215" s="6">
        <f t="shared" si="9"/>
        <v>46268</v>
      </c>
      <c r="BG215">
        <f t="shared" si="10"/>
        <v>-0.54166666666424135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215</v>
      </c>
      <c r="B216">
        <v>1002567254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211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46267.4687037037</v>
      </c>
      <c r="P216" s="57">
        <v>46267.790925925925</v>
      </c>
      <c r="Q216">
        <v>69382185</v>
      </c>
      <c r="S216">
        <v>172606792375</v>
      </c>
      <c r="T216" t="s">
        <v>1976</v>
      </c>
      <c r="U216" t="s">
        <v>1977</v>
      </c>
      <c r="V216" t="s">
        <v>1978</v>
      </c>
      <c r="Z216">
        <v>117.43875325846901</v>
      </c>
      <c r="AA216">
        <v>-8.6440058563321909</v>
      </c>
      <c r="AB216" t="s">
        <v>1979</v>
      </c>
      <c r="AC216" t="s">
        <v>236</v>
      </c>
      <c r="AL216" t="s">
        <v>217</v>
      </c>
      <c r="AM216" t="s">
        <v>1980</v>
      </c>
      <c r="AN216" t="s">
        <v>6</v>
      </c>
      <c r="AO216" s="57">
        <v>46062.475937499999</v>
      </c>
      <c r="AP216" s="57">
        <v>46268.541666666664</v>
      </c>
      <c r="AR216" t="s">
        <v>218</v>
      </c>
      <c r="AS216" t="s">
        <v>219</v>
      </c>
      <c r="AT216" t="s">
        <v>220</v>
      </c>
      <c r="AU216">
        <v>20260902</v>
      </c>
      <c r="AV216" t="s">
        <v>221</v>
      </c>
      <c r="AW216" t="s">
        <v>1981</v>
      </c>
      <c r="AX216" t="s">
        <v>222</v>
      </c>
      <c r="BA216" s="57">
        <v>46268.541666666664</v>
      </c>
      <c r="BB216" t="s">
        <v>1980</v>
      </c>
      <c r="BC216">
        <v>2026</v>
      </c>
      <c r="BD216">
        <v>9</v>
      </c>
      <c r="BE216">
        <v>2</v>
      </c>
      <c r="BF216" s="6">
        <f t="shared" si="9"/>
        <v>46267</v>
      </c>
      <c r="BG216">
        <f t="shared" si="10"/>
        <v>-1.5416666666642413</v>
      </c>
      <c r="BH216" t="str">
        <f t="shared" si="11"/>
        <v>COMPLY</v>
      </c>
      <c r="BI216" t="str">
        <f>VLOOKUP(H216,Sheet2!$A$1:$B$270,2,FALSE)</f>
        <v>SUMBAWA</v>
      </c>
    </row>
    <row r="217" spans="1:61">
      <c r="A217">
        <v>216</v>
      </c>
      <c r="B217">
        <v>1002567273</v>
      </c>
      <c r="C217">
        <v>3</v>
      </c>
      <c r="D217" t="s">
        <v>59</v>
      </c>
      <c r="E217">
        <v>4</v>
      </c>
      <c r="F217" t="s">
        <v>242</v>
      </c>
      <c r="G217" t="s">
        <v>600</v>
      </c>
      <c r="H217" t="s">
        <v>601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46267.472870370373</v>
      </c>
      <c r="P217" s="57">
        <v>46268.647256944445</v>
      </c>
      <c r="Q217">
        <v>69382190</v>
      </c>
      <c r="S217">
        <v>141149112956</v>
      </c>
      <c r="T217" t="s">
        <v>2094</v>
      </c>
      <c r="U217" t="s">
        <v>2095</v>
      </c>
      <c r="V217" t="s">
        <v>2096</v>
      </c>
      <c r="Z217">
        <v>110.118285</v>
      </c>
      <c r="AA217">
        <v>-7.2858770000000002</v>
      </c>
      <c r="AB217" t="s">
        <v>2097</v>
      </c>
      <c r="AC217" t="s">
        <v>236</v>
      </c>
      <c r="AL217" t="s">
        <v>217</v>
      </c>
      <c r="AM217" t="s">
        <v>1125</v>
      </c>
      <c r="AN217" t="s">
        <v>6</v>
      </c>
      <c r="AO217" s="57">
        <v>46062.475937499999</v>
      </c>
      <c r="AP217" s="57">
        <v>46268.333333333336</v>
      </c>
      <c r="AR217" t="s">
        <v>218</v>
      </c>
      <c r="AS217" t="s">
        <v>920</v>
      </c>
      <c r="AT217" t="s">
        <v>230</v>
      </c>
      <c r="AU217">
        <v>20260903</v>
      </c>
      <c r="AV217" t="s">
        <v>221</v>
      </c>
      <c r="AW217" t="s">
        <v>2098</v>
      </c>
      <c r="AX217" t="s">
        <v>222</v>
      </c>
      <c r="BA217" s="57">
        <v>46268.333333333336</v>
      </c>
      <c r="BB217" t="s">
        <v>1125</v>
      </c>
      <c r="BC217">
        <v>2026</v>
      </c>
      <c r="BD217">
        <v>9</v>
      </c>
      <c r="BE217">
        <v>3</v>
      </c>
      <c r="BF217" s="6">
        <f t="shared" si="9"/>
        <v>46268</v>
      </c>
      <c r="BG217">
        <f t="shared" si="10"/>
        <v>-0.33333333333575865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1002566584</v>
      </c>
      <c r="C218">
        <v>3</v>
      </c>
      <c r="D218" t="s">
        <v>45</v>
      </c>
      <c r="E218">
        <v>5</v>
      </c>
      <c r="F218" t="s">
        <v>113</v>
      </c>
      <c r="G218" t="s">
        <v>117</v>
      </c>
      <c r="H218" t="s">
        <v>456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46267.325659722221</v>
      </c>
      <c r="P218" s="57">
        <v>46268.74591435185</v>
      </c>
      <c r="Q218">
        <v>69381908</v>
      </c>
      <c r="S218">
        <v>172508209056</v>
      </c>
      <c r="T218" t="s">
        <v>2099</v>
      </c>
      <c r="U218" t="s">
        <v>2100</v>
      </c>
      <c r="V218" t="s">
        <v>2101</v>
      </c>
      <c r="Z218">
        <v>122.20816145767201</v>
      </c>
      <c r="AA218">
        <v>-8.6204345178180599</v>
      </c>
      <c r="AB218" t="s">
        <v>2102</v>
      </c>
      <c r="AC218" t="s">
        <v>236</v>
      </c>
      <c r="AL218" t="s">
        <v>217</v>
      </c>
      <c r="AM218" t="s">
        <v>2054</v>
      </c>
      <c r="AN218" t="s">
        <v>6</v>
      </c>
      <c r="AO218" s="57">
        <v>46062.329884259256</v>
      </c>
      <c r="AP218" s="57">
        <v>46268.333333333336</v>
      </c>
      <c r="AR218" t="s">
        <v>218</v>
      </c>
      <c r="AS218" t="s">
        <v>219</v>
      </c>
      <c r="AT218" t="s">
        <v>230</v>
      </c>
      <c r="AU218">
        <v>20260903</v>
      </c>
      <c r="AV218" t="s">
        <v>221</v>
      </c>
      <c r="AW218" t="s">
        <v>831</v>
      </c>
      <c r="AX218" t="s">
        <v>222</v>
      </c>
      <c r="BA218" s="57">
        <v>46268.333333333336</v>
      </c>
      <c r="BB218" t="s">
        <v>2054</v>
      </c>
      <c r="BC218">
        <v>2026</v>
      </c>
      <c r="BD218">
        <v>9</v>
      </c>
      <c r="BE218">
        <v>3</v>
      </c>
      <c r="BF218" s="6">
        <f t="shared" si="9"/>
        <v>46268</v>
      </c>
      <c r="BG218">
        <f t="shared" si="10"/>
        <v>-0.33333333333575865</v>
      </c>
      <c r="BH218" t="str">
        <f t="shared" si="11"/>
        <v>COMPLY</v>
      </c>
      <c r="BI218" t="str">
        <f>VLOOKUP(H218,Sheet2!$A$1:$B$270,2,FALSE)</f>
        <v>MAUMERE</v>
      </c>
    </row>
    <row r="219" spans="1:61">
      <c r="A219">
        <v>218</v>
      </c>
      <c r="B219">
        <v>1002566583</v>
      </c>
      <c r="C219">
        <v>3</v>
      </c>
      <c r="D219" t="s">
        <v>45</v>
      </c>
      <c r="E219">
        <v>5</v>
      </c>
      <c r="F219" t="s">
        <v>210</v>
      </c>
      <c r="G219" t="s">
        <v>112</v>
      </c>
      <c r="H219" t="s">
        <v>263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46267.325659722221</v>
      </c>
      <c r="P219" s="57">
        <v>46269.327256944445</v>
      </c>
      <c r="Q219">
        <v>69381910</v>
      </c>
      <c r="S219">
        <v>172601797567</v>
      </c>
      <c r="T219" t="s">
        <v>2185</v>
      </c>
      <c r="U219" t="s">
        <v>2186</v>
      </c>
      <c r="V219" t="s">
        <v>2187</v>
      </c>
      <c r="Z219">
        <v>116.13445488865599</v>
      </c>
      <c r="AA219">
        <v>-8.5917912971272994</v>
      </c>
      <c r="AB219" t="s">
        <v>2188</v>
      </c>
      <c r="AC219" t="s">
        <v>236</v>
      </c>
      <c r="AL219" t="s">
        <v>217</v>
      </c>
      <c r="AM219" t="s">
        <v>2189</v>
      </c>
      <c r="AN219" t="s">
        <v>6</v>
      </c>
      <c r="AO219" s="57">
        <v>46062.329884259256</v>
      </c>
      <c r="AP219" s="57">
        <v>46269.333333333336</v>
      </c>
      <c r="AR219" t="s">
        <v>218</v>
      </c>
      <c r="AS219" t="s">
        <v>219</v>
      </c>
      <c r="AT219" t="s">
        <v>230</v>
      </c>
      <c r="AU219">
        <v>20260904</v>
      </c>
      <c r="AV219" t="s">
        <v>221</v>
      </c>
      <c r="AW219" t="s">
        <v>884</v>
      </c>
      <c r="AX219" t="s">
        <v>222</v>
      </c>
      <c r="BA219" s="57">
        <v>46269.333333333336</v>
      </c>
      <c r="BB219" t="s">
        <v>2189</v>
      </c>
      <c r="BC219">
        <v>2026</v>
      </c>
      <c r="BD219">
        <v>9</v>
      </c>
      <c r="BE219">
        <v>4</v>
      </c>
      <c r="BF219" s="6">
        <f t="shared" si="9"/>
        <v>46269</v>
      </c>
      <c r="BG219">
        <f t="shared" si="10"/>
        <v>-0.33333333333575865</v>
      </c>
      <c r="BH219" t="str">
        <f t="shared" si="11"/>
        <v>COMPLY</v>
      </c>
      <c r="BI219" t="str">
        <f>VLOOKUP(H219,Sheet2!$A$1:$B$270,2,FALSE)</f>
        <v>MATARAM</v>
      </c>
    </row>
    <row r="220" spans="1:61">
      <c r="A220">
        <v>219</v>
      </c>
      <c r="B220">
        <v>1002567272</v>
      </c>
      <c r="C220">
        <v>3</v>
      </c>
      <c r="D220" t="s">
        <v>42</v>
      </c>
      <c r="E220">
        <v>5</v>
      </c>
      <c r="F220" t="s">
        <v>102</v>
      </c>
      <c r="G220" t="s">
        <v>108</v>
      </c>
      <c r="H220" t="s">
        <v>383</v>
      </c>
      <c r="I220" t="s">
        <v>212</v>
      </c>
      <c r="J220" t="s">
        <v>213</v>
      </c>
      <c r="K220" t="s">
        <v>149</v>
      </c>
      <c r="M220" t="s">
        <v>76</v>
      </c>
      <c r="N220" t="s">
        <v>215</v>
      </c>
      <c r="O220" s="57">
        <v>46267.473587962966</v>
      </c>
      <c r="P220" s="57">
        <v>46267.659363425926</v>
      </c>
      <c r="Q220">
        <v>69378939</v>
      </c>
      <c r="S220">
        <v>152506219280</v>
      </c>
      <c r="T220" t="s">
        <v>1982</v>
      </c>
      <c r="U220" t="s">
        <v>1983</v>
      </c>
      <c r="V220" t="s">
        <v>1984</v>
      </c>
      <c r="Z220">
        <v>113.9500961</v>
      </c>
      <c r="AA220">
        <v>-7.7049265</v>
      </c>
      <c r="AB220" t="s">
        <v>1985</v>
      </c>
      <c r="AC220" t="s">
        <v>229</v>
      </c>
      <c r="AL220" t="s">
        <v>217</v>
      </c>
      <c r="AM220" t="s">
        <v>1986</v>
      </c>
      <c r="AN220" t="s">
        <v>6</v>
      </c>
      <c r="AO220" s="57">
        <v>46062.475937499999</v>
      </c>
      <c r="AR220" t="s">
        <v>218</v>
      </c>
      <c r="AS220" t="s">
        <v>108</v>
      </c>
      <c r="AT220" t="s">
        <v>230</v>
      </c>
      <c r="AU220">
        <v>20260902</v>
      </c>
      <c r="AV220" t="s">
        <v>221</v>
      </c>
      <c r="AW220" t="s">
        <v>567</v>
      </c>
      <c r="AX220" t="s">
        <v>222</v>
      </c>
      <c r="BA220" s="57">
        <v>46267.291666666664</v>
      </c>
      <c r="BB220" t="s">
        <v>1986</v>
      </c>
      <c r="BC220">
        <v>2026</v>
      </c>
      <c r="BD220">
        <v>9</v>
      </c>
      <c r="BE220">
        <v>2</v>
      </c>
      <c r="BF220" s="6">
        <f t="shared" si="9"/>
        <v>46267</v>
      </c>
      <c r="BG220">
        <f t="shared" si="10"/>
        <v>-0.29166666666424135</v>
      </c>
      <c r="BH220" t="str">
        <f t="shared" si="11"/>
        <v>COMPLY</v>
      </c>
      <c r="BI220" t="str">
        <f>VLOOKUP(H220,Sheet2!$A$1:$B$270,2,FALSE)</f>
        <v>BANYUWANGI</v>
      </c>
    </row>
    <row r="221" spans="1:61">
      <c r="A221">
        <v>220</v>
      </c>
      <c r="B221">
        <v>1002567574</v>
      </c>
      <c r="C221">
        <v>3</v>
      </c>
      <c r="D221" t="s">
        <v>59</v>
      </c>
      <c r="E221">
        <v>4</v>
      </c>
      <c r="F221" t="s">
        <v>242</v>
      </c>
      <c r="G221" t="s">
        <v>1544</v>
      </c>
      <c r="H221" t="s">
        <v>1545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46267.554131944446</v>
      </c>
      <c r="P221" s="57">
        <v>46267.756458333337</v>
      </c>
      <c r="Q221">
        <v>69382313</v>
      </c>
      <c r="S221">
        <v>141373127586</v>
      </c>
      <c r="T221" t="s">
        <v>1987</v>
      </c>
      <c r="U221" t="s">
        <v>1988</v>
      </c>
      <c r="V221" t="s">
        <v>1989</v>
      </c>
      <c r="Z221">
        <v>109.94586099999999</v>
      </c>
      <c r="AA221">
        <v>-7.3257209999999997</v>
      </c>
      <c r="AB221" t="s">
        <v>1990</v>
      </c>
      <c r="AC221" t="s">
        <v>236</v>
      </c>
      <c r="AL221" t="s">
        <v>217</v>
      </c>
      <c r="AM221" t="s">
        <v>1980</v>
      </c>
      <c r="AN221" t="s">
        <v>6</v>
      </c>
      <c r="AO221" s="57">
        <v>46062.559687499997</v>
      </c>
      <c r="AP221" s="57">
        <v>46268.541666666664</v>
      </c>
      <c r="AR221" t="s">
        <v>218</v>
      </c>
      <c r="AS221" t="s">
        <v>219</v>
      </c>
      <c r="AT221" t="s">
        <v>230</v>
      </c>
      <c r="AU221">
        <v>20260902</v>
      </c>
      <c r="AV221" t="s">
        <v>221</v>
      </c>
      <c r="AW221" t="s">
        <v>887</v>
      </c>
      <c r="AX221" t="s">
        <v>222</v>
      </c>
      <c r="BA221" s="57">
        <v>46268.541666666664</v>
      </c>
      <c r="BB221" t="s">
        <v>1980</v>
      </c>
      <c r="BC221">
        <v>2026</v>
      </c>
      <c r="BD221">
        <v>9</v>
      </c>
      <c r="BE221">
        <v>2</v>
      </c>
      <c r="BF221" s="6">
        <f t="shared" si="9"/>
        <v>46267</v>
      </c>
      <c r="BG221">
        <f t="shared" si="10"/>
        <v>-1.5416666666642413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1002567365</v>
      </c>
      <c r="C222">
        <v>3</v>
      </c>
      <c r="D222" t="s">
        <v>55</v>
      </c>
      <c r="E222">
        <v>5</v>
      </c>
      <c r="F222" t="s">
        <v>261</v>
      </c>
      <c r="G222" t="s">
        <v>128</v>
      </c>
      <c r="H222" t="s">
        <v>352</v>
      </c>
      <c r="I222" t="s">
        <v>212</v>
      </c>
      <c r="J222" t="s">
        <v>213</v>
      </c>
      <c r="K222" t="s">
        <v>149</v>
      </c>
      <c r="M222" t="s">
        <v>76</v>
      </c>
      <c r="N222" t="s">
        <v>215</v>
      </c>
      <c r="O222" s="57">
        <v>46267.497094907405</v>
      </c>
      <c r="P222" s="57">
        <v>46268.735763888886</v>
      </c>
      <c r="Q222">
        <v>69382219</v>
      </c>
      <c r="S222">
        <v>152412249119</v>
      </c>
      <c r="T222" t="s">
        <v>1874</v>
      </c>
      <c r="U222" t="s">
        <v>1875</v>
      </c>
      <c r="V222" t="s">
        <v>2921</v>
      </c>
      <c r="Z222">
        <v>112.65946</v>
      </c>
      <c r="AA222">
        <v>-7.2757240000000003</v>
      </c>
      <c r="AB222" t="s">
        <v>1876</v>
      </c>
      <c r="AC222" t="s">
        <v>229</v>
      </c>
      <c r="AL222" t="s">
        <v>217</v>
      </c>
      <c r="AM222" t="s">
        <v>2901</v>
      </c>
      <c r="AN222" t="s">
        <v>6</v>
      </c>
      <c r="AO222" s="57">
        <v>46062.506898148145</v>
      </c>
      <c r="AP222" s="57">
        <v>46269.333333333336</v>
      </c>
      <c r="AR222" t="s">
        <v>218</v>
      </c>
      <c r="AS222" t="s">
        <v>594</v>
      </c>
      <c r="AT222" t="s">
        <v>230</v>
      </c>
      <c r="AU222">
        <v>20260903</v>
      </c>
      <c r="AV222" t="s">
        <v>221</v>
      </c>
      <c r="AW222" t="s">
        <v>545</v>
      </c>
      <c r="AX222" t="s">
        <v>222</v>
      </c>
      <c r="BA222" s="57">
        <v>46269.333333333336</v>
      </c>
      <c r="BB222" t="s">
        <v>2901</v>
      </c>
      <c r="BC222">
        <v>2026</v>
      </c>
      <c r="BD222">
        <v>9</v>
      </c>
      <c r="BE222">
        <v>3</v>
      </c>
      <c r="BF222" s="6">
        <f t="shared" si="9"/>
        <v>46268</v>
      </c>
      <c r="BG222">
        <f t="shared" si="10"/>
        <v>-1.3333333333357587</v>
      </c>
      <c r="BH222" t="str">
        <f t="shared" si="11"/>
        <v>COMPLY</v>
      </c>
      <c r="BI222" t="str">
        <f>VLOOKUP(H222,Sheet2!$A$1:$B$270,2,FALSE)</f>
        <v>SURABAYA UTARA</v>
      </c>
    </row>
    <row r="223" spans="1:61">
      <c r="A223">
        <v>222</v>
      </c>
      <c r="B223">
        <v>1002567595</v>
      </c>
      <c r="C223">
        <v>3</v>
      </c>
      <c r="D223" t="s">
        <v>38</v>
      </c>
      <c r="E223">
        <v>5</v>
      </c>
      <c r="F223" t="s">
        <v>92</v>
      </c>
      <c r="G223" t="s">
        <v>94</v>
      </c>
      <c r="H223" t="s">
        <v>452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46267.558287037034</v>
      </c>
      <c r="P223" s="57">
        <v>46268.621539351851</v>
      </c>
      <c r="Q223">
        <v>69382331</v>
      </c>
      <c r="S223">
        <v>152605224195</v>
      </c>
      <c r="T223" t="s">
        <v>1659</v>
      </c>
      <c r="U223" t="s">
        <v>1660</v>
      </c>
      <c r="V223" t="s">
        <v>1661</v>
      </c>
      <c r="Z223">
        <v>111.35494136219199</v>
      </c>
      <c r="AA223">
        <v>-7.4455752915795799</v>
      </c>
      <c r="AB223" t="s">
        <v>1662</v>
      </c>
      <c r="AC223" t="s">
        <v>236</v>
      </c>
      <c r="AL223" t="s">
        <v>217</v>
      </c>
      <c r="AM223" t="s">
        <v>1663</v>
      </c>
      <c r="AN223" t="s">
        <v>6</v>
      </c>
      <c r="AO223" s="57">
        <v>46062.559687499997</v>
      </c>
      <c r="AP223" s="57">
        <v>46268.541666666664</v>
      </c>
      <c r="AR223" t="s">
        <v>218</v>
      </c>
      <c r="AS223" t="s">
        <v>219</v>
      </c>
      <c r="AT223" t="s">
        <v>344</v>
      </c>
      <c r="AU223">
        <v>20260903</v>
      </c>
      <c r="AV223" t="s">
        <v>221</v>
      </c>
      <c r="AW223" t="s">
        <v>1664</v>
      </c>
      <c r="AX223" t="s">
        <v>222</v>
      </c>
      <c r="BA223" s="57">
        <v>46268.541666666664</v>
      </c>
      <c r="BB223" t="s">
        <v>1663</v>
      </c>
      <c r="BC223">
        <v>2026</v>
      </c>
      <c r="BD223">
        <v>9</v>
      </c>
      <c r="BE223">
        <v>3</v>
      </c>
      <c r="BF223" s="6">
        <f t="shared" si="9"/>
        <v>46268</v>
      </c>
      <c r="BG223">
        <f t="shared" si="10"/>
        <v>-0.54166666666424135</v>
      </c>
      <c r="BH223" t="str">
        <f t="shared" si="11"/>
        <v>COMPLY</v>
      </c>
      <c r="BI223" t="str">
        <f>VLOOKUP(H223,Sheet2!$A$1:$B$270,2,FALSE)</f>
        <v>MADIUN</v>
      </c>
    </row>
    <row r="224" spans="1:61">
      <c r="A224">
        <v>223</v>
      </c>
      <c r="B224">
        <v>1002567634</v>
      </c>
      <c r="C224">
        <v>3</v>
      </c>
      <c r="D224" t="s">
        <v>55</v>
      </c>
      <c r="E224">
        <v>5</v>
      </c>
      <c r="F224" t="s">
        <v>261</v>
      </c>
      <c r="G224" t="s">
        <v>125</v>
      </c>
      <c r="H224" t="s">
        <v>405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46267.565243055556</v>
      </c>
      <c r="P224" s="57">
        <v>46268.55840277778</v>
      </c>
      <c r="Q224">
        <v>69382344</v>
      </c>
      <c r="S224">
        <v>152433910150</v>
      </c>
      <c r="T224" t="s">
        <v>1665</v>
      </c>
      <c r="U224" t="s">
        <v>1666</v>
      </c>
      <c r="V224" t="s">
        <v>1667</v>
      </c>
      <c r="Z224">
        <v>112.42066059261499</v>
      </c>
      <c r="AA224">
        <v>-7.1230848578334101</v>
      </c>
      <c r="AB224" t="s">
        <v>1668</v>
      </c>
      <c r="AC224" t="s">
        <v>216</v>
      </c>
      <c r="AL224" t="s">
        <v>217</v>
      </c>
      <c r="AM224" t="s">
        <v>1669</v>
      </c>
      <c r="AN224" t="s">
        <v>6</v>
      </c>
      <c r="AO224" s="57">
        <v>46062.569467592592</v>
      </c>
      <c r="AP224" s="57">
        <v>46268.458333333336</v>
      </c>
      <c r="AR224" t="s">
        <v>218</v>
      </c>
      <c r="AS224" t="s">
        <v>125</v>
      </c>
      <c r="AT224" t="s">
        <v>230</v>
      </c>
      <c r="AU224">
        <v>20260903</v>
      </c>
      <c r="AV224" t="s">
        <v>221</v>
      </c>
      <c r="AW224" t="s">
        <v>886</v>
      </c>
      <c r="AX224" t="s">
        <v>222</v>
      </c>
      <c r="BA224" s="57">
        <v>46268.458333333336</v>
      </c>
      <c r="BB224" t="s">
        <v>1669</v>
      </c>
      <c r="BC224">
        <v>2026</v>
      </c>
      <c r="BD224">
        <v>9</v>
      </c>
      <c r="BE224">
        <v>3</v>
      </c>
      <c r="BF224" s="6">
        <f t="shared" si="9"/>
        <v>46268</v>
      </c>
      <c r="BG224">
        <f t="shared" si="10"/>
        <v>-0.45833333333575865</v>
      </c>
      <c r="BH224" t="str">
        <f t="shared" si="11"/>
        <v>COMPLY</v>
      </c>
      <c r="BI224" t="str">
        <f>VLOOKUP(H224,Sheet2!$A$1:$B$270,2,FALSE)</f>
        <v>GRESIK</v>
      </c>
    </row>
    <row r="225" spans="1:61">
      <c r="A225">
        <v>224</v>
      </c>
      <c r="B225">
        <v>1002567613</v>
      </c>
      <c r="C225">
        <v>3</v>
      </c>
      <c r="D225" t="s">
        <v>42</v>
      </c>
      <c r="E225">
        <v>5</v>
      </c>
      <c r="F225" t="s">
        <v>232</v>
      </c>
      <c r="G225" t="s">
        <v>105</v>
      </c>
      <c r="H225" t="s">
        <v>370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46267.562974537039</v>
      </c>
      <c r="P225" s="57">
        <v>46268.758263888885</v>
      </c>
      <c r="Q225">
        <v>69382338</v>
      </c>
      <c r="S225">
        <v>152329214727</v>
      </c>
      <c r="T225" t="s">
        <v>1670</v>
      </c>
      <c r="U225" t="s">
        <v>1671</v>
      </c>
      <c r="V225" t="s">
        <v>1672</v>
      </c>
      <c r="Z225">
        <v>112.45543619999999</v>
      </c>
      <c r="AA225">
        <v>-7.5968659000000001</v>
      </c>
      <c r="AB225" t="s">
        <v>1673</v>
      </c>
      <c r="AC225" t="s">
        <v>229</v>
      </c>
      <c r="AL225" t="s">
        <v>217</v>
      </c>
      <c r="AM225" t="s">
        <v>1674</v>
      </c>
      <c r="AN225" t="s">
        <v>6</v>
      </c>
      <c r="AO225" s="57">
        <v>46062.569467592592</v>
      </c>
      <c r="AP225" s="57">
        <v>46268.458333333336</v>
      </c>
      <c r="AR225" t="s">
        <v>218</v>
      </c>
      <c r="AS225" t="s">
        <v>105</v>
      </c>
      <c r="AT225" t="s">
        <v>220</v>
      </c>
      <c r="AU225">
        <v>20260903</v>
      </c>
      <c r="AV225" t="s">
        <v>221</v>
      </c>
      <c r="AW225" t="s">
        <v>1675</v>
      </c>
      <c r="AX225" t="s">
        <v>222</v>
      </c>
      <c r="BA225" s="57">
        <v>46268.458333333336</v>
      </c>
      <c r="BB225" t="s">
        <v>1674</v>
      </c>
      <c r="BC225">
        <v>2026</v>
      </c>
      <c r="BD225">
        <v>9</v>
      </c>
      <c r="BE225">
        <v>3</v>
      </c>
      <c r="BF225" s="6">
        <f t="shared" si="9"/>
        <v>46268</v>
      </c>
      <c r="BG225">
        <f t="shared" si="10"/>
        <v>-0.45833333333575865</v>
      </c>
      <c r="BH225" t="str">
        <f t="shared" si="11"/>
        <v>COMPLY</v>
      </c>
      <c r="BI225" t="str">
        <f>VLOOKUP(H225,Sheet2!$A$1:$B$270,2,FALSE)</f>
        <v>MOJOKERTO</v>
      </c>
    </row>
    <row r="226" spans="1:61">
      <c r="A226">
        <v>225</v>
      </c>
      <c r="B226">
        <v>1002568118</v>
      </c>
      <c r="C226">
        <v>3</v>
      </c>
      <c r="D226" t="s">
        <v>45</v>
      </c>
      <c r="E226">
        <v>5</v>
      </c>
      <c r="F226" t="s">
        <v>210</v>
      </c>
      <c r="G226" t="s">
        <v>116</v>
      </c>
      <c r="H226" t="s">
        <v>268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46267.648148148146</v>
      </c>
      <c r="P226" s="57">
        <v>46267.741412037038</v>
      </c>
      <c r="Q226">
        <v>69377665</v>
      </c>
      <c r="S226">
        <v>172604214274</v>
      </c>
      <c r="T226" t="s">
        <v>1991</v>
      </c>
      <c r="U226" t="s">
        <v>1992</v>
      </c>
      <c r="V226" t="s">
        <v>1993</v>
      </c>
      <c r="Z226">
        <v>116.07989259999999</v>
      </c>
      <c r="AA226">
        <v>-8.3576961999999995</v>
      </c>
      <c r="AB226" t="s">
        <v>1994</v>
      </c>
      <c r="AC226" t="s">
        <v>216</v>
      </c>
      <c r="AL226" t="s">
        <v>217</v>
      </c>
      <c r="AM226" t="s">
        <v>1995</v>
      </c>
      <c r="AN226" t="s">
        <v>6</v>
      </c>
      <c r="AO226" s="57">
        <v>46062.652743055558</v>
      </c>
      <c r="AR226" t="s">
        <v>218</v>
      </c>
      <c r="AS226" t="s">
        <v>912</v>
      </c>
      <c r="AT226" t="s">
        <v>230</v>
      </c>
      <c r="AU226">
        <v>20260902</v>
      </c>
      <c r="AV226" t="s">
        <v>221</v>
      </c>
      <c r="AW226" t="s">
        <v>544</v>
      </c>
      <c r="AX226" t="s">
        <v>222</v>
      </c>
      <c r="BA226" s="57">
        <v>46267.291666666664</v>
      </c>
      <c r="BB226" t="s">
        <v>1995</v>
      </c>
      <c r="BC226">
        <v>2026</v>
      </c>
      <c r="BD226">
        <v>9</v>
      </c>
      <c r="BE226">
        <v>2</v>
      </c>
      <c r="BF226" s="6">
        <f t="shared" si="9"/>
        <v>46267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SELONG</v>
      </c>
    </row>
    <row r="227" spans="1:61">
      <c r="A227">
        <v>226</v>
      </c>
      <c r="B227">
        <v>1002567606</v>
      </c>
      <c r="C227">
        <v>3</v>
      </c>
      <c r="D227" t="s">
        <v>38</v>
      </c>
      <c r="E227">
        <v>5</v>
      </c>
      <c r="F227" t="s">
        <v>92</v>
      </c>
      <c r="G227" t="s">
        <v>94</v>
      </c>
      <c r="H227" t="s">
        <v>452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46267.560370370367</v>
      </c>
      <c r="P227" s="57">
        <v>46268.644120370373</v>
      </c>
      <c r="Q227">
        <v>69382335</v>
      </c>
      <c r="S227">
        <v>152605224196</v>
      </c>
      <c r="T227" t="s">
        <v>1676</v>
      </c>
      <c r="U227" t="s">
        <v>1660</v>
      </c>
      <c r="V227" t="s">
        <v>1677</v>
      </c>
      <c r="Z227">
        <v>111.354450924052</v>
      </c>
      <c r="AA227">
        <v>-7.4457019480741398</v>
      </c>
      <c r="AB227" t="s">
        <v>1678</v>
      </c>
      <c r="AC227" t="s">
        <v>236</v>
      </c>
      <c r="AL227" t="s">
        <v>217</v>
      </c>
      <c r="AM227" t="s">
        <v>1663</v>
      </c>
      <c r="AN227" t="s">
        <v>6</v>
      </c>
      <c r="AO227" s="57">
        <v>46062.569467592592</v>
      </c>
      <c r="AP227" s="57">
        <v>46268.541666666664</v>
      </c>
      <c r="AR227" t="s">
        <v>218</v>
      </c>
      <c r="AS227" t="s">
        <v>219</v>
      </c>
      <c r="AT227" t="s">
        <v>344</v>
      </c>
      <c r="AU227">
        <v>20260903</v>
      </c>
      <c r="AV227" t="s">
        <v>221</v>
      </c>
      <c r="AW227" t="s">
        <v>1664</v>
      </c>
      <c r="AX227" t="s">
        <v>222</v>
      </c>
      <c r="BA227" s="57">
        <v>46268.541666666664</v>
      </c>
      <c r="BB227" t="s">
        <v>1663</v>
      </c>
      <c r="BC227">
        <v>2026</v>
      </c>
      <c r="BD227">
        <v>9</v>
      </c>
      <c r="BE227">
        <v>3</v>
      </c>
      <c r="BF227" s="6">
        <f t="shared" si="9"/>
        <v>46268</v>
      </c>
      <c r="BG227">
        <f t="shared" si="10"/>
        <v>-0.54166666666424135</v>
      </c>
      <c r="BH227" t="str">
        <f t="shared" si="11"/>
        <v>COMPLY</v>
      </c>
      <c r="BI227" t="str">
        <f>VLOOKUP(H227,Sheet2!$A$1:$B$270,2,FALSE)</f>
        <v>MADIUN</v>
      </c>
    </row>
    <row r="228" spans="1:61">
      <c r="A228">
        <v>227</v>
      </c>
      <c r="B228">
        <v>1002567346</v>
      </c>
      <c r="C228">
        <v>3</v>
      </c>
      <c r="D228" t="s">
        <v>59</v>
      </c>
      <c r="E228">
        <v>4</v>
      </c>
      <c r="F228" t="s">
        <v>549</v>
      </c>
      <c r="G228" t="s">
        <v>582</v>
      </c>
      <c r="H228" t="s">
        <v>835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46267.488159722219</v>
      </c>
      <c r="P228" s="57">
        <v>46268.641921296294</v>
      </c>
      <c r="Q228">
        <v>69382220</v>
      </c>
      <c r="S228">
        <v>146113146903</v>
      </c>
      <c r="T228" t="s">
        <v>1684</v>
      </c>
      <c r="U228" t="s">
        <v>2922</v>
      </c>
      <c r="V228" t="s">
        <v>1685</v>
      </c>
      <c r="Z228">
        <v>110.3695792</v>
      </c>
      <c r="AA228">
        <v>-7.7603827000000001</v>
      </c>
      <c r="AB228" t="s">
        <v>1686</v>
      </c>
      <c r="AC228" t="s">
        <v>236</v>
      </c>
      <c r="AL228" t="s">
        <v>217</v>
      </c>
      <c r="AM228" t="s">
        <v>1687</v>
      </c>
      <c r="AN228" t="s">
        <v>6</v>
      </c>
      <c r="AO228" s="57">
        <v>46062.496516203704</v>
      </c>
      <c r="AP228" s="57">
        <v>46268.458333333336</v>
      </c>
      <c r="AR228" t="s">
        <v>218</v>
      </c>
      <c r="AS228" t="s">
        <v>219</v>
      </c>
      <c r="AT228" t="s">
        <v>230</v>
      </c>
      <c r="AU228">
        <v>20260903</v>
      </c>
      <c r="AV228" t="s">
        <v>221</v>
      </c>
      <c r="AW228" t="s">
        <v>537</v>
      </c>
      <c r="AX228" t="s">
        <v>222</v>
      </c>
      <c r="BA228" s="57">
        <v>46268.458333333336</v>
      </c>
      <c r="BB228" t="s">
        <v>1687</v>
      </c>
      <c r="BC228">
        <v>2026</v>
      </c>
      <c r="BD228">
        <v>9</v>
      </c>
      <c r="BE228">
        <v>3</v>
      </c>
      <c r="BF228" s="6">
        <f t="shared" si="9"/>
        <v>46268</v>
      </c>
      <c r="BG228">
        <f t="shared" si="10"/>
        <v>-0.45833333333575865</v>
      </c>
      <c r="BH228" t="str">
        <f t="shared" si="11"/>
        <v>COMPLY</v>
      </c>
      <c r="BI228" t="e">
        <f>VLOOKUP(H228,Sheet2!$A$1:$B$270,2,FALSE)</f>
        <v>#N/A</v>
      </c>
    </row>
    <row r="229" spans="1:61">
      <c r="A229">
        <v>228</v>
      </c>
      <c r="B229">
        <v>1002567333</v>
      </c>
      <c r="C229">
        <v>3</v>
      </c>
      <c r="D229" t="s">
        <v>59</v>
      </c>
      <c r="E229">
        <v>4</v>
      </c>
      <c r="F229" t="s">
        <v>549</v>
      </c>
      <c r="G229" t="s">
        <v>582</v>
      </c>
      <c r="H229" t="s">
        <v>1891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46267.485949074071</v>
      </c>
      <c r="P229" s="57">
        <v>46268.668877314813</v>
      </c>
      <c r="Q229">
        <v>69382216</v>
      </c>
      <c r="S229">
        <v>141114228278</v>
      </c>
      <c r="T229" t="s">
        <v>1892</v>
      </c>
      <c r="U229" t="s">
        <v>1893</v>
      </c>
      <c r="V229" t="s">
        <v>1894</v>
      </c>
      <c r="Z229">
        <v>110.344008207321</v>
      </c>
      <c r="AA229">
        <v>-7.8007199835811702</v>
      </c>
      <c r="AB229" t="s">
        <v>1895</v>
      </c>
      <c r="AC229" t="s">
        <v>285</v>
      </c>
      <c r="AL229" t="s">
        <v>217</v>
      </c>
      <c r="AM229" t="s">
        <v>1896</v>
      </c>
      <c r="AN229" t="s">
        <v>6</v>
      </c>
      <c r="AO229" s="57">
        <v>46062.496516203704</v>
      </c>
      <c r="AP229" s="57">
        <v>46269.333333333336</v>
      </c>
      <c r="AR229" t="s">
        <v>218</v>
      </c>
      <c r="AS229" t="s">
        <v>219</v>
      </c>
      <c r="AT229" t="s">
        <v>230</v>
      </c>
      <c r="AU229">
        <v>20260903</v>
      </c>
      <c r="AV229" t="s">
        <v>221</v>
      </c>
      <c r="AW229" t="s">
        <v>544</v>
      </c>
      <c r="AX229" t="s">
        <v>222</v>
      </c>
      <c r="BA229" s="57">
        <v>46269.333333333336</v>
      </c>
      <c r="BB229" t="s">
        <v>1896</v>
      </c>
      <c r="BC229">
        <v>2026</v>
      </c>
      <c r="BD229">
        <v>9</v>
      </c>
      <c r="BE229">
        <v>3</v>
      </c>
      <c r="BF229" s="6">
        <f t="shared" si="9"/>
        <v>46268</v>
      </c>
      <c r="BG229">
        <f t="shared" si="10"/>
        <v>-1.3333333333357587</v>
      </c>
      <c r="BH229" t="str">
        <f t="shared" si="11"/>
        <v>COMPLY</v>
      </c>
      <c r="BI229" t="e">
        <f>VLOOKUP(H229,Sheet2!$A$1:$B$270,2,FALSE)</f>
        <v>#N/A</v>
      </c>
    </row>
    <row r="230" spans="1:61">
      <c r="A230">
        <v>229</v>
      </c>
      <c r="B230">
        <v>1002568147</v>
      </c>
      <c r="C230">
        <v>3</v>
      </c>
      <c r="D230" t="s">
        <v>55</v>
      </c>
      <c r="E230">
        <v>5</v>
      </c>
      <c r="F230" t="s">
        <v>307</v>
      </c>
      <c r="G230" t="s">
        <v>126</v>
      </c>
      <c r="H230" t="s">
        <v>308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46267.650659722225</v>
      </c>
      <c r="P230" s="57">
        <v>46268.582407407404</v>
      </c>
      <c r="Q230">
        <v>69382489</v>
      </c>
      <c r="S230">
        <v>152320246363</v>
      </c>
      <c r="T230" t="s">
        <v>1688</v>
      </c>
      <c r="U230" t="s">
        <v>1689</v>
      </c>
      <c r="V230" t="s">
        <v>1690</v>
      </c>
      <c r="Z230">
        <v>112.755916602909</v>
      </c>
      <c r="AA230">
        <v>-7.2904935021961004</v>
      </c>
      <c r="AB230" t="s">
        <v>1691</v>
      </c>
      <c r="AC230" t="s">
        <v>216</v>
      </c>
      <c r="AL230" t="s">
        <v>217</v>
      </c>
      <c r="AM230" t="s">
        <v>1692</v>
      </c>
      <c r="AN230" t="s">
        <v>6</v>
      </c>
      <c r="AO230" s="57">
        <v>46062.652743055558</v>
      </c>
      <c r="AP230" s="57">
        <v>46268.625</v>
      </c>
      <c r="AR230" t="s">
        <v>218</v>
      </c>
      <c r="AS230" t="s">
        <v>907</v>
      </c>
      <c r="AT230" t="s">
        <v>230</v>
      </c>
      <c r="AU230">
        <v>20260903</v>
      </c>
      <c r="AV230" t="s">
        <v>221</v>
      </c>
      <c r="AW230" t="s">
        <v>887</v>
      </c>
      <c r="AX230" t="s">
        <v>222</v>
      </c>
      <c r="BA230" s="57">
        <v>46268.625</v>
      </c>
      <c r="BB230" t="s">
        <v>1692</v>
      </c>
      <c r="BC230">
        <v>2026</v>
      </c>
      <c r="BD230">
        <v>9</v>
      </c>
      <c r="BE230">
        <v>3</v>
      </c>
      <c r="BF230" s="6">
        <f t="shared" si="9"/>
        <v>46268</v>
      </c>
      <c r="BG230">
        <f t="shared" si="10"/>
        <v>-0.625</v>
      </c>
      <c r="BH230" t="str">
        <f t="shared" si="11"/>
        <v>COMPLY</v>
      </c>
      <c r="BI230" t="str">
        <f>VLOOKUP(H230,Sheet2!$A$1:$B$270,2,FALSE)</f>
        <v>SURABAYA SELATAN</v>
      </c>
    </row>
    <row r="231" spans="1:61">
      <c r="A231">
        <v>230</v>
      </c>
      <c r="B231">
        <v>1002567608</v>
      </c>
      <c r="C231">
        <v>3</v>
      </c>
      <c r="D231" t="s">
        <v>34</v>
      </c>
      <c r="E231">
        <v>5</v>
      </c>
      <c r="F231" t="s">
        <v>563</v>
      </c>
      <c r="G231" t="s">
        <v>86</v>
      </c>
      <c r="H231" t="s">
        <v>416</v>
      </c>
      <c r="I231" t="s">
        <v>212</v>
      </c>
      <c r="J231" t="s">
        <v>213</v>
      </c>
      <c r="K231" t="s">
        <v>149</v>
      </c>
      <c r="M231" t="s">
        <v>76</v>
      </c>
      <c r="N231" t="s">
        <v>215</v>
      </c>
      <c r="O231" s="57">
        <v>46267.561689814815</v>
      </c>
      <c r="P231" s="57">
        <v>46267.922384259262</v>
      </c>
      <c r="Q231">
        <v>69380500</v>
      </c>
      <c r="S231">
        <v>172419207265</v>
      </c>
      <c r="T231" t="s">
        <v>1996</v>
      </c>
      <c r="U231" t="s">
        <v>1997</v>
      </c>
      <c r="V231" t="s">
        <v>1998</v>
      </c>
      <c r="Z231">
        <v>115.1969208</v>
      </c>
      <c r="AA231">
        <v>-8.6612825000000004</v>
      </c>
      <c r="AB231" t="s">
        <v>1999</v>
      </c>
      <c r="AC231" t="s">
        <v>216</v>
      </c>
      <c r="AL231" t="s">
        <v>217</v>
      </c>
      <c r="AM231" t="s">
        <v>2000</v>
      </c>
      <c r="AN231" t="s">
        <v>6</v>
      </c>
      <c r="AO231" s="57">
        <v>46062.569467592592</v>
      </c>
      <c r="AR231" t="s">
        <v>218</v>
      </c>
      <c r="AS231" t="s">
        <v>817</v>
      </c>
      <c r="AT231" t="s">
        <v>230</v>
      </c>
      <c r="AU231">
        <v>20260902</v>
      </c>
      <c r="AV231" t="s">
        <v>221</v>
      </c>
      <c r="AW231" t="s">
        <v>560</v>
      </c>
      <c r="AX231" t="s">
        <v>222</v>
      </c>
      <c r="BA231" s="57">
        <v>46267.291666666664</v>
      </c>
      <c r="BB231" t="s">
        <v>2000</v>
      </c>
      <c r="BC231">
        <v>2026</v>
      </c>
      <c r="BD231">
        <v>9</v>
      </c>
      <c r="BE231">
        <v>2</v>
      </c>
      <c r="BF231" s="6">
        <f t="shared" si="9"/>
        <v>46267</v>
      </c>
      <c r="BG231">
        <f t="shared" si="10"/>
        <v>-0.29166666666424135</v>
      </c>
      <c r="BH231" t="str">
        <f t="shared" si="11"/>
        <v>COMPLY</v>
      </c>
      <c r="BI231" t="str">
        <f>VLOOKUP(H231,Sheet2!$A$1:$B$270,2,FALSE)</f>
        <v>UBUNG</v>
      </c>
    </row>
    <row r="232" spans="1:61">
      <c r="A232">
        <v>231</v>
      </c>
      <c r="B232">
        <v>1002567782</v>
      </c>
      <c r="C232">
        <v>3</v>
      </c>
      <c r="D232" t="s">
        <v>59</v>
      </c>
      <c r="E232">
        <v>4</v>
      </c>
      <c r="F232" t="s">
        <v>549</v>
      </c>
      <c r="G232" t="s">
        <v>1698</v>
      </c>
      <c r="H232" t="s">
        <v>1699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46267.589583333334</v>
      </c>
      <c r="P232" s="57">
        <v>46268.980370370373</v>
      </c>
      <c r="Q232">
        <v>69382383</v>
      </c>
      <c r="S232">
        <v>146136130378</v>
      </c>
      <c r="T232" t="s">
        <v>1700</v>
      </c>
      <c r="U232" t="s">
        <v>1701</v>
      </c>
      <c r="V232" t="s">
        <v>1702</v>
      </c>
      <c r="Z232">
        <v>110.281480550765</v>
      </c>
      <c r="AA232">
        <v>-7.7203847643879797</v>
      </c>
      <c r="AB232" t="s">
        <v>1703</v>
      </c>
      <c r="AC232" t="s">
        <v>285</v>
      </c>
      <c r="AL232" t="s">
        <v>217</v>
      </c>
      <c r="AM232" t="s">
        <v>1704</v>
      </c>
      <c r="AN232" t="s">
        <v>6</v>
      </c>
      <c r="AO232" s="57">
        <v>46062.590219907404</v>
      </c>
      <c r="AP232" s="57">
        <v>46268.625</v>
      </c>
      <c r="AR232" t="s">
        <v>218</v>
      </c>
      <c r="AS232" t="s">
        <v>219</v>
      </c>
      <c r="AT232" t="s">
        <v>230</v>
      </c>
      <c r="AU232">
        <v>20260903</v>
      </c>
      <c r="AV232" t="s">
        <v>221</v>
      </c>
      <c r="AW232" t="s">
        <v>560</v>
      </c>
      <c r="AX232" t="s">
        <v>222</v>
      </c>
      <c r="BA232" s="57">
        <v>46268.625</v>
      </c>
      <c r="BB232" t="s">
        <v>1704</v>
      </c>
      <c r="BC232">
        <v>2026</v>
      </c>
      <c r="BD232">
        <v>9</v>
      </c>
      <c r="BE232">
        <v>3</v>
      </c>
      <c r="BF232" s="6">
        <f t="shared" si="9"/>
        <v>46268</v>
      </c>
      <c r="BG232">
        <f t="shared" si="10"/>
        <v>-0.625</v>
      </c>
      <c r="BH232" t="str">
        <f t="shared" si="11"/>
        <v>COMPLY</v>
      </c>
      <c r="BI232" t="e">
        <f>VLOOKUP(H232,Sheet2!$A$1:$B$270,2,FALSE)</f>
        <v>#N/A</v>
      </c>
    </row>
    <row r="233" spans="1:61">
      <c r="A233">
        <v>232</v>
      </c>
      <c r="B233">
        <v>1002567630</v>
      </c>
      <c r="C233">
        <v>3</v>
      </c>
      <c r="D233" t="s">
        <v>34</v>
      </c>
      <c r="E233">
        <v>5</v>
      </c>
      <c r="F233" t="s">
        <v>563</v>
      </c>
      <c r="G233" t="s">
        <v>86</v>
      </c>
      <c r="H233" t="s">
        <v>416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46267.565324074072</v>
      </c>
      <c r="P233" s="57">
        <v>46267.769444444442</v>
      </c>
      <c r="Q233">
        <v>69380532</v>
      </c>
      <c r="S233">
        <v>172419207267</v>
      </c>
      <c r="T233" t="s">
        <v>1996</v>
      </c>
      <c r="U233" t="s">
        <v>1997</v>
      </c>
      <c r="V233" t="s">
        <v>2001</v>
      </c>
      <c r="Z233">
        <v>115.19668001189601</v>
      </c>
      <c r="AA233">
        <v>-8.6602000167716398</v>
      </c>
      <c r="AB233" t="s">
        <v>2002</v>
      </c>
      <c r="AC233" t="s">
        <v>216</v>
      </c>
      <c r="AL233" t="s">
        <v>217</v>
      </c>
      <c r="AM233" t="s">
        <v>2003</v>
      </c>
      <c r="AN233" t="s">
        <v>6</v>
      </c>
      <c r="AO233" s="57">
        <v>46062.569467592592</v>
      </c>
      <c r="AR233" t="s">
        <v>218</v>
      </c>
      <c r="AS233" t="s">
        <v>817</v>
      </c>
      <c r="AT233" t="s">
        <v>230</v>
      </c>
      <c r="AU233">
        <v>20260902</v>
      </c>
      <c r="AV233" t="s">
        <v>221</v>
      </c>
      <c r="AW233" t="s">
        <v>545</v>
      </c>
      <c r="AX233" t="s">
        <v>222</v>
      </c>
      <c r="BA233" s="57">
        <v>46267.291666666664</v>
      </c>
      <c r="BB233" t="s">
        <v>2003</v>
      </c>
      <c r="BC233">
        <v>2026</v>
      </c>
      <c r="BD233">
        <v>9</v>
      </c>
      <c r="BE233">
        <v>2</v>
      </c>
      <c r="BF233" s="6">
        <f t="shared" si="9"/>
        <v>46267</v>
      </c>
      <c r="BG233">
        <f t="shared" si="10"/>
        <v>-0.29166666666424135</v>
      </c>
      <c r="BH233" t="str">
        <f t="shared" si="11"/>
        <v>COMPLY</v>
      </c>
      <c r="BI233" t="str">
        <f>VLOOKUP(H233,Sheet2!$A$1:$B$270,2,FALSE)</f>
        <v>UBUNG</v>
      </c>
    </row>
    <row r="234" spans="1:61">
      <c r="A234">
        <v>233</v>
      </c>
      <c r="B234">
        <v>1002567620</v>
      </c>
      <c r="C234">
        <v>3</v>
      </c>
      <c r="D234" t="s">
        <v>34</v>
      </c>
      <c r="E234">
        <v>5</v>
      </c>
      <c r="F234" t="s">
        <v>563</v>
      </c>
      <c r="G234" t="s">
        <v>86</v>
      </c>
      <c r="H234" t="s">
        <v>416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46267.563634259262</v>
      </c>
      <c r="P234" s="57">
        <v>46267.772835648146</v>
      </c>
      <c r="Q234">
        <v>69380495</v>
      </c>
      <c r="S234">
        <v>172419207266</v>
      </c>
      <c r="T234" t="s">
        <v>1996</v>
      </c>
      <c r="U234" t="s">
        <v>1997</v>
      </c>
      <c r="V234" t="s">
        <v>2004</v>
      </c>
      <c r="Z234">
        <v>115.1969208</v>
      </c>
      <c r="AA234">
        <v>-8.6612825000000004</v>
      </c>
      <c r="AB234" t="s">
        <v>2005</v>
      </c>
      <c r="AC234" t="s">
        <v>216</v>
      </c>
      <c r="AL234" t="s">
        <v>217</v>
      </c>
      <c r="AM234" t="s">
        <v>2006</v>
      </c>
      <c r="AN234" t="s">
        <v>6</v>
      </c>
      <c r="AO234" s="57">
        <v>46062.569467592592</v>
      </c>
      <c r="AR234" t="s">
        <v>218</v>
      </c>
      <c r="AS234" t="s">
        <v>817</v>
      </c>
      <c r="AT234" t="s">
        <v>230</v>
      </c>
      <c r="AU234">
        <v>20260902</v>
      </c>
      <c r="AV234" t="s">
        <v>221</v>
      </c>
      <c r="AW234" t="s">
        <v>545</v>
      </c>
      <c r="AX234" t="s">
        <v>222</v>
      </c>
      <c r="BA234" s="57">
        <v>46267.291666666664</v>
      </c>
      <c r="BB234" t="s">
        <v>2006</v>
      </c>
      <c r="BC234">
        <v>2026</v>
      </c>
      <c r="BD234">
        <v>9</v>
      </c>
      <c r="BE234">
        <v>2</v>
      </c>
      <c r="BF234" s="6">
        <f t="shared" si="9"/>
        <v>46267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UBUNG</v>
      </c>
    </row>
    <row r="235" spans="1:61">
      <c r="A235">
        <v>234</v>
      </c>
      <c r="B235">
        <v>1002568591</v>
      </c>
      <c r="C235">
        <v>3</v>
      </c>
      <c r="D235" t="s">
        <v>59</v>
      </c>
      <c r="E235">
        <v>4</v>
      </c>
      <c r="F235" t="s">
        <v>549</v>
      </c>
      <c r="G235" t="s">
        <v>825</v>
      </c>
      <c r="H235" t="s">
        <v>830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46267.827037037037</v>
      </c>
      <c r="P235" s="57">
        <v>46268.563298611109</v>
      </c>
      <c r="Q235">
        <v>69382642</v>
      </c>
      <c r="S235">
        <v>146129128815</v>
      </c>
      <c r="T235" t="s">
        <v>1705</v>
      </c>
      <c r="U235" t="s">
        <v>2923</v>
      </c>
      <c r="V235" t="s">
        <v>1706</v>
      </c>
      <c r="Z235">
        <v>110.4164993</v>
      </c>
      <c r="AA235">
        <v>-7.8764792999999997</v>
      </c>
      <c r="AB235" t="s">
        <v>1707</v>
      </c>
      <c r="AC235" t="s">
        <v>236</v>
      </c>
      <c r="AL235" t="s">
        <v>217</v>
      </c>
      <c r="AM235" t="s">
        <v>1708</v>
      </c>
      <c r="AN235" t="s">
        <v>6</v>
      </c>
      <c r="AO235" s="57">
        <v>46062.829826388886</v>
      </c>
      <c r="AP235" s="57">
        <v>46269.333333333336</v>
      </c>
      <c r="AR235" t="s">
        <v>218</v>
      </c>
      <c r="AS235" t="s">
        <v>219</v>
      </c>
      <c r="AT235" t="s">
        <v>230</v>
      </c>
      <c r="AU235">
        <v>20260903</v>
      </c>
      <c r="AV235" t="s">
        <v>221</v>
      </c>
      <c r="AW235" t="s">
        <v>887</v>
      </c>
      <c r="AX235" t="s">
        <v>222</v>
      </c>
      <c r="BA235" s="57">
        <v>46269.333333333336</v>
      </c>
      <c r="BB235" t="s">
        <v>1708</v>
      </c>
      <c r="BC235">
        <v>2026</v>
      </c>
      <c r="BD235">
        <v>9</v>
      </c>
      <c r="BE235">
        <v>3</v>
      </c>
      <c r="BF235" s="6">
        <f t="shared" si="9"/>
        <v>46268</v>
      </c>
      <c r="BG235">
        <f t="shared" si="10"/>
        <v>-1.3333333333357587</v>
      </c>
      <c r="BH235" t="str">
        <f t="shared" si="11"/>
        <v>COMPLY</v>
      </c>
      <c r="BI235" t="e">
        <f>VLOOKUP(H235,Sheet2!$A$1:$B$270,2,FALSE)</f>
        <v>#N/A</v>
      </c>
    </row>
    <row r="236" spans="1:61">
      <c r="A236">
        <v>235</v>
      </c>
      <c r="B236">
        <v>1002567446</v>
      </c>
      <c r="C236">
        <v>3</v>
      </c>
      <c r="D236" t="s">
        <v>59</v>
      </c>
      <c r="E236">
        <v>4</v>
      </c>
      <c r="F236" t="s">
        <v>549</v>
      </c>
      <c r="G236" t="s">
        <v>1698</v>
      </c>
      <c r="H236" t="s">
        <v>2007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46267.511064814818</v>
      </c>
      <c r="P236" s="57">
        <v>46267.647812499999</v>
      </c>
      <c r="Q236">
        <v>69382265</v>
      </c>
      <c r="S236">
        <v>146144118456</v>
      </c>
      <c r="T236" t="s">
        <v>2008</v>
      </c>
      <c r="U236" t="s">
        <v>2009</v>
      </c>
      <c r="V236" t="s">
        <v>2010</v>
      </c>
      <c r="Z236">
        <v>110.4043398</v>
      </c>
      <c r="AA236">
        <v>-7.6857075999999998</v>
      </c>
      <c r="AB236" t="s">
        <v>2011</v>
      </c>
      <c r="AC236" t="s">
        <v>236</v>
      </c>
      <c r="AL236" t="s">
        <v>217</v>
      </c>
      <c r="AM236" t="s">
        <v>2012</v>
      </c>
      <c r="AN236" t="s">
        <v>6</v>
      </c>
      <c r="AO236" s="57">
        <v>46062.517766203702</v>
      </c>
      <c r="AP236" s="57">
        <v>46268.541666666664</v>
      </c>
      <c r="AR236" t="s">
        <v>218</v>
      </c>
      <c r="AS236" t="s">
        <v>219</v>
      </c>
      <c r="AT236" t="s">
        <v>230</v>
      </c>
      <c r="AU236">
        <v>20260902</v>
      </c>
      <c r="AV236" t="s">
        <v>221</v>
      </c>
      <c r="AW236" t="s">
        <v>885</v>
      </c>
      <c r="AX236" t="s">
        <v>222</v>
      </c>
      <c r="BA236" s="57">
        <v>46268.541666666664</v>
      </c>
      <c r="BB236" t="s">
        <v>2012</v>
      </c>
      <c r="BC236">
        <v>2026</v>
      </c>
      <c r="BD236">
        <v>9</v>
      </c>
      <c r="BE236">
        <v>2</v>
      </c>
      <c r="BF236" s="6">
        <f t="shared" si="9"/>
        <v>46267</v>
      </c>
      <c r="BG236">
        <f t="shared" si="10"/>
        <v>-1.5416666666642413</v>
      </c>
      <c r="BH236" t="str">
        <f t="shared" si="11"/>
        <v>COMPLY</v>
      </c>
      <c r="BI236" t="e">
        <f>VLOOKUP(H236,Sheet2!$A$1:$B$270,2,FALSE)</f>
        <v>#N/A</v>
      </c>
    </row>
    <row r="237" spans="1:61">
      <c r="A237">
        <v>236</v>
      </c>
      <c r="B237">
        <v>1002568571</v>
      </c>
      <c r="C237">
        <v>3</v>
      </c>
      <c r="D237" t="s">
        <v>38</v>
      </c>
      <c r="E237">
        <v>5</v>
      </c>
      <c r="F237" t="s">
        <v>248</v>
      </c>
      <c r="G237" t="s">
        <v>91</v>
      </c>
      <c r="H237" t="s">
        <v>512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46267.791620370372</v>
      </c>
      <c r="P237" s="57">
        <v>46268.604594907411</v>
      </c>
      <c r="Q237">
        <v>69382634</v>
      </c>
      <c r="S237">
        <v>152722205326</v>
      </c>
      <c r="T237" t="s">
        <v>1715</v>
      </c>
      <c r="U237" t="s">
        <v>1716</v>
      </c>
      <c r="V237" t="s">
        <v>1717</v>
      </c>
      <c r="Z237">
        <v>112.46492972921</v>
      </c>
      <c r="AA237">
        <v>-8.2124165657771595</v>
      </c>
      <c r="AB237" t="s">
        <v>1718</v>
      </c>
      <c r="AC237" t="s">
        <v>236</v>
      </c>
      <c r="AL237" t="s">
        <v>217</v>
      </c>
      <c r="AM237" t="s">
        <v>1719</v>
      </c>
      <c r="AN237" t="s">
        <v>6</v>
      </c>
      <c r="AO237" s="57">
        <v>46062.798587962963</v>
      </c>
      <c r="AP237" s="57">
        <v>46268.625</v>
      </c>
      <c r="AR237" t="s">
        <v>218</v>
      </c>
      <c r="AS237" t="s">
        <v>91</v>
      </c>
      <c r="AT237" t="s">
        <v>344</v>
      </c>
      <c r="AU237">
        <v>20260903</v>
      </c>
      <c r="AV237" t="s">
        <v>221</v>
      </c>
      <c r="AW237" t="s">
        <v>1720</v>
      </c>
      <c r="AX237" t="s">
        <v>222</v>
      </c>
      <c r="BA237" s="57">
        <v>46268.625</v>
      </c>
      <c r="BB237" t="s">
        <v>1719</v>
      </c>
      <c r="BC237">
        <v>2026</v>
      </c>
      <c r="BD237">
        <v>9</v>
      </c>
      <c r="BE237">
        <v>3</v>
      </c>
      <c r="BF237" s="6">
        <f t="shared" si="9"/>
        <v>46268</v>
      </c>
      <c r="BG237">
        <f t="shared" si="10"/>
        <v>-0.625</v>
      </c>
      <c r="BH237" t="str">
        <f t="shared" si="11"/>
        <v>COMPLY</v>
      </c>
      <c r="BI237" t="str">
        <f>VLOOKUP(H237,Sheet2!$A$1:$B$270,2,FALSE)</f>
        <v>MALANG</v>
      </c>
    </row>
    <row r="238" spans="1:61">
      <c r="A238">
        <v>237</v>
      </c>
      <c r="B238">
        <v>1002567232</v>
      </c>
      <c r="C238">
        <v>3</v>
      </c>
      <c r="D238" t="s">
        <v>42</v>
      </c>
      <c r="E238">
        <v>5</v>
      </c>
      <c r="F238" t="s">
        <v>102</v>
      </c>
      <c r="G238" t="s">
        <v>102</v>
      </c>
      <c r="H238" t="s">
        <v>435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46267.464548611111</v>
      </c>
      <c r="P238" s="57">
        <v>46268.671400462961</v>
      </c>
      <c r="Q238">
        <v>69382157</v>
      </c>
      <c r="S238">
        <v>152537204705</v>
      </c>
      <c r="T238" t="s">
        <v>2190</v>
      </c>
      <c r="U238" t="s">
        <v>2191</v>
      </c>
      <c r="V238" t="s">
        <v>2192</v>
      </c>
      <c r="Z238">
        <v>113.904381280301</v>
      </c>
      <c r="AA238">
        <v>-8.0751779819193796</v>
      </c>
      <c r="AB238" t="s">
        <v>2193</v>
      </c>
      <c r="AC238" t="s">
        <v>236</v>
      </c>
      <c r="AL238" t="s">
        <v>217</v>
      </c>
      <c r="AM238" t="s">
        <v>2059</v>
      </c>
      <c r="AN238" t="s">
        <v>6</v>
      </c>
      <c r="AO238" s="57">
        <v>46062.465277777781</v>
      </c>
      <c r="AP238" s="57">
        <v>46268.333333333336</v>
      </c>
      <c r="AR238" t="s">
        <v>218</v>
      </c>
      <c r="AS238" t="s">
        <v>2194</v>
      </c>
      <c r="AT238" t="s">
        <v>230</v>
      </c>
      <c r="AU238">
        <v>20260903</v>
      </c>
      <c r="AV238" t="s">
        <v>221</v>
      </c>
      <c r="AW238" t="s">
        <v>886</v>
      </c>
      <c r="AX238" t="s">
        <v>222</v>
      </c>
      <c r="BA238" s="57">
        <v>46268.333333333336</v>
      </c>
      <c r="BB238" t="s">
        <v>2059</v>
      </c>
      <c r="BC238">
        <v>2026</v>
      </c>
      <c r="BD238">
        <v>9</v>
      </c>
      <c r="BE238">
        <v>3</v>
      </c>
      <c r="BF238" s="6">
        <f t="shared" si="9"/>
        <v>46268</v>
      </c>
      <c r="BG238">
        <f t="shared" si="10"/>
        <v>-0.33333333333575865</v>
      </c>
      <c r="BH238" t="str">
        <f t="shared" si="11"/>
        <v>COMPLY</v>
      </c>
      <c r="BI238" t="str">
        <f>VLOOKUP(H238,Sheet2!$A$1:$B$270,2,FALSE)</f>
        <v>JEMBER</v>
      </c>
    </row>
    <row r="239" spans="1:61">
      <c r="A239">
        <v>238</v>
      </c>
      <c r="B239">
        <v>1002567231</v>
      </c>
      <c r="C239">
        <v>3</v>
      </c>
      <c r="D239" t="s">
        <v>42</v>
      </c>
      <c r="E239">
        <v>5</v>
      </c>
      <c r="F239" t="s">
        <v>102</v>
      </c>
      <c r="G239" t="s">
        <v>99</v>
      </c>
      <c r="H239" t="s">
        <v>406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46267.464537037034</v>
      </c>
      <c r="P239" s="57">
        <v>46267.61173611111</v>
      </c>
      <c r="Q239">
        <v>69382174</v>
      </c>
      <c r="S239">
        <v>152522205703</v>
      </c>
      <c r="T239" t="s">
        <v>2013</v>
      </c>
      <c r="U239" t="s">
        <v>2014</v>
      </c>
      <c r="V239" t="s">
        <v>2015</v>
      </c>
      <c r="Z239">
        <v>114.336446</v>
      </c>
      <c r="AA239">
        <v>-8.4279601999999993</v>
      </c>
      <c r="AB239" t="s">
        <v>2016</v>
      </c>
      <c r="AC239" t="s">
        <v>236</v>
      </c>
      <c r="AL239" t="s">
        <v>217</v>
      </c>
      <c r="AM239" t="s">
        <v>1918</v>
      </c>
      <c r="AN239" t="s">
        <v>6</v>
      </c>
      <c r="AO239" s="57">
        <v>46062.465277777781</v>
      </c>
      <c r="AP239" s="57">
        <v>46268.333333333336</v>
      </c>
      <c r="AR239" t="s">
        <v>218</v>
      </c>
      <c r="AS239" t="s">
        <v>99</v>
      </c>
      <c r="AT239" t="s">
        <v>230</v>
      </c>
      <c r="AU239">
        <v>20260902</v>
      </c>
      <c r="AV239" t="s">
        <v>221</v>
      </c>
      <c r="AW239" t="s">
        <v>2017</v>
      </c>
      <c r="AX239" t="s">
        <v>222</v>
      </c>
      <c r="BA239" s="57">
        <v>46268.333333333336</v>
      </c>
      <c r="BB239" t="s">
        <v>1918</v>
      </c>
      <c r="BC239">
        <v>2026</v>
      </c>
      <c r="BD239">
        <v>9</v>
      </c>
      <c r="BE239">
        <v>2</v>
      </c>
      <c r="BF239" s="6">
        <f t="shared" si="9"/>
        <v>46267</v>
      </c>
      <c r="BG239">
        <f t="shared" si="10"/>
        <v>-1.3333333333357587</v>
      </c>
      <c r="BH239" t="str">
        <f t="shared" si="11"/>
        <v>COMPLY</v>
      </c>
      <c r="BI239" t="str">
        <f>VLOOKUP(H239,Sheet2!$A$1:$B$270,2,FALSE)</f>
        <v>BANYUWANGI</v>
      </c>
    </row>
    <row r="240" spans="1:61">
      <c r="A240">
        <v>239</v>
      </c>
      <c r="B240">
        <v>1002567211</v>
      </c>
      <c r="C240">
        <v>3</v>
      </c>
      <c r="D240" t="s">
        <v>55</v>
      </c>
      <c r="E240">
        <v>5</v>
      </c>
      <c r="F240" t="s">
        <v>261</v>
      </c>
      <c r="G240" t="s">
        <v>126</v>
      </c>
      <c r="H240" t="s">
        <v>262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46267.460370370369</v>
      </c>
      <c r="P240" s="57">
        <v>46268.549490740741</v>
      </c>
      <c r="Q240">
        <v>69382167</v>
      </c>
      <c r="S240">
        <v>152413167930</v>
      </c>
      <c r="T240" t="s">
        <v>1886</v>
      </c>
      <c r="U240" t="s">
        <v>1887</v>
      </c>
      <c r="V240" t="s">
        <v>1888</v>
      </c>
      <c r="Z240">
        <v>112.73390449999999</v>
      </c>
      <c r="AA240">
        <v>-7.2520619999999996</v>
      </c>
      <c r="AB240" t="s">
        <v>1889</v>
      </c>
      <c r="AC240" t="s">
        <v>236</v>
      </c>
      <c r="AL240" t="s">
        <v>217</v>
      </c>
      <c r="AM240" t="s">
        <v>1125</v>
      </c>
      <c r="AN240" t="s">
        <v>6</v>
      </c>
      <c r="AO240" s="57">
        <v>46062.465277777781</v>
      </c>
      <c r="AP240" s="57">
        <v>46268.333333333336</v>
      </c>
      <c r="AR240" t="s">
        <v>218</v>
      </c>
      <c r="AS240" t="s">
        <v>575</v>
      </c>
      <c r="AT240" t="s">
        <v>344</v>
      </c>
      <c r="AU240">
        <v>20260903</v>
      </c>
      <c r="AV240" t="s">
        <v>221</v>
      </c>
      <c r="AW240" t="s">
        <v>1890</v>
      </c>
      <c r="AX240" t="s">
        <v>222</v>
      </c>
      <c r="BA240" s="57">
        <v>46268.333333333336</v>
      </c>
      <c r="BB240" t="s">
        <v>1125</v>
      </c>
      <c r="BC240">
        <v>2026</v>
      </c>
      <c r="BD240">
        <v>9</v>
      </c>
      <c r="BE240">
        <v>3</v>
      </c>
      <c r="BF240" s="6">
        <f t="shared" si="9"/>
        <v>46268</v>
      </c>
      <c r="BG240">
        <f t="shared" si="10"/>
        <v>-0.33333333333575865</v>
      </c>
      <c r="BH240" t="str">
        <f t="shared" si="11"/>
        <v>COMPLY</v>
      </c>
      <c r="BI240" t="str">
        <f>VLOOKUP(H240,Sheet2!$A$1:$B$270,2,FALSE)</f>
        <v>SURABAYA SELATAN</v>
      </c>
    </row>
    <row r="241" spans="1:61">
      <c r="A241">
        <v>240</v>
      </c>
      <c r="B241">
        <v>1002567226</v>
      </c>
      <c r="C241">
        <v>3</v>
      </c>
      <c r="D241" t="s">
        <v>59</v>
      </c>
      <c r="E241">
        <v>4</v>
      </c>
      <c r="F241" t="s">
        <v>242</v>
      </c>
      <c r="G241" t="s">
        <v>1544</v>
      </c>
      <c r="H241" t="s">
        <v>1545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46267.463148148148</v>
      </c>
      <c r="P241" s="57">
        <v>46268.400787037041</v>
      </c>
      <c r="Q241">
        <v>69382155</v>
      </c>
      <c r="S241">
        <v>141373127582</v>
      </c>
      <c r="T241" t="s">
        <v>2018</v>
      </c>
      <c r="U241" t="s">
        <v>2019</v>
      </c>
      <c r="V241" t="s">
        <v>2020</v>
      </c>
      <c r="Z241">
        <v>109.938009729745</v>
      </c>
      <c r="AA241">
        <v>-7.2331036469159002</v>
      </c>
      <c r="AB241" t="s">
        <v>2021</v>
      </c>
      <c r="AC241" t="s">
        <v>236</v>
      </c>
      <c r="AL241" t="s">
        <v>217</v>
      </c>
      <c r="AM241" t="s">
        <v>2022</v>
      </c>
      <c r="AN241" t="s">
        <v>6</v>
      </c>
      <c r="AO241" s="57">
        <v>46062.465277777781</v>
      </c>
      <c r="AP241" s="57">
        <v>46268.333333333336</v>
      </c>
      <c r="AR241" t="s">
        <v>218</v>
      </c>
      <c r="AS241" t="s">
        <v>219</v>
      </c>
      <c r="AT241" t="s">
        <v>230</v>
      </c>
      <c r="AU241">
        <v>20260903</v>
      </c>
      <c r="AV241" t="s">
        <v>221</v>
      </c>
      <c r="AW241" t="s">
        <v>887</v>
      </c>
      <c r="AX241" t="s">
        <v>222</v>
      </c>
      <c r="BA241" s="57">
        <v>46268.333333333336</v>
      </c>
      <c r="BB241" t="s">
        <v>2022</v>
      </c>
      <c r="BC241">
        <v>2026</v>
      </c>
      <c r="BD241">
        <v>9</v>
      </c>
      <c r="BE241">
        <v>3</v>
      </c>
      <c r="BF241" s="6">
        <f t="shared" si="9"/>
        <v>46268</v>
      </c>
      <c r="BG241">
        <f t="shared" si="10"/>
        <v>-0.33333333333575865</v>
      </c>
      <c r="BH241" t="str">
        <f t="shared" si="11"/>
        <v>COMPLY</v>
      </c>
      <c r="BI241" t="e">
        <f>VLOOKUP(H241,Sheet2!$A$1:$B$270,2,FALSE)</f>
        <v>#N/A</v>
      </c>
    </row>
    <row r="242" spans="1:61">
      <c r="A242">
        <v>241</v>
      </c>
      <c r="B242">
        <v>1002567225</v>
      </c>
      <c r="C242">
        <v>3</v>
      </c>
      <c r="D242" t="s">
        <v>38</v>
      </c>
      <c r="E242">
        <v>5</v>
      </c>
      <c r="F242" t="s">
        <v>90</v>
      </c>
      <c r="G242" t="s">
        <v>90</v>
      </c>
      <c r="H242" t="s">
        <v>346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46267.463148148148</v>
      </c>
      <c r="P242" s="57">
        <v>46267.528495370374</v>
      </c>
      <c r="Q242">
        <v>69382156</v>
      </c>
      <c r="S242">
        <v>152639219544</v>
      </c>
      <c r="T242" t="s">
        <v>2023</v>
      </c>
      <c r="U242" t="s">
        <v>2024</v>
      </c>
      <c r="V242" t="s">
        <v>2025</v>
      </c>
      <c r="Z242">
        <v>112.182354536719</v>
      </c>
      <c r="AA242">
        <v>-7.7745718265972004</v>
      </c>
      <c r="AB242" t="s">
        <v>2026</v>
      </c>
      <c r="AC242" t="s">
        <v>216</v>
      </c>
      <c r="AL242" t="s">
        <v>217</v>
      </c>
      <c r="AM242" t="s">
        <v>1070</v>
      </c>
      <c r="AN242" t="s">
        <v>6</v>
      </c>
      <c r="AO242" s="57">
        <v>46062.465277777781</v>
      </c>
      <c r="AP242" s="57">
        <v>46269.333333333336</v>
      </c>
      <c r="AR242" t="s">
        <v>218</v>
      </c>
      <c r="AS242" t="s">
        <v>304</v>
      </c>
      <c r="AT242" t="s">
        <v>230</v>
      </c>
      <c r="AU242">
        <v>20260902</v>
      </c>
      <c r="AV242" t="s">
        <v>221</v>
      </c>
      <c r="AW242" t="s">
        <v>886</v>
      </c>
      <c r="AX242" t="s">
        <v>222</v>
      </c>
      <c r="BA242" s="57">
        <v>46269.333333333336</v>
      </c>
      <c r="BB242" t="s">
        <v>1070</v>
      </c>
      <c r="BC242">
        <v>2026</v>
      </c>
      <c r="BD242">
        <v>9</v>
      </c>
      <c r="BE242">
        <v>2</v>
      </c>
      <c r="BF242" s="6">
        <f t="shared" si="9"/>
        <v>46267</v>
      </c>
      <c r="BG242">
        <f t="shared" si="10"/>
        <v>-2.3333333333357587</v>
      </c>
      <c r="BH242" t="str">
        <f t="shared" si="11"/>
        <v>COMPLY</v>
      </c>
      <c r="BI242" t="str">
        <f>VLOOKUP(H242,Sheet2!$A$1:$B$270,2,FALSE)</f>
        <v>KEDIRI</v>
      </c>
    </row>
    <row r="243" spans="1:61">
      <c r="A243">
        <v>242</v>
      </c>
      <c r="B243">
        <v>1002567199</v>
      </c>
      <c r="C243">
        <v>3</v>
      </c>
      <c r="D243" t="s">
        <v>49</v>
      </c>
      <c r="E243">
        <v>4</v>
      </c>
      <c r="F243" t="s">
        <v>245</v>
      </c>
      <c r="G243" t="s">
        <v>246</v>
      </c>
      <c r="H243" t="s">
        <v>832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46267.458298611113</v>
      </c>
      <c r="P243" s="57">
        <v>46267.804340277777</v>
      </c>
      <c r="Q243">
        <v>69382152</v>
      </c>
      <c r="S243">
        <v>142406122489</v>
      </c>
      <c r="T243" t="s">
        <v>2027</v>
      </c>
      <c r="U243" t="s">
        <v>2028</v>
      </c>
      <c r="V243" t="s">
        <v>2029</v>
      </c>
      <c r="Z243">
        <v>110.407045483589</v>
      </c>
      <c r="AA243">
        <v>-6.9801912258590004</v>
      </c>
      <c r="AB243" t="s">
        <v>2030</v>
      </c>
      <c r="AC243" t="s">
        <v>216</v>
      </c>
      <c r="AL243" t="s">
        <v>217</v>
      </c>
      <c r="AM243" t="s">
        <v>2031</v>
      </c>
      <c r="AN243" t="s">
        <v>6</v>
      </c>
      <c r="AO243" s="57">
        <v>46062.465277777781</v>
      </c>
      <c r="AP243" s="57">
        <v>46268.333333333336</v>
      </c>
      <c r="AR243" t="s">
        <v>218</v>
      </c>
      <c r="AS243" t="s">
        <v>900</v>
      </c>
      <c r="AT243" t="s">
        <v>230</v>
      </c>
      <c r="AU243">
        <v>20260902</v>
      </c>
      <c r="AV243" t="s">
        <v>221</v>
      </c>
      <c r="AW243" t="s">
        <v>882</v>
      </c>
      <c r="AX243" t="s">
        <v>222</v>
      </c>
      <c r="BA243" s="57">
        <v>46268.333333333336</v>
      </c>
      <c r="BB243" t="s">
        <v>2031</v>
      </c>
      <c r="BC243">
        <v>2026</v>
      </c>
      <c r="BD243">
        <v>9</v>
      </c>
      <c r="BE243">
        <v>2</v>
      </c>
      <c r="BF243" s="6">
        <f t="shared" si="9"/>
        <v>46267</v>
      </c>
      <c r="BG243">
        <f t="shared" si="10"/>
        <v>-1.3333333333357587</v>
      </c>
      <c r="BH243" t="str">
        <f t="shared" si="11"/>
        <v>COMPLY</v>
      </c>
      <c r="BI243" t="e">
        <f>VLOOKUP(H243,Sheet2!$A$1:$B$270,2,FALSE)</f>
        <v>#N/A</v>
      </c>
    </row>
    <row r="244" spans="1:61">
      <c r="A244">
        <v>243</v>
      </c>
      <c r="B244">
        <v>1002568293</v>
      </c>
      <c r="C244">
        <v>3</v>
      </c>
      <c r="D244" t="s">
        <v>49</v>
      </c>
      <c r="E244">
        <v>4</v>
      </c>
      <c r="F244" t="s">
        <v>245</v>
      </c>
      <c r="G244" t="s">
        <v>246</v>
      </c>
      <c r="H244" t="s">
        <v>2032</v>
      </c>
      <c r="I244" t="s">
        <v>212</v>
      </c>
      <c r="J244" t="s">
        <v>213</v>
      </c>
      <c r="K244" t="s">
        <v>149</v>
      </c>
      <c r="M244" t="s">
        <v>76</v>
      </c>
      <c r="N244" t="s">
        <v>215</v>
      </c>
      <c r="O244" s="57">
        <v>46267.674537037034</v>
      </c>
      <c r="P244" s="57">
        <v>46267.769328703704</v>
      </c>
      <c r="Q244">
        <v>69379674</v>
      </c>
      <c r="S244">
        <v>141420160156</v>
      </c>
      <c r="T244" t="s">
        <v>2033</v>
      </c>
      <c r="U244" t="s">
        <v>2034</v>
      </c>
      <c r="V244" t="s">
        <v>2035</v>
      </c>
      <c r="Z244">
        <v>110.344567</v>
      </c>
      <c r="AA244">
        <v>-7.0111840000000001</v>
      </c>
      <c r="AB244" t="s">
        <v>2036</v>
      </c>
      <c r="AC244" t="s">
        <v>216</v>
      </c>
      <c r="AL244" t="s">
        <v>217</v>
      </c>
      <c r="AM244" t="s">
        <v>2037</v>
      </c>
      <c r="AN244" t="s">
        <v>6</v>
      </c>
      <c r="AO244" s="57">
        <v>46062.684166666666</v>
      </c>
      <c r="AR244" t="s">
        <v>218</v>
      </c>
      <c r="AS244" t="s">
        <v>1965</v>
      </c>
      <c r="AT244" t="s">
        <v>230</v>
      </c>
      <c r="AU244">
        <v>20260902</v>
      </c>
      <c r="AV244" t="s">
        <v>221</v>
      </c>
      <c r="AW244" t="s">
        <v>546</v>
      </c>
      <c r="AX244" t="s">
        <v>222</v>
      </c>
      <c r="BA244" s="57">
        <v>46267.291666666664</v>
      </c>
      <c r="BB244" t="s">
        <v>2037</v>
      </c>
      <c r="BC244">
        <v>2026</v>
      </c>
      <c r="BD244">
        <v>9</v>
      </c>
      <c r="BE244">
        <v>2</v>
      </c>
      <c r="BF244" s="6">
        <f t="shared" si="9"/>
        <v>46267</v>
      </c>
      <c r="BG244">
        <f t="shared" si="10"/>
        <v>-0.29166666666424135</v>
      </c>
      <c r="BH244" t="str">
        <f t="shared" si="11"/>
        <v>COMPLY</v>
      </c>
      <c r="BI244" t="e">
        <f>VLOOKUP(H244,Sheet2!$A$1:$B$270,2,FALSE)</f>
        <v>#N/A</v>
      </c>
    </row>
    <row r="245" spans="1:61">
      <c r="A245">
        <v>244</v>
      </c>
      <c r="B245">
        <v>1002568312</v>
      </c>
      <c r="C245">
        <v>3</v>
      </c>
      <c r="D245" t="s">
        <v>59</v>
      </c>
      <c r="E245">
        <v>4</v>
      </c>
      <c r="F245" t="s">
        <v>223</v>
      </c>
      <c r="G245" t="s">
        <v>580</v>
      </c>
      <c r="H245" t="s">
        <v>1721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46267.677060185182</v>
      </c>
      <c r="P245" s="57">
        <v>46268.685196759259</v>
      </c>
      <c r="Q245">
        <v>69382520</v>
      </c>
      <c r="S245">
        <v>143385101245</v>
      </c>
      <c r="T245" t="s">
        <v>1722</v>
      </c>
      <c r="U245" t="s">
        <v>1723</v>
      </c>
      <c r="V245" t="s">
        <v>1724</v>
      </c>
      <c r="Z245">
        <v>109.274609</v>
      </c>
      <c r="AA245">
        <v>-7.5926549999999997</v>
      </c>
      <c r="AB245" t="s">
        <v>1725</v>
      </c>
      <c r="AC245" t="s">
        <v>236</v>
      </c>
      <c r="AL245" t="s">
        <v>217</v>
      </c>
      <c r="AM245" t="s">
        <v>1726</v>
      </c>
      <c r="AN245" t="s">
        <v>6</v>
      </c>
      <c r="AO245" s="57">
        <v>46062.684166666666</v>
      </c>
      <c r="AP245" s="57">
        <v>46269.625</v>
      </c>
      <c r="AR245" t="s">
        <v>218</v>
      </c>
      <c r="AS245" t="s">
        <v>1727</v>
      </c>
      <c r="AT245" t="s">
        <v>230</v>
      </c>
      <c r="AU245">
        <v>20260903</v>
      </c>
      <c r="AV245" t="s">
        <v>221</v>
      </c>
      <c r="AW245" t="s">
        <v>886</v>
      </c>
      <c r="AX245" t="s">
        <v>222</v>
      </c>
      <c r="BA245" s="57">
        <v>46269.625</v>
      </c>
      <c r="BB245" t="s">
        <v>1726</v>
      </c>
      <c r="BC245">
        <v>2026</v>
      </c>
      <c r="BD245">
        <v>9</v>
      </c>
      <c r="BE245">
        <v>3</v>
      </c>
      <c r="BF245" s="6">
        <f t="shared" si="9"/>
        <v>46268</v>
      </c>
      <c r="BG245">
        <f t="shared" si="10"/>
        <v>-1.625</v>
      </c>
      <c r="BH245" t="str">
        <f t="shared" si="11"/>
        <v>COMPLY</v>
      </c>
      <c r="BI245" t="e">
        <f>VLOOKUP(H245,Sheet2!$A$1:$B$270,2,FALSE)</f>
        <v>#N/A</v>
      </c>
    </row>
    <row r="246" spans="1:61">
      <c r="A246">
        <v>245</v>
      </c>
      <c r="B246">
        <v>1002566882</v>
      </c>
      <c r="C246">
        <v>3</v>
      </c>
      <c r="D246" t="s">
        <v>38</v>
      </c>
      <c r="E246">
        <v>5</v>
      </c>
      <c r="F246" t="s">
        <v>90</v>
      </c>
      <c r="G246" t="s">
        <v>93</v>
      </c>
      <c r="H246" t="s">
        <v>311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46267.402048611111</v>
      </c>
      <c r="P246" s="57">
        <v>46267.603159722225</v>
      </c>
      <c r="Q246">
        <v>69382040</v>
      </c>
      <c r="S246">
        <v>152641205424</v>
      </c>
      <c r="T246" t="s">
        <v>1919</v>
      </c>
      <c r="U246" t="s">
        <v>2038</v>
      </c>
      <c r="V246" t="s">
        <v>2039</v>
      </c>
      <c r="Z246">
        <v>112.048062868416</v>
      </c>
      <c r="AA246">
        <v>-7.67264991606298</v>
      </c>
      <c r="AB246" t="s">
        <v>2040</v>
      </c>
      <c r="AC246" t="s">
        <v>216</v>
      </c>
      <c r="AL246" t="s">
        <v>217</v>
      </c>
      <c r="AM246" t="s">
        <v>1918</v>
      </c>
      <c r="AN246" t="s">
        <v>6</v>
      </c>
      <c r="AO246" s="57">
        <v>46062.402870370373</v>
      </c>
      <c r="AP246" s="57">
        <v>46268.333333333336</v>
      </c>
      <c r="AR246" t="s">
        <v>218</v>
      </c>
      <c r="AS246" t="s">
        <v>589</v>
      </c>
      <c r="AT246" t="s">
        <v>230</v>
      </c>
      <c r="AU246">
        <v>20260902</v>
      </c>
      <c r="AV246" t="s">
        <v>221</v>
      </c>
      <c r="AW246" t="s">
        <v>885</v>
      </c>
      <c r="AX246" t="s">
        <v>222</v>
      </c>
      <c r="BA246" s="57">
        <v>46268.333333333336</v>
      </c>
      <c r="BB246" t="s">
        <v>1918</v>
      </c>
      <c r="BC246">
        <v>2026</v>
      </c>
      <c r="BD246">
        <v>9</v>
      </c>
      <c r="BE246">
        <v>2</v>
      </c>
      <c r="BF246" s="6">
        <f t="shared" si="9"/>
        <v>46267</v>
      </c>
      <c r="BG246">
        <f t="shared" si="10"/>
        <v>-1.3333333333357587</v>
      </c>
      <c r="BH246" t="str">
        <f t="shared" si="11"/>
        <v>COMPLY</v>
      </c>
      <c r="BI246" t="str">
        <f>VLOOKUP(H246,Sheet2!$A$1:$B$270,2,FALSE)</f>
        <v>NGANJUK</v>
      </c>
    </row>
    <row r="247" spans="1:61">
      <c r="A247">
        <v>246</v>
      </c>
      <c r="B247">
        <v>1002566867</v>
      </c>
      <c r="C247">
        <v>3</v>
      </c>
      <c r="D247" t="s">
        <v>45</v>
      </c>
      <c r="E247">
        <v>5</v>
      </c>
      <c r="F247" t="s">
        <v>210</v>
      </c>
      <c r="G247" t="s">
        <v>115</v>
      </c>
      <c r="H247" t="s">
        <v>273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46267.399953703702</v>
      </c>
      <c r="P247" s="57">
        <v>46268.627337962964</v>
      </c>
      <c r="Q247">
        <v>69382037</v>
      </c>
      <c r="S247">
        <v>172603791820</v>
      </c>
      <c r="T247" t="s">
        <v>1728</v>
      </c>
      <c r="U247" t="s">
        <v>1729</v>
      </c>
      <c r="V247" t="s">
        <v>1730</v>
      </c>
      <c r="Z247">
        <v>116.39441290000001</v>
      </c>
      <c r="AA247">
        <v>-8.6871682000000003</v>
      </c>
      <c r="AB247" t="s">
        <v>1731</v>
      </c>
      <c r="AC247" t="s">
        <v>216</v>
      </c>
      <c r="AL247" t="s">
        <v>217</v>
      </c>
      <c r="AM247" t="s">
        <v>1692</v>
      </c>
      <c r="AN247" t="s">
        <v>6</v>
      </c>
      <c r="AO247" s="57">
        <v>46062.402870370373</v>
      </c>
      <c r="AP247" s="57">
        <v>46268.625</v>
      </c>
      <c r="AR247" t="s">
        <v>218</v>
      </c>
      <c r="AS247" t="s">
        <v>901</v>
      </c>
      <c r="AT247" t="s">
        <v>230</v>
      </c>
      <c r="AU247">
        <v>20260903</v>
      </c>
      <c r="AV247" t="s">
        <v>221</v>
      </c>
      <c r="AW247" t="s">
        <v>883</v>
      </c>
      <c r="AX247" t="s">
        <v>222</v>
      </c>
      <c r="BA247" s="57">
        <v>46268.625</v>
      </c>
      <c r="BB247" t="s">
        <v>1692</v>
      </c>
      <c r="BC247">
        <v>2026</v>
      </c>
      <c r="BD247">
        <v>9</v>
      </c>
      <c r="BE247">
        <v>3</v>
      </c>
      <c r="BF247" s="6">
        <f t="shared" si="9"/>
        <v>46268</v>
      </c>
      <c r="BG247">
        <f t="shared" si="10"/>
        <v>-0.625</v>
      </c>
      <c r="BH247" t="str">
        <f t="shared" si="11"/>
        <v>COMPLY</v>
      </c>
      <c r="BI247" t="str">
        <f>VLOOKUP(H247,Sheet2!$A$1:$B$270,2,FALSE)</f>
        <v>SELONG</v>
      </c>
    </row>
    <row r="248" spans="1:61">
      <c r="A248">
        <v>247</v>
      </c>
      <c r="B248">
        <v>1002566869</v>
      </c>
      <c r="C248">
        <v>3</v>
      </c>
      <c r="D248" t="s">
        <v>59</v>
      </c>
      <c r="E248">
        <v>4</v>
      </c>
      <c r="F248" t="s">
        <v>549</v>
      </c>
      <c r="G248" t="s">
        <v>825</v>
      </c>
      <c r="H248" t="s">
        <v>830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46267.400648148148</v>
      </c>
      <c r="P248" s="57">
        <v>46268.600648148145</v>
      </c>
      <c r="Q248">
        <v>69382038</v>
      </c>
      <c r="S248">
        <v>146129128792</v>
      </c>
      <c r="T248" t="s">
        <v>1732</v>
      </c>
      <c r="U248" t="s">
        <v>1733</v>
      </c>
      <c r="V248" t="s">
        <v>1734</v>
      </c>
      <c r="Z248">
        <v>110.348877</v>
      </c>
      <c r="AA248">
        <v>-7.8289010000000001</v>
      </c>
      <c r="AB248" t="s">
        <v>1735</v>
      </c>
      <c r="AC248" t="s">
        <v>236</v>
      </c>
      <c r="AL248" t="s">
        <v>217</v>
      </c>
      <c r="AM248" t="s">
        <v>1736</v>
      </c>
      <c r="AN248" t="s">
        <v>6</v>
      </c>
      <c r="AO248" s="57">
        <v>46062.402870370373</v>
      </c>
      <c r="AP248" s="57">
        <v>46268.416666666664</v>
      </c>
      <c r="AR248" t="s">
        <v>218</v>
      </c>
      <c r="AS248" t="s">
        <v>219</v>
      </c>
      <c r="AT248" t="s">
        <v>230</v>
      </c>
      <c r="AU248">
        <v>20260903</v>
      </c>
      <c r="AV248" t="s">
        <v>221</v>
      </c>
      <c r="AW248" t="s">
        <v>882</v>
      </c>
      <c r="AX248" t="s">
        <v>222</v>
      </c>
      <c r="BA248" s="57">
        <v>46268.416666666664</v>
      </c>
      <c r="BB248" t="s">
        <v>1736</v>
      </c>
      <c r="BC248">
        <v>2026</v>
      </c>
      <c r="BD248">
        <v>9</v>
      </c>
      <c r="BE248">
        <v>3</v>
      </c>
      <c r="BF248" s="6">
        <f t="shared" si="9"/>
        <v>46268</v>
      </c>
      <c r="BG248">
        <f t="shared" si="10"/>
        <v>-0.41666666666424135</v>
      </c>
      <c r="BH248" t="str">
        <f t="shared" si="11"/>
        <v>COMPLY</v>
      </c>
      <c r="BI248" t="e">
        <f>VLOOKUP(H248,Sheet2!$A$1:$B$270,2,FALSE)</f>
        <v>#N/A</v>
      </c>
    </row>
    <row r="249" spans="1:61">
      <c r="A249">
        <v>248</v>
      </c>
      <c r="B249">
        <v>1002566836</v>
      </c>
      <c r="C249">
        <v>3</v>
      </c>
      <c r="D249" t="s">
        <v>38</v>
      </c>
      <c r="E249">
        <v>5</v>
      </c>
      <c r="F249" t="s">
        <v>92</v>
      </c>
      <c r="G249" t="s">
        <v>94</v>
      </c>
      <c r="H249" t="s">
        <v>466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46267.394409722219</v>
      </c>
      <c r="P249" s="57">
        <v>46267.695208333331</v>
      </c>
      <c r="Q249">
        <v>69382019</v>
      </c>
      <c r="S249">
        <v>152634206976</v>
      </c>
      <c r="T249" t="s">
        <v>2041</v>
      </c>
      <c r="U249" t="s">
        <v>2042</v>
      </c>
      <c r="V249" t="s">
        <v>2043</v>
      </c>
      <c r="Z249">
        <v>111.29764</v>
      </c>
      <c r="AA249">
        <v>-7.4407670000000001</v>
      </c>
      <c r="AB249" t="s">
        <v>2044</v>
      </c>
      <c r="AC249" t="s">
        <v>236</v>
      </c>
      <c r="AL249" t="s">
        <v>217</v>
      </c>
      <c r="AM249" t="s">
        <v>2045</v>
      </c>
      <c r="AN249" t="s">
        <v>6</v>
      </c>
      <c r="AO249" s="57">
        <v>46062.402870370373</v>
      </c>
      <c r="AP249" s="57">
        <v>46266.434027777781</v>
      </c>
      <c r="AR249" t="s">
        <v>218</v>
      </c>
      <c r="AS249" t="s">
        <v>219</v>
      </c>
      <c r="AT249" t="s">
        <v>230</v>
      </c>
      <c r="AU249">
        <v>20260902</v>
      </c>
      <c r="AV249" t="s">
        <v>221</v>
      </c>
      <c r="AW249" t="s">
        <v>886</v>
      </c>
      <c r="AX249" t="s">
        <v>222</v>
      </c>
      <c r="BA249" s="57">
        <v>46266.434027777781</v>
      </c>
      <c r="BB249" t="s">
        <v>2045</v>
      </c>
      <c r="BC249">
        <v>2026</v>
      </c>
      <c r="BD249">
        <v>9</v>
      </c>
      <c r="BE249">
        <v>2</v>
      </c>
      <c r="BF249" s="6">
        <f t="shared" si="9"/>
        <v>46267</v>
      </c>
      <c r="BG249">
        <f t="shared" si="10"/>
        <v>0.56597222221898846</v>
      </c>
      <c r="BH249" t="str">
        <f t="shared" si="11"/>
        <v>COMPLY</v>
      </c>
      <c r="BI249" t="str">
        <f>VLOOKUP(H249,Sheet2!$A$1:$B$270,2,FALSE)</f>
        <v>MADIUN</v>
      </c>
    </row>
    <row r="250" spans="1:61">
      <c r="A250">
        <v>249</v>
      </c>
      <c r="B250">
        <v>1002566859</v>
      </c>
      <c r="C250">
        <v>3</v>
      </c>
      <c r="D250" t="s">
        <v>38</v>
      </c>
      <c r="E250">
        <v>5</v>
      </c>
      <c r="F250" t="s">
        <v>248</v>
      </c>
      <c r="G250" t="s">
        <v>91</v>
      </c>
      <c r="H250" t="s">
        <v>388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46267.398576388892</v>
      </c>
      <c r="P250" s="57">
        <v>46268.669571759259</v>
      </c>
      <c r="Q250">
        <v>69382034</v>
      </c>
      <c r="S250">
        <v>152703903384</v>
      </c>
      <c r="T250" t="s">
        <v>2168</v>
      </c>
      <c r="U250" t="s">
        <v>2169</v>
      </c>
      <c r="V250" t="s">
        <v>2170</v>
      </c>
      <c r="Z250">
        <v>112.617013664574</v>
      </c>
      <c r="AA250">
        <v>-7.9559393419297901</v>
      </c>
      <c r="AB250" t="s">
        <v>2171</v>
      </c>
      <c r="AC250" t="s">
        <v>236</v>
      </c>
      <c r="AL250" t="s">
        <v>217</v>
      </c>
      <c r="AM250" t="s">
        <v>1930</v>
      </c>
      <c r="AN250" t="s">
        <v>6</v>
      </c>
      <c r="AO250" s="57">
        <v>46062.402870370373</v>
      </c>
      <c r="AP250" s="57">
        <v>46268.333333333336</v>
      </c>
      <c r="AR250" t="s">
        <v>218</v>
      </c>
      <c r="AS250" t="s">
        <v>557</v>
      </c>
      <c r="AT250" t="s">
        <v>344</v>
      </c>
      <c r="AU250">
        <v>20260903</v>
      </c>
      <c r="AV250" t="s">
        <v>221</v>
      </c>
      <c r="AW250" t="s">
        <v>2173</v>
      </c>
      <c r="AX250" t="s">
        <v>222</v>
      </c>
      <c r="BA250" s="57">
        <v>46268.333333333336</v>
      </c>
      <c r="BB250" t="s">
        <v>1930</v>
      </c>
      <c r="BC250">
        <v>2026</v>
      </c>
      <c r="BD250">
        <v>9</v>
      </c>
      <c r="BE250">
        <v>3</v>
      </c>
      <c r="BF250" s="6">
        <f t="shared" si="9"/>
        <v>46268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MALANG</v>
      </c>
    </row>
    <row r="251" spans="1:61">
      <c r="A251">
        <v>250</v>
      </c>
      <c r="B251">
        <v>1002566804</v>
      </c>
      <c r="C251">
        <v>3</v>
      </c>
      <c r="D251" t="s">
        <v>59</v>
      </c>
      <c r="E251">
        <v>4</v>
      </c>
      <c r="F251" t="s">
        <v>242</v>
      </c>
      <c r="G251" t="s">
        <v>242</v>
      </c>
      <c r="H251" t="s">
        <v>288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46267.388148148151</v>
      </c>
      <c r="P251" s="57">
        <v>46268.50509259259</v>
      </c>
      <c r="Q251">
        <v>69382001</v>
      </c>
      <c r="S251">
        <v>146137147455</v>
      </c>
      <c r="T251" t="s">
        <v>1741</v>
      </c>
      <c r="U251" t="s">
        <v>1742</v>
      </c>
      <c r="V251" t="s">
        <v>1743</v>
      </c>
      <c r="Z251">
        <v>110.22905149989199</v>
      </c>
      <c r="AA251">
        <v>-7.4224383556040401</v>
      </c>
      <c r="AB251" t="s">
        <v>1744</v>
      </c>
      <c r="AC251" t="s">
        <v>236</v>
      </c>
      <c r="AL251" t="s">
        <v>217</v>
      </c>
      <c r="AM251" t="s">
        <v>1745</v>
      </c>
      <c r="AN251" t="s">
        <v>6</v>
      </c>
      <c r="AO251" s="57">
        <v>46062.402870370373</v>
      </c>
      <c r="AP251" s="57">
        <v>46271.625</v>
      </c>
      <c r="AR251" t="s">
        <v>218</v>
      </c>
      <c r="AS251" t="s">
        <v>219</v>
      </c>
      <c r="AT251" t="s">
        <v>230</v>
      </c>
      <c r="AU251">
        <v>20260903</v>
      </c>
      <c r="AV251" t="s">
        <v>221</v>
      </c>
      <c r="AW251" t="s">
        <v>887</v>
      </c>
      <c r="AX251" t="s">
        <v>222</v>
      </c>
      <c r="BA251" s="57">
        <v>46271.625</v>
      </c>
      <c r="BB251" t="s">
        <v>1745</v>
      </c>
      <c r="BC251">
        <v>2026</v>
      </c>
      <c r="BD251">
        <v>9</v>
      </c>
      <c r="BE251">
        <v>3</v>
      </c>
      <c r="BF251" s="6">
        <f t="shared" si="9"/>
        <v>46268</v>
      </c>
      <c r="BG251">
        <f t="shared" si="10"/>
        <v>-3.625</v>
      </c>
      <c r="BH251" t="str">
        <f t="shared" si="11"/>
        <v>COMPLY</v>
      </c>
      <c r="BI251" t="e">
        <f>VLOOKUP(H251,Sheet2!$A$1:$B$270,2,FALSE)</f>
        <v>#N/A</v>
      </c>
    </row>
    <row r="252" spans="1:61">
      <c r="A252">
        <v>251</v>
      </c>
      <c r="B252">
        <v>1002566565</v>
      </c>
      <c r="C252">
        <v>3</v>
      </c>
      <c r="D252" t="s">
        <v>51</v>
      </c>
      <c r="E252">
        <v>4</v>
      </c>
      <c r="F252" t="s">
        <v>269</v>
      </c>
      <c r="G252" t="s">
        <v>1932</v>
      </c>
      <c r="H252" t="s">
        <v>1945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46267.310370370367</v>
      </c>
      <c r="P252" s="57">
        <v>46267.816770833335</v>
      </c>
      <c r="Q252">
        <v>69381905</v>
      </c>
      <c r="S252">
        <v>142552107736</v>
      </c>
      <c r="T252" t="s">
        <v>2046</v>
      </c>
      <c r="U252" t="s">
        <v>2047</v>
      </c>
      <c r="V252" t="s">
        <v>2048</v>
      </c>
      <c r="Z252">
        <v>111.60079039999999</v>
      </c>
      <c r="AA252">
        <v>-7.1406783999999996</v>
      </c>
      <c r="AB252" t="s">
        <v>2049</v>
      </c>
      <c r="AC252" t="s">
        <v>236</v>
      </c>
      <c r="AL252" t="s">
        <v>217</v>
      </c>
      <c r="AM252" t="s">
        <v>1881</v>
      </c>
      <c r="AN252" t="s">
        <v>6</v>
      </c>
      <c r="AO252" s="57">
        <v>46062.319363425922</v>
      </c>
      <c r="AP252" s="57">
        <v>46268.333333333336</v>
      </c>
      <c r="AR252" t="s">
        <v>218</v>
      </c>
      <c r="AS252" t="s">
        <v>1951</v>
      </c>
      <c r="AT252" t="s">
        <v>230</v>
      </c>
      <c r="AU252">
        <v>20260902</v>
      </c>
      <c r="AV252" t="s">
        <v>221</v>
      </c>
      <c r="AW252" t="s">
        <v>888</v>
      </c>
      <c r="AX252" t="s">
        <v>222</v>
      </c>
      <c r="BA252" s="57">
        <v>46268.333333333336</v>
      </c>
      <c r="BB252" t="s">
        <v>1881</v>
      </c>
      <c r="BC252">
        <v>2026</v>
      </c>
      <c r="BD252">
        <v>9</v>
      </c>
      <c r="BE252">
        <v>2</v>
      </c>
      <c r="BF252" s="6">
        <f t="shared" si="9"/>
        <v>46267</v>
      </c>
      <c r="BG252">
        <f t="shared" si="10"/>
        <v>-1.3333333333357587</v>
      </c>
      <c r="BH252" t="str">
        <f t="shared" si="11"/>
        <v>COMPLY</v>
      </c>
      <c r="BI252" t="e">
        <f>VLOOKUP(H252,Sheet2!$A$1:$B$270,2,FALSE)</f>
        <v>#N/A</v>
      </c>
    </row>
    <row r="253" spans="1:61">
      <c r="A253">
        <v>252</v>
      </c>
      <c r="B253">
        <v>1002567492</v>
      </c>
      <c r="C253">
        <v>3</v>
      </c>
      <c r="D253" t="s">
        <v>55</v>
      </c>
      <c r="E253">
        <v>5</v>
      </c>
      <c r="F253" t="s">
        <v>307</v>
      </c>
      <c r="G253" t="s">
        <v>126</v>
      </c>
      <c r="H253" t="s">
        <v>372</v>
      </c>
      <c r="I253" t="s">
        <v>212</v>
      </c>
      <c r="J253" t="s">
        <v>213</v>
      </c>
      <c r="K253" t="s">
        <v>149</v>
      </c>
      <c r="L253" t="s">
        <v>1755</v>
      </c>
      <c r="M253" t="s">
        <v>76</v>
      </c>
      <c r="N253" t="s">
        <v>215</v>
      </c>
      <c r="O253" s="57">
        <v>46267.524953703702</v>
      </c>
      <c r="P253" s="57">
        <v>46268.624085648145</v>
      </c>
      <c r="Q253">
        <v>69382275</v>
      </c>
      <c r="R253">
        <v>3135954272</v>
      </c>
      <c r="S253">
        <v>152303245891</v>
      </c>
      <c r="T253" t="s">
        <v>1756</v>
      </c>
      <c r="U253" t="s">
        <v>1757</v>
      </c>
      <c r="V253" t="s">
        <v>1758</v>
      </c>
      <c r="Z253">
        <v>112.784141965226</v>
      </c>
      <c r="AA253">
        <v>-7.2804557765349696</v>
      </c>
      <c r="AB253" t="s">
        <v>1759</v>
      </c>
      <c r="AC253" t="s">
        <v>1760</v>
      </c>
      <c r="AL253" t="s">
        <v>217</v>
      </c>
      <c r="AM253" t="s">
        <v>1761</v>
      </c>
      <c r="AN253" t="s">
        <v>6</v>
      </c>
      <c r="AO253" s="57">
        <v>46062.527777777781</v>
      </c>
      <c r="AP253" s="57">
        <v>46269.625</v>
      </c>
      <c r="AR253" t="s">
        <v>218</v>
      </c>
      <c r="AS253" t="s">
        <v>126</v>
      </c>
      <c r="AT253" t="s">
        <v>230</v>
      </c>
      <c r="AU253">
        <v>20260903</v>
      </c>
      <c r="AV253" t="s">
        <v>221</v>
      </c>
      <c r="AW253" t="s">
        <v>1762</v>
      </c>
      <c r="AX253" t="s">
        <v>222</v>
      </c>
      <c r="BA253" s="57">
        <v>46269.625</v>
      </c>
      <c r="BB253" t="s">
        <v>1761</v>
      </c>
      <c r="BC253">
        <v>2026</v>
      </c>
      <c r="BD253">
        <v>9</v>
      </c>
      <c r="BE253">
        <v>3</v>
      </c>
      <c r="BF253" s="6">
        <f t="shared" si="9"/>
        <v>46268</v>
      </c>
      <c r="BG253">
        <f t="shared" si="10"/>
        <v>-1.625</v>
      </c>
      <c r="BH253" t="str">
        <f t="shared" si="11"/>
        <v>COMPLY</v>
      </c>
      <c r="BI253" t="str">
        <f>VLOOKUP(H253,Sheet2!$A$1:$B$270,2,FALSE)</f>
        <v>SURABAYA SELATAN</v>
      </c>
    </row>
    <row r="254" spans="1:61">
      <c r="A254">
        <v>253</v>
      </c>
      <c r="B254">
        <v>1002567110</v>
      </c>
      <c r="C254">
        <v>3</v>
      </c>
      <c r="D254" t="s">
        <v>55</v>
      </c>
      <c r="E254">
        <v>5</v>
      </c>
      <c r="F254" t="s">
        <v>261</v>
      </c>
      <c r="G254" t="s">
        <v>122</v>
      </c>
      <c r="H254" t="s">
        <v>453</v>
      </c>
      <c r="I254" t="s">
        <v>212</v>
      </c>
      <c r="J254" t="s">
        <v>213</v>
      </c>
      <c r="K254" t="s">
        <v>149</v>
      </c>
      <c r="M254" t="s">
        <v>76</v>
      </c>
      <c r="N254" t="s">
        <v>215</v>
      </c>
      <c r="O254" s="57">
        <v>46267.443460648145</v>
      </c>
      <c r="P254" s="57">
        <v>46268.774606481478</v>
      </c>
      <c r="Q254">
        <v>69382115</v>
      </c>
      <c r="S254">
        <v>152442201952</v>
      </c>
      <c r="T254" t="s">
        <v>1763</v>
      </c>
      <c r="U254" t="s">
        <v>1764</v>
      </c>
      <c r="V254" t="s">
        <v>1765</v>
      </c>
      <c r="Z254">
        <v>112.5345174</v>
      </c>
      <c r="AA254">
        <v>-7.3510233999999999</v>
      </c>
      <c r="AB254" t="s">
        <v>1766</v>
      </c>
      <c r="AC254" t="s">
        <v>229</v>
      </c>
      <c r="AL254" t="s">
        <v>217</v>
      </c>
      <c r="AM254" t="s">
        <v>1767</v>
      </c>
      <c r="AN254" t="s">
        <v>6</v>
      </c>
      <c r="AO254" s="57">
        <v>46062.444363425922</v>
      </c>
      <c r="AP254" s="57">
        <v>46271.458333333336</v>
      </c>
      <c r="AR254" t="s">
        <v>218</v>
      </c>
      <c r="AS254" t="s">
        <v>1768</v>
      </c>
      <c r="AT254" t="s">
        <v>230</v>
      </c>
      <c r="AU254">
        <v>20260903</v>
      </c>
      <c r="AV254" t="s">
        <v>221</v>
      </c>
      <c r="AW254" t="s">
        <v>545</v>
      </c>
      <c r="AX254" t="s">
        <v>222</v>
      </c>
      <c r="BA254" s="57">
        <v>46271.458333333336</v>
      </c>
      <c r="BB254" t="s">
        <v>1767</v>
      </c>
      <c r="BC254">
        <v>2026</v>
      </c>
      <c r="BD254">
        <v>9</v>
      </c>
      <c r="BE254">
        <v>3</v>
      </c>
      <c r="BF254" s="6">
        <f t="shared" si="9"/>
        <v>46268</v>
      </c>
      <c r="BG254">
        <f t="shared" si="10"/>
        <v>-3.4583333333357587</v>
      </c>
      <c r="BH254" t="str">
        <f t="shared" si="11"/>
        <v>COMPLY</v>
      </c>
      <c r="BI254" t="str">
        <f>VLOOKUP(H254,Sheet2!$A$1:$B$270,2,FALSE)</f>
        <v>GRESIK</v>
      </c>
    </row>
    <row r="255" spans="1:61">
      <c r="A255">
        <v>254</v>
      </c>
      <c r="B255">
        <v>1002568541</v>
      </c>
      <c r="C255">
        <v>3</v>
      </c>
      <c r="D255" t="s">
        <v>51</v>
      </c>
      <c r="E255">
        <v>4</v>
      </c>
      <c r="F255" t="s">
        <v>234</v>
      </c>
      <c r="G255" t="s">
        <v>562</v>
      </c>
      <c r="H255" t="s">
        <v>873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46267.75204861111</v>
      </c>
      <c r="P255" s="57">
        <v>46268.871990740743</v>
      </c>
      <c r="Q255">
        <v>69382625</v>
      </c>
      <c r="S255">
        <v>142526106511</v>
      </c>
      <c r="T255" t="s">
        <v>1776</v>
      </c>
      <c r="U255" t="s">
        <v>1777</v>
      </c>
      <c r="V255" t="s">
        <v>1778</v>
      </c>
      <c r="Z255">
        <v>110.89590561548</v>
      </c>
      <c r="AA255">
        <v>-7.5647372090437397</v>
      </c>
      <c r="AB255" t="s">
        <v>1779</v>
      </c>
      <c r="AC255" t="s">
        <v>236</v>
      </c>
      <c r="AL255" t="s">
        <v>217</v>
      </c>
      <c r="AM255" t="s">
        <v>1761</v>
      </c>
      <c r="AN255" t="s">
        <v>6</v>
      </c>
      <c r="AO255" s="57">
        <v>46062.756840277776</v>
      </c>
      <c r="AP255" s="57">
        <v>46269.625</v>
      </c>
      <c r="AR255" t="s">
        <v>218</v>
      </c>
      <c r="AS255" t="s">
        <v>914</v>
      </c>
      <c r="AT255" t="s">
        <v>230</v>
      </c>
      <c r="AU255">
        <v>20260903</v>
      </c>
      <c r="AV255" t="s">
        <v>221</v>
      </c>
      <c r="AW255" t="s">
        <v>884</v>
      </c>
      <c r="AX255" t="s">
        <v>222</v>
      </c>
      <c r="BA255" s="57">
        <v>46269.625</v>
      </c>
      <c r="BB255" t="s">
        <v>1761</v>
      </c>
      <c r="BC255">
        <v>2026</v>
      </c>
      <c r="BD255">
        <v>9</v>
      </c>
      <c r="BE255">
        <v>3</v>
      </c>
      <c r="BF255" s="6">
        <f t="shared" si="9"/>
        <v>46268</v>
      </c>
      <c r="BG255">
        <f t="shared" si="10"/>
        <v>-1.625</v>
      </c>
      <c r="BH255" t="str">
        <f t="shared" si="11"/>
        <v>COMPLY</v>
      </c>
      <c r="BI255" t="e">
        <f>VLOOKUP(H255,Sheet2!$A$1:$B$270,2,FALSE)</f>
        <v>#N/A</v>
      </c>
    </row>
    <row r="256" spans="1:61">
      <c r="A256">
        <v>255</v>
      </c>
      <c r="B256">
        <v>1002568545</v>
      </c>
      <c r="C256">
        <v>3</v>
      </c>
      <c r="D256" t="s">
        <v>55</v>
      </c>
      <c r="E256">
        <v>5</v>
      </c>
      <c r="F256" t="s">
        <v>261</v>
      </c>
      <c r="G256" t="s">
        <v>126</v>
      </c>
      <c r="H256" t="s">
        <v>262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46267.754120370373</v>
      </c>
      <c r="P256" s="57">
        <v>46268.543553240743</v>
      </c>
      <c r="Q256">
        <v>69382615</v>
      </c>
      <c r="S256">
        <v>152413167936</v>
      </c>
      <c r="T256" t="s">
        <v>1780</v>
      </c>
      <c r="U256" t="s">
        <v>1781</v>
      </c>
      <c r="V256" t="s">
        <v>1782</v>
      </c>
      <c r="Z256">
        <v>112.747347</v>
      </c>
      <c r="AA256">
        <v>-7.2645670000000004</v>
      </c>
      <c r="AB256" t="s">
        <v>1783</v>
      </c>
      <c r="AC256" t="s">
        <v>236</v>
      </c>
      <c r="AL256" t="s">
        <v>217</v>
      </c>
      <c r="AM256" t="s">
        <v>1784</v>
      </c>
      <c r="AN256" t="s">
        <v>6</v>
      </c>
      <c r="AO256" s="57">
        <v>46062.756840277776</v>
      </c>
      <c r="AP256" s="57">
        <v>46268.625</v>
      </c>
      <c r="AR256" t="s">
        <v>218</v>
      </c>
      <c r="AS256" t="s">
        <v>575</v>
      </c>
      <c r="AT256" t="s">
        <v>230</v>
      </c>
      <c r="AU256">
        <v>20260903</v>
      </c>
      <c r="AV256" t="s">
        <v>221</v>
      </c>
      <c r="AW256" t="s">
        <v>884</v>
      </c>
      <c r="AX256" t="s">
        <v>222</v>
      </c>
      <c r="BA256" s="57">
        <v>46268.625</v>
      </c>
      <c r="BB256" t="s">
        <v>1784</v>
      </c>
      <c r="BC256">
        <v>2026</v>
      </c>
      <c r="BD256">
        <v>9</v>
      </c>
      <c r="BE256">
        <v>3</v>
      </c>
      <c r="BF256" s="6">
        <f t="shared" si="9"/>
        <v>46268</v>
      </c>
      <c r="BG256">
        <f t="shared" si="10"/>
        <v>-0.625</v>
      </c>
      <c r="BH256" t="str">
        <f t="shared" si="11"/>
        <v>COMPLY</v>
      </c>
      <c r="BI256" t="str">
        <f>VLOOKUP(H256,Sheet2!$A$1:$B$270,2,FALSE)</f>
        <v>SURABAYA SELATAN</v>
      </c>
    </row>
    <row r="257" spans="1:61">
      <c r="A257">
        <v>256</v>
      </c>
      <c r="B257">
        <v>1002568368</v>
      </c>
      <c r="C257">
        <v>3</v>
      </c>
      <c r="D257" t="s">
        <v>51</v>
      </c>
      <c r="E257">
        <v>4</v>
      </c>
      <c r="F257" t="s">
        <v>269</v>
      </c>
      <c r="G257" t="s">
        <v>823</v>
      </c>
      <c r="H257" t="s">
        <v>837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46267.68953703704</v>
      </c>
      <c r="P257" s="57">
        <v>46268.585925925923</v>
      </c>
      <c r="Q257">
        <v>69382544</v>
      </c>
      <c r="S257">
        <v>146593115589</v>
      </c>
      <c r="T257" t="s">
        <v>1792</v>
      </c>
      <c r="U257" t="s">
        <v>1793</v>
      </c>
      <c r="V257" t="s">
        <v>1794</v>
      </c>
      <c r="Z257">
        <v>110.767900831997</v>
      </c>
      <c r="AA257">
        <v>-6.7217601473032698</v>
      </c>
      <c r="AB257" t="s">
        <v>1795</v>
      </c>
      <c r="AC257" t="s">
        <v>216</v>
      </c>
      <c r="AL257" t="s">
        <v>217</v>
      </c>
      <c r="AM257" t="s">
        <v>1796</v>
      </c>
      <c r="AN257" t="s">
        <v>6</v>
      </c>
      <c r="AO257" s="57">
        <v>46062.694432870368</v>
      </c>
      <c r="AP257" s="57">
        <v>46268.541666666664</v>
      </c>
      <c r="AR257" t="s">
        <v>218</v>
      </c>
      <c r="AS257" t="s">
        <v>919</v>
      </c>
      <c r="AT257" t="s">
        <v>230</v>
      </c>
      <c r="AU257">
        <v>20260903</v>
      </c>
      <c r="AV257" t="s">
        <v>221</v>
      </c>
      <c r="AW257" t="s">
        <v>886</v>
      </c>
      <c r="AX257" t="s">
        <v>222</v>
      </c>
      <c r="BA257" s="57">
        <v>46268.541666666664</v>
      </c>
      <c r="BB257" t="s">
        <v>1796</v>
      </c>
      <c r="BC257">
        <v>2026</v>
      </c>
      <c r="BD257">
        <v>9</v>
      </c>
      <c r="BE257">
        <v>3</v>
      </c>
      <c r="BF257" s="6">
        <f t="shared" si="9"/>
        <v>46268</v>
      </c>
      <c r="BG257">
        <f t="shared" si="10"/>
        <v>-0.54166666666424135</v>
      </c>
      <c r="BH257" t="str">
        <f t="shared" si="11"/>
        <v>COMPLY</v>
      </c>
      <c r="BI257" t="e">
        <f>VLOOKUP(H257,Sheet2!$A$1:$B$270,2,FALSE)</f>
        <v>#N/A</v>
      </c>
    </row>
    <row r="258" spans="1:61">
      <c r="A258">
        <v>257</v>
      </c>
      <c r="B258">
        <v>1002568238</v>
      </c>
      <c r="C258">
        <v>3</v>
      </c>
      <c r="D258" t="s">
        <v>38</v>
      </c>
      <c r="E258">
        <v>5</v>
      </c>
      <c r="F258" t="s">
        <v>92</v>
      </c>
      <c r="G258" t="s">
        <v>89</v>
      </c>
      <c r="H258" t="s">
        <v>266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46267.665231481478</v>
      </c>
      <c r="P258" s="57">
        <v>46268.784988425927</v>
      </c>
      <c r="Q258">
        <v>69382507</v>
      </c>
      <c r="S258">
        <v>152643201658</v>
      </c>
      <c r="T258" t="s">
        <v>1812</v>
      </c>
      <c r="U258" t="s">
        <v>1813</v>
      </c>
      <c r="V258" t="s">
        <v>1814</v>
      </c>
      <c r="Z258">
        <v>111.762289</v>
      </c>
      <c r="AA258">
        <v>-7.1452109999999998</v>
      </c>
      <c r="AB258" t="s">
        <v>1815</v>
      </c>
      <c r="AC258" t="s">
        <v>236</v>
      </c>
      <c r="AL258" t="s">
        <v>217</v>
      </c>
      <c r="AM258" t="s">
        <v>1816</v>
      </c>
      <c r="AN258" t="s">
        <v>6</v>
      </c>
      <c r="AO258" s="57">
        <v>46062.673541666663</v>
      </c>
      <c r="AP258" s="57">
        <v>46268.625</v>
      </c>
      <c r="AR258" t="s">
        <v>218</v>
      </c>
      <c r="AS258" t="s">
        <v>1598</v>
      </c>
      <c r="AT258" t="s">
        <v>230</v>
      </c>
      <c r="AU258">
        <v>20260903</v>
      </c>
      <c r="AV258" t="s">
        <v>221</v>
      </c>
      <c r="AW258" t="s">
        <v>884</v>
      </c>
      <c r="AX258" t="s">
        <v>222</v>
      </c>
      <c r="BA258" s="57">
        <v>46268.625</v>
      </c>
      <c r="BB258" t="s">
        <v>1816</v>
      </c>
      <c r="BC258">
        <v>2026</v>
      </c>
      <c r="BD258">
        <v>9</v>
      </c>
      <c r="BE258">
        <v>3</v>
      </c>
      <c r="BF258" s="6">
        <f t="shared" ref="BF258:BF321" si="12">DATE(BC258,BD258,BE258)</f>
        <v>46268</v>
      </c>
      <c r="BG258">
        <f t="shared" ref="BG258:BG321" si="13">BF258-BA258</f>
        <v>-0.625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BOJONEGORO</v>
      </c>
    </row>
    <row r="259" spans="1:61">
      <c r="A259">
        <v>258</v>
      </c>
      <c r="B259">
        <v>1002568233</v>
      </c>
      <c r="C259">
        <v>3</v>
      </c>
      <c r="D259" t="s">
        <v>59</v>
      </c>
      <c r="E259">
        <v>4</v>
      </c>
      <c r="F259" t="s">
        <v>242</v>
      </c>
      <c r="G259" t="s">
        <v>242</v>
      </c>
      <c r="H259" t="s">
        <v>288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46267.664537037039</v>
      </c>
      <c r="P259" s="57">
        <v>46268.524224537039</v>
      </c>
      <c r="Q259">
        <v>69382525</v>
      </c>
      <c r="S259">
        <v>146137149602</v>
      </c>
      <c r="T259" t="s">
        <v>1817</v>
      </c>
      <c r="U259" t="s">
        <v>1818</v>
      </c>
      <c r="V259" t="s">
        <v>1819</v>
      </c>
      <c r="Z259">
        <v>110.1344077</v>
      </c>
      <c r="AA259">
        <v>-7.5562855000000004</v>
      </c>
      <c r="AB259" t="s">
        <v>1820</v>
      </c>
      <c r="AC259" t="s">
        <v>236</v>
      </c>
      <c r="AL259" t="s">
        <v>217</v>
      </c>
      <c r="AM259" t="s">
        <v>1821</v>
      </c>
      <c r="AN259" t="s">
        <v>6</v>
      </c>
      <c r="AO259" s="57">
        <v>46062.673541666663</v>
      </c>
      <c r="AP259" s="57">
        <v>46269.541666666664</v>
      </c>
      <c r="AR259" t="s">
        <v>218</v>
      </c>
      <c r="AS259" t="s">
        <v>219</v>
      </c>
      <c r="AT259" t="s">
        <v>230</v>
      </c>
      <c r="AU259">
        <v>20260903</v>
      </c>
      <c r="AV259" t="s">
        <v>221</v>
      </c>
      <c r="AW259" t="s">
        <v>890</v>
      </c>
      <c r="AX259" t="s">
        <v>222</v>
      </c>
      <c r="BA259" s="57">
        <v>46269.541666666664</v>
      </c>
      <c r="BB259" t="s">
        <v>1821</v>
      </c>
      <c r="BC259">
        <v>2026</v>
      </c>
      <c r="BD259">
        <v>9</v>
      </c>
      <c r="BE259">
        <v>3</v>
      </c>
      <c r="BF259" s="6">
        <f t="shared" si="12"/>
        <v>46268</v>
      </c>
      <c r="BG259">
        <f t="shared" si="13"/>
        <v>-1.5416666666642413</v>
      </c>
      <c r="BH259" t="str">
        <f t="shared" si="14"/>
        <v>COMPLY</v>
      </c>
      <c r="BI259" t="e">
        <f>VLOOKUP(H259,Sheet2!$A$1:$B$270,2,FALSE)</f>
        <v>#N/A</v>
      </c>
    </row>
    <row r="260" spans="1:61">
      <c r="A260">
        <v>259</v>
      </c>
      <c r="B260">
        <v>1002568226</v>
      </c>
      <c r="C260">
        <v>3</v>
      </c>
      <c r="D260" t="s">
        <v>55</v>
      </c>
      <c r="E260">
        <v>5</v>
      </c>
      <c r="F260" t="s">
        <v>307</v>
      </c>
      <c r="G260" t="s">
        <v>126</v>
      </c>
      <c r="H260" t="s">
        <v>308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46267.663171296299</v>
      </c>
      <c r="P260" s="57">
        <v>46268.602708333332</v>
      </c>
      <c r="Q260">
        <v>69382506</v>
      </c>
      <c r="S260">
        <v>152320246364</v>
      </c>
      <c r="T260" t="s">
        <v>1688</v>
      </c>
      <c r="U260" t="s">
        <v>1822</v>
      </c>
      <c r="V260" t="s">
        <v>1823</v>
      </c>
      <c r="Z260">
        <v>112.7517545</v>
      </c>
      <c r="AA260">
        <v>-7.2931796000000002</v>
      </c>
      <c r="AB260" t="s">
        <v>1824</v>
      </c>
      <c r="AC260" t="s">
        <v>236</v>
      </c>
      <c r="AL260" t="s">
        <v>217</v>
      </c>
      <c r="AM260" t="s">
        <v>1816</v>
      </c>
      <c r="AN260" t="s">
        <v>6</v>
      </c>
      <c r="AO260" s="57">
        <v>46062.673541666663</v>
      </c>
      <c r="AP260" s="57">
        <v>46268.625</v>
      </c>
      <c r="AR260" t="s">
        <v>218</v>
      </c>
      <c r="AS260" t="s">
        <v>907</v>
      </c>
      <c r="AT260" t="s">
        <v>230</v>
      </c>
      <c r="AU260">
        <v>20260903</v>
      </c>
      <c r="AV260" t="s">
        <v>221</v>
      </c>
      <c r="AW260" t="s">
        <v>886</v>
      </c>
      <c r="AX260" t="s">
        <v>222</v>
      </c>
      <c r="BA260" s="57">
        <v>46268.625</v>
      </c>
      <c r="BB260" t="s">
        <v>1816</v>
      </c>
      <c r="BC260">
        <v>2026</v>
      </c>
      <c r="BD260">
        <v>9</v>
      </c>
      <c r="BE260">
        <v>3</v>
      </c>
      <c r="BF260" s="6">
        <f t="shared" si="12"/>
        <v>46268</v>
      </c>
      <c r="BG260">
        <f t="shared" si="13"/>
        <v>-0.625</v>
      </c>
      <c r="BH260" t="str">
        <f t="shared" si="14"/>
        <v>COMPLY</v>
      </c>
      <c r="BI260" t="str">
        <f>VLOOKUP(H260,Sheet2!$A$1:$B$270,2,FALSE)</f>
        <v>SURABAYA SELATAN</v>
      </c>
    </row>
    <row r="261" spans="1:61">
      <c r="A261">
        <v>260</v>
      </c>
      <c r="B261">
        <v>1002568177</v>
      </c>
      <c r="C261">
        <v>3</v>
      </c>
      <c r="D261" t="s">
        <v>34</v>
      </c>
      <c r="E261">
        <v>5</v>
      </c>
      <c r="F261" t="s">
        <v>563</v>
      </c>
      <c r="G261" t="s">
        <v>83</v>
      </c>
      <c r="H261" t="s">
        <v>379</v>
      </c>
      <c r="I261" t="s">
        <v>212</v>
      </c>
      <c r="J261" t="s">
        <v>213</v>
      </c>
      <c r="K261" t="s">
        <v>149</v>
      </c>
      <c r="M261" t="s">
        <v>76</v>
      </c>
      <c r="N261" t="s">
        <v>215</v>
      </c>
      <c r="O261" s="57">
        <v>46267.668680555558</v>
      </c>
      <c r="P261" s="57">
        <v>46268.753217592595</v>
      </c>
      <c r="Q261">
        <v>69382487</v>
      </c>
      <c r="S261">
        <v>172422212789</v>
      </c>
      <c r="T261" t="s">
        <v>1825</v>
      </c>
      <c r="U261" t="s">
        <v>1826</v>
      </c>
      <c r="V261" t="s">
        <v>1827</v>
      </c>
      <c r="Z261">
        <v>115.2363957</v>
      </c>
      <c r="AA261">
        <v>-8.6067844000000004</v>
      </c>
      <c r="AB261" t="s">
        <v>1828</v>
      </c>
      <c r="AC261" t="s">
        <v>229</v>
      </c>
      <c r="AL261" t="s">
        <v>217</v>
      </c>
      <c r="AM261" t="s">
        <v>1829</v>
      </c>
      <c r="AN261" t="s">
        <v>6</v>
      </c>
      <c r="AO261" s="57">
        <v>46062.673541666663</v>
      </c>
      <c r="AP261" s="57">
        <v>46268.625</v>
      </c>
      <c r="AR261" t="s">
        <v>218</v>
      </c>
      <c r="AS261" t="s">
        <v>1524</v>
      </c>
      <c r="AT261" t="s">
        <v>220</v>
      </c>
      <c r="AU261">
        <v>20260903</v>
      </c>
      <c r="AV261" t="s">
        <v>221</v>
      </c>
      <c r="AW261" t="s">
        <v>572</v>
      </c>
      <c r="AX261" t="s">
        <v>222</v>
      </c>
      <c r="BA261" s="57">
        <v>46268.625</v>
      </c>
      <c r="BB261" t="s">
        <v>1829</v>
      </c>
      <c r="BC261">
        <v>2026</v>
      </c>
      <c r="BD261">
        <v>9</v>
      </c>
      <c r="BE261">
        <v>3</v>
      </c>
      <c r="BF261" s="6">
        <f t="shared" si="12"/>
        <v>46268</v>
      </c>
      <c r="BG261">
        <f t="shared" si="13"/>
        <v>-0.625</v>
      </c>
      <c r="BH261" t="str">
        <f t="shared" si="14"/>
        <v>COMPLY</v>
      </c>
      <c r="BI261" t="str">
        <f>VLOOKUP(H261,Sheet2!$A$1:$B$270,2,FALSE)</f>
        <v>SANUR</v>
      </c>
    </row>
    <row r="262" spans="1:61">
      <c r="A262">
        <v>261</v>
      </c>
      <c r="B262">
        <v>1002567049</v>
      </c>
      <c r="C262">
        <v>3</v>
      </c>
      <c r="D262" t="s">
        <v>38</v>
      </c>
      <c r="E262">
        <v>5</v>
      </c>
      <c r="F262" t="s">
        <v>248</v>
      </c>
      <c r="G262" t="s">
        <v>91</v>
      </c>
      <c r="H262" t="s">
        <v>423</v>
      </c>
      <c r="I262" t="s">
        <v>212</v>
      </c>
      <c r="J262" t="s">
        <v>213</v>
      </c>
      <c r="K262" t="s">
        <v>149</v>
      </c>
      <c r="M262" t="s">
        <v>76</v>
      </c>
      <c r="N262" t="s">
        <v>215</v>
      </c>
      <c r="O262" s="57">
        <v>46267.431759259256</v>
      </c>
      <c r="P262" s="57">
        <v>46268.852175925924</v>
      </c>
      <c r="Q262">
        <v>32627967</v>
      </c>
      <c r="S262">
        <v>152713217139</v>
      </c>
      <c r="T262" t="s">
        <v>1834</v>
      </c>
      <c r="U262" t="s">
        <v>1839</v>
      </c>
      <c r="V262" t="s">
        <v>1840</v>
      </c>
      <c r="Z262">
        <v>112.69420409999999</v>
      </c>
      <c r="AA262">
        <v>-8.1628181000000009</v>
      </c>
      <c r="AB262" t="s">
        <v>1837</v>
      </c>
      <c r="AC262" t="s">
        <v>229</v>
      </c>
      <c r="AL262" t="s">
        <v>217</v>
      </c>
      <c r="AM262" t="s">
        <v>1841</v>
      </c>
      <c r="AN262" t="s">
        <v>6</v>
      </c>
      <c r="AO262" s="57">
        <v>46062.434062499997</v>
      </c>
      <c r="AP262" s="57">
        <v>46268.541666666664</v>
      </c>
      <c r="AR262" t="s">
        <v>218</v>
      </c>
      <c r="AS262" t="s">
        <v>584</v>
      </c>
      <c r="AT262" t="s">
        <v>220</v>
      </c>
      <c r="AU262">
        <v>20260903</v>
      </c>
      <c r="AV262" t="s">
        <v>221</v>
      </c>
      <c r="AW262" t="s">
        <v>1842</v>
      </c>
      <c r="AX262" t="s">
        <v>222</v>
      </c>
      <c r="BA262" s="57">
        <v>46268.541666666664</v>
      </c>
      <c r="BB262" t="s">
        <v>1841</v>
      </c>
      <c r="BC262">
        <v>2026</v>
      </c>
      <c r="BD262">
        <v>9</v>
      </c>
      <c r="BE262">
        <v>3</v>
      </c>
      <c r="BF262" s="6">
        <f t="shared" si="12"/>
        <v>46268</v>
      </c>
      <c r="BG262">
        <f t="shared" si="13"/>
        <v>-0.54166666666424135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1002567058</v>
      </c>
      <c r="C263">
        <v>3</v>
      </c>
      <c r="D263" t="s">
        <v>38</v>
      </c>
      <c r="E263">
        <v>5</v>
      </c>
      <c r="F263" t="s">
        <v>248</v>
      </c>
      <c r="G263" t="s">
        <v>91</v>
      </c>
      <c r="H263" t="s">
        <v>398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46267.431203703702</v>
      </c>
      <c r="P263" s="57">
        <v>46267.680775462963</v>
      </c>
      <c r="Q263">
        <v>69382081</v>
      </c>
      <c r="S263">
        <v>152718219159</v>
      </c>
      <c r="T263" t="s">
        <v>2050</v>
      </c>
      <c r="U263" t="s">
        <v>2051</v>
      </c>
      <c r="V263" t="s">
        <v>2052</v>
      </c>
      <c r="Z263">
        <v>112.573355298767</v>
      </c>
      <c r="AA263">
        <v>-8.1244884430564408</v>
      </c>
      <c r="AB263" t="s">
        <v>2053</v>
      </c>
      <c r="AC263" t="s">
        <v>236</v>
      </c>
      <c r="AL263" t="s">
        <v>217</v>
      </c>
      <c r="AM263" t="s">
        <v>2054</v>
      </c>
      <c r="AN263" t="s">
        <v>6</v>
      </c>
      <c r="AO263" s="57">
        <v>46062.434062499997</v>
      </c>
      <c r="AP263" s="57">
        <v>46268.333333333336</v>
      </c>
      <c r="AR263" t="s">
        <v>218</v>
      </c>
      <c r="AS263" t="s">
        <v>91</v>
      </c>
      <c r="AT263" t="s">
        <v>230</v>
      </c>
      <c r="AU263">
        <v>20260902</v>
      </c>
      <c r="AV263" t="s">
        <v>221</v>
      </c>
      <c r="AW263" t="s">
        <v>890</v>
      </c>
      <c r="AX263" t="s">
        <v>222</v>
      </c>
      <c r="BA263" s="57">
        <v>46268.333333333336</v>
      </c>
      <c r="BB263" t="s">
        <v>2054</v>
      </c>
      <c r="BC263">
        <v>2026</v>
      </c>
      <c r="BD263">
        <v>9</v>
      </c>
      <c r="BE263">
        <v>2</v>
      </c>
      <c r="BF263" s="6">
        <f t="shared" si="12"/>
        <v>46267</v>
      </c>
      <c r="BG263">
        <f t="shared" si="13"/>
        <v>-1.3333333333357587</v>
      </c>
      <c r="BH263" t="str">
        <f t="shared" si="14"/>
        <v>COMPLY</v>
      </c>
      <c r="BI263" t="str">
        <f>VLOOKUP(H263,Sheet2!$A$1:$B$270,2,FALSE)</f>
        <v>MALANG</v>
      </c>
    </row>
    <row r="264" spans="1:61">
      <c r="A264">
        <v>263</v>
      </c>
      <c r="B264">
        <v>1002566722</v>
      </c>
      <c r="C264">
        <v>3</v>
      </c>
      <c r="D264" t="s">
        <v>59</v>
      </c>
      <c r="E264">
        <v>4</v>
      </c>
      <c r="F264" t="s">
        <v>242</v>
      </c>
      <c r="G264" t="s">
        <v>1544</v>
      </c>
      <c r="H264" t="s">
        <v>1545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46267.369398148148</v>
      </c>
      <c r="P264" s="57">
        <v>46268.410578703704</v>
      </c>
      <c r="Q264">
        <v>69381986</v>
      </c>
      <c r="S264">
        <v>141373127577</v>
      </c>
      <c r="T264" t="s">
        <v>1649</v>
      </c>
      <c r="U264" t="s">
        <v>1650</v>
      </c>
      <c r="V264" t="s">
        <v>1897</v>
      </c>
      <c r="Z264">
        <v>109.999415</v>
      </c>
      <c r="AA264">
        <v>-7.3580639999999997</v>
      </c>
      <c r="AB264" t="s">
        <v>1898</v>
      </c>
      <c r="AC264" t="s">
        <v>236</v>
      </c>
      <c r="AL264" t="s">
        <v>217</v>
      </c>
      <c r="AM264" t="s">
        <v>1899</v>
      </c>
      <c r="AN264" t="s">
        <v>6</v>
      </c>
      <c r="AO264" s="57">
        <v>46062.371550925927</v>
      </c>
      <c r="AP264" s="57">
        <v>46268.333333333336</v>
      </c>
      <c r="AR264" t="s">
        <v>218</v>
      </c>
      <c r="AS264" t="s">
        <v>219</v>
      </c>
      <c r="AT264" t="s">
        <v>230</v>
      </c>
      <c r="AU264">
        <v>20260903</v>
      </c>
      <c r="AV264" t="s">
        <v>221</v>
      </c>
      <c r="AW264" t="s">
        <v>887</v>
      </c>
      <c r="AX264" t="s">
        <v>222</v>
      </c>
      <c r="BA264" s="57">
        <v>46268.333333333336</v>
      </c>
      <c r="BB264" t="s">
        <v>1899</v>
      </c>
      <c r="BC264">
        <v>2026</v>
      </c>
      <c r="BD264">
        <v>9</v>
      </c>
      <c r="BE264">
        <v>3</v>
      </c>
      <c r="BF264" s="6">
        <f t="shared" si="12"/>
        <v>46268</v>
      </c>
      <c r="BG264">
        <f t="shared" si="13"/>
        <v>-0.33333333333575865</v>
      </c>
      <c r="BH264" t="str">
        <f t="shared" si="14"/>
        <v>COMPLY</v>
      </c>
      <c r="BI264" t="e">
        <f>VLOOKUP(H264,Sheet2!$A$1:$B$270,2,FALSE)</f>
        <v>#N/A</v>
      </c>
    </row>
    <row r="265" spans="1:61">
      <c r="A265">
        <v>264</v>
      </c>
      <c r="B265">
        <v>1002566710</v>
      </c>
      <c r="C265">
        <v>3</v>
      </c>
      <c r="D265" t="s">
        <v>38</v>
      </c>
      <c r="E265">
        <v>5</v>
      </c>
      <c r="F265" t="s">
        <v>90</v>
      </c>
      <c r="G265" t="s">
        <v>93</v>
      </c>
      <c r="H265" t="s">
        <v>296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46267.366620370369</v>
      </c>
      <c r="P265" s="57">
        <v>46267.788252314815</v>
      </c>
      <c r="Q265">
        <v>69381983</v>
      </c>
      <c r="S265">
        <v>152611220791</v>
      </c>
      <c r="T265" t="s">
        <v>2055</v>
      </c>
      <c r="U265" t="s">
        <v>2056</v>
      </c>
      <c r="V265" t="s">
        <v>2057</v>
      </c>
      <c r="Z265">
        <v>111.92565087229001</v>
      </c>
      <c r="AA265">
        <v>-7.6678568306266603</v>
      </c>
      <c r="AB265" t="s">
        <v>2058</v>
      </c>
      <c r="AC265" t="s">
        <v>216</v>
      </c>
      <c r="AL265" t="s">
        <v>217</v>
      </c>
      <c r="AM265" t="s">
        <v>2059</v>
      </c>
      <c r="AN265" t="s">
        <v>6</v>
      </c>
      <c r="AO265" s="57">
        <v>46062.371550925927</v>
      </c>
      <c r="AP265" s="57">
        <v>46268.333333333336</v>
      </c>
      <c r="AR265" t="s">
        <v>218</v>
      </c>
      <c r="AS265" t="s">
        <v>219</v>
      </c>
      <c r="AT265" t="s">
        <v>230</v>
      </c>
      <c r="AU265">
        <v>20260902</v>
      </c>
      <c r="AV265" t="s">
        <v>221</v>
      </c>
      <c r="AW265" t="s">
        <v>885</v>
      </c>
      <c r="AX265" t="s">
        <v>222</v>
      </c>
      <c r="BA265" s="57">
        <v>46268.333333333336</v>
      </c>
      <c r="BB265" t="s">
        <v>2059</v>
      </c>
      <c r="BC265">
        <v>2026</v>
      </c>
      <c r="BD265">
        <v>9</v>
      </c>
      <c r="BE265">
        <v>2</v>
      </c>
      <c r="BF265" s="6">
        <f t="shared" si="12"/>
        <v>46267</v>
      </c>
      <c r="BG265">
        <f t="shared" si="13"/>
        <v>-1.3333333333357587</v>
      </c>
      <c r="BH265" t="str">
        <f t="shared" si="14"/>
        <v>COMPLY</v>
      </c>
      <c r="BI265" t="str">
        <f>VLOOKUP(H265,Sheet2!$A$1:$B$270,2,FALSE)</f>
        <v>NGANJUK</v>
      </c>
    </row>
    <row r="266" spans="1:61">
      <c r="A266">
        <v>265</v>
      </c>
      <c r="B266">
        <v>1002567130</v>
      </c>
      <c r="C266">
        <v>3</v>
      </c>
      <c r="D266" t="s">
        <v>38</v>
      </c>
      <c r="E266">
        <v>5</v>
      </c>
      <c r="F266" t="s">
        <v>90</v>
      </c>
      <c r="G266" t="s">
        <v>90</v>
      </c>
      <c r="H266" t="s">
        <v>409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46267.444409722222</v>
      </c>
      <c r="P266" s="57">
        <v>46268.56759259259</v>
      </c>
      <c r="Q266">
        <v>69382124</v>
      </c>
      <c r="S266">
        <v>152610241443</v>
      </c>
      <c r="T266" t="s">
        <v>2131</v>
      </c>
      <c r="U266" t="s">
        <v>2132</v>
      </c>
      <c r="V266" t="s">
        <v>2133</v>
      </c>
      <c r="Z266">
        <v>112.010162584483</v>
      </c>
      <c r="AA266">
        <v>-7.7882147921386</v>
      </c>
      <c r="AB266" t="s">
        <v>2134</v>
      </c>
      <c r="AC266" t="s">
        <v>216</v>
      </c>
      <c r="AL266" t="s">
        <v>217</v>
      </c>
      <c r="AM266" t="s">
        <v>2135</v>
      </c>
      <c r="AN266" t="s">
        <v>6</v>
      </c>
      <c r="AO266" s="57">
        <v>46062.454895833333</v>
      </c>
      <c r="AP266" s="57">
        <v>46268.333333333336</v>
      </c>
      <c r="AR266" t="s">
        <v>218</v>
      </c>
      <c r="AS266" t="s">
        <v>219</v>
      </c>
      <c r="AT266" t="s">
        <v>230</v>
      </c>
      <c r="AU266">
        <v>20260903</v>
      </c>
      <c r="AV266" t="s">
        <v>221</v>
      </c>
      <c r="AW266" t="s">
        <v>884</v>
      </c>
      <c r="AX266" t="s">
        <v>222</v>
      </c>
      <c r="BA266" s="57">
        <v>46268.333333333336</v>
      </c>
      <c r="BB266" t="s">
        <v>2135</v>
      </c>
      <c r="BC266">
        <v>2026</v>
      </c>
      <c r="BD266">
        <v>9</v>
      </c>
      <c r="BE266">
        <v>3</v>
      </c>
      <c r="BF266" s="6">
        <f t="shared" si="12"/>
        <v>46268</v>
      </c>
      <c r="BG266">
        <f t="shared" si="13"/>
        <v>-0.33333333333575865</v>
      </c>
      <c r="BH266" t="str">
        <f t="shared" si="14"/>
        <v>COMPLY</v>
      </c>
      <c r="BI266" t="str">
        <f>VLOOKUP(H266,Sheet2!$A$1:$B$270,2,FALSE)</f>
        <v>KEDIRI</v>
      </c>
    </row>
    <row r="267" spans="1:61">
      <c r="A267">
        <v>266</v>
      </c>
      <c r="B267">
        <v>1002567158</v>
      </c>
      <c r="C267">
        <v>3</v>
      </c>
      <c r="D267" t="s">
        <v>49</v>
      </c>
      <c r="E267">
        <v>4</v>
      </c>
      <c r="F267" t="s">
        <v>250</v>
      </c>
      <c r="G267" t="s">
        <v>253</v>
      </c>
      <c r="H267" t="s">
        <v>821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46267.449953703705</v>
      </c>
      <c r="P267" s="57">
        <v>46268.573252314818</v>
      </c>
      <c r="Q267">
        <v>69382133</v>
      </c>
      <c r="S267">
        <v>142206131298</v>
      </c>
      <c r="T267" t="s">
        <v>2141</v>
      </c>
      <c r="U267" t="s">
        <v>2142</v>
      </c>
      <c r="V267" t="s">
        <v>2143</v>
      </c>
      <c r="Z267">
        <v>109.11459993571</v>
      </c>
      <c r="AA267">
        <v>-7.0477889644675402</v>
      </c>
      <c r="AB267" t="s">
        <v>2144</v>
      </c>
      <c r="AC267" t="s">
        <v>216</v>
      </c>
      <c r="AL267" t="s">
        <v>217</v>
      </c>
      <c r="AM267" t="s">
        <v>1930</v>
      </c>
      <c r="AN267" t="s">
        <v>6</v>
      </c>
      <c r="AO267" s="57">
        <v>46062.454895833333</v>
      </c>
      <c r="AP267" s="57">
        <v>46268.333333333336</v>
      </c>
      <c r="AR267" t="s">
        <v>218</v>
      </c>
      <c r="AS267" t="s">
        <v>219</v>
      </c>
      <c r="AT267" t="s">
        <v>230</v>
      </c>
      <c r="AU267">
        <v>20260903</v>
      </c>
      <c r="AV267" t="s">
        <v>221</v>
      </c>
      <c r="AW267" t="s">
        <v>887</v>
      </c>
      <c r="AX267" t="s">
        <v>222</v>
      </c>
      <c r="BA267" s="57">
        <v>46268.333333333336</v>
      </c>
      <c r="BB267" t="s">
        <v>1930</v>
      </c>
      <c r="BC267">
        <v>2026</v>
      </c>
      <c r="BD267">
        <v>9</v>
      </c>
      <c r="BE267">
        <v>3</v>
      </c>
      <c r="BF267" s="6">
        <f t="shared" si="12"/>
        <v>46268</v>
      </c>
      <c r="BG267">
        <f t="shared" si="13"/>
        <v>-0.33333333333575865</v>
      </c>
      <c r="BH267" t="str">
        <f t="shared" si="14"/>
        <v>COMPLY</v>
      </c>
      <c r="BI267" t="e">
        <f>VLOOKUP(H267,Sheet2!$A$1:$B$270,2,FALSE)</f>
        <v>#N/A</v>
      </c>
    </row>
    <row r="268" spans="1:61">
      <c r="A268">
        <v>267</v>
      </c>
      <c r="B268">
        <v>1002567152</v>
      </c>
      <c r="C268">
        <v>3</v>
      </c>
      <c r="D268" t="s">
        <v>38</v>
      </c>
      <c r="E268">
        <v>5</v>
      </c>
      <c r="F268" t="s">
        <v>90</v>
      </c>
      <c r="G268" t="s">
        <v>90</v>
      </c>
      <c r="H268" t="s">
        <v>346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46267.448564814818</v>
      </c>
      <c r="P268" s="57">
        <v>46267.72216435185</v>
      </c>
      <c r="Q268">
        <v>69382147</v>
      </c>
      <c r="S268">
        <v>152639219546</v>
      </c>
      <c r="T268" t="s">
        <v>2060</v>
      </c>
      <c r="U268" t="s">
        <v>2061</v>
      </c>
      <c r="V268" t="s">
        <v>2062</v>
      </c>
      <c r="Z268">
        <v>112.199972793459</v>
      </c>
      <c r="AA268">
        <v>-7.7396477588367603</v>
      </c>
      <c r="AB268" t="s">
        <v>2063</v>
      </c>
      <c r="AC268" t="s">
        <v>216</v>
      </c>
      <c r="AL268" t="s">
        <v>217</v>
      </c>
      <c r="AM268" t="s">
        <v>1918</v>
      </c>
      <c r="AN268" t="s">
        <v>6</v>
      </c>
      <c r="AO268" s="57">
        <v>46062.454895833333</v>
      </c>
      <c r="AP268" s="57">
        <v>46268.333333333336</v>
      </c>
      <c r="AR268" t="s">
        <v>218</v>
      </c>
      <c r="AS268" t="s">
        <v>304</v>
      </c>
      <c r="AT268" t="s">
        <v>230</v>
      </c>
      <c r="AU268">
        <v>20260902</v>
      </c>
      <c r="AV268" t="s">
        <v>221</v>
      </c>
      <c r="AW268" t="s">
        <v>883</v>
      </c>
      <c r="AX268" t="s">
        <v>222</v>
      </c>
      <c r="BA268" s="57">
        <v>46268.333333333336</v>
      </c>
      <c r="BB268" t="s">
        <v>1918</v>
      </c>
      <c r="BC268">
        <v>2026</v>
      </c>
      <c r="BD268">
        <v>9</v>
      </c>
      <c r="BE268">
        <v>2</v>
      </c>
      <c r="BF268" s="6">
        <f t="shared" si="12"/>
        <v>46267</v>
      </c>
      <c r="BG268">
        <f t="shared" si="13"/>
        <v>-1.3333333333357587</v>
      </c>
      <c r="BH268" t="str">
        <f t="shared" si="14"/>
        <v>COMPLY</v>
      </c>
      <c r="BI268" t="str">
        <f>VLOOKUP(H268,Sheet2!$A$1:$B$270,2,FALSE)</f>
        <v>KEDIRI</v>
      </c>
    </row>
    <row r="269" spans="1:61">
      <c r="A269">
        <v>268</v>
      </c>
      <c r="B269">
        <v>1002567171</v>
      </c>
      <c r="C269">
        <v>3</v>
      </c>
      <c r="D269" t="s">
        <v>51</v>
      </c>
      <c r="E269">
        <v>4</v>
      </c>
      <c r="F269" t="s">
        <v>234</v>
      </c>
      <c r="G269" t="s">
        <v>562</v>
      </c>
      <c r="H269" t="s">
        <v>588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46267.452743055554</v>
      </c>
      <c r="P269" s="57">
        <v>46268.438657407409</v>
      </c>
      <c r="Q269">
        <v>69382137</v>
      </c>
      <c r="S269">
        <v>142505403201</v>
      </c>
      <c r="T269" t="s">
        <v>2150</v>
      </c>
      <c r="U269" t="s">
        <v>2151</v>
      </c>
      <c r="V269" t="s">
        <v>2152</v>
      </c>
      <c r="Z269">
        <v>110.796262</v>
      </c>
      <c r="AA269">
        <v>-7.5554240000000004</v>
      </c>
      <c r="AB269" t="s">
        <v>2153</v>
      </c>
      <c r="AC269" t="s">
        <v>236</v>
      </c>
      <c r="AL269" t="s">
        <v>217</v>
      </c>
      <c r="AM269" t="s">
        <v>2154</v>
      </c>
      <c r="AN269" t="s">
        <v>6</v>
      </c>
      <c r="AO269" s="57">
        <v>46062.454895833333</v>
      </c>
      <c r="AP269" s="57">
        <v>46268.333333333336</v>
      </c>
      <c r="AR269" t="s">
        <v>218</v>
      </c>
      <c r="AS269" t="s">
        <v>219</v>
      </c>
      <c r="AT269" t="s">
        <v>230</v>
      </c>
      <c r="AU269">
        <v>20260903</v>
      </c>
      <c r="AV269" t="s">
        <v>221</v>
      </c>
      <c r="AW269" t="s">
        <v>884</v>
      </c>
      <c r="AX269" t="s">
        <v>222</v>
      </c>
      <c r="BA269" s="57">
        <v>46268.333333333336</v>
      </c>
      <c r="BB269" t="s">
        <v>2154</v>
      </c>
      <c r="BC269">
        <v>2026</v>
      </c>
      <c r="BD269">
        <v>9</v>
      </c>
      <c r="BE269">
        <v>3</v>
      </c>
      <c r="BF269" s="6">
        <f t="shared" si="12"/>
        <v>46268</v>
      </c>
      <c r="BG269">
        <f t="shared" si="13"/>
        <v>-0.33333333333575865</v>
      </c>
      <c r="BH269" t="str">
        <f t="shared" si="14"/>
        <v>COMPLY</v>
      </c>
      <c r="BI269" t="e">
        <f>VLOOKUP(H269,Sheet2!$A$1:$B$270,2,FALSE)</f>
        <v>#N/A</v>
      </c>
    </row>
    <row r="270" spans="1:61">
      <c r="A270">
        <v>269</v>
      </c>
      <c r="B270">
        <v>1002567545</v>
      </c>
      <c r="C270">
        <v>3</v>
      </c>
      <c r="D270" t="s">
        <v>38</v>
      </c>
      <c r="E270">
        <v>5</v>
      </c>
      <c r="F270" t="s">
        <v>90</v>
      </c>
      <c r="G270" t="s">
        <v>98</v>
      </c>
      <c r="H270" t="s">
        <v>394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46267.545798611114</v>
      </c>
      <c r="P270" s="57">
        <v>46267.826365740744</v>
      </c>
      <c r="Q270">
        <v>69382308</v>
      </c>
      <c r="S270">
        <v>152622209373</v>
      </c>
      <c r="T270" t="s">
        <v>2064</v>
      </c>
      <c r="U270" t="s">
        <v>2065</v>
      </c>
      <c r="V270" t="s">
        <v>2066</v>
      </c>
      <c r="Z270">
        <v>111.861572</v>
      </c>
      <c r="AA270">
        <v>-8.1412499999999994</v>
      </c>
      <c r="AB270" t="s">
        <v>2067</v>
      </c>
      <c r="AC270" t="s">
        <v>236</v>
      </c>
      <c r="AL270" t="s">
        <v>217</v>
      </c>
      <c r="AM270" t="s">
        <v>2068</v>
      </c>
      <c r="AN270" t="s">
        <v>6</v>
      </c>
      <c r="AO270" s="57">
        <v>46062.548622685186</v>
      </c>
      <c r="AP270" s="57">
        <v>46268.541666666664</v>
      </c>
      <c r="AR270" t="s">
        <v>218</v>
      </c>
      <c r="AS270" t="s">
        <v>98</v>
      </c>
      <c r="AT270" t="s">
        <v>344</v>
      </c>
      <c r="AU270">
        <v>20260902</v>
      </c>
      <c r="AV270" t="s">
        <v>221</v>
      </c>
      <c r="AW270" t="s">
        <v>1664</v>
      </c>
      <c r="AX270" t="s">
        <v>222</v>
      </c>
      <c r="BA270" s="57">
        <v>46268.541666666664</v>
      </c>
      <c r="BB270" t="s">
        <v>2068</v>
      </c>
      <c r="BC270">
        <v>2026</v>
      </c>
      <c r="BD270">
        <v>9</v>
      </c>
      <c r="BE270">
        <v>2</v>
      </c>
      <c r="BF270" s="6">
        <f t="shared" si="12"/>
        <v>46267</v>
      </c>
      <c r="BG270">
        <f t="shared" si="13"/>
        <v>-1.5416666666642413</v>
      </c>
      <c r="BH270" t="str">
        <f t="shared" si="14"/>
        <v>COMPLY</v>
      </c>
      <c r="BI270" t="str">
        <f>VLOOKUP(H270,Sheet2!$A$1:$B$270,2,FALSE)</f>
        <v>BLITAR</v>
      </c>
    </row>
    <row r="271" spans="1:61">
      <c r="A271">
        <v>270</v>
      </c>
      <c r="B271">
        <v>1002566211</v>
      </c>
      <c r="C271">
        <v>3</v>
      </c>
      <c r="D271" t="s">
        <v>34</v>
      </c>
      <c r="E271">
        <v>5</v>
      </c>
      <c r="F271" t="s">
        <v>554</v>
      </c>
      <c r="G271" t="s">
        <v>82</v>
      </c>
      <c r="H271" t="s">
        <v>524</v>
      </c>
      <c r="I271" t="s">
        <v>212</v>
      </c>
      <c r="J271" t="s">
        <v>213</v>
      </c>
      <c r="K271" t="s">
        <v>149</v>
      </c>
      <c r="M271" t="s">
        <v>76</v>
      </c>
      <c r="N271" t="s">
        <v>215</v>
      </c>
      <c r="O271" s="57">
        <v>46266.683009259257</v>
      </c>
      <c r="P271" s="57">
        <v>46266.82916666667</v>
      </c>
      <c r="Q271">
        <v>69378772</v>
      </c>
      <c r="S271">
        <v>172404695148</v>
      </c>
      <c r="T271" t="s">
        <v>979</v>
      </c>
      <c r="U271" t="s">
        <v>980</v>
      </c>
      <c r="V271" t="s">
        <v>1418</v>
      </c>
      <c r="Z271">
        <v>115.48593934429501</v>
      </c>
      <c r="AA271">
        <v>-8.5469272829796292</v>
      </c>
      <c r="AB271" t="s">
        <v>981</v>
      </c>
      <c r="AC271" t="s">
        <v>229</v>
      </c>
      <c r="AL271" t="s">
        <v>217</v>
      </c>
      <c r="AM271" t="s">
        <v>1419</v>
      </c>
      <c r="AN271" t="s">
        <v>6</v>
      </c>
      <c r="AO271" s="57">
        <v>46031.684131944443</v>
      </c>
      <c r="AR271" t="s">
        <v>218</v>
      </c>
      <c r="AS271" t="s">
        <v>905</v>
      </c>
      <c r="AT271" t="s">
        <v>230</v>
      </c>
      <c r="AU271">
        <v>20260901</v>
      </c>
      <c r="AV271" t="s">
        <v>221</v>
      </c>
      <c r="AW271" t="s">
        <v>544</v>
      </c>
      <c r="AX271" t="s">
        <v>222</v>
      </c>
      <c r="BA271" s="57">
        <v>46266.291666666664</v>
      </c>
      <c r="BB271" t="s">
        <v>1419</v>
      </c>
      <c r="BC271">
        <v>2026</v>
      </c>
      <c r="BD271">
        <v>9</v>
      </c>
      <c r="BE271">
        <v>1</v>
      </c>
      <c r="BF271" s="6">
        <f t="shared" si="12"/>
        <v>46266</v>
      </c>
      <c r="BG271">
        <f t="shared" si="13"/>
        <v>-0.29166666666424135</v>
      </c>
      <c r="BH271" t="str">
        <f t="shared" si="14"/>
        <v>COMPLY</v>
      </c>
      <c r="BI271" t="str">
        <f>VLOOKUP(H271,Sheet2!$A$1:$B$270,2,FALSE)</f>
        <v>KLUNGKUNG</v>
      </c>
    </row>
    <row r="272" spans="1:61">
      <c r="A272">
        <v>271</v>
      </c>
      <c r="B272">
        <v>1002566005</v>
      </c>
      <c r="C272">
        <v>3</v>
      </c>
      <c r="D272" t="s">
        <v>34</v>
      </c>
      <c r="E272">
        <v>5</v>
      </c>
      <c r="F272" t="s">
        <v>554</v>
      </c>
      <c r="G272" t="s">
        <v>82</v>
      </c>
      <c r="H272" t="s">
        <v>264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46266.650231481479</v>
      </c>
      <c r="P272" s="57">
        <v>46266.695081018515</v>
      </c>
      <c r="Q272">
        <v>69365055</v>
      </c>
      <c r="S272">
        <v>172428816064</v>
      </c>
      <c r="T272" t="s">
        <v>875</v>
      </c>
      <c r="U272" t="s">
        <v>876</v>
      </c>
      <c r="V272" t="s">
        <v>1420</v>
      </c>
      <c r="Z272">
        <v>115.37458475576901</v>
      </c>
      <c r="AA272">
        <v>-8.5684007909099495</v>
      </c>
      <c r="AB272" t="s">
        <v>877</v>
      </c>
      <c r="AC272" t="s">
        <v>229</v>
      </c>
      <c r="AL272" t="s">
        <v>217</v>
      </c>
      <c r="AM272" t="s">
        <v>1421</v>
      </c>
      <c r="AN272" t="s">
        <v>6</v>
      </c>
      <c r="AO272" s="57">
        <v>46031.653344907405</v>
      </c>
      <c r="AR272" t="s">
        <v>218</v>
      </c>
      <c r="AS272" t="s">
        <v>555</v>
      </c>
      <c r="AT272" t="s">
        <v>230</v>
      </c>
      <c r="AU272">
        <v>20260901</v>
      </c>
      <c r="AV272" t="s">
        <v>221</v>
      </c>
      <c r="AW272" t="s">
        <v>553</v>
      </c>
      <c r="AX272" t="s">
        <v>222</v>
      </c>
      <c r="BA272" s="57">
        <v>46266.291666666664</v>
      </c>
      <c r="BB272" t="s">
        <v>1421</v>
      </c>
      <c r="BC272">
        <v>2026</v>
      </c>
      <c r="BD272">
        <v>9</v>
      </c>
      <c r="BE272">
        <v>1</v>
      </c>
      <c r="BF272" s="6">
        <f t="shared" si="12"/>
        <v>46266</v>
      </c>
      <c r="BG272">
        <f t="shared" si="13"/>
        <v>-0.29166666666424135</v>
      </c>
      <c r="BH272" t="str">
        <f t="shared" si="14"/>
        <v>COMPLY</v>
      </c>
      <c r="BI272" t="str">
        <f>VLOOKUP(H272,Sheet2!$A$1:$B$270,2,FALSE)</f>
        <v>KLUNGKUNG</v>
      </c>
    </row>
    <row r="273" spans="1:61">
      <c r="A273">
        <v>272</v>
      </c>
      <c r="B273">
        <v>1002566337</v>
      </c>
      <c r="C273">
        <v>3</v>
      </c>
      <c r="D273" t="s">
        <v>42</v>
      </c>
      <c r="E273">
        <v>5</v>
      </c>
      <c r="F273" t="s">
        <v>232</v>
      </c>
      <c r="G273" t="s">
        <v>103</v>
      </c>
      <c r="H273" t="s">
        <v>294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46266.704814814817</v>
      </c>
      <c r="P273" s="57">
        <v>46268.670393518521</v>
      </c>
      <c r="Q273">
        <v>69381769</v>
      </c>
      <c r="S273">
        <v>152319208068</v>
      </c>
      <c r="T273" t="s">
        <v>1062</v>
      </c>
      <c r="U273" t="s">
        <v>1063</v>
      </c>
      <c r="V273" t="s">
        <v>1064</v>
      </c>
      <c r="Z273">
        <v>112.34413499999999</v>
      </c>
      <c r="AA273">
        <v>-7.5706119999999997</v>
      </c>
      <c r="AB273" t="s">
        <v>1065</v>
      </c>
      <c r="AC273" t="s">
        <v>236</v>
      </c>
      <c r="AL273" t="s">
        <v>217</v>
      </c>
      <c r="AM273" t="s">
        <v>1066</v>
      </c>
      <c r="AN273" t="s">
        <v>6</v>
      </c>
      <c r="AO273" s="57">
        <v>46031.715439814812</v>
      </c>
      <c r="AP273" s="57">
        <v>46267.625</v>
      </c>
      <c r="AR273" t="s">
        <v>218</v>
      </c>
      <c r="AS273" t="s">
        <v>103</v>
      </c>
      <c r="AT273" t="s">
        <v>230</v>
      </c>
      <c r="AU273">
        <v>20260903</v>
      </c>
      <c r="AV273" t="s">
        <v>221</v>
      </c>
      <c r="AW273" t="s">
        <v>574</v>
      </c>
      <c r="AX273" t="s">
        <v>222</v>
      </c>
      <c r="BA273" s="57">
        <v>46267.625</v>
      </c>
      <c r="BB273" t="s">
        <v>1066</v>
      </c>
      <c r="BC273">
        <v>2026</v>
      </c>
      <c r="BD273">
        <v>9</v>
      </c>
      <c r="BE273">
        <v>3</v>
      </c>
      <c r="BF273" s="6">
        <f t="shared" si="12"/>
        <v>46268</v>
      </c>
      <c r="BG273">
        <f t="shared" si="13"/>
        <v>0.375</v>
      </c>
      <c r="BH273" t="str">
        <f t="shared" si="14"/>
        <v>COMPLY</v>
      </c>
      <c r="BI273" t="str">
        <f>VLOOKUP(H273,Sheet2!$A$1:$B$270,2,FALSE)</f>
        <v>MOJOKERTO</v>
      </c>
    </row>
    <row r="274" spans="1:61">
      <c r="A274">
        <v>273</v>
      </c>
      <c r="B274">
        <v>1002566360</v>
      </c>
      <c r="C274">
        <v>3</v>
      </c>
      <c r="D274" t="s">
        <v>59</v>
      </c>
      <c r="E274">
        <v>4</v>
      </c>
      <c r="F274" t="s">
        <v>223</v>
      </c>
      <c r="G274" t="s">
        <v>314</v>
      </c>
      <c r="H274" t="s">
        <v>315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46266.711064814815</v>
      </c>
      <c r="P274" s="57">
        <v>46268.6721412037</v>
      </c>
      <c r="Q274">
        <v>69381775</v>
      </c>
      <c r="S274">
        <v>146372103323</v>
      </c>
      <c r="T274" t="s">
        <v>1067</v>
      </c>
      <c r="U274" t="s">
        <v>2924</v>
      </c>
      <c r="V274" t="s">
        <v>1068</v>
      </c>
      <c r="Z274">
        <v>109.636751</v>
      </c>
      <c r="AA274">
        <v>-7.3654310000000001</v>
      </c>
      <c r="AB274" t="s">
        <v>1069</v>
      </c>
      <c r="AC274" t="s">
        <v>236</v>
      </c>
      <c r="AL274" t="s">
        <v>217</v>
      </c>
      <c r="AM274" t="s">
        <v>1070</v>
      </c>
      <c r="AN274" t="s">
        <v>6</v>
      </c>
      <c r="AO274" s="57">
        <v>46031.715439814812</v>
      </c>
      <c r="AP274" s="57">
        <v>46269.333333333336</v>
      </c>
      <c r="AR274" t="s">
        <v>218</v>
      </c>
      <c r="AS274" t="s">
        <v>219</v>
      </c>
      <c r="AT274" t="s">
        <v>230</v>
      </c>
      <c r="AU274">
        <v>20260903</v>
      </c>
      <c r="AV274" t="s">
        <v>221</v>
      </c>
      <c r="AW274" t="s">
        <v>882</v>
      </c>
      <c r="AX274" t="s">
        <v>222</v>
      </c>
      <c r="BA274" s="57">
        <v>46269.333333333336</v>
      </c>
      <c r="BB274" t="s">
        <v>1070</v>
      </c>
      <c r="BC274">
        <v>2026</v>
      </c>
      <c r="BD274">
        <v>9</v>
      </c>
      <c r="BE274">
        <v>3</v>
      </c>
      <c r="BF274" s="6">
        <f t="shared" si="12"/>
        <v>46268</v>
      </c>
      <c r="BG274">
        <f t="shared" si="13"/>
        <v>-1.3333333333357587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1002564406</v>
      </c>
      <c r="C275">
        <v>3</v>
      </c>
      <c r="D275" t="s">
        <v>45</v>
      </c>
      <c r="E275">
        <v>5</v>
      </c>
      <c r="F275" t="s">
        <v>210</v>
      </c>
      <c r="G275" t="s">
        <v>112</v>
      </c>
      <c r="H275" t="s">
        <v>263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46266.395798611113</v>
      </c>
      <c r="P275" s="57">
        <v>46268.856458333335</v>
      </c>
      <c r="Q275">
        <v>69381238</v>
      </c>
      <c r="S275">
        <v>172601795130</v>
      </c>
      <c r="T275" t="s">
        <v>1071</v>
      </c>
      <c r="U275" t="s">
        <v>1072</v>
      </c>
      <c r="V275" t="s">
        <v>1073</v>
      </c>
      <c r="Z275">
        <v>116.141443</v>
      </c>
      <c r="AA275">
        <v>-8.5526759999999999</v>
      </c>
      <c r="AB275" t="s">
        <v>1074</v>
      </c>
      <c r="AC275" t="s">
        <v>236</v>
      </c>
      <c r="AL275" t="s">
        <v>217</v>
      </c>
      <c r="AM275" t="s">
        <v>1075</v>
      </c>
      <c r="AN275" t="s">
        <v>6</v>
      </c>
      <c r="AO275" s="57">
        <v>46031.402905092589</v>
      </c>
      <c r="AP275" s="57">
        <v>46268.541666666664</v>
      </c>
      <c r="AR275" t="s">
        <v>218</v>
      </c>
      <c r="AS275" t="s">
        <v>219</v>
      </c>
      <c r="AT275" t="s">
        <v>230</v>
      </c>
      <c r="AU275">
        <v>20260903</v>
      </c>
      <c r="AV275" t="s">
        <v>221</v>
      </c>
      <c r="AW275" t="s">
        <v>888</v>
      </c>
      <c r="AX275" t="s">
        <v>222</v>
      </c>
      <c r="BA275" s="57">
        <v>46268.541666666664</v>
      </c>
      <c r="BB275" t="s">
        <v>1075</v>
      </c>
      <c r="BC275">
        <v>2026</v>
      </c>
      <c r="BD275">
        <v>9</v>
      </c>
      <c r="BE275">
        <v>3</v>
      </c>
      <c r="BF275" s="6">
        <f t="shared" si="12"/>
        <v>46268</v>
      </c>
      <c r="BG275">
        <f t="shared" si="13"/>
        <v>-0.54166666666424135</v>
      </c>
      <c r="BH275" t="str">
        <f t="shared" si="14"/>
        <v>COMPLY</v>
      </c>
      <c r="BI275" t="str">
        <f>VLOOKUP(H275,Sheet2!$A$1:$B$270,2,FALSE)</f>
        <v>MATARAM</v>
      </c>
    </row>
    <row r="276" spans="1:61">
      <c r="A276">
        <v>275</v>
      </c>
      <c r="B276">
        <v>1002564394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211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46266.39439814815</v>
      </c>
      <c r="P276" s="57">
        <v>46267.873819444445</v>
      </c>
      <c r="Q276">
        <v>69381216</v>
      </c>
      <c r="S276">
        <v>172606792056</v>
      </c>
      <c r="T276" t="s">
        <v>1076</v>
      </c>
      <c r="U276" t="s">
        <v>1077</v>
      </c>
      <c r="V276" t="s">
        <v>1078</v>
      </c>
      <c r="Z276">
        <v>117.705498151481</v>
      </c>
      <c r="AA276">
        <v>-8.6775460755313905</v>
      </c>
      <c r="AB276" t="s">
        <v>1079</v>
      </c>
      <c r="AC276" t="s">
        <v>216</v>
      </c>
      <c r="AL276" t="s">
        <v>217</v>
      </c>
      <c r="AM276" t="s">
        <v>1080</v>
      </c>
      <c r="AN276" t="s">
        <v>6</v>
      </c>
      <c r="AO276" s="57">
        <v>46031.402905092589</v>
      </c>
      <c r="AP276" s="57">
        <v>46267.333333333336</v>
      </c>
      <c r="AR276" t="s">
        <v>218</v>
      </c>
      <c r="AS276" t="s">
        <v>219</v>
      </c>
      <c r="AT276" t="s">
        <v>344</v>
      </c>
      <c r="AU276">
        <v>20260902</v>
      </c>
      <c r="AV276" t="s">
        <v>221</v>
      </c>
      <c r="AW276" t="s">
        <v>889</v>
      </c>
      <c r="AX276" t="s">
        <v>222</v>
      </c>
      <c r="BA276" s="57">
        <v>46267.333333333336</v>
      </c>
      <c r="BB276" t="s">
        <v>1080</v>
      </c>
      <c r="BC276">
        <v>2026</v>
      </c>
      <c r="BD276">
        <v>9</v>
      </c>
      <c r="BE276">
        <v>2</v>
      </c>
      <c r="BF276" s="6">
        <f t="shared" si="12"/>
        <v>46267</v>
      </c>
      <c r="BG276">
        <f t="shared" si="13"/>
        <v>-0.33333333333575865</v>
      </c>
      <c r="BH276" t="str">
        <f t="shared" si="14"/>
        <v>COMPLY</v>
      </c>
      <c r="BI276" t="str">
        <f>VLOOKUP(H276,Sheet2!$A$1:$B$270,2,FALSE)</f>
        <v>SUMBAWA</v>
      </c>
    </row>
    <row r="277" spans="1:61">
      <c r="A277">
        <v>276</v>
      </c>
      <c r="B277">
        <v>1002564794</v>
      </c>
      <c r="C277">
        <v>3</v>
      </c>
      <c r="D277" t="s">
        <v>45</v>
      </c>
      <c r="E277">
        <v>5</v>
      </c>
      <c r="F277" t="s">
        <v>210</v>
      </c>
      <c r="G277" t="s">
        <v>110</v>
      </c>
      <c r="H277" t="s">
        <v>313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46266.444398148145</v>
      </c>
      <c r="P277" s="57">
        <v>46267.712152777778</v>
      </c>
      <c r="Q277">
        <v>69381330</v>
      </c>
      <c r="S277">
        <v>172611786320</v>
      </c>
      <c r="T277" t="s">
        <v>1081</v>
      </c>
      <c r="U277" t="s">
        <v>1082</v>
      </c>
      <c r="V277" t="s">
        <v>1083</v>
      </c>
      <c r="Z277">
        <v>118.490178</v>
      </c>
      <c r="AA277">
        <v>-8.5041910000000005</v>
      </c>
      <c r="AB277" t="s">
        <v>1084</v>
      </c>
      <c r="AC277" t="s">
        <v>236</v>
      </c>
      <c r="AL277" t="s">
        <v>217</v>
      </c>
      <c r="AM277" t="s">
        <v>1085</v>
      </c>
      <c r="AN277" t="s">
        <v>6</v>
      </c>
      <c r="AO277" s="57">
        <v>46031.454826388886</v>
      </c>
      <c r="AP277" s="57">
        <v>46267.333333333336</v>
      </c>
      <c r="AR277" t="s">
        <v>218</v>
      </c>
      <c r="AS277" t="s">
        <v>569</v>
      </c>
      <c r="AT277" t="s">
        <v>552</v>
      </c>
      <c r="AU277">
        <v>20260902</v>
      </c>
      <c r="AV277" t="s">
        <v>221</v>
      </c>
      <c r="AW277" t="s">
        <v>868</v>
      </c>
      <c r="AX277" t="s">
        <v>222</v>
      </c>
      <c r="BA277" s="57">
        <v>46267.333333333336</v>
      </c>
      <c r="BB277" t="s">
        <v>1085</v>
      </c>
      <c r="BC277">
        <v>2026</v>
      </c>
      <c r="BD277">
        <v>9</v>
      </c>
      <c r="BE277">
        <v>2</v>
      </c>
      <c r="BF277" s="6">
        <f t="shared" si="12"/>
        <v>46267</v>
      </c>
      <c r="BG277">
        <f t="shared" si="13"/>
        <v>-0.33333333333575865</v>
      </c>
      <c r="BH277" t="str">
        <f t="shared" si="14"/>
        <v>COMPLY</v>
      </c>
      <c r="BI277" t="str">
        <f>VLOOKUP(H277,Sheet2!$A$1:$B$270,2,FALSE)</f>
        <v>BIMA</v>
      </c>
    </row>
    <row r="278" spans="1:61">
      <c r="A278">
        <v>277</v>
      </c>
      <c r="B278">
        <v>1002564072</v>
      </c>
      <c r="C278">
        <v>3</v>
      </c>
      <c r="D278" t="s">
        <v>59</v>
      </c>
      <c r="E278">
        <v>4</v>
      </c>
      <c r="F278" t="s">
        <v>223</v>
      </c>
      <c r="G278" t="s">
        <v>223</v>
      </c>
      <c r="H278" t="s">
        <v>845</v>
      </c>
      <c r="I278" t="s">
        <v>212</v>
      </c>
      <c r="J278" t="s">
        <v>213</v>
      </c>
      <c r="K278" t="s">
        <v>149</v>
      </c>
      <c r="M278" t="s">
        <v>76</v>
      </c>
      <c r="N278" t="s">
        <v>215</v>
      </c>
      <c r="O278" s="57">
        <v>46266.346446759257</v>
      </c>
      <c r="P278" s="57">
        <v>46266.581354166665</v>
      </c>
      <c r="Q278">
        <v>69380149</v>
      </c>
      <c r="S278">
        <v>143387116898</v>
      </c>
      <c r="T278" t="s">
        <v>975</v>
      </c>
      <c r="U278" t="s">
        <v>1422</v>
      </c>
      <c r="V278" t="s">
        <v>1423</v>
      </c>
      <c r="Z278">
        <v>109.0774661</v>
      </c>
      <c r="AA278">
        <v>-7.4091196000000004</v>
      </c>
      <c r="AB278" t="s">
        <v>976</v>
      </c>
      <c r="AC278" t="s">
        <v>284</v>
      </c>
      <c r="AL278" t="s">
        <v>217</v>
      </c>
      <c r="AM278" t="s">
        <v>1424</v>
      </c>
      <c r="AN278" t="s">
        <v>6</v>
      </c>
      <c r="AO278" s="57">
        <v>46031.350752314815</v>
      </c>
      <c r="AR278" t="s">
        <v>218</v>
      </c>
      <c r="AS278" t="s">
        <v>910</v>
      </c>
      <c r="AT278" t="s">
        <v>230</v>
      </c>
      <c r="AU278">
        <v>20260901</v>
      </c>
      <c r="AV278" t="s">
        <v>221</v>
      </c>
      <c r="AW278" t="s">
        <v>544</v>
      </c>
      <c r="AX278" t="s">
        <v>222</v>
      </c>
      <c r="BA278" s="57">
        <v>46266.291666666664</v>
      </c>
      <c r="BB278" t="s">
        <v>1424</v>
      </c>
      <c r="BC278">
        <v>2026</v>
      </c>
      <c r="BD278">
        <v>9</v>
      </c>
      <c r="BE278">
        <v>1</v>
      </c>
      <c r="BF278" s="6">
        <f t="shared" si="12"/>
        <v>46266</v>
      </c>
      <c r="BG278">
        <f t="shared" si="13"/>
        <v>-0.29166666666424135</v>
      </c>
      <c r="BH278" t="str">
        <f t="shared" si="14"/>
        <v>COMPLY</v>
      </c>
      <c r="BI278" t="e">
        <f>VLOOKUP(H278,Sheet2!$A$1:$B$270,2,FALSE)</f>
        <v>#N/A</v>
      </c>
    </row>
    <row r="279" spans="1:61">
      <c r="A279">
        <v>278</v>
      </c>
      <c r="B279">
        <v>1002564446</v>
      </c>
      <c r="C279">
        <v>3</v>
      </c>
      <c r="D279" t="s">
        <v>38</v>
      </c>
      <c r="E279">
        <v>5</v>
      </c>
      <c r="F279" t="s">
        <v>90</v>
      </c>
      <c r="G279" t="s">
        <v>90</v>
      </c>
      <c r="H279" t="s">
        <v>346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46266.399953703702</v>
      </c>
      <c r="P279" s="57">
        <v>46266.718854166669</v>
      </c>
      <c r="Q279">
        <v>69381219</v>
      </c>
      <c r="S279">
        <v>152639219540</v>
      </c>
      <c r="T279" t="s">
        <v>1425</v>
      </c>
      <c r="U279" t="s">
        <v>1426</v>
      </c>
      <c r="V279" t="s">
        <v>1427</v>
      </c>
      <c r="Z279">
        <v>112.1908955</v>
      </c>
      <c r="AA279">
        <v>-7.7567621000000004</v>
      </c>
      <c r="AB279" t="s">
        <v>1428</v>
      </c>
      <c r="AC279" t="s">
        <v>216</v>
      </c>
      <c r="AL279" t="s">
        <v>217</v>
      </c>
      <c r="AM279" t="s">
        <v>1429</v>
      </c>
      <c r="AN279" t="s">
        <v>6</v>
      </c>
      <c r="AO279" s="57">
        <v>46031.402905092589</v>
      </c>
      <c r="AP279" s="57">
        <v>46268.333333333336</v>
      </c>
      <c r="AR279" t="s">
        <v>218</v>
      </c>
      <c r="AS279" t="s">
        <v>304</v>
      </c>
      <c r="AT279" t="s">
        <v>230</v>
      </c>
      <c r="AU279">
        <v>20260901</v>
      </c>
      <c r="AV279" t="s">
        <v>221</v>
      </c>
      <c r="AW279" t="s">
        <v>887</v>
      </c>
      <c r="AX279" t="s">
        <v>222</v>
      </c>
      <c r="BA279" s="57">
        <v>46268.333333333336</v>
      </c>
      <c r="BB279" t="s">
        <v>1429</v>
      </c>
      <c r="BC279">
        <v>2026</v>
      </c>
      <c r="BD279">
        <v>9</v>
      </c>
      <c r="BE279">
        <v>1</v>
      </c>
      <c r="BF279" s="6">
        <f t="shared" si="12"/>
        <v>46266</v>
      </c>
      <c r="BG279">
        <f t="shared" si="13"/>
        <v>-2.3333333333357587</v>
      </c>
      <c r="BH279" t="str">
        <f t="shared" si="14"/>
        <v>COMPLY</v>
      </c>
      <c r="BI279" t="str">
        <f>VLOOKUP(H279,Sheet2!$A$1:$B$270,2,FALSE)</f>
        <v>KEDIRI</v>
      </c>
    </row>
    <row r="280" spans="1:61">
      <c r="A280">
        <v>279</v>
      </c>
      <c r="B280">
        <v>1002564395</v>
      </c>
      <c r="C280">
        <v>3</v>
      </c>
      <c r="D280" t="s">
        <v>42</v>
      </c>
      <c r="E280">
        <v>5</v>
      </c>
      <c r="F280" t="s">
        <v>102</v>
      </c>
      <c r="G280" t="s">
        <v>99</v>
      </c>
      <c r="H280" t="s">
        <v>406</v>
      </c>
      <c r="I280" t="s">
        <v>212</v>
      </c>
      <c r="J280" t="s">
        <v>213</v>
      </c>
      <c r="K280" t="s">
        <v>149</v>
      </c>
      <c r="M280" t="s">
        <v>76</v>
      </c>
      <c r="N280" t="s">
        <v>215</v>
      </c>
      <c r="O280" s="57">
        <v>46266.395300925928</v>
      </c>
      <c r="P280" s="57">
        <v>46266.735567129632</v>
      </c>
      <c r="Q280">
        <v>69379478</v>
      </c>
      <c r="S280">
        <v>152522205701</v>
      </c>
      <c r="T280" t="s">
        <v>956</v>
      </c>
      <c r="U280" t="s">
        <v>1430</v>
      </c>
      <c r="V280" t="s">
        <v>1431</v>
      </c>
      <c r="Z280">
        <v>114.302912987892</v>
      </c>
      <c r="AA280">
        <v>-8.4049953980668199</v>
      </c>
      <c r="AB280" t="s">
        <v>1000</v>
      </c>
      <c r="AC280" t="s">
        <v>216</v>
      </c>
      <c r="AL280" t="s">
        <v>217</v>
      </c>
      <c r="AM280" t="s">
        <v>1432</v>
      </c>
      <c r="AN280" t="s">
        <v>6</v>
      </c>
      <c r="AO280" s="57">
        <v>46031.402905092589</v>
      </c>
      <c r="AR280" t="s">
        <v>218</v>
      </c>
      <c r="AS280" t="s">
        <v>99</v>
      </c>
      <c r="AT280" t="s">
        <v>230</v>
      </c>
      <c r="AU280">
        <v>20260901</v>
      </c>
      <c r="AV280" t="s">
        <v>221</v>
      </c>
      <c r="AW280" t="s">
        <v>546</v>
      </c>
      <c r="AX280" t="s">
        <v>222</v>
      </c>
      <c r="BA280" s="57">
        <v>46266.291666666664</v>
      </c>
      <c r="BB280" t="s">
        <v>1432</v>
      </c>
      <c r="BC280">
        <v>2026</v>
      </c>
      <c r="BD280">
        <v>9</v>
      </c>
      <c r="BE280">
        <v>1</v>
      </c>
      <c r="BF280" s="6">
        <f t="shared" si="12"/>
        <v>46266</v>
      </c>
      <c r="BG280">
        <f t="shared" si="13"/>
        <v>-0.29166666666424135</v>
      </c>
      <c r="BH280" t="str">
        <f t="shared" si="14"/>
        <v>COMPLY</v>
      </c>
      <c r="BI280" t="str">
        <f>VLOOKUP(H280,Sheet2!$A$1:$B$270,2,FALSE)</f>
        <v>BANYUWANGI</v>
      </c>
    </row>
    <row r="281" spans="1:61">
      <c r="A281">
        <v>280</v>
      </c>
      <c r="B281">
        <v>1002564057</v>
      </c>
      <c r="C281">
        <v>3</v>
      </c>
      <c r="D281" t="s">
        <v>59</v>
      </c>
      <c r="E281">
        <v>4</v>
      </c>
      <c r="F281" t="s">
        <v>223</v>
      </c>
      <c r="G281" t="s">
        <v>223</v>
      </c>
      <c r="H281" t="s">
        <v>1009</v>
      </c>
      <c r="I281" t="s">
        <v>212</v>
      </c>
      <c r="J281" t="s">
        <v>213</v>
      </c>
      <c r="K281" t="s">
        <v>149</v>
      </c>
      <c r="M281" t="s">
        <v>76</v>
      </c>
      <c r="N281" t="s">
        <v>215</v>
      </c>
      <c r="O281" s="57">
        <v>46266.340960648151</v>
      </c>
      <c r="P281" s="57">
        <v>46266.45484953704</v>
      </c>
      <c r="Q281">
        <v>69379064</v>
      </c>
      <c r="S281">
        <v>146396100343</v>
      </c>
      <c r="T281" t="s">
        <v>1010</v>
      </c>
      <c r="U281" t="s">
        <v>1433</v>
      </c>
      <c r="V281" t="s">
        <v>1434</v>
      </c>
      <c r="Z281">
        <v>109.21419779999999</v>
      </c>
      <c r="AA281">
        <v>-7.3366372000000002</v>
      </c>
      <c r="AB281" t="s">
        <v>1011</v>
      </c>
      <c r="AC281" t="s">
        <v>284</v>
      </c>
      <c r="AL281" t="s">
        <v>217</v>
      </c>
      <c r="AM281" t="s">
        <v>1435</v>
      </c>
      <c r="AN281" t="s">
        <v>6</v>
      </c>
      <c r="AO281" s="57">
        <v>46031.350752314815</v>
      </c>
      <c r="AR281" t="s">
        <v>218</v>
      </c>
      <c r="AS281" t="s">
        <v>219</v>
      </c>
      <c r="AT281" t="s">
        <v>230</v>
      </c>
      <c r="AU281">
        <v>20260901</v>
      </c>
      <c r="AV281" t="s">
        <v>221</v>
      </c>
      <c r="AW281" t="s">
        <v>550</v>
      </c>
      <c r="AX281" t="s">
        <v>222</v>
      </c>
      <c r="BA281" s="57">
        <v>46266.291666666664</v>
      </c>
      <c r="BB281" t="s">
        <v>1435</v>
      </c>
      <c r="BC281">
        <v>2026</v>
      </c>
      <c r="BD281">
        <v>9</v>
      </c>
      <c r="BE281">
        <v>1</v>
      </c>
      <c r="BF281" s="6">
        <f t="shared" si="12"/>
        <v>46266</v>
      </c>
      <c r="BG281">
        <f t="shared" si="13"/>
        <v>-0.29166666666424135</v>
      </c>
      <c r="BH281" t="str">
        <f t="shared" si="14"/>
        <v>COMPLY</v>
      </c>
      <c r="BI281" t="e">
        <f>VLOOKUP(H281,Sheet2!$A$1:$B$270,2,FALSE)</f>
        <v>#N/A</v>
      </c>
    </row>
    <row r="282" spans="1:61">
      <c r="A282">
        <v>281</v>
      </c>
      <c r="B282">
        <v>1002564025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211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46266.313148148147</v>
      </c>
      <c r="P282" s="57">
        <v>46267.697337962964</v>
      </c>
      <c r="Q282">
        <v>69381121</v>
      </c>
      <c r="S282">
        <v>172606792340</v>
      </c>
      <c r="T282" t="s">
        <v>1091</v>
      </c>
      <c r="U282" t="s">
        <v>858</v>
      </c>
      <c r="V282" t="s">
        <v>1092</v>
      </c>
      <c r="Z282">
        <v>117.43840914219599</v>
      </c>
      <c r="AA282">
        <v>-8.6443586928006209</v>
      </c>
      <c r="AB282" t="s">
        <v>1093</v>
      </c>
      <c r="AC282" t="s">
        <v>216</v>
      </c>
      <c r="AL282" t="s">
        <v>217</v>
      </c>
      <c r="AM282" t="s">
        <v>1094</v>
      </c>
      <c r="AN282" t="s">
        <v>6</v>
      </c>
      <c r="AO282" s="57">
        <v>46031.319398148145</v>
      </c>
      <c r="AP282" s="57">
        <v>46267.333333333336</v>
      </c>
      <c r="AR282" t="s">
        <v>218</v>
      </c>
      <c r="AS282" t="s">
        <v>219</v>
      </c>
      <c r="AT282" t="s">
        <v>220</v>
      </c>
      <c r="AU282">
        <v>20260902</v>
      </c>
      <c r="AV282" t="s">
        <v>221</v>
      </c>
      <c r="AW282" t="s">
        <v>840</v>
      </c>
      <c r="AX282" t="s">
        <v>222</v>
      </c>
      <c r="BA282" s="57">
        <v>46267.333333333336</v>
      </c>
      <c r="BB282" t="s">
        <v>1094</v>
      </c>
      <c r="BC282">
        <v>2026</v>
      </c>
      <c r="BD282">
        <v>9</v>
      </c>
      <c r="BE282">
        <v>2</v>
      </c>
      <c r="BF282" s="6">
        <f t="shared" si="12"/>
        <v>46267</v>
      </c>
      <c r="BG282">
        <f t="shared" si="13"/>
        <v>-0.33333333333575865</v>
      </c>
      <c r="BH282" t="str">
        <f t="shared" si="14"/>
        <v>COMPLY</v>
      </c>
      <c r="BI282" t="str">
        <f>VLOOKUP(H282,Sheet2!$A$1:$B$270,2,FALSE)</f>
        <v>SUMBAWA</v>
      </c>
    </row>
    <row r="283" spans="1:61">
      <c r="A283">
        <v>282</v>
      </c>
      <c r="B283">
        <v>1002564783</v>
      </c>
      <c r="C283">
        <v>3</v>
      </c>
      <c r="D283" t="s">
        <v>45</v>
      </c>
      <c r="E283">
        <v>5</v>
      </c>
      <c r="F283" t="s">
        <v>210</v>
      </c>
      <c r="G283" t="s">
        <v>116</v>
      </c>
      <c r="H283" t="s">
        <v>268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46266.443703703706</v>
      </c>
      <c r="P283" s="57">
        <v>46268.70103009259</v>
      </c>
      <c r="Q283">
        <v>69381328</v>
      </c>
      <c r="S283">
        <v>172604214259</v>
      </c>
      <c r="T283" t="s">
        <v>1095</v>
      </c>
      <c r="U283" t="s">
        <v>1096</v>
      </c>
      <c r="V283" t="s">
        <v>1097</v>
      </c>
      <c r="Z283">
        <v>116.544966995716</v>
      </c>
      <c r="AA283">
        <v>-8.38643504546903</v>
      </c>
      <c r="AB283" t="s">
        <v>1098</v>
      </c>
      <c r="AC283" t="s">
        <v>216</v>
      </c>
      <c r="AL283" t="s">
        <v>217</v>
      </c>
      <c r="AM283" t="s">
        <v>1099</v>
      </c>
      <c r="AN283" t="s">
        <v>6</v>
      </c>
      <c r="AO283" s="57">
        <v>46031.444409722222</v>
      </c>
      <c r="AP283" s="57">
        <v>46267.625</v>
      </c>
      <c r="AR283" t="s">
        <v>218</v>
      </c>
      <c r="AS283" t="s">
        <v>912</v>
      </c>
      <c r="AT283" t="s">
        <v>230</v>
      </c>
      <c r="AU283">
        <v>20260903</v>
      </c>
      <c r="AV283" t="s">
        <v>221</v>
      </c>
      <c r="AW283" t="s">
        <v>884</v>
      </c>
      <c r="AX283" t="s">
        <v>222</v>
      </c>
      <c r="BA283" s="57">
        <v>46267.625</v>
      </c>
      <c r="BB283" t="s">
        <v>1099</v>
      </c>
      <c r="BC283">
        <v>2026</v>
      </c>
      <c r="BD283">
        <v>9</v>
      </c>
      <c r="BE283">
        <v>3</v>
      </c>
      <c r="BF283" s="6">
        <f t="shared" si="12"/>
        <v>46268</v>
      </c>
      <c r="BG283">
        <f t="shared" si="13"/>
        <v>0.375</v>
      </c>
      <c r="BH283" t="str">
        <f t="shared" si="14"/>
        <v>COMPLY</v>
      </c>
      <c r="BI283" t="str">
        <f>VLOOKUP(H283,Sheet2!$A$1:$B$270,2,FALSE)</f>
        <v>SELONG</v>
      </c>
    </row>
    <row r="284" spans="1:61">
      <c r="A284">
        <v>283</v>
      </c>
      <c r="B284">
        <v>1002565129</v>
      </c>
      <c r="C284">
        <v>3</v>
      </c>
      <c r="D284" t="s">
        <v>49</v>
      </c>
      <c r="E284">
        <v>4</v>
      </c>
      <c r="F284" t="s">
        <v>250</v>
      </c>
      <c r="G284" t="s">
        <v>539</v>
      </c>
      <c r="H284" t="s">
        <v>577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46266.493634259263</v>
      </c>
      <c r="P284" s="57">
        <v>46267.568738425929</v>
      </c>
      <c r="Q284">
        <v>69228573</v>
      </c>
      <c r="S284">
        <v>142214107371</v>
      </c>
      <c r="T284" t="s">
        <v>1100</v>
      </c>
      <c r="U284" t="s">
        <v>960</v>
      </c>
      <c r="V284" t="s">
        <v>1101</v>
      </c>
      <c r="Z284">
        <v>108.9829376</v>
      </c>
      <c r="AA284">
        <v>-6.9595906999999997</v>
      </c>
      <c r="AB284" t="s">
        <v>1102</v>
      </c>
      <c r="AC284" t="s">
        <v>225</v>
      </c>
      <c r="AL284" t="s">
        <v>217</v>
      </c>
      <c r="AM284" t="s">
        <v>1103</v>
      </c>
      <c r="AN284" t="s">
        <v>6</v>
      </c>
      <c r="AO284" s="57">
        <v>46031.49659722222</v>
      </c>
      <c r="AP284" s="57">
        <v>46267.541666666664</v>
      </c>
      <c r="AR284" t="s">
        <v>218</v>
      </c>
      <c r="AS284" t="s">
        <v>909</v>
      </c>
      <c r="AT284" t="s">
        <v>230</v>
      </c>
      <c r="AU284">
        <v>20260902</v>
      </c>
      <c r="AV284" t="s">
        <v>221</v>
      </c>
      <c r="AW284" t="s">
        <v>578</v>
      </c>
      <c r="AX284" t="s">
        <v>222</v>
      </c>
      <c r="BA284" s="57">
        <v>46267.541666666664</v>
      </c>
      <c r="BB284" t="s">
        <v>1103</v>
      </c>
      <c r="BC284">
        <v>2026</v>
      </c>
      <c r="BD284">
        <v>9</v>
      </c>
      <c r="BE284">
        <v>2</v>
      </c>
      <c r="BF284" s="6">
        <f t="shared" si="12"/>
        <v>46267</v>
      </c>
      <c r="BG284">
        <f t="shared" si="13"/>
        <v>-0.54166666666424135</v>
      </c>
      <c r="BH284" t="str">
        <f t="shared" si="14"/>
        <v>COMPLY</v>
      </c>
      <c r="BI284" t="e">
        <f>VLOOKUP(H284,Sheet2!$A$1:$B$270,2,FALSE)</f>
        <v>#N/A</v>
      </c>
    </row>
    <row r="285" spans="1:61">
      <c r="A285">
        <v>284</v>
      </c>
      <c r="B285">
        <v>1002564592</v>
      </c>
      <c r="C285">
        <v>3</v>
      </c>
      <c r="D285" t="s">
        <v>42</v>
      </c>
      <c r="E285">
        <v>5</v>
      </c>
      <c r="F285" t="s">
        <v>232</v>
      </c>
      <c r="G285" t="s">
        <v>103</v>
      </c>
      <c r="H285" t="s">
        <v>294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46266.417939814812</v>
      </c>
      <c r="P285" s="57">
        <v>46267.517129629632</v>
      </c>
      <c r="Q285">
        <v>69381278</v>
      </c>
      <c r="S285">
        <v>152319208061</v>
      </c>
      <c r="T285" t="s">
        <v>1104</v>
      </c>
      <c r="U285" t="s">
        <v>1105</v>
      </c>
      <c r="V285" t="s">
        <v>1106</v>
      </c>
      <c r="Z285">
        <v>112.3860248</v>
      </c>
      <c r="AA285">
        <v>-7.5268009999999999</v>
      </c>
      <c r="AB285" t="s">
        <v>1107</v>
      </c>
      <c r="AC285" t="s">
        <v>229</v>
      </c>
      <c r="AL285" t="s">
        <v>217</v>
      </c>
      <c r="AM285" t="s">
        <v>1108</v>
      </c>
      <c r="AN285" t="s">
        <v>6</v>
      </c>
      <c r="AO285" s="57">
        <v>46031.423645833333</v>
      </c>
      <c r="AP285" s="57">
        <v>46267.458333333336</v>
      </c>
      <c r="AR285" t="s">
        <v>218</v>
      </c>
      <c r="AS285" t="s">
        <v>103</v>
      </c>
      <c r="AT285" t="s">
        <v>230</v>
      </c>
      <c r="AU285">
        <v>20260902</v>
      </c>
      <c r="AV285" t="s">
        <v>221</v>
      </c>
      <c r="AW285" t="s">
        <v>544</v>
      </c>
      <c r="AX285" t="s">
        <v>222</v>
      </c>
      <c r="BA285" s="57">
        <v>46267.458333333336</v>
      </c>
      <c r="BB285" t="s">
        <v>1108</v>
      </c>
      <c r="BC285">
        <v>2026</v>
      </c>
      <c r="BD285">
        <v>9</v>
      </c>
      <c r="BE285">
        <v>2</v>
      </c>
      <c r="BF285" s="6">
        <f t="shared" si="12"/>
        <v>46267</v>
      </c>
      <c r="BG285">
        <f t="shared" si="13"/>
        <v>-0.45833333333575865</v>
      </c>
      <c r="BH285" t="str">
        <f t="shared" si="14"/>
        <v>COMPLY</v>
      </c>
      <c r="BI285" t="str">
        <f>VLOOKUP(H285,Sheet2!$A$1:$B$270,2,FALSE)</f>
        <v>MOJOKERTO</v>
      </c>
    </row>
    <row r="286" spans="1:61">
      <c r="A286">
        <v>285</v>
      </c>
      <c r="B286">
        <v>1002565224</v>
      </c>
      <c r="C286">
        <v>3</v>
      </c>
      <c r="D286" t="s">
        <v>55</v>
      </c>
      <c r="E286">
        <v>5</v>
      </c>
      <c r="F286" t="s">
        <v>261</v>
      </c>
      <c r="G286" t="s">
        <v>122</v>
      </c>
      <c r="H286" t="s">
        <v>321</v>
      </c>
      <c r="I286" t="s">
        <v>212</v>
      </c>
      <c r="J286" t="s">
        <v>213</v>
      </c>
      <c r="K286" t="s">
        <v>149</v>
      </c>
      <c r="M286" t="s">
        <v>76</v>
      </c>
      <c r="N286" t="s">
        <v>215</v>
      </c>
      <c r="O286" s="57">
        <v>46266.518530092595</v>
      </c>
      <c r="P286" s="57">
        <v>46266.639976851853</v>
      </c>
      <c r="Q286">
        <v>69379339</v>
      </c>
      <c r="S286">
        <v>152445902503</v>
      </c>
      <c r="T286" t="s">
        <v>989</v>
      </c>
      <c r="U286" t="s">
        <v>1436</v>
      </c>
      <c r="V286" t="s">
        <v>1437</v>
      </c>
      <c r="Z286">
        <v>112.49171</v>
      </c>
      <c r="AA286">
        <v>-7.1393560000000003</v>
      </c>
      <c r="AB286" t="s">
        <v>990</v>
      </c>
      <c r="AC286" t="s">
        <v>216</v>
      </c>
      <c r="AL286" t="s">
        <v>217</v>
      </c>
      <c r="AM286" t="s">
        <v>1438</v>
      </c>
      <c r="AN286" t="s">
        <v>6</v>
      </c>
      <c r="AO286" s="57">
        <v>46031.52784722222</v>
      </c>
      <c r="AR286" t="s">
        <v>218</v>
      </c>
      <c r="AS286" t="s">
        <v>122</v>
      </c>
      <c r="AT286" t="s">
        <v>220</v>
      </c>
      <c r="AU286">
        <v>20260901</v>
      </c>
      <c r="AV286" t="s">
        <v>221</v>
      </c>
      <c r="AW286" t="s">
        <v>545</v>
      </c>
      <c r="AX286" t="s">
        <v>222</v>
      </c>
      <c r="BA286" s="57">
        <v>46266.291666666664</v>
      </c>
      <c r="BB286" t="s">
        <v>1438</v>
      </c>
      <c r="BC286">
        <v>2026</v>
      </c>
      <c r="BD286">
        <v>9</v>
      </c>
      <c r="BE286">
        <v>1</v>
      </c>
      <c r="BF286" s="6">
        <f t="shared" si="12"/>
        <v>46266</v>
      </c>
      <c r="BG286">
        <f t="shared" si="13"/>
        <v>-0.29166666666424135</v>
      </c>
      <c r="BH286" t="str">
        <f t="shared" si="14"/>
        <v>COMPLY</v>
      </c>
      <c r="BI286" t="str">
        <f>VLOOKUP(H286,Sheet2!$A$1:$B$270,2,FALSE)</f>
        <v>GRESIK</v>
      </c>
    </row>
    <row r="287" spans="1:61">
      <c r="A287">
        <v>286</v>
      </c>
      <c r="B287">
        <v>1002564429</v>
      </c>
      <c r="C287">
        <v>3</v>
      </c>
      <c r="D287" t="s">
        <v>55</v>
      </c>
      <c r="E287">
        <v>5</v>
      </c>
      <c r="F287" t="s">
        <v>307</v>
      </c>
      <c r="G287" t="s">
        <v>124</v>
      </c>
      <c r="H287" t="s">
        <v>329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46266.397893518515</v>
      </c>
      <c r="P287" s="57">
        <v>46267.671238425923</v>
      </c>
      <c r="Q287">
        <v>69381217</v>
      </c>
      <c r="S287">
        <v>152306253338</v>
      </c>
      <c r="T287" t="s">
        <v>1367</v>
      </c>
      <c r="U287" t="s">
        <v>1368</v>
      </c>
      <c r="V287" t="s">
        <v>1369</v>
      </c>
      <c r="Z287">
        <v>112.7257608</v>
      </c>
      <c r="AA287">
        <v>-7.3288592999999898</v>
      </c>
      <c r="AB287" t="s">
        <v>1370</v>
      </c>
      <c r="AC287" t="s">
        <v>216</v>
      </c>
      <c r="AL287" t="s">
        <v>217</v>
      </c>
      <c r="AM287" t="s">
        <v>1371</v>
      </c>
      <c r="AN287" t="s">
        <v>6</v>
      </c>
      <c r="AO287" s="57">
        <v>46031.402905092589</v>
      </c>
      <c r="AP287" s="57">
        <v>46267.333333333336</v>
      </c>
      <c r="AR287" t="s">
        <v>218</v>
      </c>
      <c r="AS287" t="s">
        <v>917</v>
      </c>
      <c r="AT287" t="s">
        <v>230</v>
      </c>
      <c r="AU287">
        <v>20260902</v>
      </c>
      <c r="AV287" t="s">
        <v>221</v>
      </c>
      <c r="AW287" t="s">
        <v>884</v>
      </c>
      <c r="AX287" t="s">
        <v>222</v>
      </c>
      <c r="BA287" s="57">
        <v>46267.333333333336</v>
      </c>
      <c r="BB287" t="s">
        <v>1371</v>
      </c>
      <c r="BC287">
        <v>2026</v>
      </c>
      <c r="BD287">
        <v>9</v>
      </c>
      <c r="BE287">
        <v>2</v>
      </c>
      <c r="BF287" s="6">
        <f t="shared" si="12"/>
        <v>46267</v>
      </c>
      <c r="BG287">
        <f t="shared" si="13"/>
        <v>-0.33333333333575865</v>
      </c>
      <c r="BH287" t="str">
        <f t="shared" si="14"/>
        <v>COMPLY</v>
      </c>
      <c r="BI287" t="str">
        <f>VLOOKUP(H287,Sheet2!$A$1:$B$270,2,FALSE)</f>
        <v>SURABAYA SELATAN</v>
      </c>
    </row>
    <row r="288" spans="1:61">
      <c r="A288">
        <v>287</v>
      </c>
      <c r="B288">
        <v>1002564751</v>
      </c>
      <c r="C288">
        <v>3</v>
      </c>
      <c r="D288" t="s">
        <v>42</v>
      </c>
      <c r="E288">
        <v>5</v>
      </c>
      <c r="F288" t="s">
        <v>232</v>
      </c>
      <c r="G288" t="s">
        <v>103</v>
      </c>
      <c r="H288" t="s">
        <v>294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46266.439259259256</v>
      </c>
      <c r="P288" s="57">
        <v>46266.69866898148</v>
      </c>
      <c r="Q288">
        <v>69381304</v>
      </c>
      <c r="S288">
        <v>152319208063</v>
      </c>
      <c r="T288" t="s">
        <v>1439</v>
      </c>
      <c r="U288" t="s">
        <v>1440</v>
      </c>
      <c r="V288" t="s">
        <v>1441</v>
      </c>
      <c r="Z288">
        <v>112.34956579999999</v>
      </c>
      <c r="AA288">
        <v>-7.5649582000000004</v>
      </c>
      <c r="AB288" t="s">
        <v>1442</v>
      </c>
      <c r="AC288" t="s">
        <v>229</v>
      </c>
      <c r="AL288" t="s">
        <v>217</v>
      </c>
      <c r="AM288" t="s">
        <v>1443</v>
      </c>
      <c r="AN288" t="s">
        <v>6</v>
      </c>
      <c r="AO288" s="57">
        <v>46031.444409722222</v>
      </c>
      <c r="AP288" s="57">
        <v>46267.458333333336</v>
      </c>
      <c r="AR288" t="s">
        <v>218</v>
      </c>
      <c r="AS288" t="s">
        <v>103</v>
      </c>
      <c r="AT288" t="s">
        <v>230</v>
      </c>
      <c r="AU288">
        <v>20260901</v>
      </c>
      <c r="AV288" t="s">
        <v>221</v>
      </c>
      <c r="AW288" t="s">
        <v>545</v>
      </c>
      <c r="AX288" t="s">
        <v>222</v>
      </c>
      <c r="BA288" s="57">
        <v>46267.458333333336</v>
      </c>
      <c r="BB288" t="s">
        <v>1443</v>
      </c>
      <c r="BC288">
        <v>2026</v>
      </c>
      <c r="BD288">
        <v>9</v>
      </c>
      <c r="BE288">
        <v>1</v>
      </c>
      <c r="BF288" s="6">
        <f t="shared" si="12"/>
        <v>46266</v>
      </c>
      <c r="BG288">
        <f t="shared" si="13"/>
        <v>-1.4583333333357587</v>
      </c>
      <c r="BH288" t="str">
        <f t="shared" si="14"/>
        <v>COMPLY</v>
      </c>
      <c r="BI288" t="str">
        <f>VLOOKUP(H288,Sheet2!$A$1:$B$270,2,FALSE)</f>
        <v>MOJOKERTO</v>
      </c>
    </row>
    <row r="289" spans="1:61">
      <c r="A289">
        <v>288</v>
      </c>
      <c r="B289">
        <v>1002564376</v>
      </c>
      <c r="C289">
        <v>3</v>
      </c>
      <c r="D289" t="s">
        <v>51</v>
      </c>
      <c r="E289">
        <v>4</v>
      </c>
      <c r="F289" t="s">
        <v>269</v>
      </c>
      <c r="G289" t="s">
        <v>823</v>
      </c>
      <c r="H289" t="s">
        <v>871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46266.392905092594</v>
      </c>
      <c r="P289" s="57">
        <v>46266.611898148149</v>
      </c>
      <c r="Q289">
        <v>69379400</v>
      </c>
      <c r="S289">
        <v>142539117950</v>
      </c>
      <c r="T289" t="s">
        <v>998</v>
      </c>
      <c r="U289" t="s">
        <v>1444</v>
      </c>
      <c r="V289" t="s">
        <v>1445</v>
      </c>
      <c r="Z289">
        <v>110.665736361276</v>
      </c>
      <c r="AA289">
        <v>-6.5372442790072096</v>
      </c>
      <c r="AB289" t="s">
        <v>999</v>
      </c>
      <c r="AC289" t="s">
        <v>216</v>
      </c>
      <c r="AL289" t="s">
        <v>217</v>
      </c>
      <c r="AM289" t="s">
        <v>1446</v>
      </c>
      <c r="AN289" t="s">
        <v>6</v>
      </c>
      <c r="AO289" s="57">
        <v>46031.402905092589</v>
      </c>
      <c r="AR289" t="s">
        <v>218</v>
      </c>
      <c r="AS289" t="s">
        <v>219</v>
      </c>
      <c r="AT289" t="s">
        <v>230</v>
      </c>
      <c r="AU289">
        <v>20260901</v>
      </c>
      <c r="AV289" t="s">
        <v>221</v>
      </c>
      <c r="AW289" t="s">
        <v>544</v>
      </c>
      <c r="AX289" t="s">
        <v>222</v>
      </c>
      <c r="BA289" s="57">
        <v>46266.291666666664</v>
      </c>
      <c r="BB289" t="s">
        <v>1446</v>
      </c>
      <c r="BC289">
        <v>2026</v>
      </c>
      <c r="BD289">
        <v>9</v>
      </c>
      <c r="BE289">
        <v>1</v>
      </c>
      <c r="BF289" s="6">
        <f t="shared" si="12"/>
        <v>46266</v>
      </c>
      <c r="BG289">
        <f t="shared" si="13"/>
        <v>-0.29166666666424135</v>
      </c>
      <c r="BH289" t="str">
        <f t="shared" si="14"/>
        <v>COMPLY</v>
      </c>
      <c r="BI289" t="e">
        <f>VLOOKUP(H289,Sheet2!$A$1:$B$270,2,FALSE)</f>
        <v>#N/A</v>
      </c>
    </row>
    <row r="290" spans="1:61">
      <c r="A290">
        <v>289</v>
      </c>
      <c r="B290">
        <v>1002564818</v>
      </c>
      <c r="C290">
        <v>3</v>
      </c>
      <c r="D290" t="s">
        <v>59</v>
      </c>
      <c r="E290">
        <v>4</v>
      </c>
      <c r="F290" t="s">
        <v>242</v>
      </c>
      <c r="G290" t="s">
        <v>542</v>
      </c>
      <c r="H290" t="s">
        <v>846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46266.447870370372</v>
      </c>
      <c r="P290" s="57">
        <v>46267.503321759257</v>
      </c>
      <c r="Q290">
        <v>69381321</v>
      </c>
      <c r="S290">
        <v>142141120250</v>
      </c>
      <c r="T290" t="s">
        <v>1113</v>
      </c>
      <c r="U290" t="s">
        <v>1114</v>
      </c>
      <c r="V290" t="s">
        <v>1115</v>
      </c>
      <c r="Z290">
        <v>109.61434250000001</v>
      </c>
      <c r="AA290">
        <v>-7.7214121999999996</v>
      </c>
      <c r="AB290" t="s">
        <v>1116</v>
      </c>
      <c r="AC290" t="s">
        <v>236</v>
      </c>
      <c r="AL290" t="s">
        <v>217</v>
      </c>
      <c r="AM290" t="s">
        <v>1117</v>
      </c>
      <c r="AN290" t="s">
        <v>6</v>
      </c>
      <c r="AO290" s="57">
        <v>46031.454826388886</v>
      </c>
      <c r="AP290" s="57">
        <v>46267.333333333336</v>
      </c>
      <c r="AR290" t="s">
        <v>218</v>
      </c>
      <c r="AS290" t="s">
        <v>219</v>
      </c>
      <c r="AT290" t="s">
        <v>230</v>
      </c>
      <c r="AU290">
        <v>20260902</v>
      </c>
      <c r="AV290" t="s">
        <v>221</v>
      </c>
      <c r="AW290" t="s">
        <v>890</v>
      </c>
      <c r="AX290" t="s">
        <v>222</v>
      </c>
      <c r="BA290" s="57">
        <v>46267.333333333336</v>
      </c>
      <c r="BB290" t="s">
        <v>1117</v>
      </c>
      <c r="BC290">
        <v>2026</v>
      </c>
      <c r="BD290">
        <v>9</v>
      </c>
      <c r="BE290">
        <v>2</v>
      </c>
      <c r="BF290" s="6">
        <f t="shared" si="12"/>
        <v>46267</v>
      </c>
      <c r="BG290">
        <f t="shared" si="13"/>
        <v>-0.33333333333575865</v>
      </c>
      <c r="BH290" t="str">
        <f t="shared" si="14"/>
        <v>COMPLY</v>
      </c>
      <c r="BI290" t="e">
        <f>VLOOKUP(H290,Sheet2!$A$1:$B$270,2,FALSE)</f>
        <v>#N/A</v>
      </c>
    </row>
    <row r="291" spans="1:61">
      <c r="A291">
        <v>290</v>
      </c>
      <c r="B291">
        <v>1002566468</v>
      </c>
      <c r="C291">
        <v>3</v>
      </c>
      <c r="D291" t="s">
        <v>42</v>
      </c>
      <c r="E291">
        <v>5</v>
      </c>
      <c r="F291" t="s">
        <v>102</v>
      </c>
      <c r="G291" t="s">
        <v>102</v>
      </c>
      <c r="H291" t="s">
        <v>362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46266.770821759259</v>
      </c>
      <c r="P291" s="57">
        <v>46267.61986111111</v>
      </c>
      <c r="Q291">
        <v>69381852</v>
      </c>
      <c r="S291">
        <v>152501280958</v>
      </c>
      <c r="T291" t="s">
        <v>1118</v>
      </c>
      <c r="U291" t="s">
        <v>1119</v>
      </c>
      <c r="V291" t="s">
        <v>1120</v>
      </c>
      <c r="Z291">
        <v>113.672512</v>
      </c>
      <c r="AA291">
        <v>-8.1785209999999999</v>
      </c>
      <c r="AB291" t="s">
        <v>1121</v>
      </c>
      <c r="AC291" t="s">
        <v>236</v>
      </c>
      <c r="AL291" t="s">
        <v>217</v>
      </c>
      <c r="AM291" t="s">
        <v>1122</v>
      </c>
      <c r="AN291" t="s">
        <v>6</v>
      </c>
      <c r="AO291" s="57">
        <v>46031.777754629627</v>
      </c>
      <c r="AP291" s="57">
        <v>46267.625</v>
      </c>
      <c r="AR291" t="s">
        <v>218</v>
      </c>
      <c r="AS291" t="s">
        <v>102</v>
      </c>
      <c r="AT291" t="s">
        <v>230</v>
      </c>
      <c r="AU291">
        <v>20260902</v>
      </c>
      <c r="AV291" t="s">
        <v>221</v>
      </c>
      <c r="AW291" t="s">
        <v>887</v>
      </c>
      <c r="AX291" t="s">
        <v>222</v>
      </c>
      <c r="BA291" s="57">
        <v>46267.625</v>
      </c>
      <c r="BB291" t="s">
        <v>1122</v>
      </c>
      <c r="BC291">
        <v>2026</v>
      </c>
      <c r="BD291">
        <v>9</v>
      </c>
      <c r="BE291">
        <v>2</v>
      </c>
      <c r="BF291" s="6">
        <f t="shared" si="12"/>
        <v>46267</v>
      </c>
      <c r="BG291">
        <f t="shared" si="13"/>
        <v>-0.625</v>
      </c>
      <c r="BH291" t="str">
        <f t="shared" si="14"/>
        <v>COMPLY</v>
      </c>
      <c r="BI291" t="str">
        <f>VLOOKUP(H291,Sheet2!$A$1:$B$270,2,FALSE)</f>
        <v>JEMBER</v>
      </c>
    </row>
    <row r="292" spans="1:61">
      <c r="A292">
        <v>291</v>
      </c>
      <c r="B292">
        <v>1002566497</v>
      </c>
      <c r="C292">
        <v>3</v>
      </c>
      <c r="D292" t="s">
        <v>45</v>
      </c>
      <c r="E292">
        <v>5</v>
      </c>
      <c r="F292" t="s">
        <v>113</v>
      </c>
      <c r="G292" t="s">
        <v>113</v>
      </c>
      <c r="H292" t="s">
        <v>404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46266.800023148149</v>
      </c>
      <c r="P292" s="57">
        <v>46268.651585648149</v>
      </c>
      <c r="Q292">
        <v>69381866</v>
      </c>
      <c r="S292">
        <v>172522660839</v>
      </c>
      <c r="T292" t="s">
        <v>932</v>
      </c>
      <c r="U292" t="s">
        <v>933</v>
      </c>
      <c r="V292" t="s">
        <v>1123</v>
      </c>
      <c r="Z292">
        <v>123.06012080000001</v>
      </c>
      <c r="AA292">
        <v>-10.751958999999999</v>
      </c>
      <c r="AB292" t="s">
        <v>1124</v>
      </c>
      <c r="AC292" t="s">
        <v>236</v>
      </c>
      <c r="AL292" t="s">
        <v>217</v>
      </c>
      <c r="AM292" t="s">
        <v>1125</v>
      </c>
      <c r="AN292" t="s">
        <v>6</v>
      </c>
      <c r="AO292" s="57">
        <v>46031.809212962966</v>
      </c>
      <c r="AP292" s="57">
        <v>46268.333333333336</v>
      </c>
      <c r="AR292" t="s">
        <v>218</v>
      </c>
      <c r="AS292" t="s">
        <v>219</v>
      </c>
      <c r="AT292" t="s">
        <v>220</v>
      </c>
      <c r="AU292">
        <v>20260903</v>
      </c>
      <c r="AV292" t="s">
        <v>221</v>
      </c>
      <c r="AW292" t="s">
        <v>881</v>
      </c>
      <c r="AX292" t="s">
        <v>222</v>
      </c>
      <c r="BA292" s="57">
        <v>46268.333333333336</v>
      </c>
      <c r="BB292" t="s">
        <v>1125</v>
      </c>
      <c r="BC292">
        <v>2026</v>
      </c>
      <c r="BD292">
        <v>9</v>
      </c>
      <c r="BE292">
        <v>3</v>
      </c>
      <c r="BF292" s="6">
        <f t="shared" si="12"/>
        <v>46268</v>
      </c>
      <c r="BG292">
        <f t="shared" si="13"/>
        <v>-0.33333333333575865</v>
      </c>
      <c r="BH292" t="str">
        <f t="shared" si="14"/>
        <v>COMPLY</v>
      </c>
      <c r="BI292" t="str">
        <f>VLOOKUP(H292,Sheet2!$A$1:$B$270,2,FALSE)</f>
        <v>KUPANG</v>
      </c>
    </row>
    <row r="293" spans="1:61">
      <c r="A293">
        <v>292</v>
      </c>
      <c r="B293">
        <v>1002566472</v>
      </c>
      <c r="C293">
        <v>3</v>
      </c>
      <c r="D293" t="s">
        <v>51</v>
      </c>
      <c r="E293">
        <v>4</v>
      </c>
      <c r="F293" t="s">
        <v>269</v>
      </c>
      <c r="G293" t="s">
        <v>551</v>
      </c>
      <c r="H293" t="s">
        <v>597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46266.774953703702</v>
      </c>
      <c r="P293" s="57">
        <v>46267.693356481483</v>
      </c>
      <c r="Q293">
        <v>69381854</v>
      </c>
      <c r="S293">
        <v>146516109249</v>
      </c>
      <c r="T293" t="s">
        <v>1126</v>
      </c>
      <c r="U293" t="s">
        <v>1127</v>
      </c>
      <c r="V293" t="s">
        <v>1131</v>
      </c>
      <c r="Z293">
        <v>110.669185</v>
      </c>
      <c r="AA293">
        <v>-7.0584210000000001</v>
      </c>
      <c r="AB293" t="s">
        <v>1132</v>
      </c>
      <c r="AC293" t="s">
        <v>236</v>
      </c>
      <c r="AL293" t="s">
        <v>217</v>
      </c>
      <c r="AM293" t="s">
        <v>1133</v>
      </c>
      <c r="AN293" t="s">
        <v>6</v>
      </c>
      <c r="AO293" s="57">
        <v>46031.777754629627</v>
      </c>
      <c r="AP293" s="57">
        <v>46267.625</v>
      </c>
      <c r="AR293" t="s">
        <v>218</v>
      </c>
      <c r="AS293" t="s">
        <v>913</v>
      </c>
      <c r="AT293" t="s">
        <v>230</v>
      </c>
      <c r="AU293">
        <v>20260902</v>
      </c>
      <c r="AV293" t="s">
        <v>221</v>
      </c>
      <c r="AW293" t="s">
        <v>887</v>
      </c>
      <c r="AX293" t="s">
        <v>222</v>
      </c>
      <c r="BA293" s="57">
        <v>46267.625</v>
      </c>
      <c r="BB293" t="s">
        <v>1133</v>
      </c>
      <c r="BC293">
        <v>2026</v>
      </c>
      <c r="BD293">
        <v>9</v>
      </c>
      <c r="BE293">
        <v>2</v>
      </c>
      <c r="BF293" s="6">
        <f t="shared" si="12"/>
        <v>46267</v>
      </c>
      <c r="BG293">
        <f t="shared" si="13"/>
        <v>-0.625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1002565810</v>
      </c>
      <c r="C294">
        <v>3</v>
      </c>
      <c r="D294" t="s">
        <v>42</v>
      </c>
      <c r="E294">
        <v>5</v>
      </c>
      <c r="F294" t="s">
        <v>102</v>
      </c>
      <c r="G294" t="s">
        <v>99</v>
      </c>
      <c r="H294" t="s">
        <v>450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46266.624965277777</v>
      </c>
      <c r="P294" s="57">
        <v>46267.711458333331</v>
      </c>
      <c r="Q294">
        <v>69381617</v>
      </c>
      <c r="S294">
        <v>152518202018</v>
      </c>
      <c r="T294" t="s">
        <v>928</v>
      </c>
      <c r="U294" t="s">
        <v>1134</v>
      </c>
      <c r="V294" t="s">
        <v>1135</v>
      </c>
      <c r="Z294">
        <v>114.38845310000001</v>
      </c>
      <c r="AA294">
        <v>-7.9216124999999904</v>
      </c>
      <c r="AB294" t="s">
        <v>1136</v>
      </c>
      <c r="AC294" t="s">
        <v>216</v>
      </c>
      <c r="AL294" t="s">
        <v>217</v>
      </c>
      <c r="AM294" t="s">
        <v>1137</v>
      </c>
      <c r="AN294" t="s">
        <v>6</v>
      </c>
      <c r="AO294" s="57">
        <v>46031.631921296299</v>
      </c>
      <c r="AP294" s="57">
        <v>46267.541666666664</v>
      </c>
      <c r="AR294" t="s">
        <v>218</v>
      </c>
      <c r="AS294" t="s">
        <v>99</v>
      </c>
      <c r="AT294" t="s">
        <v>220</v>
      </c>
      <c r="AU294">
        <v>20260902</v>
      </c>
      <c r="AV294" t="s">
        <v>221</v>
      </c>
      <c r="AW294" t="s">
        <v>853</v>
      </c>
      <c r="AX294" t="s">
        <v>222</v>
      </c>
      <c r="BA294" s="57">
        <v>46267.541666666664</v>
      </c>
      <c r="BB294" t="s">
        <v>1137</v>
      </c>
      <c r="BC294">
        <v>2026</v>
      </c>
      <c r="BD294">
        <v>9</v>
      </c>
      <c r="BE294">
        <v>2</v>
      </c>
      <c r="BF294" s="6">
        <f t="shared" si="12"/>
        <v>46267</v>
      </c>
      <c r="BG294">
        <f t="shared" si="13"/>
        <v>-0.54166666666424135</v>
      </c>
      <c r="BH294" t="str">
        <f t="shared" si="14"/>
        <v>COMPLY</v>
      </c>
      <c r="BI294" t="str">
        <f>VLOOKUP(H294,Sheet2!$A$1:$B$270,2,FALSE)</f>
        <v>BANYUWANGI</v>
      </c>
    </row>
    <row r="295" spans="1:61">
      <c r="A295">
        <v>294</v>
      </c>
      <c r="B295">
        <v>1002565759</v>
      </c>
      <c r="C295">
        <v>3</v>
      </c>
      <c r="D295" t="s">
        <v>51</v>
      </c>
      <c r="E295">
        <v>4</v>
      </c>
      <c r="F295" t="s">
        <v>234</v>
      </c>
      <c r="G295" t="s">
        <v>562</v>
      </c>
      <c r="H295" t="s">
        <v>848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46266.616631944446</v>
      </c>
      <c r="P295" s="57">
        <v>46267.821064814816</v>
      </c>
      <c r="Q295">
        <v>69381629</v>
      </c>
      <c r="S295">
        <v>146514602773</v>
      </c>
      <c r="T295" t="s">
        <v>1138</v>
      </c>
      <c r="U295" t="s">
        <v>1139</v>
      </c>
      <c r="V295" t="s">
        <v>1140</v>
      </c>
      <c r="Z295">
        <v>110.86271000000001</v>
      </c>
      <c r="AA295">
        <v>-7.5542189999999998</v>
      </c>
      <c r="AB295" t="s">
        <v>1141</v>
      </c>
      <c r="AC295" t="s">
        <v>236</v>
      </c>
      <c r="AL295" t="s">
        <v>217</v>
      </c>
      <c r="AM295" t="s">
        <v>1142</v>
      </c>
      <c r="AN295" t="s">
        <v>6</v>
      </c>
      <c r="AO295" s="57">
        <v>46031.621435185189</v>
      </c>
      <c r="AP295" s="57">
        <v>46267.541666666664</v>
      </c>
      <c r="AR295" t="s">
        <v>218</v>
      </c>
      <c r="AS295" t="s">
        <v>219</v>
      </c>
      <c r="AT295" t="s">
        <v>230</v>
      </c>
      <c r="AU295">
        <v>20260902</v>
      </c>
      <c r="AV295" t="s">
        <v>221</v>
      </c>
      <c r="AW295" t="s">
        <v>887</v>
      </c>
      <c r="AX295" t="s">
        <v>222</v>
      </c>
      <c r="BA295" s="57">
        <v>46267.541666666664</v>
      </c>
      <c r="BB295" t="s">
        <v>1142</v>
      </c>
      <c r="BC295">
        <v>2026</v>
      </c>
      <c r="BD295">
        <v>9</v>
      </c>
      <c r="BE295">
        <v>2</v>
      </c>
      <c r="BF295" s="6">
        <f t="shared" si="12"/>
        <v>46267</v>
      </c>
      <c r="BG295">
        <f t="shared" si="13"/>
        <v>-0.54166666666424135</v>
      </c>
      <c r="BH295" t="str">
        <f t="shared" si="14"/>
        <v>COMPLY</v>
      </c>
      <c r="BI295" t="e">
        <f>VLOOKUP(H295,Sheet2!$A$1:$B$270,2,FALSE)</f>
        <v>#N/A</v>
      </c>
    </row>
    <row r="296" spans="1:61">
      <c r="A296">
        <v>295</v>
      </c>
      <c r="B296">
        <v>1002565180</v>
      </c>
      <c r="C296">
        <v>3</v>
      </c>
      <c r="D296" t="s">
        <v>45</v>
      </c>
      <c r="E296">
        <v>5</v>
      </c>
      <c r="F296" t="s">
        <v>210</v>
      </c>
      <c r="G296" t="s">
        <v>115</v>
      </c>
      <c r="H296" t="s">
        <v>273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46266.501782407409</v>
      </c>
      <c r="P296" s="57">
        <v>46267.470810185187</v>
      </c>
      <c r="Q296">
        <v>69378774</v>
      </c>
      <c r="S296">
        <v>172603791812</v>
      </c>
      <c r="T296" t="s">
        <v>1019</v>
      </c>
      <c r="U296" t="s">
        <v>1385</v>
      </c>
      <c r="V296" t="s">
        <v>1386</v>
      </c>
      <c r="Z296">
        <v>116.28367710000001</v>
      </c>
      <c r="AA296">
        <v>-8.8907635000000003</v>
      </c>
      <c r="AB296" t="s">
        <v>1020</v>
      </c>
      <c r="AC296" t="s">
        <v>216</v>
      </c>
      <c r="AL296" t="s">
        <v>217</v>
      </c>
      <c r="AM296" t="s">
        <v>1387</v>
      </c>
      <c r="AN296" t="s">
        <v>6</v>
      </c>
      <c r="AO296" s="57">
        <v>46031.506874999999</v>
      </c>
      <c r="AR296" t="s">
        <v>218</v>
      </c>
      <c r="AS296" t="s">
        <v>901</v>
      </c>
      <c r="AT296" t="s">
        <v>230</v>
      </c>
      <c r="AU296">
        <v>20260902</v>
      </c>
      <c r="AV296" t="s">
        <v>221</v>
      </c>
      <c r="AW296" t="s">
        <v>545</v>
      </c>
      <c r="AX296" t="s">
        <v>222</v>
      </c>
      <c r="BA296" s="57">
        <v>46266.291666666664</v>
      </c>
      <c r="BB296" t="s">
        <v>1387</v>
      </c>
      <c r="BC296">
        <v>2026</v>
      </c>
      <c r="BD296">
        <v>9</v>
      </c>
      <c r="BE296">
        <v>2</v>
      </c>
      <c r="BF296" s="6">
        <f t="shared" si="12"/>
        <v>46267</v>
      </c>
      <c r="BG296">
        <f t="shared" si="13"/>
        <v>0.70833333333575865</v>
      </c>
      <c r="BH296" t="str">
        <f t="shared" si="14"/>
        <v>COMPLY</v>
      </c>
      <c r="BI296" t="str">
        <f>VLOOKUP(H296,Sheet2!$A$1:$B$270,2,FALSE)</f>
        <v>SELONG</v>
      </c>
    </row>
    <row r="297" spans="1:61">
      <c r="A297">
        <v>296</v>
      </c>
      <c r="B297">
        <v>1002565851</v>
      </c>
      <c r="C297">
        <v>3</v>
      </c>
      <c r="D297" t="s">
        <v>59</v>
      </c>
      <c r="E297">
        <v>4</v>
      </c>
      <c r="F297" t="s">
        <v>549</v>
      </c>
      <c r="G297" t="s">
        <v>582</v>
      </c>
      <c r="H297" t="s">
        <v>841</v>
      </c>
      <c r="I297" t="s">
        <v>212</v>
      </c>
      <c r="J297" t="s">
        <v>213</v>
      </c>
      <c r="K297" t="s">
        <v>149</v>
      </c>
      <c r="M297" t="s">
        <v>76</v>
      </c>
      <c r="N297" t="s">
        <v>215</v>
      </c>
      <c r="O297" s="57">
        <v>46266.631423611114</v>
      </c>
      <c r="P297" s="57">
        <v>46266.680821759262</v>
      </c>
      <c r="Q297">
        <v>69375430</v>
      </c>
      <c r="S297">
        <v>143132123703</v>
      </c>
      <c r="T297" t="s">
        <v>938</v>
      </c>
      <c r="U297" t="s">
        <v>1447</v>
      </c>
      <c r="V297" t="s">
        <v>1448</v>
      </c>
      <c r="Z297">
        <v>110.43269342918499</v>
      </c>
      <c r="AA297">
        <v>-7.8331409517625099</v>
      </c>
      <c r="AB297" t="s">
        <v>939</v>
      </c>
      <c r="AC297" t="s">
        <v>284</v>
      </c>
      <c r="AL297" t="s">
        <v>217</v>
      </c>
      <c r="AM297" t="s">
        <v>1449</v>
      </c>
      <c r="AN297" t="s">
        <v>6</v>
      </c>
      <c r="AO297" s="57">
        <v>46031.631921296299</v>
      </c>
      <c r="AR297" t="s">
        <v>218</v>
      </c>
      <c r="AS297" t="s">
        <v>916</v>
      </c>
      <c r="AT297" t="s">
        <v>230</v>
      </c>
      <c r="AU297">
        <v>20260901</v>
      </c>
      <c r="AV297" t="s">
        <v>221</v>
      </c>
      <c r="AW297" t="s">
        <v>571</v>
      </c>
      <c r="AX297" t="s">
        <v>222</v>
      </c>
      <c r="BA297" s="57">
        <v>46266.291666666664</v>
      </c>
      <c r="BB297" t="s">
        <v>1449</v>
      </c>
      <c r="BC297">
        <v>2026</v>
      </c>
      <c r="BD297">
        <v>9</v>
      </c>
      <c r="BE297">
        <v>1</v>
      </c>
      <c r="BF297" s="6">
        <f t="shared" si="12"/>
        <v>46266</v>
      </c>
      <c r="BG297">
        <f t="shared" si="13"/>
        <v>-0.29166666666424135</v>
      </c>
      <c r="BH297" t="str">
        <f t="shared" si="14"/>
        <v>COMPLY</v>
      </c>
      <c r="BI297" t="e">
        <f>VLOOKUP(H297,Sheet2!$A$1:$B$270,2,FALSE)</f>
        <v>#N/A</v>
      </c>
    </row>
    <row r="298" spans="1:61">
      <c r="A298">
        <v>297</v>
      </c>
      <c r="B298">
        <v>1002565160</v>
      </c>
      <c r="C298">
        <v>3</v>
      </c>
      <c r="D298" t="s">
        <v>55</v>
      </c>
      <c r="E298">
        <v>5</v>
      </c>
      <c r="F298" t="s">
        <v>261</v>
      </c>
      <c r="G298" t="s">
        <v>126</v>
      </c>
      <c r="H298" t="s">
        <v>262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46266.498518518521</v>
      </c>
      <c r="P298" s="57">
        <v>46266.576226851852</v>
      </c>
      <c r="Q298">
        <v>69380063</v>
      </c>
      <c r="S298">
        <v>152413167467</v>
      </c>
      <c r="T298" t="s">
        <v>982</v>
      </c>
      <c r="U298" t="s">
        <v>898</v>
      </c>
      <c r="V298" t="s">
        <v>1450</v>
      </c>
      <c r="Z298">
        <v>112.733196051937</v>
      </c>
      <c r="AA298">
        <v>-7.2537710348810096</v>
      </c>
      <c r="AB298" t="s">
        <v>983</v>
      </c>
      <c r="AC298" t="s">
        <v>216</v>
      </c>
      <c r="AL298" t="s">
        <v>217</v>
      </c>
      <c r="AM298" t="s">
        <v>1451</v>
      </c>
      <c r="AN298" t="s">
        <v>6</v>
      </c>
      <c r="AO298" s="57">
        <v>46031.506874999999</v>
      </c>
      <c r="AR298" t="s">
        <v>218</v>
      </c>
      <c r="AS298" t="s">
        <v>575</v>
      </c>
      <c r="AT298" t="s">
        <v>230</v>
      </c>
      <c r="AU298">
        <v>20260901</v>
      </c>
      <c r="AV298" t="s">
        <v>221</v>
      </c>
      <c r="AW298" t="s">
        <v>572</v>
      </c>
      <c r="AX298" t="s">
        <v>222</v>
      </c>
      <c r="BA298" s="57">
        <v>46266.291666666664</v>
      </c>
      <c r="BB298" t="s">
        <v>1451</v>
      </c>
      <c r="BC298">
        <v>2026</v>
      </c>
      <c r="BD298">
        <v>9</v>
      </c>
      <c r="BE298">
        <v>1</v>
      </c>
      <c r="BF298" s="6">
        <f t="shared" si="12"/>
        <v>46266</v>
      </c>
      <c r="BG298">
        <f t="shared" si="13"/>
        <v>-0.29166666666424135</v>
      </c>
      <c r="BH298" t="str">
        <f t="shared" si="14"/>
        <v>COMPLY</v>
      </c>
      <c r="BI298" t="str">
        <f>VLOOKUP(H298,Sheet2!$A$1:$B$270,2,FALSE)</f>
        <v>SURABAYA SELATAN</v>
      </c>
    </row>
    <row r="299" spans="1:61">
      <c r="A299">
        <v>298</v>
      </c>
      <c r="B299">
        <v>1002565854</v>
      </c>
      <c r="C299">
        <v>3</v>
      </c>
      <c r="D299" t="s">
        <v>49</v>
      </c>
      <c r="E299">
        <v>4</v>
      </c>
      <c r="F299" t="s">
        <v>250</v>
      </c>
      <c r="G299" t="s">
        <v>253</v>
      </c>
      <c r="H299" t="s">
        <v>821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46266.631203703706</v>
      </c>
      <c r="P299" s="57">
        <v>46267.568703703706</v>
      </c>
      <c r="Q299">
        <v>69381654</v>
      </c>
      <c r="S299">
        <v>142206131379</v>
      </c>
      <c r="T299" t="s">
        <v>1143</v>
      </c>
      <c r="U299" t="s">
        <v>859</v>
      </c>
      <c r="V299" t="s">
        <v>1144</v>
      </c>
      <c r="Z299">
        <v>109.08651988953299</v>
      </c>
      <c r="AA299">
        <v>-7.0883428813953202</v>
      </c>
      <c r="AB299" t="s">
        <v>1145</v>
      </c>
      <c r="AC299" t="s">
        <v>216</v>
      </c>
      <c r="AL299" t="s">
        <v>217</v>
      </c>
      <c r="AM299" t="s">
        <v>1146</v>
      </c>
      <c r="AN299" t="s">
        <v>6</v>
      </c>
      <c r="AO299" s="57">
        <v>46031.631921296299</v>
      </c>
      <c r="AP299" s="57">
        <v>46267.541666666664</v>
      </c>
      <c r="AR299" t="s">
        <v>218</v>
      </c>
      <c r="AS299" t="s">
        <v>219</v>
      </c>
      <c r="AT299" t="s">
        <v>230</v>
      </c>
      <c r="AU299">
        <v>20260902</v>
      </c>
      <c r="AV299" t="s">
        <v>221</v>
      </c>
      <c r="AW299" t="s">
        <v>885</v>
      </c>
      <c r="AX299" t="s">
        <v>222</v>
      </c>
      <c r="BA299" s="57">
        <v>46267.541666666664</v>
      </c>
      <c r="BB299" t="s">
        <v>1146</v>
      </c>
      <c r="BC299">
        <v>2026</v>
      </c>
      <c r="BD299">
        <v>9</v>
      </c>
      <c r="BE299">
        <v>2</v>
      </c>
      <c r="BF299" s="6">
        <f t="shared" si="12"/>
        <v>46267</v>
      </c>
      <c r="BG299">
        <f t="shared" si="13"/>
        <v>-0.54166666666424135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299</v>
      </c>
      <c r="B300">
        <v>1002565843</v>
      </c>
      <c r="C300">
        <v>3</v>
      </c>
      <c r="D300" t="s">
        <v>42</v>
      </c>
      <c r="E300">
        <v>5</v>
      </c>
      <c r="F300" t="s">
        <v>232</v>
      </c>
      <c r="G300" t="s">
        <v>101</v>
      </c>
      <c r="H300" t="s">
        <v>233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46266.630925925929</v>
      </c>
      <c r="P300" s="57">
        <v>46268.67046296296</v>
      </c>
      <c r="Q300">
        <v>69381650</v>
      </c>
      <c r="S300">
        <v>152327226522</v>
      </c>
      <c r="T300" t="s">
        <v>1147</v>
      </c>
      <c r="U300" t="s">
        <v>1148</v>
      </c>
      <c r="V300" t="s">
        <v>1149</v>
      </c>
      <c r="Z300">
        <v>112.6471193</v>
      </c>
      <c r="AA300">
        <v>-7.4807923000000001</v>
      </c>
      <c r="AB300" t="s">
        <v>1150</v>
      </c>
      <c r="AC300" t="s">
        <v>229</v>
      </c>
      <c r="AL300" t="s">
        <v>217</v>
      </c>
      <c r="AM300" t="s">
        <v>1151</v>
      </c>
      <c r="AN300" t="s">
        <v>6</v>
      </c>
      <c r="AO300" s="57">
        <v>46031.631921296299</v>
      </c>
      <c r="AP300" s="57">
        <v>46267.625</v>
      </c>
      <c r="AR300" t="s">
        <v>218</v>
      </c>
      <c r="AS300" t="s">
        <v>770</v>
      </c>
      <c r="AT300" t="s">
        <v>220</v>
      </c>
      <c r="AU300">
        <v>20260903</v>
      </c>
      <c r="AV300" t="s">
        <v>221</v>
      </c>
      <c r="AW300" t="s">
        <v>598</v>
      </c>
      <c r="AX300" t="s">
        <v>222</v>
      </c>
      <c r="BA300" s="57">
        <v>46267.625</v>
      </c>
      <c r="BB300" t="s">
        <v>1151</v>
      </c>
      <c r="BC300">
        <v>2026</v>
      </c>
      <c r="BD300">
        <v>9</v>
      </c>
      <c r="BE300">
        <v>3</v>
      </c>
      <c r="BF300" s="6">
        <f t="shared" si="12"/>
        <v>46268</v>
      </c>
      <c r="BG300">
        <f t="shared" si="13"/>
        <v>0.375</v>
      </c>
      <c r="BH300" t="str">
        <f t="shared" si="14"/>
        <v>COMPLY</v>
      </c>
      <c r="BI300" t="str">
        <f>VLOOKUP(H300,Sheet2!$A$1:$B$270,2,FALSE)</f>
        <v>SIDOARJO</v>
      </c>
    </row>
    <row r="301" spans="1:61">
      <c r="A301">
        <v>300</v>
      </c>
      <c r="B301">
        <v>1002566045</v>
      </c>
      <c r="C301">
        <v>3</v>
      </c>
      <c r="D301" t="s">
        <v>51</v>
      </c>
      <c r="E301">
        <v>4</v>
      </c>
      <c r="F301" t="s">
        <v>269</v>
      </c>
      <c r="G301" t="s">
        <v>269</v>
      </c>
      <c r="H301" t="s">
        <v>839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46266.655324074076</v>
      </c>
      <c r="P301" s="57">
        <v>46267.392291666663</v>
      </c>
      <c r="Q301">
        <v>69376231</v>
      </c>
      <c r="S301">
        <v>142401146170</v>
      </c>
      <c r="T301" t="s">
        <v>945</v>
      </c>
      <c r="U301" t="s">
        <v>1388</v>
      </c>
      <c r="V301" t="s">
        <v>1389</v>
      </c>
      <c r="Z301">
        <v>110.85576696</v>
      </c>
      <c r="AA301">
        <v>-6.7977829779999999</v>
      </c>
      <c r="AB301" t="s">
        <v>946</v>
      </c>
      <c r="AC301" t="s">
        <v>284</v>
      </c>
      <c r="AL301" t="s">
        <v>217</v>
      </c>
      <c r="AM301" t="s">
        <v>1390</v>
      </c>
      <c r="AN301" t="s">
        <v>6</v>
      </c>
      <c r="AO301" s="57">
        <v>46031.663206018522</v>
      </c>
      <c r="AR301" t="s">
        <v>218</v>
      </c>
      <c r="AS301" t="s">
        <v>219</v>
      </c>
      <c r="AT301" t="s">
        <v>230</v>
      </c>
      <c r="AU301">
        <v>20260902</v>
      </c>
      <c r="AV301" t="s">
        <v>221</v>
      </c>
      <c r="AW301" t="s">
        <v>572</v>
      </c>
      <c r="AX301" t="s">
        <v>222</v>
      </c>
      <c r="BA301" s="57">
        <v>46266.291666666664</v>
      </c>
      <c r="BB301" t="s">
        <v>1390</v>
      </c>
      <c r="BC301">
        <v>2026</v>
      </c>
      <c r="BD301">
        <v>9</v>
      </c>
      <c r="BE301">
        <v>2</v>
      </c>
      <c r="BF301" s="6">
        <f t="shared" si="12"/>
        <v>46267</v>
      </c>
      <c r="BG301">
        <f t="shared" si="13"/>
        <v>0.70833333333575865</v>
      </c>
      <c r="BH301" t="str">
        <f t="shared" si="14"/>
        <v>COMPLY</v>
      </c>
      <c r="BI301" t="e">
        <f>VLOOKUP(H301,Sheet2!$A$1:$B$270,2,FALSE)</f>
        <v>#N/A</v>
      </c>
    </row>
    <row r="302" spans="1:61">
      <c r="A302">
        <v>301</v>
      </c>
      <c r="B302">
        <v>1002565201</v>
      </c>
      <c r="C302">
        <v>3</v>
      </c>
      <c r="D302" t="s">
        <v>51</v>
      </c>
      <c r="E302">
        <v>4</v>
      </c>
      <c r="F302" t="s">
        <v>269</v>
      </c>
      <c r="G302" t="s">
        <v>289</v>
      </c>
      <c r="H302" t="s">
        <v>824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46266.506909722222</v>
      </c>
      <c r="P302" s="57">
        <v>46267.583668981482</v>
      </c>
      <c r="Q302">
        <v>69381448</v>
      </c>
      <c r="S302">
        <v>142551119569</v>
      </c>
      <c r="T302" t="s">
        <v>1152</v>
      </c>
      <c r="U302" t="s">
        <v>1153</v>
      </c>
      <c r="V302" t="s">
        <v>1154</v>
      </c>
      <c r="Z302">
        <v>111.017602</v>
      </c>
      <c r="AA302">
        <v>-6.7608309999999996</v>
      </c>
      <c r="AB302" t="s">
        <v>1155</v>
      </c>
      <c r="AC302" t="s">
        <v>236</v>
      </c>
      <c r="AL302" t="s">
        <v>217</v>
      </c>
      <c r="AM302" t="s">
        <v>1156</v>
      </c>
      <c r="AN302" t="s">
        <v>6</v>
      </c>
      <c r="AO302" s="57">
        <v>46031.517465277779</v>
      </c>
      <c r="AP302" s="57">
        <v>46267.541666666664</v>
      </c>
      <c r="AR302" t="s">
        <v>218</v>
      </c>
      <c r="AS302" t="s">
        <v>219</v>
      </c>
      <c r="AT302" t="s">
        <v>230</v>
      </c>
      <c r="AU302">
        <v>20260902</v>
      </c>
      <c r="AV302" t="s">
        <v>221</v>
      </c>
      <c r="AW302" t="s">
        <v>882</v>
      </c>
      <c r="AX302" t="s">
        <v>222</v>
      </c>
      <c r="BA302" s="57">
        <v>46267.541666666664</v>
      </c>
      <c r="BB302" t="s">
        <v>1156</v>
      </c>
      <c r="BC302">
        <v>2026</v>
      </c>
      <c r="BD302">
        <v>9</v>
      </c>
      <c r="BE302">
        <v>2</v>
      </c>
      <c r="BF302" s="6">
        <f t="shared" si="12"/>
        <v>46267</v>
      </c>
      <c r="BG302">
        <f t="shared" si="13"/>
        <v>-0.54166666666424135</v>
      </c>
      <c r="BH302" t="str">
        <f t="shared" si="14"/>
        <v>COMPLY</v>
      </c>
      <c r="BI302" t="e">
        <f>VLOOKUP(H302,Sheet2!$A$1:$B$270,2,FALSE)</f>
        <v>#N/A</v>
      </c>
    </row>
    <row r="303" spans="1:61">
      <c r="A303">
        <v>302</v>
      </c>
      <c r="B303">
        <v>1002565198</v>
      </c>
      <c r="C303">
        <v>3</v>
      </c>
      <c r="D303" t="s">
        <v>55</v>
      </c>
      <c r="E303">
        <v>5</v>
      </c>
      <c r="F303" t="s">
        <v>261</v>
      </c>
      <c r="G303" t="s">
        <v>122</v>
      </c>
      <c r="H303" t="s">
        <v>321</v>
      </c>
      <c r="I303" t="s">
        <v>212</v>
      </c>
      <c r="J303" t="s">
        <v>213</v>
      </c>
      <c r="K303" t="s">
        <v>149</v>
      </c>
      <c r="M303" t="s">
        <v>76</v>
      </c>
      <c r="N303" t="s">
        <v>215</v>
      </c>
      <c r="O303" s="57">
        <v>46266.507916666669</v>
      </c>
      <c r="P303" s="57">
        <v>46266.869085648148</v>
      </c>
      <c r="Q303">
        <v>69379381</v>
      </c>
      <c r="S303">
        <v>152445902502</v>
      </c>
      <c r="T303" t="s">
        <v>987</v>
      </c>
      <c r="U303" t="s">
        <v>1452</v>
      </c>
      <c r="V303" t="s">
        <v>1453</v>
      </c>
      <c r="Z303">
        <v>112.512376</v>
      </c>
      <c r="AA303">
        <v>-7.1506679999999996</v>
      </c>
      <c r="AB303" t="s">
        <v>988</v>
      </c>
      <c r="AC303" t="s">
        <v>229</v>
      </c>
      <c r="AL303" t="s">
        <v>217</v>
      </c>
      <c r="AM303" t="s">
        <v>1438</v>
      </c>
      <c r="AN303" t="s">
        <v>6</v>
      </c>
      <c r="AO303" s="57">
        <v>46031.517465277779</v>
      </c>
      <c r="AR303" t="s">
        <v>218</v>
      </c>
      <c r="AS303" t="s">
        <v>122</v>
      </c>
      <c r="AT303" t="s">
        <v>220</v>
      </c>
      <c r="AU303">
        <v>20260901</v>
      </c>
      <c r="AV303" t="s">
        <v>221</v>
      </c>
      <c r="AW303" t="s">
        <v>560</v>
      </c>
      <c r="AX303" t="s">
        <v>222</v>
      </c>
      <c r="BA303" s="57">
        <v>46266.291666666664</v>
      </c>
      <c r="BB303" t="s">
        <v>1438</v>
      </c>
      <c r="BC303">
        <v>2026</v>
      </c>
      <c r="BD303">
        <v>9</v>
      </c>
      <c r="BE303">
        <v>1</v>
      </c>
      <c r="BF303" s="6">
        <f t="shared" si="12"/>
        <v>46266</v>
      </c>
      <c r="BG303">
        <f t="shared" si="13"/>
        <v>-0.29166666666424135</v>
      </c>
      <c r="BH303" t="str">
        <f t="shared" si="14"/>
        <v>COMPLY</v>
      </c>
      <c r="BI303" t="str">
        <f>VLOOKUP(H303,Sheet2!$A$1:$B$270,2,FALSE)</f>
        <v>GRESIK</v>
      </c>
    </row>
    <row r="304" spans="1:61">
      <c r="A304">
        <v>303</v>
      </c>
      <c r="B304">
        <v>1002565668</v>
      </c>
      <c r="C304">
        <v>3</v>
      </c>
      <c r="D304" t="s">
        <v>45</v>
      </c>
      <c r="E304">
        <v>5</v>
      </c>
      <c r="F304" t="s">
        <v>210</v>
      </c>
      <c r="G304" t="s">
        <v>112</v>
      </c>
      <c r="H304" t="s">
        <v>243</v>
      </c>
      <c r="I304" t="s">
        <v>212</v>
      </c>
      <c r="J304" t="s">
        <v>213</v>
      </c>
      <c r="K304" t="s">
        <v>149</v>
      </c>
      <c r="M304" t="s">
        <v>76</v>
      </c>
      <c r="N304" t="s">
        <v>215</v>
      </c>
      <c r="O304" s="57">
        <v>46266.603182870371</v>
      </c>
      <c r="P304" s="57">
        <v>46267.61822916667</v>
      </c>
      <c r="Q304">
        <v>69375489</v>
      </c>
      <c r="S304">
        <v>172605804340</v>
      </c>
      <c r="T304" t="s">
        <v>947</v>
      </c>
      <c r="U304" t="s">
        <v>1391</v>
      </c>
      <c r="V304" t="s">
        <v>1392</v>
      </c>
      <c r="Z304">
        <v>116.149145</v>
      </c>
      <c r="AA304">
        <v>-8.6191750000000003</v>
      </c>
      <c r="AB304" t="s">
        <v>948</v>
      </c>
      <c r="AC304" t="s">
        <v>284</v>
      </c>
      <c r="AL304" t="s">
        <v>217</v>
      </c>
      <c r="AM304" t="s">
        <v>1393</v>
      </c>
      <c r="AN304" t="s">
        <v>6</v>
      </c>
      <c r="AO304" s="57">
        <v>46031.611076388886</v>
      </c>
      <c r="AR304" t="s">
        <v>218</v>
      </c>
      <c r="AS304" t="s">
        <v>219</v>
      </c>
      <c r="AT304" t="s">
        <v>230</v>
      </c>
      <c r="AU304">
        <v>20260902</v>
      </c>
      <c r="AV304" t="s">
        <v>221</v>
      </c>
      <c r="AW304" t="s">
        <v>546</v>
      </c>
      <c r="AX304" t="s">
        <v>222</v>
      </c>
      <c r="BA304" s="57">
        <v>46266.291666666664</v>
      </c>
      <c r="BB304" t="s">
        <v>1393</v>
      </c>
      <c r="BC304">
        <v>2026</v>
      </c>
      <c r="BD304">
        <v>9</v>
      </c>
      <c r="BE304">
        <v>2</v>
      </c>
      <c r="BF304" s="6">
        <f t="shared" si="12"/>
        <v>46267</v>
      </c>
      <c r="BG304">
        <f t="shared" si="13"/>
        <v>0.70833333333575865</v>
      </c>
      <c r="BH304" t="str">
        <f t="shared" si="14"/>
        <v>COMPLY</v>
      </c>
      <c r="BI304" t="str">
        <f>VLOOKUP(H304,Sheet2!$A$1:$B$270,2,FALSE)</f>
        <v>MATARAM</v>
      </c>
    </row>
    <row r="305" spans="1:61">
      <c r="A305">
        <v>304</v>
      </c>
      <c r="B305">
        <v>1002566034</v>
      </c>
      <c r="C305">
        <v>3</v>
      </c>
      <c r="D305" t="s">
        <v>45</v>
      </c>
      <c r="E305">
        <v>5</v>
      </c>
      <c r="F305" t="s">
        <v>210</v>
      </c>
      <c r="G305" t="s">
        <v>110</v>
      </c>
      <c r="H305" t="s">
        <v>247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46266.654999999999</v>
      </c>
      <c r="P305" s="57">
        <v>46266.7028587963</v>
      </c>
      <c r="Q305">
        <v>69380024</v>
      </c>
      <c r="S305">
        <v>172616802043</v>
      </c>
      <c r="T305" t="s">
        <v>937</v>
      </c>
      <c r="U305" t="s">
        <v>1454</v>
      </c>
      <c r="V305" t="s">
        <v>1455</v>
      </c>
      <c r="Z305">
        <v>118.7467125</v>
      </c>
      <c r="AA305">
        <v>-8.4558693999999992</v>
      </c>
      <c r="AB305" t="s">
        <v>993</v>
      </c>
      <c r="AC305" t="s">
        <v>216</v>
      </c>
      <c r="AL305" t="s">
        <v>217</v>
      </c>
      <c r="AM305" t="s">
        <v>1456</v>
      </c>
      <c r="AN305" t="s">
        <v>6</v>
      </c>
      <c r="AO305" s="57">
        <v>46031.663206018522</v>
      </c>
      <c r="AR305" t="s">
        <v>218</v>
      </c>
      <c r="AS305" t="s">
        <v>219</v>
      </c>
      <c r="AT305" t="s">
        <v>220</v>
      </c>
      <c r="AU305">
        <v>20260901</v>
      </c>
      <c r="AV305" t="s">
        <v>221</v>
      </c>
      <c r="AW305" t="s">
        <v>578</v>
      </c>
      <c r="AX305" t="s">
        <v>222</v>
      </c>
      <c r="BA305" s="57">
        <v>46266.291666666664</v>
      </c>
      <c r="BB305" t="s">
        <v>1456</v>
      </c>
      <c r="BC305">
        <v>2026</v>
      </c>
      <c r="BD305">
        <v>9</v>
      </c>
      <c r="BE305">
        <v>1</v>
      </c>
      <c r="BF305" s="6">
        <f t="shared" si="12"/>
        <v>46266</v>
      </c>
      <c r="BG305">
        <f t="shared" si="13"/>
        <v>-0.29166666666424135</v>
      </c>
      <c r="BH305" t="str">
        <f t="shared" si="14"/>
        <v>COMPLY</v>
      </c>
      <c r="BI305" t="str">
        <f>VLOOKUP(H305,Sheet2!$A$1:$B$270,2,FALSE)</f>
        <v>BIMA</v>
      </c>
    </row>
    <row r="306" spans="1:61">
      <c r="A306">
        <v>305</v>
      </c>
      <c r="B306">
        <v>1002564469</v>
      </c>
      <c r="C306">
        <v>3</v>
      </c>
      <c r="D306" t="s">
        <v>59</v>
      </c>
      <c r="E306">
        <v>4</v>
      </c>
      <c r="F306" t="s">
        <v>549</v>
      </c>
      <c r="G306" t="s">
        <v>582</v>
      </c>
      <c r="H306" t="s">
        <v>590</v>
      </c>
      <c r="I306" t="s">
        <v>212</v>
      </c>
      <c r="J306" t="s">
        <v>213</v>
      </c>
      <c r="K306" t="s">
        <v>149</v>
      </c>
      <c r="M306" t="s">
        <v>76</v>
      </c>
      <c r="N306" t="s">
        <v>215</v>
      </c>
      <c r="O306" s="57">
        <v>46266.402719907404</v>
      </c>
      <c r="P306" s="57">
        <v>46267.575312499997</v>
      </c>
      <c r="Q306">
        <v>69381251</v>
      </c>
      <c r="S306">
        <v>146131120709</v>
      </c>
      <c r="T306" t="s">
        <v>1166</v>
      </c>
      <c r="U306" t="s">
        <v>1167</v>
      </c>
      <c r="V306" t="s">
        <v>1168</v>
      </c>
      <c r="Z306">
        <v>110.41681440000001</v>
      </c>
      <c r="AA306">
        <v>-7.7777422999999999</v>
      </c>
      <c r="AB306" t="s">
        <v>1169</v>
      </c>
      <c r="AC306" t="s">
        <v>284</v>
      </c>
      <c r="AL306" t="s">
        <v>217</v>
      </c>
      <c r="AM306" t="s">
        <v>1170</v>
      </c>
      <c r="AN306" t="s">
        <v>6</v>
      </c>
      <c r="AO306" s="57">
        <v>46031.413310185184</v>
      </c>
      <c r="AP306" s="57">
        <v>46267.541666666664</v>
      </c>
      <c r="AR306" t="s">
        <v>218</v>
      </c>
      <c r="AS306" t="s">
        <v>219</v>
      </c>
      <c r="AT306" t="s">
        <v>230</v>
      </c>
      <c r="AU306">
        <v>20260902</v>
      </c>
      <c r="AV306" t="s">
        <v>221</v>
      </c>
      <c r="AW306" t="s">
        <v>544</v>
      </c>
      <c r="AX306" t="s">
        <v>222</v>
      </c>
      <c r="BA306" s="57">
        <v>46267.541666666664</v>
      </c>
      <c r="BB306" t="s">
        <v>1170</v>
      </c>
      <c r="BC306">
        <v>2026</v>
      </c>
      <c r="BD306">
        <v>9</v>
      </c>
      <c r="BE306">
        <v>2</v>
      </c>
      <c r="BF306" s="6">
        <f t="shared" si="12"/>
        <v>46267</v>
      </c>
      <c r="BG306">
        <f t="shared" si="13"/>
        <v>-0.54166666666424135</v>
      </c>
      <c r="BH306" t="str">
        <f t="shared" si="14"/>
        <v>COMPLY</v>
      </c>
      <c r="BI306" t="e">
        <f>VLOOKUP(H306,Sheet2!$A$1:$B$270,2,FALSE)</f>
        <v>#N/A</v>
      </c>
    </row>
    <row r="307" spans="1:61">
      <c r="A307">
        <v>306</v>
      </c>
      <c r="B307">
        <v>1002564921</v>
      </c>
      <c r="C307">
        <v>3</v>
      </c>
      <c r="D307" t="s">
        <v>45</v>
      </c>
      <c r="E307">
        <v>5</v>
      </c>
      <c r="F307" t="s">
        <v>210</v>
      </c>
      <c r="G307" t="s">
        <v>112</v>
      </c>
      <c r="H307" t="s">
        <v>243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46266.461087962962</v>
      </c>
      <c r="P307" s="57">
        <v>46267.772337962961</v>
      </c>
      <c r="Q307">
        <v>69381359</v>
      </c>
      <c r="S307">
        <v>172605804355</v>
      </c>
      <c r="T307" t="s">
        <v>1171</v>
      </c>
      <c r="U307" t="s">
        <v>2069</v>
      </c>
      <c r="V307" t="s">
        <v>1172</v>
      </c>
      <c r="Z307">
        <v>116.16868257522501</v>
      </c>
      <c r="AA307">
        <v>-8.6085286704885196</v>
      </c>
      <c r="AB307" t="s">
        <v>1173</v>
      </c>
      <c r="AC307" t="s">
        <v>216</v>
      </c>
      <c r="AL307" t="s">
        <v>217</v>
      </c>
      <c r="AM307" t="s">
        <v>1174</v>
      </c>
      <c r="AN307" t="s">
        <v>6</v>
      </c>
      <c r="AO307" s="57">
        <v>46031.465405092589</v>
      </c>
      <c r="AP307" s="57">
        <v>46268.333333333336</v>
      </c>
      <c r="AR307" t="s">
        <v>218</v>
      </c>
      <c r="AS307" t="s">
        <v>219</v>
      </c>
      <c r="AT307" t="s">
        <v>230</v>
      </c>
      <c r="AU307">
        <v>20260902</v>
      </c>
      <c r="AV307" t="s">
        <v>221</v>
      </c>
      <c r="AW307" t="s">
        <v>888</v>
      </c>
      <c r="AX307" t="s">
        <v>222</v>
      </c>
      <c r="BA307" s="57">
        <v>46268.333333333336</v>
      </c>
      <c r="BB307" t="s">
        <v>1174</v>
      </c>
      <c r="BC307">
        <v>2026</v>
      </c>
      <c r="BD307">
        <v>9</v>
      </c>
      <c r="BE307">
        <v>2</v>
      </c>
      <c r="BF307" s="6">
        <f t="shared" si="12"/>
        <v>46267</v>
      </c>
      <c r="BG307">
        <f t="shared" si="13"/>
        <v>-1.3333333333357587</v>
      </c>
      <c r="BH307" t="str">
        <f t="shared" si="14"/>
        <v>COMPLY</v>
      </c>
      <c r="BI307" t="str">
        <f>VLOOKUP(H307,Sheet2!$A$1:$B$270,2,FALSE)</f>
        <v>MATARAM</v>
      </c>
    </row>
    <row r="308" spans="1:61">
      <c r="A308">
        <v>307</v>
      </c>
      <c r="B308">
        <v>1002564898</v>
      </c>
      <c r="C308">
        <v>3</v>
      </c>
      <c r="D308" t="s">
        <v>34</v>
      </c>
      <c r="E308">
        <v>5</v>
      </c>
      <c r="F308" t="s">
        <v>554</v>
      </c>
      <c r="G308" t="s">
        <v>79</v>
      </c>
      <c r="H308" t="s">
        <v>282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46266.45894675926</v>
      </c>
      <c r="P308" s="57">
        <v>46267.341724537036</v>
      </c>
      <c r="Q308">
        <v>69379494</v>
      </c>
      <c r="S308">
        <v>172408248244</v>
      </c>
      <c r="T308" t="s">
        <v>1001</v>
      </c>
      <c r="U308" t="s">
        <v>1394</v>
      </c>
      <c r="V308" t="s">
        <v>1395</v>
      </c>
      <c r="Z308">
        <v>115.302389173123</v>
      </c>
      <c r="AA308">
        <v>-8.4823694597113501</v>
      </c>
      <c r="AB308" t="s">
        <v>1002</v>
      </c>
      <c r="AC308" t="s">
        <v>216</v>
      </c>
      <c r="AL308" t="s">
        <v>217</v>
      </c>
      <c r="AM308" t="s">
        <v>1396</v>
      </c>
      <c r="AN308" t="s">
        <v>6</v>
      </c>
      <c r="AO308" s="57">
        <v>46031.465405092589</v>
      </c>
      <c r="AR308" t="s">
        <v>218</v>
      </c>
      <c r="AS308" t="s">
        <v>609</v>
      </c>
      <c r="AT308" t="s">
        <v>230</v>
      </c>
      <c r="AU308">
        <v>20260902</v>
      </c>
      <c r="AV308" t="s">
        <v>221</v>
      </c>
      <c r="AW308" t="s">
        <v>571</v>
      </c>
      <c r="AX308" t="s">
        <v>222</v>
      </c>
      <c r="BA308" s="57">
        <v>46266.291666666664</v>
      </c>
      <c r="BB308" t="s">
        <v>1396</v>
      </c>
      <c r="BC308">
        <v>2026</v>
      </c>
      <c r="BD308">
        <v>9</v>
      </c>
      <c r="BE308">
        <v>2</v>
      </c>
      <c r="BF308" s="6">
        <f t="shared" si="12"/>
        <v>46267</v>
      </c>
      <c r="BG308">
        <f t="shared" si="13"/>
        <v>0.70833333333575865</v>
      </c>
      <c r="BH308" t="str">
        <f t="shared" si="14"/>
        <v>COMPLY</v>
      </c>
      <c r="BI308" t="str">
        <f>VLOOKUP(H308,Sheet2!$A$1:$B$270,2,FALSE)</f>
        <v>GIANYAR</v>
      </c>
    </row>
    <row r="309" spans="1:61">
      <c r="A309">
        <v>308</v>
      </c>
      <c r="B309">
        <v>1002564914</v>
      </c>
      <c r="C309">
        <v>3</v>
      </c>
      <c r="D309" t="s">
        <v>38</v>
      </c>
      <c r="E309">
        <v>5</v>
      </c>
      <c r="F309" t="s">
        <v>248</v>
      </c>
      <c r="G309" t="s">
        <v>87</v>
      </c>
      <c r="H309" t="s">
        <v>354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46266.460381944446</v>
      </c>
      <c r="P309" s="57">
        <v>46267.451238425929</v>
      </c>
      <c r="Q309">
        <v>69381356</v>
      </c>
      <c r="S309">
        <v>152707239342</v>
      </c>
      <c r="T309" t="s">
        <v>1377</v>
      </c>
      <c r="U309" t="s">
        <v>1378</v>
      </c>
      <c r="V309" t="s">
        <v>1379</v>
      </c>
      <c r="Z309">
        <v>112.49473817646501</v>
      </c>
      <c r="AA309">
        <v>-7.86437651417857</v>
      </c>
      <c r="AB309" t="s">
        <v>1380</v>
      </c>
      <c r="AC309" t="s">
        <v>216</v>
      </c>
      <c r="AL309" t="s">
        <v>217</v>
      </c>
      <c r="AM309" t="s">
        <v>1315</v>
      </c>
      <c r="AN309" t="s">
        <v>6</v>
      </c>
      <c r="AO309" s="57">
        <v>46031.465405092589</v>
      </c>
      <c r="AP309" s="57">
        <v>46267.333333333336</v>
      </c>
      <c r="AR309" t="s">
        <v>218</v>
      </c>
      <c r="AS309" t="s">
        <v>87</v>
      </c>
      <c r="AT309" t="s">
        <v>230</v>
      </c>
      <c r="AU309">
        <v>20260902</v>
      </c>
      <c r="AV309" t="s">
        <v>221</v>
      </c>
      <c r="AW309" t="s">
        <v>886</v>
      </c>
      <c r="AX309" t="s">
        <v>222</v>
      </c>
      <c r="BA309" s="57">
        <v>46267.333333333336</v>
      </c>
      <c r="BB309" t="s">
        <v>1315</v>
      </c>
      <c r="BC309">
        <v>2026</v>
      </c>
      <c r="BD309">
        <v>9</v>
      </c>
      <c r="BE309">
        <v>2</v>
      </c>
      <c r="BF309" s="6">
        <f t="shared" si="12"/>
        <v>46267</v>
      </c>
      <c r="BG309">
        <f t="shared" si="13"/>
        <v>-0.33333333333575865</v>
      </c>
      <c r="BH309" t="str">
        <f t="shared" si="14"/>
        <v>COMPLY</v>
      </c>
      <c r="BI309" t="str">
        <f>VLOOKUP(H309,Sheet2!$A$1:$B$270,2,FALSE)</f>
        <v>BATU</v>
      </c>
    </row>
    <row r="310" spans="1:61">
      <c r="A310">
        <v>309</v>
      </c>
      <c r="B310">
        <v>1002564483</v>
      </c>
      <c r="C310">
        <v>3</v>
      </c>
      <c r="D310" t="s">
        <v>45</v>
      </c>
      <c r="E310">
        <v>5</v>
      </c>
      <c r="F310" t="s">
        <v>210</v>
      </c>
      <c r="G310" t="s">
        <v>110</v>
      </c>
      <c r="H310" t="s">
        <v>247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46266.406747685185</v>
      </c>
      <c r="P310" s="57">
        <v>46267.395578703705</v>
      </c>
      <c r="Q310">
        <v>69378885</v>
      </c>
      <c r="S310">
        <v>172616802036</v>
      </c>
      <c r="T310" t="s">
        <v>1015</v>
      </c>
      <c r="U310" t="s">
        <v>1397</v>
      </c>
      <c r="V310" t="s">
        <v>1398</v>
      </c>
      <c r="Z310">
        <v>118.7534485</v>
      </c>
      <c r="AA310">
        <v>-8.4804061999999991</v>
      </c>
      <c r="AB310" t="s">
        <v>1016</v>
      </c>
      <c r="AC310" t="s">
        <v>284</v>
      </c>
      <c r="AL310" t="s">
        <v>217</v>
      </c>
      <c r="AM310" t="s">
        <v>1399</v>
      </c>
      <c r="AN310" t="s">
        <v>6</v>
      </c>
      <c r="AO310" s="57">
        <v>46031.413310185184</v>
      </c>
      <c r="AR310" t="s">
        <v>218</v>
      </c>
      <c r="AS310" t="s">
        <v>219</v>
      </c>
      <c r="AT310" t="s">
        <v>220</v>
      </c>
      <c r="AU310">
        <v>20260902</v>
      </c>
      <c r="AV310" t="s">
        <v>221</v>
      </c>
      <c r="AW310" t="s">
        <v>545</v>
      </c>
      <c r="AX310" t="s">
        <v>222</v>
      </c>
      <c r="BA310" s="57">
        <v>46266.291666666664</v>
      </c>
      <c r="BB310" t="s">
        <v>1399</v>
      </c>
      <c r="BC310">
        <v>2026</v>
      </c>
      <c r="BD310">
        <v>9</v>
      </c>
      <c r="BE310">
        <v>2</v>
      </c>
      <c r="BF310" s="6">
        <f t="shared" si="12"/>
        <v>46267</v>
      </c>
      <c r="BG310">
        <f t="shared" si="13"/>
        <v>0.70833333333575865</v>
      </c>
      <c r="BH310" t="str">
        <f t="shared" si="14"/>
        <v>COMPLY</v>
      </c>
      <c r="BI310" t="str">
        <f>VLOOKUP(H310,Sheet2!$A$1:$B$270,2,FALSE)</f>
        <v>BIMA</v>
      </c>
    </row>
    <row r="311" spans="1:61">
      <c r="A311">
        <v>310</v>
      </c>
      <c r="B311">
        <v>1002564922</v>
      </c>
      <c r="C311">
        <v>3</v>
      </c>
      <c r="D311" t="s">
        <v>34</v>
      </c>
      <c r="E311">
        <v>5</v>
      </c>
      <c r="F311" t="s">
        <v>563</v>
      </c>
      <c r="G311" t="s">
        <v>81</v>
      </c>
      <c r="H311" t="s">
        <v>316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46266.461793981478</v>
      </c>
      <c r="P311" s="57">
        <v>46266.498506944445</v>
      </c>
      <c r="Q311">
        <v>69377687</v>
      </c>
      <c r="S311">
        <v>172415798837</v>
      </c>
      <c r="T311" t="s">
        <v>969</v>
      </c>
      <c r="U311" t="s">
        <v>1457</v>
      </c>
      <c r="V311" t="s">
        <v>1458</v>
      </c>
      <c r="Z311">
        <v>115.11239999999999</v>
      </c>
      <c r="AA311">
        <v>-8.8366000000000007</v>
      </c>
      <c r="AB311" t="s">
        <v>970</v>
      </c>
      <c r="AC311" t="s">
        <v>216</v>
      </c>
      <c r="AL311" t="s">
        <v>217</v>
      </c>
      <c r="AM311" t="s">
        <v>1459</v>
      </c>
      <c r="AN311" t="s">
        <v>6</v>
      </c>
      <c r="AO311" s="57">
        <v>46031.465405092589</v>
      </c>
      <c r="AR311" t="s">
        <v>218</v>
      </c>
      <c r="AS311" t="s">
        <v>906</v>
      </c>
      <c r="AT311" t="s">
        <v>230</v>
      </c>
      <c r="AU311">
        <v>20260901</v>
      </c>
      <c r="AV311" t="s">
        <v>221</v>
      </c>
      <c r="AW311" t="s">
        <v>545</v>
      </c>
      <c r="AX311" t="s">
        <v>222</v>
      </c>
      <c r="BA311" s="57">
        <v>46266.291666666664</v>
      </c>
      <c r="BB311" t="s">
        <v>1459</v>
      </c>
      <c r="BC311">
        <v>2026</v>
      </c>
      <c r="BD311">
        <v>9</v>
      </c>
      <c r="BE311">
        <v>1</v>
      </c>
      <c r="BF311" s="6">
        <f t="shared" si="12"/>
        <v>46266</v>
      </c>
      <c r="BG311">
        <f t="shared" si="13"/>
        <v>-0.29166666666424135</v>
      </c>
      <c r="BH311" t="str">
        <f t="shared" si="14"/>
        <v>COMPLY</v>
      </c>
      <c r="BI311" t="str">
        <f>VLOOKUP(H311,Sheet2!$A$1:$B$270,2,FALSE)</f>
        <v>JIMBARAN</v>
      </c>
    </row>
    <row r="312" spans="1:61">
      <c r="A312">
        <v>311</v>
      </c>
      <c r="B312">
        <v>1002564872</v>
      </c>
      <c r="C312">
        <v>3</v>
      </c>
      <c r="D312" t="s">
        <v>45</v>
      </c>
      <c r="E312">
        <v>5</v>
      </c>
      <c r="F312" t="s">
        <v>210</v>
      </c>
      <c r="G312" t="s">
        <v>118</v>
      </c>
      <c r="H312" t="s">
        <v>211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46266.454814814817</v>
      </c>
      <c r="P312" s="57">
        <v>46268.484305555554</v>
      </c>
      <c r="Q312">
        <v>69381348</v>
      </c>
      <c r="S312">
        <v>172606792348</v>
      </c>
      <c r="T312" t="s">
        <v>1180</v>
      </c>
      <c r="U312" t="s">
        <v>1181</v>
      </c>
      <c r="V312" t="s">
        <v>1182</v>
      </c>
      <c r="Z312">
        <v>117.67344566999699</v>
      </c>
      <c r="AA312">
        <v>-8.6544796736751799</v>
      </c>
      <c r="AB312" t="s">
        <v>1183</v>
      </c>
      <c r="AC312" t="s">
        <v>236</v>
      </c>
      <c r="AL312" t="s">
        <v>217</v>
      </c>
      <c r="AM312" t="s">
        <v>1184</v>
      </c>
      <c r="AN312" t="s">
        <v>6</v>
      </c>
      <c r="AO312" s="57">
        <v>46031.465405092589</v>
      </c>
      <c r="AP312" s="57">
        <v>46267.541666666664</v>
      </c>
      <c r="AR312" t="s">
        <v>218</v>
      </c>
      <c r="AS312" t="s">
        <v>219</v>
      </c>
      <c r="AT312" t="s">
        <v>344</v>
      </c>
      <c r="AU312">
        <v>20260903</v>
      </c>
      <c r="AV312" t="s">
        <v>221</v>
      </c>
      <c r="AW312" t="s">
        <v>1185</v>
      </c>
      <c r="AX312" t="s">
        <v>222</v>
      </c>
      <c r="BA312" s="57">
        <v>46267.541666666664</v>
      </c>
      <c r="BB312" t="s">
        <v>1184</v>
      </c>
      <c r="BC312">
        <v>2026</v>
      </c>
      <c r="BD312">
        <v>9</v>
      </c>
      <c r="BE312">
        <v>3</v>
      </c>
      <c r="BF312" s="6">
        <f t="shared" si="12"/>
        <v>46268</v>
      </c>
      <c r="BG312">
        <f t="shared" si="13"/>
        <v>0.45833333333575865</v>
      </c>
      <c r="BH312" t="str">
        <f t="shared" si="14"/>
        <v>COMPLY</v>
      </c>
      <c r="BI312" t="str">
        <f>VLOOKUP(H312,Sheet2!$A$1:$B$270,2,FALSE)</f>
        <v>SUMBAWA</v>
      </c>
    </row>
    <row r="313" spans="1:61">
      <c r="A313">
        <v>312</v>
      </c>
      <c r="B313">
        <v>1002564906</v>
      </c>
      <c r="C313">
        <v>3</v>
      </c>
      <c r="D313" t="s">
        <v>59</v>
      </c>
      <c r="E313">
        <v>4</v>
      </c>
      <c r="F313" t="s">
        <v>242</v>
      </c>
      <c r="G313" t="s">
        <v>600</v>
      </c>
      <c r="H313" t="s">
        <v>872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46266.458981481483</v>
      </c>
      <c r="P313" s="57">
        <v>46267.682222222225</v>
      </c>
      <c r="Q313">
        <v>69381352</v>
      </c>
      <c r="S313">
        <v>146149124469</v>
      </c>
      <c r="T313" t="s">
        <v>1186</v>
      </c>
      <c r="U313" t="s">
        <v>1187</v>
      </c>
      <c r="V313" t="s">
        <v>1188</v>
      </c>
      <c r="Z313">
        <v>110.1240986</v>
      </c>
      <c r="AA313">
        <v>-7.3415486999999997</v>
      </c>
      <c r="AB313" t="s">
        <v>1189</v>
      </c>
      <c r="AC313" t="s">
        <v>236</v>
      </c>
      <c r="AL313" t="s">
        <v>217</v>
      </c>
      <c r="AM313" t="s">
        <v>1190</v>
      </c>
      <c r="AN313" t="s">
        <v>6</v>
      </c>
      <c r="AO313" s="57">
        <v>46031.465405092589</v>
      </c>
      <c r="AP313" s="57">
        <v>46267.333333333336</v>
      </c>
      <c r="AR313" t="s">
        <v>218</v>
      </c>
      <c r="AS313" t="s">
        <v>219</v>
      </c>
      <c r="AT313" t="s">
        <v>230</v>
      </c>
      <c r="AU313">
        <v>20260902</v>
      </c>
      <c r="AV313" t="s">
        <v>221</v>
      </c>
      <c r="AW313" t="s">
        <v>883</v>
      </c>
      <c r="AX313" t="s">
        <v>222</v>
      </c>
      <c r="BA313" s="57">
        <v>46267.333333333336</v>
      </c>
      <c r="BB313" t="s">
        <v>1190</v>
      </c>
      <c r="BC313">
        <v>2026</v>
      </c>
      <c r="BD313">
        <v>9</v>
      </c>
      <c r="BE313">
        <v>2</v>
      </c>
      <c r="BF313" s="6">
        <f t="shared" si="12"/>
        <v>46267</v>
      </c>
      <c r="BG313">
        <f t="shared" si="13"/>
        <v>-0.33333333333575865</v>
      </c>
      <c r="BH313" t="str">
        <f t="shared" si="14"/>
        <v>COMPLY</v>
      </c>
      <c r="BI313" t="e">
        <f>VLOOKUP(H313,Sheet2!$A$1:$B$270,2,FALSE)</f>
        <v>#N/A</v>
      </c>
    </row>
    <row r="314" spans="1:61">
      <c r="A314">
        <v>313</v>
      </c>
      <c r="B314">
        <v>1002564932</v>
      </c>
      <c r="C314">
        <v>3</v>
      </c>
      <c r="D314" t="s">
        <v>59</v>
      </c>
      <c r="E314">
        <v>4</v>
      </c>
      <c r="F314" t="s">
        <v>223</v>
      </c>
      <c r="G314" t="s">
        <v>580</v>
      </c>
      <c r="H314" t="s">
        <v>829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46266.463159722225</v>
      </c>
      <c r="P314" s="57">
        <v>46267.718298611115</v>
      </c>
      <c r="Q314">
        <v>69381362</v>
      </c>
      <c r="S314">
        <v>143361127092</v>
      </c>
      <c r="T314" t="s">
        <v>1196</v>
      </c>
      <c r="U314" t="s">
        <v>1197</v>
      </c>
      <c r="V314" t="s">
        <v>1198</v>
      </c>
      <c r="Z314">
        <v>109.0122937</v>
      </c>
      <c r="AA314">
        <v>-7.7399620000000002</v>
      </c>
      <c r="AB314" t="s">
        <v>1199</v>
      </c>
      <c r="AC314" t="s">
        <v>236</v>
      </c>
      <c r="AL314" t="s">
        <v>217</v>
      </c>
      <c r="AM314" t="s">
        <v>1200</v>
      </c>
      <c r="AN314" t="s">
        <v>6</v>
      </c>
      <c r="AO314" s="57">
        <v>46031.465405092589</v>
      </c>
      <c r="AP314" s="57">
        <v>46272.333333333336</v>
      </c>
      <c r="AR314" t="s">
        <v>218</v>
      </c>
      <c r="AS314" t="s">
        <v>219</v>
      </c>
      <c r="AT314" t="s">
        <v>230</v>
      </c>
      <c r="AU314">
        <v>20260902</v>
      </c>
      <c r="AV314" t="s">
        <v>221</v>
      </c>
      <c r="AW314" t="s">
        <v>888</v>
      </c>
      <c r="AX314" t="s">
        <v>222</v>
      </c>
      <c r="BA314" s="57">
        <v>46272.333333333336</v>
      </c>
      <c r="BB314" t="s">
        <v>1200</v>
      </c>
      <c r="BC314">
        <v>2026</v>
      </c>
      <c r="BD314">
        <v>9</v>
      </c>
      <c r="BE314">
        <v>2</v>
      </c>
      <c r="BF314" s="6">
        <f t="shared" si="12"/>
        <v>46267</v>
      </c>
      <c r="BG314">
        <f t="shared" si="13"/>
        <v>-5.3333333333357587</v>
      </c>
      <c r="BH314" t="str">
        <f t="shared" si="14"/>
        <v>COMPLY</v>
      </c>
      <c r="BI314" t="e">
        <f>VLOOKUP(H314,Sheet2!$A$1:$B$270,2,FALSE)</f>
        <v>#N/A</v>
      </c>
    </row>
    <row r="315" spans="1:61">
      <c r="A315">
        <v>314</v>
      </c>
      <c r="B315">
        <v>1002564905</v>
      </c>
      <c r="C315">
        <v>3</v>
      </c>
      <c r="D315" t="s">
        <v>55</v>
      </c>
      <c r="E315">
        <v>5</v>
      </c>
      <c r="F315" t="s">
        <v>261</v>
      </c>
      <c r="G315" t="s">
        <v>123</v>
      </c>
      <c r="H315" t="s">
        <v>287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46266.459374999999</v>
      </c>
      <c r="P315" s="57">
        <v>46266.630798611113</v>
      </c>
      <c r="Q315">
        <v>69370432</v>
      </c>
      <c r="S315">
        <v>152401227586</v>
      </c>
      <c r="T315" t="s">
        <v>895</v>
      </c>
      <c r="U315" t="s">
        <v>896</v>
      </c>
      <c r="V315" t="s">
        <v>1460</v>
      </c>
      <c r="Z315">
        <v>112.73806873573299</v>
      </c>
      <c r="AA315">
        <v>-7.2091245735555303</v>
      </c>
      <c r="AB315" t="s">
        <v>897</v>
      </c>
      <c r="AC315" t="s">
        <v>285</v>
      </c>
      <c r="AL315" t="s">
        <v>217</v>
      </c>
      <c r="AM315" t="s">
        <v>1461</v>
      </c>
      <c r="AN315" t="s">
        <v>6</v>
      </c>
      <c r="AO315" s="57">
        <v>46031.465405092589</v>
      </c>
      <c r="AR315" t="s">
        <v>218</v>
      </c>
      <c r="AS315" t="s">
        <v>271</v>
      </c>
      <c r="AT315" t="s">
        <v>230</v>
      </c>
      <c r="AU315">
        <v>20260901</v>
      </c>
      <c r="AV315" t="s">
        <v>221</v>
      </c>
      <c r="AW315" t="s">
        <v>862</v>
      </c>
      <c r="AX315" t="s">
        <v>222</v>
      </c>
      <c r="BA315" s="57">
        <v>46266.291666666664</v>
      </c>
      <c r="BB315" t="s">
        <v>1461</v>
      </c>
      <c r="BC315">
        <v>2026</v>
      </c>
      <c r="BD315">
        <v>9</v>
      </c>
      <c r="BE315">
        <v>1</v>
      </c>
      <c r="BF315" s="6">
        <f t="shared" si="12"/>
        <v>46266</v>
      </c>
      <c r="BG315">
        <f t="shared" si="13"/>
        <v>-0.29166666666424135</v>
      </c>
      <c r="BH315" t="str">
        <f t="shared" si="14"/>
        <v>COMPLY</v>
      </c>
      <c r="BI315" t="str">
        <f>VLOOKUP(H315,Sheet2!$A$1:$B$270,2,FALSE)</f>
        <v>SURABAYA UTARA</v>
      </c>
    </row>
    <row r="316" spans="1:61">
      <c r="A316">
        <v>315</v>
      </c>
      <c r="B316">
        <v>1002564503</v>
      </c>
      <c r="C316">
        <v>3</v>
      </c>
      <c r="D316" t="s">
        <v>51</v>
      </c>
      <c r="E316">
        <v>4</v>
      </c>
      <c r="F316" t="s">
        <v>269</v>
      </c>
      <c r="G316" t="s">
        <v>823</v>
      </c>
      <c r="H316" t="s">
        <v>871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46266.406898148147</v>
      </c>
      <c r="P316" s="57">
        <v>46266.579710648148</v>
      </c>
      <c r="Q316">
        <v>69377664</v>
      </c>
      <c r="R316">
        <v>2916942037</v>
      </c>
      <c r="S316">
        <v>142539117952</v>
      </c>
      <c r="T316" t="s">
        <v>962</v>
      </c>
      <c r="U316" t="s">
        <v>1462</v>
      </c>
      <c r="V316" t="s">
        <v>1463</v>
      </c>
      <c r="Z316">
        <v>110.70882</v>
      </c>
      <c r="AA316">
        <v>-6.6393199999999997</v>
      </c>
      <c r="AB316" t="s">
        <v>963</v>
      </c>
      <c r="AC316" t="s">
        <v>225</v>
      </c>
      <c r="AL316" t="s">
        <v>217</v>
      </c>
      <c r="AM316" t="s">
        <v>1464</v>
      </c>
      <c r="AN316" t="s">
        <v>6</v>
      </c>
      <c r="AO316" s="57">
        <v>46031.413310185184</v>
      </c>
      <c r="AR316" t="s">
        <v>218</v>
      </c>
      <c r="AS316" t="s">
        <v>219</v>
      </c>
      <c r="AT316" t="s">
        <v>230</v>
      </c>
      <c r="AU316">
        <v>20260901</v>
      </c>
      <c r="AV316" t="s">
        <v>221</v>
      </c>
      <c r="AW316" t="s">
        <v>585</v>
      </c>
      <c r="AX316" t="s">
        <v>222</v>
      </c>
      <c r="BA316" s="57">
        <v>46266.291666666664</v>
      </c>
      <c r="BB316" t="s">
        <v>1464</v>
      </c>
      <c r="BC316">
        <v>2026</v>
      </c>
      <c r="BD316">
        <v>9</v>
      </c>
      <c r="BE316">
        <v>1</v>
      </c>
      <c r="BF316" s="6">
        <f t="shared" si="12"/>
        <v>46266</v>
      </c>
      <c r="BG316">
        <f t="shared" si="13"/>
        <v>-0.29166666666424135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1002565698</v>
      </c>
      <c r="C317">
        <v>3</v>
      </c>
      <c r="D317" t="s">
        <v>45</v>
      </c>
      <c r="E317">
        <v>5</v>
      </c>
      <c r="F317" t="s">
        <v>210</v>
      </c>
      <c r="G317" t="s">
        <v>112</v>
      </c>
      <c r="H317" t="s">
        <v>263</v>
      </c>
      <c r="I317" t="s">
        <v>212</v>
      </c>
      <c r="J317" t="s">
        <v>213</v>
      </c>
      <c r="K317" t="s">
        <v>149</v>
      </c>
      <c r="M317" t="s">
        <v>76</v>
      </c>
      <c r="N317" t="s">
        <v>215</v>
      </c>
      <c r="O317" s="57">
        <v>46266.607476851852</v>
      </c>
      <c r="P317" s="57">
        <v>46266.68209490741</v>
      </c>
      <c r="Q317">
        <v>69376585</v>
      </c>
      <c r="S317">
        <v>172601797534</v>
      </c>
      <c r="T317" t="s">
        <v>922</v>
      </c>
      <c r="U317" t="s">
        <v>923</v>
      </c>
      <c r="V317" t="s">
        <v>1465</v>
      </c>
      <c r="Z317">
        <v>116.11380029999999</v>
      </c>
      <c r="AA317">
        <v>-8.6038099999999993</v>
      </c>
      <c r="AB317" t="s">
        <v>959</v>
      </c>
      <c r="AC317" t="s">
        <v>225</v>
      </c>
      <c r="AL317" t="s">
        <v>217</v>
      </c>
      <c r="AM317" t="s">
        <v>1466</v>
      </c>
      <c r="AN317" t="s">
        <v>6</v>
      </c>
      <c r="AO317" s="57">
        <v>46031.611076388886</v>
      </c>
      <c r="AR317" t="s">
        <v>218</v>
      </c>
      <c r="AS317" t="s">
        <v>219</v>
      </c>
      <c r="AT317" t="s">
        <v>220</v>
      </c>
      <c r="AU317">
        <v>20260901</v>
      </c>
      <c r="AV317" t="s">
        <v>221</v>
      </c>
      <c r="AW317" t="s">
        <v>598</v>
      </c>
      <c r="AX317" t="s">
        <v>222</v>
      </c>
      <c r="BA317" s="57">
        <v>46266.291666666664</v>
      </c>
      <c r="BB317" t="s">
        <v>1466</v>
      </c>
      <c r="BC317">
        <v>2026</v>
      </c>
      <c r="BD317">
        <v>9</v>
      </c>
      <c r="BE317">
        <v>1</v>
      </c>
      <c r="BF317" s="6">
        <f t="shared" si="12"/>
        <v>46266</v>
      </c>
      <c r="BG317">
        <f t="shared" si="13"/>
        <v>-0.29166666666424135</v>
      </c>
      <c r="BH317" t="str">
        <f t="shared" si="14"/>
        <v>COMPLY</v>
      </c>
      <c r="BI317" t="str">
        <f>VLOOKUP(H317,Sheet2!$A$1:$B$270,2,FALSE)</f>
        <v>MATARAM</v>
      </c>
    </row>
    <row r="318" spans="1:61">
      <c r="A318">
        <v>317</v>
      </c>
      <c r="B318">
        <v>1002564495</v>
      </c>
      <c r="C318">
        <v>3</v>
      </c>
      <c r="D318" t="s">
        <v>55</v>
      </c>
      <c r="E318">
        <v>5</v>
      </c>
      <c r="F318" t="s">
        <v>261</v>
      </c>
      <c r="G318" t="s">
        <v>126</v>
      </c>
      <c r="H318" t="s">
        <v>262</v>
      </c>
      <c r="I318" t="s">
        <v>212</v>
      </c>
      <c r="J318" t="s">
        <v>213</v>
      </c>
      <c r="K318" t="s">
        <v>149</v>
      </c>
      <c r="M318" t="s">
        <v>76</v>
      </c>
      <c r="N318" t="s">
        <v>215</v>
      </c>
      <c r="O318" s="57">
        <v>46266.406087962961</v>
      </c>
      <c r="P318" s="57">
        <v>46266.473483796297</v>
      </c>
      <c r="Q318">
        <v>69359764</v>
      </c>
      <c r="S318">
        <v>152413167896</v>
      </c>
      <c r="T318" t="s">
        <v>861</v>
      </c>
      <c r="U318" t="s">
        <v>1467</v>
      </c>
      <c r="V318" t="s">
        <v>1468</v>
      </c>
      <c r="Z318">
        <v>112.751255</v>
      </c>
      <c r="AA318">
        <v>-7.2597950000000004</v>
      </c>
      <c r="AB318" t="s">
        <v>863</v>
      </c>
      <c r="AC318" t="s">
        <v>216</v>
      </c>
      <c r="AL318" t="s">
        <v>217</v>
      </c>
      <c r="AM318" t="s">
        <v>1469</v>
      </c>
      <c r="AN318" t="s">
        <v>6</v>
      </c>
      <c r="AO318" s="57">
        <v>46031.413310185184</v>
      </c>
      <c r="AR318" t="s">
        <v>218</v>
      </c>
      <c r="AS318" t="s">
        <v>575</v>
      </c>
      <c r="AT318" t="s">
        <v>230</v>
      </c>
      <c r="AU318">
        <v>20260901</v>
      </c>
      <c r="AV318" t="s">
        <v>221</v>
      </c>
      <c r="AW318" t="s">
        <v>545</v>
      </c>
      <c r="AX318" t="s">
        <v>222</v>
      </c>
      <c r="BA318" s="57">
        <v>46266.291666666664</v>
      </c>
      <c r="BB318" t="s">
        <v>1469</v>
      </c>
      <c r="BC318">
        <v>2026</v>
      </c>
      <c r="BD318">
        <v>9</v>
      </c>
      <c r="BE318">
        <v>1</v>
      </c>
      <c r="BF318" s="6">
        <f t="shared" si="12"/>
        <v>46266</v>
      </c>
      <c r="BG318">
        <f t="shared" si="13"/>
        <v>-0.29166666666424135</v>
      </c>
      <c r="BH318" t="str">
        <f t="shared" si="14"/>
        <v>COMPLY</v>
      </c>
      <c r="BI318" t="str">
        <f>VLOOKUP(H318,Sheet2!$A$1:$B$270,2,FALSE)</f>
        <v>SURABAYA SELATAN</v>
      </c>
    </row>
    <row r="319" spans="1:61">
      <c r="A319">
        <v>318</v>
      </c>
      <c r="B319">
        <v>1002566276</v>
      </c>
      <c r="C319">
        <v>3</v>
      </c>
      <c r="D319" t="s">
        <v>59</v>
      </c>
      <c r="E319">
        <v>4</v>
      </c>
      <c r="F319" t="s">
        <v>242</v>
      </c>
      <c r="G319" t="s">
        <v>242</v>
      </c>
      <c r="H319" t="s">
        <v>288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46266.693715277775</v>
      </c>
      <c r="P319" s="57">
        <v>46267.598333333335</v>
      </c>
      <c r="Q319">
        <v>69381721</v>
      </c>
      <c r="S319">
        <v>146137147391</v>
      </c>
      <c r="T319" t="s">
        <v>1214</v>
      </c>
      <c r="U319" t="s">
        <v>1215</v>
      </c>
      <c r="V319" t="s">
        <v>1216</v>
      </c>
      <c r="Z319">
        <v>110.31212480000001</v>
      </c>
      <c r="AA319">
        <v>-7.4485051000000002</v>
      </c>
      <c r="AB319" t="s">
        <v>1217</v>
      </c>
      <c r="AC319" t="s">
        <v>236</v>
      </c>
      <c r="AL319" t="s">
        <v>217</v>
      </c>
      <c r="AM319" t="s">
        <v>1218</v>
      </c>
      <c r="AN319" t="s">
        <v>6</v>
      </c>
      <c r="AO319" s="57">
        <v>46031.694467592592</v>
      </c>
      <c r="AP319" s="57">
        <v>46267.541666666664</v>
      </c>
      <c r="AR319" t="s">
        <v>218</v>
      </c>
      <c r="AS319" t="s">
        <v>219</v>
      </c>
      <c r="AT319" t="s">
        <v>230</v>
      </c>
      <c r="AU319">
        <v>20260902</v>
      </c>
      <c r="AV319" t="s">
        <v>221</v>
      </c>
      <c r="AW319" t="s">
        <v>890</v>
      </c>
      <c r="AX319" t="s">
        <v>222</v>
      </c>
      <c r="BA319" s="57">
        <v>46267.541666666664</v>
      </c>
      <c r="BB319" t="s">
        <v>1218</v>
      </c>
      <c r="BC319">
        <v>2026</v>
      </c>
      <c r="BD319">
        <v>9</v>
      </c>
      <c r="BE319">
        <v>2</v>
      </c>
      <c r="BF319" s="6">
        <f t="shared" si="12"/>
        <v>46267</v>
      </c>
      <c r="BG319">
        <f t="shared" si="13"/>
        <v>-0.54166666666424135</v>
      </c>
      <c r="BH319" t="str">
        <f t="shared" si="14"/>
        <v>COMPLY</v>
      </c>
      <c r="BI319" t="e">
        <f>VLOOKUP(H319,Sheet2!$A$1:$B$270,2,FALSE)</f>
        <v>#N/A</v>
      </c>
    </row>
    <row r="320" spans="1:61">
      <c r="A320">
        <v>319</v>
      </c>
      <c r="B320">
        <v>1002565406</v>
      </c>
      <c r="C320">
        <v>3</v>
      </c>
      <c r="D320" t="s">
        <v>38</v>
      </c>
      <c r="E320">
        <v>5</v>
      </c>
      <c r="F320" t="s">
        <v>248</v>
      </c>
      <c r="G320" t="s">
        <v>87</v>
      </c>
      <c r="H320" t="s">
        <v>354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46266.558993055558</v>
      </c>
      <c r="P320" s="57">
        <v>46267.604895833334</v>
      </c>
      <c r="Q320">
        <v>69381495</v>
      </c>
      <c r="S320">
        <v>152707239344</v>
      </c>
      <c r="T320" t="s">
        <v>1219</v>
      </c>
      <c r="U320" t="s">
        <v>1220</v>
      </c>
      <c r="V320" t="s">
        <v>1221</v>
      </c>
      <c r="Z320">
        <v>112.54147330000001</v>
      </c>
      <c r="AA320">
        <v>-7.8921427</v>
      </c>
      <c r="AB320" t="s">
        <v>1222</v>
      </c>
      <c r="AC320" t="s">
        <v>236</v>
      </c>
      <c r="AL320" t="s">
        <v>217</v>
      </c>
      <c r="AM320" t="s">
        <v>1223</v>
      </c>
      <c r="AN320" t="s">
        <v>6</v>
      </c>
      <c r="AO320" s="57">
        <v>46031.569398148145</v>
      </c>
      <c r="AP320" s="57">
        <v>46267.541666666664</v>
      </c>
      <c r="AR320" t="s">
        <v>218</v>
      </c>
      <c r="AS320" t="s">
        <v>87</v>
      </c>
      <c r="AT320" t="s">
        <v>230</v>
      </c>
      <c r="AU320">
        <v>20260902</v>
      </c>
      <c r="AV320" t="s">
        <v>221</v>
      </c>
      <c r="AW320" t="s">
        <v>884</v>
      </c>
      <c r="AX320" t="s">
        <v>222</v>
      </c>
      <c r="BA320" s="57">
        <v>46267.541666666664</v>
      </c>
      <c r="BB320" t="s">
        <v>1223</v>
      </c>
      <c r="BC320">
        <v>2026</v>
      </c>
      <c r="BD320">
        <v>9</v>
      </c>
      <c r="BE320">
        <v>2</v>
      </c>
      <c r="BF320" s="6">
        <f t="shared" si="12"/>
        <v>46267</v>
      </c>
      <c r="BG320">
        <f t="shared" si="13"/>
        <v>-0.54166666666424135</v>
      </c>
      <c r="BH320" t="str">
        <f t="shared" si="14"/>
        <v>COMPLY</v>
      </c>
      <c r="BI320" t="str">
        <f>VLOOKUP(H320,Sheet2!$A$1:$B$270,2,FALSE)</f>
        <v>BATU</v>
      </c>
    </row>
    <row r="321" spans="1:61">
      <c r="A321">
        <v>320</v>
      </c>
      <c r="B321">
        <v>1002565062</v>
      </c>
      <c r="C321">
        <v>3</v>
      </c>
      <c r="D321" t="s">
        <v>45</v>
      </c>
      <c r="E321">
        <v>5</v>
      </c>
      <c r="F321" t="s">
        <v>210</v>
      </c>
      <c r="G321" t="s">
        <v>116</v>
      </c>
      <c r="H321" t="s">
        <v>268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46266.479120370372</v>
      </c>
      <c r="P321" s="57">
        <v>46267.570324074077</v>
      </c>
      <c r="Q321">
        <v>69381411</v>
      </c>
      <c r="S321">
        <v>172604214268</v>
      </c>
      <c r="T321" t="s">
        <v>1224</v>
      </c>
      <c r="U321" t="s">
        <v>2070</v>
      </c>
      <c r="V321" t="s">
        <v>1225</v>
      </c>
      <c r="Z321">
        <v>116.0894498</v>
      </c>
      <c r="AA321">
        <v>-8.4311583999999993</v>
      </c>
      <c r="AB321" t="s">
        <v>1226</v>
      </c>
      <c r="AC321" t="s">
        <v>216</v>
      </c>
      <c r="AL321" t="s">
        <v>217</v>
      </c>
      <c r="AM321" t="s">
        <v>1227</v>
      </c>
      <c r="AN321" t="s">
        <v>6</v>
      </c>
      <c r="AO321" s="57">
        <v>46031.48609953704</v>
      </c>
      <c r="AP321" s="57">
        <v>46268.541666666664</v>
      </c>
      <c r="AR321" t="s">
        <v>218</v>
      </c>
      <c r="AS321" t="s">
        <v>912</v>
      </c>
      <c r="AT321" t="s">
        <v>230</v>
      </c>
      <c r="AU321">
        <v>20260902</v>
      </c>
      <c r="AV321" t="s">
        <v>221</v>
      </c>
      <c r="AW321" t="s">
        <v>831</v>
      </c>
      <c r="AX321" t="s">
        <v>222</v>
      </c>
      <c r="BA321" s="57">
        <v>46268.541666666664</v>
      </c>
      <c r="BB321" t="s">
        <v>1227</v>
      </c>
      <c r="BC321">
        <v>2026</v>
      </c>
      <c r="BD321">
        <v>9</v>
      </c>
      <c r="BE321">
        <v>2</v>
      </c>
      <c r="BF321" s="6">
        <f t="shared" si="12"/>
        <v>46267</v>
      </c>
      <c r="BG321">
        <f t="shared" si="13"/>
        <v>-1.5416666666642413</v>
      </c>
      <c r="BH321" t="str">
        <f t="shared" si="14"/>
        <v>COMPLY</v>
      </c>
      <c r="BI321" t="str">
        <f>VLOOKUP(H321,Sheet2!$A$1:$B$270,2,FALSE)</f>
        <v>SELONG</v>
      </c>
    </row>
    <row r="322" spans="1:61">
      <c r="A322">
        <v>321</v>
      </c>
      <c r="B322">
        <v>1002566521</v>
      </c>
      <c r="C322">
        <v>3</v>
      </c>
      <c r="D322" t="s">
        <v>51</v>
      </c>
      <c r="E322">
        <v>4</v>
      </c>
      <c r="F322" t="s">
        <v>269</v>
      </c>
      <c r="G322" t="s">
        <v>823</v>
      </c>
      <c r="H322" t="s">
        <v>837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46266.824965277781</v>
      </c>
      <c r="P322" s="57">
        <v>46267.564988425926</v>
      </c>
      <c r="Q322">
        <v>69381888</v>
      </c>
      <c r="S322">
        <v>146593115587</v>
      </c>
      <c r="T322" t="s">
        <v>1228</v>
      </c>
      <c r="U322" t="s">
        <v>2071</v>
      </c>
      <c r="V322" t="s">
        <v>1229</v>
      </c>
      <c r="Z322">
        <v>110.768336469944</v>
      </c>
      <c r="AA322">
        <v>-6.72109014731969</v>
      </c>
      <c r="AB322" t="s">
        <v>1230</v>
      </c>
      <c r="AC322" t="s">
        <v>216</v>
      </c>
      <c r="AL322" t="s">
        <v>217</v>
      </c>
      <c r="AM322" t="s">
        <v>1231</v>
      </c>
      <c r="AN322" t="s">
        <v>6</v>
      </c>
      <c r="AO322" s="57">
        <v>46031.829826388886</v>
      </c>
      <c r="AP322" s="57">
        <v>46268.333333333336</v>
      </c>
      <c r="AR322" t="s">
        <v>218</v>
      </c>
      <c r="AS322" t="s">
        <v>919</v>
      </c>
      <c r="AT322" t="s">
        <v>230</v>
      </c>
      <c r="AU322">
        <v>20260902</v>
      </c>
      <c r="AV322" t="s">
        <v>221</v>
      </c>
      <c r="AW322" t="s">
        <v>885</v>
      </c>
      <c r="AX322" t="s">
        <v>222</v>
      </c>
      <c r="BA322" s="57">
        <v>46268.333333333336</v>
      </c>
      <c r="BB322" t="s">
        <v>1231</v>
      </c>
      <c r="BC322">
        <v>2026</v>
      </c>
      <c r="BD322">
        <v>9</v>
      </c>
      <c r="BE322">
        <v>2</v>
      </c>
      <c r="BF322" s="6">
        <f t="shared" ref="BF322:BF385" si="15">DATE(BC322,BD322,BE322)</f>
        <v>46267</v>
      </c>
      <c r="BG322">
        <f t="shared" ref="BG322:BG385" si="16">BF322-BA322</f>
        <v>-1.3333333333357587</v>
      </c>
      <c r="BH322" t="str">
        <f t="shared" ref="BH322:BH385" si="17">IF(BG322=1,"COMPLY",IF(BG322&lt;1,"COMPLY","NOT COMPLY"))</f>
        <v>COMPLY</v>
      </c>
      <c r="BI322" t="e">
        <f>VLOOKUP(H322,Sheet2!$A$1:$B$270,2,FALSE)</f>
        <v>#N/A</v>
      </c>
    </row>
    <row r="323" spans="1:61">
      <c r="A323">
        <v>322</v>
      </c>
      <c r="B323">
        <v>1002566093</v>
      </c>
      <c r="C323">
        <v>3</v>
      </c>
      <c r="D323" t="s">
        <v>55</v>
      </c>
      <c r="E323">
        <v>5</v>
      </c>
      <c r="F323" t="s">
        <v>261</v>
      </c>
      <c r="G323" t="s">
        <v>126</v>
      </c>
      <c r="H323" t="s">
        <v>262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46266.661076388889</v>
      </c>
      <c r="P323" s="57">
        <v>46267.525937500002</v>
      </c>
      <c r="Q323">
        <v>69381678</v>
      </c>
      <c r="S323">
        <v>152413167908</v>
      </c>
      <c r="T323" t="s">
        <v>1237</v>
      </c>
      <c r="U323" t="s">
        <v>1238</v>
      </c>
      <c r="V323" t="s">
        <v>1239</v>
      </c>
      <c r="Z323">
        <v>112.737238658344</v>
      </c>
      <c r="AA323">
        <v>-7.2498527509245596</v>
      </c>
      <c r="AB323" t="s">
        <v>1240</v>
      </c>
      <c r="AC323" t="s">
        <v>216</v>
      </c>
      <c r="AL323" t="s">
        <v>217</v>
      </c>
      <c r="AM323" t="s">
        <v>1122</v>
      </c>
      <c r="AN323" t="s">
        <v>6</v>
      </c>
      <c r="AO323" s="57">
        <v>46031.663206018522</v>
      </c>
      <c r="AP323" s="57">
        <v>46267.625</v>
      </c>
      <c r="AR323" t="s">
        <v>218</v>
      </c>
      <c r="AS323" t="s">
        <v>575</v>
      </c>
      <c r="AT323" t="s">
        <v>230</v>
      </c>
      <c r="AU323">
        <v>20260902</v>
      </c>
      <c r="AV323" t="s">
        <v>221</v>
      </c>
      <c r="AW323" t="s">
        <v>886</v>
      </c>
      <c r="AX323" t="s">
        <v>222</v>
      </c>
      <c r="BA323" s="57">
        <v>46267.625</v>
      </c>
      <c r="BB323" t="s">
        <v>1122</v>
      </c>
      <c r="BC323">
        <v>2026</v>
      </c>
      <c r="BD323">
        <v>9</v>
      </c>
      <c r="BE323">
        <v>2</v>
      </c>
      <c r="BF323" s="6">
        <f t="shared" si="15"/>
        <v>46267</v>
      </c>
      <c r="BG323">
        <f t="shared" si="16"/>
        <v>-0.625</v>
      </c>
      <c r="BH323" t="str">
        <f t="shared" si="17"/>
        <v>COMPLY</v>
      </c>
      <c r="BI323" t="str">
        <f>VLOOKUP(H323,Sheet2!$A$1:$B$270,2,FALSE)</f>
        <v>SURABAYA SELATAN</v>
      </c>
    </row>
    <row r="324" spans="1:61">
      <c r="A324">
        <v>323</v>
      </c>
      <c r="B324">
        <v>1002564164</v>
      </c>
      <c r="C324">
        <v>3</v>
      </c>
      <c r="D324" t="s">
        <v>55</v>
      </c>
      <c r="E324">
        <v>5</v>
      </c>
      <c r="F324" t="s">
        <v>261</v>
      </c>
      <c r="G324" t="s">
        <v>126</v>
      </c>
      <c r="H324" t="s">
        <v>262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46266.365300925929</v>
      </c>
      <c r="P324" s="57">
        <v>46266.455138888887</v>
      </c>
      <c r="Q324">
        <v>69379119</v>
      </c>
      <c r="S324">
        <v>152413167888</v>
      </c>
      <c r="T324" t="s">
        <v>985</v>
      </c>
      <c r="U324" t="s">
        <v>1038</v>
      </c>
      <c r="V324" t="s">
        <v>1470</v>
      </c>
      <c r="Z324">
        <v>112.7345</v>
      </c>
      <c r="AA324">
        <v>-7.2671000000000001</v>
      </c>
      <c r="AB324" t="s">
        <v>986</v>
      </c>
      <c r="AC324" t="s">
        <v>229</v>
      </c>
      <c r="AL324" t="s">
        <v>217</v>
      </c>
      <c r="AM324" t="s">
        <v>1037</v>
      </c>
      <c r="AN324" t="s">
        <v>6</v>
      </c>
      <c r="AO324" s="57">
        <v>46031.37159722222</v>
      </c>
      <c r="AR324" t="s">
        <v>218</v>
      </c>
      <c r="AS324" t="s">
        <v>575</v>
      </c>
      <c r="AT324" t="s">
        <v>230</v>
      </c>
      <c r="AU324">
        <v>20260901</v>
      </c>
      <c r="AV324" t="s">
        <v>221</v>
      </c>
      <c r="AW324" t="s">
        <v>545</v>
      </c>
      <c r="AX324" t="s">
        <v>222</v>
      </c>
      <c r="BA324" s="57">
        <v>46266.291666666664</v>
      </c>
      <c r="BB324" t="s">
        <v>1037</v>
      </c>
      <c r="BC324">
        <v>2026</v>
      </c>
      <c r="BD324">
        <v>9</v>
      </c>
      <c r="BE324">
        <v>1</v>
      </c>
      <c r="BF324" s="6">
        <f t="shared" si="15"/>
        <v>46266</v>
      </c>
      <c r="BG324">
        <f t="shared" si="16"/>
        <v>-0.29166666666424135</v>
      </c>
      <c r="BH324" t="str">
        <f t="shared" si="17"/>
        <v>COMPLY</v>
      </c>
      <c r="BI324" t="str">
        <f>VLOOKUP(H324,Sheet2!$A$1:$B$270,2,FALSE)</f>
        <v>SURABAYA SELATAN</v>
      </c>
    </row>
    <row r="325" spans="1:61">
      <c r="A325">
        <v>324</v>
      </c>
      <c r="B325">
        <v>1002564167</v>
      </c>
      <c r="C325">
        <v>3</v>
      </c>
      <c r="D325" t="s">
        <v>45</v>
      </c>
      <c r="E325">
        <v>5</v>
      </c>
      <c r="F325" t="s">
        <v>210</v>
      </c>
      <c r="G325" t="s">
        <v>112</v>
      </c>
      <c r="H325" t="s">
        <v>263</v>
      </c>
      <c r="I325" t="s">
        <v>212</v>
      </c>
      <c r="J325" t="s">
        <v>213</v>
      </c>
      <c r="K325" t="s">
        <v>149</v>
      </c>
      <c r="M325" t="s">
        <v>76</v>
      </c>
      <c r="N325" t="s">
        <v>215</v>
      </c>
      <c r="O325" s="57">
        <v>46266.365601851852</v>
      </c>
      <c r="P325" s="57">
        <v>46267.406863425924</v>
      </c>
      <c r="Q325">
        <v>69378690</v>
      </c>
      <c r="S325">
        <v>172601797511</v>
      </c>
      <c r="T325" t="s">
        <v>1017</v>
      </c>
      <c r="U325" t="s">
        <v>1400</v>
      </c>
      <c r="V325" t="s">
        <v>1401</v>
      </c>
      <c r="Z325">
        <v>116.0652328</v>
      </c>
      <c r="AA325">
        <v>-8.5082637000000005</v>
      </c>
      <c r="AB325" t="s">
        <v>1018</v>
      </c>
      <c r="AC325" t="s">
        <v>284</v>
      </c>
      <c r="AL325" t="s">
        <v>217</v>
      </c>
      <c r="AM325" t="s">
        <v>1402</v>
      </c>
      <c r="AN325" t="s">
        <v>6</v>
      </c>
      <c r="AO325" s="57">
        <v>46031.37159722222</v>
      </c>
      <c r="AR325" t="s">
        <v>218</v>
      </c>
      <c r="AS325" t="s">
        <v>219</v>
      </c>
      <c r="AT325" t="s">
        <v>230</v>
      </c>
      <c r="AU325">
        <v>20260902</v>
      </c>
      <c r="AV325" t="s">
        <v>221</v>
      </c>
      <c r="AW325" t="s">
        <v>545</v>
      </c>
      <c r="AX325" t="s">
        <v>222</v>
      </c>
      <c r="BA325" s="57">
        <v>46266.291666666664</v>
      </c>
      <c r="BB325" t="s">
        <v>1402</v>
      </c>
      <c r="BC325">
        <v>2026</v>
      </c>
      <c r="BD325">
        <v>9</v>
      </c>
      <c r="BE325">
        <v>2</v>
      </c>
      <c r="BF325" s="6">
        <f t="shared" si="15"/>
        <v>46267</v>
      </c>
      <c r="BG325">
        <f t="shared" si="16"/>
        <v>0.70833333333575865</v>
      </c>
      <c r="BH325" t="str">
        <f t="shared" si="17"/>
        <v>COMPLY</v>
      </c>
      <c r="BI325" t="str">
        <f>VLOOKUP(H325,Sheet2!$A$1:$B$270,2,FALSE)</f>
        <v>MATARAM</v>
      </c>
    </row>
    <row r="326" spans="1:61">
      <c r="A326">
        <v>325</v>
      </c>
      <c r="B326">
        <v>1002565076</v>
      </c>
      <c r="C326">
        <v>3</v>
      </c>
      <c r="D326" t="s">
        <v>51</v>
      </c>
      <c r="E326">
        <v>4</v>
      </c>
      <c r="F326" t="s">
        <v>234</v>
      </c>
      <c r="G326" t="s">
        <v>562</v>
      </c>
      <c r="H326" t="s">
        <v>854</v>
      </c>
      <c r="I326" t="s">
        <v>212</v>
      </c>
      <c r="J326" t="s">
        <v>213</v>
      </c>
      <c r="K326" t="s">
        <v>149</v>
      </c>
      <c r="M326" t="s">
        <v>76</v>
      </c>
      <c r="N326" t="s">
        <v>215</v>
      </c>
      <c r="O326" s="57">
        <v>46266.483472222222</v>
      </c>
      <c r="P326" s="57">
        <v>46266.522685185184</v>
      </c>
      <c r="Q326">
        <v>69365080</v>
      </c>
      <c r="S326">
        <v>142566103555</v>
      </c>
      <c r="T326" t="s">
        <v>878</v>
      </c>
      <c r="U326" t="s">
        <v>1471</v>
      </c>
      <c r="V326" t="s">
        <v>1472</v>
      </c>
      <c r="Z326">
        <v>110.82982891</v>
      </c>
      <c r="AA326">
        <v>-7.5508999330000002</v>
      </c>
      <c r="AB326" t="s">
        <v>879</v>
      </c>
      <c r="AC326" t="s">
        <v>285</v>
      </c>
      <c r="AL326" t="s">
        <v>217</v>
      </c>
      <c r="AM326" t="s">
        <v>1473</v>
      </c>
      <c r="AN326" t="s">
        <v>6</v>
      </c>
      <c r="AO326" s="57">
        <v>46031.48609953704</v>
      </c>
      <c r="AR326" t="s">
        <v>218</v>
      </c>
      <c r="AS326" t="s">
        <v>914</v>
      </c>
      <c r="AT326" t="s">
        <v>230</v>
      </c>
      <c r="AU326">
        <v>20260901</v>
      </c>
      <c r="AV326" t="s">
        <v>221</v>
      </c>
      <c r="AW326" t="s">
        <v>545</v>
      </c>
      <c r="AX326" t="s">
        <v>222</v>
      </c>
      <c r="BA326" s="57">
        <v>46266.291666666664</v>
      </c>
      <c r="BB326" t="s">
        <v>1473</v>
      </c>
      <c r="BC326">
        <v>2026</v>
      </c>
      <c r="BD326">
        <v>9</v>
      </c>
      <c r="BE326">
        <v>1</v>
      </c>
      <c r="BF326" s="6">
        <f t="shared" si="15"/>
        <v>46266</v>
      </c>
      <c r="BG326">
        <f t="shared" si="16"/>
        <v>-0.29166666666424135</v>
      </c>
      <c r="BH326" t="str">
        <f t="shared" si="17"/>
        <v>COMPLY</v>
      </c>
      <c r="BI326" t="e">
        <f>VLOOKUP(H326,Sheet2!$A$1:$B$270,2,FALSE)</f>
        <v>#N/A</v>
      </c>
    </row>
    <row r="327" spans="1:61">
      <c r="A327">
        <v>326</v>
      </c>
      <c r="B327">
        <v>1002565865</v>
      </c>
      <c r="C327">
        <v>3</v>
      </c>
      <c r="D327" t="s">
        <v>38</v>
      </c>
      <c r="E327">
        <v>5</v>
      </c>
      <c r="F327" t="s">
        <v>90</v>
      </c>
      <c r="G327" t="s">
        <v>90</v>
      </c>
      <c r="H327" t="s">
        <v>458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46266.633310185185</v>
      </c>
      <c r="P327" s="57">
        <v>46267.482071759259</v>
      </c>
      <c r="Q327">
        <v>69381655</v>
      </c>
      <c r="S327">
        <v>152652205004</v>
      </c>
      <c r="T327" t="s">
        <v>1245</v>
      </c>
      <c r="U327" t="s">
        <v>1246</v>
      </c>
      <c r="V327" t="s">
        <v>1247</v>
      </c>
      <c r="Z327">
        <v>112.105591</v>
      </c>
      <c r="AA327">
        <v>-7.6803629999999998</v>
      </c>
      <c r="AB327" t="s">
        <v>1248</v>
      </c>
      <c r="AC327" t="s">
        <v>236</v>
      </c>
      <c r="AL327" t="s">
        <v>217</v>
      </c>
      <c r="AM327" t="s">
        <v>1249</v>
      </c>
      <c r="AN327" t="s">
        <v>6</v>
      </c>
      <c r="AO327" s="57">
        <v>46031.642361111109</v>
      </c>
      <c r="AP327" s="57">
        <v>46267.541666666664</v>
      </c>
      <c r="AR327" t="s">
        <v>218</v>
      </c>
      <c r="AS327" t="s">
        <v>304</v>
      </c>
      <c r="AT327" t="s">
        <v>230</v>
      </c>
      <c r="AU327">
        <v>20260902</v>
      </c>
      <c r="AV327" t="s">
        <v>221</v>
      </c>
      <c r="AW327" t="s">
        <v>882</v>
      </c>
      <c r="AX327" t="s">
        <v>222</v>
      </c>
      <c r="BA327" s="57">
        <v>46267.541666666664</v>
      </c>
      <c r="BB327" t="s">
        <v>1249</v>
      </c>
      <c r="BC327">
        <v>2026</v>
      </c>
      <c r="BD327">
        <v>9</v>
      </c>
      <c r="BE327">
        <v>2</v>
      </c>
      <c r="BF327" s="6">
        <f t="shared" si="15"/>
        <v>46267</v>
      </c>
      <c r="BG327">
        <f t="shared" si="16"/>
        <v>-0.54166666666424135</v>
      </c>
      <c r="BH327" t="str">
        <f t="shared" si="17"/>
        <v>COMPLY</v>
      </c>
      <c r="BI327" t="str">
        <f>VLOOKUP(H327,Sheet2!$A$1:$B$270,2,FALSE)</f>
        <v>KEDIRI</v>
      </c>
    </row>
    <row r="328" spans="1:61">
      <c r="A328">
        <v>327</v>
      </c>
      <c r="B328">
        <v>1002566411</v>
      </c>
      <c r="C328">
        <v>3</v>
      </c>
      <c r="D328" t="s">
        <v>49</v>
      </c>
      <c r="E328">
        <v>4</v>
      </c>
      <c r="F328" t="s">
        <v>245</v>
      </c>
      <c r="G328" t="s">
        <v>246</v>
      </c>
      <c r="H328" t="s">
        <v>834</v>
      </c>
      <c r="I328" t="s">
        <v>212</v>
      </c>
      <c r="J328" t="s">
        <v>213</v>
      </c>
      <c r="K328" t="s">
        <v>149</v>
      </c>
      <c r="M328" t="s">
        <v>76</v>
      </c>
      <c r="N328" t="s">
        <v>215</v>
      </c>
      <c r="O328" s="57">
        <v>46266.733587962961</v>
      </c>
      <c r="P328" s="57">
        <v>46266.763611111113</v>
      </c>
      <c r="Q328">
        <v>69379981</v>
      </c>
      <c r="S328">
        <v>142410346458</v>
      </c>
      <c r="T328" t="s">
        <v>994</v>
      </c>
      <c r="U328" t="s">
        <v>1474</v>
      </c>
      <c r="V328" t="s">
        <v>1475</v>
      </c>
      <c r="Z328">
        <v>110.57664844999999</v>
      </c>
      <c r="AA328">
        <v>-7.0446439280000002</v>
      </c>
      <c r="AB328" t="s">
        <v>995</v>
      </c>
      <c r="AC328" t="s">
        <v>216</v>
      </c>
      <c r="AL328" t="s">
        <v>217</v>
      </c>
      <c r="AM328" t="s">
        <v>1476</v>
      </c>
      <c r="AN328" t="s">
        <v>6</v>
      </c>
      <c r="AO328" s="57">
        <v>46031.736030092594</v>
      </c>
      <c r="AR328" t="s">
        <v>218</v>
      </c>
      <c r="AS328" t="s">
        <v>911</v>
      </c>
      <c r="AT328" t="s">
        <v>230</v>
      </c>
      <c r="AU328">
        <v>20260901</v>
      </c>
      <c r="AV328" t="s">
        <v>221</v>
      </c>
      <c r="AW328" t="s">
        <v>578</v>
      </c>
      <c r="AX328" t="s">
        <v>222</v>
      </c>
      <c r="BA328" s="57">
        <v>46266.291666666664</v>
      </c>
      <c r="BB328" t="s">
        <v>1476</v>
      </c>
      <c r="BC328">
        <v>2026</v>
      </c>
      <c r="BD328">
        <v>9</v>
      </c>
      <c r="BE328">
        <v>1</v>
      </c>
      <c r="BF328" s="6">
        <f t="shared" si="15"/>
        <v>46266</v>
      </c>
      <c r="BG328">
        <f t="shared" si="16"/>
        <v>-0.29166666666424135</v>
      </c>
      <c r="BH328" t="str">
        <f t="shared" si="17"/>
        <v>COMPLY</v>
      </c>
      <c r="BI328" t="e">
        <f>VLOOKUP(H328,Sheet2!$A$1:$B$270,2,FALSE)</f>
        <v>#N/A</v>
      </c>
    </row>
    <row r="329" spans="1:61">
      <c r="A329">
        <v>328</v>
      </c>
      <c r="B329">
        <v>1002565896</v>
      </c>
      <c r="C329">
        <v>3</v>
      </c>
      <c r="D329" t="s">
        <v>38</v>
      </c>
      <c r="E329">
        <v>5</v>
      </c>
      <c r="F329" t="s">
        <v>90</v>
      </c>
      <c r="G329" t="s">
        <v>93</v>
      </c>
      <c r="H329" t="s">
        <v>296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46266.638148148151</v>
      </c>
      <c r="P329" s="57">
        <v>46268.633715277778</v>
      </c>
      <c r="Q329">
        <v>69381667</v>
      </c>
      <c r="S329">
        <v>152611229998</v>
      </c>
      <c r="T329" t="s">
        <v>1255</v>
      </c>
      <c r="U329" t="s">
        <v>1256</v>
      </c>
      <c r="V329" t="s">
        <v>1257</v>
      </c>
      <c r="Z329">
        <v>111.838794909417</v>
      </c>
      <c r="AA329">
        <v>-7.5491190295066302</v>
      </c>
      <c r="AB329" t="s">
        <v>1258</v>
      </c>
      <c r="AC329" t="s">
        <v>216</v>
      </c>
      <c r="AL329" t="s">
        <v>217</v>
      </c>
      <c r="AM329" t="s">
        <v>1259</v>
      </c>
      <c r="AN329" t="s">
        <v>6</v>
      </c>
      <c r="AO329" s="57">
        <v>46031.642361111109</v>
      </c>
      <c r="AP329" s="57">
        <v>46267.541666666664</v>
      </c>
      <c r="AR329" t="s">
        <v>218</v>
      </c>
      <c r="AS329" t="s">
        <v>219</v>
      </c>
      <c r="AT329" t="s">
        <v>230</v>
      </c>
      <c r="AU329">
        <v>20260903</v>
      </c>
      <c r="AV329" t="s">
        <v>221</v>
      </c>
      <c r="AW329" t="s">
        <v>883</v>
      </c>
      <c r="AX329" t="s">
        <v>222</v>
      </c>
      <c r="BA329" s="57">
        <v>46267.541666666664</v>
      </c>
      <c r="BB329" t="s">
        <v>1259</v>
      </c>
      <c r="BC329">
        <v>2026</v>
      </c>
      <c r="BD329">
        <v>9</v>
      </c>
      <c r="BE329">
        <v>3</v>
      </c>
      <c r="BF329" s="6">
        <f t="shared" si="15"/>
        <v>46268</v>
      </c>
      <c r="BG329">
        <f t="shared" si="16"/>
        <v>0.45833333333575865</v>
      </c>
      <c r="BH329" t="str">
        <f t="shared" si="17"/>
        <v>COMPLY</v>
      </c>
      <c r="BI329" t="str">
        <f>VLOOKUP(H329,Sheet2!$A$1:$B$270,2,FALSE)</f>
        <v>NGANJUK</v>
      </c>
    </row>
    <row r="330" spans="1:61">
      <c r="A330">
        <v>329</v>
      </c>
      <c r="B330">
        <v>1002564644</v>
      </c>
      <c r="C330">
        <v>3</v>
      </c>
      <c r="D330" t="s">
        <v>59</v>
      </c>
      <c r="E330">
        <v>4</v>
      </c>
      <c r="F330" t="s">
        <v>223</v>
      </c>
      <c r="G330" t="s">
        <v>314</v>
      </c>
      <c r="H330" t="s">
        <v>869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46266.424953703703</v>
      </c>
      <c r="P330" s="57">
        <v>46267.703217592592</v>
      </c>
      <c r="Q330">
        <v>69381281</v>
      </c>
      <c r="S330">
        <v>143395109404</v>
      </c>
      <c r="T330" t="s">
        <v>1260</v>
      </c>
      <c r="U330" t="s">
        <v>2072</v>
      </c>
      <c r="V330" t="s">
        <v>1261</v>
      </c>
      <c r="Z330">
        <v>109.431105022954</v>
      </c>
      <c r="AA330">
        <v>-7.4626980231590299</v>
      </c>
      <c r="AB330" t="s">
        <v>1262</v>
      </c>
      <c r="AC330" t="s">
        <v>236</v>
      </c>
      <c r="AL330" t="s">
        <v>217</v>
      </c>
      <c r="AM330" t="s">
        <v>1263</v>
      </c>
      <c r="AN330" t="s">
        <v>6</v>
      </c>
      <c r="AO330" s="57">
        <v>46031.434351851851</v>
      </c>
      <c r="AP330" s="57">
        <v>46268.625</v>
      </c>
      <c r="AR330" t="s">
        <v>218</v>
      </c>
      <c r="AS330" t="s">
        <v>918</v>
      </c>
      <c r="AT330" t="s">
        <v>230</v>
      </c>
      <c r="AU330">
        <v>20260902</v>
      </c>
      <c r="AV330" t="s">
        <v>221</v>
      </c>
      <c r="AW330" t="s">
        <v>888</v>
      </c>
      <c r="AX330" t="s">
        <v>222</v>
      </c>
      <c r="BA330" s="57">
        <v>46268.625</v>
      </c>
      <c r="BB330" t="s">
        <v>1263</v>
      </c>
      <c r="BC330">
        <v>2026</v>
      </c>
      <c r="BD330">
        <v>9</v>
      </c>
      <c r="BE330">
        <v>2</v>
      </c>
      <c r="BF330" s="6">
        <f t="shared" si="15"/>
        <v>46267</v>
      </c>
      <c r="BG330">
        <f t="shared" si="16"/>
        <v>-1.625</v>
      </c>
      <c r="BH330" t="str">
        <f t="shared" si="17"/>
        <v>COMPLY</v>
      </c>
      <c r="BI330" t="e">
        <f>VLOOKUP(H330,Sheet2!$A$1:$B$270,2,FALSE)</f>
        <v>#N/A</v>
      </c>
    </row>
    <row r="331" spans="1:61">
      <c r="A331">
        <v>330</v>
      </c>
      <c r="B331">
        <v>1002565046</v>
      </c>
      <c r="C331">
        <v>3</v>
      </c>
      <c r="D331" t="s">
        <v>49</v>
      </c>
      <c r="E331">
        <v>4</v>
      </c>
      <c r="F331" t="s">
        <v>245</v>
      </c>
      <c r="G331" t="s">
        <v>246</v>
      </c>
      <c r="H331" t="s">
        <v>832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46266.477048611108</v>
      </c>
      <c r="P331" s="57">
        <v>46267.649386574078</v>
      </c>
      <c r="Q331">
        <v>69381409</v>
      </c>
      <c r="S331">
        <v>142406122465</v>
      </c>
      <c r="T331" t="s">
        <v>1264</v>
      </c>
      <c r="U331" t="s">
        <v>1265</v>
      </c>
      <c r="V331" t="s">
        <v>1266</v>
      </c>
      <c r="Z331">
        <v>110.437211953103</v>
      </c>
      <c r="AA331">
        <v>-6.9509257691123096</v>
      </c>
      <c r="AB331" t="s">
        <v>1267</v>
      </c>
      <c r="AC331" t="s">
        <v>216</v>
      </c>
      <c r="AL331" t="s">
        <v>217</v>
      </c>
      <c r="AM331" t="s">
        <v>1268</v>
      </c>
      <c r="AN331" t="s">
        <v>6</v>
      </c>
      <c r="AO331" s="57">
        <v>46031.48609953704</v>
      </c>
      <c r="AP331" s="57">
        <v>46267.333333333336</v>
      </c>
      <c r="AR331" t="s">
        <v>218</v>
      </c>
      <c r="AS331" t="s">
        <v>900</v>
      </c>
      <c r="AT331" t="s">
        <v>230</v>
      </c>
      <c r="AU331">
        <v>20260902</v>
      </c>
      <c r="AV331" t="s">
        <v>221</v>
      </c>
      <c r="AW331" t="s">
        <v>887</v>
      </c>
      <c r="AX331" t="s">
        <v>222</v>
      </c>
      <c r="BA331" s="57">
        <v>46267.333333333336</v>
      </c>
      <c r="BB331" t="s">
        <v>1268</v>
      </c>
      <c r="BC331">
        <v>2026</v>
      </c>
      <c r="BD331">
        <v>9</v>
      </c>
      <c r="BE331">
        <v>2</v>
      </c>
      <c r="BF331" s="6">
        <f t="shared" si="15"/>
        <v>46267</v>
      </c>
      <c r="BG331">
        <f t="shared" si="16"/>
        <v>-0.33333333333575865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1002565053</v>
      </c>
      <c r="C332">
        <v>3</v>
      </c>
      <c r="D332" t="s">
        <v>49</v>
      </c>
      <c r="E332">
        <v>4</v>
      </c>
      <c r="F332" t="s">
        <v>250</v>
      </c>
      <c r="G332" t="s">
        <v>539</v>
      </c>
      <c r="H332" t="s">
        <v>577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46266.481215277781</v>
      </c>
      <c r="P332" s="57">
        <v>46267.546354166669</v>
      </c>
      <c r="Q332">
        <v>69228573</v>
      </c>
      <c r="S332">
        <v>142214107207</v>
      </c>
      <c r="T332" t="s">
        <v>1100</v>
      </c>
      <c r="U332" t="s">
        <v>960</v>
      </c>
      <c r="V332" t="s">
        <v>1269</v>
      </c>
      <c r="Z332">
        <v>108.9829376</v>
      </c>
      <c r="AA332">
        <v>-6.9595906999999997</v>
      </c>
      <c r="AB332" t="s">
        <v>1270</v>
      </c>
      <c r="AC332" t="s">
        <v>225</v>
      </c>
      <c r="AL332" t="s">
        <v>217</v>
      </c>
      <c r="AM332" t="s">
        <v>1103</v>
      </c>
      <c r="AN332" t="s">
        <v>6</v>
      </c>
      <c r="AO332" s="57">
        <v>46031.48609953704</v>
      </c>
      <c r="AP332" s="57">
        <v>46267.541666666664</v>
      </c>
      <c r="AR332" t="s">
        <v>218</v>
      </c>
      <c r="AS332" t="s">
        <v>909</v>
      </c>
      <c r="AT332" t="s">
        <v>230</v>
      </c>
      <c r="AU332">
        <v>20260902</v>
      </c>
      <c r="AV332" t="s">
        <v>221</v>
      </c>
      <c r="AW332" t="s">
        <v>545</v>
      </c>
      <c r="AX332" t="s">
        <v>222</v>
      </c>
      <c r="BA332" s="57">
        <v>46267.541666666664</v>
      </c>
      <c r="BB332" t="s">
        <v>1103</v>
      </c>
      <c r="BC332">
        <v>2026</v>
      </c>
      <c r="BD332">
        <v>9</v>
      </c>
      <c r="BE332">
        <v>2</v>
      </c>
      <c r="BF332" s="6">
        <f t="shared" si="15"/>
        <v>46267</v>
      </c>
      <c r="BG332">
        <f t="shared" si="16"/>
        <v>-0.54166666666424135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1002564711</v>
      </c>
      <c r="C333">
        <v>3</v>
      </c>
      <c r="D333" t="s">
        <v>59</v>
      </c>
      <c r="E333">
        <v>4</v>
      </c>
      <c r="F333" t="s">
        <v>549</v>
      </c>
      <c r="G333" t="s">
        <v>582</v>
      </c>
      <c r="H333" t="s">
        <v>835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46266.433298611111</v>
      </c>
      <c r="P333" s="57">
        <v>46267.598402777781</v>
      </c>
      <c r="Q333">
        <v>69381307</v>
      </c>
      <c r="S333">
        <v>146113147303</v>
      </c>
      <c r="T333" t="s">
        <v>1271</v>
      </c>
      <c r="U333" t="s">
        <v>2073</v>
      </c>
      <c r="V333" t="s">
        <v>1272</v>
      </c>
      <c r="Z333">
        <v>110.38992449135399</v>
      </c>
      <c r="AA333">
        <v>-7.7797019308825099</v>
      </c>
      <c r="AB333" t="s">
        <v>1273</v>
      </c>
      <c r="AC333" t="s">
        <v>236</v>
      </c>
      <c r="AL333" t="s">
        <v>217</v>
      </c>
      <c r="AM333" t="s">
        <v>1274</v>
      </c>
      <c r="AN333" t="s">
        <v>6</v>
      </c>
      <c r="AO333" s="57">
        <v>46031.434351851851</v>
      </c>
      <c r="AP333" s="57">
        <v>46267.541666666664</v>
      </c>
      <c r="AR333" t="s">
        <v>218</v>
      </c>
      <c r="AS333" t="s">
        <v>219</v>
      </c>
      <c r="AT333" t="s">
        <v>230</v>
      </c>
      <c r="AU333">
        <v>20260902</v>
      </c>
      <c r="AV333" t="s">
        <v>221</v>
      </c>
      <c r="AW333" t="s">
        <v>836</v>
      </c>
      <c r="AX333" t="s">
        <v>222</v>
      </c>
      <c r="BA333" s="57">
        <v>46267.541666666664</v>
      </c>
      <c r="BB333" t="s">
        <v>1274</v>
      </c>
      <c r="BC333">
        <v>2026</v>
      </c>
      <c r="BD333">
        <v>9</v>
      </c>
      <c r="BE333">
        <v>2</v>
      </c>
      <c r="BF333" s="6">
        <f t="shared" si="15"/>
        <v>46267</v>
      </c>
      <c r="BG333">
        <f t="shared" si="16"/>
        <v>-0.54166666666424135</v>
      </c>
      <c r="BH333" t="str">
        <f t="shared" si="17"/>
        <v>COMPLY</v>
      </c>
      <c r="BI333" t="e">
        <f>VLOOKUP(H333,Sheet2!$A$1:$B$270,2,FALSE)</f>
        <v>#N/A</v>
      </c>
    </row>
    <row r="334" spans="1:61">
      <c r="A334">
        <v>333</v>
      </c>
      <c r="B334">
        <v>1002565535</v>
      </c>
      <c r="C334">
        <v>3</v>
      </c>
      <c r="D334" t="s">
        <v>51</v>
      </c>
      <c r="E334">
        <v>4</v>
      </c>
      <c r="F334" t="s">
        <v>269</v>
      </c>
      <c r="G334" t="s">
        <v>551</v>
      </c>
      <c r="H334" t="s">
        <v>852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46266.583287037036</v>
      </c>
      <c r="P334" s="57">
        <v>46267.779097222221</v>
      </c>
      <c r="Q334">
        <v>69381546</v>
      </c>
      <c r="S334">
        <v>142521103415</v>
      </c>
      <c r="T334" t="s">
        <v>1275</v>
      </c>
      <c r="U334" t="s">
        <v>1276</v>
      </c>
      <c r="V334" t="s">
        <v>1277</v>
      </c>
      <c r="Z334">
        <v>110.77288299999999</v>
      </c>
      <c r="AA334">
        <v>-7.0582070000000003</v>
      </c>
      <c r="AB334" t="s">
        <v>1278</v>
      </c>
      <c r="AC334" t="s">
        <v>236</v>
      </c>
      <c r="AL334" t="s">
        <v>217</v>
      </c>
      <c r="AM334" t="s">
        <v>1023</v>
      </c>
      <c r="AN334" t="s">
        <v>6</v>
      </c>
      <c r="AO334" s="57">
        <v>46031.590208333335</v>
      </c>
      <c r="AP334" s="57">
        <v>46267.541666666664</v>
      </c>
      <c r="AR334" t="s">
        <v>218</v>
      </c>
      <c r="AS334" t="s">
        <v>913</v>
      </c>
      <c r="AT334" t="s">
        <v>230</v>
      </c>
      <c r="AU334">
        <v>20260902</v>
      </c>
      <c r="AV334" t="s">
        <v>221</v>
      </c>
      <c r="AW334" t="s">
        <v>887</v>
      </c>
      <c r="AX334" t="s">
        <v>222</v>
      </c>
      <c r="BA334" s="57">
        <v>46267.541666666664</v>
      </c>
      <c r="BB334" t="s">
        <v>1023</v>
      </c>
      <c r="BC334">
        <v>2026</v>
      </c>
      <c r="BD334">
        <v>9</v>
      </c>
      <c r="BE334">
        <v>2</v>
      </c>
      <c r="BF334" s="6">
        <f t="shared" si="15"/>
        <v>46267</v>
      </c>
      <c r="BG334">
        <f t="shared" si="16"/>
        <v>-0.54166666666424135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1002564963</v>
      </c>
      <c r="C335">
        <v>3</v>
      </c>
      <c r="D335" t="s">
        <v>42</v>
      </c>
      <c r="E335">
        <v>5</v>
      </c>
      <c r="F335" t="s">
        <v>232</v>
      </c>
      <c r="G335" t="s">
        <v>103</v>
      </c>
      <c r="H335" t="s">
        <v>294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46266.467060185183</v>
      </c>
      <c r="P335" s="57">
        <v>46267.786724537036</v>
      </c>
      <c r="Q335">
        <v>69381370</v>
      </c>
      <c r="S335">
        <v>152319208065</v>
      </c>
      <c r="T335" t="s">
        <v>957</v>
      </c>
      <c r="U335" t="s">
        <v>1279</v>
      </c>
      <c r="V335" t="s">
        <v>1280</v>
      </c>
      <c r="Z335">
        <v>112.3805254</v>
      </c>
      <c r="AA335">
        <v>-7.5600582999999997</v>
      </c>
      <c r="AB335" t="s">
        <v>958</v>
      </c>
      <c r="AC335" t="s">
        <v>587</v>
      </c>
      <c r="AL335" t="s">
        <v>217</v>
      </c>
      <c r="AM335" t="s">
        <v>1281</v>
      </c>
      <c r="AN335" t="s">
        <v>6</v>
      </c>
      <c r="AO335" s="57">
        <v>46031.475810185184</v>
      </c>
      <c r="AP335" s="57">
        <v>46267.458333333336</v>
      </c>
      <c r="AR335" t="s">
        <v>218</v>
      </c>
      <c r="AS335" t="s">
        <v>103</v>
      </c>
      <c r="AT335" t="s">
        <v>230</v>
      </c>
      <c r="AU335">
        <v>20260902</v>
      </c>
      <c r="AV335" t="s">
        <v>221</v>
      </c>
      <c r="AW335" t="s">
        <v>544</v>
      </c>
      <c r="AX335" t="s">
        <v>222</v>
      </c>
      <c r="BA335" s="57">
        <v>46267.458333333336</v>
      </c>
      <c r="BB335" t="s">
        <v>1281</v>
      </c>
      <c r="BC335">
        <v>2026</v>
      </c>
      <c r="BD335">
        <v>9</v>
      </c>
      <c r="BE335">
        <v>2</v>
      </c>
      <c r="BF335" s="6">
        <f t="shared" si="15"/>
        <v>46267</v>
      </c>
      <c r="BG335">
        <f t="shared" si="16"/>
        <v>-0.45833333333575865</v>
      </c>
      <c r="BH335" t="str">
        <f t="shared" si="17"/>
        <v>COMPLY</v>
      </c>
      <c r="BI335" t="str">
        <f>VLOOKUP(H335,Sheet2!$A$1:$B$270,2,FALSE)</f>
        <v>MOJOKERTO</v>
      </c>
    </row>
    <row r="336" spans="1:61">
      <c r="A336">
        <v>335</v>
      </c>
      <c r="B336">
        <v>1002564992</v>
      </c>
      <c r="C336">
        <v>3</v>
      </c>
      <c r="D336" t="s">
        <v>55</v>
      </c>
      <c r="E336">
        <v>5</v>
      </c>
      <c r="F336" t="s">
        <v>261</v>
      </c>
      <c r="G336" t="s">
        <v>122</v>
      </c>
      <c r="H336" t="s">
        <v>347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46266.469409722224</v>
      </c>
      <c r="P336" s="57">
        <v>46267.644861111112</v>
      </c>
      <c r="Q336">
        <v>69381390</v>
      </c>
      <c r="S336">
        <v>152421262549</v>
      </c>
      <c r="T336" t="s">
        <v>1282</v>
      </c>
      <c r="U336" t="s">
        <v>1283</v>
      </c>
      <c r="V336" t="s">
        <v>1284</v>
      </c>
      <c r="Z336">
        <v>112.658372372388</v>
      </c>
      <c r="AA336">
        <v>-7.1551595617720096</v>
      </c>
      <c r="AB336" t="s">
        <v>1285</v>
      </c>
      <c r="AC336" t="s">
        <v>216</v>
      </c>
      <c r="AL336" t="s">
        <v>217</v>
      </c>
      <c r="AM336" t="s">
        <v>1286</v>
      </c>
      <c r="AN336" t="s">
        <v>6</v>
      </c>
      <c r="AO336" s="57">
        <v>46031.475810185184</v>
      </c>
      <c r="AP336" s="57">
        <v>46273.625</v>
      </c>
      <c r="AR336" t="s">
        <v>218</v>
      </c>
      <c r="AS336" t="s">
        <v>122</v>
      </c>
      <c r="AT336" t="s">
        <v>230</v>
      </c>
      <c r="AU336">
        <v>20260902</v>
      </c>
      <c r="AV336" t="s">
        <v>221</v>
      </c>
      <c r="AW336" t="s">
        <v>890</v>
      </c>
      <c r="AX336" t="s">
        <v>222</v>
      </c>
      <c r="BA336" s="57">
        <v>46273.625</v>
      </c>
      <c r="BB336" t="s">
        <v>1286</v>
      </c>
      <c r="BC336">
        <v>2026</v>
      </c>
      <c r="BD336">
        <v>9</v>
      </c>
      <c r="BE336">
        <v>2</v>
      </c>
      <c r="BF336" s="6">
        <f t="shared" si="15"/>
        <v>46267</v>
      </c>
      <c r="BG336">
        <f t="shared" si="16"/>
        <v>-6.625</v>
      </c>
      <c r="BH336" t="str">
        <f t="shared" si="17"/>
        <v>COMPLY</v>
      </c>
      <c r="BI336" t="str">
        <f>VLOOKUP(H336,Sheet2!$A$1:$B$270,2,FALSE)</f>
        <v>GRESIK</v>
      </c>
    </row>
    <row r="337" spans="1:61">
      <c r="A337">
        <v>336</v>
      </c>
      <c r="B337">
        <v>1002565516</v>
      </c>
      <c r="C337">
        <v>3</v>
      </c>
      <c r="D337" t="s">
        <v>42</v>
      </c>
      <c r="E337">
        <v>5</v>
      </c>
      <c r="F337" t="s">
        <v>232</v>
      </c>
      <c r="G337" t="s">
        <v>105</v>
      </c>
      <c r="H337" t="s">
        <v>371</v>
      </c>
      <c r="I337" t="s">
        <v>212</v>
      </c>
      <c r="J337" t="s">
        <v>213</v>
      </c>
      <c r="K337" t="s">
        <v>149</v>
      </c>
      <c r="M337" t="s">
        <v>76</v>
      </c>
      <c r="N337" t="s">
        <v>215</v>
      </c>
      <c r="O337" s="57">
        <v>46266.582187499997</v>
      </c>
      <c r="P337" s="57">
        <v>46266.866608796299</v>
      </c>
      <c r="Q337">
        <v>69381534</v>
      </c>
      <c r="S337">
        <v>152312243354</v>
      </c>
      <c r="T337" t="s">
        <v>1477</v>
      </c>
      <c r="U337" t="s">
        <v>1478</v>
      </c>
      <c r="V337" t="s">
        <v>1479</v>
      </c>
      <c r="Z337">
        <v>112.41749660000001</v>
      </c>
      <c r="AA337">
        <v>-7.4878688000000002</v>
      </c>
      <c r="AB337" t="s">
        <v>1480</v>
      </c>
      <c r="AC337" t="s">
        <v>229</v>
      </c>
      <c r="AL337" t="s">
        <v>217</v>
      </c>
      <c r="AM337" t="s">
        <v>1481</v>
      </c>
      <c r="AN337" t="s">
        <v>6</v>
      </c>
      <c r="AO337" s="57">
        <v>46031.590208333335</v>
      </c>
      <c r="AP337" s="57">
        <v>46267.458333333336</v>
      </c>
      <c r="AR337" t="s">
        <v>218</v>
      </c>
      <c r="AS337" t="s">
        <v>105</v>
      </c>
      <c r="AT337" t="s">
        <v>844</v>
      </c>
      <c r="AU337">
        <v>20260901</v>
      </c>
      <c r="AV337" t="s">
        <v>221</v>
      </c>
      <c r="AW337" t="s">
        <v>566</v>
      </c>
      <c r="AX337" t="s">
        <v>222</v>
      </c>
      <c r="BA337" s="57">
        <v>46267.458333333336</v>
      </c>
      <c r="BB337" t="s">
        <v>1481</v>
      </c>
      <c r="BC337">
        <v>2026</v>
      </c>
      <c r="BD337">
        <v>9</v>
      </c>
      <c r="BE337">
        <v>1</v>
      </c>
      <c r="BF337" s="6">
        <f t="shared" si="15"/>
        <v>46266</v>
      </c>
      <c r="BG337">
        <f t="shared" si="16"/>
        <v>-1.4583333333357587</v>
      </c>
      <c r="BH337" t="str">
        <f t="shared" si="17"/>
        <v>COMPLY</v>
      </c>
      <c r="BI337" t="str">
        <f>VLOOKUP(H337,Sheet2!$A$1:$B$270,2,FALSE)</f>
        <v>MOJOKERTO</v>
      </c>
    </row>
    <row r="338" spans="1:61">
      <c r="A338">
        <v>337</v>
      </c>
      <c r="B338">
        <v>1002565015</v>
      </c>
      <c r="C338">
        <v>3</v>
      </c>
      <c r="D338" t="s">
        <v>59</v>
      </c>
      <c r="E338">
        <v>4</v>
      </c>
      <c r="F338" t="s">
        <v>549</v>
      </c>
      <c r="G338" t="s">
        <v>825</v>
      </c>
      <c r="H338" t="s">
        <v>830</v>
      </c>
      <c r="I338" t="s">
        <v>212</v>
      </c>
      <c r="J338" t="s">
        <v>213</v>
      </c>
      <c r="K338" t="s">
        <v>149</v>
      </c>
      <c r="M338" t="s">
        <v>76</v>
      </c>
      <c r="N338" t="s">
        <v>215</v>
      </c>
      <c r="O338" s="57">
        <v>46266.473043981481</v>
      </c>
      <c r="P338" s="57">
        <v>46267.561319444445</v>
      </c>
      <c r="Q338">
        <v>69381380</v>
      </c>
      <c r="S338">
        <v>146129128456</v>
      </c>
      <c r="T338" t="s">
        <v>1292</v>
      </c>
      <c r="U338" t="s">
        <v>2074</v>
      </c>
      <c r="V338" t="s">
        <v>1293</v>
      </c>
      <c r="Z338">
        <v>110.363086736611</v>
      </c>
      <c r="AA338">
        <v>-7.9457943388721004</v>
      </c>
      <c r="AB338" t="s">
        <v>1294</v>
      </c>
      <c r="AC338" t="s">
        <v>285</v>
      </c>
      <c r="AL338" t="s">
        <v>217</v>
      </c>
      <c r="AM338" t="s">
        <v>1295</v>
      </c>
      <c r="AN338" t="s">
        <v>6</v>
      </c>
      <c r="AO338" s="57">
        <v>46031.475810185184</v>
      </c>
      <c r="AP338" s="57">
        <v>46267.625</v>
      </c>
      <c r="AR338" t="s">
        <v>218</v>
      </c>
      <c r="AS338" t="s">
        <v>219</v>
      </c>
      <c r="AT338" t="s">
        <v>230</v>
      </c>
      <c r="AU338">
        <v>20260902</v>
      </c>
      <c r="AV338" t="s">
        <v>221</v>
      </c>
      <c r="AW338" t="s">
        <v>560</v>
      </c>
      <c r="AX338" t="s">
        <v>222</v>
      </c>
      <c r="BA338" s="57">
        <v>46267.625</v>
      </c>
      <c r="BB338" t="s">
        <v>1295</v>
      </c>
      <c r="BC338">
        <v>2026</v>
      </c>
      <c r="BD338">
        <v>9</v>
      </c>
      <c r="BE338">
        <v>2</v>
      </c>
      <c r="BF338" s="6">
        <f t="shared" si="15"/>
        <v>46267</v>
      </c>
      <c r="BG338">
        <f t="shared" si="16"/>
        <v>-0.625</v>
      </c>
      <c r="BH338" t="str">
        <f t="shared" si="17"/>
        <v>COMPLY</v>
      </c>
      <c r="BI338" t="e">
        <f>VLOOKUP(H338,Sheet2!$A$1:$B$270,2,FALSE)</f>
        <v>#N/A</v>
      </c>
    </row>
    <row r="339" spans="1:61">
      <c r="A339">
        <v>338</v>
      </c>
      <c r="B339">
        <v>1002565519</v>
      </c>
      <c r="C339">
        <v>3</v>
      </c>
      <c r="D339" t="s">
        <v>49</v>
      </c>
      <c r="E339">
        <v>4</v>
      </c>
      <c r="F339" t="s">
        <v>250</v>
      </c>
      <c r="G339" t="s">
        <v>250</v>
      </c>
      <c r="H339" t="s">
        <v>611</v>
      </c>
      <c r="I339" t="s">
        <v>212</v>
      </c>
      <c r="J339" t="s">
        <v>213</v>
      </c>
      <c r="K339" t="s">
        <v>149</v>
      </c>
      <c r="M339" t="s">
        <v>76</v>
      </c>
      <c r="N339" t="s">
        <v>215</v>
      </c>
      <c r="O339" s="57">
        <v>46266.581041666665</v>
      </c>
      <c r="P339" s="57">
        <v>46266.632071759261</v>
      </c>
      <c r="Q339">
        <v>69380776</v>
      </c>
      <c r="S339">
        <v>146285103905</v>
      </c>
      <c r="T339" t="s">
        <v>1031</v>
      </c>
      <c r="U339" t="s">
        <v>1482</v>
      </c>
      <c r="V339" t="s">
        <v>1483</v>
      </c>
      <c r="Z339">
        <v>109.63218000000001</v>
      </c>
      <c r="AA339">
        <v>-6.9770830000000004</v>
      </c>
      <c r="AB339" t="s">
        <v>1032</v>
      </c>
      <c r="AC339" t="s">
        <v>284</v>
      </c>
      <c r="AL339" t="s">
        <v>217</v>
      </c>
      <c r="AM339" t="s">
        <v>1484</v>
      </c>
      <c r="AN339" t="s">
        <v>6</v>
      </c>
      <c r="AO339" s="57">
        <v>46031.590208333335</v>
      </c>
      <c r="AR339" t="s">
        <v>218</v>
      </c>
      <c r="AS339" t="s">
        <v>899</v>
      </c>
      <c r="AT339" t="s">
        <v>230</v>
      </c>
      <c r="AU339">
        <v>20260901</v>
      </c>
      <c r="AV339" t="s">
        <v>221</v>
      </c>
      <c r="AW339" t="s">
        <v>545</v>
      </c>
      <c r="AX339" t="s">
        <v>222</v>
      </c>
      <c r="BA339" s="57">
        <v>46266.291666666664</v>
      </c>
      <c r="BB339" t="s">
        <v>1484</v>
      </c>
      <c r="BC339">
        <v>2026</v>
      </c>
      <c r="BD339">
        <v>9</v>
      </c>
      <c r="BE339">
        <v>1</v>
      </c>
      <c r="BF339" s="6">
        <f t="shared" si="15"/>
        <v>46266</v>
      </c>
      <c r="BG339">
        <f t="shared" si="16"/>
        <v>-0.29166666666424135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1002564987</v>
      </c>
      <c r="C340">
        <v>3</v>
      </c>
      <c r="D340" t="s">
        <v>49</v>
      </c>
      <c r="E340">
        <v>4</v>
      </c>
      <c r="F340" t="s">
        <v>250</v>
      </c>
      <c r="G340" t="s">
        <v>539</v>
      </c>
      <c r="H340" t="s">
        <v>856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46266.470081018517</v>
      </c>
      <c r="P340" s="57">
        <v>46266.581944444442</v>
      </c>
      <c r="Q340">
        <v>69361764</v>
      </c>
      <c r="S340">
        <v>142204107639</v>
      </c>
      <c r="T340" t="s">
        <v>857</v>
      </c>
      <c r="U340" t="s">
        <v>927</v>
      </c>
      <c r="V340" t="s">
        <v>1485</v>
      </c>
      <c r="Z340">
        <v>108.878922</v>
      </c>
      <c r="AA340">
        <v>-6.8734359999999999</v>
      </c>
      <c r="AB340" t="s">
        <v>870</v>
      </c>
      <c r="AC340" t="s">
        <v>225</v>
      </c>
      <c r="AL340" t="s">
        <v>217</v>
      </c>
      <c r="AM340" t="s">
        <v>1486</v>
      </c>
      <c r="AN340" t="s">
        <v>6</v>
      </c>
      <c r="AO340" s="57">
        <v>46031.475810185184</v>
      </c>
      <c r="AR340" t="s">
        <v>218</v>
      </c>
      <c r="AS340" t="s">
        <v>909</v>
      </c>
      <c r="AT340" t="s">
        <v>230</v>
      </c>
      <c r="AU340">
        <v>20260901</v>
      </c>
      <c r="AV340" t="s">
        <v>221</v>
      </c>
      <c r="AW340" t="s">
        <v>828</v>
      </c>
      <c r="AX340" t="s">
        <v>222</v>
      </c>
      <c r="BA340" s="57">
        <v>46266.291666666664</v>
      </c>
      <c r="BB340" t="s">
        <v>1486</v>
      </c>
      <c r="BC340">
        <v>2026</v>
      </c>
      <c r="BD340">
        <v>9</v>
      </c>
      <c r="BE340">
        <v>1</v>
      </c>
      <c r="BF340" s="6">
        <f t="shared" si="15"/>
        <v>46266</v>
      </c>
      <c r="BG340">
        <f t="shared" si="16"/>
        <v>-0.29166666666424135</v>
      </c>
      <c r="BH340" t="str">
        <f t="shared" si="17"/>
        <v>COMPLY</v>
      </c>
      <c r="BI340" t="e">
        <f>VLOOKUP(H340,Sheet2!$A$1:$B$270,2,FALSE)</f>
        <v>#N/A</v>
      </c>
    </row>
    <row r="341" spans="1:61">
      <c r="A341">
        <v>340</v>
      </c>
      <c r="B341">
        <v>1002565560</v>
      </c>
      <c r="C341">
        <v>3</v>
      </c>
      <c r="D341" t="s">
        <v>51</v>
      </c>
      <c r="E341">
        <v>4</v>
      </c>
      <c r="F341" t="s">
        <v>269</v>
      </c>
      <c r="G341" t="s">
        <v>823</v>
      </c>
      <c r="H341" t="s">
        <v>849</v>
      </c>
      <c r="I341" t="s">
        <v>212</v>
      </c>
      <c r="J341" t="s">
        <v>213</v>
      </c>
      <c r="K341" t="s">
        <v>149</v>
      </c>
      <c r="M341" t="s">
        <v>76</v>
      </c>
      <c r="N341" t="s">
        <v>215</v>
      </c>
      <c r="O341" s="57">
        <v>46266.587812500002</v>
      </c>
      <c r="P341" s="57">
        <v>46266.664224537039</v>
      </c>
      <c r="Q341">
        <v>69379112</v>
      </c>
      <c r="S341">
        <v>142507105445</v>
      </c>
      <c r="T341" t="s">
        <v>1012</v>
      </c>
      <c r="U341" t="s">
        <v>1013</v>
      </c>
      <c r="V341" t="s">
        <v>1487</v>
      </c>
      <c r="Z341">
        <v>110.7289</v>
      </c>
      <c r="AA341">
        <v>-6.5291399999999999</v>
      </c>
      <c r="AB341" t="s">
        <v>1014</v>
      </c>
      <c r="AC341" t="s">
        <v>225</v>
      </c>
      <c r="AL341" t="s">
        <v>217</v>
      </c>
      <c r="AM341" t="s">
        <v>1488</v>
      </c>
      <c r="AN341" t="s">
        <v>6</v>
      </c>
      <c r="AO341" s="57">
        <v>46031.590208333335</v>
      </c>
      <c r="AR341" t="s">
        <v>218</v>
      </c>
      <c r="AS341" t="s">
        <v>219</v>
      </c>
      <c r="AT341" t="s">
        <v>230</v>
      </c>
      <c r="AU341">
        <v>20260901</v>
      </c>
      <c r="AV341" t="s">
        <v>221</v>
      </c>
      <c r="AW341" t="s">
        <v>544</v>
      </c>
      <c r="AX341" t="s">
        <v>222</v>
      </c>
      <c r="BA341" s="57">
        <v>46266.291666666664</v>
      </c>
      <c r="BB341" t="s">
        <v>1488</v>
      </c>
      <c r="BC341">
        <v>2026</v>
      </c>
      <c r="BD341">
        <v>9</v>
      </c>
      <c r="BE341">
        <v>1</v>
      </c>
      <c r="BF341" s="6">
        <f t="shared" si="15"/>
        <v>46266</v>
      </c>
      <c r="BG341">
        <f t="shared" si="16"/>
        <v>-0.29166666666424135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1002565555</v>
      </c>
      <c r="C342">
        <v>3</v>
      </c>
      <c r="D342" t="s">
        <v>45</v>
      </c>
      <c r="E342">
        <v>5</v>
      </c>
      <c r="F342" t="s">
        <v>210</v>
      </c>
      <c r="G342" t="s">
        <v>116</v>
      </c>
      <c r="H342" t="s">
        <v>268</v>
      </c>
      <c r="I342" t="s">
        <v>212</v>
      </c>
      <c r="J342" t="s">
        <v>213</v>
      </c>
      <c r="K342" t="s">
        <v>149</v>
      </c>
      <c r="M342" t="s">
        <v>76</v>
      </c>
      <c r="N342" t="s">
        <v>215</v>
      </c>
      <c r="O342" s="57">
        <v>46266.586701388886</v>
      </c>
      <c r="P342" s="57">
        <v>46267.552847222221</v>
      </c>
      <c r="Q342">
        <v>69372556</v>
      </c>
      <c r="S342">
        <v>172604214263</v>
      </c>
      <c r="T342" t="s">
        <v>930</v>
      </c>
      <c r="U342" t="s">
        <v>1403</v>
      </c>
      <c r="V342" t="s">
        <v>1404</v>
      </c>
      <c r="Z342">
        <v>116.0288245</v>
      </c>
      <c r="AA342">
        <v>-8.3446458000000003</v>
      </c>
      <c r="AB342" t="s">
        <v>931</v>
      </c>
      <c r="AC342" t="s">
        <v>229</v>
      </c>
      <c r="AL342" t="s">
        <v>217</v>
      </c>
      <c r="AM342" t="s">
        <v>1405</v>
      </c>
      <c r="AN342" t="s">
        <v>6</v>
      </c>
      <c r="AO342" s="57">
        <v>46031.590208333335</v>
      </c>
      <c r="AR342" t="s">
        <v>218</v>
      </c>
      <c r="AS342" t="s">
        <v>912</v>
      </c>
      <c r="AT342" t="s">
        <v>230</v>
      </c>
      <c r="AU342">
        <v>20260902</v>
      </c>
      <c r="AV342" t="s">
        <v>221</v>
      </c>
      <c r="AW342" t="s">
        <v>567</v>
      </c>
      <c r="AX342" t="s">
        <v>222</v>
      </c>
      <c r="BA342" s="57">
        <v>46266.291666666664</v>
      </c>
      <c r="BB342" t="s">
        <v>1405</v>
      </c>
      <c r="BC342">
        <v>2026</v>
      </c>
      <c r="BD342">
        <v>9</v>
      </c>
      <c r="BE342">
        <v>2</v>
      </c>
      <c r="BF342" s="6">
        <f t="shared" si="15"/>
        <v>46267</v>
      </c>
      <c r="BG342">
        <f t="shared" si="16"/>
        <v>0.70833333333575865</v>
      </c>
      <c r="BH342" t="str">
        <f t="shared" si="17"/>
        <v>COMPLY</v>
      </c>
      <c r="BI342" t="str">
        <f>VLOOKUP(H342,Sheet2!$A$1:$B$270,2,FALSE)</f>
        <v>SELONG</v>
      </c>
    </row>
    <row r="343" spans="1:61">
      <c r="A343">
        <v>342</v>
      </c>
      <c r="B343">
        <v>1002565542</v>
      </c>
      <c r="C343">
        <v>3</v>
      </c>
      <c r="D343" t="s">
        <v>49</v>
      </c>
      <c r="E343">
        <v>4</v>
      </c>
      <c r="F343" t="s">
        <v>250</v>
      </c>
      <c r="G343" t="s">
        <v>250</v>
      </c>
      <c r="H343" t="s">
        <v>611</v>
      </c>
      <c r="I343" t="s">
        <v>212</v>
      </c>
      <c r="J343" t="s">
        <v>213</v>
      </c>
      <c r="K343" t="s">
        <v>149</v>
      </c>
      <c r="M343" t="s">
        <v>76</v>
      </c>
      <c r="N343" t="s">
        <v>215</v>
      </c>
      <c r="O343" s="57">
        <v>46266.584953703707</v>
      </c>
      <c r="P343" s="57">
        <v>46266.643101851849</v>
      </c>
      <c r="Q343">
        <v>69380877</v>
      </c>
      <c r="S343">
        <v>146285103907</v>
      </c>
      <c r="T343" t="s">
        <v>1025</v>
      </c>
      <c r="U343" t="s">
        <v>1482</v>
      </c>
      <c r="V343" t="s">
        <v>1489</v>
      </c>
      <c r="Z343">
        <v>109.63218000000001</v>
      </c>
      <c r="AA343">
        <v>-6.9770830000000004</v>
      </c>
      <c r="AB343" t="s">
        <v>1026</v>
      </c>
      <c r="AC343" t="s">
        <v>284</v>
      </c>
      <c r="AL343" t="s">
        <v>217</v>
      </c>
      <c r="AM343" t="s">
        <v>1490</v>
      </c>
      <c r="AN343" t="s">
        <v>6</v>
      </c>
      <c r="AO343" s="57">
        <v>46031.590208333335</v>
      </c>
      <c r="AR343" t="s">
        <v>218</v>
      </c>
      <c r="AS343" t="s">
        <v>899</v>
      </c>
      <c r="AT343" t="s">
        <v>230</v>
      </c>
      <c r="AU343">
        <v>20260901</v>
      </c>
      <c r="AV343" t="s">
        <v>221</v>
      </c>
      <c r="AW343" t="s">
        <v>545</v>
      </c>
      <c r="AX343" t="s">
        <v>222</v>
      </c>
      <c r="BA343" s="57">
        <v>46266.291666666664</v>
      </c>
      <c r="BB343" t="s">
        <v>1490</v>
      </c>
      <c r="BC343">
        <v>2026</v>
      </c>
      <c r="BD343">
        <v>9</v>
      </c>
      <c r="BE343">
        <v>1</v>
      </c>
      <c r="BF343" s="6">
        <f t="shared" si="15"/>
        <v>46266</v>
      </c>
      <c r="BG343">
        <f t="shared" si="16"/>
        <v>-0.29166666666424135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1002564957</v>
      </c>
      <c r="C344">
        <v>3</v>
      </c>
      <c r="D344" t="s">
        <v>51</v>
      </c>
      <c r="E344">
        <v>4</v>
      </c>
      <c r="F344" t="s">
        <v>269</v>
      </c>
      <c r="G344" t="s">
        <v>289</v>
      </c>
      <c r="H344" t="s">
        <v>824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46266.465231481481</v>
      </c>
      <c r="P344" s="57">
        <v>46267.607615740744</v>
      </c>
      <c r="Q344">
        <v>69381386</v>
      </c>
      <c r="S344">
        <v>142551119567</v>
      </c>
      <c r="T344" t="s">
        <v>1152</v>
      </c>
      <c r="U344" t="s">
        <v>1300</v>
      </c>
      <c r="V344" t="s">
        <v>1301</v>
      </c>
      <c r="Z344">
        <v>111.017602</v>
      </c>
      <c r="AA344">
        <v>-6.7608309999999996</v>
      </c>
      <c r="AB344" t="s">
        <v>1302</v>
      </c>
      <c r="AC344" t="s">
        <v>236</v>
      </c>
      <c r="AL344" t="s">
        <v>217</v>
      </c>
      <c r="AM344" t="s">
        <v>1303</v>
      </c>
      <c r="AN344" t="s">
        <v>6</v>
      </c>
      <c r="AO344" s="57">
        <v>46031.475810185184</v>
      </c>
      <c r="AP344" s="57">
        <v>46267.333333333336</v>
      </c>
      <c r="AR344" t="s">
        <v>218</v>
      </c>
      <c r="AS344" t="s">
        <v>219</v>
      </c>
      <c r="AT344" t="s">
        <v>230</v>
      </c>
      <c r="AU344">
        <v>20260902</v>
      </c>
      <c r="AV344" t="s">
        <v>221</v>
      </c>
      <c r="AW344" t="s">
        <v>885</v>
      </c>
      <c r="AX344" t="s">
        <v>222</v>
      </c>
      <c r="BA344" s="57">
        <v>46267.333333333336</v>
      </c>
      <c r="BB344" t="s">
        <v>1303</v>
      </c>
      <c r="BC344">
        <v>2026</v>
      </c>
      <c r="BD344">
        <v>9</v>
      </c>
      <c r="BE344">
        <v>2</v>
      </c>
      <c r="BF344" s="6">
        <f t="shared" si="15"/>
        <v>46267</v>
      </c>
      <c r="BG344">
        <f t="shared" si="16"/>
        <v>-0.33333333333575865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1002564132</v>
      </c>
      <c r="C345">
        <v>3</v>
      </c>
      <c r="D345" t="s">
        <v>59</v>
      </c>
      <c r="E345">
        <v>4</v>
      </c>
      <c r="F345" t="s">
        <v>223</v>
      </c>
      <c r="G345" t="s">
        <v>314</v>
      </c>
      <c r="H345" t="s">
        <v>315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46266.358981481484</v>
      </c>
      <c r="P345" s="57">
        <v>46267.703912037039</v>
      </c>
      <c r="Q345">
        <v>69381161</v>
      </c>
      <c r="S345">
        <v>146372103739</v>
      </c>
      <c r="T345" t="s">
        <v>1024</v>
      </c>
      <c r="U345" t="s">
        <v>2075</v>
      </c>
      <c r="V345" t="s">
        <v>1308</v>
      </c>
      <c r="Z345">
        <v>109.77256199999999</v>
      </c>
      <c r="AA345">
        <v>-7.2659840000000004</v>
      </c>
      <c r="AB345" t="s">
        <v>1309</v>
      </c>
      <c r="AC345" t="s">
        <v>236</v>
      </c>
      <c r="AL345" t="s">
        <v>217</v>
      </c>
      <c r="AM345" t="s">
        <v>1310</v>
      </c>
      <c r="AN345" t="s">
        <v>6</v>
      </c>
      <c r="AO345" s="57">
        <v>46031.361087962963</v>
      </c>
      <c r="AP345" s="57">
        <v>46268.333333333336</v>
      </c>
      <c r="AR345" t="s">
        <v>218</v>
      </c>
      <c r="AS345" t="s">
        <v>219</v>
      </c>
      <c r="AT345" t="s">
        <v>230</v>
      </c>
      <c r="AU345">
        <v>20260902</v>
      </c>
      <c r="AV345" t="s">
        <v>221</v>
      </c>
      <c r="AW345" t="s">
        <v>884</v>
      </c>
      <c r="AX345" t="s">
        <v>222</v>
      </c>
      <c r="BA345" s="57">
        <v>46268.333333333336</v>
      </c>
      <c r="BB345" t="s">
        <v>1310</v>
      </c>
      <c r="BC345">
        <v>2026</v>
      </c>
      <c r="BD345">
        <v>9</v>
      </c>
      <c r="BE345">
        <v>2</v>
      </c>
      <c r="BF345" s="6">
        <f t="shared" si="15"/>
        <v>46267</v>
      </c>
      <c r="BG345">
        <f t="shared" si="16"/>
        <v>-1.3333333333357587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1002565586</v>
      </c>
      <c r="C346">
        <v>3</v>
      </c>
      <c r="D346" t="s">
        <v>42</v>
      </c>
      <c r="E346">
        <v>5</v>
      </c>
      <c r="F346" t="s">
        <v>232</v>
      </c>
      <c r="G346" t="s">
        <v>103</v>
      </c>
      <c r="H346" t="s">
        <v>391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46266.590694444443</v>
      </c>
      <c r="P346" s="57">
        <v>46266.742638888885</v>
      </c>
      <c r="Q346">
        <v>69381558</v>
      </c>
      <c r="S346">
        <v>152318240210</v>
      </c>
      <c r="T346" t="s">
        <v>1491</v>
      </c>
      <c r="U346" t="s">
        <v>992</v>
      </c>
      <c r="V346" t="s">
        <v>1492</v>
      </c>
      <c r="Z346">
        <v>112.215132</v>
      </c>
      <c r="AA346">
        <v>-7.5832278999999998</v>
      </c>
      <c r="AB346" t="s">
        <v>1493</v>
      </c>
      <c r="AC346" t="s">
        <v>229</v>
      </c>
      <c r="AL346" t="s">
        <v>217</v>
      </c>
      <c r="AM346" t="s">
        <v>1481</v>
      </c>
      <c r="AN346" t="s">
        <v>6</v>
      </c>
      <c r="AO346" s="57">
        <v>46031.600787037038</v>
      </c>
      <c r="AP346" s="57">
        <v>46267.458333333336</v>
      </c>
      <c r="AR346" t="s">
        <v>218</v>
      </c>
      <c r="AS346" t="s">
        <v>103</v>
      </c>
      <c r="AT346" t="s">
        <v>230</v>
      </c>
      <c r="AU346">
        <v>20260901</v>
      </c>
      <c r="AV346" t="s">
        <v>221</v>
      </c>
      <c r="AW346" t="s">
        <v>545</v>
      </c>
      <c r="AX346" t="s">
        <v>222</v>
      </c>
      <c r="BA346" s="57">
        <v>46267.458333333336</v>
      </c>
      <c r="BB346" t="s">
        <v>1481</v>
      </c>
      <c r="BC346">
        <v>2026</v>
      </c>
      <c r="BD346">
        <v>9</v>
      </c>
      <c r="BE346">
        <v>1</v>
      </c>
      <c r="BF346" s="6">
        <f t="shared" si="15"/>
        <v>46266</v>
      </c>
      <c r="BG346">
        <f t="shared" si="16"/>
        <v>-1.4583333333357587</v>
      </c>
      <c r="BH346" t="str">
        <f t="shared" si="17"/>
        <v>COMPLY</v>
      </c>
      <c r="BI346" t="str">
        <f>VLOOKUP(H346,Sheet2!$A$1:$B$270,2,FALSE)</f>
        <v>MOJOKERTO</v>
      </c>
    </row>
    <row r="347" spans="1:61">
      <c r="A347">
        <v>346</v>
      </c>
      <c r="B347">
        <v>1002564319</v>
      </c>
      <c r="C347">
        <v>3</v>
      </c>
      <c r="D347" t="s">
        <v>45</v>
      </c>
      <c r="E347">
        <v>5</v>
      </c>
      <c r="F347" t="s">
        <v>210</v>
      </c>
      <c r="G347" t="s">
        <v>110</v>
      </c>
      <c r="H347" t="s">
        <v>247</v>
      </c>
      <c r="I347" t="s">
        <v>212</v>
      </c>
      <c r="J347" t="s">
        <v>213</v>
      </c>
      <c r="K347" t="s">
        <v>149</v>
      </c>
      <c r="M347" t="s">
        <v>76</v>
      </c>
      <c r="N347" t="s">
        <v>215</v>
      </c>
      <c r="O347" s="57">
        <v>46266.386631944442</v>
      </c>
      <c r="P347" s="57">
        <v>46268.563738425924</v>
      </c>
      <c r="Q347">
        <v>69379683</v>
      </c>
      <c r="S347">
        <v>172616802034</v>
      </c>
      <c r="T347" t="s">
        <v>1003</v>
      </c>
      <c r="U347" t="s">
        <v>1409</v>
      </c>
      <c r="V347" t="s">
        <v>1410</v>
      </c>
      <c r="Z347">
        <v>118.7702972</v>
      </c>
      <c r="AA347">
        <v>-8.4851937</v>
      </c>
      <c r="AB347" t="s">
        <v>1004</v>
      </c>
      <c r="AC347" t="s">
        <v>216</v>
      </c>
      <c r="AL347" t="s">
        <v>217</v>
      </c>
      <c r="AM347" t="s">
        <v>1036</v>
      </c>
      <c r="AN347" t="s">
        <v>6</v>
      </c>
      <c r="AO347" s="57">
        <v>46031.39271990741</v>
      </c>
      <c r="AR347" t="s">
        <v>218</v>
      </c>
      <c r="AS347" t="s">
        <v>219</v>
      </c>
      <c r="AT347" t="s">
        <v>220</v>
      </c>
      <c r="AU347">
        <v>20260903</v>
      </c>
      <c r="AV347" t="s">
        <v>221</v>
      </c>
      <c r="AW347" t="s">
        <v>598</v>
      </c>
      <c r="AX347" t="s">
        <v>222</v>
      </c>
      <c r="BA347" s="57">
        <v>46266.291666666664</v>
      </c>
      <c r="BB347" t="s">
        <v>1036</v>
      </c>
      <c r="BC347">
        <v>2026</v>
      </c>
      <c r="BD347">
        <v>9</v>
      </c>
      <c r="BE347">
        <v>3</v>
      </c>
      <c r="BF347" s="6">
        <f t="shared" si="15"/>
        <v>46268</v>
      </c>
      <c r="BG347">
        <f t="shared" si="16"/>
        <v>1.7083333333357587</v>
      </c>
      <c r="BH347" t="str">
        <f t="shared" si="17"/>
        <v>NOT COMPLY</v>
      </c>
      <c r="BI347" t="str">
        <f>VLOOKUP(H347,Sheet2!$A$1:$B$270,2,FALSE)</f>
        <v>BIMA</v>
      </c>
    </row>
    <row r="348" spans="1:61">
      <c r="A348">
        <v>347</v>
      </c>
      <c r="B348">
        <v>1002564360</v>
      </c>
      <c r="C348">
        <v>3</v>
      </c>
      <c r="D348" t="s">
        <v>55</v>
      </c>
      <c r="E348">
        <v>5</v>
      </c>
      <c r="F348" t="s">
        <v>307</v>
      </c>
      <c r="G348" t="s">
        <v>126</v>
      </c>
      <c r="H348" t="s">
        <v>308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46266.390243055554</v>
      </c>
      <c r="P348" s="57">
        <v>46266.81181712963</v>
      </c>
      <c r="Q348">
        <v>69381215</v>
      </c>
      <c r="S348">
        <v>152320246354</v>
      </c>
      <c r="T348" t="s">
        <v>1494</v>
      </c>
      <c r="U348" t="s">
        <v>1495</v>
      </c>
      <c r="V348" t="s">
        <v>1496</v>
      </c>
      <c r="Z348">
        <v>112.7669856</v>
      </c>
      <c r="AA348">
        <v>-7.2519329999999904</v>
      </c>
      <c r="AB348" t="s">
        <v>1497</v>
      </c>
      <c r="AC348" t="s">
        <v>216</v>
      </c>
      <c r="AL348" t="s">
        <v>217</v>
      </c>
      <c r="AM348" t="s">
        <v>1366</v>
      </c>
      <c r="AN348" t="s">
        <v>6</v>
      </c>
      <c r="AO348" s="57">
        <v>46031.39271990741</v>
      </c>
      <c r="AP348" s="57">
        <v>46267.333333333336</v>
      </c>
      <c r="AR348" t="s">
        <v>218</v>
      </c>
      <c r="AS348" t="s">
        <v>907</v>
      </c>
      <c r="AT348" t="s">
        <v>230</v>
      </c>
      <c r="AU348">
        <v>20260901</v>
      </c>
      <c r="AV348" t="s">
        <v>221</v>
      </c>
      <c r="AW348" t="s">
        <v>886</v>
      </c>
      <c r="AX348" t="s">
        <v>222</v>
      </c>
      <c r="BA348" s="57">
        <v>46267.333333333336</v>
      </c>
      <c r="BB348" t="s">
        <v>1366</v>
      </c>
      <c r="BC348">
        <v>2026</v>
      </c>
      <c r="BD348">
        <v>9</v>
      </c>
      <c r="BE348">
        <v>1</v>
      </c>
      <c r="BF348" s="6">
        <f t="shared" si="15"/>
        <v>46266</v>
      </c>
      <c r="BG348">
        <f t="shared" si="16"/>
        <v>-1.3333333333357587</v>
      </c>
      <c r="BH348" t="str">
        <f t="shared" si="17"/>
        <v>COMPLY</v>
      </c>
      <c r="BI348" t="str">
        <f>VLOOKUP(H348,Sheet2!$A$1:$B$270,2,FALSE)</f>
        <v>SURABAYA SELATAN</v>
      </c>
    </row>
    <row r="349" spans="1:61">
      <c r="A349">
        <v>348</v>
      </c>
      <c r="B349">
        <v>1002564309</v>
      </c>
      <c r="C349">
        <v>3</v>
      </c>
      <c r="D349" t="s">
        <v>42</v>
      </c>
      <c r="E349">
        <v>5</v>
      </c>
      <c r="F349" t="s">
        <v>102</v>
      </c>
      <c r="G349" t="s">
        <v>99</v>
      </c>
      <c r="H349" t="s">
        <v>310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46266.384236111109</v>
      </c>
      <c r="P349" s="57">
        <v>46266.633935185186</v>
      </c>
      <c r="Q349">
        <v>69381199</v>
      </c>
      <c r="R349">
        <v>3332821587</v>
      </c>
      <c r="S349">
        <v>152503269425</v>
      </c>
      <c r="T349" t="s">
        <v>971</v>
      </c>
      <c r="U349" t="s">
        <v>1021</v>
      </c>
      <c r="V349" t="s">
        <v>1498</v>
      </c>
      <c r="Z349">
        <v>114.3601863</v>
      </c>
      <c r="AA349">
        <v>-8.1830163999999996</v>
      </c>
      <c r="AB349" t="s">
        <v>1022</v>
      </c>
      <c r="AC349" t="s">
        <v>285</v>
      </c>
      <c r="AL349" t="s">
        <v>217</v>
      </c>
      <c r="AM349" t="s">
        <v>1499</v>
      </c>
      <c r="AN349" t="s">
        <v>6</v>
      </c>
      <c r="AO349" s="57">
        <v>46031.39271990741</v>
      </c>
      <c r="AP349" s="57">
        <v>46267.333333333336</v>
      </c>
      <c r="AR349" t="s">
        <v>218</v>
      </c>
      <c r="AS349" t="s">
        <v>99</v>
      </c>
      <c r="AT349" t="s">
        <v>230</v>
      </c>
      <c r="AU349">
        <v>20260901</v>
      </c>
      <c r="AV349" t="s">
        <v>221</v>
      </c>
      <c r="AW349" t="s">
        <v>880</v>
      </c>
      <c r="AX349" t="s">
        <v>222</v>
      </c>
      <c r="BA349" s="57">
        <v>46267.333333333336</v>
      </c>
      <c r="BB349" t="s">
        <v>1499</v>
      </c>
      <c r="BC349">
        <v>2026</v>
      </c>
      <c r="BD349">
        <v>9</v>
      </c>
      <c r="BE349">
        <v>1</v>
      </c>
      <c r="BF349" s="6">
        <f t="shared" si="15"/>
        <v>46266</v>
      </c>
      <c r="BG349">
        <f t="shared" si="16"/>
        <v>-1.3333333333357587</v>
      </c>
      <c r="BH349" t="str">
        <f t="shared" si="17"/>
        <v>COMPLY</v>
      </c>
      <c r="BI349" t="str">
        <f>VLOOKUP(H349,Sheet2!$A$1:$B$270,2,FALSE)</f>
        <v>BANYUWANGI</v>
      </c>
    </row>
    <row r="350" spans="1:61">
      <c r="A350">
        <v>349</v>
      </c>
      <c r="B350">
        <v>1002566447</v>
      </c>
      <c r="C350">
        <v>3</v>
      </c>
      <c r="D350" t="s">
        <v>45</v>
      </c>
      <c r="E350">
        <v>5</v>
      </c>
      <c r="F350" t="s">
        <v>210</v>
      </c>
      <c r="G350" t="s">
        <v>116</v>
      </c>
      <c r="H350" t="s">
        <v>268</v>
      </c>
      <c r="I350" t="s">
        <v>212</v>
      </c>
      <c r="J350" t="s">
        <v>213</v>
      </c>
      <c r="K350" t="s">
        <v>149</v>
      </c>
      <c r="M350" t="s">
        <v>76</v>
      </c>
      <c r="N350" t="s">
        <v>215</v>
      </c>
      <c r="O350" s="57">
        <v>46266.753981481481</v>
      </c>
      <c r="P350" s="57">
        <v>46267.811759259261</v>
      </c>
      <c r="Q350">
        <v>69379616</v>
      </c>
      <c r="S350">
        <v>172604214265</v>
      </c>
      <c r="T350" t="s">
        <v>977</v>
      </c>
      <c r="U350" t="s">
        <v>1411</v>
      </c>
      <c r="V350" t="s">
        <v>1412</v>
      </c>
      <c r="Z350">
        <v>116.389690409748</v>
      </c>
      <c r="AA350">
        <v>-8.2807747139765802</v>
      </c>
      <c r="AB350" t="s">
        <v>978</v>
      </c>
      <c r="AC350" t="s">
        <v>229</v>
      </c>
      <c r="AL350" t="s">
        <v>217</v>
      </c>
      <c r="AM350" t="s">
        <v>1413</v>
      </c>
      <c r="AN350" t="s">
        <v>6</v>
      </c>
      <c r="AO350" s="57">
        <v>46031.756886574076</v>
      </c>
      <c r="AR350" t="s">
        <v>218</v>
      </c>
      <c r="AS350" t="s">
        <v>912</v>
      </c>
      <c r="AT350" t="s">
        <v>230</v>
      </c>
      <c r="AU350">
        <v>20260902</v>
      </c>
      <c r="AV350" t="s">
        <v>221</v>
      </c>
      <c r="AW350" t="s">
        <v>546</v>
      </c>
      <c r="AX350" t="s">
        <v>222</v>
      </c>
      <c r="BA350" s="57">
        <v>46266.291666666664</v>
      </c>
      <c r="BB350" t="s">
        <v>1413</v>
      </c>
      <c r="BC350">
        <v>2026</v>
      </c>
      <c r="BD350">
        <v>9</v>
      </c>
      <c r="BE350">
        <v>2</v>
      </c>
      <c r="BF350" s="6">
        <f t="shared" si="15"/>
        <v>46267</v>
      </c>
      <c r="BG350">
        <f t="shared" si="16"/>
        <v>0.70833333333575865</v>
      </c>
      <c r="BH350" t="str">
        <f t="shared" si="17"/>
        <v>COMPLY</v>
      </c>
      <c r="BI350" t="str">
        <f>VLOOKUP(H350,Sheet2!$A$1:$B$270,2,FALSE)</f>
        <v>SELONG</v>
      </c>
    </row>
    <row r="351" spans="1:61">
      <c r="A351">
        <v>350</v>
      </c>
      <c r="B351">
        <v>1002566441</v>
      </c>
      <c r="C351">
        <v>3</v>
      </c>
      <c r="D351" t="s">
        <v>42</v>
      </c>
      <c r="E351">
        <v>5</v>
      </c>
      <c r="F351" t="s">
        <v>232</v>
      </c>
      <c r="G351" t="s">
        <v>103</v>
      </c>
      <c r="H351" t="s">
        <v>294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46266.746493055558</v>
      </c>
      <c r="P351" s="57">
        <v>46267.786377314813</v>
      </c>
      <c r="Q351">
        <v>69381848</v>
      </c>
      <c r="S351">
        <v>152319208069</v>
      </c>
      <c r="T351" t="s">
        <v>1062</v>
      </c>
      <c r="U351" t="s">
        <v>1063</v>
      </c>
      <c r="V351" t="s">
        <v>1321</v>
      </c>
      <c r="Z351">
        <v>112.34413499999999</v>
      </c>
      <c r="AA351">
        <v>-7.5706119999999997</v>
      </c>
      <c r="AB351" t="s">
        <v>1322</v>
      </c>
      <c r="AC351" t="s">
        <v>236</v>
      </c>
      <c r="AL351" t="s">
        <v>217</v>
      </c>
      <c r="AM351" t="s">
        <v>1066</v>
      </c>
      <c r="AN351" t="s">
        <v>6</v>
      </c>
      <c r="AO351" s="57">
        <v>46031.756886574076</v>
      </c>
      <c r="AP351" s="57">
        <v>46267.625</v>
      </c>
      <c r="AR351" t="s">
        <v>218</v>
      </c>
      <c r="AS351" t="s">
        <v>103</v>
      </c>
      <c r="AT351" t="s">
        <v>230</v>
      </c>
      <c r="AU351">
        <v>20260902</v>
      </c>
      <c r="AV351" t="s">
        <v>221</v>
      </c>
      <c r="AW351" t="s">
        <v>237</v>
      </c>
      <c r="AX351" t="s">
        <v>222</v>
      </c>
      <c r="BA351" s="57">
        <v>46267.625</v>
      </c>
      <c r="BB351" t="s">
        <v>1066</v>
      </c>
      <c r="BC351">
        <v>2026</v>
      </c>
      <c r="BD351">
        <v>9</v>
      </c>
      <c r="BE351">
        <v>2</v>
      </c>
      <c r="BF351" s="6">
        <f t="shared" si="15"/>
        <v>46267</v>
      </c>
      <c r="BG351">
        <f t="shared" si="16"/>
        <v>-0.625</v>
      </c>
      <c r="BH351" t="str">
        <f t="shared" si="17"/>
        <v>COMPLY</v>
      </c>
      <c r="BI351" t="str">
        <f>VLOOKUP(H351,Sheet2!$A$1:$B$270,2,FALSE)</f>
        <v>MOJOKERTO</v>
      </c>
    </row>
    <row r="352" spans="1:61">
      <c r="A352">
        <v>351</v>
      </c>
      <c r="B352">
        <v>1002566432</v>
      </c>
      <c r="C352">
        <v>3</v>
      </c>
      <c r="D352" t="s">
        <v>38</v>
      </c>
      <c r="E352">
        <v>5</v>
      </c>
      <c r="F352" t="s">
        <v>248</v>
      </c>
      <c r="G352" t="s">
        <v>91</v>
      </c>
      <c r="H352" t="s">
        <v>412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46266.741631944446</v>
      </c>
      <c r="P352" s="57">
        <v>46267.712534722225</v>
      </c>
      <c r="Q352">
        <v>69381827</v>
      </c>
      <c r="S352">
        <v>152715213304</v>
      </c>
      <c r="T352" t="s">
        <v>1323</v>
      </c>
      <c r="U352" t="s">
        <v>1324</v>
      </c>
      <c r="V352" t="s">
        <v>1325</v>
      </c>
      <c r="Z352">
        <v>112.64369120000001</v>
      </c>
      <c r="AA352">
        <v>-8.1517681999999994</v>
      </c>
      <c r="AB352" t="s">
        <v>1326</v>
      </c>
      <c r="AC352" t="s">
        <v>236</v>
      </c>
      <c r="AL352" t="s">
        <v>217</v>
      </c>
      <c r="AM352" t="s">
        <v>1122</v>
      </c>
      <c r="AN352" t="s">
        <v>6</v>
      </c>
      <c r="AO352" s="57">
        <v>46031.746469907404</v>
      </c>
      <c r="AP352" s="57">
        <v>46267.625</v>
      </c>
      <c r="AR352" t="s">
        <v>218</v>
      </c>
      <c r="AS352" t="s">
        <v>584</v>
      </c>
      <c r="AT352" t="s">
        <v>220</v>
      </c>
      <c r="AU352">
        <v>20260902</v>
      </c>
      <c r="AV352" t="s">
        <v>221</v>
      </c>
      <c r="AW352" t="s">
        <v>881</v>
      </c>
      <c r="AX352" t="s">
        <v>222</v>
      </c>
      <c r="BA352" s="57">
        <v>46267.625</v>
      </c>
      <c r="BB352" t="s">
        <v>1122</v>
      </c>
      <c r="BC352">
        <v>2026</v>
      </c>
      <c r="BD352">
        <v>9</v>
      </c>
      <c r="BE352">
        <v>2</v>
      </c>
      <c r="BF352" s="6">
        <f t="shared" si="15"/>
        <v>46267</v>
      </c>
      <c r="BG352">
        <f t="shared" si="16"/>
        <v>-0.625</v>
      </c>
      <c r="BH352" t="str">
        <f t="shared" si="17"/>
        <v>COMPLY</v>
      </c>
      <c r="BI352" t="str">
        <f>VLOOKUP(H352,Sheet2!$A$1:$B$270,2,FALSE)</f>
        <v>MALANG</v>
      </c>
    </row>
    <row r="353" spans="1:61">
      <c r="A353">
        <v>352</v>
      </c>
      <c r="B353">
        <v>1002566437</v>
      </c>
      <c r="C353">
        <v>3</v>
      </c>
      <c r="D353" t="s">
        <v>49</v>
      </c>
      <c r="E353">
        <v>4</v>
      </c>
      <c r="F353" t="s">
        <v>250</v>
      </c>
      <c r="G353" t="s">
        <v>540</v>
      </c>
      <c r="H353" t="s">
        <v>543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46266.744398148148</v>
      </c>
      <c r="P353" s="57">
        <v>46267.536354166667</v>
      </c>
      <c r="Q353">
        <v>69381846</v>
      </c>
      <c r="S353">
        <v>142278112752</v>
      </c>
      <c r="T353" t="s">
        <v>996</v>
      </c>
      <c r="U353" t="s">
        <v>997</v>
      </c>
      <c r="V353" t="s">
        <v>1327</v>
      </c>
      <c r="Z353">
        <v>109.45561600000001</v>
      </c>
      <c r="AA353">
        <v>-6.894787</v>
      </c>
      <c r="AB353" t="s">
        <v>1328</v>
      </c>
      <c r="AC353" t="s">
        <v>236</v>
      </c>
      <c r="AL353" t="s">
        <v>217</v>
      </c>
      <c r="AM353" t="s">
        <v>1066</v>
      </c>
      <c r="AN353" t="s">
        <v>6</v>
      </c>
      <c r="AO353" s="57">
        <v>46031.746469907404</v>
      </c>
      <c r="AP353" s="57">
        <v>46267.625</v>
      </c>
      <c r="AR353" t="s">
        <v>218</v>
      </c>
      <c r="AS353" t="s">
        <v>219</v>
      </c>
      <c r="AT353" t="s">
        <v>230</v>
      </c>
      <c r="AU353">
        <v>20260902</v>
      </c>
      <c r="AV353" t="s">
        <v>221</v>
      </c>
      <c r="AW353" t="s">
        <v>574</v>
      </c>
      <c r="AX353" t="s">
        <v>222</v>
      </c>
      <c r="BA353" s="57">
        <v>46267.625</v>
      </c>
      <c r="BB353" t="s">
        <v>1066</v>
      </c>
      <c r="BC353">
        <v>2026</v>
      </c>
      <c r="BD353">
        <v>9</v>
      </c>
      <c r="BE353">
        <v>2</v>
      </c>
      <c r="BF353" s="6">
        <f t="shared" si="15"/>
        <v>46267</v>
      </c>
      <c r="BG353">
        <f t="shared" si="16"/>
        <v>-0.625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1002566415</v>
      </c>
      <c r="C354">
        <v>3</v>
      </c>
      <c r="D354" t="s">
        <v>45</v>
      </c>
      <c r="E354">
        <v>5</v>
      </c>
      <c r="F354" t="s">
        <v>210</v>
      </c>
      <c r="G354" t="s">
        <v>115</v>
      </c>
      <c r="H354" t="s">
        <v>395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46266.735763888886</v>
      </c>
      <c r="P354" s="57">
        <v>46267.395497685182</v>
      </c>
      <c r="Q354">
        <v>69375993</v>
      </c>
      <c r="S354">
        <v>172602202851</v>
      </c>
      <c r="T354" t="s">
        <v>940</v>
      </c>
      <c r="U354" t="s">
        <v>1414</v>
      </c>
      <c r="V354" t="s">
        <v>1415</v>
      </c>
      <c r="Z354">
        <v>116.07763903</v>
      </c>
      <c r="AA354">
        <v>-8.7333719730000006</v>
      </c>
      <c r="AB354" t="s">
        <v>941</v>
      </c>
      <c r="AC354" t="s">
        <v>216</v>
      </c>
      <c r="AL354" t="s">
        <v>217</v>
      </c>
      <c r="AM354" t="s">
        <v>1416</v>
      </c>
      <c r="AN354" t="s">
        <v>6</v>
      </c>
      <c r="AO354" s="57">
        <v>46031.746469907404</v>
      </c>
      <c r="AR354" t="s">
        <v>218</v>
      </c>
      <c r="AS354" t="s">
        <v>901</v>
      </c>
      <c r="AT354" t="s">
        <v>230</v>
      </c>
      <c r="AU354">
        <v>20260902</v>
      </c>
      <c r="AV354" t="s">
        <v>221</v>
      </c>
      <c r="AW354" t="s">
        <v>544</v>
      </c>
      <c r="AX354" t="s">
        <v>222</v>
      </c>
      <c r="BA354" s="57">
        <v>46266.291666666664</v>
      </c>
      <c r="BB354" t="s">
        <v>1416</v>
      </c>
      <c r="BC354">
        <v>2026</v>
      </c>
      <c r="BD354">
        <v>9</v>
      </c>
      <c r="BE354">
        <v>2</v>
      </c>
      <c r="BF354" s="6">
        <f t="shared" si="15"/>
        <v>46267</v>
      </c>
      <c r="BG354">
        <f t="shared" si="16"/>
        <v>0.70833333333575865</v>
      </c>
      <c r="BH354" t="str">
        <f t="shared" si="17"/>
        <v>COMPLY</v>
      </c>
      <c r="BI354" t="str">
        <f>VLOOKUP(H354,Sheet2!$A$1:$B$270,2,FALSE)</f>
        <v>SELONG</v>
      </c>
    </row>
    <row r="355" spans="1:61">
      <c r="A355">
        <v>354</v>
      </c>
      <c r="B355">
        <v>1002564252</v>
      </c>
      <c r="C355">
        <v>3</v>
      </c>
      <c r="D355" t="s">
        <v>42</v>
      </c>
      <c r="E355">
        <v>5</v>
      </c>
      <c r="F355" t="s">
        <v>232</v>
      </c>
      <c r="G355" t="s">
        <v>101</v>
      </c>
      <c r="H355" t="s">
        <v>427</v>
      </c>
      <c r="I355" t="s">
        <v>212</v>
      </c>
      <c r="J355" t="s">
        <v>213</v>
      </c>
      <c r="K355" t="s">
        <v>149</v>
      </c>
      <c r="M355" t="s">
        <v>76</v>
      </c>
      <c r="N355" t="s">
        <v>215</v>
      </c>
      <c r="O355" s="57">
        <v>46266.377754629626</v>
      </c>
      <c r="P355" s="57">
        <v>46266.773368055554</v>
      </c>
      <c r="Q355">
        <v>69381184</v>
      </c>
      <c r="S355">
        <v>152331251329</v>
      </c>
      <c r="T355" t="s">
        <v>1500</v>
      </c>
      <c r="U355" t="s">
        <v>1501</v>
      </c>
      <c r="V355" t="s">
        <v>1502</v>
      </c>
      <c r="Z355">
        <v>112.4996391</v>
      </c>
      <c r="AA355">
        <v>-7.4140965000000003</v>
      </c>
      <c r="AB355" t="s">
        <v>1503</v>
      </c>
      <c r="AC355" t="s">
        <v>229</v>
      </c>
      <c r="AL355" t="s">
        <v>217</v>
      </c>
      <c r="AM355" t="s">
        <v>1504</v>
      </c>
      <c r="AN355" t="s">
        <v>6</v>
      </c>
      <c r="AO355" s="57">
        <v>46031.382175925923</v>
      </c>
      <c r="AP355" s="57">
        <v>46267.333333333336</v>
      </c>
      <c r="AR355" t="s">
        <v>218</v>
      </c>
      <c r="AS355" t="s">
        <v>573</v>
      </c>
      <c r="AT355" t="s">
        <v>230</v>
      </c>
      <c r="AU355">
        <v>20260901</v>
      </c>
      <c r="AV355" t="s">
        <v>221</v>
      </c>
      <c r="AW355" t="s">
        <v>544</v>
      </c>
      <c r="AX355" t="s">
        <v>222</v>
      </c>
      <c r="BA355" s="57">
        <v>46267.333333333336</v>
      </c>
      <c r="BB355" t="s">
        <v>1504</v>
      </c>
      <c r="BC355">
        <v>2026</v>
      </c>
      <c r="BD355">
        <v>9</v>
      </c>
      <c r="BE355">
        <v>1</v>
      </c>
      <c r="BF355" s="6">
        <f t="shared" si="15"/>
        <v>46266</v>
      </c>
      <c r="BG355">
        <f t="shared" si="16"/>
        <v>-1.3333333333357587</v>
      </c>
      <c r="BH355" t="str">
        <f t="shared" si="17"/>
        <v>COMPLY</v>
      </c>
      <c r="BI355" t="str">
        <f>VLOOKUP(H355,Sheet2!$A$1:$B$270,2,FALSE)</f>
        <v>SIDOARJO</v>
      </c>
    </row>
    <row r="356" spans="1:61">
      <c r="A356">
        <v>355</v>
      </c>
      <c r="B356">
        <v>1002564257</v>
      </c>
      <c r="C356">
        <v>3</v>
      </c>
      <c r="D356" t="s">
        <v>49</v>
      </c>
      <c r="E356">
        <v>4</v>
      </c>
      <c r="F356" t="s">
        <v>245</v>
      </c>
      <c r="G356" t="s">
        <v>564</v>
      </c>
      <c r="H356" t="s">
        <v>565</v>
      </c>
      <c r="I356" t="s">
        <v>212</v>
      </c>
      <c r="J356" t="s">
        <v>213</v>
      </c>
      <c r="K356" t="s">
        <v>149</v>
      </c>
      <c r="M356" t="s">
        <v>76</v>
      </c>
      <c r="N356" t="s">
        <v>215</v>
      </c>
      <c r="O356" s="57">
        <v>46266.378287037034</v>
      </c>
      <c r="P356" s="57">
        <v>46266.672581018516</v>
      </c>
      <c r="Q356">
        <v>69379742</v>
      </c>
      <c r="S356">
        <v>142434111557</v>
      </c>
      <c r="T356" t="s">
        <v>1005</v>
      </c>
      <c r="U356" t="s">
        <v>1505</v>
      </c>
      <c r="V356" t="s">
        <v>1506</v>
      </c>
      <c r="Z356">
        <v>110.47078811</v>
      </c>
      <c r="AA356">
        <v>-7.3204740670000001</v>
      </c>
      <c r="AB356" t="s">
        <v>1006</v>
      </c>
      <c r="AC356" t="s">
        <v>216</v>
      </c>
      <c r="AL356" t="s">
        <v>217</v>
      </c>
      <c r="AM356" t="s">
        <v>1507</v>
      </c>
      <c r="AN356" t="s">
        <v>6</v>
      </c>
      <c r="AO356" s="57">
        <v>46031.382175925923</v>
      </c>
      <c r="AR356" t="s">
        <v>218</v>
      </c>
      <c r="AS356" t="s">
        <v>219</v>
      </c>
      <c r="AT356" t="s">
        <v>230</v>
      </c>
      <c r="AU356">
        <v>20260901</v>
      </c>
      <c r="AV356" t="s">
        <v>221</v>
      </c>
      <c r="AW356" t="s">
        <v>544</v>
      </c>
      <c r="AX356" t="s">
        <v>222</v>
      </c>
      <c r="BA356" s="57">
        <v>46266.291666666664</v>
      </c>
      <c r="BB356" t="s">
        <v>1507</v>
      </c>
      <c r="BC356">
        <v>2026</v>
      </c>
      <c r="BD356">
        <v>9</v>
      </c>
      <c r="BE356">
        <v>1</v>
      </c>
      <c r="BF356" s="6">
        <f t="shared" si="15"/>
        <v>46266</v>
      </c>
      <c r="BG356">
        <f t="shared" si="16"/>
        <v>-0.29166666666424135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1002566137</v>
      </c>
      <c r="C357">
        <v>3</v>
      </c>
      <c r="D357" t="s">
        <v>38</v>
      </c>
      <c r="E357">
        <v>5</v>
      </c>
      <c r="F357" t="s">
        <v>248</v>
      </c>
      <c r="G357" t="s">
        <v>91</v>
      </c>
      <c r="H357" t="s">
        <v>388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46266.668715277781</v>
      </c>
      <c r="P357" s="57">
        <v>46267.669849537036</v>
      </c>
      <c r="Q357">
        <v>69381727</v>
      </c>
      <c r="S357">
        <v>152703903704</v>
      </c>
      <c r="T357" t="s">
        <v>1241</v>
      </c>
      <c r="U357" t="s">
        <v>1338</v>
      </c>
      <c r="V357" t="s">
        <v>1339</v>
      </c>
      <c r="Z357">
        <v>112.62214299999999</v>
      </c>
      <c r="AA357">
        <v>-7.9638900000000001</v>
      </c>
      <c r="AB357" t="s">
        <v>1340</v>
      </c>
      <c r="AC357" t="s">
        <v>236</v>
      </c>
      <c r="AL357" t="s">
        <v>217</v>
      </c>
      <c r="AM357" t="s">
        <v>1341</v>
      </c>
      <c r="AN357" t="s">
        <v>6</v>
      </c>
      <c r="AO357" s="57">
        <v>46031.673645833333</v>
      </c>
      <c r="AP357" s="57">
        <v>46267.541666666664</v>
      </c>
      <c r="AR357" t="s">
        <v>218</v>
      </c>
      <c r="AS357" t="s">
        <v>557</v>
      </c>
      <c r="AT357" t="s">
        <v>230</v>
      </c>
      <c r="AU357">
        <v>20260902</v>
      </c>
      <c r="AV357" t="s">
        <v>221</v>
      </c>
      <c r="AW357" t="s">
        <v>887</v>
      </c>
      <c r="AX357" t="s">
        <v>222</v>
      </c>
      <c r="BA357" s="57">
        <v>46267.541666666664</v>
      </c>
      <c r="BB357" t="s">
        <v>1341</v>
      </c>
      <c r="BC357">
        <v>2026</v>
      </c>
      <c r="BD357">
        <v>9</v>
      </c>
      <c r="BE357">
        <v>2</v>
      </c>
      <c r="BF357" s="6">
        <f t="shared" si="15"/>
        <v>46267</v>
      </c>
      <c r="BG357">
        <f t="shared" si="16"/>
        <v>-0.54166666666424135</v>
      </c>
      <c r="BH357" t="str">
        <f t="shared" si="17"/>
        <v>COMPLY</v>
      </c>
      <c r="BI357" t="str">
        <f>VLOOKUP(H357,Sheet2!$A$1:$B$270,2,FALSE)</f>
        <v>MALANG</v>
      </c>
    </row>
    <row r="358" spans="1:61">
      <c r="A358">
        <v>357</v>
      </c>
      <c r="B358">
        <v>1002566283</v>
      </c>
      <c r="C358">
        <v>3</v>
      </c>
      <c r="D358" t="s">
        <v>38</v>
      </c>
      <c r="E358">
        <v>5</v>
      </c>
      <c r="F358" t="s">
        <v>248</v>
      </c>
      <c r="G358" t="s">
        <v>91</v>
      </c>
      <c r="H358" t="s">
        <v>403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46266.694398148145</v>
      </c>
      <c r="P358" s="57">
        <v>46267.536932870367</v>
      </c>
      <c r="Q358">
        <v>69381751</v>
      </c>
      <c r="S358">
        <v>152701239122</v>
      </c>
      <c r="T358" t="s">
        <v>984</v>
      </c>
      <c r="U358" t="s">
        <v>1342</v>
      </c>
      <c r="V358" t="s">
        <v>1343</v>
      </c>
      <c r="Z358">
        <v>112.62572400000001</v>
      </c>
      <c r="AA358">
        <v>-7.9933690000000004</v>
      </c>
      <c r="AB358" t="s">
        <v>1344</v>
      </c>
      <c r="AC358" t="s">
        <v>236</v>
      </c>
      <c r="AL358" t="s">
        <v>217</v>
      </c>
      <c r="AM358" t="s">
        <v>1056</v>
      </c>
      <c r="AN358" t="s">
        <v>6</v>
      </c>
      <c r="AO358" s="57">
        <v>46031.704814814817</v>
      </c>
      <c r="AP358" s="57">
        <v>46267.541666666664</v>
      </c>
      <c r="AR358" t="s">
        <v>218</v>
      </c>
      <c r="AS358" t="s">
        <v>248</v>
      </c>
      <c r="AT358" t="s">
        <v>230</v>
      </c>
      <c r="AU358">
        <v>20260902</v>
      </c>
      <c r="AV358" t="s">
        <v>221</v>
      </c>
      <c r="AW358" t="s">
        <v>884</v>
      </c>
      <c r="AX358" t="s">
        <v>222</v>
      </c>
      <c r="BA358" s="57">
        <v>46267.541666666664</v>
      </c>
      <c r="BB358" t="s">
        <v>1056</v>
      </c>
      <c r="BC358">
        <v>2026</v>
      </c>
      <c r="BD358">
        <v>9</v>
      </c>
      <c r="BE358">
        <v>2</v>
      </c>
      <c r="BF358" s="6">
        <f t="shared" si="15"/>
        <v>46267</v>
      </c>
      <c r="BG358">
        <f t="shared" si="16"/>
        <v>-0.54166666666424135</v>
      </c>
      <c r="BH358" t="str">
        <f t="shared" si="17"/>
        <v>COMPLY</v>
      </c>
      <c r="BI358" t="str">
        <f>VLOOKUP(H358,Sheet2!$A$1:$B$270,2,FALSE)</f>
        <v>MALANG</v>
      </c>
    </row>
    <row r="359" spans="1:61">
      <c r="A359">
        <v>358</v>
      </c>
      <c r="B359">
        <v>1002566158</v>
      </c>
      <c r="C359">
        <v>3</v>
      </c>
      <c r="D359" t="s">
        <v>34</v>
      </c>
      <c r="E359">
        <v>5</v>
      </c>
      <c r="F359" t="s">
        <v>563</v>
      </c>
      <c r="G359" t="s">
        <v>81</v>
      </c>
      <c r="H359" t="s">
        <v>350</v>
      </c>
      <c r="I359" t="s">
        <v>212</v>
      </c>
      <c r="J359" t="s">
        <v>213</v>
      </c>
      <c r="K359" t="s">
        <v>149</v>
      </c>
      <c r="M359" t="s">
        <v>76</v>
      </c>
      <c r="N359" t="s">
        <v>581</v>
      </c>
      <c r="O359" s="57">
        <v>46266.671678240738</v>
      </c>
      <c r="P359" s="57">
        <v>46266.714097222219</v>
      </c>
      <c r="Q359">
        <v>69374767</v>
      </c>
      <c r="S359">
        <v>172416429339</v>
      </c>
      <c r="T359" t="s">
        <v>953</v>
      </c>
      <c r="U359" t="s">
        <v>954</v>
      </c>
      <c r="V359" t="s">
        <v>1508</v>
      </c>
      <c r="Z359">
        <v>115.19119000000001</v>
      </c>
      <c r="AA359">
        <v>-8.7216970000000007</v>
      </c>
      <c r="AB359" t="s">
        <v>955</v>
      </c>
      <c r="AC359" t="s">
        <v>284</v>
      </c>
      <c r="AL359" t="s">
        <v>217</v>
      </c>
      <c r="AM359" t="s">
        <v>1509</v>
      </c>
      <c r="AN359" t="s">
        <v>6</v>
      </c>
      <c r="AO359" s="57">
        <v>46031.673645833333</v>
      </c>
      <c r="AR359" t="s">
        <v>218</v>
      </c>
      <c r="AS359" t="s">
        <v>818</v>
      </c>
      <c r="AT359" t="s">
        <v>230</v>
      </c>
      <c r="AU359">
        <v>20260901</v>
      </c>
      <c r="AV359" t="s">
        <v>221</v>
      </c>
      <c r="AW359" t="s">
        <v>599</v>
      </c>
      <c r="AX359" t="s">
        <v>222</v>
      </c>
      <c r="BA359" s="57">
        <v>46266.291666666664</v>
      </c>
      <c r="BB359" t="s">
        <v>1509</v>
      </c>
      <c r="BC359">
        <v>2026</v>
      </c>
      <c r="BD359">
        <v>9</v>
      </c>
      <c r="BE359">
        <v>1</v>
      </c>
      <c r="BF359" s="6">
        <f t="shared" si="15"/>
        <v>46266</v>
      </c>
      <c r="BG359">
        <f t="shared" si="16"/>
        <v>-0.29166666666424135</v>
      </c>
      <c r="BH359" t="str">
        <f t="shared" si="17"/>
        <v>COMPLY</v>
      </c>
      <c r="BI359" t="str">
        <f>VLOOKUP(H359,Sheet2!$A$1:$B$270,2,FALSE)</f>
        <v>JIMBARAN</v>
      </c>
    </row>
    <row r="360" spans="1:61">
      <c r="A360">
        <v>359</v>
      </c>
      <c r="B360">
        <v>1002566131</v>
      </c>
      <c r="C360">
        <v>3</v>
      </c>
      <c r="D360" t="s">
        <v>59</v>
      </c>
      <c r="E360">
        <v>4</v>
      </c>
      <c r="F360" t="s">
        <v>223</v>
      </c>
      <c r="G360" t="s">
        <v>580</v>
      </c>
      <c r="H360" t="s">
        <v>843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46266.667326388888</v>
      </c>
      <c r="P360" s="57">
        <v>46267.738020833334</v>
      </c>
      <c r="Q360">
        <v>69381726</v>
      </c>
      <c r="S360">
        <v>141362105347</v>
      </c>
      <c r="T360" t="s">
        <v>1345</v>
      </c>
      <c r="U360" t="s">
        <v>1346</v>
      </c>
      <c r="V360" t="s">
        <v>1347</v>
      </c>
      <c r="Z360">
        <v>109.0269304</v>
      </c>
      <c r="AA360">
        <v>-7.6734384000000002</v>
      </c>
      <c r="AB360" t="s">
        <v>1348</v>
      </c>
      <c r="AC360" t="s">
        <v>236</v>
      </c>
      <c r="AL360" t="s">
        <v>217</v>
      </c>
      <c r="AM360" t="s">
        <v>1349</v>
      </c>
      <c r="AN360" t="s">
        <v>6</v>
      </c>
      <c r="AO360" s="57">
        <v>46031.673645833333</v>
      </c>
      <c r="AP360" s="57">
        <v>46272.333333333336</v>
      </c>
      <c r="AR360" t="s">
        <v>218</v>
      </c>
      <c r="AS360" t="s">
        <v>219</v>
      </c>
      <c r="AT360" t="s">
        <v>230</v>
      </c>
      <c r="AU360">
        <v>20260902</v>
      </c>
      <c r="AV360" t="s">
        <v>221</v>
      </c>
      <c r="AW360" t="s">
        <v>891</v>
      </c>
      <c r="AX360" t="s">
        <v>222</v>
      </c>
      <c r="BA360" s="57">
        <v>46272.333333333336</v>
      </c>
      <c r="BB360" t="s">
        <v>1349</v>
      </c>
      <c r="BC360">
        <v>2026</v>
      </c>
      <c r="BD360">
        <v>9</v>
      </c>
      <c r="BE360">
        <v>2</v>
      </c>
      <c r="BF360" s="6">
        <f t="shared" si="15"/>
        <v>46267</v>
      </c>
      <c r="BG360">
        <f t="shared" si="16"/>
        <v>-5.3333333333357587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1002569065</v>
      </c>
      <c r="C361">
        <v>3</v>
      </c>
      <c r="D361" t="s">
        <v>49</v>
      </c>
      <c r="E361">
        <v>4</v>
      </c>
      <c r="F361" t="s">
        <v>250</v>
      </c>
      <c r="G361" t="s">
        <v>539</v>
      </c>
      <c r="H361" t="s">
        <v>2925</v>
      </c>
      <c r="I361" t="s">
        <v>212</v>
      </c>
      <c r="J361" t="s">
        <v>213</v>
      </c>
      <c r="K361" t="s">
        <v>149</v>
      </c>
      <c r="L361" t="s">
        <v>214</v>
      </c>
      <c r="M361" t="s">
        <v>2076</v>
      </c>
      <c r="N361" t="s">
        <v>215</v>
      </c>
      <c r="O361" s="57">
        <v>46268.419409722221</v>
      </c>
      <c r="P361" s="57">
        <v>46269.338333333333</v>
      </c>
      <c r="Q361">
        <v>69382886</v>
      </c>
      <c r="S361">
        <v>146284108500</v>
      </c>
      <c r="T361" t="s">
        <v>2926</v>
      </c>
      <c r="U361" t="s">
        <v>2927</v>
      </c>
      <c r="V361" t="s">
        <v>2928</v>
      </c>
      <c r="Z361">
        <v>109.027522</v>
      </c>
      <c r="AA361">
        <v>-6.9091820000000004</v>
      </c>
      <c r="AB361" t="s">
        <v>2929</v>
      </c>
      <c r="AC361" t="s">
        <v>236</v>
      </c>
      <c r="AL361" t="s">
        <v>217</v>
      </c>
      <c r="AM361" t="s">
        <v>2734</v>
      </c>
      <c r="AN361" t="s">
        <v>6</v>
      </c>
      <c r="AO361" s="57">
        <v>46090.423622685186</v>
      </c>
      <c r="AP361" s="57">
        <v>46269.333333333336</v>
      </c>
      <c r="AR361" t="s">
        <v>2077</v>
      </c>
      <c r="AS361" t="s">
        <v>219</v>
      </c>
      <c r="AT361" t="s">
        <v>230</v>
      </c>
      <c r="AV361" t="s">
        <v>2078</v>
      </c>
      <c r="AW361" t="s">
        <v>886</v>
      </c>
      <c r="AX361" t="s">
        <v>222</v>
      </c>
      <c r="BA361" s="57">
        <v>46269.333333333336</v>
      </c>
      <c r="BB361" t="s">
        <v>2734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:61">
      <c r="A362">
        <v>361</v>
      </c>
      <c r="B362">
        <v>1002564112</v>
      </c>
      <c r="C362">
        <v>3</v>
      </c>
      <c r="D362" t="s">
        <v>45</v>
      </c>
      <c r="E362">
        <v>5</v>
      </c>
      <c r="F362" t="s">
        <v>210</v>
      </c>
      <c r="G362" t="s">
        <v>110</v>
      </c>
      <c r="H362" t="s">
        <v>445</v>
      </c>
      <c r="I362" t="s">
        <v>212</v>
      </c>
      <c r="J362" t="s">
        <v>213</v>
      </c>
      <c r="K362" t="s">
        <v>149</v>
      </c>
      <c r="M362" t="s">
        <v>2930</v>
      </c>
      <c r="N362" t="s">
        <v>215</v>
      </c>
      <c r="O362" s="57">
        <v>46266.355162037034</v>
      </c>
      <c r="P362" s="57">
        <v>46268.672476851854</v>
      </c>
      <c r="Q362">
        <v>69378707</v>
      </c>
      <c r="S362">
        <v>172610305799</v>
      </c>
      <c r="T362" t="s">
        <v>1007</v>
      </c>
      <c r="U362" t="s">
        <v>1406</v>
      </c>
      <c r="V362" t="s">
        <v>1407</v>
      </c>
      <c r="Z362">
        <v>118.9974441</v>
      </c>
      <c r="AA362">
        <v>-8.5741318</v>
      </c>
      <c r="AB362" t="s">
        <v>1008</v>
      </c>
      <c r="AC362" t="s">
        <v>284</v>
      </c>
      <c r="AL362" t="s">
        <v>217</v>
      </c>
      <c r="AM362" t="s">
        <v>1408</v>
      </c>
      <c r="AN362" t="s">
        <v>6</v>
      </c>
      <c r="AO362" s="57">
        <v>46031.361087962963</v>
      </c>
      <c r="AR362" t="s">
        <v>257</v>
      </c>
      <c r="AS362" t="s">
        <v>915</v>
      </c>
      <c r="AT362" t="s">
        <v>230</v>
      </c>
      <c r="AU362">
        <v>20260903</v>
      </c>
      <c r="AV362" t="s">
        <v>2931</v>
      </c>
      <c r="AW362" t="s">
        <v>545</v>
      </c>
      <c r="AX362" t="s">
        <v>222</v>
      </c>
      <c r="BA362" s="57">
        <v>46266.291666666664</v>
      </c>
      <c r="BB362" t="s">
        <v>1408</v>
      </c>
      <c r="BC362">
        <v>2026</v>
      </c>
      <c r="BD362">
        <v>9</v>
      </c>
      <c r="BE362">
        <v>3</v>
      </c>
      <c r="BF362" s="6">
        <f t="shared" si="15"/>
        <v>46268</v>
      </c>
      <c r="BG362">
        <f t="shared" si="16"/>
        <v>1.7083333333357587</v>
      </c>
      <c r="BH362" t="str">
        <f t="shared" si="17"/>
        <v>NOT COMPLY</v>
      </c>
      <c r="BI362" t="str">
        <f>VLOOKUP(H362,Sheet2!$A$1:$B$270,2,FALSE)</f>
        <v>BIMA</v>
      </c>
    </row>
    <row r="363" spans="1:61">
      <c r="A363">
        <v>362</v>
      </c>
      <c r="B363">
        <v>1002568931</v>
      </c>
      <c r="C363">
        <v>3</v>
      </c>
      <c r="D363" t="s">
        <v>59</v>
      </c>
      <c r="E363">
        <v>4</v>
      </c>
      <c r="F363" t="s">
        <v>549</v>
      </c>
      <c r="G363" t="s">
        <v>1698</v>
      </c>
      <c r="H363" t="s">
        <v>1699</v>
      </c>
      <c r="I363" t="s">
        <v>212</v>
      </c>
      <c r="J363" t="s">
        <v>213</v>
      </c>
      <c r="K363" t="s">
        <v>149</v>
      </c>
      <c r="L363" t="s">
        <v>214</v>
      </c>
      <c r="M363" t="s">
        <v>224</v>
      </c>
      <c r="N363" t="s">
        <v>215</v>
      </c>
      <c r="O363" s="57">
        <v>46268.395787037036</v>
      </c>
      <c r="P363" s="57">
        <v>46269.337199074071</v>
      </c>
      <c r="Q363">
        <v>69382828</v>
      </c>
      <c r="S363">
        <v>146136130387</v>
      </c>
      <c r="T363" t="s">
        <v>2932</v>
      </c>
      <c r="U363" t="s">
        <v>2933</v>
      </c>
      <c r="V363" t="s">
        <v>2934</v>
      </c>
      <c r="Z363">
        <v>110.254983</v>
      </c>
      <c r="AA363">
        <v>-7.6879879999999998</v>
      </c>
      <c r="AB363" t="s">
        <v>2935</v>
      </c>
      <c r="AC363" t="s">
        <v>236</v>
      </c>
      <c r="AL363" t="s">
        <v>217</v>
      </c>
      <c r="AM363" t="s">
        <v>2936</v>
      </c>
      <c r="AN363" t="s">
        <v>6</v>
      </c>
      <c r="AO363" s="57">
        <v>46090.402800925927</v>
      </c>
      <c r="AP363" s="57">
        <v>46269.333333333336</v>
      </c>
      <c r="AR363" t="s">
        <v>18</v>
      </c>
      <c r="AS363" t="s">
        <v>219</v>
      </c>
      <c r="AT363" t="s">
        <v>230</v>
      </c>
      <c r="AV363" t="s">
        <v>226</v>
      </c>
      <c r="AW363" t="s">
        <v>2341</v>
      </c>
      <c r="AX363" t="s">
        <v>222</v>
      </c>
      <c r="BA363" s="57">
        <v>46269.333333333336</v>
      </c>
      <c r="BB363" t="s">
        <v>2936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:61">
      <c r="A364">
        <v>363</v>
      </c>
      <c r="B364">
        <v>1002568917</v>
      </c>
      <c r="C364">
        <v>3</v>
      </c>
      <c r="D364" t="s">
        <v>42</v>
      </c>
      <c r="E364">
        <v>5</v>
      </c>
      <c r="F364" t="s">
        <v>232</v>
      </c>
      <c r="G364" t="s">
        <v>105</v>
      </c>
      <c r="H364" t="s">
        <v>297</v>
      </c>
      <c r="I364" t="s">
        <v>212</v>
      </c>
      <c r="J364" t="s">
        <v>213</v>
      </c>
      <c r="K364" t="s">
        <v>149</v>
      </c>
      <c r="M364" t="s">
        <v>224</v>
      </c>
      <c r="N364" t="s">
        <v>215</v>
      </c>
      <c r="O364" s="57">
        <v>46268.398622685185</v>
      </c>
      <c r="P364" s="57">
        <v>46269.425104166665</v>
      </c>
      <c r="Q364">
        <v>69382825</v>
      </c>
      <c r="S364">
        <v>152324211672</v>
      </c>
      <c r="T364" t="s">
        <v>2937</v>
      </c>
      <c r="U364" t="s">
        <v>2938</v>
      </c>
      <c r="V364" t="s">
        <v>2939</v>
      </c>
      <c r="Z364">
        <v>112.4319852</v>
      </c>
      <c r="AA364">
        <v>-7.4631537000000003</v>
      </c>
      <c r="AB364" t="s">
        <v>2940</v>
      </c>
      <c r="AC364" t="s">
        <v>229</v>
      </c>
      <c r="AL364" t="s">
        <v>217</v>
      </c>
      <c r="AM364" t="s">
        <v>2941</v>
      </c>
      <c r="AN364" t="s">
        <v>6</v>
      </c>
      <c r="AO364" s="57">
        <v>46090.402800925927</v>
      </c>
      <c r="AP364" s="57">
        <v>46269.458333333336</v>
      </c>
      <c r="AR364" t="s">
        <v>18</v>
      </c>
      <c r="AS364" t="s">
        <v>105</v>
      </c>
      <c r="AT364" t="s">
        <v>844</v>
      </c>
      <c r="AV364" t="s">
        <v>226</v>
      </c>
      <c r="AW364" t="s">
        <v>2942</v>
      </c>
      <c r="AX364" t="s">
        <v>222</v>
      </c>
      <c r="BA364" s="57">
        <v>46269.458333333336</v>
      </c>
      <c r="BB364" t="s">
        <v>2941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MOJOKERTO</v>
      </c>
    </row>
    <row r="365" spans="1:61">
      <c r="A365">
        <v>364</v>
      </c>
      <c r="B365">
        <v>1002568912</v>
      </c>
      <c r="C365">
        <v>3</v>
      </c>
      <c r="D365" t="s">
        <v>34</v>
      </c>
      <c r="E365">
        <v>5</v>
      </c>
      <c r="F365" t="s">
        <v>563</v>
      </c>
      <c r="G365" t="s">
        <v>83</v>
      </c>
      <c r="H365" t="s">
        <v>379</v>
      </c>
      <c r="I365" t="s">
        <v>212</v>
      </c>
      <c r="J365" t="s">
        <v>213</v>
      </c>
      <c r="K365" t="s">
        <v>149</v>
      </c>
      <c r="M365" t="s">
        <v>224</v>
      </c>
      <c r="N365" t="s">
        <v>215</v>
      </c>
      <c r="O365" s="57">
        <v>46268.394861111112</v>
      </c>
      <c r="P365" s="57">
        <v>46269.33834490741</v>
      </c>
      <c r="Q365">
        <v>69382784</v>
      </c>
      <c r="S365">
        <v>172422212795</v>
      </c>
      <c r="T365" t="s">
        <v>2943</v>
      </c>
      <c r="U365" t="s">
        <v>2944</v>
      </c>
      <c r="V365" t="s">
        <v>2945</v>
      </c>
      <c r="Z365">
        <v>115.2363684</v>
      </c>
      <c r="AA365">
        <v>-8.6232188999999995</v>
      </c>
      <c r="AB365" t="s">
        <v>2946</v>
      </c>
      <c r="AC365" t="s">
        <v>229</v>
      </c>
      <c r="AL365" t="s">
        <v>217</v>
      </c>
      <c r="AM365" t="s">
        <v>2947</v>
      </c>
      <c r="AN365" t="s">
        <v>6</v>
      </c>
      <c r="AO365" s="57">
        <v>46090.402800925927</v>
      </c>
      <c r="AP365" s="57">
        <v>46269.333333333336</v>
      </c>
      <c r="AR365" t="s">
        <v>18</v>
      </c>
      <c r="AS365" t="s">
        <v>1524</v>
      </c>
      <c r="AT365" t="s">
        <v>230</v>
      </c>
      <c r="AV365" t="s">
        <v>226</v>
      </c>
      <c r="AW365" t="s">
        <v>560</v>
      </c>
      <c r="AX365" t="s">
        <v>222</v>
      </c>
      <c r="BA365" s="57">
        <v>46269.333333333336</v>
      </c>
      <c r="BB365" t="s">
        <v>2947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SANUR</v>
      </c>
    </row>
    <row r="366" spans="1:61">
      <c r="A366">
        <v>365</v>
      </c>
      <c r="B366">
        <v>1002568792</v>
      </c>
      <c r="C366">
        <v>3</v>
      </c>
      <c r="D366" t="s">
        <v>45</v>
      </c>
      <c r="E366">
        <v>5</v>
      </c>
      <c r="F366" t="s">
        <v>113</v>
      </c>
      <c r="G366" t="s">
        <v>113</v>
      </c>
      <c r="H366" t="s">
        <v>317</v>
      </c>
      <c r="I366" t="s">
        <v>212</v>
      </c>
      <c r="J366" t="s">
        <v>213</v>
      </c>
      <c r="K366" t="s">
        <v>149</v>
      </c>
      <c r="L366" t="s">
        <v>214</v>
      </c>
      <c r="M366" t="s">
        <v>224</v>
      </c>
      <c r="N366" t="s">
        <v>215</v>
      </c>
      <c r="O366" s="57">
        <v>46268.370787037034</v>
      </c>
      <c r="P366" s="57">
        <v>46269.337199074071</v>
      </c>
      <c r="Q366">
        <v>69382762</v>
      </c>
      <c r="S366">
        <v>172503813801</v>
      </c>
      <c r="T366" t="s">
        <v>2948</v>
      </c>
      <c r="U366" t="s">
        <v>2949</v>
      </c>
      <c r="V366" t="s">
        <v>2950</v>
      </c>
      <c r="Z366">
        <v>123.6880128</v>
      </c>
      <c r="AA366">
        <v>-10.1471593</v>
      </c>
      <c r="AB366" t="s">
        <v>2951</v>
      </c>
      <c r="AC366" t="s">
        <v>236</v>
      </c>
      <c r="AL366" t="s">
        <v>217</v>
      </c>
      <c r="AM366" t="s">
        <v>2734</v>
      </c>
      <c r="AN366" t="s">
        <v>6</v>
      </c>
      <c r="AO366" s="57">
        <v>46090.37158564815</v>
      </c>
      <c r="AP366" s="57">
        <v>46269.333333333336</v>
      </c>
      <c r="AR366" t="s">
        <v>18</v>
      </c>
      <c r="AS366" t="s">
        <v>113</v>
      </c>
      <c r="AT366" t="s">
        <v>230</v>
      </c>
      <c r="AV366" t="s">
        <v>226</v>
      </c>
      <c r="AW366" t="s">
        <v>887</v>
      </c>
      <c r="AX366" t="s">
        <v>222</v>
      </c>
      <c r="BA366" s="57">
        <v>46269.333333333336</v>
      </c>
      <c r="BB366" t="s">
        <v>2734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KUPANG</v>
      </c>
    </row>
    <row r="367" spans="1:61">
      <c r="A367">
        <v>366</v>
      </c>
      <c r="B367">
        <v>1002568780</v>
      </c>
      <c r="C367">
        <v>3</v>
      </c>
      <c r="D367" t="s">
        <v>38</v>
      </c>
      <c r="E367">
        <v>5</v>
      </c>
      <c r="F367" t="s">
        <v>90</v>
      </c>
      <c r="G367" t="s">
        <v>88</v>
      </c>
      <c r="H367" t="s">
        <v>455</v>
      </c>
      <c r="I367" t="s">
        <v>212</v>
      </c>
      <c r="J367" t="s">
        <v>213</v>
      </c>
      <c r="K367" t="s">
        <v>149</v>
      </c>
      <c r="L367" t="s">
        <v>214</v>
      </c>
      <c r="M367" t="s">
        <v>224</v>
      </c>
      <c r="N367" t="s">
        <v>215</v>
      </c>
      <c r="O367" s="57">
        <v>46268.368703703702</v>
      </c>
      <c r="P367" s="57">
        <v>46269.338437500002</v>
      </c>
      <c r="Q367">
        <v>69382734</v>
      </c>
      <c r="S367">
        <v>152737203512</v>
      </c>
      <c r="T367" t="s">
        <v>2952</v>
      </c>
      <c r="U367" t="s">
        <v>2953</v>
      </c>
      <c r="V367" t="s">
        <v>2954</v>
      </c>
      <c r="Z367">
        <v>112.295130863785</v>
      </c>
      <c r="AA367">
        <v>-8.0148139516978194</v>
      </c>
      <c r="AB367" t="s">
        <v>2955</v>
      </c>
      <c r="AC367" t="s">
        <v>216</v>
      </c>
      <c r="AL367" t="s">
        <v>217</v>
      </c>
      <c r="AM367" t="s">
        <v>2956</v>
      </c>
      <c r="AN367" t="s">
        <v>6</v>
      </c>
      <c r="AO367" s="57">
        <v>46090.37158564815</v>
      </c>
      <c r="AP367" s="57">
        <v>46269.333333333336</v>
      </c>
      <c r="AR367" t="s">
        <v>18</v>
      </c>
      <c r="AS367" t="s">
        <v>558</v>
      </c>
      <c r="AT367" t="s">
        <v>230</v>
      </c>
      <c r="AV367" t="s">
        <v>226</v>
      </c>
      <c r="AW367" t="s">
        <v>885</v>
      </c>
      <c r="AX367" t="s">
        <v>222</v>
      </c>
      <c r="BA367" s="57">
        <v>46269.333333333336</v>
      </c>
      <c r="BB367" t="s">
        <v>2956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BLITAR</v>
      </c>
    </row>
    <row r="368" spans="1:61">
      <c r="A368">
        <v>367</v>
      </c>
      <c r="B368">
        <v>1002569487</v>
      </c>
      <c r="C368">
        <v>3</v>
      </c>
      <c r="D368" t="s">
        <v>45</v>
      </c>
      <c r="E368">
        <v>5</v>
      </c>
      <c r="F368" t="s">
        <v>113</v>
      </c>
      <c r="G368" t="s">
        <v>113</v>
      </c>
      <c r="H368" t="s">
        <v>317</v>
      </c>
      <c r="I368" t="s">
        <v>212</v>
      </c>
      <c r="J368" t="s">
        <v>213</v>
      </c>
      <c r="K368" t="s">
        <v>149</v>
      </c>
      <c r="L368" t="s">
        <v>214</v>
      </c>
      <c r="M368" t="s">
        <v>224</v>
      </c>
      <c r="N368" t="s">
        <v>215</v>
      </c>
      <c r="O368" s="57">
        <v>46268.492314814815</v>
      </c>
      <c r="P368" s="57">
        <v>46269.338495370372</v>
      </c>
      <c r="Q368">
        <v>69383023</v>
      </c>
      <c r="S368">
        <v>172503813802</v>
      </c>
      <c r="T368" t="s">
        <v>2957</v>
      </c>
      <c r="U368" t="s">
        <v>2958</v>
      </c>
      <c r="V368" t="s">
        <v>2959</v>
      </c>
      <c r="Z368">
        <v>123.64565469324501</v>
      </c>
      <c r="AA368">
        <v>-10.178190498798999</v>
      </c>
      <c r="AB368" t="s">
        <v>2960</v>
      </c>
      <c r="AC368" t="s">
        <v>216</v>
      </c>
      <c r="AL368" t="s">
        <v>217</v>
      </c>
      <c r="AM368" t="s">
        <v>2961</v>
      </c>
      <c r="AN368" t="s">
        <v>6</v>
      </c>
      <c r="AO368" s="57">
        <v>46090.496493055558</v>
      </c>
      <c r="AP368" s="57">
        <v>46269.333333333336</v>
      </c>
      <c r="AR368" t="s">
        <v>18</v>
      </c>
      <c r="AS368" t="s">
        <v>113</v>
      </c>
      <c r="AT368" t="s">
        <v>230</v>
      </c>
      <c r="AV368" t="s">
        <v>226</v>
      </c>
      <c r="AW368" t="s">
        <v>890</v>
      </c>
      <c r="AX368" t="s">
        <v>222</v>
      </c>
      <c r="BA368" s="57">
        <v>46269.333333333336</v>
      </c>
      <c r="BB368" t="s">
        <v>2961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KUPANG</v>
      </c>
    </row>
    <row r="369" spans="1:61">
      <c r="A369">
        <v>368</v>
      </c>
      <c r="B369">
        <v>1002569339</v>
      </c>
      <c r="C369">
        <v>3</v>
      </c>
      <c r="D369" t="s">
        <v>55</v>
      </c>
      <c r="E369">
        <v>5</v>
      </c>
      <c r="F369" t="s">
        <v>261</v>
      </c>
      <c r="G369" t="s">
        <v>125</v>
      </c>
      <c r="H369" t="s">
        <v>349</v>
      </c>
      <c r="I369" t="s">
        <v>212</v>
      </c>
      <c r="J369" t="s">
        <v>213</v>
      </c>
      <c r="K369" t="s">
        <v>149</v>
      </c>
      <c r="L369" t="s">
        <v>214</v>
      </c>
      <c r="M369" t="s">
        <v>224</v>
      </c>
      <c r="N369" t="s">
        <v>215</v>
      </c>
      <c r="O369" s="57">
        <v>46268.4687037037</v>
      </c>
      <c r="P369" s="57">
        <v>46269.431585648148</v>
      </c>
      <c r="Q369">
        <v>69382971</v>
      </c>
      <c r="S369">
        <v>152457201371</v>
      </c>
      <c r="T369" t="s">
        <v>2962</v>
      </c>
      <c r="U369" t="s">
        <v>2963</v>
      </c>
      <c r="V369" t="s">
        <v>2964</v>
      </c>
      <c r="Z369">
        <v>112.277352847158</v>
      </c>
      <c r="AA369">
        <v>-7.0964510412657003</v>
      </c>
      <c r="AB369" t="s">
        <v>2965</v>
      </c>
      <c r="AC369" t="s">
        <v>216</v>
      </c>
      <c r="AL369" t="s">
        <v>217</v>
      </c>
      <c r="AM369" t="s">
        <v>2966</v>
      </c>
      <c r="AN369" t="s">
        <v>6</v>
      </c>
      <c r="AO369" s="57">
        <v>46090.475925925923</v>
      </c>
      <c r="AP369" s="57">
        <v>46269.416666666664</v>
      </c>
      <c r="AR369" t="s">
        <v>18</v>
      </c>
      <c r="AS369" t="s">
        <v>219</v>
      </c>
      <c r="AT369" t="s">
        <v>230</v>
      </c>
      <c r="AV369" t="s">
        <v>226</v>
      </c>
      <c r="AW369" t="s">
        <v>887</v>
      </c>
      <c r="AX369" t="s">
        <v>222</v>
      </c>
      <c r="BA369" s="57">
        <v>46269.416666666664</v>
      </c>
      <c r="BB369" t="s">
        <v>2966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GRESIK</v>
      </c>
    </row>
    <row r="370" spans="1:61">
      <c r="A370">
        <v>369</v>
      </c>
      <c r="B370">
        <v>1002569329</v>
      </c>
      <c r="C370">
        <v>3</v>
      </c>
      <c r="D370" t="s">
        <v>38</v>
      </c>
      <c r="E370">
        <v>5</v>
      </c>
      <c r="F370" t="s">
        <v>92</v>
      </c>
      <c r="G370" t="s">
        <v>94</v>
      </c>
      <c r="H370" t="s">
        <v>442</v>
      </c>
      <c r="I370" t="s">
        <v>212</v>
      </c>
      <c r="J370" t="s">
        <v>213</v>
      </c>
      <c r="K370" t="s">
        <v>149</v>
      </c>
      <c r="L370" t="s">
        <v>214</v>
      </c>
      <c r="M370" t="s">
        <v>224</v>
      </c>
      <c r="N370" t="s">
        <v>215</v>
      </c>
      <c r="O370" s="57">
        <v>46268.466620370367</v>
      </c>
      <c r="P370" s="57">
        <v>46269.338229166664</v>
      </c>
      <c r="Q370">
        <v>69382967</v>
      </c>
      <c r="S370">
        <v>152635205089</v>
      </c>
      <c r="T370" t="s">
        <v>2967</v>
      </c>
      <c r="U370" t="s">
        <v>2968</v>
      </c>
      <c r="V370" t="s">
        <v>2969</v>
      </c>
      <c r="Z370">
        <v>111.171077</v>
      </c>
      <c r="AA370">
        <v>-7.488645</v>
      </c>
      <c r="AB370" t="s">
        <v>2970</v>
      </c>
      <c r="AC370" t="s">
        <v>236</v>
      </c>
      <c r="AL370" t="s">
        <v>217</v>
      </c>
      <c r="AM370" t="s">
        <v>2971</v>
      </c>
      <c r="AN370" t="s">
        <v>6</v>
      </c>
      <c r="AO370" s="57">
        <v>46090.475925925923</v>
      </c>
      <c r="AP370" s="57">
        <v>46269.333333333336</v>
      </c>
      <c r="AR370" t="s">
        <v>18</v>
      </c>
      <c r="AS370" t="s">
        <v>219</v>
      </c>
      <c r="AT370" t="s">
        <v>344</v>
      </c>
      <c r="AV370" t="s">
        <v>226</v>
      </c>
      <c r="AW370" t="s">
        <v>889</v>
      </c>
      <c r="AX370" t="s">
        <v>222</v>
      </c>
      <c r="BA370" s="57">
        <v>46269.333333333336</v>
      </c>
      <c r="BB370" t="s">
        <v>2971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MADIUN</v>
      </c>
    </row>
    <row r="371" spans="1:61">
      <c r="A371">
        <v>370</v>
      </c>
      <c r="B371">
        <v>1002569320</v>
      </c>
      <c r="C371">
        <v>3</v>
      </c>
      <c r="D371" t="s">
        <v>42</v>
      </c>
      <c r="E371">
        <v>5</v>
      </c>
      <c r="F371" t="s">
        <v>232</v>
      </c>
      <c r="G371" t="s">
        <v>101</v>
      </c>
      <c r="H371" t="s">
        <v>427</v>
      </c>
      <c r="I371" t="s">
        <v>212</v>
      </c>
      <c r="J371" t="s">
        <v>213</v>
      </c>
      <c r="K371" t="s">
        <v>149</v>
      </c>
      <c r="M371" t="s">
        <v>224</v>
      </c>
      <c r="N371" t="s">
        <v>215</v>
      </c>
      <c r="O371" s="57">
        <v>46268.465763888889</v>
      </c>
      <c r="P371" s="57">
        <v>46269.339675925927</v>
      </c>
      <c r="Q371">
        <v>69382961</v>
      </c>
      <c r="S371">
        <v>152331251368</v>
      </c>
      <c r="T371" t="s">
        <v>2972</v>
      </c>
      <c r="U371" t="s">
        <v>2973</v>
      </c>
      <c r="V371" t="s">
        <v>2974</v>
      </c>
      <c r="Z371">
        <v>112.5005962</v>
      </c>
      <c r="AA371">
        <v>-7.4238676999999997</v>
      </c>
      <c r="AB371" t="s">
        <v>2975</v>
      </c>
      <c r="AC371" t="s">
        <v>229</v>
      </c>
      <c r="AL371" t="s">
        <v>217</v>
      </c>
      <c r="AM371" t="s">
        <v>2976</v>
      </c>
      <c r="AN371" t="s">
        <v>6</v>
      </c>
      <c r="AO371" s="57">
        <v>46090.475925925923</v>
      </c>
      <c r="AP371" s="57">
        <v>46269.333333333336</v>
      </c>
      <c r="AR371" t="s">
        <v>18</v>
      </c>
      <c r="AS371" t="s">
        <v>573</v>
      </c>
      <c r="AT371" t="s">
        <v>220</v>
      </c>
      <c r="AV371" t="s">
        <v>226</v>
      </c>
      <c r="AW371" t="s">
        <v>545</v>
      </c>
      <c r="AX371" t="s">
        <v>222</v>
      </c>
      <c r="BA371" s="57">
        <v>46269.333333333336</v>
      </c>
      <c r="BB371" t="s">
        <v>2976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SIDOARJO</v>
      </c>
    </row>
    <row r="372" spans="1:61">
      <c r="A372">
        <v>371</v>
      </c>
      <c r="B372">
        <v>1002568885</v>
      </c>
      <c r="C372">
        <v>3</v>
      </c>
      <c r="D372" t="s">
        <v>38</v>
      </c>
      <c r="E372">
        <v>5</v>
      </c>
      <c r="F372" t="s">
        <v>92</v>
      </c>
      <c r="G372" t="s">
        <v>92</v>
      </c>
      <c r="H372" t="s">
        <v>254</v>
      </c>
      <c r="I372" t="s">
        <v>212</v>
      </c>
      <c r="J372" t="s">
        <v>213</v>
      </c>
      <c r="K372" t="s">
        <v>149</v>
      </c>
      <c r="L372" t="s">
        <v>214</v>
      </c>
      <c r="M372" t="s">
        <v>224</v>
      </c>
      <c r="N372" t="s">
        <v>215</v>
      </c>
      <c r="O372" s="57">
        <v>46268.387453703705</v>
      </c>
      <c r="P372" s="57">
        <v>46268.668865740743</v>
      </c>
      <c r="Q372">
        <v>69382792</v>
      </c>
      <c r="S372">
        <v>152631206404</v>
      </c>
      <c r="T372" t="s">
        <v>2977</v>
      </c>
      <c r="U372" t="s">
        <v>2978</v>
      </c>
      <c r="V372" t="s">
        <v>2979</v>
      </c>
      <c r="Z372">
        <v>111.43889299999999</v>
      </c>
      <c r="AA372">
        <v>-7.589385</v>
      </c>
      <c r="AB372" t="s">
        <v>2980</v>
      </c>
      <c r="AC372" t="s">
        <v>236</v>
      </c>
      <c r="AL372" t="s">
        <v>217</v>
      </c>
      <c r="AM372" t="s">
        <v>2981</v>
      </c>
      <c r="AN372" t="s">
        <v>6</v>
      </c>
      <c r="AO372" s="57">
        <v>46090.392812500002</v>
      </c>
      <c r="AP372" s="57">
        <v>46269.333333333336</v>
      </c>
      <c r="AR372" t="s">
        <v>18</v>
      </c>
      <c r="AS372" t="s">
        <v>570</v>
      </c>
      <c r="AT372" t="s">
        <v>230</v>
      </c>
      <c r="AV372" t="s">
        <v>226</v>
      </c>
      <c r="AW372" t="s">
        <v>888</v>
      </c>
      <c r="AX372" t="s">
        <v>222</v>
      </c>
      <c r="BA372" s="57">
        <v>46269.333333333336</v>
      </c>
      <c r="BB372" t="s">
        <v>2981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MADIUN</v>
      </c>
    </row>
    <row r="373" spans="1:61">
      <c r="A373">
        <v>372</v>
      </c>
      <c r="B373">
        <v>1002568843</v>
      </c>
      <c r="C373">
        <v>3</v>
      </c>
      <c r="D373" t="s">
        <v>51</v>
      </c>
      <c r="E373">
        <v>4</v>
      </c>
      <c r="F373" t="s">
        <v>269</v>
      </c>
      <c r="G373" t="s">
        <v>823</v>
      </c>
      <c r="H373" t="s">
        <v>837</v>
      </c>
      <c r="I373" t="s">
        <v>212</v>
      </c>
      <c r="J373" t="s">
        <v>213</v>
      </c>
      <c r="K373" t="s">
        <v>149</v>
      </c>
      <c r="L373" t="s">
        <v>214</v>
      </c>
      <c r="M373" t="s">
        <v>224</v>
      </c>
      <c r="N373" t="s">
        <v>215</v>
      </c>
      <c r="O373" s="57">
        <v>46268.381909722222</v>
      </c>
      <c r="P373" s="57">
        <v>46269.337326388886</v>
      </c>
      <c r="Q373">
        <v>69382741</v>
      </c>
      <c r="S373">
        <v>146593115594</v>
      </c>
      <c r="T373" t="s">
        <v>2982</v>
      </c>
      <c r="U373" t="s">
        <v>2983</v>
      </c>
      <c r="V373" t="s">
        <v>2984</v>
      </c>
      <c r="Z373">
        <v>110.7115627</v>
      </c>
      <c r="AA373">
        <v>-6.7026028999999996</v>
      </c>
      <c r="AB373" t="s">
        <v>2985</v>
      </c>
      <c r="AC373" t="s">
        <v>236</v>
      </c>
      <c r="AL373" t="s">
        <v>217</v>
      </c>
      <c r="AM373" t="s">
        <v>2986</v>
      </c>
      <c r="AN373" t="s">
        <v>6</v>
      </c>
      <c r="AO373" s="57">
        <v>46090.392812500002</v>
      </c>
      <c r="AP373" s="57">
        <v>46269.333333333336</v>
      </c>
      <c r="AR373" t="s">
        <v>18</v>
      </c>
      <c r="AS373" t="s">
        <v>919</v>
      </c>
      <c r="AT373" t="s">
        <v>230</v>
      </c>
      <c r="AV373" t="s">
        <v>226</v>
      </c>
      <c r="AW373" t="s">
        <v>886</v>
      </c>
      <c r="AX373" t="s">
        <v>222</v>
      </c>
      <c r="BA373" s="57">
        <v>46269.333333333336</v>
      </c>
      <c r="BB373" t="s">
        <v>2986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:61">
      <c r="A374">
        <v>373</v>
      </c>
      <c r="B374">
        <v>1002569436</v>
      </c>
      <c r="C374">
        <v>3</v>
      </c>
      <c r="D374" t="s">
        <v>38</v>
      </c>
      <c r="E374">
        <v>5</v>
      </c>
      <c r="F374" t="s">
        <v>92</v>
      </c>
      <c r="G374" t="s">
        <v>94</v>
      </c>
      <c r="H374" t="s">
        <v>442</v>
      </c>
      <c r="I374" t="s">
        <v>212</v>
      </c>
      <c r="J374" t="s">
        <v>213</v>
      </c>
      <c r="K374" t="s">
        <v>149</v>
      </c>
      <c r="L374" t="s">
        <v>214</v>
      </c>
      <c r="M374" t="s">
        <v>224</v>
      </c>
      <c r="N374" t="s">
        <v>215</v>
      </c>
      <c r="O374" s="57">
        <v>46268.485381944447</v>
      </c>
      <c r="P374" s="57">
        <v>46269.337280092594</v>
      </c>
      <c r="Q374">
        <v>69383006</v>
      </c>
      <c r="S374">
        <v>152635205090</v>
      </c>
      <c r="T374" t="s">
        <v>2987</v>
      </c>
      <c r="U374" t="s">
        <v>2988</v>
      </c>
      <c r="V374" t="s">
        <v>2989</v>
      </c>
      <c r="Z374">
        <v>111.145296811381</v>
      </c>
      <c r="AA374">
        <v>-7.4797860402677401</v>
      </c>
      <c r="AB374" t="s">
        <v>2990</v>
      </c>
      <c r="AC374" t="s">
        <v>236</v>
      </c>
      <c r="AL374" t="s">
        <v>217</v>
      </c>
      <c r="AM374" t="s">
        <v>2682</v>
      </c>
      <c r="AN374" t="s">
        <v>6</v>
      </c>
      <c r="AO374" s="57">
        <v>46090.486041666663</v>
      </c>
      <c r="AP374" s="57">
        <v>46269.333333333336</v>
      </c>
      <c r="AR374" t="s">
        <v>18</v>
      </c>
      <c r="AS374" t="s">
        <v>219</v>
      </c>
      <c r="AT374" t="s">
        <v>344</v>
      </c>
      <c r="AV374" t="s">
        <v>226</v>
      </c>
      <c r="AW374" t="s">
        <v>2991</v>
      </c>
      <c r="AX374" t="s">
        <v>222</v>
      </c>
      <c r="BA374" s="57">
        <v>46269.333333333336</v>
      </c>
      <c r="BB374" t="s">
        <v>2682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MADIUN</v>
      </c>
    </row>
    <row r="375" spans="1:61">
      <c r="A375">
        <v>374</v>
      </c>
      <c r="B375">
        <v>1002569385</v>
      </c>
      <c r="C375">
        <v>3</v>
      </c>
      <c r="D375" t="s">
        <v>55</v>
      </c>
      <c r="E375">
        <v>5</v>
      </c>
      <c r="F375" t="s">
        <v>227</v>
      </c>
      <c r="G375" t="s">
        <v>121</v>
      </c>
      <c r="H375" t="s">
        <v>377</v>
      </c>
      <c r="I375" t="s">
        <v>212</v>
      </c>
      <c r="J375" t="s">
        <v>213</v>
      </c>
      <c r="K375" t="s">
        <v>149</v>
      </c>
      <c r="L375" t="s">
        <v>214</v>
      </c>
      <c r="M375" t="s">
        <v>224</v>
      </c>
      <c r="N375" t="s">
        <v>215</v>
      </c>
      <c r="O375" s="57">
        <v>46268.477037037039</v>
      </c>
      <c r="P375" s="57">
        <v>46269.440428240741</v>
      </c>
      <c r="Q375">
        <v>69382999</v>
      </c>
      <c r="S375">
        <v>152435910298</v>
      </c>
      <c r="T375" t="s">
        <v>2992</v>
      </c>
      <c r="U375" t="s">
        <v>2993</v>
      </c>
      <c r="V375" t="s">
        <v>2994</v>
      </c>
      <c r="Z375">
        <v>112.7381116</v>
      </c>
      <c r="AA375">
        <v>-7.0428864999999998</v>
      </c>
      <c r="AB375" t="s">
        <v>2995</v>
      </c>
      <c r="AC375" t="s">
        <v>236</v>
      </c>
      <c r="AL375" t="s">
        <v>217</v>
      </c>
      <c r="AM375" t="s">
        <v>2996</v>
      </c>
      <c r="AN375" t="s">
        <v>6</v>
      </c>
      <c r="AO375" s="57">
        <v>46090.486041666663</v>
      </c>
      <c r="AP375" s="57">
        <v>46269.333333333336</v>
      </c>
      <c r="AR375" t="s">
        <v>18</v>
      </c>
      <c r="AS375" t="s">
        <v>219</v>
      </c>
      <c r="AT375" t="s">
        <v>230</v>
      </c>
      <c r="AV375" t="s">
        <v>226</v>
      </c>
      <c r="AW375" t="s">
        <v>887</v>
      </c>
      <c r="AX375" t="s">
        <v>222</v>
      </c>
      <c r="BA375" s="57">
        <v>46269.333333333336</v>
      </c>
      <c r="BB375" t="s">
        <v>2996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MADURA</v>
      </c>
    </row>
    <row r="376" spans="1:61">
      <c r="A376">
        <v>375</v>
      </c>
      <c r="B376">
        <v>1002569043</v>
      </c>
      <c r="C376">
        <v>3</v>
      </c>
      <c r="D376" t="s">
        <v>34</v>
      </c>
      <c r="E376">
        <v>5</v>
      </c>
      <c r="F376" t="s">
        <v>563</v>
      </c>
      <c r="G376" t="s">
        <v>81</v>
      </c>
      <c r="H376" t="s">
        <v>417</v>
      </c>
      <c r="I376" t="s">
        <v>212</v>
      </c>
      <c r="J376" t="s">
        <v>213</v>
      </c>
      <c r="K376" t="s">
        <v>149</v>
      </c>
      <c r="M376" t="s">
        <v>224</v>
      </c>
      <c r="N376" t="s">
        <v>215</v>
      </c>
      <c r="O376" s="57">
        <v>46268.417453703703</v>
      </c>
      <c r="P376" s="57">
        <v>46268.45857638889</v>
      </c>
      <c r="Q376">
        <v>69382868</v>
      </c>
      <c r="S376">
        <v>172402803180</v>
      </c>
      <c r="T376" t="s">
        <v>2997</v>
      </c>
      <c r="U376" t="s">
        <v>2998</v>
      </c>
      <c r="V376" t="s">
        <v>2999</v>
      </c>
      <c r="Z376">
        <v>115.2386262</v>
      </c>
      <c r="AA376">
        <v>-8.7218707000000002</v>
      </c>
      <c r="AB376" t="s">
        <v>3000</v>
      </c>
      <c r="AC376" t="s">
        <v>229</v>
      </c>
      <c r="AL376" t="s">
        <v>217</v>
      </c>
      <c r="AM376" t="s">
        <v>3001</v>
      </c>
      <c r="AN376" t="s">
        <v>6</v>
      </c>
      <c r="AO376" s="57">
        <v>46090.423622685186</v>
      </c>
      <c r="AP376" s="57">
        <v>46269.333333333336</v>
      </c>
      <c r="AR376" t="s">
        <v>18</v>
      </c>
      <c r="AS376" t="s">
        <v>603</v>
      </c>
      <c r="AT376" t="s">
        <v>230</v>
      </c>
      <c r="AV376" t="s">
        <v>226</v>
      </c>
      <c r="AW376" t="s">
        <v>545</v>
      </c>
      <c r="AX376" t="s">
        <v>222</v>
      </c>
      <c r="BA376" s="57">
        <v>46269.333333333336</v>
      </c>
      <c r="BB376" t="s">
        <v>3001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JIMBARAN</v>
      </c>
    </row>
    <row r="377" spans="1:61">
      <c r="A377">
        <v>376</v>
      </c>
      <c r="B377">
        <v>1002569521</v>
      </c>
      <c r="C377">
        <v>3</v>
      </c>
      <c r="D377" t="s">
        <v>49</v>
      </c>
      <c r="E377">
        <v>4</v>
      </c>
      <c r="F377" t="s">
        <v>245</v>
      </c>
      <c r="G377" t="s">
        <v>564</v>
      </c>
      <c r="H377" t="s">
        <v>565</v>
      </c>
      <c r="I377" t="s">
        <v>212</v>
      </c>
      <c r="J377" t="s">
        <v>213</v>
      </c>
      <c r="K377" t="s">
        <v>149</v>
      </c>
      <c r="L377" t="s">
        <v>214</v>
      </c>
      <c r="M377" t="s">
        <v>224</v>
      </c>
      <c r="N377" t="s">
        <v>215</v>
      </c>
      <c r="O377" s="57">
        <v>46268.498576388891</v>
      </c>
      <c r="P377" s="57">
        <v>46269.338321759256</v>
      </c>
      <c r="Q377">
        <v>69383035</v>
      </c>
      <c r="S377">
        <v>142434111579</v>
      </c>
      <c r="T377" t="s">
        <v>3002</v>
      </c>
      <c r="U377" t="s">
        <v>3003</v>
      </c>
      <c r="V377" t="s">
        <v>3004</v>
      </c>
      <c r="Z377">
        <v>110.49921657215999</v>
      </c>
      <c r="AA377">
        <v>-7.3221551691241098</v>
      </c>
      <c r="AB377" t="s">
        <v>3005</v>
      </c>
      <c r="AC377" t="s">
        <v>236</v>
      </c>
      <c r="AL377" t="s">
        <v>217</v>
      </c>
      <c r="AM377" t="s">
        <v>2734</v>
      </c>
      <c r="AN377" t="s">
        <v>6</v>
      </c>
      <c r="AO377" s="57">
        <v>46090.506990740738</v>
      </c>
      <c r="AP377" s="57">
        <v>46269.333333333336</v>
      </c>
      <c r="AR377" t="s">
        <v>18</v>
      </c>
      <c r="AS377" t="s">
        <v>219</v>
      </c>
      <c r="AT377" t="s">
        <v>230</v>
      </c>
      <c r="AV377" t="s">
        <v>226</v>
      </c>
      <c r="AW377" t="s">
        <v>890</v>
      </c>
      <c r="AX377" t="s">
        <v>222</v>
      </c>
      <c r="BA377" s="57">
        <v>46269.333333333336</v>
      </c>
      <c r="BB377" t="s">
        <v>2734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:61">
      <c r="A378">
        <v>377</v>
      </c>
      <c r="B378">
        <v>1002569871</v>
      </c>
      <c r="C378">
        <v>3</v>
      </c>
      <c r="D378" t="s">
        <v>38</v>
      </c>
      <c r="E378">
        <v>5</v>
      </c>
      <c r="F378" t="s">
        <v>92</v>
      </c>
      <c r="G378" t="s">
        <v>94</v>
      </c>
      <c r="H378" t="s">
        <v>452</v>
      </c>
      <c r="I378" t="s">
        <v>212</v>
      </c>
      <c r="J378" t="s">
        <v>213</v>
      </c>
      <c r="K378" t="s">
        <v>149</v>
      </c>
      <c r="L378" t="s">
        <v>214</v>
      </c>
      <c r="M378" t="s">
        <v>224</v>
      </c>
      <c r="N378" t="s">
        <v>215</v>
      </c>
      <c r="O378" s="57">
        <v>46268.581203703703</v>
      </c>
      <c r="P378" s="57">
        <v>46269.442986111113</v>
      </c>
      <c r="Q378">
        <v>69383184</v>
      </c>
      <c r="S378">
        <v>152605224199</v>
      </c>
      <c r="T378" t="s">
        <v>3006</v>
      </c>
      <c r="U378" t="s">
        <v>3007</v>
      </c>
      <c r="V378" t="s">
        <v>3008</v>
      </c>
      <c r="Z378">
        <v>111.50867703030499</v>
      </c>
      <c r="AA378">
        <v>-7.3290882892401896</v>
      </c>
      <c r="AB378" t="s">
        <v>3009</v>
      </c>
      <c r="AC378" t="s">
        <v>236</v>
      </c>
      <c r="AL378" t="s">
        <v>217</v>
      </c>
      <c r="AM378" t="s">
        <v>2517</v>
      </c>
      <c r="AN378" t="s">
        <v>6</v>
      </c>
      <c r="AO378" s="57">
        <v>46090.590648148151</v>
      </c>
      <c r="AP378" s="57">
        <v>46269.541666666664</v>
      </c>
      <c r="AR378" t="s">
        <v>18</v>
      </c>
      <c r="AS378" t="s">
        <v>219</v>
      </c>
      <c r="AT378" t="s">
        <v>344</v>
      </c>
      <c r="AV378" t="s">
        <v>226</v>
      </c>
      <c r="AW378" t="s">
        <v>3010</v>
      </c>
      <c r="AX378" t="s">
        <v>222</v>
      </c>
      <c r="BA378" s="57">
        <v>46269.541666666664</v>
      </c>
      <c r="BB378" t="s">
        <v>2517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str">
        <f>VLOOKUP(H378,Sheet2!$A$1:$B$270,2,FALSE)</f>
        <v>MADIUN</v>
      </c>
    </row>
    <row r="379" spans="1:61">
      <c r="A379">
        <v>378</v>
      </c>
      <c r="B379">
        <v>1002568671</v>
      </c>
      <c r="C379">
        <v>3</v>
      </c>
      <c r="D379" t="s">
        <v>59</v>
      </c>
      <c r="E379">
        <v>4</v>
      </c>
      <c r="F379" t="s">
        <v>223</v>
      </c>
      <c r="G379" t="s">
        <v>223</v>
      </c>
      <c r="H379" t="s">
        <v>827</v>
      </c>
      <c r="I379" t="s">
        <v>212</v>
      </c>
      <c r="J379" t="s">
        <v>213</v>
      </c>
      <c r="K379" t="s">
        <v>149</v>
      </c>
      <c r="L379" t="s">
        <v>214</v>
      </c>
      <c r="M379" t="s">
        <v>224</v>
      </c>
      <c r="N379" t="s">
        <v>215</v>
      </c>
      <c r="O379" s="57">
        <v>46268.340231481481</v>
      </c>
      <c r="P379" s="57">
        <v>46269.337106481478</v>
      </c>
      <c r="Q379">
        <v>69382255</v>
      </c>
      <c r="S379">
        <v>146303629014</v>
      </c>
      <c r="T379" t="s">
        <v>3011</v>
      </c>
      <c r="U379" t="s">
        <v>3012</v>
      </c>
      <c r="V379" t="s">
        <v>3013</v>
      </c>
      <c r="Z379">
        <v>109.234533</v>
      </c>
      <c r="AA379">
        <v>-7.4169919999999996</v>
      </c>
      <c r="AB379" t="s">
        <v>3014</v>
      </c>
      <c r="AC379" t="s">
        <v>236</v>
      </c>
      <c r="AL379" t="s">
        <v>217</v>
      </c>
      <c r="AM379" t="s">
        <v>3015</v>
      </c>
      <c r="AN379" t="s">
        <v>6</v>
      </c>
      <c r="AO379" s="57">
        <v>46090.350740740738</v>
      </c>
      <c r="AP379" s="57">
        <v>46269.333333333336</v>
      </c>
      <c r="AR379" t="s">
        <v>18</v>
      </c>
      <c r="AS379" t="s">
        <v>219</v>
      </c>
      <c r="AT379" t="s">
        <v>230</v>
      </c>
      <c r="AV379" t="s">
        <v>226</v>
      </c>
      <c r="AW379" t="s">
        <v>886</v>
      </c>
      <c r="AX379" t="s">
        <v>222</v>
      </c>
      <c r="BA379" s="57">
        <v>46269.333333333336</v>
      </c>
      <c r="BB379" t="s">
        <v>3015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1002568563</v>
      </c>
      <c r="C380">
        <v>3</v>
      </c>
      <c r="D380" t="s">
        <v>49</v>
      </c>
      <c r="E380">
        <v>4</v>
      </c>
      <c r="F380" t="s">
        <v>245</v>
      </c>
      <c r="G380" t="s">
        <v>246</v>
      </c>
      <c r="H380" t="s">
        <v>832</v>
      </c>
      <c r="I380" t="s">
        <v>212</v>
      </c>
      <c r="J380" t="s">
        <v>213</v>
      </c>
      <c r="K380" t="s">
        <v>149</v>
      </c>
      <c r="L380" t="s">
        <v>214</v>
      </c>
      <c r="M380" t="s">
        <v>224</v>
      </c>
      <c r="N380" t="s">
        <v>215</v>
      </c>
      <c r="O380" s="57">
        <v>46267.779120370367</v>
      </c>
      <c r="P380" s="57">
        <v>46268.647106481483</v>
      </c>
      <c r="Q380">
        <v>69382629</v>
      </c>
      <c r="S380">
        <v>142406122667</v>
      </c>
      <c r="T380" t="s">
        <v>1551</v>
      </c>
      <c r="U380" t="s">
        <v>1552</v>
      </c>
      <c r="V380" t="s">
        <v>1553</v>
      </c>
      <c r="Z380">
        <v>110.405501419705</v>
      </c>
      <c r="AA380">
        <v>-6.9828250310455298</v>
      </c>
      <c r="AB380" t="s">
        <v>1554</v>
      </c>
      <c r="AC380" t="s">
        <v>1555</v>
      </c>
      <c r="AL380" t="s">
        <v>217</v>
      </c>
      <c r="AM380" t="s">
        <v>1556</v>
      </c>
      <c r="AN380" t="s">
        <v>6</v>
      </c>
      <c r="AO380" s="57">
        <v>46062.788148148145</v>
      </c>
      <c r="AP380" s="57">
        <v>46268.625</v>
      </c>
      <c r="AR380" t="s">
        <v>18</v>
      </c>
      <c r="AS380" t="s">
        <v>900</v>
      </c>
      <c r="AT380" t="s">
        <v>230</v>
      </c>
      <c r="AV380" t="s">
        <v>226</v>
      </c>
      <c r="AW380" t="s">
        <v>929</v>
      </c>
      <c r="AX380" t="s">
        <v>222</v>
      </c>
      <c r="BA380" s="57">
        <v>46268.625</v>
      </c>
      <c r="BB380" t="s">
        <v>1556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1002566975</v>
      </c>
      <c r="C381">
        <v>3</v>
      </c>
      <c r="D381" t="s">
        <v>49</v>
      </c>
      <c r="E381">
        <v>4</v>
      </c>
      <c r="F381" t="s">
        <v>250</v>
      </c>
      <c r="G381" t="s">
        <v>253</v>
      </c>
      <c r="H381" t="s">
        <v>1562</v>
      </c>
      <c r="I381" t="s">
        <v>212</v>
      </c>
      <c r="J381" t="s">
        <v>213</v>
      </c>
      <c r="K381" t="s">
        <v>149</v>
      </c>
      <c r="M381" t="s">
        <v>224</v>
      </c>
      <c r="N381" t="s">
        <v>215</v>
      </c>
      <c r="O381" s="57">
        <v>46267.419942129629</v>
      </c>
      <c r="P381" s="57">
        <v>46268.545798611114</v>
      </c>
      <c r="Q381">
        <v>69382056</v>
      </c>
      <c r="S381">
        <v>142283120012</v>
      </c>
      <c r="T381" t="s">
        <v>1563</v>
      </c>
      <c r="U381" t="s">
        <v>1564</v>
      </c>
      <c r="V381" t="s">
        <v>1565</v>
      </c>
      <c r="Z381">
        <v>109.1181605</v>
      </c>
      <c r="AA381">
        <v>-6.9798542000000001</v>
      </c>
      <c r="AB381" t="s">
        <v>1566</v>
      </c>
      <c r="AC381" t="s">
        <v>225</v>
      </c>
      <c r="AL381" t="s">
        <v>217</v>
      </c>
      <c r="AM381" t="s">
        <v>1567</v>
      </c>
      <c r="AN381" t="s">
        <v>6</v>
      </c>
      <c r="AO381" s="57">
        <v>46062.423657407409</v>
      </c>
      <c r="AP381" s="57">
        <v>46268.541666666664</v>
      </c>
      <c r="AR381" t="s">
        <v>18</v>
      </c>
      <c r="AS381" t="s">
        <v>219</v>
      </c>
      <c r="AT381" t="s">
        <v>230</v>
      </c>
      <c r="AV381" t="s">
        <v>226</v>
      </c>
      <c r="AW381" t="s">
        <v>544</v>
      </c>
      <c r="AX381" t="s">
        <v>222</v>
      </c>
      <c r="BA381" s="57">
        <v>46268.541666666664</v>
      </c>
      <c r="BB381" t="s">
        <v>1567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:61">
      <c r="A382">
        <v>381</v>
      </c>
      <c r="B382">
        <v>1002566938</v>
      </c>
      <c r="C382">
        <v>3</v>
      </c>
      <c r="D382" t="s">
        <v>51</v>
      </c>
      <c r="E382">
        <v>4</v>
      </c>
      <c r="F382" t="s">
        <v>234</v>
      </c>
      <c r="G382" t="s">
        <v>562</v>
      </c>
      <c r="H382" t="s">
        <v>848</v>
      </c>
      <c r="I382" t="s">
        <v>212</v>
      </c>
      <c r="J382" t="s">
        <v>213</v>
      </c>
      <c r="K382" t="s">
        <v>149</v>
      </c>
      <c r="M382" t="s">
        <v>224</v>
      </c>
      <c r="N382" t="s">
        <v>581</v>
      </c>
      <c r="O382" s="57">
        <v>46267.412453703706</v>
      </c>
      <c r="P382" s="57">
        <v>46268.33803240741</v>
      </c>
      <c r="Q382">
        <v>69382048</v>
      </c>
      <c r="R382">
        <v>2716008068</v>
      </c>
      <c r="S382">
        <v>146514602779</v>
      </c>
      <c r="T382" t="s">
        <v>2083</v>
      </c>
      <c r="U382" t="s">
        <v>2084</v>
      </c>
      <c r="V382" t="s">
        <v>2085</v>
      </c>
      <c r="Z382">
        <v>110.8229042</v>
      </c>
      <c r="AA382">
        <v>-7.5706189000000004</v>
      </c>
      <c r="AB382" t="s">
        <v>2086</v>
      </c>
      <c r="AC382" t="s">
        <v>225</v>
      </c>
      <c r="AL382" t="s">
        <v>217</v>
      </c>
      <c r="AM382" t="s">
        <v>2087</v>
      </c>
      <c r="AN382" t="s">
        <v>6</v>
      </c>
      <c r="AO382" s="57">
        <v>46062.413263888891</v>
      </c>
      <c r="AP382" s="57">
        <v>46268.333333333336</v>
      </c>
      <c r="AR382" t="s">
        <v>18</v>
      </c>
      <c r="AS382" t="s">
        <v>219</v>
      </c>
      <c r="AT382" t="s">
        <v>230</v>
      </c>
      <c r="AV382" t="s">
        <v>226</v>
      </c>
      <c r="AW382" t="s">
        <v>585</v>
      </c>
      <c r="AX382" t="s">
        <v>222</v>
      </c>
      <c r="BA382" s="57">
        <v>46268.333333333336</v>
      </c>
      <c r="BB382" t="s">
        <v>2087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:61">
      <c r="A383">
        <v>382</v>
      </c>
      <c r="B383">
        <v>1002566926</v>
      </c>
      <c r="C383">
        <v>3</v>
      </c>
      <c r="D383" t="s">
        <v>34</v>
      </c>
      <c r="E383">
        <v>5</v>
      </c>
      <c r="F383" t="s">
        <v>554</v>
      </c>
      <c r="G383" t="s">
        <v>85</v>
      </c>
      <c r="H383" t="s">
        <v>279</v>
      </c>
      <c r="I383" t="s">
        <v>212</v>
      </c>
      <c r="J383" t="s">
        <v>213</v>
      </c>
      <c r="K383" t="s">
        <v>149</v>
      </c>
      <c r="M383" t="s">
        <v>224</v>
      </c>
      <c r="N383" t="s">
        <v>215</v>
      </c>
      <c r="O383" s="57">
        <v>46267.409259259257</v>
      </c>
      <c r="P383" s="57">
        <v>46268.337291666663</v>
      </c>
      <c r="Q383">
        <v>69382067</v>
      </c>
      <c r="S383">
        <v>172413244695</v>
      </c>
      <c r="T383" t="s">
        <v>2088</v>
      </c>
      <c r="U383" t="s">
        <v>2089</v>
      </c>
      <c r="V383" t="s">
        <v>2090</v>
      </c>
      <c r="Z383">
        <v>114.963000532588</v>
      </c>
      <c r="AA383">
        <v>-8.4939798564935494</v>
      </c>
      <c r="AB383" t="s">
        <v>2091</v>
      </c>
      <c r="AC383" t="s">
        <v>229</v>
      </c>
      <c r="AL383" t="s">
        <v>217</v>
      </c>
      <c r="AM383" t="s">
        <v>2092</v>
      </c>
      <c r="AN383" t="s">
        <v>6</v>
      </c>
      <c r="AO383" s="57">
        <v>46062.413263888891</v>
      </c>
      <c r="AP383" s="57">
        <v>46268.333333333336</v>
      </c>
      <c r="AR383" t="s">
        <v>18</v>
      </c>
      <c r="AS383" t="s">
        <v>85</v>
      </c>
      <c r="AT383" t="s">
        <v>230</v>
      </c>
      <c r="AV383" t="s">
        <v>226</v>
      </c>
      <c r="AW383" t="s">
        <v>2093</v>
      </c>
      <c r="AX383" t="s">
        <v>222</v>
      </c>
      <c r="BA383" s="57">
        <v>46268.333333333336</v>
      </c>
      <c r="BB383" t="s">
        <v>2092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TABANAN</v>
      </c>
    </row>
    <row r="384" spans="1:61">
      <c r="A384">
        <v>383</v>
      </c>
      <c r="B384">
        <v>1002567882</v>
      </c>
      <c r="C384">
        <v>3</v>
      </c>
      <c r="D384" t="s">
        <v>55</v>
      </c>
      <c r="E384">
        <v>5</v>
      </c>
      <c r="F384" t="s">
        <v>261</v>
      </c>
      <c r="G384" t="s">
        <v>128</v>
      </c>
      <c r="H384" t="s">
        <v>305</v>
      </c>
      <c r="I384" t="s">
        <v>212</v>
      </c>
      <c r="J384" t="s">
        <v>213</v>
      </c>
      <c r="K384" t="s">
        <v>149</v>
      </c>
      <c r="L384" t="s">
        <v>214</v>
      </c>
      <c r="M384" t="s">
        <v>224</v>
      </c>
      <c r="N384" t="s">
        <v>215</v>
      </c>
      <c r="O384" s="57">
        <v>46267.606979166667</v>
      </c>
      <c r="P384" s="57">
        <v>46268.480497685188</v>
      </c>
      <c r="Q384">
        <v>69382418</v>
      </c>
      <c r="S384">
        <v>152417233852</v>
      </c>
      <c r="T384" t="s">
        <v>1577</v>
      </c>
      <c r="U384" t="s">
        <v>1578</v>
      </c>
      <c r="V384" t="s">
        <v>1579</v>
      </c>
      <c r="Z384">
        <v>112.5747837</v>
      </c>
      <c r="AA384">
        <v>-7.3740005999999996</v>
      </c>
      <c r="AB384" t="s">
        <v>1580</v>
      </c>
      <c r="AC384" t="s">
        <v>216</v>
      </c>
      <c r="AL384" t="s">
        <v>217</v>
      </c>
      <c r="AM384" t="s">
        <v>1581</v>
      </c>
      <c r="AN384" t="s">
        <v>6</v>
      </c>
      <c r="AO384" s="57">
        <v>46062.61109953704</v>
      </c>
      <c r="AP384" s="57">
        <v>46268.458333333336</v>
      </c>
      <c r="AR384" t="s">
        <v>18</v>
      </c>
      <c r="AS384" t="s">
        <v>602</v>
      </c>
      <c r="AT384" t="s">
        <v>344</v>
      </c>
      <c r="AV384" t="s">
        <v>226</v>
      </c>
      <c r="AW384" t="s">
        <v>1582</v>
      </c>
      <c r="AX384" t="s">
        <v>222</v>
      </c>
      <c r="BA384" s="57">
        <v>46268.458333333336</v>
      </c>
      <c r="BB384" t="s">
        <v>1581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str">
        <f>VLOOKUP(H384,Sheet2!$A$1:$B$270,2,FALSE)</f>
        <v>SURABAYA UTARA</v>
      </c>
    </row>
    <row r="385" spans="1:61">
      <c r="A385">
        <v>384</v>
      </c>
      <c r="B385">
        <v>1002567874</v>
      </c>
      <c r="C385">
        <v>3</v>
      </c>
      <c r="D385" t="s">
        <v>45</v>
      </c>
      <c r="E385">
        <v>5</v>
      </c>
      <c r="F385" t="s">
        <v>210</v>
      </c>
      <c r="G385" t="s">
        <v>112</v>
      </c>
      <c r="H385" t="s">
        <v>263</v>
      </c>
      <c r="I385" t="s">
        <v>212</v>
      </c>
      <c r="J385" t="s">
        <v>213</v>
      </c>
      <c r="K385" t="s">
        <v>149</v>
      </c>
      <c r="L385" t="s">
        <v>214</v>
      </c>
      <c r="M385" t="s">
        <v>224</v>
      </c>
      <c r="N385" t="s">
        <v>215</v>
      </c>
      <c r="O385" s="57">
        <v>46267.606215277781</v>
      </c>
      <c r="P385" s="57">
        <v>46269.33761574074</v>
      </c>
      <c r="Q385">
        <v>69382416</v>
      </c>
      <c r="S385">
        <v>172601793606</v>
      </c>
      <c r="T385" t="s">
        <v>1583</v>
      </c>
      <c r="U385" t="s">
        <v>1584</v>
      </c>
      <c r="V385" t="s">
        <v>1585</v>
      </c>
      <c r="Z385">
        <v>116.094719</v>
      </c>
      <c r="AA385">
        <v>-8.62235499999999</v>
      </c>
      <c r="AB385" t="s">
        <v>1586</v>
      </c>
      <c r="AC385" t="s">
        <v>216</v>
      </c>
      <c r="AL385" t="s">
        <v>217</v>
      </c>
      <c r="AM385" t="s">
        <v>1587</v>
      </c>
      <c r="AN385" t="s">
        <v>6</v>
      </c>
      <c r="AO385" s="57">
        <v>46062.61109953704</v>
      </c>
      <c r="AP385" s="57">
        <v>46269.333333333336</v>
      </c>
      <c r="AR385" t="s">
        <v>18</v>
      </c>
      <c r="AS385" t="s">
        <v>219</v>
      </c>
      <c r="AT385" t="s">
        <v>230</v>
      </c>
      <c r="AV385" t="s">
        <v>226</v>
      </c>
      <c r="AW385" t="s">
        <v>882</v>
      </c>
      <c r="AX385" t="s">
        <v>222</v>
      </c>
      <c r="BA385" s="57">
        <v>46269.333333333336</v>
      </c>
      <c r="BB385" t="s">
        <v>1587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MATARAM</v>
      </c>
    </row>
    <row r="386" spans="1:61">
      <c r="A386">
        <v>385</v>
      </c>
      <c r="B386">
        <v>1002567985</v>
      </c>
      <c r="C386">
        <v>3</v>
      </c>
      <c r="D386" t="s">
        <v>45</v>
      </c>
      <c r="E386">
        <v>5</v>
      </c>
      <c r="F386" t="s">
        <v>113</v>
      </c>
      <c r="G386" t="s">
        <v>117</v>
      </c>
      <c r="H386" t="s">
        <v>274</v>
      </c>
      <c r="I386" t="s">
        <v>212</v>
      </c>
      <c r="J386" t="s">
        <v>213</v>
      </c>
      <c r="K386" t="s">
        <v>149</v>
      </c>
      <c r="L386" t="s">
        <v>214</v>
      </c>
      <c r="M386" t="s">
        <v>224</v>
      </c>
      <c r="N386" t="s">
        <v>215</v>
      </c>
      <c r="O386" s="57">
        <v>46267.622870370367</v>
      </c>
      <c r="P386" s="57">
        <v>46268.545613425929</v>
      </c>
      <c r="Q386">
        <v>69382447</v>
      </c>
      <c r="S386">
        <v>172510701070</v>
      </c>
      <c r="T386" t="s">
        <v>1588</v>
      </c>
      <c r="U386" t="s">
        <v>1589</v>
      </c>
      <c r="V386" t="s">
        <v>1590</v>
      </c>
      <c r="Z386">
        <v>123.43901392980401</v>
      </c>
      <c r="AA386">
        <v>-8.3653747622922303</v>
      </c>
      <c r="AB386" t="s">
        <v>1591</v>
      </c>
      <c r="AC386" t="s">
        <v>236</v>
      </c>
      <c r="AL386" t="s">
        <v>217</v>
      </c>
      <c r="AM386" t="s">
        <v>1592</v>
      </c>
      <c r="AN386" t="s">
        <v>6</v>
      </c>
      <c r="AO386" s="57">
        <v>46062.631921296299</v>
      </c>
      <c r="AP386" s="57">
        <v>46268.541666666664</v>
      </c>
      <c r="AR386" t="s">
        <v>18</v>
      </c>
      <c r="AS386" t="s">
        <v>219</v>
      </c>
      <c r="AT386" t="s">
        <v>230</v>
      </c>
      <c r="AV386" t="s">
        <v>226</v>
      </c>
      <c r="AW386" t="s">
        <v>831</v>
      </c>
      <c r="AX386" t="s">
        <v>222</v>
      </c>
      <c r="BA386" s="57">
        <v>46268.541666666664</v>
      </c>
      <c r="BB386" t="s">
        <v>1592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MAUMERE</v>
      </c>
    </row>
    <row r="387" spans="1:61">
      <c r="A387">
        <v>386</v>
      </c>
      <c r="B387">
        <v>1002568531</v>
      </c>
      <c r="C387">
        <v>3</v>
      </c>
      <c r="D387" t="s">
        <v>51</v>
      </c>
      <c r="E387">
        <v>4</v>
      </c>
      <c r="F387" t="s">
        <v>269</v>
      </c>
      <c r="G387" t="s">
        <v>551</v>
      </c>
      <c r="H387" t="s">
        <v>1630</v>
      </c>
      <c r="I387" t="s">
        <v>212</v>
      </c>
      <c r="J387" t="s">
        <v>213</v>
      </c>
      <c r="K387" t="s">
        <v>149</v>
      </c>
      <c r="L387" t="s">
        <v>214</v>
      </c>
      <c r="M387" t="s">
        <v>224</v>
      </c>
      <c r="N387" t="s">
        <v>215</v>
      </c>
      <c r="O387" s="57">
        <v>46267.745798611111</v>
      </c>
      <c r="P387" s="57">
        <v>46268.644085648149</v>
      </c>
      <c r="Q387">
        <v>69382609</v>
      </c>
      <c r="S387">
        <v>142509107207</v>
      </c>
      <c r="T387" t="s">
        <v>1631</v>
      </c>
      <c r="U387" t="s">
        <v>1632</v>
      </c>
      <c r="V387" t="s">
        <v>1633</v>
      </c>
      <c r="Z387">
        <v>111.14239600000001</v>
      </c>
      <c r="AA387">
        <v>-7.0871589999999998</v>
      </c>
      <c r="AB387" t="s">
        <v>1634</v>
      </c>
      <c r="AC387" t="s">
        <v>236</v>
      </c>
      <c r="AL387" t="s">
        <v>217</v>
      </c>
      <c r="AM387" t="s">
        <v>1624</v>
      </c>
      <c r="AN387" t="s">
        <v>6</v>
      </c>
      <c r="AO387" s="57">
        <v>46062.746516203704</v>
      </c>
      <c r="AP387" s="57">
        <v>46268.625</v>
      </c>
      <c r="AR387" t="s">
        <v>18</v>
      </c>
      <c r="AS387" t="s">
        <v>1635</v>
      </c>
      <c r="AT387" t="s">
        <v>230</v>
      </c>
      <c r="AV387" t="s">
        <v>226</v>
      </c>
      <c r="AW387" t="s">
        <v>890</v>
      </c>
      <c r="AX387" t="s">
        <v>222</v>
      </c>
      <c r="BA387" s="57">
        <v>46268.625</v>
      </c>
      <c r="BB387" t="s">
        <v>1624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:61">
      <c r="A388">
        <v>387</v>
      </c>
      <c r="B388">
        <v>1002567375</v>
      </c>
      <c r="C388">
        <v>3</v>
      </c>
      <c r="D388" t="s">
        <v>38</v>
      </c>
      <c r="E388">
        <v>5</v>
      </c>
      <c r="F388" t="s">
        <v>92</v>
      </c>
      <c r="G388" t="s">
        <v>89</v>
      </c>
      <c r="H388" t="s">
        <v>360</v>
      </c>
      <c r="I388" t="s">
        <v>212</v>
      </c>
      <c r="J388" t="s">
        <v>213</v>
      </c>
      <c r="K388" t="s">
        <v>149</v>
      </c>
      <c r="L388" t="s">
        <v>214</v>
      </c>
      <c r="M388" t="s">
        <v>224</v>
      </c>
      <c r="N388" t="s">
        <v>215</v>
      </c>
      <c r="O388" s="57">
        <v>46267.493703703702</v>
      </c>
      <c r="P388" s="57">
        <v>46268.473437499997</v>
      </c>
      <c r="Q388">
        <v>69382223</v>
      </c>
      <c r="S388">
        <v>152644206415</v>
      </c>
      <c r="T388" t="s">
        <v>1679</v>
      </c>
      <c r="U388" t="s">
        <v>1680</v>
      </c>
      <c r="V388" t="s">
        <v>1681</v>
      </c>
      <c r="Z388">
        <v>111.70139399999999</v>
      </c>
      <c r="AA388">
        <v>-7.1487210000000001</v>
      </c>
      <c r="AB388" t="s">
        <v>1682</v>
      </c>
      <c r="AC388" t="s">
        <v>236</v>
      </c>
      <c r="AL388" t="s">
        <v>217</v>
      </c>
      <c r="AM388" t="s">
        <v>1683</v>
      </c>
      <c r="AN388" t="s">
        <v>6</v>
      </c>
      <c r="AO388" s="57">
        <v>46062.496516203704</v>
      </c>
      <c r="AP388" s="57">
        <v>46268.458333333336</v>
      </c>
      <c r="AR388" t="s">
        <v>18</v>
      </c>
      <c r="AS388" t="s">
        <v>1598</v>
      </c>
      <c r="AT388" t="s">
        <v>230</v>
      </c>
      <c r="AV388" t="s">
        <v>226</v>
      </c>
      <c r="AW388" t="s">
        <v>886</v>
      </c>
      <c r="AX388" t="s">
        <v>222</v>
      </c>
      <c r="BA388" s="57">
        <v>46268.458333333336</v>
      </c>
      <c r="BB388" t="s">
        <v>1683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BOJONEGORO</v>
      </c>
    </row>
    <row r="389" spans="1:61">
      <c r="A389">
        <v>388</v>
      </c>
      <c r="B389">
        <v>1002567344</v>
      </c>
      <c r="C389">
        <v>3</v>
      </c>
      <c r="D389" t="s">
        <v>45</v>
      </c>
      <c r="E389">
        <v>5</v>
      </c>
      <c r="F389" t="s">
        <v>113</v>
      </c>
      <c r="G389" t="s">
        <v>113</v>
      </c>
      <c r="H389" t="s">
        <v>317</v>
      </c>
      <c r="I389" t="s">
        <v>212</v>
      </c>
      <c r="J389" t="s">
        <v>213</v>
      </c>
      <c r="K389" t="s">
        <v>149</v>
      </c>
      <c r="L389" t="s">
        <v>214</v>
      </c>
      <c r="M389" t="s">
        <v>224</v>
      </c>
      <c r="N389" t="s">
        <v>215</v>
      </c>
      <c r="O389" s="57">
        <v>46267.487453703703</v>
      </c>
      <c r="P389" s="57">
        <v>46268.337696759256</v>
      </c>
      <c r="Q389">
        <v>69382197</v>
      </c>
      <c r="S389">
        <v>172503813798</v>
      </c>
      <c r="T389" t="s">
        <v>2108</v>
      </c>
      <c r="U389" t="s">
        <v>2109</v>
      </c>
      <c r="V389" t="s">
        <v>2110</v>
      </c>
      <c r="Z389">
        <v>123.65912299999999</v>
      </c>
      <c r="AA389">
        <v>-10.177958</v>
      </c>
      <c r="AB389" t="s">
        <v>2111</v>
      </c>
      <c r="AC389" t="s">
        <v>236</v>
      </c>
      <c r="AL389" t="s">
        <v>217</v>
      </c>
      <c r="AM389" t="s">
        <v>1918</v>
      </c>
      <c r="AN389" t="s">
        <v>6</v>
      </c>
      <c r="AO389" s="57">
        <v>46062.496516203704</v>
      </c>
      <c r="AP389" s="57">
        <v>46268.333333333336</v>
      </c>
      <c r="AR389" t="s">
        <v>18</v>
      </c>
      <c r="AS389" t="s">
        <v>113</v>
      </c>
      <c r="AT389" t="s">
        <v>230</v>
      </c>
      <c r="AV389" t="s">
        <v>226</v>
      </c>
      <c r="AW389" t="s">
        <v>929</v>
      </c>
      <c r="AX389" t="s">
        <v>222</v>
      </c>
      <c r="BA389" s="57">
        <v>46268.333333333336</v>
      </c>
      <c r="BB389" t="s">
        <v>1918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KUPANG</v>
      </c>
    </row>
    <row r="390" spans="1:61">
      <c r="A390">
        <v>389</v>
      </c>
      <c r="B390">
        <v>1002566811</v>
      </c>
      <c r="C390">
        <v>3</v>
      </c>
      <c r="D390" t="s">
        <v>45</v>
      </c>
      <c r="E390">
        <v>5</v>
      </c>
      <c r="F390" t="s">
        <v>210</v>
      </c>
      <c r="G390" t="s">
        <v>116</v>
      </c>
      <c r="H390" t="s">
        <v>268</v>
      </c>
      <c r="I390" t="s">
        <v>212</v>
      </c>
      <c r="J390" t="s">
        <v>213</v>
      </c>
      <c r="K390" t="s">
        <v>149</v>
      </c>
      <c r="L390" t="s">
        <v>214</v>
      </c>
      <c r="M390" t="s">
        <v>224</v>
      </c>
      <c r="N390" t="s">
        <v>215</v>
      </c>
      <c r="O390" s="57">
        <v>46267.390231481484</v>
      </c>
      <c r="P390" s="57">
        <v>46268.640127314815</v>
      </c>
      <c r="Q390">
        <v>69382025</v>
      </c>
      <c r="S390">
        <v>172604214266</v>
      </c>
      <c r="T390" t="s">
        <v>1737</v>
      </c>
      <c r="U390" t="s">
        <v>1738</v>
      </c>
      <c r="V390" t="s">
        <v>1739</v>
      </c>
      <c r="Z390">
        <v>116.273852325975</v>
      </c>
      <c r="AA390">
        <v>-8.2975592674919998</v>
      </c>
      <c r="AB390" t="s">
        <v>1740</v>
      </c>
      <c r="AC390" t="s">
        <v>216</v>
      </c>
      <c r="AL390" t="s">
        <v>217</v>
      </c>
      <c r="AM390" t="s">
        <v>1692</v>
      </c>
      <c r="AN390" t="s">
        <v>6</v>
      </c>
      <c r="AO390" s="57">
        <v>46062.402870370373</v>
      </c>
      <c r="AP390" s="57">
        <v>46268.625</v>
      </c>
      <c r="AR390" t="s">
        <v>18</v>
      </c>
      <c r="AS390" t="s">
        <v>912</v>
      </c>
      <c r="AT390" t="s">
        <v>230</v>
      </c>
      <c r="AV390" t="s">
        <v>226</v>
      </c>
      <c r="AW390" t="s">
        <v>887</v>
      </c>
      <c r="AX390" t="s">
        <v>222</v>
      </c>
      <c r="BA390" s="57">
        <v>46268.625</v>
      </c>
      <c r="BB390" t="s">
        <v>1692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SELONG</v>
      </c>
    </row>
    <row r="391" spans="1:61">
      <c r="A391">
        <v>390</v>
      </c>
      <c r="B391">
        <v>1002566793</v>
      </c>
      <c r="C391">
        <v>3</v>
      </c>
      <c r="D391" t="s">
        <v>49</v>
      </c>
      <c r="E391">
        <v>4</v>
      </c>
      <c r="F391" t="s">
        <v>250</v>
      </c>
      <c r="G391" t="s">
        <v>250</v>
      </c>
      <c r="H391" t="s">
        <v>2112</v>
      </c>
      <c r="I391" t="s">
        <v>212</v>
      </c>
      <c r="J391" t="s">
        <v>213</v>
      </c>
      <c r="K391" t="s">
        <v>149</v>
      </c>
      <c r="L391" t="s">
        <v>214</v>
      </c>
      <c r="M391" t="s">
        <v>224</v>
      </c>
      <c r="N391" t="s">
        <v>215</v>
      </c>
      <c r="O391" s="57">
        <v>46267.386076388888</v>
      </c>
      <c r="P391" s="57">
        <v>46268.337546296294</v>
      </c>
      <c r="Q391">
        <v>69382000</v>
      </c>
      <c r="S391">
        <v>142202154665</v>
      </c>
      <c r="T391" t="s">
        <v>2113</v>
      </c>
      <c r="U391" t="s">
        <v>2114</v>
      </c>
      <c r="V391" t="s">
        <v>2115</v>
      </c>
      <c r="Z391">
        <v>109.683713</v>
      </c>
      <c r="AA391">
        <v>-6.9448752999999996</v>
      </c>
      <c r="AB391" t="s">
        <v>2116</v>
      </c>
      <c r="AC391" t="s">
        <v>236</v>
      </c>
      <c r="AL391" t="s">
        <v>217</v>
      </c>
      <c r="AM391" t="s">
        <v>1918</v>
      </c>
      <c r="AN391" t="s">
        <v>6</v>
      </c>
      <c r="AO391" s="57">
        <v>46062.402870370373</v>
      </c>
      <c r="AP391" s="57">
        <v>46268.333333333336</v>
      </c>
      <c r="AR391" t="s">
        <v>18</v>
      </c>
      <c r="AS391" t="s">
        <v>219</v>
      </c>
      <c r="AT391" t="s">
        <v>230</v>
      </c>
      <c r="AV391" t="s">
        <v>226</v>
      </c>
      <c r="AW391" t="s">
        <v>886</v>
      </c>
      <c r="AX391" t="s">
        <v>222</v>
      </c>
      <c r="BA391" s="57">
        <v>46268.333333333336</v>
      </c>
      <c r="BB391" t="s">
        <v>1918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1002566634</v>
      </c>
      <c r="C392">
        <v>3</v>
      </c>
      <c r="D392" t="s">
        <v>45</v>
      </c>
      <c r="E392">
        <v>5</v>
      </c>
      <c r="F392" t="s">
        <v>113</v>
      </c>
      <c r="G392" t="s">
        <v>117</v>
      </c>
      <c r="H392" t="s">
        <v>411</v>
      </c>
      <c r="I392" t="s">
        <v>212</v>
      </c>
      <c r="J392" t="s">
        <v>213</v>
      </c>
      <c r="K392" t="s">
        <v>149</v>
      </c>
      <c r="L392" t="s">
        <v>214</v>
      </c>
      <c r="M392" t="s">
        <v>224</v>
      </c>
      <c r="N392" t="s">
        <v>215</v>
      </c>
      <c r="O392" s="57">
        <v>46267.349965277775</v>
      </c>
      <c r="P392" s="57">
        <v>46268.337719907409</v>
      </c>
      <c r="Q392">
        <v>69381496</v>
      </c>
      <c r="S392">
        <v>172509796466</v>
      </c>
      <c r="T392" t="s">
        <v>2117</v>
      </c>
      <c r="U392" t="s">
        <v>2118</v>
      </c>
      <c r="V392" t="s">
        <v>2119</v>
      </c>
      <c r="Z392">
        <v>123.018106296658</v>
      </c>
      <c r="AA392">
        <v>-8.3062444849669799</v>
      </c>
      <c r="AB392" t="s">
        <v>2120</v>
      </c>
      <c r="AC392" t="s">
        <v>216</v>
      </c>
      <c r="AL392" t="s">
        <v>217</v>
      </c>
      <c r="AM392" t="s">
        <v>1310</v>
      </c>
      <c r="AN392" t="s">
        <v>6</v>
      </c>
      <c r="AO392" s="57">
        <v>46062.350763888891</v>
      </c>
      <c r="AP392" s="57">
        <v>46268.333333333336</v>
      </c>
      <c r="AR392" t="s">
        <v>18</v>
      </c>
      <c r="AS392" t="s">
        <v>219</v>
      </c>
      <c r="AT392" t="s">
        <v>230</v>
      </c>
      <c r="AV392" t="s">
        <v>226</v>
      </c>
      <c r="AW392" t="s">
        <v>890</v>
      </c>
      <c r="AX392" t="s">
        <v>222</v>
      </c>
      <c r="BA392" s="57">
        <v>46268.333333333336</v>
      </c>
      <c r="BB392" t="s">
        <v>1310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MAUMERE</v>
      </c>
    </row>
    <row r="393" spans="1:61">
      <c r="A393">
        <v>392</v>
      </c>
      <c r="B393">
        <v>1002568359</v>
      </c>
      <c r="C393">
        <v>3</v>
      </c>
      <c r="D393" t="s">
        <v>45</v>
      </c>
      <c r="E393">
        <v>5</v>
      </c>
      <c r="F393" t="s">
        <v>210</v>
      </c>
      <c r="G393" t="s">
        <v>112</v>
      </c>
      <c r="H393" t="s">
        <v>263</v>
      </c>
      <c r="I393" t="s">
        <v>212</v>
      </c>
      <c r="J393" t="s">
        <v>213</v>
      </c>
      <c r="K393" t="s">
        <v>149</v>
      </c>
      <c r="L393" t="s">
        <v>214</v>
      </c>
      <c r="M393" t="s">
        <v>224</v>
      </c>
      <c r="N393" t="s">
        <v>215</v>
      </c>
      <c r="O393" s="57">
        <v>46267.6874537037</v>
      </c>
      <c r="P393" s="57">
        <v>46269.337245370371</v>
      </c>
      <c r="Q393">
        <v>69382541</v>
      </c>
      <c r="S393">
        <v>172601797568</v>
      </c>
      <c r="T393" t="s">
        <v>1797</v>
      </c>
      <c r="U393" t="s">
        <v>1798</v>
      </c>
      <c r="V393" t="s">
        <v>1799</v>
      </c>
      <c r="Z393">
        <v>116.0986278</v>
      </c>
      <c r="AA393">
        <v>-8.5388558000000003</v>
      </c>
      <c r="AB393" t="s">
        <v>1800</v>
      </c>
      <c r="AC393" t="s">
        <v>236</v>
      </c>
      <c r="AL393" t="s">
        <v>217</v>
      </c>
      <c r="AM393" t="s">
        <v>1801</v>
      </c>
      <c r="AN393" t="s">
        <v>6</v>
      </c>
      <c r="AO393" s="57">
        <v>46062.694432870368</v>
      </c>
      <c r="AP393" s="57">
        <v>46269.333333333336</v>
      </c>
      <c r="AR393" t="s">
        <v>18</v>
      </c>
      <c r="AS393" t="s">
        <v>219</v>
      </c>
      <c r="AT393" t="s">
        <v>230</v>
      </c>
      <c r="AV393" t="s">
        <v>226</v>
      </c>
      <c r="AW393" t="s">
        <v>885</v>
      </c>
      <c r="AX393" t="s">
        <v>222</v>
      </c>
      <c r="BA393" s="57">
        <v>46269.333333333336</v>
      </c>
      <c r="BB393" t="s">
        <v>1801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MATARAM</v>
      </c>
    </row>
    <row r="394" spans="1:61">
      <c r="A394">
        <v>393</v>
      </c>
      <c r="B394">
        <v>1002566611</v>
      </c>
      <c r="C394">
        <v>3</v>
      </c>
      <c r="D394" t="s">
        <v>45</v>
      </c>
      <c r="E394">
        <v>5</v>
      </c>
      <c r="F394" t="s">
        <v>113</v>
      </c>
      <c r="G394" t="s">
        <v>113</v>
      </c>
      <c r="H394" t="s">
        <v>408</v>
      </c>
      <c r="I394" t="s">
        <v>212</v>
      </c>
      <c r="J394" t="s">
        <v>213</v>
      </c>
      <c r="K394" t="s">
        <v>149</v>
      </c>
      <c r="L394" t="s">
        <v>214</v>
      </c>
      <c r="M394" t="s">
        <v>224</v>
      </c>
      <c r="N394" t="s">
        <v>215</v>
      </c>
      <c r="O394" s="57">
        <v>46267.344409722224</v>
      </c>
      <c r="P394" s="57">
        <v>46268.671099537038</v>
      </c>
      <c r="Q394">
        <v>69381942</v>
      </c>
      <c r="S394">
        <v>172502311706</v>
      </c>
      <c r="T394" t="s">
        <v>2121</v>
      </c>
      <c r="U394" t="s">
        <v>2122</v>
      </c>
      <c r="V394" t="s">
        <v>2123</v>
      </c>
      <c r="Z394">
        <v>123.5930237</v>
      </c>
      <c r="AA394">
        <v>-10.1868269</v>
      </c>
      <c r="AB394" t="s">
        <v>2124</v>
      </c>
      <c r="AC394" t="s">
        <v>236</v>
      </c>
      <c r="AL394" t="s">
        <v>217</v>
      </c>
      <c r="AM394" t="s">
        <v>2125</v>
      </c>
      <c r="AN394" t="s">
        <v>6</v>
      </c>
      <c r="AO394" s="57">
        <v>46062.350763888891</v>
      </c>
      <c r="AP394" s="57">
        <v>46268.333333333336</v>
      </c>
      <c r="AR394" t="s">
        <v>18</v>
      </c>
      <c r="AS394" t="s">
        <v>113</v>
      </c>
      <c r="AT394" t="s">
        <v>230</v>
      </c>
      <c r="AV394" t="s">
        <v>226</v>
      </c>
      <c r="AW394" t="s">
        <v>886</v>
      </c>
      <c r="AX394" t="s">
        <v>222</v>
      </c>
      <c r="BA394" s="57">
        <v>46268.333333333336</v>
      </c>
      <c r="BB394" t="s">
        <v>2125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KUPANG</v>
      </c>
    </row>
    <row r="395" spans="1:61">
      <c r="A395">
        <v>394</v>
      </c>
      <c r="B395">
        <v>1002568264</v>
      </c>
      <c r="C395">
        <v>3</v>
      </c>
      <c r="D395" t="s">
        <v>59</v>
      </c>
      <c r="E395">
        <v>4</v>
      </c>
      <c r="F395" t="s">
        <v>223</v>
      </c>
      <c r="G395" t="s">
        <v>314</v>
      </c>
      <c r="H395" t="s">
        <v>315</v>
      </c>
      <c r="I395" t="s">
        <v>212</v>
      </c>
      <c r="J395" t="s">
        <v>213</v>
      </c>
      <c r="K395" t="s">
        <v>149</v>
      </c>
      <c r="L395" t="s">
        <v>214</v>
      </c>
      <c r="M395" t="s">
        <v>224</v>
      </c>
      <c r="N395" t="s">
        <v>215</v>
      </c>
      <c r="O395" s="57">
        <v>46267.669409722221</v>
      </c>
      <c r="P395" s="57">
        <v>46269.442997685182</v>
      </c>
      <c r="Q395">
        <v>69382512</v>
      </c>
      <c r="S395">
        <v>146372103760</v>
      </c>
      <c r="T395" t="s">
        <v>1830</v>
      </c>
      <c r="U395" t="s">
        <v>3016</v>
      </c>
      <c r="V395" t="s">
        <v>1831</v>
      </c>
      <c r="Z395">
        <v>109.670011</v>
      </c>
      <c r="AA395">
        <v>-7.4078660000000003</v>
      </c>
      <c r="AB395" t="s">
        <v>1832</v>
      </c>
      <c r="AC395" t="s">
        <v>236</v>
      </c>
      <c r="AL395" t="s">
        <v>217</v>
      </c>
      <c r="AM395" t="s">
        <v>1833</v>
      </c>
      <c r="AN395" t="s">
        <v>6</v>
      </c>
      <c r="AO395" s="57">
        <v>46062.673541666663</v>
      </c>
      <c r="AP395" s="57">
        <v>46270.625</v>
      </c>
      <c r="AR395" t="s">
        <v>18</v>
      </c>
      <c r="AS395" t="s">
        <v>219</v>
      </c>
      <c r="AT395" t="s">
        <v>230</v>
      </c>
      <c r="AV395" t="s">
        <v>226</v>
      </c>
      <c r="AW395" t="s">
        <v>887</v>
      </c>
      <c r="AX395" t="s">
        <v>222</v>
      </c>
      <c r="BA395" s="57">
        <v>46270.625</v>
      </c>
      <c r="BB395" t="s">
        <v>1833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1002567022</v>
      </c>
      <c r="C396">
        <v>3</v>
      </c>
      <c r="D396" t="s">
        <v>38</v>
      </c>
      <c r="E396">
        <v>5</v>
      </c>
      <c r="F396" t="s">
        <v>248</v>
      </c>
      <c r="G396" t="s">
        <v>91</v>
      </c>
      <c r="H396" t="s">
        <v>423</v>
      </c>
      <c r="I396" t="s">
        <v>212</v>
      </c>
      <c r="J396" t="s">
        <v>213</v>
      </c>
      <c r="K396" t="s">
        <v>149</v>
      </c>
      <c r="M396" t="s">
        <v>224</v>
      </c>
      <c r="N396" t="s">
        <v>215</v>
      </c>
      <c r="O396" s="57">
        <v>46267.427951388891</v>
      </c>
      <c r="P396" s="57">
        <v>46268.546226851853</v>
      </c>
      <c r="Q396">
        <v>32627967</v>
      </c>
      <c r="S396">
        <v>152713217136</v>
      </c>
      <c r="T396" t="s">
        <v>1834</v>
      </c>
      <c r="U396" t="s">
        <v>1835</v>
      </c>
      <c r="V396" t="s">
        <v>1836</v>
      </c>
      <c r="Z396">
        <v>112.6941356</v>
      </c>
      <c r="AA396">
        <v>-8.1630912000000002</v>
      </c>
      <c r="AB396" t="s">
        <v>1837</v>
      </c>
      <c r="AC396" t="s">
        <v>229</v>
      </c>
      <c r="AL396" t="s">
        <v>217</v>
      </c>
      <c r="AM396" t="s">
        <v>1838</v>
      </c>
      <c r="AN396" t="s">
        <v>6</v>
      </c>
      <c r="AO396" s="57">
        <v>46062.434062499997</v>
      </c>
      <c r="AP396" s="57">
        <v>46268.541666666664</v>
      </c>
      <c r="AR396" t="s">
        <v>18</v>
      </c>
      <c r="AS396" t="s">
        <v>584</v>
      </c>
      <c r="AT396" t="s">
        <v>220</v>
      </c>
      <c r="AV396" t="s">
        <v>226</v>
      </c>
      <c r="AW396" t="s">
        <v>598</v>
      </c>
      <c r="AX396" t="s">
        <v>222</v>
      </c>
      <c r="BA396" s="57">
        <v>46268.541666666664</v>
      </c>
      <c r="BB396" t="s">
        <v>1838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MALANG</v>
      </c>
    </row>
    <row r="397" spans="1:61">
      <c r="A397">
        <v>396</v>
      </c>
      <c r="B397">
        <v>1002567011</v>
      </c>
      <c r="C397">
        <v>3</v>
      </c>
      <c r="D397" t="s">
        <v>49</v>
      </c>
      <c r="E397">
        <v>4</v>
      </c>
      <c r="F397" t="s">
        <v>250</v>
      </c>
      <c r="G397" t="s">
        <v>253</v>
      </c>
      <c r="H397" t="s">
        <v>1562</v>
      </c>
      <c r="I397" t="s">
        <v>212</v>
      </c>
      <c r="J397" t="s">
        <v>213</v>
      </c>
      <c r="K397" t="s">
        <v>149</v>
      </c>
      <c r="M397" t="s">
        <v>224</v>
      </c>
      <c r="N397" t="s">
        <v>215</v>
      </c>
      <c r="O397" s="57">
        <v>46267.424270833333</v>
      </c>
      <c r="P397" s="57">
        <v>46268.546157407407</v>
      </c>
      <c r="Q397">
        <v>69382075</v>
      </c>
      <c r="S397">
        <v>142283120013</v>
      </c>
      <c r="T397" t="s">
        <v>1843</v>
      </c>
      <c r="U397" t="s">
        <v>1564</v>
      </c>
      <c r="V397" t="s">
        <v>1844</v>
      </c>
      <c r="Z397">
        <v>109.1181605</v>
      </c>
      <c r="AA397">
        <v>-6.9798542000000001</v>
      </c>
      <c r="AB397" t="s">
        <v>1845</v>
      </c>
      <c r="AC397" t="s">
        <v>225</v>
      </c>
      <c r="AL397" t="s">
        <v>217</v>
      </c>
      <c r="AM397" t="s">
        <v>1846</v>
      </c>
      <c r="AN397" t="s">
        <v>6</v>
      </c>
      <c r="AO397" s="57">
        <v>46062.434062499997</v>
      </c>
      <c r="AP397" s="57">
        <v>46268.541666666664</v>
      </c>
      <c r="AR397" t="s">
        <v>18</v>
      </c>
      <c r="AS397" t="s">
        <v>219</v>
      </c>
      <c r="AT397" t="s">
        <v>230</v>
      </c>
      <c r="AV397" t="s">
        <v>226</v>
      </c>
      <c r="AW397" t="s">
        <v>545</v>
      </c>
      <c r="AX397" t="s">
        <v>222</v>
      </c>
      <c r="BA397" s="57">
        <v>46268.541666666664</v>
      </c>
      <c r="BB397" t="s">
        <v>1846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1002566694</v>
      </c>
      <c r="C398">
        <v>3</v>
      </c>
      <c r="D398" t="s">
        <v>45</v>
      </c>
      <c r="E398">
        <v>5</v>
      </c>
      <c r="F398" t="s">
        <v>113</v>
      </c>
      <c r="G398" t="s">
        <v>117</v>
      </c>
      <c r="H398" t="s">
        <v>411</v>
      </c>
      <c r="I398" t="s">
        <v>212</v>
      </c>
      <c r="J398" t="s">
        <v>213</v>
      </c>
      <c r="K398" t="s">
        <v>149</v>
      </c>
      <c r="L398" t="s">
        <v>214</v>
      </c>
      <c r="M398" t="s">
        <v>224</v>
      </c>
      <c r="N398" t="s">
        <v>215</v>
      </c>
      <c r="O398" s="57">
        <v>46267.363159722219</v>
      </c>
      <c r="P398" s="57">
        <v>46268.337233796294</v>
      </c>
      <c r="Q398">
        <v>69381950</v>
      </c>
      <c r="S398">
        <v>172509796566</v>
      </c>
      <c r="T398" t="s">
        <v>2145</v>
      </c>
      <c r="U398" t="s">
        <v>2146</v>
      </c>
      <c r="V398" t="s">
        <v>2147</v>
      </c>
      <c r="Z398">
        <v>123.01813211292</v>
      </c>
      <c r="AA398">
        <v>-8.3061595546289109</v>
      </c>
      <c r="AB398" t="s">
        <v>2148</v>
      </c>
      <c r="AC398" t="s">
        <v>216</v>
      </c>
      <c r="AL398" t="s">
        <v>217</v>
      </c>
      <c r="AM398" t="s">
        <v>2149</v>
      </c>
      <c r="AN398" t="s">
        <v>6</v>
      </c>
      <c r="AO398" s="57">
        <v>46062.371550925927</v>
      </c>
      <c r="AP398" s="57">
        <v>46268.333333333336</v>
      </c>
      <c r="AR398" t="s">
        <v>18</v>
      </c>
      <c r="AS398" t="s">
        <v>219</v>
      </c>
      <c r="AT398" t="s">
        <v>230</v>
      </c>
      <c r="AV398" t="s">
        <v>226</v>
      </c>
      <c r="AW398" t="s">
        <v>890</v>
      </c>
      <c r="AX398" t="s">
        <v>222</v>
      </c>
      <c r="BA398" s="57">
        <v>46268.333333333336</v>
      </c>
      <c r="BB398" t="s">
        <v>2149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MAUMERE</v>
      </c>
    </row>
    <row r="399" spans="1:61">
      <c r="A399">
        <v>398</v>
      </c>
      <c r="B399">
        <v>1002567530</v>
      </c>
      <c r="C399">
        <v>3</v>
      </c>
      <c r="D399" t="s">
        <v>45</v>
      </c>
      <c r="E399">
        <v>5</v>
      </c>
      <c r="F399" t="s">
        <v>210</v>
      </c>
      <c r="G399" t="s">
        <v>112</v>
      </c>
      <c r="H399" t="s">
        <v>263</v>
      </c>
      <c r="I399" t="s">
        <v>212</v>
      </c>
      <c r="J399" t="s">
        <v>213</v>
      </c>
      <c r="K399" t="s">
        <v>149</v>
      </c>
      <c r="L399" t="s">
        <v>214</v>
      </c>
      <c r="M399" t="s">
        <v>224</v>
      </c>
      <c r="N399" t="s">
        <v>215</v>
      </c>
      <c r="O399" s="57">
        <v>46267.540254629632</v>
      </c>
      <c r="P399" s="57">
        <v>46268.545983796299</v>
      </c>
      <c r="Q399">
        <v>69382293</v>
      </c>
      <c r="S399">
        <v>172601797566</v>
      </c>
      <c r="T399" t="s">
        <v>1852</v>
      </c>
      <c r="U399" t="s">
        <v>1853</v>
      </c>
      <c r="V399" t="s">
        <v>1854</v>
      </c>
      <c r="Z399">
        <v>116.076317899876</v>
      </c>
      <c r="AA399">
        <v>-8.5971644569585504</v>
      </c>
      <c r="AB399" t="s">
        <v>1855</v>
      </c>
      <c r="AC399" t="s">
        <v>236</v>
      </c>
      <c r="AL399" t="s">
        <v>217</v>
      </c>
      <c r="AM399" t="s">
        <v>1856</v>
      </c>
      <c r="AN399" t="s">
        <v>6</v>
      </c>
      <c r="AO399" s="57">
        <v>46062.548622685186</v>
      </c>
      <c r="AP399" s="57">
        <v>46268.541666666664</v>
      </c>
      <c r="AR399" t="s">
        <v>18</v>
      </c>
      <c r="AS399" t="s">
        <v>219</v>
      </c>
      <c r="AT399" t="s">
        <v>230</v>
      </c>
      <c r="AV399" t="s">
        <v>226</v>
      </c>
      <c r="AW399" t="s">
        <v>574</v>
      </c>
      <c r="AX399" t="s">
        <v>222</v>
      </c>
      <c r="BA399" s="57">
        <v>46268.541666666664</v>
      </c>
      <c r="BB399" t="s">
        <v>1856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MATARAM</v>
      </c>
    </row>
    <row r="400" spans="1:61">
      <c r="A400">
        <v>399</v>
      </c>
      <c r="B400">
        <v>1002567529</v>
      </c>
      <c r="C400">
        <v>3</v>
      </c>
      <c r="D400" t="s">
        <v>49</v>
      </c>
      <c r="E400">
        <v>4</v>
      </c>
      <c r="F400" t="s">
        <v>245</v>
      </c>
      <c r="G400" t="s">
        <v>246</v>
      </c>
      <c r="H400" t="s">
        <v>832</v>
      </c>
      <c r="I400" t="s">
        <v>212</v>
      </c>
      <c r="J400" t="s">
        <v>213</v>
      </c>
      <c r="K400" t="s">
        <v>149</v>
      </c>
      <c r="L400" t="s">
        <v>214</v>
      </c>
      <c r="M400" t="s">
        <v>224</v>
      </c>
      <c r="N400" t="s">
        <v>215</v>
      </c>
      <c r="O400" s="57">
        <v>46267.540243055555</v>
      </c>
      <c r="P400" s="57">
        <v>46268.54546296296</v>
      </c>
      <c r="Q400">
        <v>69382292</v>
      </c>
      <c r="S400">
        <v>142406122844</v>
      </c>
      <c r="T400" t="s">
        <v>1857</v>
      </c>
      <c r="U400" t="s">
        <v>1858</v>
      </c>
      <c r="V400" t="s">
        <v>1859</v>
      </c>
      <c r="Z400">
        <v>110.41095009999999</v>
      </c>
      <c r="AA400">
        <v>-6.9813624000000001</v>
      </c>
      <c r="AB400" t="s">
        <v>1860</v>
      </c>
      <c r="AC400" t="s">
        <v>216</v>
      </c>
      <c r="AL400" t="s">
        <v>217</v>
      </c>
      <c r="AM400" t="s">
        <v>1861</v>
      </c>
      <c r="AN400" t="s">
        <v>6</v>
      </c>
      <c r="AO400" s="57">
        <v>46062.548622685186</v>
      </c>
      <c r="AP400" s="57">
        <v>46268.541666666664</v>
      </c>
      <c r="AR400" t="s">
        <v>18</v>
      </c>
      <c r="AS400" t="s">
        <v>900</v>
      </c>
      <c r="AT400" t="s">
        <v>230</v>
      </c>
      <c r="AV400" t="s">
        <v>226</v>
      </c>
      <c r="AW400" t="s">
        <v>1862</v>
      </c>
      <c r="AX400" t="s">
        <v>222</v>
      </c>
      <c r="BA400" s="57">
        <v>46268.541666666664</v>
      </c>
      <c r="BB400" t="s">
        <v>1861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:61">
      <c r="A401">
        <v>400</v>
      </c>
      <c r="B401">
        <v>1002566199</v>
      </c>
      <c r="C401">
        <v>3</v>
      </c>
      <c r="D401" t="s">
        <v>45</v>
      </c>
      <c r="E401">
        <v>5</v>
      </c>
      <c r="F401" t="s">
        <v>113</v>
      </c>
      <c r="G401" t="s">
        <v>113</v>
      </c>
      <c r="H401" t="s">
        <v>408</v>
      </c>
      <c r="I401" t="s">
        <v>212</v>
      </c>
      <c r="J401" t="s">
        <v>213</v>
      </c>
      <c r="K401" t="s">
        <v>149</v>
      </c>
      <c r="L401" t="s">
        <v>214</v>
      </c>
      <c r="M401" t="s">
        <v>224</v>
      </c>
      <c r="N401" t="s">
        <v>215</v>
      </c>
      <c r="O401" s="57">
        <v>46266.679814814815</v>
      </c>
      <c r="P401" s="57">
        <v>46267.546030092592</v>
      </c>
      <c r="Q401">
        <v>69381711</v>
      </c>
      <c r="S401">
        <v>172502311693</v>
      </c>
      <c r="T401" t="s">
        <v>1052</v>
      </c>
      <c r="U401" t="s">
        <v>1053</v>
      </c>
      <c r="V401" t="s">
        <v>1054</v>
      </c>
      <c r="Z401">
        <v>123.5713068</v>
      </c>
      <c r="AA401">
        <v>-10.166021300000001</v>
      </c>
      <c r="AB401" t="s">
        <v>1055</v>
      </c>
      <c r="AC401" t="s">
        <v>236</v>
      </c>
      <c r="AL401" t="s">
        <v>217</v>
      </c>
      <c r="AM401" t="s">
        <v>1056</v>
      </c>
      <c r="AN401" t="s">
        <v>6</v>
      </c>
      <c r="AO401" s="57">
        <v>46031.684131944443</v>
      </c>
      <c r="AP401" s="57">
        <v>46267.541666666664</v>
      </c>
      <c r="AR401" t="s">
        <v>18</v>
      </c>
      <c r="AS401" t="s">
        <v>113</v>
      </c>
      <c r="AT401" t="s">
        <v>230</v>
      </c>
      <c r="AV401" t="s">
        <v>226</v>
      </c>
      <c r="AW401" t="s">
        <v>890</v>
      </c>
      <c r="AX401" t="s">
        <v>222</v>
      </c>
      <c r="BA401" s="57">
        <v>46267.541666666664</v>
      </c>
      <c r="BB401" t="s">
        <v>1056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KUPANG</v>
      </c>
    </row>
    <row r="402" spans="1:61">
      <c r="A402">
        <v>401</v>
      </c>
      <c r="B402">
        <v>1002564718</v>
      </c>
      <c r="C402">
        <v>3</v>
      </c>
      <c r="D402" t="s">
        <v>45</v>
      </c>
      <c r="E402">
        <v>5</v>
      </c>
      <c r="F402" t="s">
        <v>210</v>
      </c>
      <c r="G402" t="s">
        <v>116</v>
      </c>
      <c r="H402" t="s">
        <v>268</v>
      </c>
      <c r="I402" t="s">
        <v>212</v>
      </c>
      <c r="J402" t="s">
        <v>213</v>
      </c>
      <c r="K402" t="s">
        <v>149</v>
      </c>
      <c r="M402" t="s">
        <v>224</v>
      </c>
      <c r="N402" t="s">
        <v>215</v>
      </c>
      <c r="O402" s="57">
        <v>46266.435694444444</v>
      </c>
      <c r="P402" s="57">
        <v>46269.338391203702</v>
      </c>
      <c r="Q402">
        <v>69381301</v>
      </c>
      <c r="S402">
        <v>172604214258</v>
      </c>
      <c r="T402" t="s">
        <v>924</v>
      </c>
      <c r="U402" t="s">
        <v>925</v>
      </c>
      <c r="V402" t="s">
        <v>3017</v>
      </c>
      <c r="Z402">
        <v>116.16528560594401</v>
      </c>
      <c r="AA402">
        <v>-8.3573149169125394</v>
      </c>
      <c r="AB402" t="s">
        <v>926</v>
      </c>
      <c r="AC402" t="s">
        <v>285</v>
      </c>
      <c r="AL402" t="s">
        <v>217</v>
      </c>
      <c r="AM402" t="s">
        <v>3018</v>
      </c>
      <c r="AN402" t="s">
        <v>6</v>
      </c>
      <c r="AO402" s="57">
        <v>46031.444409722222</v>
      </c>
      <c r="AP402" s="57">
        <v>46269.333333333336</v>
      </c>
      <c r="AR402" t="s">
        <v>18</v>
      </c>
      <c r="AS402" t="s">
        <v>912</v>
      </c>
      <c r="AT402" t="s">
        <v>220</v>
      </c>
      <c r="AV402" t="s">
        <v>226</v>
      </c>
      <c r="AW402" t="s">
        <v>545</v>
      </c>
      <c r="AX402" t="s">
        <v>222</v>
      </c>
      <c r="BA402" s="57">
        <v>46269.333333333336</v>
      </c>
      <c r="BB402" t="s">
        <v>3018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SELONG</v>
      </c>
    </row>
    <row r="403" spans="1:61">
      <c r="A403">
        <v>402</v>
      </c>
      <c r="B403">
        <v>1002565482</v>
      </c>
      <c r="C403">
        <v>3</v>
      </c>
      <c r="D403" t="s">
        <v>49</v>
      </c>
      <c r="E403">
        <v>4</v>
      </c>
      <c r="F403" t="s">
        <v>245</v>
      </c>
      <c r="G403" t="s">
        <v>246</v>
      </c>
      <c r="H403" t="s">
        <v>610</v>
      </c>
      <c r="I403" t="s">
        <v>212</v>
      </c>
      <c r="J403" t="s">
        <v>213</v>
      </c>
      <c r="K403" t="s">
        <v>149</v>
      </c>
      <c r="L403" t="s">
        <v>214</v>
      </c>
      <c r="M403" t="s">
        <v>224</v>
      </c>
      <c r="N403" t="s">
        <v>215</v>
      </c>
      <c r="O403" s="57">
        <v>46266.574953703705</v>
      </c>
      <c r="P403" s="57">
        <v>46267.545520833337</v>
      </c>
      <c r="Q403">
        <v>69381526</v>
      </c>
      <c r="S403">
        <v>141408116576</v>
      </c>
      <c r="T403" t="s">
        <v>1109</v>
      </c>
      <c r="U403" t="s">
        <v>1110</v>
      </c>
      <c r="V403" t="s">
        <v>1111</v>
      </c>
      <c r="Z403">
        <v>110.40788000000001</v>
      </c>
      <c r="AA403">
        <v>-6.9934120000000002</v>
      </c>
      <c r="AB403" t="s">
        <v>1112</v>
      </c>
      <c r="AC403" t="s">
        <v>236</v>
      </c>
      <c r="AL403" t="s">
        <v>217</v>
      </c>
      <c r="AM403" t="s">
        <v>1023</v>
      </c>
      <c r="AN403" t="s">
        <v>6</v>
      </c>
      <c r="AO403" s="57">
        <v>46031.579826388886</v>
      </c>
      <c r="AP403" s="57">
        <v>46267.541666666664</v>
      </c>
      <c r="AR403" t="s">
        <v>18</v>
      </c>
      <c r="AS403" t="s">
        <v>219</v>
      </c>
      <c r="AT403" t="s">
        <v>230</v>
      </c>
      <c r="AV403" t="s">
        <v>226</v>
      </c>
      <c r="AW403" t="s">
        <v>237</v>
      </c>
      <c r="AX403" t="s">
        <v>222</v>
      </c>
      <c r="BA403" s="57">
        <v>46267.541666666664</v>
      </c>
      <c r="BB403" t="s">
        <v>1023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:61">
      <c r="A404">
        <v>403</v>
      </c>
      <c r="B404">
        <v>1002564593</v>
      </c>
      <c r="C404">
        <v>3</v>
      </c>
      <c r="D404" t="s">
        <v>45</v>
      </c>
      <c r="E404">
        <v>5</v>
      </c>
      <c r="F404" t="s">
        <v>210</v>
      </c>
      <c r="G404" t="s">
        <v>115</v>
      </c>
      <c r="H404" t="s">
        <v>273</v>
      </c>
      <c r="I404" t="s">
        <v>212</v>
      </c>
      <c r="J404" t="s">
        <v>213</v>
      </c>
      <c r="K404" t="s">
        <v>149</v>
      </c>
      <c r="L404" t="s">
        <v>214</v>
      </c>
      <c r="M404" t="s">
        <v>224</v>
      </c>
      <c r="N404" t="s">
        <v>215</v>
      </c>
      <c r="O404" s="57">
        <v>46266.417303240742</v>
      </c>
      <c r="P404" s="57">
        <v>46267.456585648149</v>
      </c>
      <c r="Q404">
        <v>69376157</v>
      </c>
      <c r="S404">
        <v>172603791822</v>
      </c>
      <c r="T404" t="s">
        <v>942</v>
      </c>
      <c r="U404" t="s">
        <v>2157</v>
      </c>
      <c r="V404" t="s">
        <v>943</v>
      </c>
      <c r="Z404">
        <v>116.339</v>
      </c>
      <c r="AA404">
        <v>-8.6628299999999996</v>
      </c>
      <c r="AB404" t="s">
        <v>944</v>
      </c>
      <c r="AC404" t="s">
        <v>236</v>
      </c>
      <c r="AL404" t="s">
        <v>217</v>
      </c>
      <c r="AM404" t="s">
        <v>2158</v>
      </c>
      <c r="AN404" t="s">
        <v>6</v>
      </c>
      <c r="AO404" s="57">
        <v>46031.423645833333</v>
      </c>
      <c r="AP404" s="57">
        <v>46269</v>
      </c>
      <c r="AR404" t="s">
        <v>18</v>
      </c>
      <c r="AS404" t="s">
        <v>901</v>
      </c>
      <c r="AT404" t="s">
        <v>230</v>
      </c>
      <c r="AV404" t="s">
        <v>226</v>
      </c>
      <c r="AW404" t="s">
        <v>894</v>
      </c>
      <c r="AX404" t="s">
        <v>222</v>
      </c>
      <c r="BA404" s="57">
        <v>46269.541666666664</v>
      </c>
      <c r="BB404" t="s">
        <v>2158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SELONG</v>
      </c>
    </row>
    <row r="405" spans="1:61">
      <c r="A405">
        <v>404</v>
      </c>
      <c r="B405">
        <v>1002566474</v>
      </c>
      <c r="C405">
        <v>3</v>
      </c>
      <c r="D405" t="s">
        <v>51</v>
      </c>
      <c r="E405">
        <v>4</v>
      </c>
      <c r="F405" t="s">
        <v>269</v>
      </c>
      <c r="G405" t="s">
        <v>551</v>
      </c>
      <c r="H405" t="s">
        <v>597</v>
      </c>
      <c r="I405" t="s">
        <v>212</v>
      </c>
      <c r="J405" t="s">
        <v>213</v>
      </c>
      <c r="K405" t="s">
        <v>149</v>
      </c>
      <c r="L405" t="s">
        <v>214</v>
      </c>
      <c r="M405" t="s">
        <v>224</v>
      </c>
      <c r="N405" t="s">
        <v>215</v>
      </c>
      <c r="O405" s="57">
        <v>46266.775648148148</v>
      </c>
      <c r="P405" s="57">
        <v>46268.337569444448</v>
      </c>
      <c r="Q405">
        <v>69381855</v>
      </c>
      <c r="S405">
        <v>146516109250</v>
      </c>
      <c r="T405" t="s">
        <v>1126</v>
      </c>
      <c r="U405" t="s">
        <v>1127</v>
      </c>
      <c r="V405" t="s">
        <v>1128</v>
      </c>
      <c r="Z405">
        <v>110.669162</v>
      </c>
      <c r="AA405">
        <v>-7.0585110000000002</v>
      </c>
      <c r="AB405" t="s">
        <v>1129</v>
      </c>
      <c r="AC405" t="s">
        <v>236</v>
      </c>
      <c r="AL405" t="s">
        <v>217</v>
      </c>
      <c r="AM405" t="s">
        <v>1130</v>
      </c>
      <c r="AN405" t="s">
        <v>6</v>
      </c>
      <c r="AO405" s="57">
        <v>46031.777754629627</v>
      </c>
      <c r="AP405" s="57">
        <v>46268.333333333336</v>
      </c>
      <c r="AR405" t="s">
        <v>18</v>
      </c>
      <c r="AS405" t="s">
        <v>913</v>
      </c>
      <c r="AT405" t="s">
        <v>230</v>
      </c>
      <c r="AV405" t="s">
        <v>226</v>
      </c>
      <c r="AW405" t="s">
        <v>887</v>
      </c>
      <c r="AX405" t="s">
        <v>222</v>
      </c>
      <c r="BA405" s="57">
        <v>46268.333333333336</v>
      </c>
      <c r="BB405" t="s">
        <v>1130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:61">
      <c r="A406">
        <v>405</v>
      </c>
      <c r="B406">
        <v>1002565223</v>
      </c>
      <c r="C406">
        <v>3</v>
      </c>
      <c r="D406" t="s">
        <v>45</v>
      </c>
      <c r="E406">
        <v>5</v>
      </c>
      <c r="F406" t="s">
        <v>113</v>
      </c>
      <c r="G406" t="s">
        <v>113</v>
      </c>
      <c r="H406" t="s">
        <v>317</v>
      </c>
      <c r="I406" t="s">
        <v>212</v>
      </c>
      <c r="J406" t="s">
        <v>213</v>
      </c>
      <c r="K406" t="s">
        <v>149</v>
      </c>
      <c r="L406" t="s">
        <v>214</v>
      </c>
      <c r="M406" t="s">
        <v>224</v>
      </c>
      <c r="N406" t="s">
        <v>215</v>
      </c>
      <c r="O406" s="57">
        <v>46266.51525462963</v>
      </c>
      <c r="P406" s="57">
        <v>46267.545590277776</v>
      </c>
      <c r="Q406">
        <v>69381467</v>
      </c>
      <c r="S406">
        <v>172503813656</v>
      </c>
      <c r="T406" t="s">
        <v>1157</v>
      </c>
      <c r="U406" t="s">
        <v>1158</v>
      </c>
      <c r="V406" t="s">
        <v>1159</v>
      </c>
      <c r="Z406">
        <v>123.652345</v>
      </c>
      <c r="AA406">
        <v>-10.157748</v>
      </c>
      <c r="AB406" t="s">
        <v>1160</v>
      </c>
      <c r="AC406" t="s">
        <v>236</v>
      </c>
      <c r="AL406" t="s">
        <v>217</v>
      </c>
      <c r="AM406" t="s">
        <v>1161</v>
      </c>
      <c r="AN406" t="s">
        <v>6</v>
      </c>
      <c r="AO406" s="57">
        <v>46031.517465277779</v>
      </c>
      <c r="AP406" s="57">
        <v>46267.541666666664</v>
      </c>
      <c r="AR406" t="s">
        <v>18</v>
      </c>
      <c r="AS406" t="s">
        <v>113</v>
      </c>
      <c r="AT406" t="s">
        <v>230</v>
      </c>
      <c r="AV406" t="s">
        <v>226</v>
      </c>
      <c r="AW406" t="s">
        <v>921</v>
      </c>
      <c r="AX406" t="s">
        <v>222</v>
      </c>
      <c r="BA406" s="57">
        <v>46267.541666666664</v>
      </c>
      <c r="BB406" t="s">
        <v>1161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KUPANG</v>
      </c>
    </row>
    <row r="407" spans="1:61">
      <c r="A407">
        <v>406</v>
      </c>
      <c r="B407">
        <v>1002566046</v>
      </c>
      <c r="C407">
        <v>3</v>
      </c>
      <c r="D407" t="s">
        <v>45</v>
      </c>
      <c r="E407">
        <v>5</v>
      </c>
      <c r="F407" t="s">
        <v>113</v>
      </c>
      <c r="G407" t="s">
        <v>114</v>
      </c>
      <c r="H407" t="s">
        <v>359</v>
      </c>
      <c r="I407" t="s">
        <v>212</v>
      </c>
      <c r="J407" t="s">
        <v>213</v>
      </c>
      <c r="K407" t="s">
        <v>149</v>
      </c>
      <c r="L407" t="s">
        <v>214</v>
      </c>
      <c r="M407" t="s">
        <v>224</v>
      </c>
      <c r="N407" t="s">
        <v>215</v>
      </c>
      <c r="O407" s="57">
        <v>46266.654826388891</v>
      </c>
      <c r="P407" s="57">
        <v>46267.546365740738</v>
      </c>
      <c r="Q407">
        <v>69381700</v>
      </c>
      <c r="S407">
        <v>172514217027</v>
      </c>
      <c r="T407" t="s">
        <v>1162</v>
      </c>
      <c r="U407" t="s">
        <v>892</v>
      </c>
      <c r="V407" t="s">
        <v>1163</v>
      </c>
      <c r="Z407">
        <v>120.466625488734</v>
      </c>
      <c r="AA407">
        <v>-8.6137046416800995</v>
      </c>
      <c r="AB407" t="s">
        <v>1164</v>
      </c>
      <c r="AC407" t="s">
        <v>236</v>
      </c>
      <c r="AL407" t="s">
        <v>217</v>
      </c>
      <c r="AM407" t="s">
        <v>1165</v>
      </c>
      <c r="AN407" t="s">
        <v>6</v>
      </c>
      <c r="AO407" s="57">
        <v>46031.663206018522</v>
      </c>
      <c r="AP407" s="57">
        <v>46267.541666666664</v>
      </c>
      <c r="AR407" t="s">
        <v>18</v>
      </c>
      <c r="AS407" t="s">
        <v>219</v>
      </c>
      <c r="AT407" t="s">
        <v>230</v>
      </c>
      <c r="AV407" t="s">
        <v>226</v>
      </c>
      <c r="AW407" t="s">
        <v>891</v>
      </c>
      <c r="AX407" t="s">
        <v>222</v>
      </c>
      <c r="BA407" s="57">
        <v>46267.541666666664</v>
      </c>
      <c r="BB407" t="s">
        <v>1165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LABOAN BAJO</v>
      </c>
    </row>
    <row r="408" spans="1:61">
      <c r="A408">
        <v>407</v>
      </c>
      <c r="B408">
        <v>1002564524</v>
      </c>
      <c r="C408">
        <v>3</v>
      </c>
      <c r="D408" t="s">
        <v>51</v>
      </c>
      <c r="E408">
        <v>4</v>
      </c>
      <c r="F408" t="s">
        <v>234</v>
      </c>
      <c r="G408" t="s">
        <v>562</v>
      </c>
      <c r="H408" t="s">
        <v>588</v>
      </c>
      <c r="I408" t="s">
        <v>212</v>
      </c>
      <c r="J408" t="s">
        <v>213</v>
      </c>
      <c r="K408" t="s">
        <v>149</v>
      </c>
      <c r="L408" t="s">
        <v>214</v>
      </c>
      <c r="M408" t="s">
        <v>224</v>
      </c>
      <c r="N408" t="s">
        <v>215</v>
      </c>
      <c r="O408" s="57">
        <v>46266.40898148148</v>
      </c>
      <c r="P408" s="57">
        <v>46267.39334490741</v>
      </c>
      <c r="Q408">
        <v>69381266</v>
      </c>
      <c r="S408">
        <v>142505402916</v>
      </c>
      <c r="T408" t="s">
        <v>1201</v>
      </c>
      <c r="U408" t="s">
        <v>1202</v>
      </c>
      <c r="V408" t="s">
        <v>1203</v>
      </c>
      <c r="Z408">
        <v>110.800161100924</v>
      </c>
      <c r="AA408">
        <v>-7.5824571276059904</v>
      </c>
      <c r="AB408" t="s">
        <v>1204</v>
      </c>
      <c r="AC408" t="s">
        <v>216</v>
      </c>
      <c r="AL408" t="s">
        <v>217</v>
      </c>
      <c r="AM408" t="s">
        <v>1205</v>
      </c>
      <c r="AN408" t="s">
        <v>6</v>
      </c>
      <c r="AO408" s="57">
        <v>46031.413310185184</v>
      </c>
      <c r="AP408" s="57">
        <v>46267.333333333336</v>
      </c>
      <c r="AR408" t="s">
        <v>18</v>
      </c>
      <c r="AS408" t="s">
        <v>219</v>
      </c>
      <c r="AT408" t="s">
        <v>230</v>
      </c>
      <c r="AV408" t="s">
        <v>226</v>
      </c>
      <c r="AW408" t="s">
        <v>886</v>
      </c>
      <c r="AX408" t="s">
        <v>222</v>
      </c>
      <c r="BA408" s="57">
        <v>46267.333333333336</v>
      </c>
      <c r="BB408" t="s">
        <v>1205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:61">
      <c r="A409">
        <v>408</v>
      </c>
      <c r="B409">
        <v>1002565915</v>
      </c>
      <c r="C409">
        <v>3</v>
      </c>
      <c r="D409" t="s">
        <v>45</v>
      </c>
      <c r="E409">
        <v>5</v>
      </c>
      <c r="F409" t="s">
        <v>113</v>
      </c>
      <c r="G409" t="s">
        <v>113</v>
      </c>
      <c r="H409" t="s">
        <v>408</v>
      </c>
      <c r="I409" t="s">
        <v>212</v>
      </c>
      <c r="J409" t="s">
        <v>213</v>
      </c>
      <c r="K409" t="s">
        <v>149</v>
      </c>
      <c r="L409" t="s">
        <v>214</v>
      </c>
      <c r="M409" t="s">
        <v>224</v>
      </c>
      <c r="N409" t="s">
        <v>215</v>
      </c>
      <c r="O409" s="57">
        <v>46266.640243055554</v>
      </c>
      <c r="P409" s="57">
        <v>46267.546064814815</v>
      </c>
      <c r="Q409">
        <v>69381663</v>
      </c>
      <c r="S409">
        <v>172502311690</v>
      </c>
      <c r="T409" t="s">
        <v>1250</v>
      </c>
      <c r="U409" t="s">
        <v>1251</v>
      </c>
      <c r="V409" t="s">
        <v>1252</v>
      </c>
      <c r="Z409">
        <v>123.60230300000001</v>
      </c>
      <c r="AA409">
        <v>-10.182314999999999</v>
      </c>
      <c r="AB409" t="s">
        <v>1253</v>
      </c>
      <c r="AC409" t="s">
        <v>236</v>
      </c>
      <c r="AL409" t="s">
        <v>217</v>
      </c>
      <c r="AM409" t="s">
        <v>1254</v>
      </c>
      <c r="AN409" t="s">
        <v>6</v>
      </c>
      <c r="AO409" s="57">
        <v>46031.642361111109</v>
      </c>
      <c r="AP409" s="57">
        <v>46267.541666666664</v>
      </c>
      <c r="AR409" t="s">
        <v>18</v>
      </c>
      <c r="AS409" t="s">
        <v>113</v>
      </c>
      <c r="AT409" t="s">
        <v>230</v>
      </c>
      <c r="AV409" t="s">
        <v>226</v>
      </c>
      <c r="AW409" t="s">
        <v>886</v>
      </c>
      <c r="AX409" t="s">
        <v>222</v>
      </c>
      <c r="BA409" s="57">
        <v>46267.541666666664</v>
      </c>
      <c r="BB409" t="s">
        <v>1254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KUPANG</v>
      </c>
    </row>
    <row r="410" spans="1:61">
      <c r="A410">
        <v>409</v>
      </c>
      <c r="B410">
        <v>1002566159</v>
      </c>
      <c r="C410">
        <v>3</v>
      </c>
      <c r="D410" t="s">
        <v>51</v>
      </c>
      <c r="E410">
        <v>4</v>
      </c>
      <c r="F410" t="s">
        <v>234</v>
      </c>
      <c r="G410" t="s">
        <v>562</v>
      </c>
      <c r="H410" t="s">
        <v>854</v>
      </c>
      <c r="I410" t="s">
        <v>212</v>
      </c>
      <c r="J410" t="s">
        <v>213</v>
      </c>
      <c r="K410" t="s">
        <v>149</v>
      </c>
      <c r="L410" t="s">
        <v>214</v>
      </c>
      <c r="M410" t="s">
        <v>224</v>
      </c>
      <c r="N410" t="s">
        <v>215</v>
      </c>
      <c r="O410" s="57">
        <v>46266.671481481484</v>
      </c>
      <c r="P410" s="57">
        <v>46269.338379629633</v>
      </c>
      <c r="Q410">
        <v>69381707</v>
      </c>
      <c r="S410">
        <v>142566103560</v>
      </c>
      <c r="T410" t="s">
        <v>1350</v>
      </c>
      <c r="U410" t="s">
        <v>974</v>
      </c>
      <c r="V410" t="s">
        <v>1351</v>
      </c>
      <c r="Z410">
        <v>110.80564149999999</v>
      </c>
      <c r="AA410">
        <v>-7.4641721999999904</v>
      </c>
      <c r="AB410" t="s">
        <v>1352</v>
      </c>
      <c r="AC410" t="s">
        <v>236</v>
      </c>
      <c r="AL410" t="s">
        <v>217</v>
      </c>
      <c r="AM410" t="s">
        <v>1353</v>
      </c>
      <c r="AN410" t="s">
        <v>6</v>
      </c>
      <c r="AO410" s="57">
        <v>46031.673645833333</v>
      </c>
      <c r="AP410" s="57">
        <v>46269.333333333336</v>
      </c>
      <c r="AR410" t="s">
        <v>18</v>
      </c>
      <c r="AS410" t="s">
        <v>914</v>
      </c>
      <c r="AT410" t="s">
        <v>230</v>
      </c>
      <c r="AV410" t="s">
        <v>226</v>
      </c>
      <c r="AW410" t="s">
        <v>537</v>
      </c>
      <c r="AX410" t="s">
        <v>222</v>
      </c>
      <c r="BA410" s="57">
        <v>46269.333333333336</v>
      </c>
      <c r="BB410" t="s">
        <v>1353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:61">
      <c r="A411">
        <v>410</v>
      </c>
      <c r="B411">
        <v>1002568437</v>
      </c>
      <c r="C411">
        <v>3</v>
      </c>
      <c r="D411" t="s">
        <v>59</v>
      </c>
      <c r="E411">
        <v>4</v>
      </c>
      <c r="F411" t="s">
        <v>549</v>
      </c>
      <c r="G411" t="s">
        <v>582</v>
      </c>
      <c r="H411" t="s">
        <v>590</v>
      </c>
      <c r="I411" t="s">
        <v>212</v>
      </c>
      <c r="J411" t="s">
        <v>213</v>
      </c>
      <c r="K411" t="s">
        <v>149</v>
      </c>
      <c r="M411" t="s">
        <v>2161</v>
      </c>
      <c r="N411" t="s">
        <v>215</v>
      </c>
      <c r="O411" s="57">
        <v>46267.707997685182</v>
      </c>
      <c r="P411" s="57">
        <v>46268.47965277778</v>
      </c>
      <c r="Q411">
        <v>69381014</v>
      </c>
      <c r="S411">
        <v>146131120730</v>
      </c>
      <c r="T411" t="s">
        <v>2175</v>
      </c>
      <c r="U411" t="s">
        <v>2176</v>
      </c>
      <c r="V411" t="s">
        <v>2177</v>
      </c>
      <c r="Z411">
        <v>110.427503</v>
      </c>
      <c r="AA411">
        <v>-7.7804053356237004</v>
      </c>
      <c r="AB411" t="s">
        <v>2178</v>
      </c>
      <c r="AC411" t="s">
        <v>284</v>
      </c>
      <c r="AL411" t="s">
        <v>217</v>
      </c>
      <c r="AM411" t="s">
        <v>2179</v>
      </c>
      <c r="AN411" t="s">
        <v>6</v>
      </c>
      <c r="AO411" s="57">
        <v>46062.715486111112</v>
      </c>
      <c r="AR411" t="s">
        <v>14</v>
      </c>
      <c r="AS411" t="s">
        <v>219</v>
      </c>
      <c r="AT411" t="s">
        <v>230</v>
      </c>
      <c r="AV411" t="s">
        <v>2163</v>
      </c>
      <c r="AW411" t="s">
        <v>545</v>
      </c>
      <c r="AX411" t="s">
        <v>222</v>
      </c>
      <c r="BA411" s="57">
        <v>46267.291666666664</v>
      </c>
      <c r="BB411" t="s">
        <v>2179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1002566762</v>
      </c>
      <c r="C412">
        <v>3</v>
      </c>
      <c r="D412" t="s">
        <v>55</v>
      </c>
      <c r="E412">
        <v>5</v>
      </c>
      <c r="F412" t="s">
        <v>307</v>
      </c>
      <c r="G412" t="s">
        <v>124</v>
      </c>
      <c r="H412" t="s">
        <v>309</v>
      </c>
      <c r="I412" t="s">
        <v>212</v>
      </c>
      <c r="J412" t="s">
        <v>213</v>
      </c>
      <c r="K412" t="s">
        <v>149</v>
      </c>
      <c r="L412" t="s">
        <v>214</v>
      </c>
      <c r="M412" t="s">
        <v>2161</v>
      </c>
      <c r="N412" t="s">
        <v>215</v>
      </c>
      <c r="O412" s="57">
        <v>46267.379120370373</v>
      </c>
      <c r="P412" s="57">
        <v>46268.669293981482</v>
      </c>
      <c r="Q412">
        <v>69381963</v>
      </c>
      <c r="S412">
        <v>152308243225</v>
      </c>
      <c r="T412" t="s">
        <v>2103</v>
      </c>
      <c r="U412" t="s">
        <v>2104</v>
      </c>
      <c r="V412" t="s">
        <v>2105</v>
      </c>
      <c r="Z412">
        <v>112.757417</v>
      </c>
      <c r="AA412">
        <v>-7.3170400000000004</v>
      </c>
      <c r="AB412" t="s">
        <v>2106</v>
      </c>
      <c r="AC412" t="s">
        <v>236</v>
      </c>
      <c r="AL412" t="s">
        <v>217</v>
      </c>
      <c r="AM412" t="s">
        <v>2107</v>
      </c>
      <c r="AN412" t="s">
        <v>6</v>
      </c>
      <c r="AO412" s="57">
        <v>46062.382025462961</v>
      </c>
      <c r="AP412" s="57">
        <v>46268.333333333336</v>
      </c>
      <c r="AQ412" t="s">
        <v>2184</v>
      </c>
      <c r="AR412" t="s">
        <v>14</v>
      </c>
      <c r="AS412" t="s">
        <v>605</v>
      </c>
      <c r="AT412" t="s">
        <v>230</v>
      </c>
      <c r="AV412" t="s">
        <v>2163</v>
      </c>
      <c r="AW412" t="s">
        <v>891</v>
      </c>
      <c r="AX412" t="s">
        <v>222</v>
      </c>
      <c r="BA412" s="57">
        <v>46268.333333333336</v>
      </c>
      <c r="BB412" t="s">
        <v>2107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SURABAYA SELATAN</v>
      </c>
    </row>
    <row r="413" spans="1:61">
      <c r="A413">
        <v>412</v>
      </c>
      <c r="B413">
        <v>1002566719</v>
      </c>
      <c r="C413">
        <v>3</v>
      </c>
      <c r="D413" t="s">
        <v>55</v>
      </c>
      <c r="E413">
        <v>5</v>
      </c>
      <c r="F413" t="s">
        <v>261</v>
      </c>
      <c r="G413" t="s">
        <v>128</v>
      </c>
      <c r="H413" t="s">
        <v>305</v>
      </c>
      <c r="I413" t="s">
        <v>212</v>
      </c>
      <c r="J413" t="s">
        <v>213</v>
      </c>
      <c r="K413" t="s">
        <v>149</v>
      </c>
      <c r="M413" t="s">
        <v>2161</v>
      </c>
      <c r="N413" t="s">
        <v>215</v>
      </c>
      <c r="O413" s="57">
        <v>46267.370023148149</v>
      </c>
      <c r="P413" s="57">
        <v>46269.366944444446</v>
      </c>
      <c r="Q413">
        <v>69381952</v>
      </c>
      <c r="S413">
        <v>152417230066</v>
      </c>
      <c r="T413" t="s">
        <v>2126</v>
      </c>
      <c r="U413" t="s">
        <v>2127</v>
      </c>
      <c r="V413" t="s">
        <v>2128</v>
      </c>
      <c r="Z413">
        <v>112.598271906877</v>
      </c>
      <c r="AA413">
        <v>-7.3525522048741303</v>
      </c>
      <c r="AB413" t="s">
        <v>2129</v>
      </c>
      <c r="AC413" t="s">
        <v>229</v>
      </c>
      <c r="AL413" t="s">
        <v>217</v>
      </c>
      <c r="AM413" t="s">
        <v>2130</v>
      </c>
      <c r="AN413" t="s">
        <v>6</v>
      </c>
      <c r="AO413" s="57">
        <v>46062.371550925927</v>
      </c>
      <c r="AP413" s="57">
        <v>46268.333333333336</v>
      </c>
      <c r="AQ413" t="s">
        <v>2184</v>
      </c>
      <c r="AR413" t="s">
        <v>14</v>
      </c>
      <c r="AS413" t="s">
        <v>602</v>
      </c>
      <c r="AT413" t="s">
        <v>230</v>
      </c>
      <c r="AV413" t="s">
        <v>2163</v>
      </c>
      <c r="AW413" t="s">
        <v>572</v>
      </c>
      <c r="AX413" t="s">
        <v>222</v>
      </c>
      <c r="BA413" s="57">
        <v>46268.333333333336</v>
      </c>
      <c r="BB413" t="s">
        <v>2130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SURABAYA UTARA</v>
      </c>
    </row>
    <row r="414" spans="1:61">
      <c r="A414">
        <v>413</v>
      </c>
      <c r="B414">
        <v>1002564858</v>
      </c>
      <c r="C414">
        <v>3</v>
      </c>
      <c r="D414" t="s">
        <v>45</v>
      </c>
      <c r="E414">
        <v>5</v>
      </c>
      <c r="F414" t="s">
        <v>210</v>
      </c>
      <c r="G414" t="s">
        <v>118</v>
      </c>
      <c r="H414" t="s">
        <v>478</v>
      </c>
      <c r="I414" t="s">
        <v>212</v>
      </c>
      <c r="J414" t="s">
        <v>213</v>
      </c>
      <c r="K414" t="s">
        <v>149</v>
      </c>
      <c r="L414" t="s">
        <v>214</v>
      </c>
      <c r="M414" t="s">
        <v>2161</v>
      </c>
      <c r="N414" t="s">
        <v>215</v>
      </c>
      <c r="O414" s="57">
        <v>46266.452048611114</v>
      </c>
      <c r="P414" s="57">
        <v>46269.441481481481</v>
      </c>
      <c r="Q414">
        <v>69381346</v>
      </c>
      <c r="S414">
        <v>172607203846</v>
      </c>
      <c r="T414" t="s">
        <v>1086</v>
      </c>
      <c r="U414" t="s">
        <v>1087</v>
      </c>
      <c r="V414" t="s">
        <v>1088</v>
      </c>
      <c r="Z414">
        <v>116.843798446929</v>
      </c>
      <c r="AA414">
        <v>-8.5673763751423309</v>
      </c>
      <c r="AB414" t="s">
        <v>1089</v>
      </c>
      <c r="AC414" t="s">
        <v>236</v>
      </c>
      <c r="AL414" t="s">
        <v>217</v>
      </c>
      <c r="AM414" t="s">
        <v>1090</v>
      </c>
      <c r="AN414" t="s">
        <v>6</v>
      </c>
      <c r="AO414" s="57">
        <v>46031.454826388886</v>
      </c>
      <c r="AP414" s="57">
        <v>46267.333333333336</v>
      </c>
      <c r="AR414" t="s">
        <v>14</v>
      </c>
      <c r="AS414" t="s">
        <v>902</v>
      </c>
      <c r="AT414" t="s">
        <v>230</v>
      </c>
      <c r="AV414" t="s">
        <v>2163</v>
      </c>
      <c r="AW414" t="s">
        <v>884</v>
      </c>
      <c r="AX414" t="s">
        <v>222</v>
      </c>
      <c r="BA414" s="57">
        <v>46267.333333333336</v>
      </c>
      <c r="BB414" t="s">
        <v>1090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SUMBAWA</v>
      </c>
    </row>
    <row r="415" spans="1:61">
      <c r="A415">
        <v>414</v>
      </c>
      <c r="B415">
        <v>1002566268</v>
      </c>
      <c r="C415">
        <v>3</v>
      </c>
      <c r="D415" t="s">
        <v>38</v>
      </c>
      <c r="E415">
        <v>5</v>
      </c>
      <c r="F415" t="s">
        <v>90</v>
      </c>
      <c r="G415" t="s">
        <v>90</v>
      </c>
      <c r="H415" t="s">
        <v>430</v>
      </c>
      <c r="I415" t="s">
        <v>212</v>
      </c>
      <c r="J415" t="s">
        <v>213</v>
      </c>
      <c r="K415" t="s">
        <v>149</v>
      </c>
      <c r="L415" t="s">
        <v>214</v>
      </c>
      <c r="M415" t="s">
        <v>2161</v>
      </c>
      <c r="N415" t="s">
        <v>215</v>
      </c>
      <c r="O415" s="57">
        <v>46266.692314814813</v>
      </c>
      <c r="P415" s="57">
        <v>46268.671736111108</v>
      </c>
      <c r="Q415">
        <v>69381748</v>
      </c>
      <c r="S415">
        <v>152651207810</v>
      </c>
      <c r="T415" t="s">
        <v>1206</v>
      </c>
      <c r="U415" t="s">
        <v>1207</v>
      </c>
      <c r="V415" t="s">
        <v>1208</v>
      </c>
      <c r="Z415">
        <v>111.99246805161199</v>
      </c>
      <c r="AA415">
        <v>-7.8936391494959697</v>
      </c>
      <c r="AB415" t="s">
        <v>1209</v>
      </c>
      <c r="AC415" t="s">
        <v>216</v>
      </c>
      <c r="AL415" t="s">
        <v>217</v>
      </c>
      <c r="AM415" t="s">
        <v>1210</v>
      </c>
      <c r="AN415" t="s">
        <v>6</v>
      </c>
      <c r="AO415" s="57">
        <v>46031.694467592592</v>
      </c>
      <c r="AP415" s="57">
        <v>46267.541666666664</v>
      </c>
      <c r="AR415" t="s">
        <v>14</v>
      </c>
      <c r="AS415" t="s">
        <v>556</v>
      </c>
      <c r="AT415" t="s">
        <v>230</v>
      </c>
      <c r="AV415" t="s">
        <v>2163</v>
      </c>
      <c r="AW415" t="s">
        <v>888</v>
      </c>
      <c r="AX415" t="s">
        <v>222</v>
      </c>
      <c r="BA415" s="57">
        <v>46267.541666666664</v>
      </c>
      <c r="BB415" t="s">
        <v>1210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str">
        <f>VLOOKUP(H415,Sheet2!$A$1:$B$270,2,FALSE)</f>
        <v>KEDIRI</v>
      </c>
    </row>
    <row r="416" spans="1:61">
      <c r="A416">
        <v>415</v>
      </c>
      <c r="B416">
        <v>1002566519</v>
      </c>
      <c r="C416">
        <v>3</v>
      </c>
      <c r="D416" t="s">
        <v>42</v>
      </c>
      <c r="E416">
        <v>5</v>
      </c>
      <c r="F416" t="s">
        <v>232</v>
      </c>
      <c r="G416" t="s">
        <v>101</v>
      </c>
      <c r="H416" t="s">
        <v>427</v>
      </c>
      <c r="I416" t="s">
        <v>212</v>
      </c>
      <c r="J416" t="s">
        <v>213</v>
      </c>
      <c r="K416" t="s">
        <v>149</v>
      </c>
      <c r="L416" t="s">
        <v>214</v>
      </c>
      <c r="M416" t="s">
        <v>2161</v>
      </c>
      <c r="N416" t="s">
        <v>215</v>
      </c>
      <c r="O416" s="57">
        <v>46266.824953703705</v>
      </c>
      <c r="P416" s="57">
        <v>46269.366689814815</v>
      </c>
      <c r="Q416">
        <v>69381889</v>
      </c>
      <c r="S416">
        <v>152331251345</v>
      </c>
      <c r="T416" t="s">
        <v>1232</v>
      </c>
      <c r="U416" t="s">
        <v>1233</v>
      </c>
      <c r="V416" t="s">
        <v>1234</v>
      </c>
      <c r="Z416">
        <v>112.63038083910899</v>
      </c>
      <c r="AA416">
        <v>-7.4526970491075497</v>
      </c>
      <c r="AB416" t="s">
        <v>1235</v>
      </c>
      <c r="AC416" t="s">
        <v>216</v>
      </c>
      <c r="AL416" t="s">
        <v>217</v>
      </c>
      <c r="AM416" t="s">
        <v>1236</v>
      </c>
      <c r="AN416" t="s">
        <v>6</v>
      </c>
      <c r="AO416" s="57">
        <v>46031.829826388886</v>
      </c>
      <c r="AP416" s="57">
        <v>46268.333333333336</v>
      </c>
      <c r="AQ416" t="s">
        <v>2184</v>
      </c>
      <c r="AR416" t="s">
        <v>14</v>
      </c>
      <c r="AS416" t="s">
        <v>573</v>
      </c>
      <c r="AT416" t="s">
        <v>230</v>
      </c>
      <c r="AV416" t="s">
        <v>2163</v>
      </c>
      <c r="AW416" t="s">
        <v>887</v>
      </c>
      <c r="AX416" t="s">
        <v>222</v>
      </c>
      <c r="BA416" s="57">
        <v>46268.333333333336</v>
      </c>
      <c r="BB416" t="s">
        <v>1236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SIDOARJO</v>
      </c>
    </row>
    <row r="417" spans="1:61">
      <c r="A417">
        <v>416</v>
      </c>
      <c r="B417">
        <v>1002565568</v>
      </c>
      <c r="C417">
        <v>3</v>
      </c>
      <c r="D417" t="s">
        <v>59</v>
      </c>
      <c r="E417">
        <v>4</v>
      </c>
      <c r="F417" t="s">
        <v>223</v>
      </c>
      <c r="G417" t="s">
        <v>223</v>
      </c>
      <c r="H417" t="s">
        <v>827</v>
      </c>
      <c r="I417" t="s">
        <v>212</v>
      </c>
      <c r="J417" t="s">
        <v>213</v>
      </c>
      <c r="K417" t="s">
        <v>149</v>
      </c>
      <c r="L417" t="s">
        <v>214</v>
      </c>
      <c r="M417" t="s">
        <v>2161</v>
      </c>
      <c r="N417" t="s">
        <v>215</v>
      </c>
      <c r="O417" s="57">
        <v>46266.587476851855</v>
      </c>
      <c r="P417" s="57">
        <v>46267.692418981482</v>
      </c>
      <c r="Q417">
        <v>69381554</v>
      </c>
      <c r="S417">
        <v>146303608408</v>
      </c>
      <c r="T417" t="s">
        <v>1304</v>
      </c>
      <c r="U417" t="s">
        <v>1305</v>
      </c>
      <c r="V417" t="s">
        <v>1306</v>
      </c>
      <c r="Z417">
        <v>109.25642209999999</v>
      </c>
      <c r="AA417">
        <v>-7.4259066000000002</v>
      </c>
      <c r="AB417" t="s">
        <v>1307</v>
      </c>
      <c r="AC417" t="s">
        <v>236</v>
      </c>
      <c r="AL417" t="s">
        <v>217</v>
      </c>
      <c r="AM417" t="s">
        <v>1056</v>
      </c>
      <c r="AN417" t="s">
        <v>6</v>
      </c>
      <c r="AO417" s="57">
        <v>46031.590208333335</v>
      </c>
      <c r="AP417" s="57">
        <v>46267.541666666664</v>
      </c>
      <c r="AQ417" t="s">
        <v>2162</v>
      </c>
      <c r="AR417" t="s">
        <v>14</v>
      </c>
      <c r="AS417" t="s">
        <v>219</v>
      </c>
      <c r="AT417" t="s">
        <v>230</v>
      </c>
      <c r="AV417" t="s">
        <v>2163</v>
      </c>
      <c r="AW417" t="s">
        <v>890</v>
      </c>
      <c r="AX417" t="s">
        <v>222</v>
      </c>
      <c r="BA417" s="57">
        <v>46267.541666666664</v>
      </c>
      <c r="BB417" t="s">
        <v>1056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:61">
      <c r="A418">
        <v>417</v>
      </c>
      <c r="B418">
        <v>1002564133</v>
      </c>
      <c r="C418">
        <v>3</v>
      </c>
      <c r="D418" t="s">
        <v>55</v>
      </c>
      <c r="E418">
        <v>5</v>
      </c>
      <c r="F418" t="s">
        <v>261</v>
      </c>
      <c r="G418" t="s">
        <v>122</v>
      </c>
      <c r="H418" t="s">
        <v>348</v>
      </c>
      <c r="I418" t="s">
        <v>212</v>
      </c>
      <c r="J418" t="s">
        <v>213</v>
      </c>
      <c r="K418" t="s">
        <v>149</v>
      </c>
      <c r="L418" t="s">
        <v>214</v>
      </c>
      <c r="M418" t="s">
        <v>2161</v>
      </c>
      <c r="N418" t="s">
        <v>215</v>
      </c>
      <c r="O418" s="57">
        <v>46266.358981481484</v>
      </c>
      <c r="P418" s="57">
        <v>46268.525914351849</v>
      </c>
      <c r="Q418">
        <v>69381160</v>
      </c>
      <c r="S418">
        <v>152451212101</v>
      </c>
      <c r="T418" t="s">
        <v>1311</v>
      </c>
      <c r="U418" t="s">
        <v>1312</v>
      </c>
      <c r="V418" t="s">
        <v>1313</v>
      </c>
      <c r="Z418">
        <v>112.488868</v>
      </c>
      <c r="AA418">
        <v>-6.9035650000000004</v>
      </c>
      <c r="AB418" t="s">
        <v>1314</v>
      </c>
      <c r="AC418" t="s">
        <v>236</v>
      </c>
      <c r="AL418" t="s">
        <v>217</v>
      </c>
      <c r="AM418" t="s">
        <v>1315</v>
      </c>
      <c r="AN418" t="s">
        <v>6</v>
      </c>
      <c r="AO418" s="57">
        <v>46031.361087962963</v>
      </c>
      <c r="AP418" s="57">
        <v>46267.333333333336</v>
      </c>
      <c r="AQ418" t="s">
        <v>2184</v>
      </c>
      <c r="AR418" t="s">
        <v>14</v>
      </c>
      <c r="AS418" t="s">
        <v>122</v>
      </c>
      <c r="AT418" t="s">
        <v>230</v>
      </c>
      <c r="AV418" t="s">
        <v>2163</v>
      </c>
      <c r="AW418" t="s">
        <v>884</v>
      </c>
      <c r="AX418" t="s">
        <v>222</v>
      </c>
      <c r="BA418" s="57">
        <v>46267.333333333336</v>
      </c>
      <c r="BB418" t="s">
        <v>1315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GRESIK</v>
      </c>
    </row>
    <row r="419" spans="1:61">
      <c r="A419">
        <v>418</v>
      </c>
      <c r="B419">
        <v>1002568550</v>
      </c>
      <c r="C419">
        <v>3</v>
      </c>
      <c r="D419" t="s">
        <v>55</v>
      </c>
      <c r="E419">
        <v>5</v>
      </c>
      <c r="F419" t="s">
        <v>261</v>
      </c>
      <c r="G419" t="s">
        <v>123</v>
      </c>
      <c r="H419" t="s">
        <v>267</v>
      </c>
      <c r="I419" t="s">
        <v>212</v>
      </c>
      <c r="J419" t="s">
        <v>213</v>
      </c>
      <c r="K419" t="s">
        <v>149</v>
      </c>
      <c r="L419" t="s">
        <v>214</v>
      </c>
      <c r="M419" t="s">
        <v>2164</v>
      </c>
      <c r="N419" t="s">
        <v>215</v>
      </c>
      <c r="O419" s="57">
        <v>46267.758981481478</v>
      </c>
      <c r="P419" s="57">
        <v>46268.482986111114</v>
      </c>
      <c r="Q419">
        <v>69382627</v>
      </c>
      <c r="S419">
        <v>152407281983</v>
      </c>
      <c r="T419" t="s">
        <v>1557</v>
      </c>
      <c r="U419" t="s">
        <v>1558</v>
      </c>
      <c r="V419" t="s">
        <v>1559</v>
      </c>
      <c r="Z419">
        <v>112.7640701</v>
      </c>
      <c r="AA419">
        <v>-7.2579474999999896</v>
      </c>
      <c r="AB419" t="s">
        <v>1560</v>
      </c>
      <c r="AC419" t="s">
        <v>236</v>
      </c>
      <c r="AL419" t="s">
        <v>217</v>
      </c>
      <c r="AM419" t="s">
        <v>1561</v>
      </c>
      <c r="AN419" t="s">
        <v>6</v>
      </c>
      <c r="AO419" s="57">
        <v>46062.767453703702</v>
      </c>
      <c r="AP419" s="57">
        <v>46268.625</v>
      </c>
      <c r="AR419" t="s">
        <v>14</v>
      </c>
      <c r="AS419" t="s">
        <v>123</v>
      </c>
      <c r="AT419" t="s">
        <v>230</v>
      </c>
      <c r="AV419" t="s">
        <v>3019</v>
      </c>
      <c r="AW419" t="s">
        <v>890</v>
      </c>
      <c r="AX419" t="s">
        <v>222</v>
      </c>
      <c r="BA419" s="57">
        <v>46268.625</v>
      </c>
      <c r="BB419" t="s">
        <v>1561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SURABAYA UTARA</v>
      </c>
    </row>
    <row r="420" spans="1:61">
      <c r="A420">
        <v>419</v>
      </c>
      <c r="B420">
        <v>1002564380</v>
      </c>
      <c r="C420">
        <v>3</v>
      </c>
      <c r="D420" t="s">
        <v>59</v>
      </c>
      <c r="E420">
        <v>4</v>
      </c>
      <c r="F420" t="s">
        <v>549</v>
      </c>
      <c r="G420" t="s">
        <v>582</v>
      </c>
      <c r="H420" t="s">
        <v>835</v>
      </c>
      <c r="I420" t="s">
        <v>212</v>
      </c>
      <c r="J420" t="s">
        <v>213</v>
      </c>
      <c r="K420" t="s">
        <v>149</v>
      </c>
      <c r="M420" t="s">
        <v>2164</v>
      </c>
      <c r="N420" t="s">
        <v>581</v>
      </c>
      <c r="O420" s="57">
        <v>46266.394189814811</v>
      </c>
      <c r="P420" s="57">
        <v>46268.571747685186</v>
      </c>
      <c r="Q420">
        <v>69381235</v>
      </c>
      <c r="R420">
        <v>2745059207</v>
      </c>
      <c r="S420">
        <v>146113146852</v>
      </c>
      <c r="T420" t="s">
        <v>1035</v>
      </c>
      <c r="U420" t="s">
        <v>1354</v>
      </c>
      <c r="V420" t="s">
        <v>1868</v>
      </c>
      <c r="Z420">
        <v>110.392316068968</v>
      </c>
      <c r="AA420">
        <v>-7.7757863593329999</v>
      </c>
      <c r="AB420" t="s">
        <v>1355</v>
      </c>
      <c r="AC420" t="s">
        <v>587</v>
      </c>
      <c r="AL420" t="s">
        <v>217</v>
      </c>
      <c r="AM420" t="s">
        <v>1869</v>
      </c>
      <c r="AN420" t="s">
        <v>6</v>
      </c>
      <c r="AO420" s="57">
        <v>46031.402905092589</v>
      </c>
      <c r="AP420" s="57">
        <v>46268.416666666664</v>
      </c>
      <c r="AR420" t="s">
        <v>14</v>
      </c>
      <c r="AS420" t="s">
        <v>219</v>
      </c>
      <c r="AT420" t="s">
        <v>230</v>
      </c>
      <c r="AV420" t="s">
        <v>3020</v>
      </c>
      <c r="AW420" t="s">
        <v>545</v>
      </c>
      <c r="AX420" t="s">
        <v>222</v>
      </c>
      <c r="BA420" s="57">
        <v>46268.416666666664</v>
      </c>
      <c r="BB420" t="s">
        <v>1869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:61">
      <c r="A421">
        <v>420</v>
      </c>
      <c r="B421">
        <v>1002564873</v>
      </c>
      <c r="C421">
        <v>3</v>
      </c>
      <c r="D421" t="s">
        <v>49</v>
      </c>
      <c r="E421">
        <v>4</v>
      </c>
      <c r="F421" t="s">
        <v>250</v>
      </c>
      <c r="G421" t="s">
        <v>539</v>
      </c>
      <c r="H421" t="s">
        <v>838</v>
      </c>
      <c r="I421" t="s">
        <v>212</v>
      </c>
      <c r="J421" t="s">
        <v>213</v>
      </c>
      <c r="K421" t="s">
        <v>149</v>
      </c>
      <c r="L421" t="s">
        <v>214</v>
      </c>
      <c r="M421" t="s">
        <v>2164</v>
      </c>
      <c r="N421" t="s">
        <v>215</v>
      </c>
      <c r="O421" s="57">
        <v>46266.454814814817</v>
      </c>
      <c r="P421" s="57">
        <v>46267.595520833333</v>
      </c>
      <c r="Q421">
        <v>69381339</v>
      </c>
      <c r="S421">
        <v>142205105696</v>
      </c>
      <c r="T421" t="s">
        <v>1175</v>
      </c>
      <c r="U421" t="s">
        <v>1176</v>
      </c>
      <c r="V421" t="s">
        <v>1177</v>
      </c>
      <c r="Z421">
        <v>108.9903396</v>
      </c>
      <c r="AA421">
        <v>-6.9210346999999999</v>
      </c>
      <c r="AB421" t="s">
        <v>1178</v>
      </c>
      <c r="AC421" t="s">
        <v>236</v>
      </c>
      <c r="AL421" t="s">
        <v>217</v>
      </c>
      <c r="AM421" t="s">
        <v>1179</v>
      </c>
      <c r="AN421" t="s">
        <v>6</v>
      </c>
      <c r="AO421" s="57">
        <v>46031.465405092589</v>
      </c>
      <c r="AP421" s="57">
        <v>46267.333333333336</v>
      </c>
      <c r="AQ421" t="s">
        <v>2165</v>
      </c>
      <c r="AR421" t="s">
        <v>14</v>
      </c>
      <c r="AS421" t="s">
        <v>219</v>
      </c>
      <c r="AT421" t="s">
        <v>230</v>
      </c>
      <c r="AV421" t="s">
        <v>2166</v>
      </c>
      <c r="AW421" t="s">
        <v>886</v>
      </c>
      <c r="AX421" t="s">
        <v>222</v>
      </c>
      <c r="BA421" s="57">
        <v>46267.333333333336</v>
      </c>
      <c r="BB421" t="s">
        <v>1179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:61">
      <c r="A422">
        <v>421</v>
      </c>
      <c r="B422">
        <v>1002565310</v>
      </c>
      <c r="C422">
        <v>3</v>
      </c>
      <c r="D422" t="s">
        <v>45</v>
      </c>
      <c r="E422">
        <v>5</v>
      </c>
      <c r="F422" t="s">
        <v>210</v>
      </c>
      <c r="G422" t="s">
        <v>118</v>
      </c>
      <c r="H422" t="s">
        <v>277</v>
      </c>
      <c r="I422" t="s">
        <v>212</v>
      </c>
      <c r="J422" t="s">
        <v>213</v>
      </c>
      <c r="K422" t="s">
        <v>149</v>
      </c>
      <c r="L422" t="s">
        <v>214</v>
      </c>
      <c r="M422" t="s">
        <v>2164</v>
      </c>
      <c r="N422" t="s">
        <v>215</v>
      </c>
      <c r="O422" s="57">
        <v>46266.542314814818</v>
      </c>
      <c r="P422" s="57">
        <v>46268.614212962966</v>
      </c>
      <c r="Q422">
        <v>69381485</v>
      </c>
      <c r="S422">
        <v>172610203695</v>
      </c>
      <c r="T422" t="s">
        <v>964</v>
      </c>
      <c r="U422" t="s">
        <v>1211</v>
      </c>
      <c r="V422" t="s">
        <v>1212</v>
      </c>
      <c r="Z422">
        <v>116.844051070511</v>
      </c>
      <c r="AA422">
        <v>-8.7440700973437906</v>
      </c>
      <c r="AB422" t="s">
        <v>1213</v>
      </c>
      <c r="AC422" t="s">
        <v>216</v>
      </c>
      <c r="AL422" t="s">
        <v>217</v>
      </c>
      <c r="AM422" t="s">
        <v>1034</v>
      </c>
      <c r="AN422" t="s">
        <v>6</v>
      </c>
      <c r="AO422" s="57">
        <v>46031.548877314817</v>
      </c>
      <c r="AP422" s="57">
        <v>46267.541666666664</v>
      </c>
      <c r="AR422" t="s">
        <v>14</v>
      </c>
      <c r="AS422" t="s">
        <v>908</v>
      </c>
      <c r="AT422" t="s">
        <v>230</v>
      </c>
      <c r="AV422" t="s">
        <v>3021</v>
      </c>
      <c r="AW422" t="s">
        <v>887</v>
      </c>
      <c r="AX422" t="s">
        <v>222</v>
      </c>
      <c r="BA422" s="57">
        <v>46267.541666666664</v>
      </c>
      <c r="BB422" t="s">
        <v>1034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SUMBAWA</v>
      </c>
    </row>
    <row r="423" spans="1:61">
      <c r="A423">
        <v>422</v>
      </c>
      <c r="B423">
        <v>1002565040</v>
      </c>
      <c r="C423">
        <v>3</v>
      </c>
      <c r="D423" t="s">
        <v>55</v>
      </c>
      <c r="E423">
        <v>5</v>
      </c>
      <c r="F423" t="s">
        <v>261</v>
      </c>
      <c r="G423" t="s">
        <v>125</v>
      </c>
      <c r="H423" t="s">
        <v>325</v>
      </c>
      <c r="I423" t="s">
        <v>212</v>
      </c>
      <c r="J423" t="s">
        <v>213</v>
      </c>
      <c r="K423" t="s">
        <v>149</v>
      </c>
      <c r="L423" t="s">
        <v>214</v>
      </c>
      <c r="M423" t="s">
        <v>2164</v>
      </c>
      <c r="N423" t="s">
        <v>215</v>
      </c>
      <c r="O423" s="57">
        <v>46266.475659722222</v>
      </c>
      <c r="P423" s="57">
        <v>46268.464722222219</v>
      </c>
      <c r="Q423">
        <v>69381406</v>
      </c>
      <c r="S423">
        <v>152441211655</v>
      </c>
      <c r="T423" t="s">
        <v>1381</v>
      </c>
      <c r="U423" t="s">
        <v>1382</v>
      </c>
      <c r="V423" t="s">
        <v>1383</v>
      </c>
      <c r="Z423">
        <v>112.11121078580599</v>
      </c>
      <c r="AA423">
        <v>-7.3444968945577296</v>
      </c>
      <c r="AB423" t="s">
        <v>1384</v>
      </c>
      <c r="AC423" t="s">
        <v>216</v>
      </c>
      <c r="AL423" t="s">
        <v>217</v>
      </c>
      <c r="AM423" t="s">
        <v>1366</v>
      </c>
      <c r="AN423" t="s">
        <v>6</v>
      </c>
      <c r="AO423" s="57">
        <v>46031.48609953704</v>
      </c>
      <c r="AP423" s="57">
        <v>46267.333333333336</v>
      </c>
      <c r="AQ423" t="s">
        <v>2162</v>
      </c>
      <c r="AR423" t="s">
        <v>14</v>
      </c>
      <c r="AS423" t="s">
        <v>219</v>
      </c>
      <c r="AT423" t="s">
        <v>230</v>
      </c>
      <c r="AV423" t="s">
        <v>3022</v>
      </c>
      <c r="AW423" t="s">
        <v>882</v>
      </c>
      <c r="AX423" t="s">
        <v>222</v>
      </c>
      <c r="BA423" s="57">
        <v>46267.333333333336</v>
      </c>
      <c r="BB423" t="s">
        <v>1366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GRESIK</v>
      </c>
    </row>
    <row r="424" spans="1:61">
      <c r="A424">
        <v>423</v>
      </c>
      <c r="B424">
        <v>1002564991</v>
      </c>
      <c r="C424">
        <v>3</v>
      </c>
      <c r="D424" t="s">
        <v>45</v>
      </c>
      <c r="E424">
        <v>5</v>
      </c>
      <c r="F424" t="s">
        <v>210</v>
      </c>
      <c r="G424" t="s">
        <v>110</v>
      </c>
      <c r="H424" t="s">
        <v>445</v>
      </c>
      <c r="I424" t="s">
        <v>212</v>
      </c>
      <c r="J424" t="s">
        <v>213</v>
      </c>
      <c r="K424" t="s">
        <v>149</v>
      </c>
      <c r="L424" t="s">
        <v>214</v>
      </c>
      <c r="M424" t="s">
        <v>2164</v>
      </c>
      <c r="N424" t="s">
        <v>215</v>
      </c>
      <c r="O424" s="57">
        <v>46266.469409722224</v>
      </c>
      <c r="P424" s="57">
        <v>46268.611643518518</v>
      </c>
      <c r="Q424">
        <v>69381373</v>
      </c>
      <c r="S424">
        <v>172610305800</v>
      </c>
      <c r="T424" t="s">
        <v>1287</v>
      </c>
      <c r="U424" t="s">
        <v>1288</v>
      </c>
      <c r="V424" t="s">
        <v>1289</v>
      </c>
      <c r="Z424">
        <v>118.969731</v>
      </c>
      <c r="AA424">
        <v>-8.5671809999999997</v>
      </c>
      <c r="AB424" t="s">
        <v>1290</v>
      </c>
      <c r="AC424" t="s">
        <v>236</v>
      </c>
      <c r="AL424" t="s">
        <v>217</v>
      </c>
      <c r="AM424" t="s">
        <v>1291</v>
      </c>
      <c r="AN424" t="s">
        <v>6</v>
      </c>
      <c r="AO424" s="57">
        <v>46031.475810185184</v>
      </c>
      <c r="AP424" s="57">
        <v>46267.333333333336</v>
      </c>
      <c r="AR424" t="s">
        <v>14</v>
      </c>
      <c r="AS424" t="s">
        <v>915</v>
      </c>
      <c r="AT424" t="s">
        <v>220</v>
      </c>
      <c r="AV424" t="s">
        <v>3023</v>
      </c>
      <c r="AW424" t="s">
        <v>874</v>
      </c>
      <c r="AX424" t="s">
        <v>222</v>
      </c>
      <c r="BA424" s="57">
        <v>46267.333333333336</v>
      </c>
      <c r="BB424" t="s">
        <v>1291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BIMA</v>
      </c>
    </row>
    <row r="425" spans="1:61">
      <c r="A425">
        <v>424</v>
      </c>
      <c r="B425">
        <v>1002564984</v>
      </c>
      <c r="C425">
        <v>3</v>
      </c>
      <c r="D425" t="s">
        <v>59</v>
      </c>
      <c r="E425">
        <v>4</v>
      </c>
      <c r="F425" t="s">
        <v>242</v>
      </c>
      <c r="G425" t="s">
        <v>600</v>
      </c>
      <c r="H425" t="s">
        <v>601</v>
      </c>
      <c r="I425" t="s">
        <v>212</v>
      </c>
      <c r="J425" t="s">
        <v>213</v>
      </c>
      <c r="K425" t="s">
        <v>149</v>
      </c>
      <c r="L425" t="s">
        <v>214</v>
      </c>
      <c r="M425" t="s">
        <v>2164</v>
      </c>
      <c r="N425" t="s">
        <v>215</v>
      </c>
      <c r="O425" s="57">
        <v>46266.468715277777</v>
      </c>
      <c r="P425" s="57">
        <v>46268.56486111111</v>
      </c>
      <c r="Q425">
        <v>69381389</v>
      </c>
      <c r="S425">
        <v>141149112951</v>
      </c>
      <c r="T425" t="s">
        <v>1296</v>
      </c>
      <c r="U425" t="s">
        <v>1297</v>
      </c>
      <c r="V425" t="s">
        <v>1298</v>
      </c>
      <c r="Z425">
        <v>110.088058</v>
      </c>
      <c r="AA425">
        <v>-7.2862179999999999</v>
      </c>
      <c r="AB425" t="s">
        <v>1299</v>
      </c>
      <c r="AC425" t="s">
        <v>236</v>
      </c>
      <c r="AL425" t="s">
        <v>217</v>
      </c>
      <c r="AM425" t="s">
        <v>991</v>
      </c>
      <c r="AN425" t="s">
        <v>6</v>
      </c>
      <c r="AO425" s="57">
        <v>46031.475810185184</v>
      </c>
      <c r="AP425" s="57">
        <v>46267.333333333336</v>
      </c>
      <c r="AQ425" t="s">
        <v>2184</v>
      </c>
      <c r="AR425" t="s">
        <v>14</v>
      </c>
      <c r="AS425" t="s">
        <v>920</v>
      </c>
      <c r="AT425" t="s">
        <v>230</v>
      </c>
      <c r="AV425" t="s">
        <v>3024</v>
      </c>
      <c r="AW425" t="s">
        <v>929</v>
      </c>
      <c r="AX425" t="s">
        <v>222</v>
      </c>
      <c r="BA425" s="57">
        <v>46267.333333333336</v>
      </c>
      <c r="BB425" t="s">
        <v>991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1002566429</v>
      </c>
      <c r="C426">
        <v>3</v>
      </c>
      <c r="D426" t="s">
        <v>34</v>
      </c>
      <c r="E426">
        <v>5</v>
      </c>
      <c r="F426" t="s">
        <v>563</v>
      </c>
      <c r="G426" t="s">
        <v>83</v>
      </c>
      <c r="H426" t="s">
        <v>392</v>
      </c>
      <c r="I426" t="s">
        <v>212</v>
      </c>
      <c r="J426" t="s">
        <v>213</v>
      </c>
      <c r="K426" t="s">
        <v>149</v>
      </c>
      <c r="L426" t="s">
        <v>214</v>
      </c>
      <c r="M426" t="s">
        <v>2164</v>
      </c>
      <c r="N426" t="s">
        <v>215</v>
      </c>
      <c r="O426" s="57">
        <v>46266.740231481483</v>
      </c>
      <c r="P426" s="57">
        <v>46269.437604166669</v>
      </c>
      <c r="Q426">
        <v>69381825</v>
      </c>
      <c r="S426">
        <v>172401298229</v>
      </c>
      <c r="T426" t="s">
        <v>1329</v>
      </c>
      <c r="U426" t="s">
        <v>1330</v>
      </c>
      <c r="V426" t="s">
        <v>1331</v>
      </c>
      <c r="Z426">
        <v>115.253369204419</v>
      </c>
      <c r="AA426">
        <v>-8.6940247248159093</v>
      </c>
      <c r="AB426" t="s">
        <v>1332</v>
      </c>
      <c r="AC426" t="s">
        <v>236</v>
      </c>
      <c r="AL426" t="s">
        <v>217</v>
      </c>
      <c r="AM426" t="s">
        <v>1333</v>
      </c>
      <c r="AN426" t="s">
        <v>6</v>
      </c>
      <c r="AO426" s="57">
        <v>46031.746469907404</v>
      </c>
      <c r="AP426" s="57">
        <v>46269.333333333336</v>
      </c>
      <c r="AR426" t="s">
        <v>14</v>
      </c>
      <c r="AS426" t="s">
        <v>83</v>
      </c>
      <c r="AT426" t="s">
        <v>230</v>
      </c>
      <c r="AV426" t="s">
        <v>3025</v>
      </c>
      <c r="AW426" t="s">
        <v>888</v>
      </c>
      <c r="AX426" t="s">
        <v>222</v>
      </c>
      <c r="BA426" s="57">
        <v>46269.333333333336</v>
      </c>
      <c r="BB426" t="s">
        <v>1333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SANUR</v>
      </c>
    </row>
    <row r="427" spans="1:61">
      <c r="A427">
        <v>426</v>
      </c>
      <c r="B427">
        <v>1002564550</v>
      </c>
      <c r="C427">
        <v>3</v>
      </c>
      <c r="D427" t="s">
        <v>45</v>
      </c>
      <c r="E427">
        <v>5</v>
      </c>
      <c r="F427" t="s">
        <v>210</v>
      </c>
      <c r="G427" t="s">
        <v>112</v>
      </c>
      <c r="H427" t="s">
        <v>243</v>
      </c>
      <c r="I427" t="s">
        <v>212</v>
      </c>
      <c r="J427" t="s">
        <v>213</v>
      </c>
      <c r="K427" t="s">
        <v>149</v>
      </c>
      <c r="L427" t="s">
        <v>214</v>
      </c>
      <c r="M427" t="s">
        <v>547</v>
      </c>
      <c r="N427" t="s">
        <v>215</v>
      </c>
      <c r="O427" s="57">
        <v>46266.411261574074</v>
      </c>
      <c r="P427" s="57">
        <v>46266.411261574074</v>
      </c>
      <c r="Q427">
        <v>69372675</v>
      </c>
      <c r="T427" t="s">
        <v>934</v>
      </c>
      <c r="V427" t="s">
        <v>935</v>
      </c>
      <c r="Z427">
        <v>116.229</v>
      </c>
      <c r="AA427">
        <v>-8.5942000000000007</v>
      </c>
      <c r="AB427" t="s">
        <v>936</v>
      </c>
      <c r="AC427" t="s">
        <v>236</v>
      </c>
      <c r="AL427" t="s">
        <v>217</v>
      </c>
      <c r="AM427" t="s">
        <v>893</v>
      </c>
      <c r="AN427" t="s">
        <v>6</v>
      </c>
      <c r="AO427" s="57">
        <v>46031.413310185184</v>
      </c>
      <c r="AP427" s="57">
        <v>46256</v>
      </c>
      <c r="AR427" t="s">
        <v>548</v>
      </c>
      <c r="AS427" t="s">
        <v>219</v>
      </c>
      <c r="AT427" t="s">
        <v>230</v>
      </c>
      <c r="AV427" t="s">
        <v>1417</v>
      </c>
      <c r="AW427" t="s">
        <v>884</v>
      </c>
      <c r="AX427" t="s">
        <v>222</v>
      </c>
      <c r="BA427" s="57">
        <v>46256.541666666664</v>
      </c>
      <c r="BB427" t="s">
        <v>893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MATARAM</v>
      </c>
    </row>
    <row r="428" spans="1:61">
      <c r="A428">
        <v>427</v>
      </c>
      <c r="B428">
        <v>1002566826</v>
      </c>
      <c r="C428">
        <v>3</v>
      </c>
      <c r="D428" t="s">
        <v>45</v>
      </c>
      <c r="E428">
        <v>5</v>
      </c>
      <c r="F428" t="s">
        <v>210</v>
      </c>
      <c r="G428" t="s">
        <v>116</v>
      </c>
      <c r="H428" t="s">
        <v>268</v>
      </c>
      <c r="I428" t="s">
        <v>212</v>
      </c>
      <c r="J428" t="s">
        <v>213</v>
      </c>
      <c r="K428" t="s">
        <v>149</v>
      </c>
      <c r="L428" t="s">
        <v>214</v>
      </c>
      <c r="M428" t="s">
        <v>2167</v>
      </c>
      <c r="N428" t="s">
        <v>215</v>
      </c>
      <c r="O428" s="57">
        <v>46267.392326388886</v>
      </c>
      <c r="P428" s="57">
        <v>46268.670347222222</v>
      </c>
      <c r="Q428">
        <v>69382029</v>
      </c>
      <c r="S428">
        <v>172604214267</v>
      </c>
      <c r="T428" t="s">
        <v>1746</v>
      </c>
      <c r="U428" t="s">
        <v>1747</v>
      </c>
      <c r="V428" t="s">
        <v>1748</v>
      </c>
      <c r="Z428">
        <v>116.27456814050601</v>
      </c>
      <c r="AA428">
        <v>-8.2955046325850592</v>
      </c>
      <c r="AB428" t="s">
        <v>1749</v>
      </c>
      <c r="AC428" t="s">
        <v>216</v>
      </c>
      <c r="AL428" t="s">
        <v>217</v>
      </c>
      <c r="AM428" t="s">
        <v>1692</v>
      </c>
      <c r="AN428" t="s">
        <v>6</v>
      </c>
      <c r="AO428" s="57">
        <v>46062.402870370373</v>
      </c>
      <c r="AP428" s="57">
        <v>46268.625</v>
      </c>
      <c r="AR428" t="s">
        <v>2077</v>
      </c>
      <c r="AS428" t="s">
        <v>912</v>
      </c>
      <c r="AT428" t="s">
        <v>230</v>
      </c>
      <c r="AV428" t="s">
        <v>2172</v>
      </c>
      <c r="AW428" t="s">
        <v>887</v>
      </c>
      <c r="AX428" t="s">
        <v>222</v>
      </c>
      <c r="BA428" s="57">
        <v>46268.625</v>
      </c>
      <c r="BB428" t="s">
        <v>1692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SELONG</v>
      </c>
    </row>
    <row r="429" spans="1:61">
      <c r="A429">
        <v>428</v>
      </c>
      <c r="B429">
        <v>1002570297</v>
      </c>
      <c r="C429">
        <v>3</v>
      </c>
      <c r="D429" t="s">
        <v>45</v>
      </c>
      <c r="E429">
        <v>5</v>
      </c>
      <c r="F429" t="s">
        <v>113</v>
      </c>
      <c r="G429" t="s">
        <v>114</v>
      </c>
      <c r="H429" t="s">
        <v>359</v>
      </c>
      <c r="I429" t="s">
        <v>212</v>
      </c>
      <c r="J429" t="s">
        <v>213</v>
      </c>
      <c r="K429" t="s">
        <v>149</v>
      </c>
      <c r="L429" t="s">
        <v>214</v>
      </c>
      <c r="M429" t="s">
        <v>2174</v>
      </c>
      <c r="N429" t="s">
        <v>215</v>
      </c>
      <c r="O429" s="57">
        <v>46268.65898148148</v>
      </c>
      <c r="P429" s="57">
        <v>46268.724965277775</v>
      </c>
      <c r="Q429">
        <v>69383351</v>
      </c>
      <c r="S429">
        <v>172514217061</v>
      </c>
      <c r="T429" t="s">
        <v>3026</v>
      </c>
      <c r="U429" t="s">
        <v>3027</v>
      </c>
      <c r="V429" t="s">
        <v>3028</v>
      </c>
      <c r="Z429">
        <v>120.46593350000001</v>
      </c>
      <c r="AA429">
        <v>-8.6187243000000002</v>
      </c>
      <c r="AB429" t="s">
        <v>3029</v>
      </c>
      <c r="AC429" t="s">
        <v>236</v>
      </c>
      <c r="AL429" t="s">
        <v>217</v>
      </c>
      <c r="AM429" t="s">
        <v>2615</v>
      </c>
      <c r="AN429" t="s">
        <v>6</v>
      </c>
      <c r="AO429" s="57">
        <v>46090.663425925923</v>
      </c>
      <c r="AP429" s="57">
        <v>46269.541666666664</v>
      </c>
      <c r="AQ429" t="s">
        <v>2184</v>
      </c>
      <c r="AR429" t="s">
        <v>2183</v>
      </c>
      <c r="AS429" t="s">
        <v>219</v>
      </c>
      <c r="AT429" t="s">
        <v>230</v>
      </c>
      <c r="AV429" t="s">
        <v>3030</v>
      </c>
      <c r="AW429" t="s">
        <v>3031</v>
      </c>
      <c r="AX429" t="s">
        <v>222</v>
      </c>
      <c r="BA429" s="57">
        <v>46269.541666666664</v>
      </c>
      <c r="BB429" t="s">
        <v>2615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LABOAN BAJO</v>
      </c>
    </row>
    <row r="430" spans="1:61">
      <c r="A430">
        <v>429</v>
      </c>
      <c r="B430">
        <v>1002567928</v>
      </c>
      <c r="C430">
        <v>3</v>
      </c>
      <c r="D430" t="s">
        <v>59</v>
      </c>
      <c r="E430">
        <v>4</v>
      </c>
      <c r="F430" t="s">
        <v>242</v>
      </c>
      <c r="G430" t="s">
        <v>1544</v>
      </c>
      <c r="H430" t="s">
        <v>1545</v>
      </c>
      <c r="I430" t="s">
        <v>212</v>
      </c>
      <c r="J430" t="s">
        <v>213</v>
      </c>
      <c r="K430" t="s">
        <v>149</v>
      </c>
      <c r="L430" t="s">
        <v>214</v>
      </c>
      <c r="M430" t="s">
        <v>2174</v>
      </c>
      <c r="N430" t="s">
        <v>215</v>
      </c>
      <c r="O430" s="57">
        <v>46267.613159722219</v>
      </c>
      <c r="P430" s="57">
        <v>46268.559837962966</v>
      </c>
      <c r="Q430">
        <v>69382428</v>
      </c>
      <c r="S430">
        <v>141373127584</v>
      </c>
      <c r="T430" t="s">
        <v>1546</v>
      </c>
      <c r="U430" t="s">
        <v>1547</v>
      </c>
      <c r="V430" t="s">
        <v>1548</v>
      </c>
      <c r="Z430">
        <v>109.93605700000001</v>
      </c>
      <c r="AA430">
        <v>-7.4980890000000002</v>
      </c>
      <c r="AB430" t="s">
        <v>1549</v>
      </c>
      <c r="AC430" t="s">
        <v>236</v>
      </c>
      <c r="AL430" t="s">
        <v>217</v>
      </c>
      <c r="AM430" t="s">
        <v>1550</v>
      </c>
      <c r="AN430" t="s">
        <v>6</v>
      </c>
      <c r="AO430" s="57">
        <v>46062.621527777781</v>
      </c>
      <c r="AP430" s="57">
        <v>46268.541666666664</v>
      </c>
      <c r="AQ430" t="s">
        <v>2184</v>
      </c>
      <c r="AR430" t="s">
        <v>2183</v>
      </c>
      <c r="AS430" t="s">
        <v>219</v>
      </c>
      <c r="AT430" t="s">
        <v>230</v>
      </c>
      <c r="AV430" t="s">
        <v>3032</v>
      </c>
      <c r="AW430" t="s">
        <v>882</v>
      </c>
      <c r="AX430" t="s">
        <v>222</v>
      </c>
      <c r="BA430" s="57">
        <v>46268.541666666664</v>
      </c>
      <c r="BB430" t="s">
        <v>1550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:61">
      <c r="A431">
        <v>430</v>
      </c>
      <c r="B431">
        <v>1002567420</v>
      </c>
      <c r="C431">
        <v>3</v>
      </c>
      <c r="D431" t="s">
        <v>49</v>
      </c>
      <c r="E431">
        <v>4</v>
      </c>
      <c r="F431" t="s">
        <v>245</v>
      </c>
      <c r="G431" t="s">
        <v>246</v>
      </c>
      <c r="H431" t="s">
        <v>834</v>
      </c>
      <c r="I431" t="s">
        <v>212</v>
      </c>
      <c r="J431" t="s">
        <v>213</v>
      </c>
      <c r="K431" t="s">
        <v>149</v>
      </c>
      <c r="L431" t="s">
        <v>214</v>
      </c>
      <c r="M431" t="s">
        <v>2174</v>
      </c>
      <c r="N431" t="s">
        <v>215</v>
      </c>
      <c r="O431" s="57">
        <v>46267.502743055556</v>
      </c>
      <c r="P431" s="57">
        <v>46268.67224537037</v>
      </c>
      <c r="Q431">
        <v>69382239</v>
      </c>
      <c r="S431">
        <v>142410346466</v>
      </c>
      <c r="T431" t="s">
        <v>1654</v>
      </c>
      <c r="U431" t="s">
        <v>1655</v>
      </c>
      <c r="V431" t="s">
        <v>1656</v>
      </c>
      <c r="Z431">
        <v>110.526506</v>
      </c>
      <c r="AA431">
        <v>-7.0235409999999998</v>
      </c>
      <c r="AB431" t="s">
        <v>1657</v>
      </c>
      <c r="AC431" t="s">
        <v>236</v>
      </c>
      <c r="AL431" t="s">
        <v>217</v>
      </c>
      <c r="AM431" t="s">
        <v>1658</v>
      </c>
      <c r="AN431" t="s">
        <v>6</v>
      </c>
      <c r="AO431" s="57">
        <v>46062.506898148145</v>
      </c>
      <c r="AP431" s="57">
        <v>46268.458333333336</v>
      </c>
      <c r="AQ431" t="s">
        <v>2184</v>
      </c>
      <c r="AR431" t="s">
        <v>2183</v>
      </c>
      <c r="AS431" t="s">
        <v>911</v>
      </c>
      <c r="AT431" t="s">
        <v>230</v>
      </c>
      <c r="AV431" t="s">
        <v>3033</v>
      </c>
      <c r="AW431" t="s">
        <v>882</v>
      </c>
      <c r="AX431" t="s">
        <v>222</v>
      </c>
      <c r="BA431" s="57">
        <v>46268.458333333336</v>
      </c>
      <c r="BB431" t="s">
        <v>1658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:61">
      <c r="A432">
        <v>431</v>
      </c>
      <c r="B432">
        <v>1002566682</v>
      </c>
      <c r="C432">
        <v>3</v>
      </c>
      <c r="D432" t="s">
        <v>34</v>
      </c>
      <c r="E432">
        <v>5</v>
      </c>
      <c r="F432" t="s">
        <v>554</v>
      </c>
      <c r="G432" t="s">
        <v>85</v>
      </c>
      <c r="H432" t="s">
        <v>279</v>
      </c>
      <c r="I432" t="s">
        <v>212</v>
      </c>
      <c r="J432" t="s">
        <v>213</v>
      </c>
      <c r="K432" t="s">
        <v>149</v>
      </c>
      <c r="M432" t="s">
        <v>2174</v>
      </c>
      <c r="N432" t="s">
        <v>215</v>
      </c>
      <c r="O432" s="57">
        <v>46267.360798611109</v>
      </c>
      <c r="P432" s="57">
        <v>46268.67082175926</v>
      </c>
      <c r="Q432">
        <v>69381973</v>
      </c>
      <c r="S432">
        <v>172413244692</v>
      </c>
      <c r="T432" t="s">
        <v>2136</v>
      </c>
      <c r="U432" t="s">
        <v>2137</v>
      </c>
      <c r="V432" t="s">
        <v>2138</v>
      </c>
      <c r="Z432">
        <v>115.1847394</v>
      </c>
      <c r="AA432">
        <v>-8.5033984999999994</v>
      </c>
      <c r="AB432" t="s">
        <v>2139</v>
      </c>
      <c r="AC432" t="s">
        <v>229</v>
      </c>
      <c r="AL432" t="s">
        <v>217</v>
      </c>
      <c r="AM432" t="s">
        <v>2140</v>
      </c>
      <c r="AN432" t="s">
        <v>6</v>
      </c>
      <c r="AO432" s="57">
        <v>46062.371550925927</v>
      </c>
      <c r="AP432" s="57">
        <v>46268.333333333336</v>
      </c>
      <c r="AQ432" t="s">
        <v>2184</v>
      </c>
      <c r="AR432" t="s">
        <v>2183</v>
      </c>
      <c r="AS432" t="s">
        <v>85</v>
      </c>
      <c r="AT432" t="s">
        <v>230</v>
      </c>
      <c r="AV432" t="s">
        <v>3034</v>
      </c>
      <c r="AW432" t="s">
        <v>545</v>
      </c>
      <c r="AX432" t="s">
        <v>222</v>
      </c>
      <c r="BA432" s="57">
        <v>46268.333333333336</v>
      </c>
      <c r="BB432" t="s">
        <v>2140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TABANAN</v>
      </c>
    </row>
    <row r="433" spans="1:61">
      <c r="A433">
        <v>432</v>
      </c>
      <c r="B433">
        <v>1002564623</v>
      </c>
      <c r="C433">
        <v>3</v>
      </c>
      <c r="D433" t="s">
        <v>38</v>
      </c>
      <c r="E433">
        <v>5</v>
      </c>
      <c r="F433" t="s">
        <v>90</v>
      </c>
      <c r="G433" t="s">
        <v>88</v>
      </c>
      <c r="H433" t="s">
        <v>505</v>
      </c>
      <c r="I433" t="s">
        <v>212</v>
      </c>
      <c r="J433" t="s">
        <v>213</v>
      </c>
      <c r="K433" t="s">
        <v>149</v>
      </c>
      <c r="L433" t="s">
        <v>214</v>
      </c>
      <c r="M433" t="s">
        <v>2174</v>
      </c>
      <c r="N433" t="s">
        <v>215</v>
      </c>
      <c r="O433" s="57">
        <v>46266.421481481484</v>
      </c>
      <c r="P433" s="57">
        <v>46268.656574074077</v>
      </c>
      <c r="Q433">
        <v>69381290</v>
      </c>
      <c r="S433">
        <v>152735209558</v>
      </c>
      <c r="T433" t="s">
        <v>1359</v>
      </c>
      <c r="U433" t="s">
        <v>2155</v>
      </c>
      <c r="V433" t="s">
        <v>1360</v>
      </c>
      <c r="Z433">
        <v>112.252102531492</v>
      </c>
      <c r="AA433">
        <v>-8.0182332173502093</v>
      </c>
      <c r="AB433" t="s">
        <v>1361</v>
      </c>
      <c r="AC433" t="s">
        <v>216</v>
      </c>
      <c r="AL433" t="s">
        <v>217</v>
      </c>
      <c r="AM433" t="s">
        <v>2156</v>
      </c>
      <c r="AN433" t="s">
        <v>6</v>
      </c>
      <c r="AO433" s="57">
        <v>46031.423645833333</v>
      </c>
      <c r="AP433" s="57">
        <v>46267.333333333336</v>
      </c>
      <c r="AQ433" t="s">
        <v>2165</v>
      </c>
      <c r="AR433" t="s">
        <v>2183</v>
      </c>
      <c r="AS433" t="s">
        <v>558</v>
      </c>
      <c r="AT433" t="s">
        <v>230</v>
      </c>
      <c r="AV433" t="s">
        <v>3035</v>
      </c>
      <c r="AW433" t="s">
        <v>886</v>
      </c>
      <c r="AX433" t="s">
        <v>222</v>
      </c>
      <c r="BA433" s="57">
        <v>46268.541666666664</v>
      </c>
      <c r="BB433" t="s">
        <v>2156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BLITAR</v>
      </c>
    </row>
    <row r="434" spans="1:61">
      <c r="A434">
        <v>433</v>
      </c>
      <c r="B434">
        <v>1002565696</v>
      </c>
      <c r="C434">
        <v>3</v>
      </c>
      <c r="D434" t="s">
        <v>34</v>
      </c>
      <c r="E434">
        <v>5</v>
      </c>
      <c r="F434" t="s">
        <v>554</v>
      </c>
      <c r="G434" t="s">
        <v>79</v>
      </c>
      <c r="H434" t="s">
        <v>461</v>
      </c>
      <c r="I434" t="s">
        <v>212</v>
      </c>
      <c r="J434" t="s">
        <v>213</v>
      </c>
      <c r="K434" t="s">
        <v>149</v>
      </c>
      <c r="M434" t="s">
        <v>2174</v>
      </c>
      <c r="N434" t="s">
        <v>215</v>
      </c>
      <c r="O434" s="57">
        <v>46266.607731481483</v>
      </c>
      <c r="P434" s="57">
        <v>46268.746238425927</v>
      </c>
      <c r="Q434">
        <v>69381598</v>
      </c>
      <c r="S434">
        <v>172407215197</v>
      </c>
      <c r="T434" t="s">
        <v>1046</v>
      </c>
      <c r="U434" t="s">
        <v>1047</v>
      </c>
      <c r="V434" t="s">
        <v>2159</v>
      </c>
      <c r="Z434">
        <v>115.32357209118</v>
      </c>
      <c r="AA434">
        <v>-8.5396048130261306</v>
      </c>
      <c r="AB434" t="s">
        <v>1048</v>
      </c>
      <c r="AC434" t="s">
        <v>229</v>
      </c>
      <c r="AL434" t="s">
        <v>217</v>
      </c>
      <c r="AM434" t="s">
        <v>2160</v>
      </c>
      <c r="AN434" t="s">
        <v>6</v>
      </c>
      <c r="AO434" s="57">
        <v>46031.611076388886</v>
      </c>
      <c r="AP434" s="57">
        <v>46268.333333333336</v>
      </c>
      <c r="AQ434" t="s">
        <v>2184</v>
      </c>
      <c r="AR434" t="s">
        <v>2183</v>
      </c>
      <c r="AS434" t="s">
        <v>79</v>
      </c>
      <c r="AT434" t="s">
        <v>230</v>
      </c>
      <c r="AV434" t="s">
        <v>3036</v>
      </c>
      <c r="AW434" t="s">
        <v>572</v>
      </c>
      <c r="AX434" t="s">
        <v>222</v>
      </c>
      <c r="BA434" s="57">
        <v>46268.333333333336</v>
      </c>
      <c r="BB434" t="s">
        <v>2160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GIANYAR</v>
      </c>
    </row>
    <row r="435" spans="1:61">
      <c r="O435" s="57"/>
      <c r="P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O436" s="57"/>
      <c r="P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:61">
      <c r="O437" s="57"/>
      <c r="P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:61">
      <c r="O438" s="57"/>
      <c r="P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:61">
      <c r="O439" s="57"/>
      <c r="P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:61">
      <c r="O440" s="57"/>
      <c r="P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:61">
      <c r="O441" s="57"/>
      <c r="P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>
      <c r="O442" s="57"/>
      <c r="P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>
      <c r="O443" s="57"/>
      <c r="P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:6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:61">
      <c r="O445" s="57"/>
      <c r="P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:61">
      <c r="O446" s="57"/>
      <c r="P446" s="57"/>
      <c r="AP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:61">
      <c r="O447" s="57"/>
      <c r="P447" s="57"/>
      <c r="AP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:61">
      <c r="O448" s="57"/>
      <c r="P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>
      <c r="O449" s="57"/>
      <c r="P449" s="57"/>
      <c r="AP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>
      <c r="O450" s="57"/>
      <c r="P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>
      <c r="O451" s="57"/>
      <c r="P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>
      <c r="O452" s="57"/>
      <c r="P452" s="57"/>
      <c r="AP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>
      <c r="O453" s="57"/>
      <c r="P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>
      <c r="O454" s="57"/>
      <c r="P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>
      <c r="O455" s="57"/>
      <c r="P455" s="57"/>
      <c r="AP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>
      <c r="O456" s="57"/>
      <c r="P456" s="57"/>
      <c r="AO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>
      <c r="O457" s="57"/>
      <c r="P457" s="57"/>
      <c r="AO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>
      <c r="O458" s="57"/>
      <c r="P458" s="57"/>
      <c r="AO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>
      <c r="O459" s="57"/>
      <c r="P459" s="57"/>
      <c r="AO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>
      <c r="O460" s="57"/>
      <c r="P460" s="57"/>
      <c r="AO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>
      <c r="O461" s="57"/>
      <c r="P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>
      <c r="O462" s="57"/>
      <c r="P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>
      <c r="O463" s="57"/>
      <c r="P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>
      <c r="O464" s="57"/>
      <c r="P464" s="57"/>
      <c r="AO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>
      <c r="O465" s="57"/>
      <c r="P465" s="57"/>
      <c r="A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>
      <c r="O467" s="57"/>
      <c r="P467" s="57"/>
      <c r="A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>
      <c r="O468" s="57"/>
      <c r="P468" s="57"/>
      <c r="A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>
      <c r="O470" s="57"/>
      <c r="P470" s="57"/>
      <c r="A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>
      <c r="O471" s="57"/>
      <c r="P471" s="57"/>
      <c r="A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>
      <c r="O472" s="57"/>
      <c r="P472" s="57"/>
      <c r="A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>
      <c r="O473" s="57"/>
      <c r="P473" s="57"/>
      <c r="AO473" s="57"/>
      <c r="A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>
      <c r="O474" s="57"/>
      <c r="P474" s="57"/>
      <c r="AO474" s="57"/>
      <c r="A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>
      <c r="O475" s="57"/>
      <c r="P475" s="57"/>
      <c r="AO475" s="57"/>
      <c r="A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>
      <c r="O476" s="57"/>
      <c r="P476" s="57"/>
      <c r="AO476" s="57"/>
      <c r="A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>
      <c r="O477" s="57"/>
      <c r="P477" s="57"/>
      <c r="AO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>
      <c r="O478" s="57"/>
      <c r="P478" s="57"/>
      <c r="AO478" s="57"/>
      <c r="A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>
      <c r="O479" s="57"/>
      <c r="P479" s="57"/>
      <c r="AO479" s="57"/>
      <c r="A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>
      <c r="O480" s="57"/>
      <c r="P480" s="57"/>
      <c r="AO480" s="57"/>
      <c r="A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>
      <c r="O481" s="57"/>
      <c r="P481" s="57"/>
      <c r="AO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>
      <c r="O482" s="57"/>
      <c r="P482" s="57"/>
      <c r="A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>
      <c r="O483" s="57"/>
      <c r="P483" s="57"/>
      <c r="A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>
      <c r="O484" s="57"/>
      <c r="P484" s="57"/>
      <c r="A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>
      <c r="O485" s="57"/>
      <c r="P485" s="57"/>
      <c r="A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>
      <c r="O487" s="57"/>
      <c r="P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>
      <c r="O488" s="57"/>
      <c r="P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>
      <c r="O489" s="57"/>
      <c r="P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>
      <c r="O490" s="57"/>
      <c r="P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>
      <c r="O491" s="57"/>
      <c r="P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>
      <c r="O496" s="57"/>
      <c r="P496" s="57"/>
      <c r="A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>
      <c r="O503" s="57"/>
      <c r="P503" s="57"/>
      <c r="AP503" s="57"/>
      <c r="BA503" s="57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>
      <c r="O504" s="57"/>
      <c r="P504" s="57"/>
      <c r="AP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>
      <c r="O505" s="57"/>
      <c r="P505" s="57"/>
      <c r="AP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>
      <c r="O506" s="57"/>
      <c r="P506" s="57"/>
      <c r="AP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>
      <c r="O507" s="57"/>
      <c r="P507" s="57"/>
      <c r="AP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>
      <c r="O508" s="57"/>
      <c r="P508" s="57"/>
      <c r="A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>
      <c r="O509" s="57"/>
      <c r="P509" s="57"/>
      <c r="A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>
      <c r="O522" s="57"/>
      <c r="P522" s="57"/>
      <c r="A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>
      <c r="O524" s="57"/>
      <c r="P524" s="57"/>
      <c r="A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>
      <c r="O527" s="57"/>
      <c r="P527" s="57"/>
      <c r="A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>
      <c r="O529" s="57"/>
      <c r="P529" s="57"/>
      <c r="A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>
      <c r="O531" s="57"/>
      <c r="P531" s="57"/>
      <c r="A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>
      <c r="O532" s="57"/>
      <c r="P532" s="57"/>
      <c r="AP532" s="57"/>
      <c r="BA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>
      <c r="O534" s="57"/>
      <c r="P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>
      <c r="O535" s="57"/>
      <c r="P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>
      <c r="O536" s="57"/>
      <c r="P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>
      <c r="O537" s="57"/>
      <c r="P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>
      <c r="O538" s="57"/>
      <c r="P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>
      <c r="O543" s="57"/>
      <c r="P543" s="57"/>
      <c r="A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>
      <c r="O544" s="57"/>
      <c r="P544" s="57"/>
      <c r="A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>
      <c r="O546" s="57"/>
      <c r="P546" s="57"/>
      <c r="AP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>
      <c r="O547" s="57"/>
      <c r="P547" s="57"/>
      <c r="AP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>
      <c r="O548" s="57"/>
      <c r="P548" s="57"/>
      <c r="AP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>
      <c r="O549" s="57"/>
      <c r="P549" s="57"/>
      <c r="AP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>
      <c r="O550" s="57"/>
      <c r="P550" s="57"/>
      <c r="AP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>
      <c r="O551" s="57"/>
      <c r="P551" s="57"/>
      <c r="A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>
      <c r="O553" s="57"/>
      <c r="P553" s="57"/>
      <c r="A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>
      <c r="O554" s="57"/>
      <c r="P554" s="57"/>
      <c r="A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>
      <c r="O555" s="57"/>
      <c r="P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>
      <c r="O556" s="57"/>
      <c r="P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>
      <c r="O557" s="57"/>
      <c r="P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>
      <c r="O558" s="57"/>
      <c r="P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>
      <c r="O559" s="57"/>
      <c r="P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>
      <c r="O560" s="57"/>
      <c r="P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>
      <c r="O561" s="57"/>
      <c r="P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>
      <c r="O562" s="57"/>
      <c r="P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>
      <c r="O563" s="57"/>
      <c r="P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>
      <c r="O564" s="57"/>
      <c r="P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>
      <c r="O565" s="57"/>
      <c r="P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>
      <c r="O567" s="57"/>
      <c r="P567" s="57"/>
      <c r="A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>
      <c r="O571" s="57"/>
      <c r="P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>
      <c r="O572" s="57"/>
      <c r="P572" s="57"/>
      <c r="A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>
      <c r="O573" s="57"/>
      <c r="P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>
      <c r="O574" s="57"/>
      <c r="P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>
      <c r="O575" s="57"/>
      <c r="P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>
      <c r="O576" s="57"/>
      <c r="P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>
      <c r="O577" s="57"/>
      <c r="P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A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P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P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A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A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O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O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AO633" s="57"/>
      <c r="A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O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O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AO636" s="57"/>
      <c r="A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O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O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AO640" s="57"/>
      <c r="A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P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P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A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O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A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AP663" s="57"/>
      <c r="BA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A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P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A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A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A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P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A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A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A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A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O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P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P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P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P720" s="57"/>
      <c r="BA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P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A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P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P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P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A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A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BA812" s="57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AP813" s="57"/>
      <c r="BA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AP821" s="57"/>
      <c r="BA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P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P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A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A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A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A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AP846" s="57"/>
      <c r="BA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A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A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AP888" s="57"/>
      <c r="BA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P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A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A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A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P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P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P934" s="57"/>
      <c r="BA934" s="57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P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P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P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A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P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A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A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P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P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P1056" s="57"/>
      <c r="BA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P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A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P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A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A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P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sortState xmlns:xlrd2="http://schemas.microsoft.com/office/spreadsheetml/2017/richdata2" ref="A2:BI5978">
      <sortCondition descending="1" ref="BC1:BC5978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2026-09-04T04:08:17Z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
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CD7C3619-1787-482B-92D1-11ABEB85C5AA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</workbook>
</file>

<file path=xl/calcChain.xml><?xml version="1.0" encoding="utf-8"?>
<calcChain xmlns="http://schemas.openxmlformats.org/spreadsheetml/2006/main">
  <c r="G20" i="8" l="1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C2" i="15"/>
  <c r="C2" i="17" s="1"/>
  <c r="C1" i="15"/>
  <c r="G19" i="8"/>
  <c r="G6" i="8"/>
  <c r="G7" i="8"/>
  <c r="G8" i="8"/>
  <c r="G9" i="8"/>
  <c r="G10" i="8"/>
  <c r="G5" i="8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G206" i="7" s="1"/>
  <c r="BH206" i="7" s="1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S65" i="15" l="1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<sst xmlns="http://schemas.openxmlformats.org/spreadsheetml/2006/main" count="10350" uniqueCount="2221">
  <si>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</si>
  <si>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</si>
  <si>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</si>
  <si>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</si>
  <si>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</si>
  <si>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</si>
  <si>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</si>
  <si>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</si>
  <si>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</si>
  <si>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</si>
  <si>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</si>
  <si>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</si>
  <si>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</si>
  <si>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</si>
  <si>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</si>
  <si>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</si>
  <si>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</si>
  <si>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</si>
  <si>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</si>
  <si>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</si>
  <si>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</si>
  <si>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</si>
  <si>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</si>
  <si>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</si>
  <si>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</si>
  <si>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</si>
  <si>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</si>
  <si>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</si>
  <si>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</si>
  <si>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</si>
  <si>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</si>
  <si>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</si>
  <si>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</si>
  <si>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</si>
  <si>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</si>
  <si>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</si>
  <si>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</si>
  <si>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</si>
  <si>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</si>
  <si>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</si>
  <si>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</si>
  <si>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</si>
  <si>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</si>
  <si>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</si>
  <si>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</si>
  <si>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</si>
  <si>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</si>
  <si>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</si>
  <si>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</si>
  <si>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</si>
  <si>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</si>
  <si>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</si>
  <si>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</si>
  <si>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</si>
  <si>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</si>
  <si>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</si>
  <si>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</si>
  <si>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</si>
  <si>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</si>
  <si>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</si>
  <si>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</si>
  <si>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</si>
  <si>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</si>
  <si>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</si>
  <si>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</si>
  <si>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</si>
  <si>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</si>
  <si>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</si>
  <si>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</si>
  <si>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</si>
  <si>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</si>
  <si>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</si>
  <si>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</si>
  <si>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</si>
  <si>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</si>
  <si>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</si>
  <si>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</si>
  <si>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</si>
  <si>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</si>
  <si>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</si>
  <si>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</si>
  <si>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</si>
  <si>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</si>
  <si>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</si>
  <si>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</si>
  <si>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</si>
  <si>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</si>
  <si>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</si>
  <si>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</si>
  <si>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</si>
  <si>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</si>
  <si>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</si>
  <si>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</si>
  <si>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</si>
  <si>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</si>
  <si>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</si>
  <si>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</si>
  <si>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</si>
  <si>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</si>
  <si>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</si>
  <si>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</si>
  <si>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</si>
  <si>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</si>
  <si>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</si>
  <si>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</si>
  <si>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</si>
  <si>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</si>
  <si>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</si>
  <si>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</si>
  <si>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</si>
  <si>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</si>
  <si>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</si>
  <si>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</si>
  <si>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</si>
  <si>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</si>
  <si>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</si>
  <si>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</si>
  <si>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</si>
  <si>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</si>
  <si>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</si>
  <si>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</si>
  <si>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</si>
  <si>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</si>
  <si>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</si>
  <si>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</si>
  <si>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</si>
  <si>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</si>
  <si>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</si>
  <si>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</si>
  <si>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</si>
  <si>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</si>
  <si>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</si>
  <si>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</si>
  <si>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</si>
  <si>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</si>
  <si>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</si>
  <si>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</si>
  <si>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</si>
  <si>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</si>
  <si>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</si>
  <si>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</si>
  <si>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</si>
  <si>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</si>
  <si>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</si>
  <si>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</si>
  <si>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</si>
  <si>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</si>
  <si>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</si>
  <si>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</si>
  <si>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</si>
  <si>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</si>
  <si>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</si>
  <si>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</si>
  <si>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</si>
  <si>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</si>
  <si>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</si>
  <si>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</si>
  <si>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</si>
  <si>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</si>
  <si>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</si>
  <si>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</si>
  <si>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</si>
  <si>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</si>
  <si>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</si>
  <si>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</si>
  <si>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</si>
  <si>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</si>
  <si>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</si>
  <si>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</si>
  <si>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</si>
  <si>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</si>
  <si>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</si>
  <si>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</si>
  <si>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</si>
  <si>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</si>
  <si>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</si>
  <si>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</si>
  <si>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</si>
  <si>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</si>
  <si>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</si>
  <si>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</si>
  <si>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</si>
  <si>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</si>
  <si>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</si>
  <si>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</si>
  <si>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</si>
  <si>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</si>
  <si>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</si>
  <si>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</si>
  <si>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</si>
  <si>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</si>
  <si>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</si>
  <si>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</si>
  <si>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</si>
  <si>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</si>
  <si>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</si>
  <si>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</si>
  <si>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</si>
  <si>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</si>
  <si>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</si>
  <si>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</si>
  <si>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</si>
  <si>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</si>
  <si>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</si>
  <si>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</si>
  <si>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</si>
  <si>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</si>
  <si>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</si>
  <si>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</si>
  <si>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</si>
  <si>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</si>
  <si>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</si>
  <si>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</si>
  <si>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</si>
  <si>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</si>
  <si>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</si>
  <si>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</si>
  <si>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</si>
  <si>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</si>
  <si>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</si>
  <si>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</si>
  <si>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</si>
  <si>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</si>
  <si>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</si>
  <si>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</si>
  <si>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</si>
  <si>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</si>
  <si>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</si>
  <si>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</si>
  <si>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</si>
  <si>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</si>
  <si>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</si>
  <si>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</si>
  <si>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</si>
  <si>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</si>
  <si>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</si>
  <si>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</si>
  <si>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</si>
  <si>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</si>
  <si>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</si>
  <si>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</si>
  <si>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</si>
  <si>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</si>
  <si>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</si>
  <si>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</si>
  <si>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</si>
  <si>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</si>
  <si>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</si>
  <si>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</si>
  <si>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</si>
  <si>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</si>
  <si>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</si>
  <si>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</si>
  <si>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</si>
  <si>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</si>
  <si>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</si>
  <si>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</si>
  <si>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</si>
  <si>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</si>
  <si>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</si>
  <si>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</si>
  <si>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</si>
  <si>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</si>
  <si>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</si>
  <si>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</si>
  <si>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</si>
  <si>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</si>
  <si>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</si>
  <si>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</si>
  <si>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</si>
  <si>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</si>
  <si>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</si>
  <si>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</si>
  <si>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</si>
  <si>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</si>
  <si>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</si>
  <si>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</si>
  <si>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</si>
  <si>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</si>
  <si>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</si>
  <si>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</si>
  <si>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</si>
  <si>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</si>
  <si>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</si>
  <si>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</si>
  <si>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</si>
  <si>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</si>
  <si>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</si>
  <si>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</si>
  <si>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</si>
  <si>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</si>
  <si>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</si>
  <si>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</si>
  <si>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</si>
  <si>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</si>
  <si>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</si>
  <si>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</si>
  <si>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</si>
  <si>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</si>
  <si>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</si>
  <si>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</si>
  <si>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</si>
  <si>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</si>
  <si>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</si>
  <si>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</si>
  <si>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</si>
  <si>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</si>
  <si>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</si>
  <si>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</si>
  <si>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</si>
  <si>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</si>
  <si>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</si>
  <si>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</si>
  <si>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</si>
  <si>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</si>
  <si>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</si>
  <si>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</si>
  <si>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</si>
  <si>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</si>
  <si>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</si>
  <si>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</si>
  <si>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</si>
  <si>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</si>
  <si>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</si>
  <si>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</si>
  <si>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</si>
  <si>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</si>
  <si>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</si>
  <si>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</si>
  <si>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</si>
  <si>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</si>
  <si>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</si>
  <si>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</si>
  <si>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</si>
  <si>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</si>
  <si>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</si>
  <si>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</si>
  <si>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</si>
  <si>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</si>
  <si>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</si>
  <si>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</si>
  <si>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</si>
  <si>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</si>
  <si>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</si>
  <si>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</si>
  <si>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</si>
  <si>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</si>
  <si>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</si>
  <si>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</si>
  <si>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</si>
  <si>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</si>
  <si>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</si>
  <si>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</si>
  <si>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</si>
  <si>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</si>
  <si>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</si>
  <si>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</si>
  <si>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</si>
  <si>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</si>
  <si>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</si>
  <si>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</si>
  <si>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</si>
  <si>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</si>
  <si>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</si>
  <si>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</si>
  <si>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</si>
  <si>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</si>
  <si>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</si>
  <si>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</si>
  <si>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</si>
  <si>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</si>
  <si>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</si>
  <si>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</si>
  <si>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</si>
  <si>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</si>
  <si>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</si>
  <si>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</si>
  <si>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</si>
  <si>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</si>
  <si>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</si>
  <si>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</si>
  <si>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</si>
  <si>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</si>
  <si>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</si>
  <si>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</si>
  <si>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</si>
  <si>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</si>
  <si>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</si>
  <si>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</si>
  <si>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</si>
  <si>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</si>
  <si>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</si>
  <si>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</si>
  <si>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</si>
  <si>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</si>
  <si>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</si>
  <si>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</si>
  <si>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</si>
  <si>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</si>
  <si>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</si>
  <si>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</si>
  <si>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</si>
  <si>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</si>
  <si>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</si>
  <si>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</si>
  <si>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</si>
  <si>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</si>
  <si>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</si>
  <si>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</si>
  <si>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</si>
  <si>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</si>
  <si>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</si>
  <si>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</si>
  <si>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</si>
  <si>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</si>
  <si>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</si>
  <si>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</si>
  <si>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</si>
  <si>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</si>
  <si>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</si>
  <si>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</si>
  <si>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</si>
  <si>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</si>
  <si>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</si>
  <si>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</si>
  <si>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</si>
  <si>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</si>
  <si>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</si>
  <si>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</si>
  <si>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</si>
  <si>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</si>
  <si>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</si>
  <si>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</si>
  <si>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</si>
  <si>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</si>
  <si>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</si>
  <si>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</si>
  <si>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</si>
  <si>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</si>
  <si>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</si>
  <si>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</si>
  <si>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</si>
  <si>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</si>
  <si>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</si>
  <si>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</si>
  <si>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</si>
  <si>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</si>
  <si>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</si>
  <si>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</si>
  <si>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</si>
  <si>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</si>
  <si>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</si>
  <si>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</si>
  <si>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</si>
  <si>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</si>
  <si>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</si>
  <si>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</si>
  <si>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</si>
  <si>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</si>
  <si>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</si>
  <si>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</si>
  <si>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</si>
  <si>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</si>
  <si>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</si>
  <si>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</si>
  <si>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</si>
  <si>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</si>
  <si>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</si>
  <si>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</si>
  <si>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</si>
  <si>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</si>
  <si>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</si>
  <si>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</si>
  <si>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</si>
  <si>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</si>
  <si>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</si>
  <si>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</si>
  <si>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</si>
  <si>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</si>
  <si>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</si>
  <si>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</si>
  <si>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</si>
  <si>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</si>
  <si>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</si>
  <si>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</si>
  <si>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</si>
  <si>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</si>
  <si>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</si>
  <si>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</si>
  <si>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</si>
  <si>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</si>
  <si>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</si>
  <si>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</si>
  <si>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</si>
  <si>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</si>
  <si>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</si>
  <si>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</si>
  <si>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</si>
  <si>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</si>
  <si>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</si>
  <si>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</si>
  <si>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</si>
  <si>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</si>
  <si>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</si>
  <si>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</si>
  <si>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</si>
  <si>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</si>
  <si>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</si>
  <si>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</si>
  <si>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</si>
  <si>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</si>
  <si>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</si>
  <si>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</si>
  <si>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</si>
  <si>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</si>
  <si>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</si>
  <si>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</si>
  <si>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</si>
  <si>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</si>
  <si>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</si>
  <si>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</si>
  <si>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</si>
  <si>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</si>
  <si>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</si>
  <si>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</si>
  <si>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</si>
  <si>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</si>
  <si>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</si>
  <si>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</si>
  <si>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</si>
  <si>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</si>
  <si>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</si>
  <si>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</si>
  <si>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</si>
  <si>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</si>
  <si>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</si>
  <si>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</si>
  <si>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</si>
  <si>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</si>
  <si>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</si>
  <si>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</si>
  <si>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</si>
  <si>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</si>
  <si>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</si>
  <si>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</si>
  <si>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</si>
  <si>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</si>
  <si>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</si>
  <si>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</si>
  <si>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</si>
  <si>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</si>
  <si>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</si>
  <si>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</si>
  <si>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</si>
  <si>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</si>
  <si>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</si>
  <si>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</si>
  <si>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</si>
  <si>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</si>
  <si>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</si>
  <si>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</si>
  <si>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</si>
  <si>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</si>
  <si>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</si>
  <si>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</si>
  <si>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</si>
  <si>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</si>
  <si>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</si>
  <si>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</si>
  <si>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</si>
  <si>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</si>
  <si>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</si>
  <si>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</si>
  <si>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</si>
  <si>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</si>
  <si>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</si>
  <si>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</si>
  <si>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</si>
  <si>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</si>
  <si>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</si>
  <si>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</si>
  <si>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</si>
  <si>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</si>
  <si>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</si>
  <si>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</si>
  <si>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</si>
  <si>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</si>
  <si>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</si>
  <si>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</si>
  <si>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</si>
  <si>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</si>
  <si>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</si>
  <si>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</si>
  <si>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</si>
  <si>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</si>
  <si>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</si>
  <si>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</si>
  <si>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</si>
  <si>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</si>
  <si>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</si>
  <si>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</si>
  <si>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</si>
  <si>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</si>
  <si>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</si>
  <si>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</si>
  <si>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</si>
  <si>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</si>
  <si>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</si>
  <si>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</si>
  <si>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</si>
  <si>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</si>
  <si>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</si>
  <si>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</si>
  <si>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</si>
  <si>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</si>
  <si>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</si>
  <si>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</si>
  <si>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</si>
  <si>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</si>
  <si>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</si>
  <si>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</si>
  <si>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</si>
  <si>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</si>
  <si>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</si>
  <si>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</si>
  <si>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</si>
  <si>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</si>
  <si>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</si>
  <si>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</si>
  <si>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</si>
  <si>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</si>
  <si>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</si>
  <si>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</si>
  <si>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</si>
  <si>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</si>
  <si>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</si>
  <si>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</si>
  <si>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</si>
  <si>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</si>
  <si>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</si>
  <si>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</si>
  <si>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</si>
  <si>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</si>
  <si>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</si>
  <si>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</si>
  <si>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</si>
  <si>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</si>
  <si>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</si>
  <si>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</si>
  <si>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</si>
  <si>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</si>
  <si>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</si>
  <si>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</si>
  <si>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</si>
  <si>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</si>
  <si>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</si>
  <si>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</si>
  <si>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</si>
  <si>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</si>
  <si>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</si>
  <si>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</si>
  <si>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</si>
  <si>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</si>
  <si>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</si>
  <si>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</si>
  <si>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</si>
  <si>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</si>
  <si>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</si>
  <si>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</si>
  <si>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</si>
  <si>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</si>
  <si>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</si>
  <si>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</si>
  <si>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</si>
  <si>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</si>
  <si>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</si>
  <si>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</si>
  <si>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</si>
  <si>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</si>
  <si>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</si>
  <si>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</si>
  <si>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</si>
  <si>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</si>
  <si>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</si>
  <si>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</si>
  <si>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</si>
  <si>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</si>
  <si>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</si>
  <si>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</si>
  <si>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</si>
  <si>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</si>
  <si>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</si>
  <si>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</si>
  <si>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</si>
  <si>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</si>
  <si>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</si>
  <si>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</si>
  <si>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</si>
  <si>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</si>
  <si>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</si>
  <si>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</si>
  <si>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</si>
  <si>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</si>
  <si>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</si>
  <si>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</si>
  <si>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</si>
  <si>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</si>
  <si>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</si>
  <si>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</si>
  <si>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</si>
  <si>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</si>
  <si>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</si>
  <si>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</si>
  <si>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</si>
  <si>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</si>
  <si>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</si>
  <si>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</si>
  <si>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</si>
  <si>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</si>
  <si>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</si>
  <si>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</si>
  <si>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</si>
  <si>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</si>
  <si>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</si>
  <si>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</si>
  <si>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</si>
  <si>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</si>
  <si>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</si>
  <si>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</si>
  <si>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</si>
  <si>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</si>
  <si>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</si>
  <si>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</si>
  <si>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</si>
  <si>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</si>
  <si>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</si>
  <si>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</si>
  <si>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</si>
  <si>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</si>
  <si>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</si>
  <si>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</si>
  <si>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</si>
  <si>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</si>
  <si>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</si>
  <si>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</si>
  <si>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</si>
  <si>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</si>
  <si>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</si>
  <si>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</si>
  <si>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</si>
  <si>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</si>
  <si>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</si>
  <si>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</si>
  <si>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</si>
  <si>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</si>
  <si>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</si>
  <si>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</si>
  <si>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</si>
  <si>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</si>
  <si>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</si>
  <si>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</si>
  <si>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</si>
  <si>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</si>
  <si>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</si>
  <si>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</si>
  <si>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</si>
  <si>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</si>
  <si>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</si>
  <si>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</si>
  <si>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</si>
  <si>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</si>
  <si>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</si>
  <si>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</si>
  <si>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</si>
  <si>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</si>
  <si>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</si>
  <si>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</si>
  <si>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</si>
  <si>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</si>
  <si>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</si>
  <si>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</si>
  <si>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</si>
  <si>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</si>
  <si>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</si>
  <si>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</si>
  <si>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</si>
  <si>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</si>
  <si>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</si>
  <si>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</si>
  <si>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</si>
  <si>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</si>
  <si>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</si>
  <si>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</si>
  <si>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</si>
  <si>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</si>
  <si>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</si>
  <si>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</si>
  <si>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</si>
  <si>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</si>
  <si>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</si>
  <si>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</si>
  <si>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</si>
  <si>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</si>
  <si>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</si>
  <si>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</si>
  <si>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</si>
  <si>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</si>
  <si>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</si>
  <si>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</si>
  <si>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</si>
  <si>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</si>
  <si>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</si>
  <si>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</si>
  <si>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</si>
  <si>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</si>
  <si>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</si>
  <si>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</si>
  <si>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</si>
  <si>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</si>
  <si>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</si>
  <si>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</si>
  <si>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</si>
  <si>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</si>
  <si>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</si>
  <si>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</si>
  <si>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</si>
  <si>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</si>
  <si>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</si>
  <si>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</si>
  <si>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</si>
  <si>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</si>
  <si>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</si>
  <si>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</si>
  <si>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</si>
  <si>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</si>
  <si>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</si>
  <si>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</si>
  <si>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</si>
  <si>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</si>
  <si>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</si>
  <si>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</si>
  <si>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</si>
  <si>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FCC - HD1A - INPROGRESS FOLLOW UP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</si>
  <si>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</si>
  <si>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</si>
  <si>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</si>
  <si>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</si>
  <si>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</si>
  <si>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</si>
  <si>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</si>
  <si>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</si>
  <si>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</si>
  <si>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</si>
  <si>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</si>
  <si>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</si>
  <si>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</si>
  <si>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</si>
  <si>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</si>
  <si>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</si>
  <si>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</si>
  <si>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</si>
  <si>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</si>
  <si>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</si>
  <si>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</si>
  <si>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</si>
  <si>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</si>
  <si>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</si>
  <si>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</si>
  <si>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</si>
  <si>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</si>
  <si>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</si>
  <si>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</si>
  <si>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</si>
  <si>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</si>
  <si>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</si>
  <si>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</si>
  <si>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</si>
  <si>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</si>
  <si>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</si>
  <si>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</si>
  <si>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</si>
  <si>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</si>
  <si>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</si>
  <si>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</si>
  <si>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</si>
  <si>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</si>
  <si>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</si>
  <si>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</si>
  <si>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</si>
  <si>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</si>
  <si>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</si>
  <si>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</si>
  <si>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</si>
  <si>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</si>
  <si>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</si>
  <si>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</si>
  <si>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</si>
  <si>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</si>
  <si>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</si>
  <si>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</si>
  <si>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</si>
  <si>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</si>
  <si>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</si>
  <si>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</si>
  <si>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</si>
  <si>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</si>
  <si>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</si>
  <si>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</si>
  <si>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</si>
  <si>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</si>
  <si>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</si>
  <si>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</si>
  <si>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</si>
  <si>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</si>
  <si>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</si>
  <si>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</si>
  <si>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</si>
  <si>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</si>
  <si>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</si>
  <si>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</si>
  <si>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</si>
  <si>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</si>
  <si>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</si>
  <si>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</si>
  <si>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</si>
  <si>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</si>
  <si>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</si>
  <si>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</si>
  <si>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</si>
  <si>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</si>
  <si>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</si>
  <si>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</si>
  <si>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</si>
  <si>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</si>
  <si>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</si>
  <si>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</si>
  <si>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</si>
  <si>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</si>
  <si>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</si>
  <si>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</si>
  <si>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</si>
  <si>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</si>
  <si>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</si>
  <si>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</si>
  <si>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</si>
  <si>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</si>
  <si>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</si>
  <si>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</si>
  <si>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</si>
  <si>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</si>
  <si>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</si>
  <si>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</si>
  <si>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</si>
  <si>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</si>
  <si>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</si>
  <si>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</si>
  <si>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</si>
  <si>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</si>
  <si>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</si>
  <si>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</si>
  <si>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</si>
  <si>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</si>
  <si>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</si>
  <si>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</si>
  <si>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</si>
  <si>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</si>
  <si>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</si>
  <si>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</si>
  <si>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</si>
  <si>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</si>
  <si>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</si>
  <si>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</si>
  <si>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</si>
  <si>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</si>
  <si>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</si>
  <si>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</si>
  <si>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</si>
  <si>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</si>
  <si>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</si>
  <si>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</si>
  <si>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</si>
  <si>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</si>
  <si>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</si>
  <si>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</si>
  <si>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</si>
  <si>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</si>
  <si>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</si>
  <si>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</si>
  <si>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</si>
  <si>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</si>
  <si>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</si>
  <si>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</si>
  <si>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</si>
  <si>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</si>
  <si>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</si>
  <si>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</si>
  <si>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</si>
  <si>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</si>
  <si>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</si>
  <si>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</si>
  <si>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</si>
  <si>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</si>
  <si>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</si>
  <si>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</si>
  <si>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</si>
  <si>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</si>
  <si>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</si>
  <si>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</si>
  <si>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</si>
  <si>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</si>
  <si>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</si>
  <si>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</si>
  <si>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</si>
  <si>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</si>
  <si>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</si>
  <si>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</si>
  <si>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</si>
  <si>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</si>
  <si>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</si>
  <si>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</si>
  <si>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</si>
  <si>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</si>
  <si>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</si>
  <si>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</si>
  <si>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</si>
  <si>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</si>
  <si>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</si>
  <si>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</si>
  <si>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</si>
  <si>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</si>
  <si>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</si>
  <si>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</si>
  <si>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</si>
  <si>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</si>
  <si>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</si>
  <si>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</si>
  <si>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</si>
  <si>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</si>
  <si>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</si>
  <si>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</si>
  <si>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</si>
  <si>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</si>
  <si>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</si>
  <si>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</si>
  <si>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</si>
  <si>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</si>
  <si>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</si>
  <si>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</si>
  <si>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</si>
  <si>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</si>
  <si>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</si>
  <si>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FOLLOW UP : Follow Up NENG PUTRI MEILINDA PERMATASARI 40981184|MYDITA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</si>
  <si>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</si>
  <si>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</si>
  <si>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</si>
  <si>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</si>
  <si>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</si>
  <si>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</si>
  <si>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</si>
  <si>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</si>
  <si>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</si>
  <si>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</si>
  <si>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</si>
  <si>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</si>
  <si>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</si>
  <si>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</si>
  <si>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</si>
  <si>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</si>
  <si>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ODP-BJR-FAA/012 FAA/D02/012.01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</si>
  <si>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</si>
  <si>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</si>
  <si>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</si>
  <si>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</si>
  <si>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</si>
  <si>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</si>
  <si>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</si>
  <si>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</si>
  <si>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</si>
  <si>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</si>
  <si>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</si>
  <si>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</si>
  <si>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</si>
  <si>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</si>
  <si>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</si>
  <si>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</si>
  <si>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</si>
  <si>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</si>
  <si>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</si>
  <si>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</si>
  <si>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</si>
  <si>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</si>
  <si>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</si>
  <si>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</si>
  <si>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</si>
  <si>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</si>
  <si>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</si>
  <si>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</si>
  <si>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</si>
  <si>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</si>
  <si>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</si>
  <si>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</si>
  <si>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</si>
  <si>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</si>
  <si>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</si>
  <si>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</si>
  <si>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</si>
  <si>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</si>
  <si>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</si>
  <si>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</si>
  <si>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</si>
  <si>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</si>
  <si>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</si>
  <si>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</si>
  <si>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</si>
  <si>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</si>
  <si>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</si>
  <si>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</si>
  <si>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</si>
  <si>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</si>
  <si>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</si>
  <si>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</si>
  <si>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</si>
  <si>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</si>
  <si>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</si>
  <si>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</si>
  <si>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</si>
  <si>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</si>
  <si>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</si>
  <si>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</si>
  <si>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</si>
  <si>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</si>
  <si>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</si>
  <si>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</si>
  <si>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</si>
  <si>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</si>
  <si>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</si>
  <si>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</si>
  <si>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</si>
  <si>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</si>
  <si>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</si>
  <si>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</si>
  <si>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</si>
  <si>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</si>
  <si>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</si>
  <si>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</si>
  <si>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</si>
  <si>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</si>
  <si>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</si>
  <si>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</si>
  <si>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</si>
  <si>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</si>
  <si>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</si>
  <si>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</si>
  <si>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</si>
  <si>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</si>
  <si>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</si>
  <si>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</si>
  <si>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</si>
  <si>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</si>
  <si>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</si>
  <si>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</si>
  <si>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</si>
  <si>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</si>
  <si>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</si>
  <si>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</si>
  <si>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</si>
  <si>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</si>
  <si>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</si>
  <si>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</si>
  <si>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</si>
  <si>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</si>
  <si>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</si>
  <si>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</si>
  <si>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</si>
  <si>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</si>
  <si>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</si>
  <si>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</si>
  <si>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</si>
  <si>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</si>
  <si>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</si>
  <si>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</si>
  <si>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</si>
  <si>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</si>
  <si>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</si>
  <si>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</si>
  <si>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</si>
  <si>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</si>
  <si>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</si>
  <si>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</si>
  <si>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</si>
  <si>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</si>
  <si>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</si>
  <si>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</si>
  <si>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</si>
  <si>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</si>
  <si>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</si>
  <si>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</si>
  <si>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</si>
  <si>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</si>
  <si>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</si>
  <si>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</si>
  <si>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</si>
  <si>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</si>
  <si>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</si>
  <si>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</si>
  <si>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</si>
  <si>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</si>
  <si>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</si>
  <si>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</si>
  <si>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</si>
  <si>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</si>
  <si>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</si>
  <si>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</si>
  <si>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</si>
  <si>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</si>
  <si>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</si>
  <si>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</si>
  <si>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</si>
  <si>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</si>
  <si>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</si>
  <si>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</si>
  <si>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</si>
  <si>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</si>
  <si>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</si>
  <si>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</si>
  <si>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</si>
  <si>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</si>
  <si>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</si>
  <si>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</si>
  <si>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</si>
  <si>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</si>
  <si>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</si>
  <si>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</si>
  <si>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</si>
  <si>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</si>
  <si>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</si>
  <si>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</si>
  <si>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</si>
  <si>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</si>
  <si>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</si>
  <si>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</si>
  <si>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</si>
  <si>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</si>
  <si>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</si>
  <si>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</si>
  <si>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</si>
  <si>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</si>
  <si>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</si>
  <si>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</si>
  <si>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</si>
  <si>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</si>
  <si>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</si>
  <si>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</si>
  <si>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</si>
  <si>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</si>
  <si>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</si>
  <si>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</si>
  <si>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</si>
  <si>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</si>
  <si>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</si>
  <si>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</si>
  <si>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</si>
  <si>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</si>
  <si>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</si>
  <si>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</si>
  <si>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</si>
  <si>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</si>
  <si>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</si>
  <si>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</si>
  <si>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</si>
  <si>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</si>
  <si>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</si>
  <si>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</si>
  <si>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</si>
  <si>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</si>
  <si>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</si>
  <si>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</si>
  <si>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</si>
  <si>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</si>
  <si>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</si>
  <si>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</si>
  <si>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</si>
  <si>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</si>
  <si>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</si>
  <si>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</si>
  <si>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</si>
  <si>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</si>
  <si>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</si>
  <si>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</si>
  <si>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</si>
  <si>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</si>
  <si>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</si>
  <si>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</si>
  <si>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</si>
  <si>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</si>
  <si>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</si>
  <si>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</si>
  <si>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</si>
  <si>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</si>
  <si>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</si>
  <si>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</si>
  <si>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</si>
  <si>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</si>
  <si>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</si>
  <si>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</si>
  <si>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</si>
  <si>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</si>
  <si>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</si>
  <si>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</si>
  <si>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</si>
  <si>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</si>
  <si>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</si>
  <si>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</si>
  <si>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</si>
  <si>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</si>
  <si>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</si>
  <si>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</si>
  <si>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</si>
  <si>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ODP-GER-FAP/41 FAP/D04/41.01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</si>
  <si>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</si>
  <si>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</si>
  <si>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</si>
  <si>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</si>
  <si>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</si>
  <si>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</si>
  <si>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</si>
  <si>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</si>
  <si>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</si>
  <si>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</si>
  <si>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</si>
  <si>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</si>
  <si>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</si>
  <si>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</si>
  <si>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</si>
  <si>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</si>
  <si>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</si>
  <si>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</si>
  <si>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</si>
  <si>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</si>
  <si>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</si>
  <si>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</si>
  <si>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</si>
  <si>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</si>
  <si>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</si>
  <si>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</si>
  <si>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</si>
  <si>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</si>
  <si>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</si>
  <si>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</si>
  <si>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</si>
  <si>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</si>
  <si>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</si>
  <si>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</si>
  <si>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</si>
  <si>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</si>
  <si>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</si>
  <si>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</si>
  <si>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</si>
  <si>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</si>
  <si>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</si>
  <si>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</si>
  <si>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</si>
  <si>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</si>
  <si>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</si>
  <si>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</si>
  <si>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</si>
  <si>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</si>
  <si>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</si>
  <si>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</si>
  <si>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</si>
  <si>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</si>
  <si>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</si>
  <si>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</si>
  <si>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</si>
  <si>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</si>
  <si>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</si>
  <si>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</si>
  <si>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</si>
  <si>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</si>
  <si>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</si>
  <si>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</si>
  <si>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</si>
  <si>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</si>
  <si>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</si>
  <si>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</si>
  <si>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</si>
  <si>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</si>
  <si>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</si>
  <si>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</si>
  <si>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</si>
  <si>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</si>
  <si>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</si>
  <si>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</si>
  <si>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</si>
  <si>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</si>
  <si>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</si>
  <si>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</si>
  <si>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</si>
  <si>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</si>
  <si>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</si>
  <si>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</si>
  <si>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</si>
  <si>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</si>
  <si>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</si>
  <si>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</si>
  <si>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</si>
  <si>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</si>
  <si>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</si>
  <si>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</si>
  <si>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</si>
  <si>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</si>
  <si>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</si>
  <si>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</si>
  <si>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</si>
  <si>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</si>
  <si>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</si>
  <si>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</si>
  <si>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</si>
  <si>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</si>
  <si>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</si>
  <si>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</si>
  <si>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</si>
  <si>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</si>
  <si>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</si>
  <si>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</si>
  <si>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</si>
  <si>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</si>
  <si>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</si>
  <si>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</si>
  <si>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</si>
  <si>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</si>
  <si>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</si>
  <si>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</si>
  <si>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</si>
  <si>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</si>
  <si>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</si>
  <si>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</si>
  <si>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</si>
  <si>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</si>
  <si>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</si>
  <si>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</si>
  <si>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</si>
  <si>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</si>
  <si>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</si>
  <si>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</si>
  <si>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</si>
  <si>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</si>
  <si>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</si>
  <si>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</si>
  <si>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</si>
  <si>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</si>
  <si>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</si>
  <si>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</si>
  <si>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</si>
  <si>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</si>
  <si>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</si>
  <si>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</si>
  <si>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</si>
  <si>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</si>
  <si>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</si>
  <si>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</si>
  <si>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</si>
  <si>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</si>
  <si>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</si>
  <si>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</si>
  <si>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</si>
  <si>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</si>
  <si>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</si>
  <si>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</si>
  <si>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</si>
  <si>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</si>
  <si>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</si>
  <si>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</si>
  <si>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</si>
  <si>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</si>
  <si>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</si>
  <si>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</si>
  <si>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</si>
  <si>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</si>
  <si>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</si>
  <si>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</si>
  <si>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</si>
  <si>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</si>
  <si>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</si>
  <si>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</si>
  <si>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</si>
  <si>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</si>
  <si>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</si>
  <si>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</si>
  <si>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</si>
  <si>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</si>
  <si>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</si>
  <si>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</si>
  <si>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</si>
  <si>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</si>
  <si>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</si>
  <si>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</si>
  <si>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</si>
  <si>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</si>
  <si>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</si>
  <si>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</si>
  <si>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</si>
  <si>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</si>
  <si>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</si>
  <si>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</si>
  <si>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</si>
  <si>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</si>
  <si>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</si>
  <si>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</si>
  <si>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</si>
  <si>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</si>
  <si>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</si>
  <si>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</si>
  <si>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</si>
  <si>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</si>
  <si>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</si>
  <si>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</si>
  <si>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</si>
  <si>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</si>
  <si>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</si>
  <si>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</si>
  <si>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</si>
  <si>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 xml:space="preserve">PT Putra Chandra Sentosa 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</si>
  <si>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</si>
  <si>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</si>
  <si>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</si>
  <si>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</si>
  <si>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</si>
  <si>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</si>
  <si>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</si>
  <si>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</si>
  <si>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</si>
  <si>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UNCONTACTED : Mail Box - Memo Yusnani Manalu 40951378|MYDITA</t>
  </si>
  <si>
    <t>PT. ADITALENTA HANDALNIAGA DELAPAN</t>
  </si>
  <si>
    <t>ODP-PGE-FL/10</t>
  </si>
  <si>
    <t>|MC30223|/ANDIK SULAIMAN /81235284788/saa.itnetwork@gmail.com</t>
  </si>
  <si>
    <t>UNCONTACTED : Telepon Tidak Diangkat - RNA RANGGA WISNU EKAPAKSI 40951381|MYDITA</t>
  </si>
  <si>
    <t>PT Daya Agung Prima</t>
  </si>
  <si>
    <t>ODP-KBU-FHA/090</t>
  </si>
  <si>
    <t>|MC80228|/PT Daya Agung Prima/Paket HSI 2S Bisnis Promo HUT Kemerdekaan 1:1 200Mbps + Telp/Ristina Nilasari/081818267772/keuangan@ptdayaagungprima.com</t>
  </si>
  <si>
    <t>UNCONTACTED : Line Busy Sonya Rahma Winata 40951375|MYDITA</t>
  </si>
  <si>
    <t xml:space="preserve">The White Orchid </t>
  </si>
  <si>
    <t>ODP-SMA-FY/17</t>
  </si>
  <si>
    <t>|MN02750|/PIC I NYOMAN AGUS SUTA WIJAYA/081237900290/sutawijaya.sw4@gmail.com</t>
  </si>
  <si>
    <t>UNCONTACTED : Mail Box - Memo YUDA SEPTIAN 40000798|MYDITA</t>
  </si>
  <si>
    <t>ODP-PYA-FAN/12</t>
  </si>
  <si>
    <t>UNCONTACTED : Telepon Tidak Diangkat - RNA Ghina Swanti Ariesa 40941148|MYDITA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</si>
  <si>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</si>
  <si>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</si>
  <si>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</si>
  <si>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FOLLOW UP : Follow Up Siti QoriAh 40971401|MYDITA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</si>
  <si>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</si>
  <si>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</si>
  <si>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</si>
  <si>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</si>
  <si>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</si>
  <si>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</si>
  <si>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</si>
  <si>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</si>
  <si>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</si>
  <si>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</si>
  <si>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</si>
  <si>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</si>
  <si>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</si>
  <si>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</si>
  <si>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</si>
  <si>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</si>
  <si>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</si>
  <si>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</si>
  <si>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</si>
  <si>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</si>
  <si>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</si>
  <si>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</si>
  <si>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</si>
  <si>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</si>
  <si>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</si>
  <si>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</si>
  <si>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ODP-KBU-FDR/10 FDR/D01/10.10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</si>
  <si>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</si>
  <si>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</si>
  <si>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</si>
  <si>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</si>
  <si>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</si>
  <si>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</si>
  <si>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</si>
  <si>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</si>
  <si>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</si>
  <si>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</si>
  <si>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</si>
  <si>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</si>
  <si>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</si>
  <si>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</si>
  <si>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</si>
  <si>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</si>
  <si>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</si>
  <si>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</si>
  <si>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</si>
  <si>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</si>
  <si>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</si>
  <si>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</si>
  <si>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</si>
  <si>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</si>
  <si>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</si>
  <si>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</si>
  <si>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</si>
  <si>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</si>
  <si>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</si>
  <si>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</si>
  <si>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</si>
  <si>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</si>
  <si>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</si>
  <si>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</si>
  <si>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</si>
  <si>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</si>
  <si>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</si>
  <si>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</si>
  <si>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</si>
  <si>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</si>
  <si>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</si>
  <si>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</si>
  <si>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</si>
  <si>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</si>
  <si>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</si>
  <si>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</si>
  <si>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</si>
  <si>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</si>
  <si>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</si>
  <si>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</si>
  <si>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</si>
  <si>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</si>
  <si>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</si>
  <si>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ODP-SMJ-FG/78 FG/D05/78.01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</si>
  <si>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</si>
  <si>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</si>
  <si>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</si>
  <si>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</si>
  <si>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</si>
  <si>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</si>
  <si>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</si>
  <si>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</si>
  <si>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</si>
  <si>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</si>
  <si>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</si>
  <si>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</si>
  <si>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</si>
  <si>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</si>
  <si>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</si>
  <si>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</si>
  <si>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</si>
  <si>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</si>
  <si>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</si>
  <si>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</si>
  <si>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</si>
  <si>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</si>
  <si>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</si>
  <si>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</si>
  <si>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</si>
  <si>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</si>
  <si>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</si>
  <si>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</si>
  <si>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</si>
  <si>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</si>
  <si>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</si>
  <si>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</si>
  <si>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</si>
  <si>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</si>
  <si>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</si>
  <si>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</si>
  <si>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</si>
  <si>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</si>
  <si>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</si>
  <si>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</si>
  <si>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</si>
  <si>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</si>
  <si>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</si>
  <si>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</si>
  <si>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</si>
  <si>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</si>
  <si>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</si>
  <si>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</si>
  <si>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</si>
  <si>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</si>
  <si>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</si>
  <si>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</si>
  <si>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</si>
  <si>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</si>
  <si>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</si>
  <si>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</si>
  <si>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</si>
  <si>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</si>
  <si>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</si>
  <si>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</si>
  <si>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</si>
  <si>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</si>
  <si>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</si>
  <si>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ODP-KBU-FGF/079 FGF/D05/079.01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</si>
  <si>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</si>
  <si>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</si>
  <si>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</si>
  <si>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</si>
  <si>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</si>
  <si>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</si>
  <si>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</si>
  <si>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</si>
  <si>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</si>
  <si>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</si>
  <si>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</si>
  <si>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</si>
  <si>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</si>
  <si>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</si>
  <si>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</si>
  <si>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</si>
  <si>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</si>
  <si>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</si>
  <si>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</si>
  <si>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</si>
  <si>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</si>
  <si>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ODP-BTL-FBY/012 FBY/D01/012.01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</si>
  <si>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</si>
  <si>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</si>
  <si>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</si>
  <si>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</si>
  <si>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</si>
  <si>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</si>
  <si>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</si>
  <si>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</si>
  <si>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</si>
  <si>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</si>
  <si>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</si>
  <si>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</si>
  <si>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</si>
  <si>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</si>
  <si>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</si>
  <si>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</si>
  <si>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</si>
  <si>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</si>
  <si>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</si>
  <si>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</si>
  <si>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</si>
  <si>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</si>
  <si>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</si>
  <si>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</si>
  <si>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</si>
  <si>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</si>
  <si>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</si>
  <si>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</si>
  <si>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</si>
  <si>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</si>
  <si>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</si>
  <si>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</si>
  <si>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</si>
  <si>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</si>
  <si>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</si>
  <si>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</si>
  <si>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</si>
  <si>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</si>
  <si>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</si>
  <si>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</si>
  <si>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</si>
  <si>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</si>
  <si>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</si>
  <si>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</si>
  <si>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</si>
  <si>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</si>
  <si>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</si>
  <si>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</si>
  <si>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</si>
  <si>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</si>
  <si>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</si>
  <si>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</si>
  <si>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</si>
  <si>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</si>
  <si>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</si>
  <si>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</si>
  <si>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</si>
  <si>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</si>
  <si>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</si>
  <si>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</si>
  <si>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</si>
  <si>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</si>
  <si>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</si>
  <si>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</si>
  <si>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</si>
  <si>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</si>
  <si>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</si>
  <si>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</si>
  <si>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</si>
  <si>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</si>
  <si>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</si>
  <si>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</si>
  <si>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</si>
  <si>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</si>
  <si>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</si>
  <si>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</si>
  <si>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</si>
  <si>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</si>
  <si>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</si>
  <si>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</si>
  <si>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</si>
  <si>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</si>
  <si>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</si>
  <si>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</si>
  <si>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</si>
  <si>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</si>
  <si>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</si>
  <si>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</si>
  <si>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</si>
  <si>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</si>
  <si>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</si>
  <si>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</si>
  <si>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</si>
  <si>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</si>
  <si>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</si>
  <si>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</si>
  <si>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</si>
  <si>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</si>
  <si>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</si>
  <si>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</si>
  <si>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</si>
  <si>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</si>
  <si>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</si>
  <si>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</si>
  <si>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</si>
  <si>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</si>
  <si>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</si>
  <si>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</si>
  <si>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</si>
  <si>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</si>
  <si>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</si>
  <si>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</si>
  <si>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</si>
  <si>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</si>
  <si>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</si>
  <si>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</si>
  <si>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</si>
  <si>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</si>
  <si>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</si>
  <si>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</si>
  <si>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</si>
  <si>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</si>
  <si>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</si>
  <si>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</si>
  <si>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</si>
  <si>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ODP-BJR-FJ/145 FJ/D10/145.01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</si>
  <si>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</si>
  <si>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</si>
  <si>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</si>
  <si>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</si>
  <si>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</si>
  <si>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</si>
  <si>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</si>
  <si>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</si>
  <si>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</si>
  <si>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</si>
  <si>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</si>
  <si>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</si>
  <si>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</si>
  <si>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</si>
  <si>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</si>
  <si>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</si>
  <si>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</si>
  <si>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</si>
  <si>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</si>
  <si>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</si>
  <si>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</si>
  <si>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</si>
  <si>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</si>
  <si>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</si>
  <si>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</si>
  <si>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</si>
  <si>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</si>
  <si>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</si>
  <si>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</si>
  <si>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</si>
  <si>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</si>
  <si>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</si>
  <si>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</si>
  <si>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</si>
  <si>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</si>
  <si>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</si>
  <si>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</si>
  <si>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</si>
  <si>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</si>
  <si>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</si>
  <si>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</si>
  <si>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</si>
  <si>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</si>
  <si>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</si>
  <si>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</si>
  <si>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</si>
  <si>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QC MIA - INVALID QUALITY CONTROL MIA - Tidak Mengunggah Foto Lokasi Instalasi Tampak Depan Menyeluruh - Mohon upload foto ban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</si>
  <si>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</si>
  <si>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</si>
  <si>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</si>
  <si>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</si>
  <si>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</si>
  <si>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</si>
  <si>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</si>
  <si>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</si>
  <si>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</si>
  <si>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</si>
  <si>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</si>
  <si>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</si>
  <si>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</si>
  <si>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</si>
  <si>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</si>
  <si>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</si>
  <si>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</si>
  <si>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</si>
  <si>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</si>
  <si>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</si>
  <si>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</si>
  <si>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</si>
  <si>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</si>
  <si>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</si>
  <si>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</si>
  <si>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</si>
  <si>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</si>
  <si>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</si>
  <si>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</si>
  <si>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</si>
  <si>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</si>
  <si>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</si>
  <si>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</si>
  <si>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</si>
  <si>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</si>
  <si>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</si>
  <si>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</si>
  <si>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</si>
  <si>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</si>
  <si>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</si>
  <si>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</si>
  <si>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</si>
  <si>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</si>
  <si>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</si>
  <si>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</si>
  <si>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</si>
  <si>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</si>
  <si>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</si>
  <si>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</si>
  <si>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</si>
  <si>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</si>
  <si>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</si>
  <si>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</si>
  <si>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</si>
  <si>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</si>
  <si>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</si>
  <si>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</si>
  <si>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</si>
  <si>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</si>
  <si>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</si>
  <si>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</si>
  <si>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</si>
  <si>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</si>
  <si>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</si>
  <si>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</si>
  <si>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</si>
  <si>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</si>
  <si>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</si>
  <si>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</si>
  <si>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</si>
  <si>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</si>
  <si>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</si>
  <si>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</si>
  <si>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</si>
  <si>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</si>
  <si>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</si>
  <si>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</si>
  <si>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</si>
  <si>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</si>
  <si>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</si>
  <si>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</si>
  <si>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</si>
  <si>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</si>
  <si>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</si>
  <si>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</si>
  <si>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</si>
  <si>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</si>
  <si>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</si>
  <si>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</si>
  <si>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</si>
  <si>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</si>
  <si>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</si>
  <si>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</si>
  <si>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</si>
  <si>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</si>
  <si>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</si>
  <si>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</si>
  <si>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</si>
  <si>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</si>
  <si>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</si>
  <si>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</si>
  <si>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</si>
  <si>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</si>
  <si>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</si>
  <si>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</si>
  <si>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</si>
  <si>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</si>
  <si>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</si>
  <si>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</si>
  <si>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</si>
  <si>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</si>
  <si>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</si>
  <si>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</si>
  <si>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</si>
  <si>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</si>
  <si>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</si>
  <si>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</si>
  <si>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</si>
  <si>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</si>
  <si>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</si>
  <si>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</si>
  <si>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</si>
  <si>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</si>
  <si>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</si>
  <si>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</si>
  <si>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</si>
  <si>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</si>
  <si>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</si>
  <si>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</si>
  <si>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</si>
  <si>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</si>
  <si>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</si>
  <si>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</si>
  <si>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</si>
  <si>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</si>
  <si>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</si>
  <si>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</si>
  <si>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</si>
  <si>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</si>
  <si>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</si>
  <si>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</si>
  <si>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</si>
  <si>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</si>
  <si>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</si>
  <si>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</si>
  <si>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</si>
  <si>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</si>
  <si>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</si>
  <si>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</si>
  <si>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</si>
  <si>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</si>
  <si>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</si>
  <si>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</si>
  <si>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</si>
  <si>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</si>
  <si>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</si>
  <si>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</si>
  <si>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</si>
  <si>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</si>
  <si>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</si>
  <si>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</si>
  <si>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</si>
  <si>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</si>
  <si>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</si>
  <si>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</si>
  <si>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</si>
  <si>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</si>
  <si>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</si>
  <si>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</si>
  <si>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</si>
  <si>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</si>
  <si>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</si>
  <si>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</si>
  <si>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</si>
  <si>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</si>
  <si>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</si>
  <si>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</si>
  <si>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</si>
  <si>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</si>
  <si>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</si>
  <si>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</si>
  <si>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</si>
  <si>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</si>
  <si>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</si>
  <si>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</si>
  <si>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</si>
  <si>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</si>
  <si>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</si>
  <si>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</si>
  <si>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</si>
  <si>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</si>
  <si>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</si>
  <si>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</si>
  <si>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</si>
  <si>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</si>
  <si>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</si>
  <si>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</si>
  <si>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</si>
  <si>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</si>
  <si>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OSS - PROVISIONING DESAIN</t>
  </si>
  <si>
    <t>PRE_PI</t>
  </si>
  <si>
    <t>Provisioning Designed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</si>
  <si>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</si>
  <si>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</si>
  <si>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</si>
  <si>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</si>
  <si>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</si>
  <si>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</si>
  <si>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</si>
  <si>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</si>
  <si>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</si>
  <si>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</si>
  <si>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</si>
  <si>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</si>
  <si>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</si>
  <si>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</si>
  <si>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</si>
  <si>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</si>
  <si>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</si>
  <si>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</si>
  <si>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</si>
  <si>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</si>
  <si>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</si>
  <si>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</si>
  <si>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</si>
  <si>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</si>
  <si>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</si>
  <si>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</si>
  <si>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</si>
  <si>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</si>
  <si>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</si>
  <si>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</si>
  <si>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</si>
  <si>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</si>
  <si>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</si>
  <si>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</si>
  <si>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</si>
  <si>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</si>
  <si>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</si>
  <si>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</si>
  <si>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</si>
  <si>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</si>
  <si>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</si>
  <si>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</si>
  <si>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</si>
  <si>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</si>
  <si>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</si>
  <si>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</si>
  <si>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</si>
  <si>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</si>
  <si>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</si>
  <si>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</si>
  <si>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</si>
  <si>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</si>
  <si>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</si>
  <si>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</si>
  <si>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</si>
  <si>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</si>
  <si>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</si>
  <si>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</si>
  <si>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</si>
  <si>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</si>
  <si>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</si>
  <si>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</si>
  <si>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</si>
  <si>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</si>
  <si>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</si>
  <si>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</si>
  <si>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</si>
  <si>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</si>
  <si>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</si>
  <si>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</si>
  <si>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</si>
  <si>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</si>
  <si>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</si>
  <si>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</si>
  <si>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</si>
  <si>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</si>
  <si>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</si>
  <si>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</si>
  <si>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</si>
  <si>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</si>
  <si>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</si>
  <si>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</si>
  <si>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</si>
  <si>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</si>
  <si>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</si>
  <si>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</si>
  <si>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</si>
  <si>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</si>
  <si>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OSS - PROVISIONING START</t>
  </si>
  <si>
    <t>CIKAMPEK HOMESTAY</t>
  </si>
  <si>
    <t>ODP-KLJ-FCB/55 FCB/D04/55.01</t>
  </si>
  <si>
    <t>WO063325698</t>
  </si>
  <si>
    <t>|MN02703|MYIA-067583984006/POI/Metta Widyati/081219650323/megristya@givmail.com</t>
  </si>
  <si>
    <t>Provisioning Start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</si>
  <si>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</si>
  <si>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</si>
  <si>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</si>
  <si>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</si>
  <si>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</si>
  <si>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</si>
  <si>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</si>
  <si>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FO_OSM</t>
  </si>
  <si>
    <t>Provisioning Failed|OSM|INF009224701|Unknown Tom Failure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</si>
  <si>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</si>
  <si>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</si>
  <si>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</si>
  <si>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</si>
  <si>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Provisioning Failed|WFM|INF009223096|.</t>
  </si>
  <si>
    <t>Kendala Pelanggan</t>
  </si>
  <si>
    <t>Provisioning Failed|WFM|INF009222902|HOLD BY WITEL</t>
  </si>
  <si>
    <t>Provisioning Failed|WFM|INF009222055|pelanggan tidak respon alamat tidak ditemukan</t>
  </si>
  <si>
    <t>Provisioning Failed|WFM|INF009223380|PCL = Konfirmasi pelanggan by WA. Pelanggan batal pasang</t>
  </si>
  <si>
    <t>OSS - TESTING SERVICE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</si>
  <si>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</si>
  <si>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</si>
  <si>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</si>
  <si>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</si>
  <si>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</si>
  <si>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Testing Service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</si>
  <si>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</si>
  <si>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</si>
  <si>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</si>
  <si>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</si>
  <si>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</si>
  <si>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</si>
  <si>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</si>
  <si>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</si>
  <si>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Last update proses : 03-09-2026 09:49:04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</si>
</sst>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/>
    </xf>
    <xf numFmtId="0" fontId="12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9" borderId="13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4" fillId="0" borderId="0" xfId="0" applyFont="1" applyAlignment="1">
      <alignment horizontal="left"/>
    </xf>
    <xf numFmtId="0" fontId="12" fillId="11" borderId="1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11" fillId="7" borderId="0" xfId="0" applyFont="1" applyFill="1" applyAlignment="1">
      <alignment horizontal="center" vertical="top"/>
    </xf>
    <xf numFmtId="0" fontId="12" fillId="9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2.9411764705882353E-2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</c:v>
                </c:pt>
                <c:pt idx="1">
                  <c:v>0.48484848484848486</c:v>
                </c:pt>
                <c:pt idx="2">
                  <c:v>0.59090909090909094</c:v>
                </c:pt>
                <c:pt idx="3">
                  <c:v>0.33962264150943394</c:v>
                </c:pt>
                <c:pt idx="4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33</c:v>
                      </c:pt>
                      <c:pt idx="2">
                        <c:v>23</c:v>
                      </c:pt>
                      <c:pt idx="3">
                        <c:v>54</c:v>
                      </c:pt>
                      <c:pt idx="4">
                        <c:v>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13</c:v>
                      </c:pt>
                      <c:pt idx="3">
                        <c:v>18</c:v>
                      </c:pt>
                      <c:pt idx="4">
                        <c:v>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0.7142857142857143</c:v>
                      </c:pt>
                      <c:pt idx="1">
                        <c:v>0.76190476190476186</c:v>
                      </c:pt>
                      <c:pt idx="2">
                        <c:v>0.8125</c:v>
                      </c:pt>
                      <c:pt idx="3">
                        <c:v>0.47368421052631576</c:v>
                      </c:pt>
                      <c:pt idx="4">
                        <c:v>0.6875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2.9411764705882353E-2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0.7142857142857143</c:v>
                </c:pt>
                <c:pt idx="1">
                  <c:v>0.76190476190476186</c:v>
                </c:pt>
                <c:pt idx="2">
                  <c:v>0.8125</c:v>
                </c:pt>
                <c:pt idx="3">
                  <c:v>0.47368421052631576</c:v>
                </c:pt>
                <c:pt idx="4">
                  <c:v>0.6875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33</c:v>
                      </c:pt>
                      <c:pt idx="2">
                        <c:v>23</c:v>
                      </c:pt>
                      <c:pt idx="3">
                        <c:v>54</c:v>
                      </c:pt>
                      <c:pt idx="4">
                        <c:v>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13</c:v>
                      </c:pt>
                      <c:pt idx="3">
                        <c:v>18</c:v>
                      </c:pt>
                      <c:pt idx="4">
                        <c:v>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</c:v>
                      </c:pt>
                      <c:pt idx="1">
                        <c:v>0.48484848484848486</c:v>
                      </c:pt>
                      <c:pt idx="2">
                        <c:v>0.59090909090909094</c:v>
                      </c:pt>
                      <c:pt idx="3">
                        <c:v>0.33962264150943394</c:v>
                      </c:pt>
                      <c:pt idx="4">
                        <c:v>0.33333333333333331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2.9411764705882353E-2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33</c:v>
                      </c:pt>
                      <c:pt idx="2">
                        <c:v>23</c:v>
                      </c:pt>
                      <c:pt idx="3">
                        <c:v>54</c:v>
                      </c:pt>
                      <c:pt idx="4">
                        <c:v>34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</c:v>
                      </c:pt>
                      <c:pt idx="1">
                        <c:v>16</c:v>
                      </c:pt>
                      <c:pt idx="2">
                        <c:v>13</c:v>
                      </c:pt>
                      <c:pt idx="3">
                        <c:v>18</c:v>
                      </c:pt>
                      <c:pt idx="4">
                        <c:v>11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</c:v>
                      </c:pt>
                      <c:pt idx="1">
                        <c:v>0.48484848484848486</c:v>
                      </c:pt>
                      <c:pt idx="2">
                        <c:v>0.59090909090909094</c:v>
                      </c:pt>
                      <c:pt idx="3">
                        <c:v>0.33962264150943394</c:v>
                      </c:pt>
                      <c:pt idx="4">
                        <c:v>0.33333333333333331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0.7142857142857143</c:v>
                      </c:pt>
                      <c:pt idx="1">
                        <c:v>0.76190476190476186</c:v>
                      </c:pt>
                      <c:pt idx="2">
                        <c:v>0.8125</c:v>
                      </c:pt>
                      <c:pt idx="3">
                        <c:v>0.47368421052631576</c:v>
                      </c:pt>
                      <c:pt idx="4">
                        <c:v>0.6875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8.481398032411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63"/>
    </cacheField>
    <cacheField name="ORDER_ID" numFmtId="0">
      <sharedItems containsString="0" containsBlank="1" containsNumber="1" containsInteger="1" minValue="1002564024" maxValue="100256859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TIMUR"/>
        <s v="SOLO JATENG TIMUR"/>
        <s v="SEMARANG JATENG UTARA"/>
        <s v="NUSA TENGGARA"/>
        <s v="BALI"/>
        <s v="YOGYA JATENG SELATAN"/>
        <s v="SURAMADU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2T19:50:56"/>
    </cacheField>
    <cacheField name="LAST_UPDATED_DATE" numFmtId="0">
      <sharedItems containsNonDate="0" containsDate="1" containsString="0" containsBlank="1" minDate="2026-09-01T09:02:01" maxDate="2026-09-03T09:37:08"/>
    </cacheField>
    <cacheField name="NCLI" numFmtId="0">
      <sharedItems containsString="0" containsBlank="1" containsNumber="1" containsInteger="1" minValue="18307703" maxValue="69382642"/>
    </cacheField>
    <cacheField name="POTS" numFmtId="0">
      <sharedItems containsString="0" containsBlank="1" containsNumber="1" containsInteger="1" minValue="2716008068" maxValue="3612108216"/>
    </cacheField>
    <cacheField name="SPEEDY" numFmtId="0">
      <sharedItems containsString="0" containsBlank="1" containsNumber="1" containsInteger="1" minValue="141114228278" maxValue="1726192034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2876" maxValue="124.48156237722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2-09T19:54:57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3"/>
    </cacheField>
    <cacheField name="PS 1" numFmtId="0">
      <sharedItems containsDate="1" containsBlank="1" containsMixedTypes="1" minDate="2026-09-01T00:00:00" maxDate="2026-09-04T00:00:00"/>
    </cacheField>
    <cacheField name="CEK" numFmtId="0">
      <sharedItems containsBlank="1" containsMixedTypes="1" containsNumber="1" minValue="-6.625" maxValue="0.7083333333357586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s v="PASURUAN"/>
        <e v="#N/A"/>
        <s v="SELONG"/>
        <s v="SANUR"/>
        <s v="TABANAN"/>
        <s v="KLUNGKUNG"/>
        <s v="SURABAYA UTARA"/>
        <s v="MADURA"/>
        <s v="SURABAYA SELATAN"/>
        <s v="MATARAM"/>
        <s v="MAUMERE"/>
        <s v="BOJONEGORO"/>
        <s v="PROBOLINGGO"/>
        <s v="MADIUN"/>
        <s v="GRESIK"/>
        <s v="MOJOKERTO"/>
        <s v="MALANG"/>
        <s v="SIDOARJO"/>
        <s v="BIMA"/>
        <s v="NGANJUK"/>
        <s v="SUMBAWA"/>
        <s v="BANYUWANGI"/>
        <s v="UBUNG"/>
        <s v="KEDIRI"/>
        <s v="BLITAR"/>
        <s v="JEMBER"/>
        <s v="GIANYAR"/>
        <s v="BATU"/>
        <s v="JIMBARAN"/>
        <s v="ATAMBUA"/>
        <s v="KUPANG"/>
        <s v="LABOAN BAJO"/>
        <m/>
        <s v="SINGARAJA" u="1"/>
        <s v="WAINGAPU" u="1"/>
        <s v="ENDE" u="1"/>
        <s v="PONOROGO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8.481399999997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63"/>
    </cacheField>
    <cacheField name="ORDER_ID" numFmtId="0">
      <sharedItems containsString="0" containsBlank="1" containsNumber="1" containsInteger="1" minValue="1002564024" maxValue="100256859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TIMUR"/>
        <s v="SOLO JATENG TIMUR"/>
        <s v="SEMARANG JATENG UTARA"/>
        <s v="NUSA TENGGARA"/>
        <s v="BALI"/>
        <s v="YOGYA JATENG SELATAN"/>
        <s v="SURAMADU"/>
        <s v="JATIM BARAT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2T19:50:56"/>
    </cacheField>
    <cacheField name="LAST_UPDATED_DATE" numFmtId="0">
      <sharedItems containsNonDate="0" containsDate="1" containsString="0" containsBlank="1" minDate="2026-09-01T09:02:01" maxDate="2026-09-03T09:37:08"/>
    </cacheField>
    <cacheField name="NCLI" numFmtId="0">
      <sharedItems containsString="0" containsBlank="1" containsNumber="1" containsInteger="1" minValue="18307703" maxValue="69382642"/>
    </cacheField>
    <cacheField name="POTS" numFmtId="0">
      <sharedItems containsString="0" containsBlank="1" containsNumber="1" containsInteger="1" minValue="2716008068" maxValue="3612108216"/>
    </cacheField>
    <cacheField name="SPEEDY" numFmtId="0">
      <sharedItems containsString="0" containsBlank="1" containsNumber="1" containsInteger="1" minValue="141114228278" maxValue="1726192034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2876" maxValue="124.48156237722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2-09T19:54:57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3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3"/>
    </cacheField>
    <cacheField name="PS 1" numFmtId="0">
      <sharedItems containsDate="1" containsBlank="1" containsMixedTypes="1" minDate="2026-09-01T00:00:00" maxDate="2026-09-04T00:00:00"/>
    </cacheField>
    <cacheField name="CEK" numFmtId="0">
      <sharedItems containsBlank="1" containsMixedTypes="1" containsNumber="1" minValue="-6.625" maxValue="0.7083333333357586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939"/>
    <n v="3"/>
    <x v="0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2"/>
    <n v="1002566730"/>
    <n v="3"/>
    <x v="1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3"/>
    <n v="1002564244"/>
    <n v="3"/>
    <x v="2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1"/>
  </r>
  <r>
    <n v="4"/>
    <n v="1002564718"/>
    <n v="3"/>
    <x v="3"/>
    <n v="5"/>
    <s v="MATARAM"/>
    <s v="LOMBOK TIMUR UTARA"/>
    <s v="SGG"/>
    <s v="REG"/>
    <s v="AO"/>
    <s v="NEW SALES"/>
    <m/>
    <s v="FCC - HD1A - PROGRESS"/>
    <s v="RBS-Regional 3"/>
    <d v="2026-09-01T10:27:24"/>
    <d v="2026-09-03T09:20:03"/>
    <n v="69381301"/>
    <m/>
    <n v="172604214258"/>
    <s v="SPPG JENGGALA 2"/>
    <s v="ODP-SGG-FAZ/21"/>
    <m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FCC"/>
    <s v="LOMBOK UTARA"/>
    <s v="NETMONK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5"/>
    <n v="1002568091"/>
    <n v="3"/>
    <x v="4"/>
    <n v="5"/>
    <s v="DENPASAR"/>
    <s v="SANUR"/>
    <s v="TOP"/>
    <s v="REG"/>
    <s v="AO"/>
    <s v="NEW SALES"/>
    <m/>
    <s v="MYCX - SEND OPEN PAPERLESS"/>
    <s v="RBS-Regional 2"/>
    <d v="2026-09-02T15:30:15"/>
    <d v="2026-09-02T15:32:05"/>
    <n v="69382438"/>
    <m/>
    <n v="172422212787"/>
    <s v="PT Putra Chandra Sentosa "/>
    <s v="ODP-TOP-FE/64"/>
    <m/>
    <m/>
    <m/>
    <m/>
    <n v="115.24644718691501"/>
    <n v="-8.6353376878044603"/>
    <s v="|MN00483|/0877 8730 3650/arsanibulet16@gmail.com"/>
    <s v="Sales Profesional"/>
    <m/>
    <m/>
    <m/>
    <m/>
    <m/>
    <m/>
    <m/>
    <m/>
    <m/>
    <m/>
    <m/>
    <d v="2026-02-09T15:39:57"/>
    <m/>
    <m/>
    <s v="INPROGRESS_SC"/>
    <s v="TOHPATI SUKAWATI"/>
    <s v="NETMONK"/>
    <m/>
    <s v="SEND PAPERLESS OPE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"/>
  </r>
  <r>
    <n v="6"/>
    <n v="1002566613"/>
    <n v="3"/>
    <x v="4"/>
    <n v="5"/>
    <s v="SINGARJA"/>
    <s v="TABANAN"/>
    <s v="TBN"/>
    <s v="REG"/>
    <s v="AO"/>
    <s v="NEW SALES"/>
    <m/>
    <s v="MYCX - SEND OPEN PAPERLESS"/>
    <s v="RBS-Regional 3"/>
    <d v="2026-09-02T08:18:13"/>
    <d v="2026-09-02T08:20:05"/>
    <n v="69381917"/>
    <m/>
    <n v="172413244690"/>
    <s v="WR 24 Jaam"/>
    <s v="ODP-TBN-FSA/07"/>
    <m/>
    <m/>
    <m/>
    <m/>
    <n v="114.93094189999999"/>
    <n v="-8.4741797000000005"/>
    <s v="|MN02844|/PIC MAS SUWITO/081337203373/suwito08081973@gmail.com"/>
    <s v="Sales Force DBS"/>
    <m/>
    <m/>
    <m/>
    <m/>
    <m/>
    <m/>
    <m/>
    <m/>
    <m/>
    <m/>
    <m/>
    <d v="2026-02-09T08:25:06"/>
    <m/>
    <m/>
    <s v="INPROGRESS_SC"/>
    <s v="TABAN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7"/>
    <n v="1002566538"/>
    <n v="3"/>
    <x v="5"/>
    <n v="4"/>
    <s v="YOGYAKARTA"/>
    <s v="INNER - YOGYA JATENG SELATAN"/>
    <s v="KEN"/>
    <s v="REG"/>
    <s v="AO"/>
    <s v="NEW SALES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8"/>
    <n v="1002566671"/>
    <n v="3"/>
    <x v="4"/>
    <n v="5"/>
    <s v="SINGARJA"/>
    <s v="TABANAN"/>
    <s v="TBN"/>
    <s v="REG"/>
    <s v="AO"/>
    <s v="NEW SALES"/>
    <m/>
    <s v="CC - HD1A - INPROGRESS UNCONTACTED"/>
    <s v="RBS-Regional 3"/>
    <d v="2026-09-02T08:33:23"/>
    <d v="2026-09-03T08:58:14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9"/>
    <n v="1002568161"/>
    <n v="3"/>
    <x v="0"/>
    <n v="5"/>
    <s v="SIDOARJO"/>
    <s v="PASURUAN"/>
    <s v="PGE"/>
    <s v="REG"/>
    <s v="AO"/>
    <s v="NEW SALES"/>
    <m/>
    <s v="CC - HD1A - INPROGRESS UNCONTACTED"/>
    <s v="RBS-Regional 3"/>
    <d v="2026-09-02T15:41:38"/>
    <d v="2026-09-02T19:54:09"/>
    <n v="69382472"/>
    <m/>
    <n v="152746208711"/>
    <s v="PT. ADITALENTA HANDALNIAGA DELAPAN"/>
    <s v="ODP-PGE-FL/10"/>
    <m/>
    <m/>
    <m/>
    <m/>
    <n v="112.59153379999999"/>
    <n v="-7.6649966999999997"/>
    <s v="|MC30223|/ANDIK SULAIMAN /81235284788/saa.itnetwork@gmail.com"/>
    <s v="Sales Force DBS"/>
    <m/>
    <m/>
    <m/>
    <m/>
    <m/>
    <m/>
    <m/>
    <m/>
    <m/>
    <m/>
    <m/>
    <d v="2026-02-09T15:54:57"/>
    <m/>
    <m/>
    <s v="FCC"/>
    <s v="PANDAAN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"/>
    <n v="1002567556"/>
    <n v="3"/>
    <x v="5"/>
    <n v="4"/>
    <s v="YOGYAKARTA"/>
    <s v="INNER - YOGYA JATENG SELATAN"/>
    <s v="KBU"/>
    <s v="REG"/>
    <s v="AO"/>
    <s v="NEW SALES"/>
    <m/>
    <s v="CC - HD1A - INPROGRESS UNCONTACTED"/>
    <s v="RBS-Regional 3"/>
    <d v="2026-09-02T13:18:11"/>
    <d v="2026-09-03T08:29:56"/>
    <n v="69382299"/>
    <n v="2745059176"/>
    <n v="146113146876"/>
    <s v="PT Daya Agung Prima"/>
    <s v="ODP-KBU-FHA/090"/>
    <m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m/>
    <m/>
    <m/>
    <d v="2026-02-09T13:25:57"/>
    <m/>
    <m/>
    <s v="FCC"/>
    <s v="X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1"/>
    <n v="1002566767"/>
    <n v="3"/>
    <x v="4"/>
    <n v="5"/>
    <s v="SINGARJA"/>
    <s v="KLUNGKUNG"/>
    <s v="SMA"/>
    <s v="REG"/>
    <s v="AO"/>
    <s v="NEW SALES"/>
    <m/>
    <s v="CC - HD1A - INPROGRESS UNCONTACTED"/>
    <s v="RBS-Regional 3"/>
    <d v="2026-09-02T09:10:07"/>
    <d v="2026-09-02T17:28:18"/>
    <n v="69382007"/>
    <m/>
    <n v="172428816065"/>
    <s v="The White Orchid "/>
    <s v="ODP-SMA-FY/17"/>
    <m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m/>
    <m/>
    <m/>
    <d v="2026-02-09T09:40:08"/>
    <m/>
    <m/>
    <s v="FCC"/>
    <s v="SEMARAPURA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12"/>
    <n v="1002564602"/>
    <n v="3"/>
    <x v="3"/>
    <n v="5"/>
    <s v="MATARAM"/>
    <s v="LOMBOK BARAT TENGAH"/>
    <s v="PRY"/>
    <s v="REG"/>
    <s v="AO"/>
    <s v="NEW SALES"/>
    <s v="1P INET"/>
    <s v="CC - HD1A - INPROGRESS UNCONTACTED"/>
    <s v="RBS-Regional 3"/>
    <d v="2026-09-01T10:02:42"/>
    <d v="2026-09-03T09:05:30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Ghina Swanti Ariesa 40941148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"/>
  </r>
  <r>
    <n v="13"/>
    <n v="1002567253"/>
    <n v="3"/>
    <x v="6"/>
    <n v="5"/>
    <s v="SBY UTARA"/>
    <s v="KENJERAN"/>
    <s v="KBL"/>
    <s v="REG"/>
    <s v="AO"/>
    <s v="NEW SALES"/>
    <m/>
    <s v="FCC - HD1A - INPROGRESS FOLLOW UP"/>
    <s v="RBS-Regional 3"/>
    <d v="2026-09-02T11:27:17"/>
    <d v="2026-09-02T15:46:04"/>
    <n v="69382161"/>
    <m/>
    <n v="152401227303"/>
    <s v="TOKO MAISA"/>
    <s v="ODP-KBL-FVE/35"/>
    <m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m/>
    <m/>
    <m/>
    <d v="2026-02-09T11:40:03"/>
    <m/>
    <m/>
    <s v="FCC"/>
    <s v="KEBALEN"/>
    <s v="NO ADDON"/>
    <m/>
    <s v="FOLLOW UP : Follow Up Siti QoriAh 40971401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6"/>
  </r>
  <r>
    <n v="14"/>
    <n v="1002564745"/>
    <n v="3"/>
    <x v="6"/>
    <n v="5"/>
    <s v="MADURA"/>
    <s v="BANGKALAN"/>
    <s v="SPG"/>
    <s v="REG"/>
    <s v="AO"/>
    <s v="NEW SALES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7"/>
  </r>
  <r>
    <n v="15"/>
    <n v="1002566333"/>
    <n v="3"/>
    <x v="5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1"/>
  </r>
  <r>
    <n v="16"/>
    <n v="1002567928"/>
    <n v="3"/>
    <x v="5"/>
    <n v="4"/>
    <s v="MAGELANG"/>
    <s v="WONOSOBO"/>
    <s v="WOS"/>
    <s v="REG"/>
    <s v="AO"/>
    <s v="NEW SALES"/>
    <s v="1P INET"/>
    <s v="MIE - SEND SURVEY"/>
    <s v="RBS-Regional 3"/>
    <d v="2026-09-02T14:42:57"/>
    <d v="2026-09-02T14:44:01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m/>
    <s v="SURVEY_NEW_MANJA"/>
    <s v="X"/>
    <s v="NO ADDON"/>
    <m/>
    <s v="MIE - SEND SURVEY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1"/>
  </r>
  <r>
    <n v="17"/>
    <n v="1002568563"/>
    <n v="3"/>
    <x v="2"/>
    <n v="4"/>
    <s v="SEMARANG"/>
    <s v="INNER - SEMARANG JATENG UTARA"/>
    <s v="JHR"/>
    <s v="REG"/>
    <s v="AO"/>
    <s v="NEW SALES"/>
    <s v="1P INET"/>
    <s v="MIE - SEND SURVEY"/>
    <s v="RBS-Regional 3"/>
    <d v="2026-09-02T18:41:56"/>
    <d v="2026-09-02T18:44:01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SURVEY_NEW_MANJA"/>
    <s v="JOHAR"/>
    <s v="NO ADDON"/>
    <m/>
    <s v="MIE - SEND SURVEY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1"/>
  </r>
  <r>
    <n v="18"/>
    <n v="1002568550"/>
    <n v="3"/>
    <x v="6"/>
    <n v="5"/>
    <s v="SBY UTARA"/>
    <s v="KENJERAN"/>
    <s v="KJR"/>
    <s v="REG"/>
    <s v="AO"/>
    <s v="NEW SALES"/>
    <s v="1P INET"/>
    <s v="MIE - SEND SURVEY"/>
    <s v="RBS-Regional 3"/>
    <d v="2026-09-02T18:12:56"/>
    <d v="2026-09-02T18:14:01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SURVEY_NEW_MANJA"/>
    <s v="KENJERAN"/>
    <s v="NO ADDON"/>
    <m/>
    <s v="MIE - SEND SURVEY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6"/>
  </r>
  <r>
    <n v="19"/>
    <n v="1002566975"/>
    <n v="3"/>
    <x v="2"/>
    <n v="4"/>
    <s v="PEKALONGAN"/>
    <s v="SLAWI"/>
    <s v="SLW"/>
    <s v="REG"/>
    <s v="AO"/>
    <s v="NEW SALES"/>
    <m/>
    <s v="MIE - SEND SURVEY"/>
    <s v="RBS-Regional 3"/>
    <d v="2026-09-02T10:04:43"/>
    <d v="2026-09-02T12:42:01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1"/>
  </r>
  <r>
    <n v="20"/>
    <n v="1002568552"/>
    <n v="3"/>
    <x v="5"/>
    <n v="4"/>
    <s v="YOGYAKARTA"/>
    <s v="INNER - YOGYA JATENG SELATAN"/>
    <s v="KBU"/>
    <s v="REG"/>
    <s v="AO"/>
    <s v="NEW SALES"/>
    <s v="1P INET"/>
    <s v="MIE - SEND SURVEY"/>
    <s v="RBS-Regional 3"/>
    <d v="2026-09-02T18:17:57"/>
    <d v="2026-09-02T18:20:01"/>
    <n v="69382616"/>
    <m/>
    <n v="146113147312"/>
    <s v="PT KOPI BINTANG INDONESIA"/>
    <s v="ODP-KBU-FDR/10 FDR/D01/10.10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SURVEY_NEW_MANJA"/>
    <s v="X"/>
    <s v="NO ADDON"/>
    <m/>
    <s v="MIE - SEND SURVEY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m/>
    <m/>
    <m/>
    <e v="#NUM!"/>
    <e v="#NUM!"/>
    <x v="0"/>
    <x v="1"/>
  </r>
  <r>
    <n v="21"/>
    <n v="1002568399"/>
    <n v="3"/>
    <x v="6"/>
    <n v="5"/>
    <s v="SBY SELATAN"/>
    <s v="KETINTANG"/>
    <s v="RKT"/>
    <s v="REG"/>
    <s v="AO"/>
    <s v="NEW SALES"/>
    <s v="1P INET"/>
    <s v="MIE - SEND SURVEY"/>
    <s v="RBS-Regional 3"/>
    <d v="2026-09-02T16:44:56"/>
    <d v="2026-09-02T16:46:14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SURVEY_NEW_MANJA"/>
    <s v="RUNGKUT"/>
    <s v="NO ADDON"/>
    <m/>
    <s v="MIE - SEND SURVEY"/>
    <s v="HSI Bisnis Basic Promo HUT RI PSB 70% - 100 Mbps"/>
    <s v="INDIBIZ"/>
    <m/>
    <m/>
    <d v="2026-09-03T15:00:00"/>
    <s v="2026-09-03 15:00:00 | Jam pemasangan : 12.00 Info Tambahan : Hubungi pelanggan dulu sebelum ke lokasi terimakasih "/>
    <m/>
    <m/>
    <m/>
    <e v="#NUM!"/>
    <e v="#NUM!"/>
    <x v="0"/>
    <x v="8"/>
  </r>
  <r>
    <n v="22"/>
    <n v="1002567882"/>
    <n v="3"/>
    <x v="6"/>
    <n v="5"/>
    <s v="SBY UTARA"/>
    <s v="TANDES"/>
    <s v="BBE"/>
    <s v="REG"/>
    <s v="AO"/>
    <s v="NEW SALES"/>
    <s v="1P INET"/>
    <s v="MIE - SEND SURVEY"/>
    <s v="RBS-Regional 3"/>
    <d v="2026-09-02T14:34:03"/>
    <d v="2026-09-02T14:36:02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m/>
    <s v="SURVEY_NEW_MANJA"/>
    <s v="BAMBE"/>
    <s v="OCA"/>
    <m/>
    <s v="MIE - SEND SURVEY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6"/>
  </r>
  <r>
    <n v="23"/>
    <n v="1002567874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4:32:57"/>
    <d v="2026-09-02T14:34:18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m/>
    <m/>
    <m/>
    <e v="#NUM!"/>
    <e v="#NUM!"/>
    <x v="0"/>
    <x v="9"/>
  </r>
  <r>
    <n v="24"/>
    <n v="1002567985"/>
    <n v="3"/>
    <x v="3"/>
    <n v="5"/>
    <s v="KUPANG"/>
    <s v="MAUMERE"/>
    <s v="LWB"/>
    <s v="REG"/>
    <s v="AO"/>
    <s v="NEW SALES"/>
    <s v="1P INET"/>
    <s v="MIE - SEND SURVEY"/>
    <s v="RBS-Regional 3"/>
    <d v="2026-09-02T14:56:56"/>
    <d v="2026-09-02T14:58:0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SURVEY_NEW_MANJA"/>
    <s v="X"/>
    <s v="NO ADDON"/>
    <m/>
    <s v="MIE - SEND SURVEY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  <x v="10"/>
  </r>
  <r>
    <n v="25"/>
    <n v="1002568456"/>
    <n v="3"/>
    <x v="7"/>
    <n v="5"/>
    <s v="MADIUN"/>
    <s v="BOJONEGORO"/>
    <s v="PAD"/>
    <s v="REG"/>
    <s v="AO"/>
    <s v="NEW SALES"/>
    <s v="1P INET"/>
    <s v="MIE - SEND SURVEY"/>
    <s v="RBS-Regional 3"/>
    <d v="2026-09-02T17:05:57"/>
    <d v="2026-09-02T17:08:01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SURVEY_NEW_MANJA"/>
    <s v="PADANGAN"/>
    <s v="NO ADDON"/>
    <m/>
    <s v="MIE - SEND SURVEY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m/>
    <m/>
    <m/>
    <e v="#NUM!"/>
    <e v="#NUM!"/>
    <x v="0"/>
    <x v="11"/>
  </r>
  <r>
    <n v="26"/>
    <n v="1002567313"/>
    <n v="3"/>
    <x v="1"/>
    <n v="4"/>
    <s v="SOLO"/>
    <s v="INNER - SOLO JATENG TIMUR"/>
    <s v="MSO"/>
    <s v="REG"/>
    <s v="AO"/>
    <s v="NEW SALES"/>
    <s v="1P INET"/>
    <s v="MIE - SEND SURVEY"/>
    <s v="RBS-Regional 3"/>
    <d v="2026-09-02T11:32:56"/>
    <d v="2026-09-02T11:34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SURVEY_NEW_MANJA"/>
    <s v="SOLO PALUR"/>
    <s v="NO ADDON"/>
    <m/>
    <s v="MIE - SEND SURVEY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1"/>
  </r>
  <r>
    <n v="27"/>
    <n v="1002568555"/>
    <n v="3"/>
    <x v="5"/>
    <n v="4"/>
    <s v="YOGYAKARTA"/>
    <s v="BANTUL"/>
    <s v="WTS"/>
    <s v="REG"/>
    <s v="AO"/>
    <s v="NEW SALES"/>
    <s v="1P INET"/>
    <s v="MIE - SEND SURVEY"/>
    <s v="RBS-Regional 3"/>
    <d v="2026-09-02T18:24:56"/>
    <d v="2026-09-02T18:28:01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SURVEY_NEW_MANJA"/>
    <s v="WATES"/>
    <s v="NO ADDON"/>
    <m/>
    <s v="MIE - SEND SURVEY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m/>
    <m/>
    <m/>
    <e v="#NUM!"/>
    <e v="#NUM!"/>
    <x v="0"/>
    <x v="1"/>
  </r>
  <r>
    <n v="28"/>
    <n v="1002568037"/>
    <n v="3"/>
    <x v="0"/>
    <n v="5"/>
    <s v="PASURUAN"/>
    <s v="PROBOLINGGO"/>
    <s v="KRZ"/>
    <s v="REG"/>
    <s v="AO"/>
    <s v="NEW SALES"/>
    <s v="1P INET"/>
    <s v="MIE - SEND SURVEY"/>
    <s v="RBS-Regional 3"/>
    <d v="2026-09-02T15:11:57"/>
    <d v="2026-09-02T15:14:01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SURVEY_NEW_MANJA"/>
    <s v="KRAKSAAN"/>
    <s v="NO ADDON"/>
    <m/>
    <s v="MIE - SEND SURVEY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m/>
    <m/>
    <m/>
    <e v="#NUM!"/>
    <e v="#NUM!"/>
    <x v="0"/>
    <x v="12"/>
  </r>
  <r>
    <n v="29"/>
    <n v="1002568030"/>
    <n v="3"/>
    <x v="7"/>
    <n v="5"/>
    <s v="MADIUN"/>
    <s v="TUBAN"/>
    <s v="TNZ"/>
    <s v="REG"/>
    <s v="AO"/>
    <s v="NEW SALES"/>
    <s v="1P INET"/>
    <s v="MIE - SEND SURVEY"/>
    <s v="RBS-Regional 3"/>
    <d v="2026-09-02T15:09:57"/>
    <d v="2026-09-02T15:12:01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SURVEY_NEW_MANJA"/>
    <s v="X"/>
    <s v="NO ADDON"/>
    <m/>
    <s v="MIE - SEND SURVEY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m/>
    <m/>
    <m/>
    <e v="#NUM!"/>
    <e v="#NUM!"/>
    <x v="0"/>
    <x v="11"/>
  </r>
  <r>
    <n v="30"/>
    <n v="1002568049"/>
    <n v="3"/>
    <x v="7"/>
    <n v="5"/>
    <s v="MADIUN"/>
    <s v="BOJONEGORO"/>
    <s v="SMJ"/>
    <s v="REG"/>
    <s v="AO"/>
    <s v="NEW SALES"/>
    <s v="1P INET"/>
    <s v="MIE - SEND SURVEY"/>
    <s v="RBS-Regional 3"/>
    <d v="2026-09-02T15:15:57"/>
    <d v="2026-09-02T15:18:02"/>
    <n v="69382459"/>
    <m/>
    <n v="152642208293"/>
    <s v="SPBU 53.621.25 Gampeng Balen"/>
    <s v="ODP-SMJ-FG/78 FG/D05/78.01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SURVEY_NEW_MANJA"/>
    <s v="PADANGAN"/>
    <s v="NO ADDON"/>
    <m/>
    <s v="MIE - SEND SURVEY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  <x v="11"/>
  </r>
  <r>
    <n v="31"/>
    <n v="1002567684"/>
    <n v="3"/>
    <x v="0"/>
    <n v="5"/>
    <s v="PASURUAN"/>
    <s v="PASURUAN"/>
    <s v="GDW"/>
    <s v="REG"/>
    <s v="AO"/>
    <s v="NEW SALES"/>
    <m/>
    <s v="MIE - SEND SURVEY"/>
    <s v="RBS-Regional 3"/>
    <d v="2026-09-02T13:45:18"/>
    <d v="2026-09-02T15:04:03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m/>
    <m/>
    <m/>
    <e v="#NUM!"/>
    <e v="#NUM!"/>
    <x v="0"/>
    <x v="0"/>
  </r>
  <r>
    <n v="32"/>
    <n v="1002568531"/>
    <n v="3"/>
    <x v="1"/>
    <n v="4"/>
    <s v="KUDUS"/>
    <s v="PURWODADI"/>
    <s v="WRO"/>
    <s v="REG"/>
    <s v="AO"/>
    <s v="NEW SALES"/>
    <s v="1P INET"/>
    <s v="MIE - SEND SURVEY"/>
    <s v="RBS-Regional 3"/>
    <d v="2026-09-02T17:53:57"/>
    <d v="2026-09-02T17:56:27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SURVEY_NEW_MANJA"/>
    <s v="WIROSARI"/>
    <s v="NO ADDON"/>
    <m/>
    <s v="MIE - SEND SURVEY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  <x v="1"/>
  </r>
  <r>
    <n v="33"/>
    <n v="1002568518"/>
    <n v="3"/>
    <x v="5"/>
    <n v="4"/>
    <s v="MAGELANG"/>
    <s v="KEBUMEN"/>
    <s v="KTW"/>
    <s v="REG"/>
    <s v="AO"/>
    <s v="NEW SALES"/>
    <s v="1P INET"/>
    <s v="MIE - SEND SURVEY"/>
    <s v="RBS-Regional 3"/>
    <d v="2026-09-02T17:47:57"/>
    <d v="2026-09-02T17:50:01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SURVEY_NEW_MANJA"/>
    <s v="X"/>
    <s v="NO ADDON"/>
    <m/>
    <s v="MIE - SEND SURVEY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m/>
    <m/>
    <m/>
    <e v="#NUM!"/>
    <e v="#NUM!"/>
    <x v="0"/>
    <x v="1"/>
  </r>
  <r>
    <n v="34"/>
    <n v="1002568195"/>
    <n v="3"/>
    <x v="5"/>
    <n v="4"/>
    <s v="MAGELANG"/>
    <s v="PURWOREJJO"/>
    <s v="PWJ"/>
    <s v="REG"/>
    <s v="AO"/>
    <s v="NEW SALES"/>
    <s v="1P INET"/>
    <s v="MIE - SEND SURVEY"/>
    <s v="RBS-Regional 3"/>
    <d v="2026-09-02T15:47:56"/>
    <d v="2026-09-02T15:50:01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m/>
    <m/>
    <m/>
    <e v="#NUM!"/>
    <e v="#NUM!"/>
    <x v="0"/>
    <x v="1"/>
  </r>
  <r>
    <n v="35"/>
    <n v="1002567425"/>
    <n v="3"/>
    <x v="5"/>
    <n v="4"/>
    <s v="MAGELANG"/>
    <s v="WONOSOBO"/>
    <s v="WOS"/>
    <s v="REG"/>
    <s v="AO"/>
    <s v="NEW SALES"/>
    <s v="1P INET"/>
    <s v="MIE - SEND SURVEY"/>
    <s v="RBS-Regional 3"/>
    <d v="2026-09-02T12:05:58"/>
    <d v="2026-09-02T12:08:01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1"/>
  </r>
  <r>
    <n v="36"/>
    <n v="1002567420"/>
    <n v="3"/>
    <x v="2"/>
    <n v="4"/>
    <s v="SEMARANG"/>
    <s v="INNER - SEMARANG JATENG UTARA"/>
    <s v="MJP"/>
    <s v="REG"/>
    <s v="AO"/>
    <s v="NEW SALES"/>
    <s v="1P INET"/>
    <s v="MIE - SEND SURVEY"/>
    <s v="RBS-Regional 3"/>
    <d v="2026-09-02T12:03:57"/>
    <d v="2026-09-02T12:06:02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m/>
    <s v="SURVEY_NEW_MANJA"/>
    <s v="MAJAPAHIT"/>
    <s v="NO ADDON"/>
    <m/>
    <s v="MIE - SEND SURVEY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1"/>
  </r>
  <r>
    <n v="37"/>
    <n v="1002567595"/>
    <n v="3"/>
    <x v="7"/>
    <n v="5"/>
    <s v="MADIUN"/>
    <s v="NGAWI"/>
    <s v="NWI"/>
    <s v="REG"/>
    <s v="AO"/>
    <s v="NEW SALES"/>
    <s v="1P INET"/>
    <s v="MIE - SEND SURVEY"/>
    <s v="RBS-Regional 3"/>
    <d v="2026-09-02T13:23:56"/>
    <d v="2026-09-02T13:26:02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  <x v="13"/>
  </r>
  <r>
    <n v="38"/>
    <n v="1002567634"/>
    <n v="3"/>
    <x v="6"/>
    <n v="5"/>
    <s v="SBY UTARA"/>
    <s v="LAMONGAN"/>
    <s v="LMG"/>
    <s v="REG"/>
    <s v="AO"/>
    <s v="NEW SALES"/>
    <s v="1P INET"/>
    <s v="MIE - SEND SURVEY"/>
    <s v="RBS-Regional 3"/>
    <d v="2026-09-02T13:33:57"/>
    <d v="2026-09-02T13:36:01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SURVEY_NEW_MANJA"/>
    <s v="LAMONGAN"/>
    <s v="NO ADDON"/>
    <m/>
    <s v="MIE - SEND SURVEY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m/>
    <m/>
    <m/>
    <e v="#NUM!"/>
    <e v="#NUM!"/>
    <x v="0"/>
    <x v="14"/>
  </r>
  <r>
    <n v="39"/>
    <n v="1002567613"/>
    <n v="3"/>
    <x v="0"/>
    <n v="5"/>
    <s v="SIDOARJO"/>
    <s v="MOJOKERTO"/>
    <s v="DLA"/>
    <s v="REG"/>
    <s v="AO"/>
    <s v="NEW SALES"/>
    <m/>
    <s v="MIE - SEND SURVEY"/>
    <s v="RBS-Regional 3"/>
    <d v="2026-09-02T13:30:41"/>
    <d v="2026-09-02T14:52:03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SURVEY_NEW_MANJA"/>
    <s v="MOJOKERTO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m/>
    <m/>
    <m/>
    <e v="#NUM!"/>
    <e v="#NUM!"/>
    <x v="0"/>
    <x v="15"/>
  </r>
  <r>
    <n v="40"/>
    <n v="1002567606"/>
    <n v="3"/>
    <x v="7"/>
    <n v="5"/>
    <s v="MADIUN"/>
    <s v="NGAWI"/>
    <s v="NWI"/>
    <s v="REG"/>
    <s v="AO"/>
    <s v="NEW SALES"/>
    <s v="1P INET"/>
    <s v="MIE - SEND SURVEY"/>
    <s v="RBS-Regional 3"/>
    <d v="2026-09-02T13:26:56"/>
    <d v="2026-09-02T13:28:01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  <x v="13"/>
  </r>
  <r>
    <n v="41"/>
    <n v="1002567375"/>
    <n v="3"/>
    <x v="7"/>
    <n v="5"/>
    <s v="MADIUN"/>
    <s v="BOJONEGORO"/>
    <s v="PAD"/>
    <s v="REG"/>
    <s v="AO"/>
    <s v="NEW SALES"/>
    <s v="1P INET"/>
    <s v="MIE - SEND SURVEY"/>
    <s v="RBS-Regional 3"/>
    <d v="2026-09-02T11:50:56"/>
    <d v="2026-09-02T11:52:01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m/>
    <s v="SURVEY_NEW_MANJA"/>
    <s v="PADANGAN"/>
    <s v="NO ADDON"/>
    <m/>
    <s v="MIE - SEND SURVEY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1"/>
  </r>
  <r>
    <n v="42"/>
    <n v="1002567346"/>
    <n v="3"/>
    <x v="5"/>
    <n v="4"/>
    <s v="YOGYAKARTA"/>
    <s v="INNER - YOGYA JATENG SELATAN"/>
    <s v="KBU"/>
    <s v="REG"/>
    <s v="AO"/>
    <s v="NEW SALES"/>
    <s v="1P INET"/>
    <s v="MIE - SEND SURVEY"/>
    <s v="RBS-Regional 3"/>
    <d v="2026-09-02T11:42:57"/>
    <d v="2026-09-02T11:44:26"/>
    <n v="69382220"/>
    <m/>
    <n v="146113146875"/>
    <s v="SUHKA COFFEE GROUND"/>
    <s v="ODP-KBU-FGF/079 FGF/D05/079.01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SURVEY_NEW_MANJA"/>
    <s v="X"/>
    <s v="NO ADDON"/>
    <m/>
    <s v="MIE - SEND SURVEY"/>
    <s v="HSI Bisnis PSB 70% - 100 Mbps"/>
    <s v="INDIBIZ"/>
    <m/>
    <m/>
    <d v="2026-09-03T11:00:00"/>
    <s v="2026-09-03 11:00:00 | Jam pemasangan : 12.00 Info Tambahan : Hubungi pelanggan dulu sebelum ke lokasi terimakasih  "/>
    <m/>
    <m/>
    <m/>
    <e v="#NUM!"/>
    <e v="#NUM!"/>
    <x v="0"/>
    <x v="1"/>
  </r>
  <r>
    <n v="43"/>
    <n v="1002568147"/>
    <n v="3"/>
    <x v="6"/>
    <n v="5"/>
    <s v="SBY SELATAN"/>
    <s v="MANYAR"/>
    <s v="GBG"/>
    <s v="REG"/>
    <s v="AO"/>
    <s v="NEW SALES"/>
    <s v="1P INET"/>
    <s v="MIE - SEND SURVEY"/>
    <s v="RBS-Regional 3"/>
    <d v="2026-09-02T15:36:57"/>
    <d v="2026-09-02T15:38:02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SURVEY_NEW_MANJA"/>
    <s v="DARMO GUBENG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8"/>
  </r>
  <r>
    <n v="44"/>
    <n v="1002568139"/>
    <n v="3"/>
    <x v="6"/>
    <n v="5"/>
    <s v="SBY UTARA"/>
    <s v="GRESIK"/>
    <s v="GSK"/>
    <s v="REG"/>
    <s v="AO"/>
    <s v="NEW SALES"/>
    <s v="1P INET"/>
    <s v="MIE - SEND SURVEY"/>
    <s v="RBS-Regional 3"/>
    <d v="2026-09-02T15:35:56"/>
    <d v="2026-09-02T15:38:02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SURVEY_NEW_MANJA"/>
    <s v="GRESIK"/>
    <s v="NO ADDON"/>
    <m/>
    <s v="MIE - SEND SURVEY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m/>
    <m/>
    <m/>
    <e v="#NUM!"/>
    <e v="#NUM!"/>
    <x v="0"/>
    <x v="14"/>
  </r>
  <r>
    <n v="45"/>
    <n v="1002567782"/>
    <n v="3"/>
    <x v="5"/>
    <n v="4"/>
    <s v="YOGYAKARTA"/>
    <s v="SLEMAN"/>
    <s v="GOD"/>
    <s v="REG"/>
    <s v="AO"/>
    <s v="NEW SALES"/>
    <m/>
    <s v="MIE - SEND SURVEY"/>
    <s v="RBS-Regional 3"/>
    <d v="2026-09-02T14:09:00"/>
    <d v="2026-09-02T17:16:01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m/>
    <m/>
    <m/>
    <e v="#NUM!"/>
    <e v="#NUM!"/>
    <x v="0"/>
    <x v="1"/>
  </r>
  <r>
    <n v="46"/>
    <n v="1002568591"/>
    <n v="3"/>
    <x v="5"/>
    <n v="4"/>
    <s v="YOGYAKARTA"/>
    <s v="BANTUL"/>
    <s v="BTL"/>
    <s v="REG"/>
    <s v="AO"/>
    <s v="NEW SALES"/>
    <s v="1P INET"/>
    <s v="MIE - SEND SURVEY"/>
    <s v="RBS-Regional 3"/>
    <d v="2026-09-02T19:50:56"/>
    <d v="2026-09-02T19:52:01"/>
    <n v="69382642"/>
    <m/>
    <n v="146129128807"/>
    <s v="PT GARASI NAP MATARAM / BENGKEL MOBIL"/>
    <s v="ODP-BTL-FBY/012 FBY/D01/012.0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SURVEY_NEW_MANJA"/>
    <s v="X"/>
    <s v="NO ADDON"/>
    <m/>
    <s v="MIE - SEND SURVEY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m/>
    <m/>
    <m/>
    <e v="#NUM!"/>
    <e v="#NUM!"/>
    <x v="0"/>
    <x v="1"/>
  </r>
  <r>
    <n v="47"/>
    <n v="1002568578"/>
    <n v="3"/>
    <x v="3"/>
    <n v="5"/>
    <s v="MATARAM"/>
    <s v="LOMBOK TIMUR UTARA"/>
    <s v="SEL"/>
    <s v="REG"/>
    <s v="AO"/>
    <s v="NEW SALES"/>
    <s v="1P INET"/>
    <s v="MIE - SEND SURVEY"/>
    <s v="RBS-Regional 3"/>
    <d v="2026-09-02T19:03:56"/>
    <d v="2026-09-02T19:06:01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SURVEY_NEW_MANJA"/>
    <s v="LOMBOK TIMUR"/>
    <s v="NO ADDON"/>
    <m/>
    <s v="MIE - SEND SURVEY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2"/>
  </r>
  <r>
    <n v="48"/>
    <n v="1002568571"/>
    <n v="3"/>
    <x v="7"/>
    <n v="5"/>
    <s v="MALANG"/>
    <s v="KEPANJEN"/>
    <s v="PGK"/>
    <s v="REG"/>
    <s v="AO"/>
    <s v="NEW SALES"/>
    <s v="1P INET"/>
    <s v="MIE - SEND SURVEY"/>
    <s v="RBS-Regional 3"/>
    <d v="2026-09-02T18:59:56"/>
    <d v="2026-09-02T19:02:01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SURVEY_NEW_MANJA"/>
    <s v="KEPANJEN"/>
    <s v="OCA"/>
    <m/>
    <s v="MIE - SEND SURVEY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m/>
    <m/>
    <m/>
    <e v="#NUM!"/>
    <e v="#NUM!"/>
    <x v="0"/>
    <x v="16"/>
  </r>
  <r>
    <n v="49"/>
    <n v="1002568312"/>
    <n v="3"/>
    <x v="5"/>
    <n v="4"/>
    <s v="PURWOKERTO"/>
    <s v="CILACAP"/>
    <s v="KRY"/>
    <s v="REG"/>
    <s v="AO"/>
    <s v="NEW SALES"/>
    <s v="1P INET"/>
    <s v="MIE - SEND SURVEY"/>
    <s v="RBS-Regional 3"/>
    <d v="2026-09-02T16:14:58"/>
    <d v="2026-09-02T16:16:0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SURVEY_NEW_MANJA"/>
    <s v="KROYA"/>
    <s v="NO ADDON"/>
    <m/>
    <s v="MIE - SEND SURVEY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m/>
    <m/>
    <m/>
    <e v="#NUM!"/>
    <e v="#NUM!"/>
    <x v="0"/>
    <x v="1"/>
  </r>
  <r>
    <n v="50"/>
    <n v="1002566867"/>
    <n v="3"/>
    <x v="3"/>
    <n v="5"/>
    <s v="MATARAM"/>
    <s v="LOMBOK BARAT TENGAH"/>
    <s v="PRY"/>
    <s v="REG"/>
    <s v="AO"/>
    <s v="NEW SALES"/>
    <s v="1P INET"/>
    <s v="MIE - SEND SURVEY"/>
    <s v="RBS-Regional 3"/>
    <d v="2026-09-02T09:35:56"/>
    <d v="2026-09-02T09:38:07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TENGAH"/>
    <s v="NO ADDON"/>
    <m/>
    <s v="MIE - SEND SURVEY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1"/>
    <n v="1002566869"/>
    <n v="3"/>
    <x v="5"/>
    <n v="4"/>
    <s v="YOGYAKARTA"/>
    <s v="BANTUL"/>
    <s v="BTL"/>
    <s v="REG"/>
    <s v="AO"/>
    <s v="NEW SALES"/>
    <s v="1P INET"/>
    <s v="MIE - SEND SURVEY"/>
    <s v="RBS-Regional 3"/>
    <d v="2026-09-02T09:36:56"/>
    <d v="2026-09-02T09:38:02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SURVEY_NEW_MANJA"/>
    <s v="X"/>
    <s v="NO ADDON"/>
    <m/>
    <s v="MIE - SEND SURVEY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m/>
    <m/>
    <m/>
    <e v="#NUM!"/>
    <e v="#NUM!"/>
    <x v="0"/>
    <x v="1"/>
  </r>
  <r>
    <n v="52"/>
    <n v="1002566811"/>
    <n v="3"/>
    <x v="3"/>
    <n v="5"/>
    <s v="MATARAM"/>
    <s v="LOMBOK TIMUR UTARA"/>
    <s v="SGG"/>
    <s v="REG"/>
    <s v="AO"/>
    <s v="NEW SALES"/>
    <s v="1P INET"/>
    <s v="MIE - SEND SURVEY"/>
    <s v="RBS-Regional 3"/>
    <d v="2026-09-02T09:21:56"/>
    <d v="2026-09-02T09:24:01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3"/>
    <n v="1002566804"/>
    <n v="3"/>
    <x v="5"/>
    <n v="4"/>
    <s v="MAGELANG"/>
    <s v="MAGELANG"/>
    <s v="MGE"/>
    <s v="REG"/>
    <s v="AO"/>
    <s v="NEW SALES"/>
    <s v="1P INET"/>
    <s v="MIE - SEND SURVEY"/>
    <s v="RBS-Regional 3"/>
    <d v="2026-09-02T09:18:56"/>
    <d v="2026-09-02T09:20:01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SURVEY_NEW_MANJA"/>
    <s v="X"/>
    <s v="NO ADDON"/>
    <m/>
    <s v="MIE - SEND SURVEY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m/>
    <m/>
    <m/>
    <e v="#NUM!"/>
    <e v="#NUM!"/>
    <x v="0"/>
    <x v="1"/>
  </r>
  <r>
    <n v="54"/>
    <n v="1002566826"/>
    <n v="3"/>
    <x v="3"/>
    <n v="5"/>
    <s v="MATARAM"/>
    <s v="LOMBOK TIMUR UTARA"/>
    <s v="SGG"/>
    <s v="REG"/>
    <s v="AO"/>
    <s v="NEW SALES"/>
    <s v="1P INET"/>
    <s v="MIE - SEND SURVEY"/>
    <s v="RBS-Regional 3"/>
    <d v="2026-09-02T09:24:57"/>
    <d v="2026-09-02T09:26:21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2"/>
  </r>
  <r>
    <n v="55"/>
    <n v="1002566822"/>
    <n v="3"/>
    <x v="0"/>
    <n v="5"/>
    <s v="SIDOARJO"/>
    <s v="INNER - JATIM TIMUR"/>
    <s v="KRN"/>
    <s v="REG"/>
    <s v="AO"/>
    <s v="NEW SALES"/>
    <s v="1P INET"/>
    <s v="MIE - SEND SURVEY"/>
    <s v="RBS-Regional 3"/>
    <d v="2026-09-02T09:23:56"/>
    <d v="2026-09-02T09:26:01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m/>
    <s v="SURVEY_NEW_MANJA"/>
    <s v="KRIAN"/>
    <s v="NO ADDON"/>
    <m/>
    <s v="MIE - SEND SURVEY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56"/>
    <n v="1002567492"/>
    <n v="3"/>
    <x v="6"/>
    <n v="5"/>
    <s v="SBY SELATAN"/>
    <s v="MANYAR"/>
    <s v="MYR"/>
    <s v="REG"/>
    <s v="AO"/>
    <s v="NEW SALES"/>
    <s v="2P INET + VOICE"/>
    <s v="MIE - SEND SURVEY"/>
    <s v="RBS-Regional 3"/>
    <d v="2026-09-02T12:35:56"/>
    <d v="2026-09-02T12:38:02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SURVEY_NEW_MANJA"/>
    <s v="MANYAR"/>
    <s v="NO ADDON"/>
    <m/>
    <s v="MIE - SEND SURVEY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  <x v="8"/>
  </r>
  <r>
    <n v="57"/>
    <n v="1002567110"/>
    <n v="3"/>
    <x v="6"/>
    <n v="5"/>
    <s v="SBY UTARA"/>
    <s v="GRESIK"/>
    <s v="KDE"/>
    <s v="REG"/>
    <s v="AO"/>
    <s v="NEW SALES"/>
    <m/>
    <s v="MIE - SEND SURVEY"/>
    <s v="RBS-Regional 3"/>
    <d v="2026-09-02T10:38:35"/>
    <d v="2026-09-03T09:10:01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m/>
    <m/>
    <m/>
    <e v="#NUM!"/>
    <e v="#NUM!"/>
    <x v="0"/>
    <x v="14"/>
  </r>
  <r>
    <n v="58"/>
    <n v="1002567489"/>
    <n v="3"/>
    <x v="1"/>
    <n v="4"/>
    <s v="SOLO"/>
    <s v="KLATEN"/>
    <s v="KLX"/>
    <s v="REG"/>
    <s v="AO"/>
    <s v="NEW SALES"/>
    <s v="1P INET"/>
    <s v="MIE - SEND SURVEY"/>
    <s v="RBS-Regional 3"/>
    <d v="2026-09-02T12:33:57"/>
    <d v="2026-09-02T12:36:03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SURVEY_NEW_MANJA"/>
    <s v="X"/>
    <s v="NO ADDON"/>
    <m/>
    <s v="MIE - SEND SURVEY"/>
    <s v="HSI Bisnis Promo HUT RI PSB 70% - 50 Mbps"/>
    <s v="INDIBIZ"/>
    <m/>
    <m/>
    <d v="2026-09-07T13:00:00"/>
    <s v="2026-09-07 13:00:00 | Tanggal : 7 September 2026 Jam : pagi  Hubungi pelanggan sebelum ke lokasi "/>
    <m/>
    <m/>
    <m/>
    <e v="#NUM!"/>
    <e v="#NUM!"/>
    <x v="0"/>
    <x v="1"/>
  </r>
  <r>
    <n v="59"/>
    <n v="1002568541"/>
    <n v="3"/>
    <x v="1"/>
    <n v="4"/>
    <s v="SOLO"/>
    <s v="INNER - SOLO JATENG TIMUR"/>
    <s v="SOP"/>
    <s v="REG"/>
    <s v="AO"/>
    <s v="NEW SALES"/>
    <s v="1P INET"/>
    <s v="MIE - SEND SURVEY"/>
    <s v="RBS-Regional 3"/>
    <d v="2026-09-02T18:02:57"/>
    <d v="2026-09-02T18:04:01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SURVEY_NEW_MANJA"/>
    <s v="SOLO PALUR"/>
    <s v="NO ADDON"/>
    <m/>
    <s v="MIE - SEND SURVEY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  <x v="1"/>
  </r>
  <r>
    <n v="60"/>
    <n v="1002568545"/>
    <n v="3"/>
    <x v="6"/>
    <n v="5"/>
    <s v="SBY UTARA"/>
    <s v="MANYAR"/>
    <s v="MGO"/>
    <s v="REG"/>
    <s v="AO"/>
    <s v="NEW SALES"/>
    <s v="1P INET"/>
    <s v="MIE - SEND SURVEY"/>
    <s v="RBS-Regional 3"/>
    <d v="2026-09-02T18:05:56"/>
    <d v="2026-09-02T18:08:01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SURVEY_NEW_MANJA"/>
    <s v="MERGOYOSO"/>
    <s v="NO ADDON"/>
    <m/>
    <s v="MIE - SEND SURVEY"/>
    <s v="HSI Bisnis Promo HUT RI PSB 70% - 75 Mbps"/>
    <s v="INDIBIZ"/>
    <m/>
    <m/>
    <d v="2026-09-03T15:00:00"/>
    <s v="2026-09-03 15:00:00 | Tanggal : 3 September 2026 Jam : siang Hubungi pelanggan sebelum ke lokasi "/>
    <m/>
    <m/>
    <m/>
    <e v="#NUM!"/>
    <e v="#NUM!"/>
    <x v="0"/>
    <x v="8"/>
  </r>
  <r>
    <n v="61"/>
    <n v="1002567484"/>
    <n v="3"/>
    <x v="1"/>
    <n v="4"/>
    <s v="SOLO"/>
    <s v="KLATEN"/>
    <s v="KLX"/>
    <s v="REG"/>
    <s v="AO"/>
    <s v="NEW SALES"/>
    <s v="1P INET"/>
    <s v="MIE - SEND SURVEY"/>
    <s v="RBS-Regional 3"/>
    <d v="2026-09-02T12:32:57"/>
    <d v="2026-09-02T12:34:01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  <x v="1"/>
  </r>
  <r>
    <n v="62"/>
    <n v="1002567485"/>
    <n v="3"/>
    <x v="1"/>
    <n v="4"/>
    <s v="SOLO"/>
    <s v="KLATEN"/>
    <s v="KLX"/>
    <s v="REG"/>
    <s v="AO"/>
    <s v="NEW SALES"/>
    <s v="1P INET"/>
    <s v="MIE - SEND SURVEY"/>
    <s v="RBS-Regional 3"/>
    <d v="2026-09-02T12:32:57"/>
    <d v="2026-09-02T12:34:01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  <x v="1"/>
  </r>
  <r>
    <n v="63"/>
    <n v="1002568368"/>
    <n v="3"/>
    <x v="1"/>
    <n v="4"/>
    <s v="KUDUS"/>
    <s v="JEPARA"/>
    <s v="PEC"/>
    <s v="REG"/>
    <s v="AO"/>
    <s v="NEW SALES"/>
    <s v="1P INET"/>
    <s v="MIE - SEND SURVEY"/>
    <s v="RBS-Regional 3"/>
    <d v="2026-09-02T16:32:56"/>
    <d v="2026-09-02T16:34:01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SURVEY_NEW_MANJA"/>
    <s v="PECANGAAN"/>
    <s v="NO ADDON"/>
    <m/>
    <s v="MIE - SEND SURVEY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m/>
    <m/>
    <m/>
    <e v="#NUM!"/>
    <e v="#NUM!"/>
    <x v="0"/>
    <x v="1"/>
  </r>
  <r>
    <n v="64"/>
    <n v="1002568359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6:29:56"/>
    <d v="2026-09-02T16:32:01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SURVEY_NEW_MANJA"/>
    <s v="X"/>
    <s v="NO ADDON"/>
    <m/>
    <s v="MIE - SEND SURVEY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9"/>
  </r>
  <r>
    <n v="65"/>
    <n v="1002568374"/>
    <n v="3"/>
    <x v="6"/>
    <n v="5"/>
    <s v="SBY UTARA"/>
    <s v="KENJERAN"/>
    <s v="KBL"/>
    <s v="REG"/>
    <s v="AO"/>
    <s v="NEW SALES"/>
    <s v="1P INET"/>
    <s v="MIE - SEND SURVEY"/>
    <s v="RBS-Regional 3"/>
    <d v="2026-09-02T16:35:57"/>
    <d v="2026-09-02T16:38:0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m/>
    <s v="SURVEY_NEW_MANJA"/>
    <s v="KEBALEN"/>
    <s v="NO ADDON"/>
    <m/>
    <s v="MIE - SEND SURVEY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6"/>
  </r>
  <r>
    <n v="66"/>
    <n v="1002566618"/>
    <n v="3"/>
    <x v="5"/>
    <n v="4"/>
    <s v="MAGELANG"/>
    <s v="MAGELANG"/>
    <s v="MGE"/>
    <s v="REG"/>
    <s v="AO"/>
    <s v="NEW SALES"/>
    <s v="1P INET"/>
    <s v="MIE - SEND SURVEY"/>
    <s v="RBS-Regional 3"/>
    <d v="2026-09-02T08:18:56"/>
    <d v="2026-09-02T08:20:01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SURVEY_NEW_MANJA"/>
    <s v="X"/>
    <s v="NO ADDON"/>
    <m/>
    <s v="MIE - SEND SURVEY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m/>
    <m/>
    <m/>
    <e v="#NUM!"/>
    <e v="#NUM!"/>
    <x v="0"/>
    <x v="1"/>
  </r>
  <r>
    <n v="67"/>
    <n v="1002568238"/>
    <n v="3"/>
    <x v="7"/>
    <n v="5"/>
    <s v="MADIUN"/>
    <s v="BOJONEGORO"/>
    <s v="KDU"/>
    <s v="REG"/>
    <s v="AO"/>
    <s v="NEW SALES"/>
    <s v="1P INET"/>
    <s v="MIE - SEND SURVEY"/>
    <s v="RBS-Regional 3"/>
    <d v="2026-09-02T15:57:56"/>
    <d v="2026-09-02T16:00:02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PADANGAN"/>
    <s v="NO ADDON"/>
    <m/>
    <s v="MIE - SEND SURVEY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  <x v="11"/>
  </r>
  <r>
    <n v="68"/>
    <n v="1002568233"/>
    <n v="3"/>
    <x v="5"/>
    <n v="4"/>
    <s v="MAGELANG"/>
    <s v="MAGELANG"/>
    <s v="MGE"/>
    <s v="REG"/>
    <s v="AO"/>
    <s v="NEW SALES"/>
    <s v="1P INET"/>
    <s v="MIE - SEND SURVEY"/>
    <s v="RBS-Regional 3"/>
    <d v="2026-09-02T15:56:56"/>
    <d v="2026-09-02T15:58:01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SURVEY_NEW_MANJA"/>
    <s v="X"/>
    <s v="NO ADDON"/>
    <m/>
    <s v="MIE - SEND SURVEY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m/>
    <m/>
    <m/>
    <e v="#NUM!"/>
    <e v="#NUM!"/>
    <x v="0"/>
    <x v="1"/>
  </r>
  <r>
    <n v="69"/>
    <n v="1002568226"/>
    <n v="3"/>
    <x v="6"/>
    <n v="5"/>
    <s v="SBY SELATAN"/>
    <s v="MANYAR"/>
    <s v="GBG"/>
    <s v="REG"/>
    <s v="AO"/>
    <s v="NEW SALES"/>
    <s v="1P INET"/>
    <s v="MIE - SEND SURVEY"/>
    <s v="RBS-Regional 3"/>
    <d v="2026-09-02T15:54:58"/>
    <d v="2026-09-02T15:56:01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DARMO GUBENG"/>
    <s v="NO ADDON"/>
    <m/>
    <s v="MIE - SEND SURVEY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  <x v="8"/>
  </r>
  <r>
    <n v="70"/>
    <n v="1002568177"/>
    <n v="3"/>
    <x v="4"/>
    <n v="5"/>
    <s v="DENPASAR"/>
    <s v="SANUR"/>
    <s v="TOP"/>
    <s v="REG"/>
    <s v="AO"/>
    <s v="NEW SALES"/>
    <m/>
    <s v="MIE - SEND SURVEY"/>
    <s v="RBS-Regional 3"/>
    <d v="2026-09-02T16:02:54"/>
    <d v="2026-09-02T17:16:02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SURVEY_NEW_MANJA"/>
    <s v="TOHPATI SUKAWATI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m/>
    <m/>
    <m/>
    <e v="#NUM!"/>
    <e v="#NUM!"/>
    <x v="0"/>
    <x v="3"/>
  </r>
  <r>
    <n v="71"/>
    <n v="1002568264"/>
    <n v="3"/>
    <x v="5"/>
    <n v="4"/>
    <s v="PURWOKERTO"/>
    <s v="BANJARNEGARA"/>
    <s v="BJR"/>
    <s v="REG"/>
    <s v="AO"/>
    <s v="NEW SALES"/>
    <s v="1P INET"/>
    <s v="MIE - SEND SURVEY"/>
    <s v="RBS-Regional 3"/>
    <d v="2026-09-02T16:03:57"/>
    <d v="2026-09-02T16:06:01"/>
    <n v="69382512"/>
    <m/>
    <n v="146372103317"/>
    <s v="CV PRESTASI ANAK BANGSA"/>
    <s v="ODP-BJR-FJ/145 FJ/D10/145.01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SURVEY_NEW_MANJA"/>
    <s v="X"/>
    <s v="NO ADDON"/>
    <m/>
    <s v="MIE - SEND SURVEY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m/>
    <m/>
    <m/>
    <e v="#NUM!"/>
    <e v="#NUM!"/>
    <x v="0"/>
    <x v="1"/>
  </r>
  <r>
    <n v="72"/>
    <n v="1002567022"/>
    <n v="3"/>
    <x v="7"/>
    <n v="5"/>
    <s v="MALANG"/>
    <s v="KEPANJEN"/>
    <s v="TUR"/>
    <s v="REG"/>
    <s v="AO"/>
    <s v="NEW SALES"/>
    <m/>
    <s v="MIE - SEND SURVEY"/>
    <s v="RBS-Regional 3"/>
    <d v="2026-09-02T10:16:15"/>
    <d v="2026-09-02T15:00:04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m/>
    <m/>
    <m/>
    <e v="#NUM!"/>
    <e v="#NUM!"/>
    <x v="0"/>
    <x v="16"/>
  </r>
  <r>
    <n v="73"/>
    <n v="1002567049"/>
    <n v="3"/>
    <x v="7"/>
    <n v="5"/>
    <s v="MALANG"/>
    <s v="KEPANJEN"/>
    <s v="TUR"/>
    <s v="REG"/>
    <s v="AO"/>
    <s v="NEW SALES"/>
    <m/>
    <s v="MIE - SEND SURVEY"/>
    <s v="RBS-Regional 3"/>
    <d v="2026-09-02T10:21:44"/>
    <d v="2026-09-02T15:00:01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m/>
    <m/>
    <m/>
    <e v="#NUM!"/>
    <e v="#NUM!"/>
    <x v="0"/>
    <x v="16"/>
  </r>
  <r>
    <n v="74"/>
    <n v="1002567011"/>
    <n v="3"/>
    <x v="2"/>
    <n v="4"/>
    <s v="PEKALONGAN"/>
    <s v="SLAWI"/>
    <s v="SLW"/>
    <s v="REG"/>
    <s v="AO"/>
    <s v="NEW SALES"/>
    <m/>
    <s v="MIE - SEND SURVEY"/>
    <s v="RBS-Regional 3"/>
    <d v="2026-09-02T10:10:57"/>
    <d v="2026-09-02T15:22:01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1"/>
  </r>
  <r>
    <n v="75"/>
    <n v="1002567524"/>
    <n v="3"/>
    <x v="3"/>
    <n v="5"/>
    <s v="MATARAM"/>
    <s v="LOMBOK TIMUR UTARA"/>
    <s v="SGG"/>
    <s v="REG"/>
    <s v="AO"/>
    <s v="NEW SALES"/>
    <s v="1P INET"/>
    <s v="MIE - SEND SURVEY"/>
    <s v="RBS-Regional 3"/>
    <d v="2026-09-02T12:54:56"/>
    <d v="2026-09-02T12:56:01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SURVEY_NEW_MANJA"/>
    <s v="LOMBOK UTARA"/>
    <s v="NO ADDON"/>
    <m/>
    <s v="MIE - SEND SURVEY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2"/>
  </r>
  <r>
    <n v="76"/>
    <n v="1002567530"/>
    <n v="3"/>
    <x v="3"/>
    <n v="5"/>
    <s v="MATARAM"/>
    <s v="INNER - NUSA TENGGARA"/>
    <s v="MTR"/>
    <s v="REG"/>
    <s v="AO"/>
    <s v="NEW SALES"/>
    <s v="1P INET"/>
    <s v="MIE - SEND SURVEY"/>
    <s v="RBS-Regional 3"/>
    <d v="2026-09-02T12:57:58"/>
    <d v="2026-09-02T13:00:0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SURVEY_NEW_MANJA"/>
    <s v="X"/>
    <s v="NO ADDON"/>
    <m/>
    <s v="MIE - SEND SURVEY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9"/>
  </r>
  <r>
    <n v="77"/>
    <n v="1002567529"/>
    <n v="3"/>
    <x v="2"/>
    <n v="4"/>
    <s v="SEMARANG"/>
    <s v="INNER - SEMARANG JATENG UTARA"/>
    <s v="JHR"/>
    <s v="REG"/>
    <s v="AO"/>
    <s v="NEW SALES"/>
    <s v="1P INET"/>
    <s v="MIE - SEND SURVEY"/>
    <s v="RBS-Regional 3"/>
    <d v="2026-09-02T12:57:57"/>
    <d v="2026-09-02T13:00:02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SURVEY_NEW_MANJA"/>
    <s v="JOHAR"/>
    <s v="NO ADDON"/>
    <m/>
    <s v="MIE - SEND SURVEY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1"/>
  </r>
  <r>
    <n v="78"/>
    <n v="1002567147"/>
    <n v="3"/>
    <x v="2"/>
    <n v="4"/>
    <s v="PEKALONGAN"/>
    <s v="BREBES"/>
    <s v="KTM"/>
    <s v="REG"/>
    <s v="AO"/>
    <s v="NEW SALES"/>
    <s v="1P INET"/>
    <s v="MIE - SEND SURVEY"/>
    <s v="RBS-Regional 3"/>
    <d v="2026-09-02T10:44:56"/>
    <d v="2026-09-02T10:46:01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m/>
    <s v="SURVEY_NEW_MANJA"/>
    <s v="KETANGGUNGAN"/>
    <s v="NO ADDON"/>
    <m/>
    <s v="MIE - SEND SURVEY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1"/>
  </r>
  <r>
    <n v="79"/>
    <n v="1002566014"/>
    <n v="3"/>
    <x v="1"/>
    <n v="4"/>
    <s v="SOLO"/>
    <s v="INNER - SOLO JATENG TIMUR"/>
    <s v="SOP"/>
    <s v="REG"/>
    <s v="AO"/>
    <s v="NEW SALES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  <x v="1"/>
  </r>
  <r>
    <n v="80"/>
    <n v="1002566360"/>
    <n v="3"/>
    <x v="5"/>
    <n v="4"/>
    <s v="PURWOKERTO"/>
    <s v="BANJARNEGARA"/>
    <s v="BJR"/>
    <s v="REG"/>
    <s v="AO"/>
    <s v="NEW SALES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  <x v="1"/>
  </r>
  <r>
    <n v="81"/>
    <n v="1002564406"/>
    <n v="3"/>
    <x v="3"/>
    <n v="5"/>
    <s v="MATARAM"/>
    <s v="INNER - NUSA TENGGARA"/>
    <s v="MTR"/>
    <s v="REG"/>
    <s v="AO"/>
    <s v="NEW SALES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  <x v="9"/>
  </r>
  <r>
    <n v="82"/>
    <n v="1002564380"/>
    <n v="3"/>
    <x v="5"/>
    <n v="4"/>
    <s v="YOGYAKARTA"/>
    <s v="INNER - YOGYA JATENG SELATAN"/>
    <s v="KBU"/>
    <s v="REG"/>
    <s v="AO"/>
    <s v="NEW SALES"/>
    <m/>
    <s v="MIE - SEND SURVEY"/>
    <s v="RBS-Regional 2"/>
    <d v="2026-09-01T09:27:38"/>
    <d v="2026-09-02T13:58:01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1"/>
  </r>
  <r>
    <n v="83"/>
    <n v="1002564622"/>
    <n v="3"/>
    <x v="1"/>
    <n v="4"/>
    <s v="SOLO"/>
    <s v="INNER - SOLO JATENG TIMUR"/>
    <s v="MSO"/>
    <s v="REG"/>
    <s v="AO"/>
    <s v="NEW SALES"/>
    <m/>
    <s v="MIE - SEND SURVEY"/>
    <s v="RBS-Regional 3"/>
    <d v="2026-09-01T10:08:08"/>
    <d v="2026-09-02T12:26:02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m/>
    <m/>
    <m/>
    <e v="#NUM!"/>
    <e v="#NUM!"/>
    <x v="0"/>
    <x v="1"/>
  </r>
  <r>
    <n v="84"/>
    <n v="1002564895"/>
    <n v="3"/>
    <x v="3"/>
    <n v="5"/>
    <s v="MATARAM"/>
    <s v="LOMBOK BARAT TENGAH"/>
    <s v="GER"/>
    <s v="REG"/>
    <s v="AO"/>
    <s v="NEW SALES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  <x v="2"/>
  </r>
  <r>
    <n v="85"/>
    <n v="1002565594"/>
    <n v="3"/>
    <x v="3"/>
    <n v="5"/>
    <s v="MATARAM"/>
    <s v="LOMBOK BARAT TENGAH"/>
    <s v="GER"/>
    <s v="REG"/>
    <s v="AO"/>
    <s v="NEW SALES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  <x v="2"/>
  </r>
  <r>
    <n v="86"/>
    <n v="1002566429"/>
    <n v="3"/>
    <x v="4"/>
    <n v="5"/>
    <s v="DENPASAR"/>
    <s v="SANUR"/>
    <s v="SAU"/>
    <s v="REG"/>
    <s v="AO"/>
    <s v="NEW SALES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"/>
  </r>
  <r>
    <n v="87"/>
    <n v="1002564240"/>
    <n v="3"/>
    <x v="3"/>
    <n v="5"/>
    <s v="MATARAM"/>
    <s v="LOMBOK BARAT TENGAH"/>
    <s v="GER"/>
    <s v="REG"/>
    <s v="AO"/>
    <s v="NEW SALES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"/>
  </r>
  <r>
    <n v="88"/>
    <n v="1002566294"/>
    <n v="3"/>
    <x v="7"/>
    <n v="5"/>
    <s v="MALANG"/>
    <s v="KEPANJEN"/>
    <s v="BRG"/>
    <s v="REG"/>
    <s v="AO"/>
    <s v="NEW SALES"/>
    <m/>
    <s v="MIE - SEND SURVEY"/>
    <s v="RBS-Regional 3"/>
    <d v="2026-09-01T16:46:18"/>
    <d v="2026-09-02T12:04:07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SURVEY_NEW_MANJA"/>
    <s v="SAWOJAJ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m/>
    <m/>
    <m/>
    <e v="#NUM!"/>
    <e v="#NUM!"/>
    <x v="0"/>
    <x v="16"/>
  </r>
  <r>
    <n v="89"/>
    <n v="1002566159"/>
    <n v="3"/>
    <x v="1"/>
    <n v="4"/>
    <s v="SOLO"/>
    <s v="INNER - SOLO JATENG TIMUR"/>
    <s v="MSO"/>
    <s v="REG"/>
    <s v="AO"/>
    <s v="NEW SALES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  <x v="1"/>
  </r>
  <r>
    <n v="90"/>
    <n v="1002567365"/>
    <n v="3"/>
    <x v="6"/>
    <n v="5"/>
    <s v="SBY UTARA"/>
    <s v="TANDES"/>
    <s v="KNN"/>
    <s v="REG"/>
    <s v="AO"/>
    <s v="NEW SALES"/>
    <m/>
    <s v="QC MIA - INVALID QUALITY CONTROL MIA"/>
    <s v="RBS-Regional 3"/>
    <d v="2026-09-02T11:55:49"/>
    <d v="2026-09-02T14:52:44"/>
    <n v="69382219"/>
    <m/>
    <n v="152412249119"/>
    <s v="PT. TRIJAYA SPORTECH"/>
    <s v="ODP-KND-FAA/08"/>
    <m/>
    <m/>
    <m/>
    <m/>
    <n v="112.6592418"/>
    <n v="-7.2758864000000001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m/>
    <m/>
    <m/>
    <d v="2026-02-09T12:09:56"/>
    <m/>
    <m/>
    <s v="QC1"/>
    <s v="KANDANG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91"/>
    <n v="1002566559"/>
    <n v="3"/>
    <x v="6"/>
    <n v="5"/>
    <s v="SBY UTARA"/>
    <s v="MANYAR"/>
    <s v="MGO"/>
    <s v="REG"/>
    <s v="AO"/>
    <s v="NEW SALES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8"/>
  </r>
  <r>
    <n v="92"/>
    <n v="1002567328"/>
    <n v="3"/>
    <x v="6"/>
    <n v="5"/>
    <s v="SBY UTARA"/>
    <s v="MANYAR"/>
    <s v="MGO"/>
    <s v="REG"/>
    <s v="AO"/>
    <s v="NEW SALES"/>
    <s v="1P INET"/>
    <s v="MIA - INVALID SURVEY"/>
    <s v="RBS-Regional 3"/>
    <d v="2026-09-02T11:36:57"/>
    <d v="2026-09-02T21:39:15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SURVEY_NEW_MANJA"/>
    <s v="MERGOYOSO"/>
    <s v="NO ADDON"/>
    <m/>
    <s v="MIE - INVALID SURVEY - Kendala Jalur/Rute Tarikan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8"/>
  </r>
  <r>
    <n v="93"/>
    <n v="1002567211"/>
    <n v="3"/>
    <x v="6"/>
    <n v="5"/>
    <s v="SBY UTARA"/>
    <s v="MANYAR"/>
    <s v="MGO"/>
    <s v="REG"/>
    <s v="AO"/>
    <s v="NEW SALES"/>
    <s v="1P INET"/>
    <s v="MIA - INVALID SURVEY"/>
    <s v="RBS-Regional 3"/>
    <d v="2026-09-02T11:02:56"/>
    <d v="2026-09-02T21:41:09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SURVEY_NEW_MANJA"/>
    <s v="MERGOYOSO"/>
    <s v="OCA"/>
    <m/>
    <s v="MIE - INVALID SURVEY - Kendala Jalur/Rute Tarikan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8"/>
  </r>
  <r>
    <n v="94"/>
    <n v="1002564024"/>
    <n v="3"/>
    <x v="6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7"/>
  </r>
  <r>
    <n v="95"/>
    <n v="1002564716"/>
    <n v="3"/>
    <x v="6"/>
    <n v="5"/>
    <s v="MADURA"/>
    <s v="BANGKALAN"/>
    <s v="OMB"/>
    <s v="REG"/>
    <s v="AO"/>
    <s v="NEW SALES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7"/>
  </r>
  <r>
    <n v="96"/>
    <n v="1002566030"/>
    <n v="3"/>
    <x v="7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16"/>
  </r>
  <r>
    <n v="97"/>
    <n v="1002565040"/>
    <n v="3"/>
    <x v="6"/>
    <n v="5"/>
    <s v="SBY UTARA"/>
    <s v="LAMONGAN"/>
    <s v="BBA"/>
    <s v="REG"/>
    <s v="AO"/>
    <s v="NEW SALES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4"/>
  </r>
  <r>
    <n v="98"/>
    <n v="1002567333"/>
    <n v="3"/>
    <x v="5"/>
    <n v="4"/>
    <s v="YOGYAKARTA"/>
    <s v="INNER - YOGYA JATENG SELATAN"/>
    <s v="PGR"/>
    <s v="REG"/>
    <s v="AO"/>
    <s v="NEW SALES"/>
    <m/>
    <s v="8 | OSS - PONR"/>
    <s v="RBS-Regional 3"/>
    <d v="2026-09-02T11:39:46"/>
    <d v="2026-09-03T09:19:52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m/>
    <m/>
    <m/>
    <e v="#NUM!"/>
    <e v="#NUM!"/>
    <x v="0"/>
    <x v="1"/>
  </r>
  <r>
    <n v="99"/>
    <n v="1002566722"/>
    <n v="3"/>
    <x v="5"/>
    <n v="4"/>
    <s v="MAGELANG"/>
    <s v="WONOSOBO"/>
    <s v="WOS"/>
    <s v="REG"/>
    <s v="AO"/>
    <s v="NEW SALES"/>
    <s v="1P INET"/>
    <s v="8 | OSS - PONR"/>
    <s v="RBS-Regional 3"/>
    <d v="2026-09-02T08:51:56"/>
    <d v="2026-09-02T12:32:23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ACT_COM"/>
    <s v="X"/>
    <s v="NO ADDON"/>
    <m/>
    <s v="PONR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m/>
    <m/>
    <m/>
    <e v="#NUM!"/>
    <e v="#NUM!"/>
    <x v="0"/>
    <x v="1"/>
  </r>
  <r>
    <n v="100"/>
    <n v="1002564112"/>
    <n v="3"/>
    <x v="3"/>
    <n v="5"/>
    <s v="MATARAM"/>
    <s v="BIMA"/>
    <s v="SAP"/>
    <s v="REG"/>
    <s v="AO"/>
    <s v="NEW SALES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  <x v="18"/>
  </r>
  <r>
    <n v="101"/>
    <n v="1002564319"/>
    <n v="3"/>
    <x v="3"/>
    <n v="5"/>
    <s v="MATARAM"/>
    <s v="BIMA"/>
    <s v="BIM"/>
    <s v="REG"/>
    <s v="AO"/>
    <s v="NEW SALES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  <x v="18"/>
  </r>
  <r>
    <n v="102"/>
    <n v="1002566558"/>
    <n v="3"/>
    <x v="6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4"/>
  </r>
  <r>
    <n v="103"/>
    <n v="1002567799"/>
    <n v="3"/>
    <x v="2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1"/>
  </r>
  <r>
    <n v="104"/>
    <n v="1002567809"/>
    <n v="3"/>
    <x v="2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1"/>
  </r>
  <r>
    <n v="105"/>
    <n v="1002566950"/>
    <n v="3"/>
    <x v="7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6"/>
  </r>
  <r>
    <n v="106"/>
    <n v="1002566886"/>
    <n v="3"/>
    <x v="7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19"/>
  </r>
  <r>
    <n v="107"/>
    <n v="1002566921"/>
    <n v="3"/>
    <x v="2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1"/>
  </r>
  <r>
    <n v="108"/>
    <n v="1002567302"/>
    <n v="3"/>
    <x v="1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1"/>
  </r>
  <r>
    <n v="109"/>
    <n v="1002567508"/>
    <n v="3"/>
    <x v="4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"/>
  </r>
  <r>
    <n v="110"/>
    <n v="1002567521"/>
    <n v="3"/>
    <x v="1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1"/>
  </r>
  <r>
    <n v="111"/>
    <n v="1002567513"/>
    <n v="3"/>
    <x v="3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9"/>
  </r>
  <r>
    <n v="112"/>
    <n v="1002567512"/>
    <n v="3"/>
    <x v="4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"/>
  </r>
  <r>
    <n v="113"/>
    <n v="1002567503"/>
    <n v="3"/>
    <x v="2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1"/>
  </r>
  <r>
    <n v="114"/>
    <n v="1002568520"/>
    <n v="3"/>
    <x v="3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2"/>
  </r>
  <r>
    <n v="115"/>
    <n v="1002568199"/>
    <n v="3"/>
    <x v="1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1"/>
  </r>
  <r>
    <n v="116"/>
    <n v="1002567254"/>
    <n v="3"/>
    <x v="3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20"/>
  </r>
  <r>
    <n v="117"/>
    <n v="1002567272"/>
    <n v="3"/>
    <x v="0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1"/>
  </r>
  <r>
    <n v="118"/>
    <n v="1002567574"/>
    <n v="3"/>
    <x v="5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1"/>
  </r>
  <r>
    <n v="119"/>
    <n v="1002568118"/>
    <n v="3"/>
    <x v="3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2"/>
  </r>
  <r>
    <n v="120"/>
    <n v="1002567608"/>
    <n v="3"/>
    <x v="4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22"/>
  </r>
  <r>
    <n v="121"/>
    <n v="1002567630"/>
    <n v="3"/>
    <x v="4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22"/>
  </r>
  <r>
    <n v="122"/>
    <n v="1002567620"/>
    <n v="3"/>
    <x v="4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22"/>
  </r>
  <r>
    <n v="123"/>
    <n v="1002567446"/>
    <n v="3"/>
    <x v="5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1"/>
  </r>
  <r>
    <n v="124"/>
    <n v="1002567231"/>
    <n v="3"/>
    <x v="0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1"/>
  </r>
  <r>
    <n v="125"/>
    <n v="1002567226"/>
    <n v="3"/>
    <x v="5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1"/>
  </r>
  <r>
    <n v="126"/>
    <n v="1002567225"/>
    <n v="3"/>
    <x v="7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23"/>
  </r>
  <r>
    <n v="127"/>
    <n v="1002567199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1"/>
  </r>
  <r>
    <n v="128"/>
    <n v="1002568293"/>
    <n v="3"/>
    <x v="2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1"/>
  </r>
  <r>
    <n v="129"/>
    <n v="1002566882"/>
    <n v="3"/>
    <x v="7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19"/>
  </r>
  <r>
    <n v="130"/>
    <n v="1002566836"/>
    <n v="3"/>
    <x v="7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3"/>
  </r>
  <r>
    <n v="131"/>
    <n v="1002566565"/>
    <n v="3"/>
    <x v="1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1"/>
  </r>
  <r>
    <n v="132"/>
    <n v="1002567058"/>
    <n v="3"/>
    <x v="7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16"/>
  </r>
  <r>
    <n v="133"/>
    <n v="1002566710"/>
    <n v="3"/>
    <x v="7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19"/>
  </r>
  <r>
    <n v="134"/>
    <n v="1002567152"/>
    <n v="3"/>
    <x v="7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135"/>
    <n v="1002567545"/>
    <n v="3"/>
    <x v="7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24"/>
  </r>
  <r>
    <n v="136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5"/>
  </r>
  <r>
    <n v="137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5"/>
  </r>
  <r>
    <n v="138"/>
    <n v="1002564394"/>
    <n v="3"/>
    <x v="3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20"/>
  </r>
  <r>
    <n v="139"/>
    <n v="1002564794"/>
    <n v="3"/>
    <x v="3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18"/>
  </r>
  <r>
    <n v="140"/>
    <n v="1002564072"/>
    <n v="3"/>
    <x v="5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1"/>
  </r>
  <r>
    <n v="141"/>
    <n v="1002564446"/>
    <n v="3"/>
    <x v="7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23"/>
  </r>
  <r>
    <n v="142"/>
    <n v="1002564395"/>
    <n v="3"/>
    <x v="0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1"/>
  </r>
  <r>
    <n v="143"/>
    <n v="1002564057"/>
    <n v="3"/>
    <x v="5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1"/>
  </r>
  <r>
    <n v="144"/>
    <n v="1002564025"/>
    <n v="3"/>
    <x v="3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20"/>
  </r>
  <r>
    <n v="145"/>
    <n v="1002565129"/>
    <n v="3"/>
    <x v="2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1"/>
  </r>
  <r>
    <n v="146"/>
    <n v="1002564592"/>
    <n v="3"/>
    <x v="0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5"/>
  </r>
  <r>
    <n v="147"/>
    <n v="1002565224"/>
    <n v="3"/>
    <x v="6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4"/>
  </r>
  <r>
    <n v="148"/>
    <n v="1002564429"/>
    <n v="3"/>
    <x v="6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8"/>
  </r>
  <r>
    <n v="149"/>
    <n v="1002564751"/>
    <n v="3"/>
    <x v="0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5"/>
  </r>
  <r>
    <n v="150"/>
    <n v="1002564376"/>
    <n v="3"/>
    <x v="1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1"/>
  </r>
  <r>
    <n v="151"/>
    <n v="1002564818"/>
    <n v="3"/>
    <x v="5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1"/>
  </r>
  <r>
    <n v="152"/>
    <n v="1002566468"/>
    <n v="3"/>
    <x v="0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5"/>
  </r>
  <r>
    <n v="153"/>
    <n v="1002566472"/>
    <n v="3"/>
    <x v="1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1"/>
  </r>
  <r>
    <n v="154"/>
    <n v="1002565810"/>
    <n v="3"/>
    <x v="0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1"/>
  </r>
  <r>
    <n v="155"/>
    <n v="1002565759"/>
    <n v="3"/>
    <x v="1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1"/>
  </r>
  <r>
    <n v="156"/>
    <n v="1002565180"/>
    <n v="3"/>
    <x v="3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2"/>
  </r>
  <r>
    <n v="157"/>
    <n v="1002565851"/>
    <n v="3"/>
    <x v="5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1"/>
  </r>
  <r>
    <n v="158"/>
    <n v="1002565160"/>
    <n v="3"/>
    <x v="6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8"/>
  </r>
  <r>
    <n v="159"/>
    <n v="1002565854"/>
    <n v="3"/>
    <x v="2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1"/>
  </r>
  <r>
    <n v="160"/>
    <n v="1002566045"/>
    <n v="3"/>
    <x v="1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1"/>
  </r>
  <r>
    <n v="161"/>
    <n v="1002565201"/>
    <n v="3"/>
    <x v="1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1"/>
  </r>
  <r>
    <n v="162"/>
    <n v="1002565198"/>
    <n v="3"/>
    <x v="6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4"/>
  </r>
  <r>
    <n v="163"/>
    <n v="1002565668"/>
    <n v="3"/>
    <x v="3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9"/>
  </r>
  <r>
    <n v="164"/>
    <n v="1002566034"/>
    <n v="3"/>
    <x v="3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8"/>
  </r>
  <r>
    <n v="165"/>
    <n v="1002564469"/>
    <n v="3"/>
    <x v="5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1"/>
  </r>
  <r>
    <n v="166"/>
    <n v="1002564921"/>
    <n v="3"/>
    <x v="3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9"/>
  </r>
  <r>
    <n v="167"/>
    <n v="1002564898"/>
    <n v="3"/>
    <x v="4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26"/>
  </r>
  <r>
    <n v="168"/>
    <n v="1002564914"/>
    <n v="3"/>
    <x v="7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27"/>
  </r>
  <r>
    <n v="169"/>
    <n v="1002564483"/>
    <n v="3"/>
    <x v="3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18"/>
  </r>
  <r>
    <n v="170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8"/>
  </r>
  <r>
    <n v="171"/>
    <n v="1002564906"/>
    <n v="3"/>
    <x v="5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1"/>
  </r>
  <r>
    <n v="172"/>
    <n v="1002564932"/>
    <n v="3"/>
    <x v="5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1"/>
  </r>
  <r>
    <n v="173"/>
    <n v="1002564905"/>
    <n v="3"/>
    <x v="6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6"/>
  </r>
  <r>
    <n v="174"/>
    <n v="1002564503"/>
    <n v="3"/>
    <x v="1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1"/>
  </r>
  <r>
    <n v="175"/>
    <n v="1002565698"/>
    <n v="3"/>
    <x v="3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9"/>
  </r>
  <r>
    <n v="176"/>
    <n v="1002564495"/>
    <n v="3"/>
    <x v="6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8"/>
  </r>
  <r>
    <n v="177"/>
    <n v="1002566276"/>
    <n v="3"/>
    <x v="5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1"/>
  </r>
  <r>
    <n v="178"/>
    <n v="1002565406"/>
    <n v="3"/>
    <x v="7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27"/>
  </r>
  <r>
    <n v="179"/>
    <n v="1002565062"/>
    <n v="3"/>
    <x v="3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2"/>
  </r>
  <r>
    <n v="180"/>
    <n v="1002566521"/>
    <n v="3"/>
    <x v="1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1"/>
  </r>
  <r>
    <n v="181"/>
    <n v="1002566093"/>
    <n v="3"/>
    <x v="6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8"/>
  </r>
  <r>
    <n v="182"/>
    <n v="1002564164"/>
    <n v="3"/>
    <x v="6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8"/>
  </r>
  <r>
    <n v="183"/>
    <n v="1002564167"/>
    <n v="3"/>
    <x v="3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9"/>
  </r>
  <r>
    <n v="184"/>
    <n v="1002565076"/>
    <n v="3"/>
    <x v="1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1"/>
  </r>
  <r>
    <n v="185"/>
    <n v="1002565865"/>
    <n v="3"/>
    <x v="7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23"/>
  </r>
  <r>
    <n v="186"/>
    <n v="1002566411"/>
    <n v="3"/>
    <x v="2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1"/>
  </r>
  <r>
    <n v="187"/>
    <n v="1002564644"/>
    <n v="3"/>
    <x v="5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1"/>
  </r>
  <r>
    <n v="188"/>
    <n v="1002565046"/>
    <n v="3"/>
    <x v="2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1"/>
  </r>
  <r>
    <n v="189"/>
    <n v="1002565053"/>
    <n v="3"/>
    <x v="2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1"/>
  </r>
  <r>
    <n v="190"/>
    <n v="1002564711"/>
    <n v="3"/>
    <x v="5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1"/>
  </r>
  <r>
    <n v="191"/>
    <n v="1002565535"/>
    <n v="3"/>
    <x v="1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1"/>
  </r>
  <r>
    <n v="192"/>
    <n v="1002564963"/>
    <n v="3"/>
    <x v="0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5"/>
  </r>
  <r>
    <n v="193"/>
    <n v="1002564992"/>
    <n v="3"/>
    <x v="6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4"/>
  </r>
  <r>
    <n v="194"/>
    <n v="1002565516"/>
    <n v="3"/>
    <x v="0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5"/>
  </r>
  <r>
    <n v="195"/>
    <n v="1002565015"/>
    <n v="3"/>
    <x v="5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1"/>
  </r>
  <r>
    <n v="196"/>
    <n v="1002565519"/>
    <n v="3"/>
    <x v="2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1"/>
  </r>
  <r>
    <n v="197"/>
    <n v="1002564987"/>
    <n v="3"/>
    <x v="2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1"/>
  </r>
  <r>
    <n v="198"/>
    <n v="1002565560"/>
    <n v="3"/>
    <x v="1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1"/>
  </r>
  <r>
    <n v="199"/>
    <n v="1002565555"/>
    <n v="3"/>
    <x v="3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2"/>
  </r>
  <r>
    <n v="200"/>
    <n v="1002565542"/>
    <n v="3"/>
    <x v="2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1"/>
  </r>
  <r>
    <n v="201"/>
    <n v="1002564957"/>
    <n v="3"/>
    <x v="1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1"/>
  </r>
  <r>
    <n v="202"/>
    <n v="1002564132"/>
    <n v="3"/>
    <x v="5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1"/>
  </r>
  <r>
    <n v="203"/>
    <n v="1002565586"/>
    <n v="3"/>
    <x v="0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5"/>
  </r>
  <r>
    <n v="204"/>
    <n v="1002564360"/>
    <n v="3"/>
    <x v="6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8"/>
  </r>
  <r>
    <n v="205"/>
    <n v="1002564309"/>
    <n v="3"/>
    <x v="0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1"/>
  </r>
  <r>
    <n v="206"/>
    <n v="1002566447"/>
    <n v="3"/>
    <x v="3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2"/>
  </r>
  <r>
    <n v="207"/>
    <n v="1002566441"/>
    <n v="3"/>
    <x v="0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5"/>
  </r>
  <r>
    <n v="208"/>
    <n v="1002566432"/>
    <n v="3"/>
    <x v="7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6"/>
  </r>
  <r>
    <n v="209"/>
    <n v="1002566437"/>
    <n v="3"/>
    <x v="2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"/>
  </r>
  <r>
    <n v="210"/>
    <n v="1002566415"/>
    <n v="3"/>
    <x v="3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2"/>
  </r>
  <r>
    <n v="211"/>
    <n v="1002564252"/>
    <n v="3"/>
    <x v="0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212"/>
    <n v="1002564257"/>
    <n v="3"/>
    <x v="2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1"/>
  </r>
  <r>
    <n v="213"/>
    <n v="1002566137"/>
    <n v="3"/>
    <x v="7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16"/>
  </r>
  <r>
    <n v="214"/>
    <n v="1002566283"/>
    <n v="3"/>
    <x v="7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16"/>
  </r>
  <r>
    <n v="215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8"/>
  </r>
  <r>
    <n v="216"/>
    <n v="1002566131"/>
    <n v="3"/>
    <x v="5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1"/>
  </r>
  <r>
    <n v="217"/>
    <n v="1002566337"/>
    <n v="3"/>
    <x v="0"/>
    <n v="5"/>
    <s v="SIDOARJO"/>
    <s v="JOMBANG"/>
    <s v="MOJ"/>
    <s v="REG"/>
    <s v="AO"/>
    <s v="NEW SALES"/>
    <s v="1P INET"/>
    <s v="OSS - PROVISIONING DESAIN"/>
    <s v="RBS-Regional 3"/>
    <d v="2026-09-01T16:54:56"/>
    <d v="2026-09-02T17:03:19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RE_PI"/>
    <s v="JOMBANG"/>
    <s v="NO ADDON"/>
    <m/>
    <s v="Provisioning Designed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15"/>
  </r>
  <r>
    <n v="218"/>
    <n v="1002566996"/>
    <n v="3"/>
    <x v="3"/>
    <n v="5"/>
    <s v="KUPANG"/>
    <s v="ATAMBUA"/>
    <s v="KEF"/>
    <s v="REG"/>
    <s v="AO"/>
    <s v="NEW SALES"/>
    <s v="1P INET"/>
    <s v="7 | OSS - PROVISIONING ISSUED"/>
    <s v="RBS-Regional 3"/>
    <d v="2026-09-02T10:06:56"/>
    <d v="2026-09-03T08:06:10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  <x v="29"/>
  </r>
  <r>
    <n v="219"/>
    <n v="1002566938"/>
    <n v="3"/>
    <x v="1"/>
    <n v="4"/>
    <s v="SOLO"/>
    <s v="INNER - SOLO JATENG TIMUR"/>
    <s v="GLD"/>
    <s v="REG"/>
    <s v="AO"/>
    <s v="NEW SALES"/>
    <m/>
    <s v="7 | OSS - PROVISIONING ISSUED"/>
    <s v="RBS-Regional 2"/>
    <d v="2026-09-02T09:53:56"/>
    <d v="2026-09-03T08:06:46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1"/>
  </r>
  <r>
    <n v="220"/>
    <n v="1002566926"/>
    <n v="3"/>
    <x v="4"/>
    <n v="5"/>
    <s v="SINGARJA"/>
    <s v="TABANAN"/>
    <s v="TBN"/>
    <s v="REG"/>
    <s v="AO"/>
    <s v="NEW SALES"/>
    <m/>
    <s v="7 | OSS - PROVISIONING ISSUED"/>
    <s v="RBS-Regional 3"/>
    <d v="2026-09-02T09:49:20"/>
    <d v="2026-09-03T08:05:42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4"/>
  </r>
  <r>
    <n v="221"/>
    <n v="1002567273"/>
    <n v="3"/>
    <x v="5"/>
    <n v="4"/>
    <s v="MAGELANG"/>
    <s v="TEMANGGUNG"/>
    <s v="PRN"/>
    <s v="REG"/>
    <s v="AO"/>
    <s v="NEW SALES"/>
    <s v="1P INET"/>
    <s v="7 | OSS - PROVISIONING ISSUED"/>
    <s v="RBS-Regional 3"/>
    <d v="2026-09-02T11:20:56"/>
    <d v="2026-09-03T08:06:30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I"/>
    <s v="PARAKAN"/>
    <s v="NO ADDON"/>
    <m/>
    <s v="Provisioning Issu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"/>
  </r>
  <r>
    <n v="222"/>
    <n v="1002566584"/>
    <n v="3"/>
    <x v="3"/>
    <n v="5"/>
    <s v="KUPANG"/>
    <s v="MAUMERE"/>
    <s v="MMR"/>
    <s v="REG"/>
    <s v="AO"/>
    <s v="NEW SALES"/>
    <s v="1P INET"/>
    <s v="7 | OSS - PROVISIONING ISSUED"/>
    <s v="RBS-Regional 3"/>
    <d v="2026-09-02T07:48:57"/>
    <d v="2026-09-02T17:40:33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I"/>
    <s v="X"/>
    <s v="NO ADDON"/>
    <m/>
    <s v="Provisioning Issu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m/>
    <m/>
    <m/>
    <e v="#NUM!"/>
    <e v="#NUM!"/>
    <x v="0"/>
    <x v="10"/>
  </r>
  <r>
    <n v="223"/>
    <n v="1002566762"/>
    <n v="3"/>
    <x v="6"/>
    <n v="5"/>
    <s v="SBY SELATAN"/>
    <s v="KETINTANG"/>
    <s v="RKT"/>
    <s v="REG"/>
    <s v="AO"/>
    <s v="NEW SALES"/>
    <s v="1P INET"/>
    <s v="7 | OSS - PROVISIONING ISSUED"/>
    <s v="RBS-Regional 3"/>
    <d v="2026-09-02T09:05:56"/>
    <d v="2026-09-03T08:07:48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m/>
    <s v="PI"/>
    <s v="RUNGKUT"/>
    <s v="NO ADDON"/>
    <m/>
    <s v="Provisioning Issu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8"/>
  </r>
  <r>
    <n v="224"/>
    <n v="1002567344"/>
    <n v="3"/>
    <x v="3"/>
    <n v="5"/>
    <s v="KUPANG"/>
    <s v="KUPANG"/>
    <s v="OSP"/>
    <s v="REG"/>
    <s v="AO"/>
    <s v="NEW SALES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30"/>
  </r>
  <r>
    <n v="225"/>
    <n v="1002566793"/>
    <n v="3"/>
    <x v="2"/>
    <n v="4"/>
    <s v="PEKALONGAN"/>
    <s v="PEKALONGAN"/>
    <s v="PKL"/>
    <s v="REG"/>
    <s v="AO"/>
    <s v="NEW SALES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1"/>
  </r>
  <r>
    <n v="226"/>
    <n v="1002566634"/>
    <n v="3"/>
    <x v="3"/>
    <n v="5"/>
    <s v="KUPANG"/>
    <s v="MAUMERE"/>
    <s v="LRT"/>
    <s v="REG"/>
    <s v="AO"/>
    <s v="NEW SALES"/>
    <s v="1P INET"/>
    <s v="7 | OSS - PROVISIONING ISSUED"/>
    <s v="RBS-Regional 3"/>
    <d v="2026-09-02T08:23:57"/>
    <d v="2026-09-03T08:06:19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10"/>
  </r>
  <r>
    <n v="227"/>
    <n v="1002566611"/>
    <n v="3"/>
    <x v="3"/>
    <n v="5"/>
    <s v="KUPANG"/>
    <s v="KUPANG"/>
    <s v="KPN"/>
    <s v="REG"/>
    <s v="AO"/>
    <s v="NEW SALES"/>
    <s v="1P INET"/>
    <s v="7 | OSS - PROVISIONING ISSUED"/>
    <s v="RBS-Regional 3"/>
    <d v="2026-09-02T08:15:57"/>
    <d v="2026-09-03T08:06:53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I"/>
    <s v="KUPANG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"/>
    <m/>
    <m/>
    <m/>
    <e v="#NUM!"/>
    <e v="#NUM!"/>
    <x v="0"/>
    <x v="30"/>
  </r>
  <r>
    <n v="228"/>
    <n v="1002566719"/>
    <n v="3"/>
    <x v="6"/>
    <n v="5"/>
    <s v="SBY UTARA"/>
    <s v="TANDES"/>
    <s v="BBE"/>
    <s v="REG"/>
    <s v="AO"/>
    <s v="NEW SALES"/>
    <m/>
    <s v="7 | OSS - PROVISIONING ISSUED"/>
    <s v="RBS-Regional 3"/>
    <d v="2026-09-02T08:52:50"/>
    <d v="2026-09-03T08:05:38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m/>
    <s v="PI"/>
    <s v="BAMBE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6"/>
  </r>
  <r>
    <n v="229"/>
    <n v="1002567130"/>
    <n v="3"/>
    <x v="7"/>
    <n v="5"/>
    <s v="KEDIRI"/>
    <s v="KEDIRI"/>
    <s v="KDI"/>
    <s v="REG"/>
    <s v="AO"/>
    <s v="NEW SALES"/>
    <s v="1P INET"/>
    <s v="7 | OSS - PROVISIONING ISSUED"/>
    <s v="RBS-Regional 3"/>
    <d v="2026-09-02T10:39:57"/>
    <d v="2026-09-03T08:06:3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m/>
    <m/>
    <m/>
    <e v="#NUM!"/>
    <e v="#NUM!"/>
    <x v="0"/>
    <x v="23"/>
  </r>
  <r>
    <n v="230"/>
    <n v="1002566682"/>
    <n v="3"/>
    <x v="4"/>
    <n v="5"/>
    <s v="SINGARJA"/>
    <s v="TABANAN"/>
    <s v="TBN"/>
    <s v="REG"/>
    <s v="AO"/>
    <s v="NEW SALES"/>
    <m/>
    <s v="7 | OSS - PROVISIONING ISSUED"/>
    <s v="RBS-Regional 3"/>
    <d v="2026-09-02T08:39:33"/>
    <d v="2026-09-03T08:06:21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4"/>
  </r>
  <r>
    <n v="231"/>
    <n v="1002567158"/>
    <n v="3"/>
    <x v="2"/>
    <n v="4"/>
    <s v="PEKALONGAN"/>
    <s v="SLAWI"/>
    <s v="BLU"/>
    <s v="REG"/>
    <s v="AO"/>
    <s v="NEW SALES"/>
    <s v="1P INET"/>
    <s v="7 | OSS - PROVISIONING ISSUED"/>
    <s v="RBS-Regional 3"/>
    <d v="2026-09-02T10:47:56"/>
    <d v="2026-09-03T08:05:35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I"/>
    <s v="X"/>
    <s v="NO ADDON"/>
    <m/>
    <s v="Provisioning Issu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  <x v="1"/>
  </r>
  <r>
    <n v="232"/>
    <n v="1002566694"/>
    <n v="3"/>
    <x v="3"/>
    <n v="5"/>
    <s v="KUPANG"/>
    <s v="MAUMERE"/>
    <s v="LRT"/>
    <s v="REG"/>
    <s v="AO"/>
    <s v="NEW SALES"/>
    <s v="1P INET"/>
    <s v="7 | OSS - PROVISIONING ISSUED"/>
    <s v="RBS-Regional 3"/>
    <d v="2026-09-02T08:42:57"/>
    <d v="2026-09-03T08:05:37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  <x v="10"/>
  </r>
  <r>
    <n v="233"/>
    <n v="1002567171"/>
    <n v="3"/>
    <x v="1"/>
    <n v="4"/>
    <s v="SOLO"/>
    <s v="INNER - SOLO JATENG TIMUR"/>
    <s v="KRT"/>
    <s v="REG"/>
    <s v="AO"/>
    <s v="NEW SALES"/>
    <s v="1P INET"/>
    <s v="7 | OSS - PROVISIONING ISSUED"/>
    <s v="RBS-Regional 3"/>
    <d v="2026-09-02T10:51:57"/>
    <d v="2026-09-03T08:06:45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m/>
    <m/>
    <m/>
    <e v="#NUM!"/>
    <e v="#NUM!"/>
    <x v="0"/>
    <x v="1"/>
  </r>
  <r>
    <n v="234"/>
    <n v="1002566199"/>
    <n v="3"/>
    <x v="3"/>
    <n v="5"/>
    <s v="KUPANG"/>
    <s v="KUPANG"/>
    <s v="KPN"/>
    <s v="REG"/>
    <s v="AO"/>
    <s v="NEW SALES"/>
    <s v="1P INET"/>
    <s v="7 | OSS - PROVISIONING ISSUED"/>
    <s v="RBS-Regional 3"/>
    <d v="2026-09-01T16:18:56"/>
    <d v="2026-09-02T13:06:17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I"/>
    <s v="KUPANG"/>
    <s v="NO ADDON"/>
    <m/>
    <s v="Provisioning Issu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30"/>
  </r>
  <r>
    <n v="235"/>
    <n v="1002564623"/>
    <n v="3"/>
    <x v="7"/>
    <n v="5"/>
    <s v="KEDIRI"/>
    <s v="BLITAR"/>
    <s v="PAN"/>
    <s v="REG"/>
    <s v="AO"/>
    <s v="NEW SALES"/>
    <s v="1P INET"/>
    <s v="7 | OSS - PROVISIONING ISSUED"/>
    <s v="RBS-Regional 3"/>
    <d v="2026-09-01T10:06:56"/>
    <d v="2026-09-02T16:15:5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m/>
    <s v="PI"/>
    <s v="WLINGI"/>
    <s v="NO ADDON"/>
    <m/>
    <s v="Provisioning Issued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24"/>
  </r>
  <r>
    <n v="236"/>
    <n v="1002564858"/>
    <n v="3"/>
    <x v="3"/>
    <n v="5"/>
    <s v="MATARAM"/>
    <s v="SUMBAWA"/>
    <s v="ALA"/>
    <s v="REG"/>
    <s v="AO"/>
    <s v="NEW SALES"/>
    <s v="1P INET"/>
    <s v="7 | OSS - PROVISIONING ISSUED"/>
    <s v="RBS-Regional 3"/>
    <d v="2026-09-01T10:50:57"/>
    <d v="2026-09-02T09:57:13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PI"/>
    <s v="SUMBAWA TIMUR"/>
    <s v="NO ADDON"/>
    <m/>
    <s v="Provisioning Issued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20"/>
  </r>
  <r>
    <n v="237"/>
    <n v="1002564783"/>
    <n v="3"/>
    <x v="3"/>
    <n v="5"/>
    <s v="MATARAM"/>
    <s v="LOMBOK TIMUR UTARA"/>
    <s v="SGG"/>
    <s v="REG"/>
    <s v="AO"/>
    <s v="NEW SALES"/>
    <s v="1P INET"/>
    <s v="7 | OSS - PROVISIONING ISSUED"/>
    <s v="RBS-Regional 3"/>
    <d v="2026-09-01T10:38:56"/>
    <d v="2026-09-02T15:27:3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I"/>
    <s v="LOMBOK UTARA"/>
    <s v="NO ADDON"/>
    <m/>
    <s v="Provisioning Issu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  <x v="2"/>
  </r>
  <r>
    <n v="238"/>
    <n v="1002565482"/>
    <n v="3"/>
    <x v="2"/>
    <n v="4"/>
    <s v="SEMARANG"/>
    <s v="INNER - SEMARANG JATENG UTARA"/>
    <s v="SSL"/>
    <s v="REG"/>
    <s v="AO"/>
    <s v="NEW SALES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1"/>
  </r>
  <r>
    <n v="239"/>
    <n v="1002564593"/>
    <n v="3"/>
    <x v="3"/>
    <n v="5"/>
    <s v="MATARAM"/>
    <s v="LOMBOK BARAT TENGAH"/>
    <s v="PRY"/>
    <s v="REG"/>
    <s v="AO"/>
    <s v="NEW SALES"/>
    <s v="1P INET"/>
    <s v="7 | OSS - PROVISIONING ISSUED"/>
    <s v="RBS-Regional 3"/>
    <d v="2026-09-01T10:00:55"/>
    <d v="2026-09-02T10:57:29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PI"/>
    <s v="LOMBOK TENGAH"/>
    <s v="NO ADDON"/>
    <m/>
    <s v="Provisioning Issu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2"/>
  </r>
  <r>
    <n v="240"/>
    <n v="1002566497"/>
    <n v="3"/>
    <x v="3"/>
    <n v="5"/>
    <s v="KUPANG"/>
    <s v="KUPANG"/>
    <s v="BAA"/>
    <s v="REG"/>
    <s v="AO"/>
    <s v="NEW SALES"/>
    <s v="1P INET"/>
    <s v="7 | OSS - PROVISIONING ISSUED"/>
    <s v="RBS-Regional 3"/>
    <d v="2026-09-01T19:12:02"/>
    <d v="2026-09-03T08:06:33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I"/>
    <s v="X"/>
    <s v="NETMONK"/>
    <m/>
    <s v="Provisioning Issu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30"/>
  </r>
  <r>
    <n v="241"/>
    <n v="1002566474"/>
    <n v="3"/>
    <x v="1"/>
    <n v="4"/>
    <s v="KUDUS"/>
    <s v="PURWODADI"/>
    <s v="GBU"/>
    <s v="REG"/>
    <s v="AO"/>
    <s v="NEW SALES"/>
    <s v="1P INET"/>
    <s v="7 | OSS - PROVISIONING ISSUED"/>
    <s v="RBS-Regional 3"/>
    <d v="2026-09-01T18:36:56"/>
    <d v="2026-09-03T08:06:06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PI"/>
    <s v="GUBUG"/>
    <s v="NO ADDON"/>
    <m/>
    <s v="Provisioning Issu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1"/>
  </r>
  <r>
    <n v="242"/>
    <n v="1002565843"/>
    <n v="3"/>
    <x v="0"/>
    <n v="5"/>
    <s v="SIDOARJO"/>
    <s v="INNER - JATIM TIMUR"/>
    <s v="TUN"/>
    <s v="REG"/>
    <s v="AO"/>
    <s v="NEW SALES"/>
    <m/>
    <s v="7 | OSS - PROVISIONING ISSUED"/>
    <s v="RBS-Regional 3"/>
    <d v="2026-09-01T15:08:32"/>
    <d v="2026-09-02T17:04:17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I"/>
    <s v="TULANG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  <x v="17"/>
  </r>
  <r>
    <n v="243"/>
    <n v="1002565223"/>
    <n v="3"/>
    <x v="3"/>
    <n v="5"/>
    <s v="KUPANG"/>
    <s v="KUPANG"/>
    <s v="OSP"/>
    <s v="REG"/>
    <s v="AO"/>
    <s v="NEW SALES"/>
    <s v="1P INET"/>
    <s v="7 | OSS - PROVISIONING ISSUED"/>
    <s v="RBS-Regional 3"/>
    <d v="2026-09-01T12:21:58"/>
    <d v="2026-09-02T13:05:39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I"/>
    <s v="KUPANG"/>
    <s v="NO ADDON"/>
    <m/>
    <s v="Provisioning Issu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30"/>
  </r>
  <r>
    <n v="244"/>
    <n v="1002566046"/>
    <n v="3"/>
    <x v="3"/>
    <n v="5"/>
    <s v="KUPANG"/>
    <s v="LABOAN BAJO"/>
    <s v="RTE"/>
    <s v="REG"/>
    <s v="AO"/>
    <s v="NEW SALES"/>
    <s v="1P INET"/>
    <s v="7 | OSS - PROVISIONING ISSUED"/>
    <s v="RBS-Regional 3"/>
    <d v="2026-09-01T15:42:57"/>
    <d v="2026-09-02T13:06:46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I"/>
    <s v="X"/>
    <s v="NO ADDON"/>
    <m/>
    <s v="Provisioning Issu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31"/>
  </r>
  <r>
    <n v="245"/>
    <n v="1002564872"/>
    <n v="3"/>
    <x v="3"/>
    <n v="5"/>
    <s v="MATARAM"/>
    <s v="SUMBAWA"/>
    <s v="SBW"/>
    <s v="REG"/>
    <s v="AO"/>
    <s v="NEW SALES"/>
    <s v="1P INET"/>
    <s v="7 | OSS - PROVISIONING ISSUED"/>
    <s v="RBS-Regional 3"/>
    <d v="2026-09-01T10:54:56"/>
    <d v="2026-09-02T13:06:3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I"/>
    <s v="X"/>
    <s v="OCA"/>
    <m/>
    <s v="Provisioning Issu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  <x v="20"/>
  </r>
  <r>
    <n v="246"/>
    <n v="1002564524"/>
    <n v="3"/>
    <x v="1"/>
    <n v="4"/>
    <s v="SOLO"/>
    <s v="INNER - SOLO JATENG TIMUR"/>
    <s v="KRT"/>
    <s v="REG"/>
    <s v="AO"/>
    <s v="NEW SALES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1"/>
  </r>
  <r>
    <n v="247"/>
    <n v="1002565696"/>
    <n v="3"/>
    <x v="4"/>
    <n v="5"/>
    <s v="SINGARJA"/>
    <s v="GIANYAR"/>
    <s v="GIN"/>
    <s v="REG"/>
    <s v="AO"/>
    <s v="NEW SALES"/>
    <m/>
    <s v="7 | OSS - PROVISIONING ISSUED"/>
    <s v="RBS-Regional 3"/>
    <d v="2026-09-01T14:35:08"/>
    <d v="2026-09-03T08:06:01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26"/>
  </r>
  <r>
    <n v="248"/>
    <n v="1002566268"/>
    <n v="3"/>
    <x v="7"/>
    <n v="5"/>
    <s v="KEDIRI"/>
    <s v="KEDIRI"/>
    <s v="NDL"/>
    <s v="REG"/>
    <s v="AO"/>
    <s v="NEW SALES"/>
    <s v="1P INET"/>
    <s v="7 | OSS - PROVISIONING ISSUED"/>
    <s v="RBS-Regional 3"/>
    <d v="2026-09-01T16:36:56"/>
    <d v="2026-09-02T13:06:09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PI"/>
    <s v="NGADILUWIH"/>
    <s v="NO ADDON"/>
    <m/>
    <s v="Provisioning Issu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23"/>
  </r>
  <r>
    <n v="249"/>
    <n v="1002565310"/>
    <n v="3"/>
    <x v="3"/>
    <n v="5"/>
    <s v="MATARAM"/>
    <s v="SUMBAWA"/>
    <s v="TLW"/>
    <s v="REG"/>
    <s v="AO"/>
    <s v="NEW SALES"/>
    <s v="1P INET"/>
    <s v="7 | OSS - PROVISIONING ISSUED"/>
    <s v="RBS-Regional 3"/>
    <d v="2026-09-01T13:00:56"/>
    <d v="2026-09-02T13:05:4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PI"/>
    <s v="SUMBAWA BARAT"/>
    <s v="NO ADDON"/>
    <m/>
    <s v="Provisioning Issued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20"/>
  </r>
  <r>
    <n v="250"/>
    <n v="1002565915"/>
    <n v="3"/>
    <x v="3"/>
    <n v="5"/>
    <s v="KUPANG"/>
    <s v="KUPANG"/>
    <s v="KPN"/>
    <s v="REG"/>
    <s v="AO"/>
    <s v="NEW SALES"/>
    <s v="1P INET"/>
    <s v="7 | OSS - PROVISIONING ISSUED"/>
    <s v="RBS-Regional 3"/>
    <d v="2026-09-01T15:21:57"/>
    <d v="2026-09-02T13:06:20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I"/>
    <s v="KUPANG"/>
    <s v="NO ADDON"/>
    <m/>
    <s v="Provisioning Issu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  <x v="30"/>
  </r>
  <r>
    <n v="251"/>
    <n v="1002565896"/>
    <n v="3"/>
    <x v="7"/>
    <n v="5"/>
    <s v="KEDIRI"/>
    <s v="NGANJUK"/>
    <s v="NJK"/>
    <s v="REG"/>
    <s v="AO"/>
    <s v="NEW SALES"/>
    <s v="1P INET"/>
    <s v="7 | OSS - PROVISIONING ISSUED"/>
    <s v="RBS-Regional 3"/>
    <d v="2026-09-01T15:18:56"/>
    <d v="2026-09-02T13:07:1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I"/>
    <s v="X"/>
    <s v="NO ADDON"/>
    <m/>
    <s v="Provisioning Issu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  <x v="19"/>
  </r>
  <r>
    <n v="252"/>
    <n v="1002564991"/>
    <n v="3"/>
    <x v="3"/>
    <n v="5"/>
    <s v="MATARAM"/>
    <s v="BIMA"/>
    <s v="SAP"/>
    <s v="REG"/>
    <s v="AO"/>
    <s v="NEW SALES"/>
    <s v="1P INET"/>
    <s v="7 | OSS - PROVISIONING ISSUED"/>
    <s v="RBS-Regional 3"/>
    <d v="2026-09-01T11:15:57"/>
    <d v="2026-09-02T09:30:0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PI"/>
    <s v="BIMA BARAT"/>
    <s v="NETMONK"/>
    <m/>
    <s v="Provisioning Issued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18"/>
  </r>
  <r>
    <n v="253"/>
    <n v="1002565568"/>
    <n v="3"/>
    <x v="5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1"/>
  </r>
  <r>
    <n v="254"/>
    <n v="1002564873"/>
    <n v="3"/>
    <x v="2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1"/>
  </r>
  <r>
    <n v="255"/>
    <n v="1002564550"/>
    <n v="3"/>
    <x v="3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9"/>
  </r>
  <r>
    <n v="256"/>
    <n v="1002566859"/>
    <n v="3"/>
    <x v="7"/>
    <n v="5"/>
    <s v="MALANG"/>
    <s v="KEPANJEN"/>
    <s v="KLJ"/>
    <s v="REG"/>
    <s v="AO"/>
    <s v="NEW SALES"/>
    <s v="1P INET"/>
    <s v="OSS - PROVISIONING START"/>
    <s v="RBS-Regional 3"/>
    <d v="2026-09-02T09:33:57"/>
    <d v="2026-09-02T17:04:36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RE_PI"/>
    <s v="KLOJEN"/>
    <s v="OCA"/>
    <m/>
    <s v="Provisioning Start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  <x v="16"/>
  </r>
  <r>
    <n v="257"/>
    <n v="1002568437"/>
    <n v="3"/>
    <x v="5"/>
    <n v="4"/>
    <s v="YOGYAKARTA"/>
    <s v="INNER - YOGYA JATENG SELATAN"/>
    <s v="BBS"/>
    <s v="REG"/>
    <s v="AO"/>
    <s v="NEW SALES"/>
    <m/>
    <s v="OSS - FALLOUT"/>
    <s v="RBS-Regional 3"/>
    <d v="2026-09-02T16:59:31"/>
    <d v="2026-09-02T23:03:34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FO_OSM"/>
    <s v="X"/>
    <s v="NO ADDON"/>
    <m/>
    <s v="Provisioning Failed|OSM|INF009224701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1"/>
  </r>
  <r>
    <n v="258"/>
    <n v="1002567710"/>
    <n v="3"/>
    <x v="4"/>
    <n v="5"/>
    <s v="DENPASAR"/>
    <s v="UBUNG"/>
    <s v="MMN"/>
    <s v="REG"/>
    <s v="AO"/>
    <s v="NEW SALES"/>
    <m/>
    <s v="OSS - FALLOUT"/>
    <s v="RBS-Regional 3"/>
    <d v="2026-09-02T13:52:37"/>
    <d v="2026-09-02T18:49:45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FO_WFM"/>
    <s v="MONANG MANING"/>
    <s v="NO ADDON"/>
    <m/>
    <s v="Provisioning Failed|WFM|INF009223096|.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m/>
    <m/>
    <m/>
    <e v="#NUM!"/>
    <e v="#NUM!"/>
    <x v="0"/>
    <x v="22"/>
  </r>
  <r>
    <n v="259"/>
    <n v="1002566519"/>
    <n v="3"/>
    <x v="0"/>
    <n v="5"/>
    <s v="SIDOARJO"/>
    <s v="INNER - JATIM TIMUR"/>
    <s v="KRN"/>
    <s v="REG"/>
    <s v="AO"/>
    <s v="NEW SALES"/>
    <s v="1P INET"/>
    <s v="OSS - FALLOUT"/>
    <s v="RBS-Regional 3"/>
    <d v="2026-09-01T19:47:56"/>
    <d v="2026-09-02T18:32:47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FO_WFM"/>
    <s v="KRIAN"/>
    <s v="NO ADDON"/>
    <m/>
    <s v="Provisioning Failed|WFM|INF009222902|HOLD BY WITEL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260"/>
    <n v="1002564984"/>
    <n v="3"/>
    <x v="5"/>
    <n v="4"/>
    <s v="MAGELANG"/>
    <s v="TEMANGGUNG"/>
    <s v="PRN"/>
    <s v="REG"/>
    <s v="AO"/>
    <s v="NEW SALES"/>
    <s v="1P INET"/>
    <s v="OSS - FALLOUT"/>
    <s v="RBS-Regional 3"/>
    <d v="2026-09-01T11:14:57"/>
    <d v="2026-09-02T17:19:53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FO_WFM"/>
    <s v="PARAKAN"/>
    <s v="NO ADDON"/>
    <m/>
    <s v="Provisioning Failed|WFM|INF009222055|pelanggan tidak respon alamat tidak ditemukan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1"/>
  </r>
  <r>
    <n v="261"/>
    <n v="1002564133"/>
    <n v="3"/>
    <x v="6"/>
    <n v="5"/>
    <s v="SBY UTARA"/>
    <s v="GRESIK"/>
    <s v="SDY"/>
    <s v="REG"/>
    <s v="AO"/>
    <s v="NEW SALES"/>
    <s v="1P INET"/>
    <s v="OSS - FALLOUT"/>
    <s v="RBS-Regional 3"/>
    <d v="2026-09-01T08:36:56"/>
    <d v="2026-09-02T19:16:15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FO_WFM"/>
    <s v="GRESIK"/>
    <s v="NO ADDON"/>
    <m/>
    <s v="Provisioning Failed|WFM|INF009223380|PCL = Konfirmasi pelanggan by WA. Pelanggan batal pasang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4"/>
  </r>
  <r>
    <n v="262"/>
    <n v="1002566583"/>
    <n v="3"/>
    <x v="3"/>
    <n v="5"/>
    <s v="MATARAM"/>
    <s v="INNER - NUSA TENGGARA"/>
    <s v="MTR"/>
    <s v="REG"/>
    <s v="AO"/>
    <s v="NEW SALES"/>
    <s v="1P INET"/>
    <s v="OSS - TESTING SERVICE"/>
    <s v="RBS-Regional 3"/>
    <d v="2026-09-02T07:48:57"/>
    <d v="2026-09-03T08:10:4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ACT_COM"/>
    <s v="X"/>
    <s v="NO ADDON"/>
    <m/>
    <s v="Testing Service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m/>
    <m/>
    <m/>
    <e v="#NUM!"/>
    <e v="#NUM!"/>
    <x v="0"/>
    <x v="9"/>
  </r>
  <r>
    <n v="263"/>
    <n v="1002567232"/>
    <n v="3"/>
    <x v="0"/>
    <n v="5"/>
    <s v="JEMBER"/>
    <s v="JEMBER"/>
    <s v="SKW"/>
    <s v="REG"/>
    <s v="AO"/>
    <s v="NEW SALES"/>
    <s v="1P INET"/>
    <s v="OSS - TESTING SERVICE"/>
    <s v="RBS-Regional 3"/>
    <d v="2026-09-02T11:08:57"/>
    <d v="2026-09-02T18:58:37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ACT_COM"/>
    <s v="KEBONSARI"/>
    <s v="NO ADDON"/>
    <m/>
    <s v="Testing Service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  <x v="25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3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6939"/>
    <n v="3"/>
    <x v="0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"/>
    <n v="1002566730"/>
    <n v="3"/>
    <x v="1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"/>
    <n v="1002564244"/>
    <n v="3"/>
    <x v="2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4"/>
    <n v="1002564718"/>
    <n v="3"/>
    <x v="3"/>
    <n v="5"/>
    <s v="MATARAM"/>
    <s v="LOMBOK TIMUR UTARA"/>
    <s v="SGG"/>
    <s v="REG"/>
    <s v="AO"/>
    <x v="0"/>
    <m/>
    <s v="FCC - HD1A - PROGRESS"/>
    <s v="RBS-Regional 3"/>
    <d v="2026-09-01T10:27:24"/>
    <d v="2026-09-03T09:20:03"/>
    <n v="69381301"/>
    <m/>
    <n v="172604214258"/>
    <s v="SPPG JENGGALA 2"/>
    <s v="ODP-SGG-FAZ/21"/>
    <m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FCC"/>
    <s v="LOMBOK UTARA"/>
    <s v="NETMONK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"/>
    <n v="1002568091"/>
    <n v="3"/>
    <x v="4"/>
    <n v="5"/>
    <s v="DENPASAR"/>
    <s v="SANUR"/>
    <s v="TOP"/>
    <s v="REG"/>
    <s v="AO"/>
    <x v="0"/>
    <m/>
    <s v="MYCX - SEND OPEN PAPERLESS"/>
    <s v="RBS-Regional 2"/>
    <d v="2026-09-02T15:30:15"/>
    <d v="2026-09-02T15:32:05"/>
    <n v="69382438"/>
    <m/>
    <n v="172422212787"/>
    <s v="PT Putra Chandra Sentosa "/>
    <s v="ODP-TOP-FE/64"/>
    <m/>
    <m/>
    <m/>
    <m/>
    <n v="115.24644718691501"/>
    <n v="-8.6353376878044603"/>
    <s v="|MN00483|/0877 8730 3650/arsanibulet16@gmail.com"/>
    <s v="Sales Profesional"/>
    <m/>
    <m/>
    <m/>
    <m/>
    <m/>
    <m/>
    <m/>
    <m/>
    <m/>
    <m/>
    <m/>
    <d v="2026-02-09T15:39:57"/>
    <m/>
    <m/>
    <s v="INPROGRESS_SC"/>
    <s v="TOHPATI SUKAWATI"/>
    <s v="NETMONK"/>
    <m/>
    <s v="SEND PAPERLESS OPE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6"/>
    <n v="1002566613"/>
    <n v="3"/>
    <x v="4"/>
    <n v="5"/>
    <s v="SINGARJA"/>
    <s v="TABANAN"/>
    <s v="TBN"/>
    <s v="REG"/>
    <s v="AO"/>
    <x v="0"/>
    <m/>
    <s v="MYCX - SEND OPEN PAPERLESS"/>
    <s v="RBS-Regional 3"/>
    <d v="2026-09-02T08:18:13"/>
    <d v="2026-09-02T08:20:05"/>
    <n v="69381917"/>
    <m/>
    <n v="172413244690"/>
    <s v="WR 24 Jaam"/>
    <s v="ODP-TBN-FSA/07"/>
    <m/>
    <m/>
    <m/>
    <m/>
    <n v="114.93094189999999"/>
    <n v="-8.4741797000000005"/>
    <s v="|MN02844|/PIC MAS SUWITO/081337203373/suwito08081973@gmail.com"/>
    <s v="Sales Force DBS"/>
    <m/>
    <m/>
    <m/>
    <m/>
    <m/>
    <m/>
    <m/>
    <m/>
    <m/>
    <m/>
    <m/>
    <d v="2026-02-09T08:25:06"/>
    <m/>
    <m/>
    <s v="INPROGRESS_SC"/>
    <s v="TABAN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"/>
    <n v="1002566538"/>
    <n v="3"/>
    <x v="5"/>
    <n v="4"/>
    <s v="YOGYAKARTA"/>
    <s v="INNER - YOGYA JATENG SELATAN"/>
    <s v="KEN"/>
    <s v="REG"/>
    <s v="AO"/>
    <x v="0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"/>
    <n v="1002566671"/>
    <n v="3"/>
    <x v="4"/>
    <n v="5"/>
    <s v="SINGARJA"/>
    <s v="TABANAN"/>
    <s v="TBN"/>
    <s v="REG"/>
    <s v="AO"/>
    <x v="0"/>
    <m/>
    <s v="CC - HD1A - INPROGRESS UNCONTACTED"/>
    <s v="RBS-Regional 3"/>
    <d v="2026-09-02T08:33:23"/>
    <d v="2026-09-03T08:58:14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FCC"/>
    <s v="TABANAN"/>
    <s v="NO ADDON"/>
    <m/>
    <s v="UNCONTACTED : Mail Box - Memo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"/>
    <n v="1002568161"/>
    <n v="3"/>
    <x v="0"/>
    <n v="5"/>
    <s v="SIDOARJO"/>
    <s v="PASURUAN"/>
    <s v="PGE"/>
    <s v="REG"/>
    <s v="AO"/>
    <x v="0"/>
    <m/>
    <s v="CC - HD1A - INPROGRESS UNCONTACTED"/>
    <s v="RBS-Regional 3"/>
    <d v="2026-09-02T15:41:38"/>
    <d v="2026-09-02T19:54:09"/>
    <n v="69382472"/>
    <m/>
    <n v="152746208711"/>
    <s v="PT. ADITALENTA HANDALNIAGA DELAPAN"/>
    <s v="ODP-PGE-FL/10"/>
    <m/>
    <m/>
    <m/>
    <m/>
    <n v="112.59153379999999"/>
    <n v="-7.6649966999999997"/>
    <s v="|MC30223|/ANDIK SULAIMAN /81235284788/saa.itnetwork@gmail.com"/>
    <s v="Sales Force DBS"/>
    <m/>
    <m/>
    <m/>
    <m/>
    <m/>
    <m/>
    <m/>
    <m/>
    <m/>
    <m/>
    <m/>
    <d v="2026-02-09T15:54:57"/>
    <m/>
    <m/>
    <s v="FCC"/>
    <s v="PANDAAN"/>
    <s v="NO ADDON"/>
    <m/>
    <s v="UNCONTACTED : Telepon Tidak Diangkat - RNA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"/>
    <n v="1002567556"/>
    <n v="3"/>
    <x v="5"/>
    <n v="4"/>
    <s v="YOGYAKARTA"/>
    <s v="INNER - YOGYA JATENG SELATAN"/>
    <s v="KBU"/>
    <s v="REG"/>
    <s v="AO"/>
    <x v="0"/>
    <m/>
    <s v="CC - HD1A - INPROGRESS UNCONTACTED"/>
    <s v="RBS-Regional 3"/>
    <d v="2026-09-02T13:18:11"/>
    <d v="2026-09-03T08:29:56"/>
    <n v="69382299"/>
    <n v="2745059176"/>
    <n v="146113146876"/>
    <s v="PT Daya Agung Prima"/>
    <s v="ODP-KBU-FHA/090"/>
    <m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m/>
    <m/>
    <m/>
    <d v="2026-02-09T13:25:57"/>
    <m/>
    <m/>
    <s v="FCC"/>
    <s v="X"/>
    <s v="NO ADDON"/>
    <m/>
    <s v="UNCONTACTED : Line Busy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"/>
    <n v="1002566767"/>
    <n v="3"/>
    <x v="4"/>
    <n v="5"/>
    <s v="SINGARJA"/>
    <s v="KLUNGKUNG"/>
    <s v="SMA"/>
    <s v="REG"/>
    <s v="AO"/>
    <x v="0"/>
    <m/>
    <s v="CC - HD1A - INPROGRESS UNCONTACTED"/>
    <s v="RBS-Regional 3"/>
    <d v="2026-09-02T09:10:07"/>
    <d v="2026-09-02T17:28:18"/>
    <n v="69382007"/>
    <m/>
    <n v="172428816065"/>
    <s v="The White Orchid "/>
    <s v="ODP-SMA-FY/17"/>
    <m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m/>
    <m/>
    <m/>
    <d v="2026-02-09T09:40:08"/>
    <m/>
    <m/>
    <s v="FCC"/>
    <s v="SEMARAPURA"/>
    <s v="NO ADDON"/>
    <m/>
    <s v="UNCONTACTED : Mail Box - Memo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"/>
    <n v="1002564602"/>
    <n v="3"/>
    <x v="3"/>
    <n v="5"/>
    <s v="MATARAM"/>
    <s v="LOMBOK BARAT TENGAH"/>
    <s v="PRY"/>
    <s v="REG"/>
    <s v="AO"/>
    <x v="0"/>
    <s v="1P INET"/>
    <s v="CC - HD1A - INPROGRESS UNCONTACTED"/>
    <s v="RBS-Regional 3"/>
    <d v="2026-09-01T10:02:42"/>
    <d v="2026-09-03T09:05:30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Ghina Swanti Ariesa 40941148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13"/>
    <n v="1002567253"/>
    <n v="3"/>
    <x v="6"/>
    <n v="5"/>
    <s v="SBY UTARA"/>
    <s v="KENJERAN"/>
    <s v="KBL"/>
    <s v="REG"/>
    <s v="AO"/>
    <x v="0"/>
    <m/>
    <s v="FCC - HD1A - INPROGRESS FOLLOW UP"/>
    <s v="RBS-Regional 3"/>
    <d v="2026-09-02T11:27:17"/>
    <d v="2026-09-02T15:46:04"/>
    <n v="69382161"/>
    <m/>
    <n v="152401227303"/>
    <s v="TOKO MAISA"/>
    <s v="ODP-KBL-FVE/35"/>
    <m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m/>
    <m/>
    <m/>
    <d v="2026-02-09T11:40:03"/>
    <m/>
    <m/>
    <s v="FCC"/>
    <s v="KEBALEN"/>
    <s v="NO ADDON"/>
    <m/>
    <s v="FOLLOW UP : Follow Up Siti QoriAh 40971401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4"/>
    <n v="1002564745"/>
    <n v="3"/>
    <x v="6"/>
    <n v="5"/>
    <s v="MADURA"/>
    <s v="BANGKALAN"/>
    <s v="SPG"/>
    <s v="REG"/>
    <s v="AO"/>
    <x v="0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15"/>
    <n v="1002566333"/>
    <n v="3"/>
    <x v="5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16"/>
    <n v="1002567928"/>
    <n v="3"/>
    <x v="5"/>
    <n v="4"/>
    <s v="MAGELANG"/>
    <s v="WONOSOBO"/>
    <s v="WOS"/>
    <s v="REG"/>
    <s v="AO"/>
    <x v="0"/>
    <s v="1P INET"/>
    <s v="MIE - SEND SURVEY"/>
    <s v="RBS-Regional 3"/>
    <d v="2026-09-02T14:42:57"/>
    <d v="2026-09-02T14:44:01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m/>
    <s v="SURVEY_NEW_MANJA"/>
    <s v="X"/>
    <s v="NO ADDON"/>
    <m/>
    <s v="MIE - SEND SURVEY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7"/>
    <n v="1002568563"/>
    <n v="3"/>
    <x v="2"/>
    <n v="4"/>
    <s v="SEMARANG"/>
    <s v="INNER - SEMARANG JATENG UTARA"/>
    <s v="JHR"/>
    <s v="REG"/>
    <s v="AO"/>
    <x v="0"/>
    <s v="1P INET"/>
    <s v="MIE - SEND SURVEY"/>
    <s v="RBS-Regional 3"/>
    <d v="2026-09-02T18:41:56"/>
    <d v="2026-09-02T18:44:01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m/>
    <s v="SURVEY_NEW_MANJA"/>
    <s v="JOHAR"/>
    <s v="NO ADDON"/>
    <m/>
    <s v="MIE - SEND SURVEY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8"/>
    <n v="1002568550"/>
    <n v="3"/>
    <x v="6"/>
    <n v="5"/>
    <s v="SBY UTARA"/>
    <s v="KENJERAN"/>
    <s v="KJR"/>
    <s v="REG"/>
    <s v="AO"/>
    <x v="0"/>
    <s v="1P INET"/>
    <s v="MIE - SEND SURVEY"/>
    <s v="RBS-Regional 3"/>
    <d v="2026-09-02T18:12:56"/>
    <d v="2026-09-02T18:14:01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SURVEY_NEW_MANJA"/>
    <s v="KENJERAN"/>
    <s v="NO ADDON"/>
    <m/>
    <s v="MIE - SEND SURVEY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9"/>
    <n v="1002566975"/>
    <n v="3"/>
    <x v="2"/>
    <n v="4"/>
    <s v="PEKALONGAN"/>
    <s v="SLAWI"/>
    <s v="SLW"/>
    <s v="REG"/>
    <s v="AO"/>
    <x v="0"/>
    <m/>
    <s v="MIE - SEND SURVEY"/>
    <s v="RBS-Regional 3"/>
    <d v="2026-09-02T10:04:43"/>
    <d v="2026-09-02T12:42:01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0"/>
    <n v="1002568552"/>
    <n v="3"/>
    <x v="5"/>
    <n v="4"/>
    <s v="YOGYAKARTA"/>
    <s v="INNER - YOGYA JATENG SELATAN"/>
    <s v="KBU"/>
    <s v="REG"/>
    <s v="AO"/>
    <x v="0"/>
    <s v="1P INET"/>
    <s v="MIE - SEND SURVEY"/>
    <s v="RBS-Regional 3"/>
    <d v="2026-09-02T18:17:57"/>
    <d v="2026-09-02T18:20:01"/>
    <n v="69382616"/>
    <m/>
    <n v="146113147312"/>
    <s v="PT KOPI BINTANG INDONESIA"/>
    <s v="ODP-KBU-FDR/10 FDR/D01/10.10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SURVEY_NEW_MANJA"/>
    <s v="X"/>
    <s v="NO ADDON"/>
    <m/>
    <s v="MIE - SEND SURVEY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m/>
    <m/>
    <m/>
    <e v="#NUM!"/>
    <e v="#NUM!"/>
    <x v="0"/>
  </r>
  <r>
    <n v="21"/>
    <n v="1002568399"/>
    <n v="3"/>
    <x v="6"/>
    <n v="5"/>
    <s v="SBY SELATAN"/>
    <s v="KETINTANG"/>
    <s v="RKT"/>
    <s v="REG"/>
    <s v="AO"/>
    <x v="0"/>
    <s v="1P INET"/>
    <s v="MIE - SEND SURVEY"/>
    <s v="RBS-Regional 3"/>
    <d v="2026-09-02T16:44:56"/>
    <d v="2026-09-02T16:46:14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SURVEY_NEW_MANJA"/>
    <s v="RUNGKUT"/>
    <s v="NO ADDON"/>
    <m/>
    <s v="MIE - SEND SURVEY"/>
    <s v="HSI Bisnis Basic Promo HUT RI PSB 70% - 100 Mbps"/>
    <s v="INDIBIZ"/>
    <m/>
    <m/>
    <d v="2026-09-03T15:00:00"/>
    <s v="2026-09-03 15:00:00 | Jam pemasangan : 12.00 Info Tambahan : Hubungi pelanggan dulu sebelum ke lokasi terimakasih "/>
    <m/>
    <m/>
    <m/>
    <e v="#NUM!"/>
    <e v="#NUM!"/>
    <x v="0"/>
  </r>
  <r>
    <n v="22"/>
    <n v="1002567882"/>
    <n v="3"/>
    <x v="6"/>
    <n v="5"/>
    <s v="SBY UTARA"/>
    <s v="TANDES"/>
    <s v="BBE"/>
    <s v="REG"/>
    <s v="AO"/>
    <x v="0"/>
    <s v="1P INET"/>
    <s v="MIE - SEND SURVEY"/>
    <s v="RBS-Regional 3"/>
    <d v="2026-09-02T14:34:03"/>
    <d v="2026-09-02T14:36:02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m/>
    <s v="SURVEY_NEW_MANJA"/>
    <s v="BAMBE"/>
    <s v="OCA"/>
    <m/>
    <s v="MIE - SEND SURVEY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3"/>
    <n v="1002567874"/>
    <n v="3"/>
    <x v="3"/>
    <n v="5"/>
    <s v="MATARAM"/>
    <s v="INNER - NUSA TENGGARA"/>
    <s v="MTR"/>
    <s v="REG"/>
    <s v="AO"/>
    <x v="0"/>
    <s v="1P INET"/>
    <s v="MIE - SEND SURVEY"/>
    <s v="RBS-Regional 3"/>
    <d v="2026-09-02T14:32:57"/>
    <d v="2026-09-02T14:34:18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m/>
    <m/>
    <m/>
    <e v="#NUM!"/>
    <e v="#NUM!"/>
    <x v="0"/>
  </r>
  <r>
    <n v="24"/>
    <n v="1002567985"/>
    <n v="3"/>
    <x v="3"/>
    <n v="5"/>
    <s v="KUPANG"/>
    <s v="MAUMERE"/>
    <s v="LWB"/>
    <s v="REG"/>
    <s v="AO"/>
    <x v="0"/>
    <s v="1P INET"/>
    <s v="MIE - SEND SURVEY"/>
    <s v="RBS-Regional 3"/>
    <d v="2026-09-02T14:56:56"/>
    <d v="2026-09-02T14:58:01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SURVEY_NEW_MANJA"/>
    <s v="X"/>
    <s v="NO ADDON"/>
    <m/>
    <s v="MIE - SEND SURVEY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m/>
    <m/>
    <m/>
    <e v="#NUM!"/>
    <e v="#NUM!"/>
    <x v="0"/>
  </r>
  <r>
    <n v="25"/>
    <n v="1002568456"/>
    <n v="3"/>
    <x v="7"/>
    <n v="5"/>
    <s v="MADIUN"/>
    <s v="BOJONEGORO"/>
    <s v="PAD"/>
    <s v="REG"/>
    <s v="AO"/>
    <x v="0"/>
    <s v="1P INET"/>
    <s v="MIE - SEND SURVEY"/>
    <s v="RBS-Regional 3"/>
    <d v="2026-09-02T17:05:57"/>
    <d v="2026-09-02T17:08:01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SURVEY_NEW_MANJA"/>
    <s v="PADANGAN"/>
    <s v="NO ADDON"/>
    <m/>
    <s v="MIE - SEND SURVEY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m/>
    <m/>
    <m/>
    <e v="#NUM!"/>
    <e v="#NUM!"/>
    <x v="0"/>
  </r>
  <r>
    <n v="26"/>
    <n v="1002567313"/>
    <n v="3"/>
    <x v="1"/>
    <n v="4"/>
    <s v="SOLO"/>
    <s v="INNER - SOLO JATENG TIMUR"/>
    <s v="MSO"/>
    <s v="REG"/>
    <s v="AO"/>
    <x v="0"/>
    <s v="1P INET"/>
    <s v="MIE - SEND SURVEY"/>
    <s v="RBS-Regional 3"/>
    <d v="2026-09-02T11:32:56"/>
    <d v="2026-09-02T11:34:01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m/>
    <s v="SURVEY_NEW_MANJA"/>
    <s v="SOLO PALUR"/>
    <s v="NO ADDON"/>
    <m/>
    <s v="MIE - SEND SURVEY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27"/>
    <n v="1002568555"/>
    <n v="3"/>
    <x v="5"/>
    <n v="4"/>
    <s v="YOGYAKARTA"/>
    <s v="BANTUL"/>
    <s v="WTS"/>
    <s v="REG"/>
    <s v="AO"/>
    <x v="0"/>
    <s v="1P INET"/>
    <s v="MIE - SEND SURVEY"/>
    <s v="RBS-Regional 3"/>
    <d v="2026-09-02T18:24:56"/>
    <d v="2026-09-02T18:28:01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SURVEY_NEW_MANJA"/>
    <s v="WATES"/>
    <s v="NO ADDON"/>
    <m/>
    <s v="MIE - SEND SURVEY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m/>
    <m/>
    <m/>
    <e v="#NUM!"/>
    <e v="#NUM!"/>
    <x v="0"/>
  </r>
  <r>
    <n v="28"/>
    <n v="1002568037"/>
    <n v="3"/>
    <x v="0"/>
    <n v="5"/>
    <s v="PASURUAN"/>
    <s v="PROBOLINGGO"/>
    <s v="KRZ"/>
    <s v="REG"/>
    <s v="AO"/>
    <x v="0"/>
    <s v="1P INET"/>
    <s v="MIE - SEND SURVEY"/>
    <s v="RBS-Regional 3"/>
    <d v="2026-09-02T15:11:57"/>
    <d v="2026-09-02T15:14:01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SURVEY_NEW_MANJA"/>
    <s v="KRAKSAAN"/>
    <s v="NO ADDON"/>
    <m/>
    <s v="MIE - SEND SURVEY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m/>
    <m/>
    <m/>
    <e v="#NUM!"/>
    <e v="#NUM!"/>
    <x v="0"/>
  </r>
  <r>
    <n v="29"/>
    <n v="1002568030"/>
    <n v="3"/>
    <x v="7"/>
    <n v="5"/>
    <s v="MADIUN"/>
    <s v="TUBAN"/>
    <s v="TNZ"/>
    <s v="REG"/>
    <s v="AO"/>
    <x v="0"/>
    <s v="1P INET"/>
    <s v="MIE - SEND SURVEY"/>
    <s v="RBS-Regional 3"/>
    <d v="2026-09-02T15:09:57"/>
    <d v="2026-09-02T15:12:01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SURVEY_NEW_MANJA"/>
    <s v="X"/>
    <s v="NO ADDON"/>
    <m/>
    <s v="MIE - SEND SURVEY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m/>
    <m/>
    <m/>
    <e v="#NUM!"/>
    <e v="#NUM!"/>
    <x v="0"/>
  </r>
  <r>
    <n v="30"/>
    <n v="1002568049"/>
    <n v="3"/>
    <x v="7"/>
    <n v="5"/>
    <s v="MADIUN"/>
    <s v="BOJONEGORO"/>
    <s v="SMJ"/>
    <s v="REG"/>
    <s v="AO"/>
    <x v="0"/>
    <s v="1P INET"/>
    <s v="MIE - SEND SURVEY"/>
    <s v="RBS-Regional 3"/>
    <d v="2026-09-02T15:15:57"/>
    <d v="2026-09-02T15:18:02"/>
    <n v="69382459"/>
    <m/>
    <n v="152642208293"/>
    <s v="SPBU 53.621.25 Gampeng Balen"/>
    <s v="ODP-SMJ-FG/78 FG/D05/78.01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SURVEY_NEW_MANJA"/>
    <s v="PADANGAN"/>
    <s v="NO ADDON"/>
    <m/>
    <s v="MIE - SEND SURVEY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</r>
  <r>
    <n v="31"/>
    <n v="1002567684"/>
    <n v="3"/>
    <x v="0"/>
    <n v="5"/>
    <s v="PASURUAN"/>
    <s v="PASURUAN"/>
    <s v="GDW"/>
    <s v="REG"/>
    <s v="AO"/>
    <x v="0"/>
    <m/>
    <s v="MIE - SEND SURVEY"/>
    <s v="RBS-Regional 3"/>
    <d v="2026-09-02T13:45:18"/>
    <d v="2026-09-02T15:04:03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m/>
    <m/>
    <m/>
    <e v="#NUM!"/>
    <e v="#NUM!"/>
    <x v="0"/>
  </r>
  <r>
    <n v="32"/>
    <n v="1002568531"/>
    <n v="3"/>
    <x v="1"/>
    <n v="4"/>
    <s v="KUDUS"/>
    <s v="PURWODADI"/>
    <s v="WRO"/>
    <s v="REG"/>
    <s v="AO"/>
    <x v="0"/>
    <s v="1P INET"/>
    <s v="MIE - SEND SURVEY"/>
    <s v="RBS-Regional 3"/>
    <d v="2026-09-02T17:53:57"/>
    <d v="2026-09-02T17:56:27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SURVEY_NEW_MANJA"/>
    <s v="WIROSARI"/>
    <s v="NO ADDON"/>
    <m/>
    <s v="MIE - SEND SURVEY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m/>
    <m/>
    <m/>
    <e v="#NUM!"/>
    <e v="#NUM!"/>
    <x v="0"/>
  </r>
  <r>
    <n v="33"/>
    <n v="1002568518"/>
    <n v="3"/>
    <x v="5"/>
    <n v="4"/>
    <s v="MAGELANG"/>
    <s v="KEBUMEN"/>
    <s v="KTW"/>
    <s v="REG"/>
    <s v="AO"/>
    <x v="0"/>
    <s v="1P INET"/>
    <s v="MIE - SEND SURVEY"/>
    <s v="RBS-Regional 3"/>
    <d v="2026-09-02T17:47:57"/>
    <d v="2026-09-02T17:50:01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SURVEY_NEW_MANJA"/>
    <s v="X"/>
    <s v="NO ADDON"/>
    <m/>
    <s v="MIE - SEND SURVEY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m/>
    <m/>
    <m/>
    <e v="#NUM!"/>
    <e v="#NUM!"/>
    <x v="0"/>
  </r>
  <r>
    <n v="34"/>
    <n v="1002568195"/>
    <n v="3"/>
    <x v="5"/>
    <n v="4"/>
    <s v="MAGELANG"/>
    <s v="PURWOREJJO"/>
    <s v="PWJ"/>
    <s v="REG"/>
    <s v="AO"/>
    <x v="0"/>
    <s v="1P INET"/>
    <s v="MIE - SEND SURVEY"/>
    <s v="RBS-Regional 3"/>
    <d v="2026-09-02T15:47:56"/>
    <d v="2026-09-02T15:50:01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m/>
    <m/>
    <m/>
    <e v="#NUM!"/>
    <e v="#NUM!"/>
    <x v="0"/>
  </r>
  <r>
    <n v="35"/>
    <n v="1002567425"/>
    <n v="3"/>
    <x v="5"/>
    <n v="4"/>
    <s v="MAGELANG"/>
    <s v="WONOSOBO"/>
    <s v="WOS"/>
    <s v="REG"/>
    <s v="AO"/>
    <x v="0"/>
    <s v="1P INET"/>
    <s v="MIE - SEND SURVEY"/>
    <s v="RBS-Regional 3"/>
    <d v="2026-09-02T12:05:58"/>
    <d v="2026-09-02T12:08:01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m/>
    <s v="SURVEY_NEW_MANJA"/>
    <s v="X"/>
    <s v="NO ADDON"/>
    <m/>
    <s v="MIE - SEND SURVEY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36"/>
    <n v="1002567420"/>
    <n v="3"/>
    <x v="2"/>
    <n v="4"/>
    <s v="SEMARANG"/>
    <s v="INNER - SEMARANG JATENG UTARA"/>
    <s v="MJP"/>
    <s v="REG"/>
    <s v="AO"/>
    <x v="0"/>
    <s v="1P INET"/>
    <s v="MIE - SEND SURVEY"/>
    <s v="RBS-Regional 3"/>
    <d v="2026-09-02T12:03:57"/>
    <d v="2026-09-02T12:06:02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m/>
    <s v="SURVEY_NEW_MANJA"/>
    <s v="MAJAPAHIT"/>
    <s v="NO ADDON"/>
    <m/>
    <s v="MIE - SEND SURVEY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37"/>
    <n v="1002567595"/>
    <n v="3"/>
    <x v="7"/>
    <n v="5"/>
    <s v="MADIUN"/>
    <s v="NGAWI"/>
    <s v="NWI"/>
    <s v="REG"/>
    <s v="AO"/>
    <x v="0"/>
    <s v="1P INET"/>
    <s v="MIE - SEND SURVEY"/>
    <s v="RBS-Regional 3"/>
    <d v="2026-09-02T13:23:56"/>
    <d v="2026-09-02T13:26:02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</r>
  <r>
    <n v="38"/>
    <n v="1002567634"/>
    <n v="3"/>
    <x v="6"/>
    <n v="5"/>
    <s v="SBY UTARA"/>
    <s v="LAMONGAN"/>
    <s v="LMG"/>
    <s v="REG"/>
    <s v="AO"/>
    <x v="0"/>
    <s v="1P INET"/>
    <s v="MIE - SEND SURVEY"/>
    <s v="RBS-Regional 3"/>
    <d v="2026-09-02T13:33:57"/>
    <d v="2026-09-02T13:36:01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SURVEY_NEW_MANJA"/>
    <s v="LAMONGAN"/>
    <s v="NO ADDON"/>
    <m/>
    <s v="MIE - SEND SURVEY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m/>
    <m/>
    <m/>
    <e v="#NUM!"/>
    <e v="#NUM!"/>
    <x v="0"/>
  </r>
  <r>
    <n v="39"/>
    <n v="1002567613"/>
    <n v="3"/>
    <x v="0"/>
    <n v="5"/>
    <s v="SIDOARJO"/>
    <s v="MOJOKERTO"/>
    <s v="DLA"/>
    <s v="REG"/>
    <s v="AO"/>
    <x v="0"/>
    <m/>
    <s v="MIE - SEND SURVEY"/>
    <s v="RBS-Regional 3"/>
    <d v="2026-09-02T13:30:41"/>
    <d v="2026-09-02T14:52:03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SURVEY_NEW_MANJA"/>
    <s v="MOJOKERTO"/>
    <s v="NETMONK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m/>
    <m/>
    <m/>
    <e v="#NUM!"/>
    <e v="#NUM!"/>
    <x v="0"/>
  </r>
  <r>
    <n v="40"/>
    <n v="1002567606"/>
    <n v="3"/>
    <x v="7"/>
    <n v="5"/>
    <s v="MADIUN"/>
    <s v="NGAWI"/>
    <s v="NWI"/>
    <s v="REG"/>
    <s v="AO"/>
    <x v="0"/>
    <s v="1P INET"/>
    <s v="MIE - SEND SURVEY"/>
    <s v="RBS-Regional 3"/>
    <d v="2026-09-02T13:26:56"/>
    <d v="2026-09-02T13:28:01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SURVEY_NEW_MANJA"/>
    <s v="X"/>
    <s v="OCA"/>
    <m/>
    <s v="MIE - SEND SURVEY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m/>
    <m/>
    <m/>
    <e v="#NUM!"/>
    <e v="#NUM!"/>
    <x v="0"/>
  </r>
  <r>
    <n v="41"/>
    <n v="1002567375"/>
    <n v="3"/>
    <x v="7"/>
    <n v="5"/>
    <s v="MADIUN"/>
    <s v="BOJONEGORO"/>
    <s v="PAD"/>
    <s v="REG"/>
    <s v="AO"/>
    <x v="0"/>
    <s v="1P INET"/>
    <s v="MIE - SEND SURVEY"/>
    <s v="RBS-Regional 3"/>
    <d v="2026-09-02T11:50:56"/>
    <d v="2026-09-02T11:52:01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m/>
    <s v="SURVEY_NEW_MANJA"/>
    <s v="PADANGAN"/>
    <s v="NO ADDON"/>
    <m/>
    <s v="MIE - SEND SURVEY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42"/>
    <n v="1002567346"/>
    <n v="3"/>
    <x v="5"/>
    <n v="4"/>
    <s v="YOGYAKARTA"/>
    <s v="INNER - YOGYA JATENG SELATAN"/>
    <s v="KBU"/>
    <s v="REG"/>
    <s v="AO"/>
    <x v="0"/>
    <s v="1P INET"/>
    <s v="MIE - SEND SURVEY"/>
    <s v="RBS-Regional 3"/>
    <d v="2026-09-02T11:42:57"/>
    <d v="2026-09-02T11:44:26"/>
    <n v="69382220"/>
    <m/>
    <n v="146113146875"/>
    <s v="SUHKA COFFEE GROUND"/>
    <s v="ODP-KBU-FGF/079 FGF/D05/079.01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SURVEY_NEW_MANJA"/>
    <s v="X"/>
    <s v="NO ADDON"/>
    <m/>
    <s v="MIE - SEND SURVEY"/>
    <s v="HSI Bisnis PSB 70% - 100 Mbps"/>
    <s v="INDIBIZ"/>
    <m/>
    <m/>
    <d v="2026-09-03T11:00:00"/>
    <s v="2026-09-03 11:00:00 | Jam pemasangan : 12.00 Info Tambahan : Hubungi pelanggan dulu sebelum ke lokasi terimakasih  "/>
    <m/>
    <m/>
    <m/>
    <e v="#NUM!"/>
    <e v="#NUM!"/>
    <x v="0"/>
  </r>
  <r>
    <n v="43"/>
    <n v="1002568147"/>
    <n v="3"/>
    <x v="6"/>
    <n v="5"/>
    <s v="SBY SELATAN"/>
    <s v="MANYAR"/>
    <s v="GBG"/>
    <s v="REG"/>
    <s v="AO"/>
    <x v="0"/>
    <s v="1P INET"/>
    <s v="MIE - SEND SURVEY"/>
    <s v="RBS-Regional 3"/>
    <d v="2026-09-02T15:36:57"/>
    <d v="2026-09-02T15:38:02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SURVEY_NEW_MANJA"/>
    <s v="DARMO GUBENG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44"/>
    <n v="1002568139"/>
    <n v="3"/>
    <x v="6"/>
    <n v="5"/>
    <s v="SBY UTARA"/>
    <s v="GRESIK"/>
    <s v="GSK"/>
    <s v="REG"/>
    <s v="AO"/>
    <x v="0"/>
    <s v="1P INET"/>
    <s v="MIE - SEND SURVEY"/>
    <s v="RBS-Regional 3"/>
    <d v="2026-09-02T15:35:56"/>
    <d v="2026-09-02T15:38:02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SURVEY_NEW_MANJA"/>
    <s v="GRESIK"/>
    <s v="NO ADDON"/>
    <m/>
    <s v="MIE - SEND SURVEY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m/>
    <m/>
    <m/>
    <e v="#NUM!"/>
    <e v="#NUM!"/>
    <x v="0"/>
  </r>
  <r>
    <n v="45"/>
    <n v="1002567782"/>
    <n v="3"/>
    <x v="5"/>
    <n v="4"/>
    <s v="YOGYAKARTA"/>
    <s v="SLEMAN"/>
    <s v="GOD"/>
    <s v="REG"/>
    <s v="AO"/>
    <x v="0"/>
    <m/>
    <s v="MIE - SEND SURVEY"/>
    <s v="RBS-Regional 3"/>
    <d v="2026-09-02T14:09:00"/>
    <d v="2026-09-02T17:16:01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m/>
    <m/>
    <m/>
    <e v="#NUM!"/>
    <e v="#NUM!"/>
    <x v="0"/>
  </r>
  <r>
    <n v="46"/>
    <n v="1002568591"/>
    <n v="3"/>
    <x v="5"/>
    <n v="4"/>
    <s v="YOGYAKARTA"/>
    <s v="BANTUL"/>
    <s v="BTL"/>
    <s v="REG"/>
    <s v="AO"/>
    <x v="0"/>
    <s v="1P INET"/>
    <s v="MIE - SEND SURVEY"/>
    <s v="RBS-Regional 3"/>
    <d v="2026-09-02T19:50:56"/>
    <d v="2026-09-02T19:52:01"/>
    <n v="69382642"/>
    <m/>
    <n v="146129128807"/>
    <s v="PT GARASI NAP MATARAM / BENGKEL MOBIL"/>
    <s v="ODP-BTL-FBY/012 FBY/D01/012.0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SURVEY_NEW_MANJA"/>
    <s v="X"/>
    <s v="NO ADDON"/>
    <m/>
    <s v="MIE - SEND SURVEY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m/>
    <m/>
    <m/>
    <e v="#NUM!"/>
    <e v="#NUM!"/>
    <x v="0"/>
  </r>
  <r>
    <n v="47"/>
    <n v="1002568578"/>
    <n v="3"/>
    <x v="3"/>
    <n v="5"/>
    <s v="MATARAM"/>
    <s v="LOMBOK TIMUR UTARA"/>
    <s v="SEL"/>
    <s v="REG"/>
    <s v="AO"/>
    <x v="0"/>
    <s v="1P INET"/>
    <s v="MIE - SEND SURVEY"/>
    <s v="RBS-Regional 3"/>
    <d v="2026-09-02T19:03:56"/>
    <d v="2026-09-02T19:06:01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m/>
    <s v="SURVEY_NEW_MANJA"/>
    <s v="LOMBOK TIMUR"/>
    <s v="NO ADDON"/>
    <m/>
    <s v="MIE - SEND SURVEY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48"/>
    <n v="1002568571"/>
    <n v="3"/>
    <x v="7"/>
    <n v="5"/>
    <s v="MALANG"/>
    <s v="KEPANJEN"/>
    <s v="PGK"/>
    <s v="REG"/>
    <s v="AO"/>
    <x v="0"/>
    <s v="1P INET"/>
    <s v="MIE - SEND SURVEY"/>
    <s v="RBS-Regional 3"/>
    <d v="2026-09-02T18:59:56"/>
    <d v="2026-09-02T19:02:01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SURVEY_NEW_MANJA"/>
    <s v="KEPANJEN"/>
    <s v="OCA"/>
    <m/>
    <s v="MIE - SEND SURVEY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m/>
    <m/>
    <m/>
    <e v="#NUM!"/>
    <e v="#NUM!"/>
    <x v="0"/>
  </r>
  <r>
    <n v="49"/>
    <n v="1002568312"/>
    <n v="3"/>
    <x v="5"/>
    <n v="4"/>
    <s v="PURWOKERTO"/>
    <s v="CILACAP"/>
    <s v="KRY"/>
    <s v="REG"/>
    <s v="AO"/>
    <x v="0"/>
    <s v="1P INET"/>
    <s v="MIE - SEND SURVEY"/>
    <s v="RBS-Regional 3"/>
    <d v="2026-09-02T16:14:58"/>
    <d v="2026-09-02T16:16:0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SURVEY_NEW_MANJA"/>
    <s v="KROYA"/>
    <s v="NO ADDON"/>
    <m/>
    <s v="MIE - SEND SURVEY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m/>
    <m/>
    <m/>
    <e v="#NUM!"/>
    <e v="#NUM!"/>
    <x v="0"/>
  </r>
  <r>
    <n v="50"/>
    <n v="1002566867"/>
    <n v="3"/>
    <x v="3"/>
    <n v="5"/>
    <s v="MATARAM"/>
    <s v="LOMBOK BARAT TENGAH"/>
    <s v="PRY"/>
    <s v="REG"/>
    <s v="AO"/>
    <x v="0"/>
    <s v="1P INET"/>
    <s v="MIE - SEND SURVEY"/>
    <s v="RBS-Regional 3"/>
    <d v="2026-09-02T09:35:56"/>
    <d v="2026-09-02T09:38:07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TENGAH"/>
    <s v="NO ADDON"/>
    <m/>
    <s v="MIE - SEND SURVEY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1"/>
    <n v="1002566869"/>
    <n v="3"/>
    <x v="5"/>
    <n v="4"/>
    <s v="YOGYAKARTA"/>
    <s v="BANTUL"/>
    <s v="BTL"/>
    <s v="REG"/>
    <s v="AO"/>
    <x v="0"/>
    <s v="1P INET"/>
    <s v="MIE - SEND SURVEY"/>
    <s v="RBS-Regional 3"/>
    <d v="2026-09-02T09:36:56"/>
    <d v="2026-09-02T09:38:02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SURVEY_NEW_MANJA"/>
    <s v="X"/>
    <s v="NO ADDON"/>
    <m/>
    <s v="MIE - SEND SURVEY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m/>
    <m/>
    <m/>
    <e v="#NUM!"/>
    <e v="#NUM!"/>
    <x v="0"/>
  </r>
  <r>
    <n v="52"/>
    <n v="1002566811"/>
    <n v="3"/>
    <x v="3"/>
    <n v="5"/>
    <s v="MATARAM"/>
    <s v="LOMBOK TIMUR UTARA"/>
    <s v="SGG"/>
    <s v="REG"/>
    <s v="AO"/>
    <x v="0"/>
    <s v="1P INET"/>
    <s v="MIE - SEND SURVEY"/>
    <s v="RBS-Regional 3"/>
    <d v="2026-09-02T09:21:56"/>
    <d v="2026-09-02T09:24:01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3"/>
    <n v="1002566804"/>
    <n v="3"/>
    <x v="5"/>
    <n v="4"/>
    <s v="MAGELANG"/>
    <s v="MAGELANG"/>
    <s v="MGE"/>
    <s v="REG"/>
    <s v="AO"/>
    <x v="0"/>
    <s v="1P INET"/>
    <s v="MIE - SEND SURVEY"/>
    <s v="RBS-Regional 3"/>
    <d v="2026-09-02T09:18:56"/>
    <d v="2026-09-02T09:20:01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SURVEY_NEW_MANJA"/>
    <s v="X"/>
    <s v="NO ADDON"/>
    <m/>
    <s v="MIE - SEND SURVEY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m/>
    <m/>
    <m/>
    <e v="#NUM!"/>
    <e v="#NUM!"/>
    <x v="0"/>
  </r>
  <r>
    <n v="54"/>
    <n v="1002566826"/>
    <n v="3"/>
    <x v="3"/>
    <n v="5"/>
    <s v="MATARAM"/>
    <s v="LOMBOK TIMUR UTARA"/>
    <s v="SGG"/>
    <s v="REG"/>
    <s v="AO"/>
    <x v="0"/>
    <s v="1P INET"/>
    <s v="MIE - SEND SURVEY"/>
    <s v="RBS-Regional 3"/>
    <d v="2026-09-02T09:24:57"/>
    <d v="2026-09-02T09:26:21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SURVEY_NEW_MANJA"/>
    <s v="LOMBOK UTARA"/>
    <s v="NO ADDON"/>
    <m/>
    <s v="MIE - SEND SURVEY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55"/>
    <n v="1002566822"/>
    <n v="3"/>
    <x v="0"/>
    <n v="5"/>
    <s v="SIDOARJO"/>
    <s v="INNER - JATIM TIMUR"/>
    <s v="KRN"/>
    <s v="REG"/>
    <s v="AO"/>
    <x v="0"/>
    <s v="1P INET"/>
    <s v="MIE - SEND SURVEY"/>
    <s v="RBS-Regional 3"/>
    <d v="2026-09-02T09:23:56"/>
    <d v="2026-09-02T09:26:01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m/>
    <s v="SURVEY_NEW_MANJA"/>
    <s v="KRIAN"/>
    <s v="NO ADDON"/>
    <m/>
    <s v="MIE - SEND SURVEY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56"/>
    <n v="1002567492"/>
    <n v="3"/>
    <x v="6"/>
    <n v="5"/>
    <s v="SBY SELATAN"/>
    <s v="MANYAR"/>
    <s v="MYR"/>
    <s v="REG"/>
    <s v="AO"/>
    <x v="0"/>
    <s v="2P INET + VOICE"/>
    <s v="MIE - SEND SURVEY"/>
    <s v="RBS-Regional 3"/>
    <d v="2026-09-02T12:35:56"/>
    <d v="2026-09-02T12:38:02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SURVEY_NEW_MANJA"/>
    <s v="MANYAR"/>
    <s v="NO ADDON"/>
    <m/>
    <s v="MIE - SEND SURVEY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</r>
  <r>
    <n v="57"/>
    <n v="1002567110"/>
    <n v="3"/>
    <x v="6"/>
    <n v="5"/>
    <s v="SBY UTARA"/>
    <s v="GRESIK"/>
    <s v="KDE"/>
    <s v="REG"/>
    <s v="AO"/>
    <x v="0"/>
    <m/>
    <s v="MIE - SEND SURVEY"/>
    <s v="RBS-Regional 3"/>
    <d v="2026-09-02T10:38:35"/>
    <d v="2026-09-03T09:10:01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m/>
    <m/>
    <m/>
    <e v="#NUM!"/>
    <e v="#NUM!"/>
    <x v="0"/>
  </r>
  <r>
    <n v="58"/>
    <n v="1002567489"/>
    <n v="3"/>
    <x v="1"/>
    <n v="4"/>
    <s v="SOLO"/>
    <s v="KLATEN"/>
    <s v="KLX"/>
    <s v="REG"/>
    <s v="AO"/>
    <x v="0"/>
    <s v="1P INET"/>
    <s v="MIE - SEND SURVEY"/>
    <s v="RBS-Regional 3"/>
    <d v="2026-09-02T12:33:57"/>
    <d v="2026-09-02T12:36:03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SURVEY_NEW_MANJA"/>
    <s v="X"/>
    <s v="NO ADDON"/>
    <m/>
    <s v="MIE - SEND SURVEY"/>
    <s v="HSI Bisnis Promo HUT RI PSB 70% - 50 Mbps"/>
    <s v="INDIBIZ"/>
    <m/>
    <m/>
    <d v="2026-09-07T13:00:00"/>
    <s v="2026-09-07 13:00:00 | Tanggal : 7 September 2026 Jam : pagi  Hubungi pelanggan sebelum ke lokasi "/>
    <m/>
    <m/>
    <m/>
    <e v="#NUM!"/>
    <e v="#NUM!"/>
    <x v="0"/>
  </r>
  <r>
    <n v="59"/>
    <n v="1002568541"/>
    <n v="3"/>
    <x v="1"/>
    <n v="4"/>
    <s v="SOLO"/>
    <s v="INNER - SOLO JATENG TIMUR"/>
    <s v="SOP"/>
    <s v="REG"/>
    <s v="AO"/>
    <x v="0"/>
    <s v="1P INET"/>
    <s v="MIE - SEND SURVEY"/>
    <s v="RBS-Regional 3"/>
    <d v="2026-09-02T18:02:57"/>
    <d v="2026-09-02T18:04:01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SURVEY_NEW_MANJA"/>
    <s v="SOLO PALUR"/>
    <s v="NO ADDON"/>
    <m/>
    <s v="MIE - SEND SURVEY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m/>
    <m/>
    <m/>
    <e v="#NUM!"/>
    <e v="#NUM!"/>
    <x v="0"/>
  </r>
  <r>
    <n v="60"/>
    <n v="1002568545"/>
    <n v="3"/>
    <x v="6"/>
    <n v="5"/>
    <s v="SBY UTARA"/>
    <s v="MANYAR"/>
    <s v="MGO"/>
    <s v="REG"/>
    <s v="AO"/>
    <x v="0"/>
    <s v="1P INET"/>
    <s v="MIE - SEND SURVEY"/>
    <s v="RBS-Regional 3"/>
    <d v="2026-09-02T18:05:56"/>
    <d v="2026-09-02T18:08:01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SURVEY_NEW_MANJA"/>
    <s v="MERGOYOSO"/>
    <s v="NO ADDON"/>
    <m/>
    <s v="MIE - SEND SURVEY"/>
    <s v="HSI Bisnis Promo HUT RI PSB 70% - 75 Mbps"/>
    <s v="INDIBIZ"/>
    <m/>
    <m/>
    <d v="2026-09-03T15:00:00"/>
    <s v="2026-09-03 15:00:00 | Tanggal : 3 September 2026 Jam : siang Hubungi pelanggan sebelum ke lokasi "/>
    <m/>
    <m/>
    <m/>
    <e v="#NUM!"/>
    <e v="#NUM!"/>
    <x v="0"/>
  </r>
  <r>
    <n v="61"/>
    <n v="1002567484"/>
    <n v="3"/>
    <x v="1"/>
    <n v="4"/>
    <s v="SOLO"/>
    <s v="KLATEN"/>
    <s v="KLX"/>
    <s v="REG"/>
    <s v="AO"/>
    <x v="0"/>
    <s v="1P INET"/>
    <s v="MIE - SEND SURVEY"/>
    <s v="RBS-Regional 3"/>
    <d v="2026-09-02T12:32:57"/>
    <d v="2026-09-02T12:34:01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</r>
  <r>
    <n v="62"/>
    <n v="1002567485"/>
    <n v="3"/>
    <x v="1"/>
    <n v="4"/>
    <s v="SOLO"/>
    <s v="KLATEN"/>
    <s v="KLX"/>
    <s v="REG"/>
    <s v="AO"/>
    <x v="0"/>
    <s v="1P INET"/>
    <s v="MIE - SEND SURVEY"/>
    <s v="RBS-Regional 3"/>
    <d v="2026-09-02T12:32:57"/>
    <d v="2026-09-02T12:34:01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SURVEY_NEW_MANJA"/>
    <s v="X"/>
    <s v="NO ADDON"/>
    <m/>
    <s v="MIE - SEND SURVEY"/>
    <s v="HSI Bisnis Promo HUT RI PSB 70% - 50 Mbps"/>
    <s v="INDIBIZ"/>
    <m/>
    <m/>
    <d v="2026-09-07T08:00:00"/>
    <s v="2026-09-07 08:00:00 | Tanggal : 7 September 2026 Jam : pagi  Hubungi pelanggan sebelum ke lokasi "/>
    <m/>
    <m/>
    <m/>
    <e v="#NUM!"/>
    <e v="#NUM!"/>
    <x v="0"/>
  </r>
  <r>
    <n v="63"/>
    <n v="1002568368"/>
    <n v="3"/>
    <x v="1"/>
    <n v="4"/>
    <s v="KUDUS"/>
    <s v="JEPARA"/>
    <s v="PEC"/>
    <s v="REG"/>
    <s v="AO"/>
    <x v="0"/>
    <s v="1P INET"/>
    <s v="MIE - SEND SURVEY"/>
    <s v="RBS-Regional 3"/>
    <d v="2026-09-02T16:32:56"/>
    <d v="2026-09-02T16:34:01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SURVEY_NEW_MANJA"/>
    <s v="PECANGAAN"/>
    <s v="NO ADDON"/>
    <m/>
    <s v="MIE - SEND SURVEY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m/>
    <m/>
    <m/>
    <e v="#NUM!"/>
    <e v="#NUM!"/>
    <x v="0"/>
  </r>
  <r>
    <n v="64"/>
    <n v="1002568359"/>
    <n v="3"/>
    <x v="3"/>
    <n v="5"/>
    <s v="MATARAM"/>
    <s v="INNER - NUSA TENGGARA"/>
    <s v="MTR"/>
    <s v="REG"/>
    <s v="AO"/>
    <x v="0"/>
    <s v="1P INET"/>
    <s v="MIE - SEND SURVEY"/>
    <s v="RBS-Regional 3"/>
    <d v="2026-09-02T16:29:56"/>
    <d v="2026-09-02T16:32:01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SURVEY_NEW_MANJA"/>
    <s v="X"/>
    <s v="NO ADDON"/>
    <m/>
    <s v="MIE - SEND SURVEY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65"/>
    <n v="1002568374"/>
    <n v="3"/>
    <x v="6"/>
    <n v="5"/>
    <s v="SBY UTARA"/>
    <s v="KENJERAN"/>
    <s v="KBL"/>
    <s v="REG"/>
    <s v="AO"/>
    <x v="0"/>
    <s v="1P INET"/>
    <s v="MIE - SEND SURVEY"/>
    <s v="RBS-Regional 3"/>
    <d v="2026-09-02T16:35:57"/>
    <d v="2026-09-02T16:38:0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m/>
    <s v="SURVEY_NEW_MANJA"/>
    <s v="KEBALEN"/>
    <s v="NO ADDON"/>
    <m/>
    <s v="MIE - SEND SURVEY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66"/>
    <n v="1002566618"/>
    <n v="3"/>
    <x v="5"/>
    <n v="4"/>
    <s v="MAGELANG"/>
    <s v="MAGELANG"/>
    <s v="MGE"/>
    <s v="REG"/>
    <s v="AO"/>
    <x v="0"/>
    <s v="1P INET"/>
    <s v="MIE - SEND SURVEY"/>
    <s v="RBS-Regional 3"/>
    <d v="2026-09-02T08:18:56"/>
    <d v="2026-09-02T08:20:01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SURVEY_NEW_MANJA"/>
    <s v="X"/>
    <s v="NO ADDON"/>
    <m/>
    <s v="MIE - SEND SURVEY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m/>
    <m/>
    <m/>
    <e v="#NUM!"/>
    <e v="#NUM!"/>
    <x v="0"/>
  </r>
  <r>
    <n v="67"/>
    <n v="1002568238"/>
    <n v="3"/>
    <x v="7"/>
    <n v="5"/>
    <s v="MADIUN"/>
    <s v="BOJONEGORO"/>
    <s v="KDU"/>
    <s v="REG"/>
    <s v="AO"/>
    <x v="0"/>
    <s v="1P INET"/>
    <s v="MIE - SEND SURVEY"/>
    <s v="RBS-Regional 3"/>
    <d v="2026-09-02T15:57:56"/>
    <d v="2026-09-02T16:00:02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PADANGAN"/>
    <s v="NO ADDON"/>
    <m/>
    <s v="MIE - SEND SURVEY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</r>
  <r>
    <n v="68"/>
    <n v="1002568233"/>
    <n v="3"/>
    <x v="5"/>
    <n v="4"/>
    <s v="MAGELANG"/>
    <s v="MAGELANG"/>
    <s v="MGE"/>
    <s v="REG"/>
    <s v="AO"/>
    <x v="0"/>
    <s v="1P INET"/>
    <s v="MIE - SEND SURVEY"/>
    <s v="RBS-Regional 3"/>
    <d v="2026-09-02T15:56:56"/>
    <d v="2026-09-02T15:58:01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SURVEY_NEW_MANJA"/>
    <s v="X"/>
    <s v="NO ADDON"/>
    <m/>
    <s v="MIE - SEND SURVEY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m/>
    <m/>
    <m/>
    <e v="#NUM!"/>
    <e v="#NUM!"/>
    <x v="0"/>
  </r>
  <r>
    <n v="69"/>
    <n v="1002568226"/>
    <n v="3"/>
    <x v="6"/>
    <n v="5"/>
    <s v="SBY SELATAN"/>
    <s v="MANYAR"/>
    <s v="GBG"/>
    <s v="REG"/>
    <s v="AO"/>
    <x v="0"/>
    <s v="1P INET"/>
    <s v="MIE - SEND SURVEY"/>
    <s v="RBS-Regional 3"/>
    <d v="2026-09-02T15:54:58"/>
    <d v="2026-09-02T15:56:01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SURVEY_NEW_MANJA"/>
    <s v="DARMO GUBENG"/>
    <s v="NO ADDON"/>
    <m/>
    <s v="MIE - SEND SURVEY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m/>
    <m/>
    <m/>
    <e v="#NUM!"/>
    <e v="#NUM!"/>
    <x v="0"/>
  </r>
  <r>
    <n v="70"/>
    <n v="1002568177"/>
    <n v="3"/>
    <x v="4"/>
    <n v="5"/>
    <s v="DENPASAR"/>
    <s v="SANUR"/>
    <s v="TOP"/>
    <s v="REG"/>
    <s v="AO"/>
    <x v="0"/>
    <m/>
    <s v="MIE - SEND SURVEY"/>
    <s v="RBS-Regional 3"/>
    <d v="2026-09-02T16:02:54"/>
    <d v="2026-09-02T17:16:02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SURVEY_NEW_MANJA"/>
    <s v="TOHPATI SUKAWATI"/>
    <s v="NETMONK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m/>
    <m/>
    <m/>
    <e v="#NUM!"/>
    <e v="#NUM!"/>
    <x v="0"/>
  </r>
  <r>
    <n v="71"/>
    <n v="1002568264"/>
    <n v="3"/>
    <x v="5"/>
    <n v="4"/>
    <s v="PURWOKERTO"/>
    <s v="BANJARNEGARA"/>
    <s v="BJR"/>
    <s v="REG"/>
    <s v="AO"/>
    <x v="0"/>
    <s v="1P INET"/>
    <s v="MIE - SEND SURVEY"/>
    <s v="RBS-Regional 3"/>
    <d v="2026-09-02T16:03:57"/>
    <d v="2026-09-02T16:06:01"/>
    <n v="69382512"/>
    <m/>
    <n v="146372103317"/>
    <s v="CV PRESTASI ANAK BANGSA"/>
    <s v="ODP-BJR-FJ/145 FJ/D10/145.01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SURVEY_NEW_MANJA"/>
    <s v="X"/>
    <s v="NO ADDON"/>
    <m/>
    <s v="MIE - SEND SURVEY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m/>
    <m/>
    <m/>
    <e v="#NUM!"/>
    <e v="#NUM!"/>
    <x v="0"/>
  </r>
  <r>
    <n v="72"/>
    <n v="1002567022"/>
    <n v="3"/>
    <x v="7"/>
    <n v="5"/>
    <s v="MALANG"/>
    <s v="KEPANJEN"/>
    <s v="TUR"/>
    <s v="REG"/>
    <s v="AO"/>
    <x v="0"/>
    <m/>
    <s v="MIE - SEND SURVEY"/>
    <s v="RBS-Regional 3"/>
    <d v="2026-09-02T10:16:15"/>
    <d v="2026-09-02T15:00:04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m/>
    <m/>
    <m/>
    <e v="#NUM!"/>
    <e v="#NUM!"/>
    <x v="0"/>
  </r>
  <r>
    <n v="73"/>
    <n v="1002567049"/>
    <n v="3"/>
    <x v="7"/>
    <n v="5"/>
    <s v="MALANG"/>
    <s v="KEPANJEN"/>
    <s v="TUR"/>
    <s v="REG"/>
    <s v="AO"/>
    <x v="0"/>
    <m/>
    <s v="MIE - SEND SURVEY"/>
    <s v="RBS-Regional 3"/>
    <d v="2026-09-02T10:21:44"/>
    <d v="2026-09-02T15:00:01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SURVEY_NEW_MANJA"/>
    <s v="TUREN"/>
    <s v="NETMONK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m/>
    <m/>
    <m/>
    <e v="#NUM!"/>
    <e v="#NUM!"/>
    <x v="0"/>
  </r>
  <r>
    <n v="74"/>
    <n v="1002567011"/>
    <n v="3"/>
    <x v="2"/>
    <n v="4"/>
    <s v="PEKALONGAN"/>
    <s v="SLAWI"/>
    <s v="SLW"/>
    <s v="REG"/>
    <s v="AO"/>
    <x v="0"/>
    <m/>
    <s v="MIE - SEND SURVEY"/>
    <s v="RBS-Regional 3"/>
    <d v="2026-09-02T10:10:57"/>
    <d v="2026-09-02T15:22:01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75"/>
    <n v="1002567524"/>
    <n v="3"/>
    <x v="3"/>
    <n v="5"/>
    <s v="MATARAM"/>
    <s v="LOMBOK TIMUR UTARA"/>
    <s v="SGG"/>
    <s v="REG"/>
    <s v="AO"/>
    <x v="0"/>
    <s v="1P INET"/>
    <s v="MIE - SEND SURVEY"/>
    <s v="RBS-Regional 3"/>
    <d v="2026-09-02T12:54:56"/>
    <d v="2026-09-02T12:56:01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m/>
    <s v="SURVEY_NEW_MANJA"/>
    <s v="LOMBOK UTARA"/>
    <s v="NO ADDON"/>
    <m/>
    <s v="MIE - SEND SURVEY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76"/>
    <n v="1002567530"/>
    <n v="3"/>
    <x v="3"/>
    <n v="5"/>
    <s v="MATARAM"/>
    <s v="INNER - NUSA TENGGARA"/>
    <s v="MTR"/>
    <s v="REG"/>
    <s v="AO"/>
    <x v="0"/>
    <s v="1P INET"/>
    <s v="MIE - SEND SURVEY"/>
    <s v="RBS-Regional 3"/>
    <d v="2026-09-02T12:57:58"/>
    <d v="2026-09-02T13:00:0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m/>
    <s v="SURVEY_NEW_MANJA"/>
    <s v="X"/>
    <s v="NO ADDON"/>
    <m/>
    <s v="MIE - SEND SURVEY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77"/>
    <n v="1002567529"/>
    <n v="3"/>
    <x v="2"/>
    <n v="4"/>
    <s v="SEMARANG"/>
    <s v="INNER - SEMARANG JATENG UTARA"/>
    <s v="JHR"/>
    <s v="REG"/>
    <s v="AO"/>
    <x v="0"/>
    <s v="1P INET"/>
    <s v="MIE - SEND SURVEY"/>
    <s v="RBS-Regional 3"/>
    <d v="2026-09-02T12:57:57"/>
    <d v="2026-09-02T13:00:02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m/>
    <s v="SURVEY_NEW_MANJA"/>
    <s v="JOHAR"/>
    <s v="NO ADDON"/>
    <m/>
    <s v="MIE - SEND SURVEY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78"/>
    <n v="1002567147"/>
    <n v="3"/>
    <x v="2"/>
    <n v="4"/>
    <s v="PEKALONGAN"/>
    <s v="BREBES"/>
    <s v="KTM"/>
    <s v="REG"/>
    <s v="AO"/>
    <x v="0"/>
    <s v="1P INET"/>
    <s v="MIE - SEND SURVEY"/>
    <s v="RBS-Regional 3"/>
    <d v="2026-09-02T10:44:56"/>
    <d v="2026-09-02T10:46:01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m/>
    <s v="SURVEY_NEW_MANJA"/>
    <s v="KETANGGUNGAN"/>
    <s v="NO ADDON"/>
    <m/>
    <s v="MIE - SEND SURVEY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79"/>
    <n v="1002566014"/>
    <n v="3"/>
    <x v="1"/>
    <n v="4"/>
    <s v="SOLO"/>
    <s v="INNER - SOLO JATENG TIMUR"/>
    <s v="SOP"/>
    <s v="REG"/>
    <s v="AO"/>
    <x v="0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</r>
  <r>
    <n v="80"/>
    <n v="1002566360"/>
    <n v="3"/>
    <x v="5"/>
    <n v="4"/>
    <s v="PURWOKERTO"/>
    <s v="BANJARNEGARA"/>
    <s v="BJR"/>
    <s v="REG"/>
    <s v="AO"/>
    <x v="0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</r>
  <r>
    <n v="81"/>
    <n v="1002564406"/>
    <n v="3"/>
    <x v="3"/>
    <n v="5"/>
    <s v="MATARAM"/>
    <s v="INNER - NUSA TENGGARA"/>
    <s v="MTR"/>
    <s v="REG"/>
    <s v="AO"/>
    <x v="0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</r>
  <r>
    <n v="82"/>
    <n v="1002564380"/>
    <n v="3"/>
    <x v="5"/>
    <n v="4"/>
    <s v="YOGYAKARTA"/>
    <s v="INNER - YOGYA JATENG SELATAN"/>
    <s v="KBU"/>
    <s v="REG"/>
    <s v="AO"/>
    <x v="0"/>
    <m/>
    <s v="MIE - SEND SURVEY"/>
    <s v="RBS-Regional 2"/>
    <d v="2026-09-01T09:27:38"/>
    <d v="2026-09-02T13:58:01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83"/>
    <n v="1002564622"/>
    <n v="3"/>
    <x v="1"/>
    <n v="4"/>
    <s v="SOLO"/>
    <s v="INNER - SOLO JATENG TIMUR"/>
    <s v="MSO"/>
    <s v="REG"/>
    <s v="AO"/>
    <x v="0"/>
    <m/>
    <s v="MIE - SEND SURVEY"/>
    <s v="RBS-Regional 3"/>
    <d v="2026-09-01T10:08:08"/>
    <d v="2026-09-02T12:26:02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SURVEY_NEW_MANJA"/>
    <s v="SOLO PALU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m/>
    <m/>
    <m/>
    <e v="#NUM!"/>
    <e v="#NUM!"/>
    <x v="0"/>
  </r>
  <r>
    <n v="84"/>
    <n v="1002564895"/>
    <n v="3"/>
    <x v="3"/>
    <n v="5"/>
    <s v="MATARAM"/>
    <s v="LOMBOK BARAT TENGAH"/>
    <s v="GER"/>
    <s v="REG"/>
    <s v="AO"/>
    <x v="0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</r>
  <r>
    <n v="85"/>
    <n v="1002565594"/>
    <n v="3"/>
    <x v="3"/>
    <n v="5"/>
    <s v="MATARAM"/>
    <s v="LOMBOK BARAT TENGAH"/>
    <s v="GER"/>
    <s v="REG"/>
    <s v="AO"/>
    <x v="0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</r>
  <r>
    <n v="86"/>
    <n v="1002566429"/>
    <n v="3"/>
    <x v="4"/>
    <n v="5"/>
    <s v="DENPASAR"/>
    <s v="SANUR"/>
    <s v="SAU"/>
    <s v="REG"/>
    <s v="AO"/>
    <x v="0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87"/>
    <n v="1002564240"/>
    <n v="3"/>
    <x v="3"/>
    <n v="5"/>
    <s v="MATARAM"/>
    <s v="LOMBOK BARAT TENGAH"/>
    <s v="GER"/>
    <s v="REG"/>
    <s v="AO"/>
    <x v="0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88"/>
    <n v="1002566294"/>
    <n v="3"/>
    <x v="7"/>
    <n v="5"/>
    <s v="MALANG"/>
    <s v="KEPANJEN"/>
    <s v="BRG"/>
    <s v="REG"/>
    <s v="AO"/>
    <x v="0"/>
    <m/>
    <s v="MIE - SEND SURVEY"/>
    <s v="RBS-Regional 3"/>
    <d v="2026-09-01T16:46:18"/>
    <d v="2026-09-02T12:04:07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SURVEY_NEW_MANJA"/>
    <s v="SAWOJAJAR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m/>
    <m/>
    <m/>
    <e v="#NUM!"/>
    <e v="#NUM!"/>
    <x v="0"/>
  </r>
  <r>
    <n v="89"/>
    <n v="1002566159"/>
    <n v="3"/>
    <x v="1"/>
    <n v="4"/>
    <s v="SOLO"/>
    <s v="INNER - SOLO JATENG TIMUR"/>
    <s v="MSO"/>
    <s v="REG"/>
    <s v="AO"/>
    <x v="0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</r>
  <r>
    <n v="90"/>
    <n v="1002567365"/>
    <n v="3"/>
    <x v="6"/>
    <n v="5"/>
    <s v="SBY UTARA"/>
    <s v="TANDES"/>
    <s v="KNN"/>
    <s v="REG"/>
    <s v="AO"/>
    <x v="0"/>
    <m/>
    <s v="QC MIA - INVALID QUALITY CONTROL MIA"/>
    <s v="RBS-Regional 3"/>
    <d v="2026-09-02T11:55:49"/>
    <d v="2026-09-02T14:52:44"/>
    <n v="69382219"/>
    <m/>
    <n v="152412249119"/>
    <s v="PT. TRIJAYA SPORTECH"/>
    <s v="ODP-KND-FAA/08"/>
    <m/>
    <m/>
    <m/>
    <m/>
    <n v="112.6592418"/>
    <n v="-7.2758864000000001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m/>
    <m/>
    <m/>
    <d v="2026-02-09T12:09:56"/>
    <m/>
    <m/>
    <s v="QC1"/>
    <s v="KANDANG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"/>
    <n v="1002566559"/>
    <n v="3"/>
    <x v="6"/>
    <n v="5"/>
    <s v="SBY UTARA"/>
    <s v="MANYAR"/>
    <s v="MGO"/>
    <s v="REG"/>
    <s v="AO"/>
    <x v="0"/>
    <s v="1P INET"/>
    <s v="MIA - INVALID SURVEY"/>
    <s v="RBS-Regional 3"/>
    <d v="2026-09-02T07:21:56"/>
    <d v="2026-09-02T21:40:11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m/>
    <s v="SURVEY_NEW_MANJA"/>
    <s v="MERGOYOSO"/>
    <s v="NO ADDON"/>
    <m/>
    <s v="MIE - INVALID SURVEY - Kendala Jalur/Rute Tarikan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92"/>
    <n v="1002567328"/>
    <n v="3"/>
    <x v="6"/>
    <n v="5"/>
    <s v="SBY UTARA"/>
    <s v="MANYAR"/>
    <s v="MGO"/>
    <s v="REG"/>
    <s v="AO"/>
    <x v="0"/>
    <s v="1P INET"/>
    <s v="MIA - INVALID SURVEY"/>
    <s v="RBS-Regional 3"/>
    <d v="2026-09-02T11:36:57"/>
    <d v="2026-09-02T21:39:15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SURVEY_NEW_MANJA"/>
    <s v="MERGOYOSO"/>
    <s v="NO ADDON"/>
    <m/>
    <s v="MIE - INVALID SURVEY - Kendala Jalur/Rute Tarikan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93"/>
    <n v="1002567211"/>
    <n v="3"/>
    <x v="6"/>
    <n v="5"/>
    <s v="SBY UTARA"/>
    <s v="MANYAR"/>
    <s v="MGO"/>
    <s v="REG"/>
    <s v="AO"/>
    <x v="0"/>
    <s v="1P INET"/>
    <s v="MIA - INVALID SURVEY"/>
    <s v="RBS-Regional 3"/>
    <d v="2026-09-02T11:02:56"/>
    <d v="2026-09-02T21:41:09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SURVEY_NEW_MANJA"/>
    <s v="MERGOYOSO"/>
    <s v="OCA"/>
    <m/>
    <s v="MIE - INVALID SURVEY - Kendala Jalur/Rute Tarikan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94"/>
    <n v="1002564024"/>
    <n v="3"/>
    <x v="6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95"/>
    <n v="1002564716"/>
    <n v="3"/>
    <x v="6"/>
    <n v="5"/>
    <s v="MADURA"/>
    <s v="BANGKALAN"/>
    <s v="OMB"/>
    <s v="REG"/>
    <s v="AO"/>
    <x v="0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96"/>
    <n v="1002566030"/>
    <n v="3"/>
    <x v="7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97"/>
    <n v="1002565040"/>
    <n v="3"/>
    <x v="6"/>
    <n v="5"/>
    <s v="SBY UTARA"/>
    <s v="LAMONGAN"/>
    <s v="BBA"/>
    <s v="REG"/>
    <s v="AO"/>
    <x v="0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98"/>
    <n v="1002567333"/>
    <n v="3"/>
    <x v="5"/>
    <n v="4"/>
    <s v="YOGYAKARTA"/>
    <s v="INNER - YOGYA JATENG SELATAN"/>
    <s v="PGR"/>
    <s v="REG"/>
    <s v="AO"/>
    <x v="0"/>
    <m/>
    <s v="8 | OSS - PONR"/>
    <s v="RBS-Regional 3"/>
    <d v="2026-09-02T11:39:46"/>
    <d v="2026-09-03T09:19:52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m/>
    <m/>
    <m/>
    <e v="#NUM!"/>
    <e v="#NUM!"/>
    <x v="0"/>
  </r>
  <r>
    <n v="99"/>
    <n v="1002566722"/>
    <n v="3"/>
    <x v="5"/>
    <n v="4"/>
    <s v="MAGELANG"/>
    <s v="WONOSOBO"/>
    <s v="WOS"/>
    <s v="REG"/>
    <s v="AO"/>
    <x v="0"/>
    <s v="1P INET"/>
    <s v="8 | OSS - PONR"/>
    <s v="RBS-Regional 3"/>
    <d v="2026-09-02T08:51:56"/>
    <d v="2026-09-02T12:32:23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ACT_COM"/>
    <s v="X"/>
    <s v="NO ADDON"/>
    <m/>
    <s v="PONR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m/>
    <m/>
    <m/>
    <e v="#NUM!"/>
    <e v="#NUM!"/>
    <x v="0"/>
  </r>
  <r>
    <n v="100"/>
    <n v="1002564112"/>
    <n v="3"/>
    <x v="3"/>
    <n v="5"/>
    <s v="MATARAM"/>
    <s v="BIMA"/>
    <s v="SAP"/>
    <s v="REG"/>
    <s v="AO"/>
    <x v="0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</r>
  <r>
    <n v="101"/>
    <n v="1002564319"/>
    <n v="3"/>
    <x v="3"/>
    <n v="5"/>
    <s v="MATARAM"/>
    <s v="BIMA"/>
    <s v="BIM"/>
    <s v="REG"/>
    <s v="AO"/>
    <x v="0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</r>
  <r>
    <n v="102"/>
    <n v="1002566558"/>
    <n v="3"/>
    <x v="6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103"/>
    <n v="1002567799"/>
    <n v="3"/>
    <x v="2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104"/>
    <n v="1002567809"/>
    <n v="3"/>
    <x v="2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105"/>
    <n v="1002566950"/>
    <n v="3"/>
    <x v="7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06"/>
    <n v="1002566886"/>
    <n v="3"/>
    <x v="7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107"/>
    <n v="1002566921"/>
    <n v="3"/>
    <x v="2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08"/>
    <n v="1002567302"/>
    <n v="3"/>
    <x v="1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09"/>
    <n v="1002567508"/>
    <n v="3"/>
    <x v="4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110"/>
    <n v="1002567521"/>
    <n v="3"/>
    <x v="1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11"/>
    <n v="1002567513"/>
    <n v="3"/>
    <x v="3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112"/>
    <n v="1002567512"/>
    <n v="3"/>
    <x v="4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113"/>
    <n v="1002567503"/>
    <n v="3"/>
    <x v="2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14"/>
    <n v="1002568520"/>
    <n v="3"/>
    <x v="3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5"/>
    <n v="1002568199"/>
    <n v="3"/>
    <x v="1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16"/>
    <n v="1002567254"/>
    <n v="3"/>
    <x v="3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7"/>
    <n v="1002567272"/>
    <n v="3"/>
    <x v="0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118"/>
    <n v="1002567574"/>
    <n v="3"/>
    <x v="5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19"/>
    <n v="1002568118"/>
    <n v="3"/>
    <x v="3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20"/>
    <n v="1002567608"/>
    <n v="3"/>
    <x v="4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121"/>
    <n v="1002567630"/>
    <n v="3"/>
    <x v="4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122"/>
    <n v="1002567620"/>
    <n v="3"/>
    <x v="4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123"/>
    <n v="1002567446"/>
    <n v="3"/>
    <x v="5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124"/>
    <n v="1002567231"/>
    <n v="3"/>
    <x v="0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25"/>
    <n v="1002567226"/>
    <n v="3"/>
    <x v="5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26"/>
    <n v="1002567225"/>
    <n v="3"/>
    <x v="7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127"/>
    <n v="1002567199"/>
    <n v="3"/>
    <x v="2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28"/>
    <n v="1002568293"/>
    <n v="3"/>
    <x v="2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29"/>
    <n v="1002566882"/>
    <n v="3"/>
    <x v="7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30"/>
    <n v="1002566836"/>
    <n v="3"/>
    <x v="7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131"/>
    <n v="1002566565"/>
    <n v="3"/>
    <x v="1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32"/>
    <n v="1002567058"/>
    <n v="3"/>
    <x v="7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133"/>
    <n v="1002566710"/>
    <n v="3"/>
    <x v="7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134"/>
    <n v="1002567152"/>
    <n v="3"/>
    <x v="7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35"/>
    <n v="1002567545"/>
    <n v="3"/>
    <x v="7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136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37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38"/>
    <n v="1002564394"/>
    <n v="3"/>
    <x v="3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139"/>
    <n v="1002564794"/>
    <n v="3"/>
    <x v="3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40"/>
    <n v="1002564072"/>
    <n v="3"/>
    <x v="5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41"/>
    <n v="1002564446"/>
    <n v="3"/>
    <x v="7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42"/>
    <n v="1002564395"/>
    <n v="3"/>
    <x v="0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43"/>
    <n v="1002564057"/>
    <n v="3"/>
    <x v="5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44"/>
    <n v="1002564025"/>
    <n v="3"/>
    <x v="3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145"/>
    <n v="1002565129"/>
    <n v="3"/>
    <x v="2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46"/>
    <n v="1002564592"/>
    <n v="3"/>
    <x v="0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47"/>
    <n v="1002565224"/>
    <n v="3"/>
    <x v="6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48"/>
    <n v="1002564429"/>
    <n v="3"/>
    <x v="6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49"/>
    <n v="1002564751"/>
    <n v="3"/>
    <x v="0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50"/>
    <n v="1002564376"/>
    <n v="3"/>
    <x v="1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51"/>
    <n v="1002564818"/>
    <n v="3"/>
    <x v="5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152"/>
    <n v="1002566468"/>
    <n v="3"/>
    <x v="0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53"/>
    <n v="1002566472"/>
    <n v="3"/>
    <x v="1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54"/>
    <n v="1002565810"/>
    <n v="3"/>
    <x v="0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155"/>
    <n v="1002565759"/>
    <n v="3"/>
    <x v="1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56"/>
    <n v="1002565180"/>
    <n v="3"/>
    <x v="3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157"/>
    <n v="1002565851"/>
    <n v="3"/>
    <x v="5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58"/>
    <n v="1002565160"/>
    <n v="3"/>
    <x v="6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59"/>
    <n v="1002565854"/>
    <n v="3"/>
    <x v="2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60"/>
    <n v="1002566045"/>
    <n v="3"/>
    <x v="1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61"/>
    <n v="1002565201"/>
    <n v="3"/>
    <x v="1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62"/>
    <n v="1002565198"/>
    <n v="3"/>
    <x v="6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63"/>
    <n v="1002565668"/>
    <n v="3"/>
    <x v="3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164"/>
    <n v="1002566034"/>
    <n v="3"/>
    <x v="3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65"/>
    <n v="1002564469"/>
    <n v="3"/>
    <x v="5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166"/>
    <n v="1002564921"/>
    <n v="3"/>
    <x v="3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167"/>
    <n v="1002564898"/>
    <n v="3"/>
    <x v="4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168"/>
    <n v="1002564914"/>
    <n v="3"/>
    <x v="7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169"/>
    <n v="1002564483"/>
    <n v="3"/>
    <x v="3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170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71"/>
    <n v="1002564906"/>
    <n v="3"/>
    <x v="5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172"/>
    <n v="1002564932"/>
    <n v="3"/>
    <x v="5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73"/>
    <n v="1002564905"/>
    <n v="3"/>
    <x v="6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74"/>
    <n v="1002564503"/>
    <n v="3"/>
    <x v="1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75"/>
    <n v="1002565698"/>
    <n v="3"/>
    <x v="3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76"/>
    <n v="1002564495"/>
    <n v="3"/>
    <x v="6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77"/>
    <n v="1002566276"/>
    <n v="3"/>
    <x v="5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178"/>
    <n v="1002565406"/>
    <n v="3"/>
    <x v="7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179"/>
    <n v="1002565062"/>
    <n v="3"/>
    <x v="3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80"/>
    <n v="1002566521"/>
    <n v="3"/>
    <x v="1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81"/>
    <n v="1002566093"/>
    <n v="3"/>
    <x v="6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82"/>
    <n v="1002564164"/>
    <n v="3"/>
    <x v="6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83"/>
    <n v="1002564167"/>
    <n v="3"/>
    <x v="3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84"/>
    <n v="1002565076"/>
    <n v="3"/>
    <x v="1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85"/>
    <n v="1002565865"/>
    <n v="3"/>
    <x v="7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186"/>
    <n v="1002566411"/>
    <n v="3"/>
    <x v="2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87"/>
    <n v="1002564644"/>
    <n v="3"/>
    <x v="5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88"/>
    <n v="1002565046"/>
    <n v="3"/>
    <x v="2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89"/>
    <n v="1002565053"/>
    <n v="3"/>
    <x v="2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90"/>
    <n v="1002564711"/>
    <n v="3"/>
    <x v="5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191"/>
    <n v="1002565535"/>
    <n v="3"/>
    <x v="1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92"/>
    <n v="1002564963"/>
    <n v="3"/>
    <x v="0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93"/>
    <n v="1002564992"/>
    <n v="3"/>
    <x v="6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194"/>
    <n v="1002565516"/>
    <n v="3"/>
    <x v="0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95"/>
    <n v="1002565015"/>
    <n v="3"/>
    <x v="5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196"/>
    <n v="1002565519"/>
    <n v="3"/>
    <x v="2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97"/>
    <n v="1002564987"/>
    <n v="3"/>
    <x v="2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98"/>
    <n v="1002565560"/>
    <n v="3"/>
    <x v="1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99"/>
    <n v="1002565555"/>
    <n v="3"/>
    <x v="3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200"/>
    <n v="1002565542"/>
    <n v="3"/>
    <x v="2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01"/>
    <n v="1002564957"/>
    <n v="3"/>
    <x v="1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202"/>
    <n v="1002564132"/>
    <n v="3"/>
    <x v="5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203"/>
    <n v="1002565586"/>
    <n v="3"/>
    <x v="0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204"/>
    <n v="1002564360"/>
    <n v="3"/>
    <x v="6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205"/>
    <n v="1002564309"/>
    <n v="3"/>
    <x v="0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06"/>
    <n v="1002566447"/>
    <n v="3"/>
    <x v="3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207"/>
    <n v="1002566441"/>
    <n v="3"/>
    <x v="0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08"/>
    <n v="1002566432"/>
    <n v="3"/>
    <x v="7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09"/>
    <n v="1002566437"/>
    <n v="3"/>
    <x v="2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10"/>
    <n v="1002566415"/>
    <n v="3"/>
    <x v="3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211"/>
    <n v="1002564252"/>
    <n v="3"/>
    <x v="0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212"/>
    <n v="1002564257"/>
    <n v="3"/>
    <x v="2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213"/>
    <n v="1002566137"/>
    <n v="3"/>
    <x v="7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214"/>
    <n v="1002566283"/>
    <n v="3"/>
    <x v="7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215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16"/>
    <n v="1002566131"/>
    <n v="3"/>
    <x v="5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217"/>
    <n v="1002566337"/>
    <n v="3"/>
    <x v="0"/>
    <n v="5"/>
    <s v="SIDOARJO"/>
    <s v="JOMBANG"/>
    <s v="MOJ"/>
    <s v="REG"/>
    <s v="AO"/>
    <x v="0"/>
    <s v="1P INET"/>
    <s v="OSS - PROVISIONING DESAIN"/>
    <s v="RBS-Regional 3"/>
    <d v="2026-09-01T16:54:56"/>
    <d v="2026-09-02T17:03:19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RE_PI"/>
    <s v="JOMBANG"/>
    <s v="NO ADDON"/>
    <m/>
    <s v="Provisioning Designed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218"/>
    <n v="1002566996"/>
    <n v="3"/>
    <x v="3"/>
    <n v="5"/>
    <s v="KUPANG"/>
    <s v="ATAMBUA"/>
    <s v="KEF"/>
    <s v="REG"/>
    <s v="AO"/>
    <x v="0"/>
    <s v="1P INET"/>
    <s v="7 | OSS - PROVISIONING ISSUED"/>
    <s v="RBS-Regional 3"/>
    <d v="2026-09-02T10:06:56"/>
    <d v="2026-09-03T08:06:10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</r>
  <r>
    <n v="219"/>
    <n v="1002566938"/>
    <n v="3"/>
    <x v="1"/>
    <n v="4"/>
    <s v="SOLO"/>
    <s v="INNER - SOLO JATENG TIMUR"/>
    <s v="GLD"/>
    <s v="REG"/>
    <s v="AO"/>
    <x v="0"/>
    <m/>
    <s v="7 | OSS - PROVISIONING ISSUED"/>
    <s v="RBS-Regional 2"/>
    <d v="2026-09-02T09:53:56"/>
    <d v="2026-09-03T08:06:46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PI"/>
    <s v="X"/>
    <s v="NO ADDON"/>
    <m/>
    <s v="Provisioning Issu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220"/>
    <n v="1002566926"/>
    <n v="3"/>
    <x v="4"/>
    <n v="5"/>
    <s v="SINGARJA"/>
    <s v="TABANAN"/>
    <s v="TBN"/>
    <s v="REG"/>
    <s v="AO"/>
    <x v="0"/>
    <m/>
    <s v="7 | OSS - PROVISIONING ISSUED"/>
    <s v="RBS-Regional 3"/>
    <d v="2026-09-02T09:49:20"/>
    <d v="2026-09-03T08:05:42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m/>
    <s v="PI"/>
    <s v="TABANAN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21"/>
    <n v="1002567273"/>
    <n v="3"/>
    <x v="5"/>
    <n v="4"/>
    <s v="MAGELANG"/>
    <s v="TEMANGGUNG"/>
    <s v="PRN"/>
    <s v="REG"/>
    <s v="AO"/>
    <x v="0"/>
    <s v="1P INET"/>
    <s v="7 | OSS - PROVISIONING ISSUED"/>
    <s v="RBS-Regional 3"/>
    <d v="2026-09-02T11:20:56"/>
    <d v="2026-09-03T08:06:30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I"/>
    <s v="PARAKAN"/>
    <s v="NO ADDON"/>
    <m/>
    <s v="Provisioning Issu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22"/>
    <n v="1002566584"/>
    <n v="3"/>
    <x v="3"/>
    <n v="5"/>
    <s v="KUPANG"/>
    <s v="MAUMERE"/>
    <s v="MMR"/>
    <s v="REG"/>
    <s v="AO"/>
    <x v="0"/>
    <s v="1P INET"/>
    <s v="7 | OSS - PROVISIONING ISSUED"/>
    <s v="RBS-Regional 3"/>
    <d v="2026-09-02T07:48:57"/>
    <d v="2026-09-02T17:40:33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I"/>
    <s v="X"/>
    <s v="NO ADDON"/>
    <m/>
    <s v="Provisioning Issu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m/>
    <m/>
    <m/>
    <e v="#NUM!"/>
    <e v="#NUM!"/>
    <x v="0"/>
  </r>
  <r>
    <n v="223"/>
    <n v="1002566762"/>
    <n v="3"/>
    <x v="6"/>
    <n v="5"/>
    <s v="SBY SELATAN"/>
    <s v="KETINTANG"/>
    <s v="RKT"/>
    <s v="REG"/>
    <s v="AO"/>
    <x v="0"/>
    <s v="1P INET"/>
    <s v="7 | OSS - PROVISIONING ISSUED"/>
    <s v="RBS-Regional 3"/>
    <d v="2026-09-02T09:05:56"/>
    <d v="2026-09-03T08:07:48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m/>
    <s v="PI"/>
    <s v="RUNGKUT"/>
    <s v="NO ADDON"/>
    <m/>
    <s v="Provisioning Issu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224"/>
    <n v="1002567344"/>
    <n v="3"/>
    <x v="3"/>
    <n v="5"/>
    <s v="KUPANG"/>
    <s v="KUPANG"/>
    <s v="OSP"/>
    <s v="REG"/>
    <s v="AO"/>
    <x v="0"/>
    <s v="1P INET"/>
    <s v="7 | OSS - PROVISIONING ISSUED"/>
    <s v="RBS-Regional 3"/>
    <d v="2026-09-02T11:41:56"/>
    <d v="2026-09-03T08:06:17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I"/>
    <s v="KUPANG"/>
    <s v="NO ADDON"/>
    <m/>
    <s v="Provisioning Issued"/>
    <s v="HSI Bisnis Basic Promo HUT RI PSB 70% - 1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5"/>
    <n v="1002566793"/>
    <n v="3"/>
    <x v="2"/>
    <n v="4"/>
    <s v="PEKALONGAN"/>
    <s v="PEKALONGAN"/>
    <s v="PKL"/>
    <s v="REG"/>
    <s v="AO"/>
    <x v="0"/>
    <s v="1P INET"/>
    <s v="7 | OSS - PROVISIONING ISSUED"/>
    <s v="RBS-Regional 3"/>
    <d v="2026-09-02T09:15:57"/>
    <d v="2026-09-03T08:06:04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I"/>
    <s v="X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226"/>
    <n v="1002566634"/>
    <n v="3"/>
    <x v="3"/>
    <n v="5"/>
    <s v="KUPANG"/>
    <s v="MAUMERE"/>
    <s v="LRT"/>
    <s v="REG"/>
    <s v="AO"/>
    <x v="0"/>
    <s v="1P INET"/>
    <s v="7 | OSS - PROVISIONING ISSUED"/>
    <s v="RBS-Regional 3"/>
    <d v="2026-09-02T08:23:57"/>
    <d v="2026-09-03T08:06:19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227"/>
    <n v="1002566611"/>
    <n v="3"/>
    <x v="3"/>
    <n v="5"/>
    <s v="KUPANG"/>
    <s v="KUPANG"/>
    <s v="KPN"/>
    <s v="REG"/>
    <s v="AO"/>
    <x v="0"/>
    <s v="1P INET"/>
    <s v="7 | OSS - PROVISIONING ISSUED"/>
    <s v="RBS-Regional 3"/>
    <d v="2026-09-02T08:15:57"/>
    <d v="2026-09-03T08:06:53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I"/>
    <s v="KUPANG"/>
    <s v="NO ADDON"/>
    <m/>
    <s v="Provisioning Issued"/>
    <s v="HSI Bisnis Promo HUT RI PSB 70% - 50 Mbps"/>
    <s v="INDIBIZ"/>
    <m/>
    <m/>
    <d v="2026-09-03T08:00:00"/>
    <s v="2026-09-03 08:00:00 | M Janji : 03 September 2026 Jam Pasang : pagi Note : hubungi pelanggan jika ingin kelokasi"/>
    <m/>
    <m/>
    <m/>
    <e v="#NUM!"/>
    <e v="#NUM!"/>
    <x v="0"/>
  </r>
  <r>
    <n v="228"/>
    <n v="1002566719"/>
    <n v="3"/>
    <x v="6"/>
    <n v="5"/>
    <s v="SBY UTARA"/>
    <s v="TANDES"/>
    <s v="BBE"/>
    <s v="REG"/>
    <s v="AO"/>
    <x v="0"/>
    <m/>
    <s v="7 | OSS - PROVISIONING ISSUED"/>
    <s v="RBS-Regional 3"/>
    <d v="2026-09-02T08:52:50"/>
    <d v="2026-09-03T08:05:38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m/>
    <s v="PI"/>
    <s v="BAMBE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29"/>
    <n v="1002567130"/>
    <n v="3"/>
    <x v="7"/>
    <n v="5"/>
    <s v="KEDIRI"/>
    <s v="KEDIRI"/>
    <s v="KDI"/>
    <s v="REG"/>
    <s v="AO"/>
    <x v="0"/>
    <s v="1P INET"/>
    <s v="7 | OSS - PROVISIONING ISSUED"/>
    <s v="RBS-Regional 3"/>
    <d v="2026-09-02T10:39:57"/>
    <d v="2026-09-03T08:06:3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m/>
    <m/>
    <m/>
    <e v="#NUM!"/>
    <e v="#NUM!"/>
    <x v="0"/>
  </r>
  <r>
    <n v="230"/>
    <n v="1002566682"/>
    <n v="3"/>
    <x v="4"/>
    <n v="5"/>
    <s v="SINGARJA"/>
    <s v="TABANAN"/>
    <s v="TBN"/>
    <s v="REG"/>
    <s v="AO"/>
    <x v="0"/>
    <m/>
    <s v="7 | OSS - PROVISIONING ISSUED"/>
    <s v="RBS-Regional 3"/>
    <d v="2026-09-02T08:39:33"/>
    <d v="2026-09-03T08:06:21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31"/>
    <n v="1002567158"/>
    <n v="3"/>
    <x v="2"/>
    <n v="4"/>
    <s v="PEKALONGAN"/>
    <s v="SLAWI"/>
    <s v="BLU"/>
    <s v="REG"/>
    <s v="AO"/>
    <x v="0"/>
    <s v="1P INET"/>
    <s v="7 | OSS - PROVISIONING ISSUED"/>
    <s v="RBS-Regional 3"/>
    <d v="2026-09-02T10:47:56"/>
    <d v="2026-09-03T08:05:35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I"/>
    <s v="X"/>
    <s v="NO ADDON"/>
    <m/>
    <s v="Provisioning Issu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</r>
  <r>
    <n v="232"/>
    <n v="1002566694"/>
    <n v="3"/>
    <x v="3"/>
    <n v="5"/>
    <s v="KUPANG"/>
    <s v="MAUMERE"/>
    <s v="LRT"/>
    <s v="REG"/>
    <s v="AO"/>
    <x v="0"/>
    <s v="1P INET"/>
    <s v="7 | OSS - PROVISIONING ISSUED"/>
    <s v="RBS-Regional 3"/>
    <d v="2026-09-02T08:42:57"/>
    <d v="2026-09-03T08:05:37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I"/>
    <s v="X"/>
    <s v="NO ADDON"/>
    <m/>
    <s v="Provisioning Issu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m/>
    <m/>
    <m/>
    <e v="#NUM!"/>
    <e v="#NUM!"/>
    <x v="0"/>
  </r>
  <r>
    <n v="233"/>
    <n v="1002567171"/>
    <n v="3"/>
    <x v="1"/>
    <n v="4"/>
    <s v="SOLO"/>
    <s v="INNER - SOLO JATENG TIMUR"/>
    <s v="KRT"/>
    <s v="REG"/>
    <s v="AO"/>
    <x v="0"/>
    <s v="1P INET"/>
    <s v="7 | OSS - PROVISIONING ISSUED"/>
    <s v="RBS-Regional 3"/>
    <d v="2026-09-02T10:51:57"/>
    <d v="2026-09-03T08:06:45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I"/>
    <s v="X"/>
    <s v="NO ADDON"/>
    <m/>
    <s v="Provisioning Issu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m/>
    <m/>
    <m/>
    <e v="#NUM!"/>
    <e v="#NUM!"/>
    <x v="0"/>
  </r>
  <r>
    <n v="234"/>
    <n v="1002566199"/>
    <n v="3"/>
    <x v="3"/>
    <n v="5"/>
    <s v="KUPANG"/>
    <s v="KUPANG"/>
    <s v="KPN"/>
    <s v="REG"/>
    <s v="AO"/>
    <x v="0"/>
    <s v="1P INET"/>
    <s v="7 | OSS - PROVISIONING ISSUED"/>
    <s v="RBS-Regional 3"/>
    <d v="2026-09-01T16:18:56"/>
    <d v="2026-09-02T13:06:17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I"/>
    <s v="KUPANG"/>
    <s v="NO ADDON"/>
    <m/>
    <s v="Provisioning Issu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35"/>
    <n v="1002564623"/>
    <n v="3"/>
    <x v="7"/>
    <n v="5"/>
    <s v="KEDIRI"/>
    <s v="BLITAR"/>
    <s v="PAN"/>
    <s v="REG"/>
    <s v="AO"/>
    <x v="0"/>
    <s v="1P INET"/>
    <s v="7 | OSS - PROVISIONING ISSUED"/>
    <s v="RBS-Regional 3"/>
    <d v="2026-09-01T10:06:56"/>
    <d v="2026-09-02T16:15:58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m/>
    <s v="PI"/>
    <s v="WLINGI"/>
    <s v="NO ADDON"/>
    <m/>
    <s v="Provisioning Issued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236"/>
    <n v="1002564858"/>
    <n v="3"/>
    <x v="3"/>
    <n v="5"/>
    <s v="MATARAM"/>
    <s v="SUMBAWA"/>
    <s v="ALA"/>
    <s v="REG"/>
    <s v="AO"/>
    <x v="0"/>
    <s v="1P INET"/>
    <s v="7 | OSS - PROVISIONING ISSUED"/>
    <s v="RBS-Regional 3"/>
    <d v="2026-09-01T10:50:57"/>
    <d v="2026-09-02T09:57:13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PI"/>
    <s v="SUMBAWA TIMUR"/>
    <s v="NO ADDON"/>
    <m/>
    <s v="Provisioning Issued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37"/>
    <n v="1002564783"/>
    <n v="3"/>
    <x v="3"/>
    <n v="5"/>
    <s v="MATARAM"/>
    <s v="LOMBOK TIMUR UTARA"/>
    <s v="SGG"/>
    <s v="REG"/>
    <s v="AO"/>
    <x v="0"/>
    <s v="1P INET"/>
    <s v="7 | OSS - PROVISIONING ISSUED"/>
    <s v="RBS-Regional 3"/>
    <d v="2026-09-01T10:38:56"/>
    <d v="2026-09-02T15:27:3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I"/>
    <s v="LOMBOK UTARA"/>
    <s v="NO ADDON"/>
    <m/>
    <s v="Provisioning Issu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</r>
  <r>
    <n v="238"/>
    <n v="1002565482"/>
    <n v="3"/>
    <x v="2"/>
    <n v="4"/>
    <s v="SEMARANG"/>
    <s v="INNER - SEMARANG JATENG UTARA"/>
    <s v="SSL"/>
    <s v="REG"/>
    <s v="AO"/>
    <x v="0"/>
    <s v="1P INET"/>
    <s v="7 | OSS - PROVISIONING ISSUED"/>
    <s v="RBS-Regional 3"/>
    <d v="2026-09-01T13:47:56"/>
    <d v="2026-09-02T13:05:33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PI"/>
    <s v="X"/>
    <s v="NO ADDON"/>
    <m/>
    <s v="Provisioning Issued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39"/>
    <n v="1002564593"/>
    <n v="3"/>
    <x v="3"/>
    <n v="5"/>
    <s v="MATARAM"/>
    <s v="LOMBOK BARAT TENGAH"/>
    <s v="PRY"/>
    <s v="REG"/>
    <s v="AO"/>
    <x v="0"/>
    <s v="1P INET"/>
    <s v="7 | OSS - PROVISIONING ISSUED"/>
    <s v="RBS-Regional 3"/>
    <d v="2026-09-01T10:00:55"/>
    <d v="2026-09-02T10:57:29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PI"/>
    <s v="LOMBOK TENGAH"/>
    <s v="NO ADDON"/>
    <m/>
    <s v="Provisioning Issu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240"/>
    <n v="1002566497"/>
    <n v="3"/>
    <x v="3"/>
    <n v="5"/>
    <s v="KUPANG"/>
    <s v="KUPANG"/>
    <s v="BAA"/>
    <s v="REG"/>
    <s v="AO"/>
    <x v="0"/>
    <s v="1P INET"/>
    <s v="7 | OSS - PROVISIONING ISSUED"/>
    <s v="RBS-Regional 3"/>
    <d v="2026-09-01T19:12:02"/>
    <d v="2026-09-03T08:06:33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I"/>
    <s v="X"/>
    <s v="NETMONK"/>
    <m/>
    <s v="Provisioning Issu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41"/>
    <n v="1002566474"/>
    <n v="3"/>
    <x v="1"/>
    <n v="4"/>
    <s v="KUDUS"/>
    <s v="PURWODADI"/>
    <s v="GBU"/>
    <s v="REG"/>
    <s v="AO"/>
    <x v="0"/>
    <s v="1P INET"/>
    <s v="7 | OSS - PROVISIONING ISSUED"/>
    <s v="RBS-Regional 3"/>
    <d v="2026-09-01T18:36:56"/>
    <d v="2026-09-03T08:06:06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PI"/>
    <s v="GUBUG"/>
    <s v="NO ADDON"/>
    <m/>
    <s v="Provisioning Issu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42"/>
    <n v="1002565843"/>
    <n v="3"/>
    <x v="0"/>
    <n v="5"/>
    <s v="SIDOARJO"/>
    <s v="INNER - JATIM TIMUR"/>
    <s v="TUN"/>
    <s v="REG"/>
    <s v="AO"/>
    <x v="0"/>
    <m/>
    <s v="7 | OSS - PROVISIONING ISSUED"/>
    <s v="RBS-Regional 3"/>
    <d v="2026-09-01T15:08:32"/>
    <d v="2026-09-02T17:04:17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I"/>
    <s v="TULANG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</r>
  <r>
    <n v="243"/>
    <n v="1002565223"/>
    <n v="3"/>
    <x v="3"/>
    <n v="5"/>
    <s v="KUPANG"/>
    <s v="KUPANG"/>
    <s v="OSP"/>
    <s v="REG"/>
    <s v="AO"/>
    <x v="0"/>
    <s v="1P INET"/>
    <s v="7 | OSS - PROVISIONING ISSUED"/>
    <s v="RBS-Regional 3"/>
    <d v="2026-09-01T12:21:58"/>
    <d v="2026-09-02T13:05:39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I"/>
    <s v="KUPANG"/>
    <s v="NO ADDON"/>
    <m/>
    <s v="Provisioning Issu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244"/>
    <n v="1002566046"/>
    <n v="3"/>
    <x v="3"/>
    <n v="5"/>
    <s v="KUPANG"/>
    <s v="LABOAN BAJO"/>
    <s v="RTE"/>
    <s v="REG"/>
    <s v="AO"/>
    <x v="0"/>
    <s v="1P INET"/>
    <s v="7 | OSS - PROVISIONING ISSUED"/>
    <s v="RBS-Regional 3"/>
    <d v="2026-09-01T15:42:57"/>
    <d v="2026-09-02T13:06:46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I"/>
    <s v="X"/>
    <s v="NO ADDON"/>
    <m/>
    <s v="Provisioning Issu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245"/>
    <n v="1002564872"/>
    <n v="3"/>
    <x v="3"/>
    <n v="5"/>
    <s v="MATARAM"/>
    <s v="SUMBAWA"/>
    <s v="SBW"/>
    <s v="REG"/>
    <s v="AO"/>
    <x v="0"/>
    <s v="1P INET"/>
    <s v="7 | OSS - PROVISIONING ISSUED"/>
    <s v="RBS-Regional 3"/>
    <d v="2026-09-01T10:54:56"/>
    <d v="2026-09-02T13:06:3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I"/>
    <s v="X"/>
    <s v="OCA"/>
    <m/>
    <s v="Provisioning Issu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</r>
  <r>
    <n v="246"/>
    <n v="1002564524"/>
    <n v="3"/>
    <x v="1"/>
    <n v="4"/>
    <s v="SOLO"/>
    <s v="INNER - SOLO JATENG TIMUR"/>
    <s v="KRT"/>
    <s v="REG"/>
    <s v="AO"/>
    <x v="0"/>
    <s v="1P INET"/>
    <s v="7 | OSS - PROVISIONING ISSUED"/>
    <s v="RBS-Regional 3"/>
    <d v="2026-09-01T09:48:56"/>
    <d v="2026-09-02T09:26:25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PI"/>
    <s v="X"/>
    <s v="NO ADDON"/>
    <m/>
    <s v="Provisioning Issu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247"/>
    <n v="1002565696"/>
    <n v="3"/>
    <x v="4"/>
    <n v="5"/>
    <s v="SINGARJA"/>
    <s v="GIANYAR"/>
    <s v="GIN"/>
    <s v="REG"/>
    <s v="AO"/>
    <x v="0"/>
    <m/>
    <s v="7 | OSS - PROVISIONING ISSUED"/>
    <s v="RBS-Regional 3"/>
    <d v="2026-09-01T14:35:08"/>
    <d v="2026-09-03T08:06:01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m/>
    <s v="PI"/>
    <s v="GIANYAR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48"/>
    <n v="1002566268"/>
    <n v="3"/>
    <x v="7"/>
    <n v="5"/>
    <s v="KEDIRI"/>
    <s v="KEDIRI"/>
    <s v="NDL"/>
    <s v="REG"/>
    <s v="AO"/>
    <x v="0"/>
    <s v="1P INET"/>
    <s v="7 | OSS - PROVISIONING ISSUED"/>
    <s v="RBS-Regional 3"/>
    <d v="2026-09-01T16:36:56"/>
    <d v="2026-09-02T13:06:09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PI"/>
    <s v="NGADILUWIH"/>
    <s v="NO ADDON"/>
    <m/>
    <s v="Provisioning Issu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249"/>
    <n v="1002565310"/>
    <n v="3"/>
    <x v="3"/>
    <n v="5"/>
    <s v="MATARAM"/>
    <s v="SUMBAWA"/>
    <s v="TLW"/>
    <s v="REG"/>
    <s v="AO"/>
    <x v="0"/>
    <s v="1P INET"/>
    <s v="7 | OSS - PROVISIONING ISSUED"/>
    <s v="RBS-Regional 3"/>
    <d v="2026-09-01T13:00:56"/>
    <d v="2026-09-02T13:05:4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PI"/>
    <s v="SUMBAWA BARAT"/>
    <s v="NO ADDON"/>
    <m/>
    <s v="Provisioning Issued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50"/>
    <n v="1002565915"/>
    <n v="3"/>
    <x v="3"/>
    <n v="5"/>
    <s v="KUPANG"/>
    <s v="KUPANG"/>
    <s v="KPN"/>
    <s v="REG"/>
    <s v="AO"/>
    <x v="0"/>
    <s v="1P INET"/>
    <s v="7 | OSS - PROVISIONING ISSUED"/>
    <s v="RBS-Regional 3"/>
    <d v="2026-09-01T15:21:57"/>
    <d v="2026-09-02T13:06:20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I"/>
    <s v="KUPANG"/>
    <s v="NO ADDON"/>
    <m/>
    <s v="Provisioning Issu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</r>
  <r>
    <n v="251"/>
    <n v="1002565896"/>
    <n v="3"/>
    <x v="7"/>
    <n v="5"/>
    <s v="KEDIRI"/>
    <s v="NGANJUK"/>
    <s v="NJK"/>
    <s v="REG"/>
    <s v="AO"/>
    <x v="0"/>
    <s v="1P INET"/>
    <s v="7 | OSS - PROVISIONING ISSUED"/>
    <s v="RBS-Regional 3"/>
    <d v="2026-09-01T15:18:56"/>
    <d v="2026-09-02T13:07:1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I"/>
    <s v="X"/>
    <s v="NO ADDON"/>
    <m/>
    <s v="Provisioning Issu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</r>
  <r>
    <n v="252"/>
    <n v="1002564991"/>
    <n v="3"/>
    <x v="3"/>
    <n v="5"/>
    <s v="MATARAM"/>
    <s v="BIMA"/>
    <s v="SAP"/>
    <s v="REG"/>
    <s v="AO"/>
    <x v="0"/>
    <s v="1P INET"/>
    <s v="7 | OSS - PROVISIONING ISSUED"/>
    <s v="RBS-Regional 3"/>
    <d v="2026-09-01T11:15:57"/>
    <d v="2026-09-02T09:30:0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PI"/>
    <s v="BIMA BARAT"/>
    <s v="NETMONK"/>
    <m/>
    <s v="Provisioning Issued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253"/>
    <n v="1002565568"/>
    <n v="3"/>
    <x v="5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254"/>
    <n v="1002564873"/>
    <n v="3"/>
    <x v="2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55"/>
    <n v="1002564550"/>
    <n v="3"/>
    <x v="3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256"/>
    <n v="1002566859"/>
    <n v="3"/>
    <x v="7"/>
    <n v="5"/>
    <s v="MALANG"/>
    <s v="KEPANJEN"/>
    <s v="KLJ"/>
    <s v="REG"/>
    <s v="AO"/>
    <x v="0"/>
    <s v="1P INET"/>
    <s v="OSS - PROVISIONING START"/>
    <s v="RBS-Regional 3"/>
    <d v="2026-09-02T09:33:57"/>
    <d v="2026-09-02T17:04:36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RE_PI"/>
    <s v="KLOJEN"/>
    <s v="OCA"/>
    <m/>
    <s v="Provisioning Start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m/>
    <m/>
    <m/>
    <e v="#NUM!"/>
    <e v="#NUM!"/>
    <x v="0"/>
  </r>
  <r>
    <n v="257"/>
    <n v="1002568437"/>
    <n v="3"/>
    <x v="5"/>
    <n v="4"/>
    <s v="YOGYAKARTA"/>
    <s v="INNER - YOGYA JATENG SELATAN"/>
    <s v="BBS"/>
    <s v="REG"/>
    <s v="AO"/>
    <x v="0"/>
    <m/>
    <s v="OSS - FALLOUT"/>
    <s v="RBS-Regional 3"/>
    <d v="2026-09-02T16:59:31"/>
    <d v="2026-09-02T23:03:34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FO_OSM"/>
    <s v="X"/>
    <s v="NO ADDON"/>
    <m/>
    <s v="Provisioning Failed|OSM|INF009224701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258"/>
    <n v="1002567710"/>
    <n v="3"/>
    <x v="4"/>
    <n v="5"/>
    <s v="DENPASAR"/>
    <s v="UBUNG"/>
    <s v="MMN"/>
    <s v="REG"/>
    <s v="AO"/>
    <x v="0"/>
    <m/>
    <s v="OSS - FALLOUT"/>
    <s v="RBS-Regional 3"/>
    <d v="2026-09-02T13:52:37"/>
    <d v="2026-09-02T18:49:45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FO_WFM"/>
    <s v="MONANG MANING"/>
    <s v="NO ADDON"/>
    <m/>
    <s v="Provisioning Failed|WFM|INF009223096|.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m/>
    <m/>
    <m/>
    <e v="#NUM!"/>
    <e v="#NUM!"/>
    <x v="0"/>
  </r>
  <r>
    <n v="259"/>
    <n v="1002566519"/>
    <n v="3"/>
    <x v="0"/>
    <n v="5"/>
    <s v="SIDOARJO"/>
    <s v="INNER - JATIM TIMUR"/>
    <s v="KRN"/>
    <s v="REG"/>
    <s v="AO"/>
    <x v="0"/>
    <s v="1P INET"/>
    <s v="OSS - FALLOUT"/>
    <s v="RBS-Regional 3"/>
    <d v="2026-09-01T19:47:56"/>
    <d v="2026-09-02T18:32:47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FO_WFM"/>
    <s v="KRIAN"/>
    <s v="NO ADDON"/>
    <m/>
    <s v="Provisioning Failed|WFM|INF009222902|HOLD BY WITEL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260"/>
    <n v="1002564984"/>
    <n v="3"/>
    <x v="5"/>
    <n v="4"/>
    <s v="MAGELANG"/>
    <s v="TEMANGGUNG"/>
    <s v="PRN"/>
    <s v="REG"/>
    <s v="AO"/>
    <x v="0"/>
    <s v="1P INET"/>
    <s v="OSS - FALLOUT"/>
    <s v="RBS-Regional 3"/>
    <d v="2026-09-01T11:14:57"/>
    <d v="2026-09-02T17:19:53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FO_WFM"/>
    <s v="PARAKAN"/>
    <s v="NO ADDON"/>
    <m/>
    <s v="Provisioning Failed|WFM|INF009222055|pelanggan tidak respon alamat tidak ditemukan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261"/>
    <n v="1002564133"/>
    <n v="3"/>
    <x v="6"/>
    <n v="5"/>
    <s v="SBY UTARA"/>
    <s v="GRESIK"/>
    <s v="SDY"/>
    <s v="REG"/>
    <s v="AO"/>
    <x v="0"/>
    <s v="1P INET"/>
    <s v="OSS - FALLOUT"/>
    <s v="RBS-Regional 3"/>
    <d v="2026-09-01T08:36:56"/>
    <d v="2026-09-02T19:16:15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FO_WFM"/>
    <s v="GRESIK"/>
    <s v="NO ADDON"/>
    <m/>
    <s v="Provisioning Failed|WFM|INF009223380|PCL = Konfirmasi pelanggan by WA. Pelanggan batal pasang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62"/>
    <n v="1002566583"/>
    <n v="3"/>
    <x v="3"/>
    <n v="5"/>
    <s v="MATARAM"/>
    <s v="INNER - NUSA TENGGARA"/>
    <s v="MTR"/>
    <s v="REG"/>
    <s v="AO"/>
    <x v="0"/>
    <s v="1P INET"/>
    <s v="OSS - TESTING SERVICE"/>
    <s v="RBS-Regional 3"/>
    <d v="2026-09-02T07:48:57"/>
    <d v="2026-09-03T08:10:4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ACT_COM"/>
    <s v="X"/>
    <s v="NO ADDON"/>
    <m/>
    <s v="Testing Service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m/>
    <m/>
    <m/>
    <e v="#NUM!"/>
    <e v="#NUM!"/>
    <x v="0"/>
  </r>
  <r>
    <n v="263"/>
    <n v="1002567232"/>
    <n v="3"/>
    <x v="0"/>
    <n v="5"/>
    <s v="JEMBER"/>
    <s v="JEMBER"/>
    <s v="SKW"/>
    <s v="REG"/>
    <s v="AO"/>
    <x v="0"/>
    <s v="1P INET"/>
    <s v="OSS - TESTING SERVICE"/>
    <s v="RBS-Regional 3"/>
    <d v="2026-09-02T11:08:57"/>
    <d v="2026-09-02T18:58:37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ACT_COM"/>
    <s v="KEBONSARI"/>
    <s v="NO ADDON"/>
    <m/>
    <s v="Testing Service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7"/>
        <item x="0"/>
        <item x="3"/>
        <item h="1" x="2"/>
        <item h="1" x="1"/>
        <item x="6"/>
        <item h="1" x="5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55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7"/>
        <item x="0"/>
        <item x="3"/>
        <item h="1" x="2"/>
        <item h="1" x="1"/>
        <item x="6"/>
        <item h="1" x="5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1"/>
        <item x="32"/>
        <item m="1" x="42"/>
        <item m="1" x="94"/>
        <item m="1" x="51"/>
        <item m="1" x="55"/>
        <item m="1" x="44"/>
        <item x="20"/>
        <item x="28"/>
        <item m="1" x="41"/>
        <item x="12"/>
        <item m="1" x="48"/>
        <item m="1" x="43"/>
        <item m="1" x="62"/>
        <item x="19"/>
        <item m="1" x="45"/>
        <item m="1" x="47"/>
        <item m="1" x="46"/>
        <item x="27"/>
        <item m="1" x="56"/>
        <item x="14"/>
        <item x="18"/>
        <item x="26"/>
        <item m="1" x="95"/>
        <item x="0"/>
        <item m="1" x="50"/>
        <item x="25"/>
        <item m="1" x="35"/>
        <item m="1" x="37"/>
        <item x="15"/>
        <item x="22"/>
        <item x="11"/>
        <item x="23"/>
        <item x="21"/>
        <item m="1" x="39"/>
        <item x="29"/>
        <item x="5"/>
        <item m="1" x="58"/>
        <item x="13"/>
        <item x="30"/>
        <item m="1" x="33"/>
        <item m="1" x="52"/>
        <item m="1" x="53"/>
        <item x="3"/>
        <item m="1" x="49"/>
        <item x="24"/>
        <item x="10"/>
        <item m="1" x="40"/>
        <item x="4"/>
        <item m="1" x="34"/>
        <item m="1" x="36"/>
        <item x="31"/>
        <item m="1" x="54"/>
        <item m="1" x="38"/>
        <item m="1" x="57"/>
        <item x="17"/>
        <item x="2"/>
        <item x="7"/>
        <item x="8"/>
        <item x="6"/>
        <item x="16"/>
        <item x="9"/>
        <item t="default"/>
      </items>
    </pivotField>
  </pivotFields>
  <rowFields count="2">
    <field x="3"/>
    <field x="60"/>
  </rowFields>
  <rowItems count="37">
    <i>
      <x/>
    </i>
    <i r="1">
      <x v="57"/>
    </i>
    <i r="1">
      <x v="71"/>
    </i>
    <i r="1">
      <x v="79"/>
    </i>
    <i r="1">
      <x v="85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84"/>
    </i>
    <i r="1">
      <x v="88"/>
    </i>
    <i r="1">
      <x v="95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21" t="s">
        <v>0</v>
      </c>
      <c r="C1" s="121"/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</row>
    <row r="2" spans="2:34"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</row>
    <row r="3" spans="2:34" ht="14.45" customHeight="1">
      <c r="B3" s="121"/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</row>
    <row r="4" spans="2:34"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</row>
    <row r="6" spans="2:34">
      <c r="B6" s="103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03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03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30">
      <c r="B9" s="103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01" t="str">
        <f ca="1">"PROVISIONING INDIBIZ TR3 JBN HARIAN "&amp;TEXT(TODAY(),"YYYY-MM-DD ")&amp;TEXT(NOW(),"HH:MM")&amp;" WIB"</f>
        <v>PROVISIONING INDIBIZ TR3 JBN HARIAN 2026-09-03 11:35 WIB</v>
      </c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02" t="s">
        <v>66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9" t="s">
        <v>1</v>
      </c>
      <c r="C23" s="110" t="s">
        <v>3</v>
      </c>
      <c r="D23" s="110" t="s">
        <v>67</v>
      </c>
      <c r="E23" s="117" t="s">
        <v>7</v>
      </c>
      <c r="F23" s="100" t="s">
        <v>8</v>
      </c>
      <c r="G23" s="100" t="s">
        <v>9</v>
      </c>
      <c r="H23" s="113" t="s">
        <v>10</v>
      </c>
      <c r="I23" s="114"/>
      <c r="J23" s="114"/>
      <c r="K23" s="115"/>
      <c r="L23" s="100" t="s">
        <v>68</v>
      </c>
      <c r="M23" s="116" t="s">
        <v>11</v>
      </c>
      <c r="N23" s="117" t="s">
        <v>12</v>
      </c>
      <c r="O23" s="117"/>
      <c r="P23" s="117" t="s">
        <v>13</v>
      </c>
      <c r="Q23" s="117" t="s">
        <v>14</v>
      </c>
    </row>
    <row r="24" spans="2:34" ht="15.6" customHeight="1">
      <c r="B24" s="109"/>
      <c r="C24" s="110"/>
      <c r="D24" s="110"/>
      <c r="E24" s="117"/>
      <c r="F24" s="100"/>
      <c r="G24" s="100"/>
      <c r="H24" s="100" t="s">
        <v>2</v>
      </c>
      <c r="I24" s="100" t="s">
        <v>18</v>
      </c>
      <c r="J24" s="100" t="s">
        <v>20</v>
      </c>
      <c r="K24" s="100" t="s">
        <v>22</v>
      </c>
      <c r="L24" s="100"/>
      <c r="M24" s="116"/>
      <c r="N24" s="117"/>
      <c r="O24" s="117"/>
      <c r="P24" s="117"/>
      <c r="Q24" s="117"/>
    </row>
    <row r="25" spans="2:34" ht="14.45" customHeight="1">
      <c r="B25" s="109"/>
      <c r="C25" s="110"/>
      <c r="D25" s="110"/>
      <c r="E25" s="117"/>
      <c r="F25" s="100"/>
      <c r="G25" s="100"/>
      <c r="H25" s="100"/>
      <c r="I25" s="100"/>
      <c r="J25" s="100"/>
      <c r="K25" s="100"/>
      <c r="L25" s="100"/>
      <c r="M25" s="116"/>
      <c r="N25" s="117"/>
      <c r="O25" s="117"/>
      <c r="P25" s="117"/>
      <c r="Q25" s="117"/>
    </row>
    <row r="26" spans="2:34" ht="29.1" customHeight="1">
      <c r="B26" s="109"/>
      <c r="C26" s="110"/>
      <c r="D26" s="110"/>
      <c r="E26" s="117"/>
      <c r="F26" s="100"/>
      <c r="G26" s="100"/>
      <c r="H26" s="100"/>
      <c r="I26" s="100"/>
      <c r="J26" s="100"/>
      <c r="K26" s="100"/>
      <c r="L26" s="100"/>
      <c r="M26" s="116"/>
      <c r="N26" s="43" t="s">
        <v>30</v>
      </c>
      <c r="O26" s="43" t="s">
        <v>69</v>
      </c>
      <c r="P26" s="117"/>
      <c r="Q26" s="117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18" t="s">
        <v>72</v>
      </c>
      <c r="D34" s="119"/>
    </row>
    <row r="35" spans="2:18" ht="15.75">
      <c r="B35" s="48"/>
      <c r="C35" s="120" t="s">
        <v>73</v>
      </c>
      <c r="D35" s="120"/>
    </row>
    <row r="36" spans="2:18">
      <c r="B36" s="49"/>
      <c r="C36" s="120" t="s">
        <v>74</v>
      </c>
      <c r="D36" s="120"/>
    </row>
    <row r="37" spans="2:18">
      <c r="B37" s="50"/>
      <c r="C37" s="120" t="s">
        <v>75</v>
      </c>
      <c r="D37" s="120"/>
    </row>
    <row r="38" spans="2:18">
      <c r="B38" s="51"/>
      <c r="C38" s="111" t="s">
        <v>76</v>
      </c>
      <c r="D38" s="112"/>
    </row>
    <row r="39" spans="2:18">
      <c r="C39" s="1"/>
      <c r="D39" s="1"/>
    </row>
    <row r="40" spans="2:18" ht="18.75">
      <c r="B40" s="101" t="str">
        <f ca="1">"PROVISIONING INDIBIZ TR3 JBN BY TELDA MTD "&amp;TEXT(TODAY(),"YYYY-MM-DD ")&amp;TEXT(NOW(),"HH:MM")&amp;" WIB"</f>
        <v>PROVISIONING INDIBIZ TR3 JBN BY TELDA MTD 2026-09-03 11:35 WIB</v>
      </c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</row>
    <row r="41" spans="2:18" ht="15.75">
      <c r="B41" s="102" t="s">
        <v>77</v>
      </c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</row>
    <row r="43" spans="2:18" ht="15.6" customHeight="1">
      <c r="B43" s="109" t="s">
        <v>1</v>
      </c>
      <c r="C43" s="109" t="s">
        <v>78</v>
      </c>
      <c r="D43" s="110" t="s">
        <v>3</v>
      </c>
      <c r="E43" s="110" t="s">
        <v>67</v>
      </c>
      <c r="F43" s="117" t="s">
        <v>7</v>
      </c>
      <c r="G43" s="100" t="s">
        <v>8</v>
      </c>
      <c r="H43" s="100" t="s">
        <v>9</v>
      </c>
      <c r="I43" s="113" t="s">
        <v>10</v>
      </c>
      <c r="J43" s="114"/>
      <c r="K43" s="114"/>
      <c r="L43" s="115"/>
      <c r="M43" s="100" t="s">
        <v>68</v>
      </c>
      <c r="N43" s="116" t="s">
        <v>11</v>
      </c>
      <c r="O43" s="117" t="s">
        <v>12</v>
      </c>
      <c r="P43" s="117"/>
      <c r="Q43" s="117" t="s">
        <v>13</v>
      </c>
      <c r="R43" s="117" t="s">
        <v>14</v>
      </c>
    </row>
    <row r="44" spans="2:18" ht="14.45" customHeight="1">
      <c r="B44" s="109"/>
      <c r="C44" s="109"/>
      <c r="D44" s="110"/>
      <c r="E44" s="110"/>
      <c r="F44" s="117"/>
      <c r="G44" s="100"/>
      <c r="H44" s="100"/>
      <c r="I44" s="100" t="s">
        <v>2</v>
      </c>
      <c r="J44" s="100" t="s">
        <v>18</v>
      </c>
      <c r="K44" s="100" t="s">
        <v>20</v>
      </c>
      <c r="L44" s="100" t="s">
        <v>22</v>
      </c>
      <c r="M44" s="100"/>
      <c r="N44" s="116"/>
      <c r="O44" s="117"/>
      <c r="P44" s="117"/>
      <c r="Q44" s="117"/>
      <c r="R44" s="117"/>
    </row>
    <row r="45" spans="2:18" ht="14.45" customHeight="1">
      <c r="B45" s="109"/>
      <c r="C45" s="109"/>
      <c r="D45" s="110"/>
      <c r="E45" s="110"/>
      <c r="F45" s="117"/>
      <c r="G45" s="100"/>
      <c r="H45" s="100"/>
      <c r="I45" s="100"/>
      <c r="J45" s="100"/>
      <c r="K45" s="100"/>
      <c r="L45" s="100"/>
      <c r="M45" s="100"/>
      <c r="N45" s="116"/>
      <c r="O45" s="117"/>
      <c r="P45" s="117"/>
      <c r="Q45" s="117"/>
      <c r="R45" s="117"/>
    </row>
    <row r="46" spans="2:18" ht="47.25">
      <c r="B46" s="109"/>
      <c r="C46" s="109"/>
      <c r="D46" s="110"/>
      <c r="E46" s="110"/>
      <c r="F46" s="117"/>
      <c r="G46" s="100"/>
      <c r="H46" s="100"/>
      <c r="I46" s="100"/>
      <c r="J46" s="100"/>
      <c r="K46" s="100"/>
      <c r="L46" s="100"/>
      <c r="M46" s="100"/>
      <c r="N46" s="116"/>
      <c r="O46" s="43" t="s">
        <v>30</v>
      </c>
      <c r="P46" s="43" t="s">
        <v>69</v>
      </c>
      <c r="Q46" s="117"/>
      <c r="R46" s="117"/>
    </row>
    <row r="47" spans="2:18">
      <c r="B47" s="106" t="s">
        <v>34</v>
      </c>
      <c r="C47" s="52" t="s">
        <v>79</v>
      </c>
      <c r="D47" s="53">
        <f>'LOOKUP  telda'!E7</f>
        <v>2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0</v>
      </c>
      <c r="L47" s="53">
        <f>'LOOKUP  telda'!Y7</f>
        <v>0</v>
      </c>
      <c r="M47" s="53">
        <f>SUM('DATA MTD'!I47:L47)</f>
        <v>1</v>
      </c>
      <c r="N47" s="53">
        <f>'LOOKUP  telda'!Z7</f>
        <v>1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07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07"/>
      <c r="C49" s="52" t="s">
        <v>81</v>
      </c>
      <c r="D49" s="53">
        <f>'LOOKUP  telda'!E9</f>
        <v>2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07"/>
      <c r="C50" s="52" t="s">
        <v>82</v>
      </c>
      <c r="D50" s="53">
        <f>'LOOKUP  telda'!E10</f>
        <v>3</v>
      </c>
      <c r="E50" s="53">
        <f>'LOOKUP  telda'!F10+'LOOKUP  telda'!G10+'LOOKUP  telda'!H10</f>
        <v>1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07"/>
      <c r="C51" s="52" t="s">
        <v>83</v>
      </c>
      <c r="D51" s="53">
        <f>'LOOKUP  telda'!E11</f>
        <v>5</v>
      </c>
      <c r="E51" s="53">
        <f>'LOOKUP  telda'!F11+'LOOKUP  telda'!G11+'LOOKUP  telda'!H11</f>
        <v>1</v>
      </c>
      <c r="F51" s="53">
        <f>'LOOKUP  telda'!I11</f>
        <v>0</v>
      </c>
      <c r="G51" s="53">
        <f>'LOOKUP  telda'!J11</f>
        <v>2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2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07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07"/>
      <c r="C53" s="52" t="s">
        <v>85</v>
      </c>
      <c r="D53" s="53">
        <f>'LOOKUP  telda'!E13</f>
        <v>4</v>
      </c>
      <c r="E53" s="53">
        <f>'LOOKUP  telda'!F13+'LOOKUP  telda'!G13+'LOOKUP  telda'!H13</f>
        <v>2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2</v>
      </c>
      <c r="K53" s="53">
        <f>'LOOKUP  telda'!X13</f>
        <v>0</v>
      </c>
      <c r="L53" s="53">
        <f>'LOOKUP  telda'!Y13</f>
        <v>0</v>
      </c>
      <c r="M53" s="53">
        <f>SUM('DATA MTD'!I53:L53)</f>
        <v>2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08"/>
      <c r="C54" s="52" t="s">
        <v>86</v>
      </c>
      <c r="D54" s="53">
        <f>'LOOKUP  telda'!E14</f>
        <v>4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1</v>
      </c>
      <c r="L54" s="53">
        <f>'LOOKUP  telda'!Y14</f>
        <v>0</v>
      </c>
      <c r="M54" s="53">
        <f>SUM('DATA MTD'!I54:L54)</f>
        <v>1</v>
      </c>
      <c r="N54" s="53">
        <f>'LOOKUP  telda'!Z14</f>
        <v>3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06" t="s">
        <v>38</v>
      </c>
      <c r="C55" s="52" t="s">
        <v>87</v>
      </c>
      <c r="D55" s="53">
        <f>'LOOKUP  telda'!E15</f>
        <v>2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0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2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07"/>
      <c r="C56" s="52" t="s">
        <v>88</v>
      </c>
      <c r="D56" s="53">
        <f>'LOOKUP  telda'!E16</f>
        <v>1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0</v>
      </c>
      <c r="H56" s="53">
        <f>'LOOKUP  telda'!K16</f>
        <v>0</v>
      </c>
      <c r="I56" s="53">
        <f>'LOOKUP  telda'!L16</f>
        <v>0</v>
      </c>
      <c r="J56" s="53">
        <f>'LOOKUP  telda'!P16</f>
        <v>1</v>
      </c>
      <c r="K56" s="53">
        <f>'LOOKUP  telda'!X16</f>
        <v>0</v>
      </c>
      <c r="L56" s="53">
        <f>'LOOKUP  telda'!Y16</f>
        <v>0</v>
      </c>
      <c r="M56" s="53">
        <f>SUM('DATA MTD'!I56:L56)</f>
        <v>1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07"/>
      <c r="C57" s="52" t="s">
        <v>89</v>
      </c>
      <c r="D57" s="53">
        <f>'LOOKUP  telda'!E17</f>
        <v>4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3</v>
      </c>
      <c r="H57" s="53">
        <f>'LOOKUP  telda'!K17</f>
        <v>0</v>
      </c>
      <c r="I57" s="53">
        <f>'LOOKUP  telda'!L17</f>
        <v>0</v>
      </c>
      <c r="J57" s="53">
        <f>'LOOKUP  telda'!P17</f>
        <v>1</v>
      </c>
      <c r="K57" s="53">
        <f>'LOOKUP  telda'!X17</f>
        <v>0</v>
      </c>
      <c r="L57" s="53">
        <f>'LOOKUP  telda'!Y17</f>
        <v>0</v>
      </c>
      <c r="M57" s="53">
        <f>SUM('DATA MTD'!I57:L57)</f>
        <v>1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07"/>
      <c r="C58" s="52" t="s">
        <v>90</v>
      </c>
      <c r="D58" s="53">
        <f>'LOOKUP  telda'!E18</f>
        <v>6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0</v>
      </c>
      <c r="H58" s="53">
        <f>'LOOKUP  telda'!K18</f>
        <v>0</v>
      </c>
      <c r="I58" s="53">
        <f>'LOOKUP  telda'!L18</f>
        <v>0</v>
      </c>
      <c r="J58" s="53">
        <f>'LOOKUP  telda'!P18</f>
        <v>2</v>
      </c>
      <c r="K58" s="53">
        <f>'LOOKUP  telda'!X18</f>
        <v>0</v>
      </c>
      <c r="L58" s="53">
        <f>'LOOKUP  telda'!Y18</f>
        <v>0</v>
      </c>
      <c r="M58" s="53">
        <f>SUM('DATA MTD'!I58:L58)</f>
        <v>2</v>
      </c>
      <c r="N58" s="53">
        <f>'LOOKUP  telda'!Z18</f>
        <v>4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07"/>
      <c r="C59" s="52" t="s">
        <v>91</v>
      </c>
      <c r="D59" s="53">
        <f>'LOOKUP  telda'!E19</f>
        <v>11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5</v>
      </c>
      <c r="H59" s="53">
        <f>'LOOKUP  telda'!K19</f>
        <v>0</v>
      </c>
      <c r="I59" s="53">
        <f>'LOOKUP  telda'!L19</f>
        <v>1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1</v>
      </c>
      <c r="N59" s="53">
        <f>'LOOKUP  telda'!Z19</f>
        <v>5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07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07"/>
      <c r="C61" s="52" t="s">
        <v>93</v>
      </c>
      <c r="D61" s="53">
        <f>'LOOKUP  telda'!E21</f>
        <v>4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0</v>
      </c>
      <c r="H61" s="53">
        <f>'LOOKUP  telda'!K21</f>
        <v>0</v>
      </c>
      <c r="I61" s="53">
        <f>'LOOKUP  telda'!L21</f>
        <v>0</v>
      </c>
      <c r="J61" s="53">
        <f>'LOOKUP  telda'!P21</f>
        <v>1</v>
      </c>
      <c r="K61" s="53">
        <f>'LOOKUP  telda'!X21</f>
        <v>0</v>
      </c>
      <c r="L61" s="53">
        <f>'LOOKUP  telda'!Y21</f>
        <v>0</v>
      </c>
      <c r="M61" s="53">
        <f>SUM('DATA MTD'!I61:L61)</f>
        <v>1</v>
      </c>
      <c r="N61" s="53">
        <f>'LOOKUP  telda'!Z21</f>
        <v>3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07"/>
      <c r="C62" s="52" t="s">
        <v>94</v>
      </c>
      <c r="D62" s="53">
        <f>'LOOKUP  telda'!E22</f>
        <v>3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2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1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07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07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07"/>
      <c r="C65" s="52" t="s">
        <v>97</v>
      </c>
      <c r="D65" s="53">
        <f>'LOOKUP  telda'!E25</f>
        <v>1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1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08"/>
      <c r="C66" s="52" t="s">
        <v>98</v>
      </c>
      <c r="D66" s="53">
        <f>'LOOKUP  telda'!E26</f>
        <v>1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1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06" t="s">
        <v>42</v>
      </c>
      <c r="C67" s="52" t="s">
        <v>99</v>
      </c>
      <c r="D67" s="53">
        <f>'LOOKUP  telda'!E27</f>
        <v>4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4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07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07"/>
      <c r="C69" s="52" t="s">
        <v>101</v>
      </c>
      <c r="D69" s="53">
        <f>'LOOKUP  telda'!E29</f>
        <v>4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1</v>
      </c>
      <c r="H69" s="53">
        <f>'LOOKUP  telda'!K29</f>
        <v>0</v>
      </c>
      <c r="I69" s="53">
        <f>'LOOKUP  telda'!L29</f>
        <v>0</v>
      </c>
      <c r="J69" s="53">
        <f>'LOOKUP  telda'!P29</f>
        <v>1</v>
      </c>
      <c r="K69" s="53">
        <f>'LOOKUP  telda'!X29</f>
        <v>1</v>
      </c>
      <c r="L69" s="53">
        <f>'LOOKUP  telda'!Y29</f>
        <v>0</v>
      </c>
      <c r="M69" s="53">
        <f>SUM('DATA MTD'!I69:L69)</f>
        <v>2</v>
      </c>
      <c r="N69" s="53">
        <f>'LOOKUP  telda'!Z29</f>
        <v>1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07"/>
      <c r="C70" s="52" t="s">
        <v>102</v>
      </c>
      <c r="D70" s="53">
        <f>'LOOKUP  telda'!E30</f>
        <v>2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1</v>
      </c>
      <c r="M70" s="53">
        <f>SUM('DATA MTD'!I70:L70)</f>
        <v>1</v>
      </c>
      <c r="N70" s="53">
        <f>'LOOKUP  telda'!Z30</f>
        <v>1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07"/>
      <c r="C71" s="52" t="s">
        <v>103</v>
      </c>
      <c r="D71" s="53">
        <f>'LOOKUP  telda'!E31</f>
        <v>6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1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1</v>
      </c>
      <c r="N71" s="53">
        <f>'LOOKUP  telda'!Z31</f>
        <v>5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07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07"/>
      <c r="C73" s="52" t="s">
        <v>105</v>
      </c>
      <c r="D73" s="53">
        <f>'LOOKUP  telda'!E33</f>
        <v>2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1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07"/>
      <c r="C74" s="52" t="s">
        <v>106</v>
      </c>
      <c r="D74" s="53">
        <f>'LOOKUP  telda'!E34</f>
        <v>3</v>
      </c>
      <c r="E74" s="53">
        <f>'LOOKUP  telda'!F34+'LOOKUP  telda'!G34+'LOOKUP  telda'!H34</f>
        <v>1</v>
      </c>
      <c r="F74" s="53">
        <f>'LOOKUP  telda'!I34</f>
        <v>1</v>
      </c>
      <c r="G74" s="53">
        <f>'LOOKUP  telda'!J34</f>
        <v>1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07"/>
      <c r="C75" s="52" t="s">
        <v>107</v>
      </c>
      <c r="D75" s="53">
        <f>'LOOKUP  telda'!E35</f>
        <v>1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1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08"/>
      <c r="C76" s="52" t="s">
        <v>108</v>
      </c>
      <c r="D76" s="53">
        <f>'LOOKUP  telda'!E36</f>
        <v>1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1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06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1</v>
      </c>
      <c r="K77" s="53">
        <f>'LOOKUP  telda'!X37</f>
        <v>0</v>
      </c>
      <c r="L77" s="53">
        <f>'LOOKUP  telda'!Y37</f>
        <v>0</v>
      </c>
      <c r="M77" s="53">
        <f>SUM('DATA MTD'!I77:L77)</f>
        <v>1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07"/>
      <c r="C78" s="52" t="s">
        <v>110</v>
      </c>
      <c r="D78" s="53">
        <f>'LOOKUP  telda'!E38</f>
        <v>6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0</v>
      </c>
      <c r="H78" s="53">
        <f>'LOOKUP  telda'!K38</f>
        <v>0</v>
      </c>
      <c r="I78" s="53">
        <f>'LOOKUP  telda'!L38</f>
        <v>0</v>
      </c>
      <c r="J78" s="53">
        <f>'LOOKUP  telda'!P38</f>
        <v>1</v>
      </c>
      <c r="K78" s="53">
        <f>'LOOKUP  telda'!X38</f>
        <v>0</v>
      </c>
      <c r="L78" s="53">
        <f>'LOOKUP  telda'!Y38</f>
        <v>2</v>
      </c>
      <c r="M78" s="53">
        <f>SUM('DATA MTD'!I78:L78)</f>
        <v>3</v>
      </c>
      <c r="N78" s="53">
        <f>'LOOKUP  telda'!Z38</f>
        <v>3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07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07"/>
      <c r="C80" s="52" t="s">
        <v>112</v>
      </c>
      <c r="D80" s="53">
        <f>'LOOKUP  telda'!E40</f>
        <v>11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3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1</v>
      </c>
      <c r="M80" s="53">
        <f>SUM('DATA MTD'!I80:L80)</f>
        <v>1</v>
      </c>
      <c r="N80" s="53">
        <f>'LOOKUP  telda'!Z40</f>
        <v>5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07"/>
      <c r="C81" s="52" t="s">
        <v>113</v>
      </c>
      <c r="D81" s="53">
        <f>'LOOKUP  telda'!E41</f>
        <v>6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6</v>
      </c>
      <c r="K81" s="53">
        <f>'LOOKUP  telda'!X41</f>
        <v>0</v>
      </c>
      <c r="L81" s="53">
        <f>'LOOKUP  telda'!Y41</f>
        <v>0</v>
      </c>
      <c r="M81" s="53">
        <f>SUM('DATA MTD'!I81:L81)</f>
        <v>6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07"/>
      <c r="C82" s="52" t="s">
        <v>114</v>
      </c>
      <c r="D82" s="53">
        <f>'LOOKUP  telda'!E42</f>
        <v>1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0</v>
      </c>
      <c r="H82" s="53">
        <f>'LOOKUP  telda'!K42</f>
        <v>0</v>
      </c>
      <c r="I82" s="53">
        <f>'LOOKUP  telda'!L42</f>
        <v>0</v>
      </c>
      <c r="J82" s="53">
        <f>'LOOKUP  telda'!P42</f>
        <v>1</v>
      </c>
      <c r="K82" s="53">
        <f>'LOOKUP  telda'!X42</f>
        <v>0</v>
      </c>
      <c r="L82" s="53">
        <f>'LOOKUP  telda'!Y42</f>
        <v>0</v>
      </c>
      <c r="M82" s="53">
        <f>SUM('DATA MTD'!I82:L82)</f>
        <v>1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07"/>
      <c r="C83" s="52" t="s">
        <v>115</v>
      </c>
      <c r="D83" s="53">
        <f>'LOOKUP  telda'!E43</f>
        <v>9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4</v>
      </c>
      <c r="H83" s="53">
        <f>'LOOKUP  telda'!K43</f>
        <v>0</v>
      </c>
      <c r="I83" s="53">
        <f>'LOOKUP  telda'!L43</f>
        <v>0</v>
      </c>
      <c r="J83" s="53">
        <f>'LOOKUP  telda'!P43</f>
        <v>1</v>
      </c>
      <c r="K83" s="53">
        <f>'LOOKUP  telda'!X43</f>
        <v>0</v>
      </c>
      <c r="L83" s="53">
        <f>'LOOKUP  telda'!Y43</f>
        <v>0</v>
      </c>
      <c r="M83" s="53">
        <f>SUM('DATA MTD'!I83:L83)</f>
        <v>1</v>
      </c>
      <c r="N83" s="53">
        <f>'LOOKUP  telda'!Z43</f>
        <v>3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30">
      <c r="B84" s="107"/>
      <c r="C84" s="52" t="s">
        <v>116</v>
      </c>
      <c r="D84" s="53">
        <f>'LOOKUP  telda'!E44</f>
        <v>10</v>
      </c>
      <c r="E84" s="53">
        <f>'LOOKUP  telda'!F44+'LOOKUP  telda'!G44+'LOOKUP  telda'!H44</f>
        <v>0</v>
      </c>
      <c r="F84" s="53">
        <f>'LOOKUP  telda'!I44</f>
        <v>0</v>
      </c>
      <c r="G84" s="53">
        <f>'LOOKUP  telda'!J44</f>
        <v>5</v>
      </c>
      <c r="H84" s="53">
        <f>'LOOKUP  telda'!K44</f>
        <v>0</v>
      </c>
      <c r="I84" s="53">
        <f>'LOOKUP  telda'!L44</f>
        <v>0</v>
      </c>
      <c r="J84" s="53">
        <f>'LOOKUP  telda'!P44</f>
        <v>1</v>
      </c>
      <c r="K84" s="53">
        <f>'LOOKUP  telda'!X44</f>
        <v>0</v>
      </c>
      <c r="L84" s="53">
        <f>'LOOKUP  telda'!Y44</f>
        <v>0</v>
      </c>
      <c r="M84" s="53">
        <f>SUM('DATA MTD'!I84:L84)</f>
        <v>1</v>
      </c>
      <c r="N84" s="53">
        <f>'LOOKUP  telda'!Z44</f>
        <v>4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07"/>
      <c r="C85" s="52" t="s">
        <v>117</v>
      </c>
      <c r="D85" s="53">
        <f>'LOOKUP  telda'!E45</f>
        <v>4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1</v>
      </c>
      <c r="H85" s="53">
        <f>'LOOKUP  telda'!K45</f>
        <v>0</v>
      </c>
      <c r="I85" s="53">
        <f>'LOOKUP  telda'!L45</f>
        <v>0</v>
      </c>
      <c r="J85" s="53">
        <f>'LOOKUP  telda'!P45</f>
        <v>3</v>
      </c>
      <c r="K85" s="53">
        <f>'LOOKUP  telda'!X45</f>
        <v>0</v>
      </c>
      <c r="L85" s="53">
        <f>'LOOKUP  telda'!Y45</f>
        <v>0</v>
      </c>
      <c r="M85" s="53">
        <f>SUM('DATA MTD'!I85:L85)</f>
        <v>3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07"/>
      <c r="C86" s="52" t="s">
        <v>118</v>
      </c>
      <c r="D86" s="53">
        <f>'LOOKUP  telda'!E46</f>
        <v>6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0</v>
      </c>
      <c r="H86" s="53">
        <f>'LOOKUP  telda'!K46</f>
        <v>0</v>
      </c>
      <c r="I86" s="53">
        <f>'LOOKUP  telda'!L46</f>
        <v>0</v>
      </c>
      <c r="J86" s="53">
        <f>'LOOKUP  telda'!P46</f>
        <v>2</v>
      </c>
      <c r="K86" s="53">
        <f>'LOOKUP  telda'!X46</f>
        <v>0</v>
      </c>
      <c r="L86" s="53">
        <f>'LOOKUP  telda'!Y46</f>
        <v>1</v>
      </c>
      <c r="M86" s="53">
        <f>SUM('DATA MTD'!I86:L86)</f>
        <v>3</v>
      </c>
      <c r="N86" s="53">
        <f>'LOOKUP  telda'!Z46</f>
        <v>3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07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08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06" t="s">
        <v>55</v>
      </c>
      <c r="C89" s="52" t="s">
        <v>121</v>
      </c>
      <c r="D89" s="53">
        <f>'LOOKUP  telda'!E49</f>
        <v>3</v>
      </c>
      <c r="E89" s="53">
        <f>'LOOKUP  telda'!F49+'LOOKUP  telda'!G49+'LOOKUP  telda'!H49</f>
        <v>1</v>
      </c>
      <c r="F89" s="53">
        <f>'LOOKUP  telda'!I49</f>
        <v>0</v>
      </c>
      <c r="G89" s="53">
        <f>'LOOKUP  telda'!J49</f>
        <v>2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07"/>
      <c r="C90" s="52" t="s">
        <v>122</v>
      </c>
      <c r="D90" s="53">
        <f>'LOOKUP  telda'!E50</f>
        <v>6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2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1</v>
      </c>
      <c r="L90" s="53">
        <f>'LOOKUP  telda'!Y50</f>
        <v>0</v>
      </c>
      <c r="M90" s="53">
        <f>SUM('DATA MTD'!I90:L90)</f>
        <v>1</v>
      </c>
      <c r="N90" s="53">
        <f>'LOOKUP  telda'!Z50</f>
        <v>3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07"/>
      <c r="C91" s="52" t="s">
        <v>123</v>
      </c>
      <c r="D91" s="53">
        <f>'LOOKUP  telda'!E51</f>
        <v>4</v>
      </c>
      <c r="E91" s="53">
        <f>'LOOKUP  telda'!F51+'LOOKUP  telda'!G51+'LOOKUP  telda'!H51</f>
        <v>1</v>
      </c>
      <c r="F91" s="53">
        <f>'LOOKUP  telda'!I51</f>
        <v>0</v>
      </c>
      <c r="G91" s="53">
        <f>'LOOKUP  telda'!J51</f>
        <v>2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07"/>
      <c r="C92" s="52" t="s">
        <v>124</v>
      </c>
      <c r="D92" s="53">
        <f>'LOOKUP  telda'!E52</f>
        <v>3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1</v>
      </c>
      <c r="K92" s="53">
        <f>'LOOKUP  telda'!X52</f>
        <v>0</v>
      </c>
      <c r="L92" s="53">
        <f>'LOOKUP  telda'!Y52</f>
        <v>0</v>
      </c>
      <c r="M92" s="53">
        <f>SUM('DATA MTD'!I92:L92)</f>
        <v>1</v>
      </c>
      <c r="N92" s="53">
        <f>'LOOKUP  telda'!Z52</f>
        <v>1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07"/>
      <c r="C93" s="52" t="s">
        <v>125</v>
      </c>
      <c r="D93" s="53">
        <f>'LOOKUP  telda'!E53</f>
        <v>3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1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1</v>
      </c>
    </row>
    <row r="94" spans="2:18">
      <c r="B94" s="107"/>
      <c r="C94" s="52" t="s">
        <v>126</v>
      </c>
      <c r="D94" s="53">
        <f>'LOOKUP  telda'!E54</f>
        <v>12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6</v>
      </c>
      <c r="H94" s="53">
        <f>'LOOKUP  telda'!K54</f>
        <v>0</v>
      </c>
      <c r="I94" s="53">
        <f>'LOOKUP  telda'!L54</f>
        <v>0</v>
      </c>
      <c r="J94" s="53">
        <f>'LOOKUP  telda'!P54</f>
        <v>1</v>
      </c>
      <c r="K94" s="53">
        <f>'LOOKUP  telda'!X54</f>
        <v>0</v>
      </c>
      <c r="L94" s="53">
        <f>'LOOKUP  telda'!Y54</f>
        <v>0</v>
      </c>
      <c r="M94" s="53">
        <f>SUM('DATA MTD'!I94:L94)</f>
        <v>1</v>
      </c>
      <c r="N94" s="53">
        <f>'LOOKUP  telda'!Z54</f>
        <v>5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07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08"/>
      <c r="C96" s="52" t="s">
        <v>128</v>
      </c>
      <c r="D96" s="53">
        <f>'LOOKUP  telda'!E56</f>
        <v>3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2</v>
      </c>
      <c r="H96" s="53">
        <f>'LOOKUP  telda'!K56</f>
        <v>0</v>
      </c>
      <c r="I96" s="53">
        <f>'LOOKUP  telda'!L56</f>
        <v>0</v>
      </c>
      <c r="J96" s="53">
        <f>'LOOKUP  telda'!P56</f>
        <v>1</v>
      </c>
      <c r="K96" s="53">
        <f>'LOOKUP  telda'!X56</f>
        <v>0</v>
      </c>
      <c r="L96" s="53">
        <f>'LOOKUP  telda'!Y56</f>
        <v>0</v>
      </c>
      <c r="M96" s="53">
        <f>SUM('DATA MTD'!I96:L96)</f>
        <v>1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04" t="s">
        <v>62</v>
      </c>
      <c r="C97" s="105"/>
      <c r="D97" s="56">
        <f>SUM(D47:D96)</f>
        <v>164</v>
      </c>
      <c r="E97" s="56">
        <f t="shared" ref="E97:R97" si="5">SUM(E47:E96)</f>
        <v>8</v>
      </c>
      <c r="F97" s="56">
        <f t="shared" si="5"/>
        <v>1</v>
      </c>
      <c r="G97" s="56">
        <f t="shared" si="5"/>
        <v>46</v>
      </c>
      <c r="H97" s="56">
        <f t="shared" si="5"/>
        <v>1</v>
      </c>
      <c r="I97" s="56">
        <f t="shared" si="5"/>
        <v>2</v>
      </c>
      <c r="J97" s="56">
        <f t="shared" si="5"/>
        <v>28</v>
      </c>
      <c r="K97" s="56">
        <f t="shared" si="5"/>
        <v>4</v>
      </c>
      <c r="L97" s="56">
        <f t="shared" si="5"/>
        <v>5</v>
      </c>
      <c r="M97" s="56">
        <f t="shared" si="5"/>
        <v>39</v>
      </c>
      <c r="N97" s="56">
        <f t="shared" si="5"/>
        <v>68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1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01" t="str">
        <f ca="1">"PROVISIONING NEW SALES INDIBIZ TR3 JBN MTD  "&amp;TEXT(TODAY()-1,"YYYY-MM-DD ")</f>
        <v xml:space="preserve">PROVISIONING NEW SALES INDIBIZ TR3 JBN MTD  2026-09-02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01" t="str">
        <f ca="1">"PERIODE ORDER &amp; PS : 2026-01-01 to  "&amp;TEXT(TODAY()-1,"YYYY-MM-DD ")</f>
        <v xml:space="preserve">PERIODE ORDER &amp; PS : 2026-01-01 to  2026-09-02 </v>
      </c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29" t="s">
        <v>612</v>
      </c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32" t="s">
        <v>1</v>
      </c>
      <c r="D6" s="135" t="s">
        <v>129</v>
      </c>
      <c r="E6" s="135" t="s">
        <v>67</v>
      </c>
      <c r="F6" s="158" t="s">
        <v>12</v>
      </c>
      <c r="G6" s="159"/>
      <c r="H6" s="160"/>
      <c r="I6" s="138" t="s">
        <v>14</v>
      </c>
      <c r="J6" s="141" t="s">
        <v>8</v>
      </c>
      <c r="K6" s="141" t="s">
        <v>9</v>
      </c>
      <c r="L6" s="167" t="s">
        <v>10</v>
      </c>
      <c r="M6" s="168"/>
      <c r="N6" s="168"/>
      <c r="O6" s="169"/>
      <c r="P6" s="144" t="s">
        <v>11</v>
      </c>
      <c r="Q6" s="147" t="s">
        <v>130</v>
      </c>
      <c r="R6" s="147" t="s">
        <v>131</v>
      </c>
      <c r="S6" s="147" t="s">
        <v>132</v>
      </c>
    </row>
    <row r="7" spans="3:31" ht="15.6" customHeight="1">
      <c r="C7" s="133"/>
      <c r="D7" s="136"/>
      <c r="E7" s="136"/>
      <c r="F7" s="161"/>
      <c r="G7" s="162"/>
      <c r="H7" s="163"/>
      <c r="I7" s="139"/>
      <c r="J7" s="142"/>
      <c r="K7" s="142"/>
      <c r="L7" s="170"/>
      <c r="M7" s="171"/>
      <c r="N7" s="171"/>
      <c r="O7" s="172"/>
      <c r="P7" s="145"/>
      <c r="Q7" s="148"/>
      <c r="R7" s="148"/>
      <c r="S7" s="148"/>
    </row>
    <row r="8" spans="3:31" ht="14.45" customHeight="1">
      <c r="C8" s="133"/>
      <c r="D8" s="136"/>
      <c r="E8" s="136"/>
      <c r="F8" s="164"/>
      <c r="G8" s="165"/>
      <c r="H8" s="166"/>
      <c r="I8" s="139"/>
      <c r="J8" s="142"/>
      <c r="K8" s="142"/>
      <c r="L8" s="173"/>
      <c r="M8" s="174"/>
      <c r="N8" s="174"/>
      <c r="O8" s="175"/>
      <c r="P8" s="145"/>
      <c r="Q8" s="148"/>
      <c r="R8" s="148"/>
      <c r="S8" s="148"/>
    </row>
    <row r="9" spans="3:31" ht="49.5" customHeight="1">
      <c r="C9" s="134"/>
      <c r="D9" s="137"/>
      <c r="E9" s="137"/>
      <c r="F9" s="22" t="s">
        <v>133</v>
      </c>
      <c r="G9" s="22" t="s">
        <v>30</v>
      </c>
      <c r="H9" s="22" t="s">
        <v>69</v>
      </c>
      <c r="I9" s="140"/>
      <c r="J9" s="143"/>
      <c r="K9" s="143"/>
      <c r="L9" s="37" t="s">
        <v>2</v>
      </c>
      <c r="M9" s="37" t="s">
        <v>18</v>
      </c>
      <c r="N9" s="37" t="s">
        <v>20</v>
      </c>
      <c r="O9" s="37" t="s">
        <v>22</v>
      </c>
      <c r="P9" s="146"/>
      <c r="Q9" s="149"/>
      <c r="R9" s="149"/>
      <c r="S9" s="149"/>
      <c r="X9">
        <f>205/216</f>
        <v>0.94907407407407407</v>
      </c>
    </row>
    <row r="10" spans="3:31" ht="15.75">
      <c r="C10" s="23" t="s">
        <v>34</v>
      </c>
      <c r="D10" s="24">
        <f>'COPY DATA XPRO'!E63</f>
        <v>20</v>
      </c>
      <c r="E10" s="24">
        <f>'COPY DATA XPRO'!F63+'COPY DATA XPRO'!G63+'COPY DATA XPRO'!H63</f>
        <v>4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2</v>
      </c>
      <c r="K10" s="24">
        <f>'COPY DATA XPRO'!K63</f>
        <v>0</v>
      </c>
      <c r="L10" s="24">
        <f>'COPY DATA XPRO'!L63</f>
        <v>0</v>
      </c>
      <c r="M10" s="24">
        <f>'COPY DATA XPRO'!P63</f>
        <v>3</v>
      </c>
      <c r="N10" s="24">
        <f>'COPY DATA XPRO'!X63</f>
        <v>1</v>
      </c>
      <c r="O10" s="24">
        <f>'COPY DATA XPRO'!Y63</f>
        <v>0</v>
      </c>
      <c r="P10" s="24">
        <f>'COPY DATA XPRO'!Z63</f>
        <v>10</v>
      </c>
      <c r="Q10" s="40">
        <f t="shared" ref="Q10:R15" si="0">T10</f>
        <v>0.5</v>
      </c>
      <c r="R10" s="40">
        <f>U10</f>
        <v>0.7142857142857143</v>
      </c>
      <c r="S10" s="40">
        <f>VLOOKUP(C10,Sheet3!$A$19:$G$81,7,FALSE)</f>
        <v>1</v>
      </c>
      <c r="T10" s="8">
        <f t="shared" ref="T10:T15" si="1">P10/(D10-F10-K10-I10)</f>
        <v>0.5</v>
      </c>
      <c r="U10" s="8">
        <f>P10/(M10+N10+O10+P10)</f>
        <v>0.7142857142857143</v>
      </c>
    </row>
    <row r="11" spans="3:31" ht="15.75">
      <c r="C11" s="23" t="s">
        <v>38</v>
      </c>
      <c r="D11" s="24">
        <f>'COPY DATA XPRO'!E64</f>
        <v>33</v>
      </c>
      <c r="E11" s="24">
        <f>'COPY DATA XPRO'!F64+'COPY DATA XPRO'!G64+'COPY DATA XPRO'!H64</f>
        <v>0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11</v>
      </c>
      <c r="K11" s="24">
        <f>'COPY DATA XPRO'!K64</f>
        <v>0</v>
      </c>
      <c r="L11" s="24">
        <f>'COPY DATA XPRO'!L64</f>
        <v>1</v>
      </c>
      <c r="M11" s="24">
        <f>'COPY DATA XPRO'!P64</f>
        <v>5</v>
      </c>
      <c r="N11" s="24">
        <f>'COPY DATA XPRO'!X64</f>
        <v>0</v>
      </c>
      <c r="O11" s="24">
        <f>'COPY DATA XPRO'!Y64</f>
        <v>0</v>
      </c>
      <c r="P11" s="24">
        <f>'COPY DATA XPRO'!Z64</f>
        <v>16</v>
      </c>
      <c r="Q11" s="40">
        <f t="shared" si="0"/>
        <v>0.48484848484848486</v>
      </c>
      <c r="R11" s="40">
        <f t="shared" si="0"/>
        <v>0.76190476190476186</v>
      </c>
      <c r="S11" s="40">
        <f>VLOOKUP(C11,Sheet3!$A$19:$G$81,7,FALSE)</f>
        <v>1</v>
      </c>
      <c r="T11" s="8">
        <f t="shared" si="1"/>
        <v>0.48484848484848486</v>
      </c>
      <c r="U11" s="8">
        <f t="shared" ref="U11:U15" si="2">P11/(M11+N11+O11+P11)</f>
        <v>0.76190476190476186</v>
      </c>
    </row>
    <row r="12" spans="3:31" ht="15.75">
      <c r="C12" s="23" t="s">
        <v>42</v>
      </c>
      <c r="D12" s="24">
        <f>'COPY DATA XPRO'!E65</f>
        <v>23</v>
      </c>
      <c r="E12" s="24">
        <f>'COPY DATA XPRO'!F65+'COPY DATA XPRO'!G65+'COPY DATA XPRO'!H65</f>
        <v>1</v>
      </c>
      <c r="F12" s="24">
        <f>'COPY DATA XPRO'!I65</f>
        <v>1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4</v>
      </c>
      <c r="K12" s="24">
        <f>'COPY DATA XPRO'!K65</f>
        <v>0</v>
      </c>
      <c r="L12" s="24">
        <f>'COPY DATA XPRO'!L65</f>
        <v>1</v>
      </c>
      <c r="M12" s="24">
        <f>'COPY DATA XPRO'!P65</f>
        <v>1</v>
      </c>
      <c r="N12" s="24">
        <f>'COPY DATA XPRO'!X65</f>
        <v>1</v>
      </c>
      <c r="O12" s="24">
        <f>'COPY DATA XPRO'!Y65</f>
        <v>1</v>
      </c>
      <c r="P12" s="24">
        <f>'COPY DATA XPRO'!Z65</f>
        <v>13</v>
      </c>
      <c r="Q12" s="40">
        <f t="shared" si="0"/>
        <v>0.59090909090909094</v>
      </c>
      <c r="R12" s="40">
        <f t="shared" si="0"/>
        <v>0.8125</v>
      </c>
      <c r="S12" s="40">
        <f>VLOOKUP(C12,Sheet3!$A$19:$G$81,7,FALSE)</f>
        <v>1</v>
      </c>
      <c r="T12" s="8">
        <f t="shared" si="1"/>
        <v>0.59090909090909094</v>
      </c>
      <c r="U12" s="8">
        <f t="shared" si="2"/>
        <v>0.8125</v>
      </c>
    </row>
    <row r="13" spans="3:31" ht="15.75">
      <c r="C13" s="23" t="s">
        <v>45</v>
      </c>
      <c r="D13" s="24">
        <f>'COPY DATA XPRO'!E66</f>
        <v>54</v>
      </c>
      <c r="E13" s="24">
        <f>'COPY DATA XPRO'!F66+'COPY DATA XPRO'!G66+'COPY DATA XPRO'!H66</f>
        <v>1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13</v>
      </c>
      <c r="K13" s="24">
        <f>'COPY DATA XPRO'!K66</f>
        <v>1</v>
      </c>
      <c r="L13" s="24">
        <f>'COPY DATA XPRO'!L66</f>
        <v>0</v>
      </c>
      <c r="M13" s="24">
        <f>'COPY DATA XPRO'!P66</f>
        <v>16</v>
      </c>
      <c r="N13" s="24">
        <f>'COPY DATA XPRO'!X66</f>
        <v>0</v>
      </c>
      <c r="O13" s="24">
        <f>'COPY DATA XPRO'!Y66</f>
        <v>4</v>
      </c>
      <c r="P13" s="24">
        <f>'COPY DATA XPRO'!Z66</f>
        <v>18</v>
      </c>
      <c r="Q13" s="40">
        <f t="shared" si="0"/>
        <v>0.33962264150943394</v>
      </c>
      <c r="R13" s="40">
        <f t="shared" si="0"/>
        <v>0.47368421052631576</v>
      </c>
      <c r="S13" s="40">
        <f>VLOOKUP(C13,Sheet3!$A$19:$G$81,7,FALSE)</f>
        <v>1</v>
      </c>
      <c r="T13" s="8">
        <f t="shared" si="1"/>
        <v>0.33962264150943394</v>
      </c>
      <c r="U13" s="8">
        <f t="shared" si="2"/>
        <v>0.47368421052631576</v>
      </c>
    </row>
    <row r="14" spans="3:31" ht="15.75">
      <c r="C14" s="23" t="s">
        <v>55</v>
      </c>
      <c r="D14" s="24">
        <f>'COPY DATA XPRO'!E69</f>
        <v>34</v>
      </c>
      <c r="E14" s="24">
        <f>'COPY DATA XPRO'!F69+'COPY DATA XPRO'!G69+'COPY DATA XPRO'!H69</f>
        <v>2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</v>
      </c>
      <c r="J14" s="24">
        <f>'COPY DATA XPRO'!J69</f>
        <v>16</v>
      </c>
      <c r="K14" s="24">
        <f>'COPY DATA XPRO'!K69</f>
        <v>0</v>
      </c>
      <c r="L14" s="24">
        <f>'COPY DATA XPRO'!L69</f>
        <v>0</v>
      </c>
      <c r="M14" s="24">
        <f>'COPY DATA XPRO'!P69</f>
        <v>3</v>
      </c>
      <c r="N14" s="24">
        <f>'COPY DATA XPRO'!X69</f>
        <v>2</v>
      </c>
      <c r="O14" s="24">
        <f>'COPY DATA XPRO'!Y69</f>
        <v>0</v>
      </c>
      <c r="P14" s="24">
        <f>'COPY DATA XPRO'!Z69</f>
        <v>11</v>
      </c>
      <c r="Q14" s="40">
        <f t="shared" si="0"/>
        <v>0.33333333333333331</v>
      </c>
      <c r="R14" s="40">
        <f t="shared" si="0"/>
        <v>0.6875</v>
      </c>
      <c r="S14" s="40">
        <f>VLOOKUP(C14,Sheet3!$A$19:$G$81,7,FALSE)</f>
        <v>1</v>
      </c>
      <c r="T14" s="8">
        <f t="shared" si="1"/>
        <v>0.33333333333333331</v>
      </c>
      <c r="U14" s="8">
        <f t="shared" si="2"/>
        <v>0.6875</v>
      </c>
    </row>
    <row r="15" spans="3:31" ht="15.75">
      <c r="C15" s="25" t="s">
        <v>62</v>
      </c>
      <c r="D15" s="26">
        <f>SUM(D10:D14)</f>
        <v>164</v>
      </c>
      <c r="E15" s="26">
        <f>SUM(E10:E14)</f>
        <v>8</v>
      </c>
      <c r="F15" s="26">
        <f>SUM(F10:F14)</f>
        <v>1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1</v>
      </c>
      <c r="J15" s="26">
        <f t="shared" si="3"/>
        <v>46</v>
      </c>
      <c r="K15" s="26">
        <f t="shared" si="3"/>
        <v>1</v>
      </c>
      <c r="L15" s="26">
        <f t="shared" si="3"/>
        <v>2</v>
      </c>
      <c r="M15" s="26">
        <f t="shared" si="3"/>
        <v>28</v>
      </c>
      <c r="N15" s="26">
        <f t="shared" si="3"/>
        <v>4</v>
      </c>
      <c r="O15" s="26">
        <f t="shared" si="3"/>
        <v>5</v>
      </c>
      <c r="P15" s="26">
        <f t="shared" si="3"/>
        <v>68</v>
      </c>
      <c r="Q15" s="41">
        <f t="shared" si="0"/>
        <v>0.42236024844720499</v>
      </c>
      <c r="R15" s="41">
        <f>U15</f>
        <v>0.64761904761904765</v>
      </c>
      <c r="S15" s="41">
        <f>Sheet3!G10</f>
        <v>1</v>
      </c>
      <c r="T15" s="8">
        <f t="shared" si="1"/>
        <v>0.42236024844720499</v>
      </c>
      <c r="U15" s="8">
        <f t="shared" si="2"/>
        <v>0.64761904761904765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30" t="s">
        <v>72</v>
      </c>
      <c r="E17" s="13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27" t="s">
        <v>73</v>
      </c>
      <c r="E18" s="128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27" t="s">
        <v>74</v>
      </c>
      <c r="E19" s="128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27" t="s">
        <v>75</v>
      </c>
      <c r="E20" s="128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27" t="s">
        <v>76</v>
      </c>
      <c r="E21" s="128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23" t="s">
        <v>138</v>
      </c>
      <c r="E22" s="124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25" t="str">
        <f ca="1">C2</f>
        <v xml:space="preserve">PROVISIONING NEW SALES INDIBIZ TR3 JBN MTD  2026-09-02 </v>
      </c>
      <c r="C24" s="125"/>
      <c r="D24" s="125"/>
      <c r="E24" s="125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34"/>
    </row>
    <row r="25" spans="2:22">
      <c r="B25" s="125" t="str">
        <f ca="1">C3</f>
        <v xml:space="preserve">PERIODE ORDER &amp; PS : 2026-01-01 to  2026-09-02 </v>
      </c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34"/>
    </row>
    <row r="26" spans="2:22" ht="18.75">
      <c r="B26" s="126" t="str">
        <f>C4</f>
        <v>Last update proses : 06-03-2026 15:19:48 WIB (Source: ETL XPRO)</v>
      </c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35"/>
    </row>
    <row r="27" spans="2:22" ht="15.75"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36"/>
    </row>
    <row r="29" spans="2:22" ht="15.6" customHeight="1">
      <c r="B29" s="151" t="s">
        <v>1</v>
      </c>
      <c r="C29" s="157" t="s">
        <v>78</v>
      </c>
      <c r="D29" s="151" t="s">
        <v>129</v>
      </c>
      <c r="E29" s="151" t="s">
        <v>67</v>
      </c>
      <c r="F29" s="177" t="s">
        <v>12</v>
      </c>
      <c r="G29" s="177"/>
      <c r="H29" s="177"/>
      <c r="I29" s="177" t="s">
        <v>14</v>
      </c>
      <c r="J29" s="176" t="s">
        <v>8</v>
      </c>
      <c r="K29" s="176" t="s">
        <v>9</v>
      </c>
      <c r="L29" s="176" t="s">
        <v>10</v>
      </c>
      <c r="M29" s="176"/>
      <c r="N29" s="176"/>
      <c r="O29" s="176"/>
      <c r="P29" s="178" t="s">
        <v>11</v>
      </c>
      <c r="Q29" s="122" t="s">
        <v>130</v>
      </c>
      <c r="R29" s="122" t="s">
        <v>131</v>
      </c>
      <c r="S29" s="122" t="s">
        <v>132</v>
      </c>
    </row>
    <row r="30" spans="2:22" ht="14.45" customHeight="1">
      <c r="B30" s="151"/>
      <c r="C30" s="157"/>
      <c r="D30" s="151"/>
      <c r="E30" s="151"/>
      <c r="F30" s="177"/>
      <c r="G30" s="177"/>
      <c r="H30" s="177"/>
      <c r="I30" s="177"/>
      <c r="J30" s="176"/>
      <c r="K30" s="176"/>
      <c r="L30" s="176"/>
      <c r="M30" s="176"/>
      <c r="N30" s="176"/>
      <c r="O30" s="176"/>
      <c r="P30" s="178"/>
      <c r="Q30" s="122"/>
      <c r="R30" s="122"/>
      <c r="S30" s="122"/>
    </row>
    <row r="31" spans="2:22" ht="14.45" customHeight="1">
      <c r="B31" s="151"/>
      <c r="C31" s="157"/>
      <c r="D31" s="151"/>
      <c r="E31" s="151"/>
      <c r="F31" s="177"/>
      <c r="G31" s="177"/>
      <c r="H31" s="177"/>
      <c r="I31" s="177"/>
      <c r="J31" s="176"/>
      <c r="K31" s="176"/>
      <c r="L31" s="176"/>
      <c r="M31" s="176"/>
      <c r="N31" s="176"/>
      <c r="O31" s="176"/>
      <c r="P31" s="178"/>
      <c r="Q31" s="122"/>
      <c r="R31" s="122"/>
      <c r="S31" s="122"/>
    </row>
    <row r="32" spans="2:22" ht="47.25">
      <c r="B32" s="151"/>
      <c r="C32" s="157"/>
      <c r="D32" s="151"/>
      <c r="E32" s="151"/>
      <c r="F32" s="22" t="s">
        <v>133</v>
      </c>
      <c r="G32" s="22" t="s">
        <v>30</v>
      </c>
      <c r="H32" s="22" t="s">
        <v>69</v>
      </c>
      <c r="I32" s="177"/>
      <c r="J32" s="176"/>
      <c r="K32" s="176"/>
      <c r="L32" s="37" t="s">
        <v>2</v>
      </c>
      <c r="M32" s="37" t="s">
        <v>18</v>
      </c>
      <c r="N32" s="37" t="s">
        <v>20</v>
      </c>
      <c r="O32" s="37" t="s">
        <v>22</v>
      </c>
      <c r="P32" s="178"/>
      <c r="Q32" s="122"/>
      <c r="R32" s="122"/>
      <c r="S32" s="122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2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0</v>
      </c>
      <c r="O33" s="65">
        <f>'LOOKUP  telda'!Y7</f>
        <v>0</v>
      </c>
      <c r="P33" s="65">
        <f>'LOOKUP  telda'!Z7</f>
        <v>1</v>
      </c>
      <c r="Q33" s="40">
        <f>T33</f>
        <v>0.5</v>
      </c>
      <c r="R33" s="40">
        <f>U33</f>
        <v>0.5</v>
      </c>
      <c r="S33" s="40">
        <f>VLOOKUP(C33,Sheet3!$A$19:$G$81,7,FALSE)</f>
        <v>1</v>
      </c>
      <c r="T33" s="8">
        <f>IFERROR(P33/(D33-F33-K33-I33),0)</f>
        <v>0.5</v>
      </c>
      <c r="U33" s="8">
        <f>IFERROR(P33/(M33+N33+O33+P33),0)</f>
        <v>0.5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1</v>
      </c>
      <c r="R35" s="40">
        <f t="shared" si="5"/>
        <v>1</v>
      </c>
      <c r="S35" s="40">
        <f>VLOOKUP(C35,Sheet3!$A$19:$G$81,7,FALSE)</f>
        <v>1</v>
      </c>
      <c r="T35" s="8">
        <f t="shared" si="6"/>
        <v>1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3</v>
      </c>
      <c r="E36" s="65">
        <f>'LOOKUP  telda'!F10+'LOOKUP  telda'!G10+'LOOKUP  telda'!H10</f>
        <v>1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0.66666666666666663</v>
      </c>
      <c r="R36" s="40">
        <f t="shared" si="5"/>
        <v>1</v>
      </c>
      <c r="S36" s="40">
        <f>VLOOKUP(C36,Sheet3!$A$19:$G$81,7,FALSE)</f>
        <v>1</v>
      </c>
      <c r="T36" s="8">
        <f t="shared" si="6"/>
        <v>0.66666666666666663</v>
      </c>
      <c r="U36" s="8">
        <f t="shared" si="7"/>
        <v>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5</v>
      </c>
      <c r="E37" s="65">
        <f>'LOOKUP  telda'!F11+'LOOKUP  telda'!G11+'LOOKUP  telda'!H11</f>
        <v>1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2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2</v>
      </c>
      <c r="Q37" s="40">
        <f t="shared" si="4"/>
        <v>0.4</v>
      </c>
      <c r="R37" s="40">
        <f t="shared" si="5"/>
        <v>1</v>
      </c>
      <c r="S37" s="40">
        <f>VLOOKUP(C37,Sheet3!$A$19:$G$81,7,FALSE)</f>
        <v>1</v>
      </c>
      <c r="T37" s="8">
        <f t="shared" si="6"/>
        <v>0.4</v>
      </c>
      <c r="U37" s="8">
        <f t="shared" si="7"/>
        <v>1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 t="e">
        <f>VLOOKUP(C38,Sheet3!$A$19:$G$81,7,FALSE)</f>
        <v>#N/A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4</v>
      </c>
      <c r="E39" s="65">
        <f>'LOOKUP  telda'!F13+'LOOKUP  telda'!G13+'LOOKUP  telda'!H13</f>
        <v>2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2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 t="e">
        <f>VLOOKUP(C39,Sheet3!$A$19:$G$81,7,FALSE)</f>
        <v>#DIV/0!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4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1</v>
      </c>
      <c r="O40" s="65">
        <f>'LOOKUP  telda'!Y14</f>
        <v>0</v>
      </c>
      <c r="P40" s="65">
        <f>'LOOKUP  telda'!Z14</f>
        <v>3</v>
      </c>
      <c r="Q40" s="40">
        <f t="shared" si="4"/>
        <v>0.75</v>
      </c>
      <c r="R40" s="40">
        <f t="shared" si="5"/>
        <v>0.75</v>
      </c>
      <c r="S40" s="40">
        <f>VLOOKUP(C40,Sheet3!$A$19:$G$81,7,FALSE)</f>
        <v>1</v>
      </c>
      <c r="T40" s="8">
        <f t="shared" si="6"/>
        <v>0.75</v>
      </c>
      <c r="U40" s="8">
        <f t="shared" si="7"/>
        <v>0.75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2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2</v>
      </c>
      <c r="Q41" s="40">
        <f t="shared" si="4"/>
        <v>1</v>
      </c>
      <c r="R41" s="40">
        <f t="shared" si="5"/>
        <v>1</v>
      </c>
      <c r="S41" s="40">
        <f>VLOOKUP(C41,Sheet3!$A$19:$G$81,7,FALSE)</f>
        <v>1</v>
      </c>
      <c r="T41" s="8">
        <f t="shared" si="6"/>
        <v>1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1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1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1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4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3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 t="e">
        <f>VLOOKUP(C43,Sheet3!$A$19:$G$81,7,FALSE)</f>
        <v>#DIV/0!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6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2</v>
      </c>
      <c r="N44" s="67">
        <f>'LOOKUP  telda'!X18</f>
        <v>0</v>
      </c>
      <c r="O44" s="67">
        <f>'LOOKUP  telda'!Y18</f>
        <v>0</v>
      </c>
      <c r="P44" s="67">
        <f>'LOOKUP  telda'!Z18</f>
        <v>4</v>
      </c>
      <c r="Q44" s="40">
        <f t="shared" si="4"/>
        <v>0.66666666666666663</v>
      </c>
      <c r="R44" s="40">
        <f t="shared" si="5"/>
        <v>0.66666666666666663</v>
      </c>
      <c r="S44" s="40">
        <f>VLOOKUP(C44,Sheet3!$A$19:$G$81,7,FALSE)</f>
        <v>1</v>
      </c>
      <c r="T44" s="8">
        <f t="shared" si="6"/>
        <v>0.66666666666666663</v>
      </c>
      <c r="U44" s="8">
        <f t="shared" si="7"/>
        <v>0.66666666666666663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11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5</v>
      </c>
      <c r="K45" s="67">
        <f>'LOOKUP  telda'!K19</f>
        <v>0</v>
      </c>
      <c r="L45" s="67">
        <f>'LOOKUP  telda'!L19</f>
        <v>1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5</v>
      </c>
      <c r="Q45" s="40">
        <f t="shared" si="4"/>
        <v>0.45454545454545453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0.45454545454545453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1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4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1</v>
      </c>
      <c r="N47" s="67">
        <f>'LOOKUP  telda'!X21</f>
        <v>0</v>
      </c>
      <c r="O47" s="67">
        <f>'LOOKUP  telda'!Y21</f>
        <v>0</v>
      </c>
      <c r="P47" s="67">
        <f>'LOOKUP  telda'!Z21</f>
        <v>3</v>
      </c>
      <c r="Q47" s="40">
        <f t="shared" si="4"/>
        <v>0.75</v>
      </c>
      <c r="R47" s="40">
        <f t="shared" si="5"/>
        <v>0.75</v>
      </c>
      <c r="S47" s="40">
        <f>VLOOKUP(C47,Sheet3!$A$19:$G$81,7,FALSE)</f>
        <v>1</v>
      </c>
      <c r="T47" s="8">
        <f t="shared" si="6"/>
        <v>0.75</v>
      </c>
      <c r="U47" s="8">
        <f t="shared" si="7"/>
        <v>0.75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3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2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</v>
      </c>
      <c r="Q48" s="40">
        <f t="shared" si="4"/>
        <v>0.33333333333333331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0.33333333333333331</v>
      </c>
      <c r="U48" s="8">
        <f t="shared" si="7"/>
        <v>1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 t="e">
        <f>VLOOKUP(C49,Sheet3!$A$19:$G$81,7,FALSE)</f>
        <v>#N/A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1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1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4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4</v>
      </c>
      <c r="Q53" s="40">
        <f t="shared" si="4"/>
        <v>1</v>
      </c>
      <c r="R53" s="40">
        <f t="shared" si="5"/>
        <v>1</v>
      </c>
      <c r="S53" s="40">
        <f>VLOOKUP(C53,Sheet3!$A$19:$G$81,7,FALSE)</f>
        <v>1</v>
      </c>
      <c r="T53" s="8">
        <f t="shared" si="6"/>
        <v>1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4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1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1</v>
      </c>
      <c r="O55" s="63">
        <f>'LOOKUP  telda'!Y29</f>
        <v>0</v>
      </c>
      <c r="P55" s="63">
        <f>'LOOKUP  telda'!Z29</f>
        <v>1</v>
      </c>
      <c r="Q55" s="40">
        <f t="shared" si="4"/>
        <v>0.25</v>
      </c>
      <c r="R55" s="40">
        <f t="shared" si="5"/>
        <v>0.33333333333333331</v>
      </c>
      <c r="S55" s="40" t="e">
        <f>VLOOKUP(C55,Sheet3!$A$19:$G$81,7,FALSE)</f>
        <v>#N/A</v>
      </c>
      <c r="T55" s="8">
        <f t="shared" si="6"/>
        <v>0.25</v>
      </c>
      <c r="U55" s="8">
        <f t="shared" si="7"/>
        <v>0.33333333333333331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2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1</v>
      </c>
      <c r="P56" s="63">
        <f>'LOOKUP  telda'!Z30</f>
        <v>1</v>
      </c>
      <c r="Q56" s="40">
        <f t="shared" si="4"/>
        <v>0.5</v>
      </c>
      <c r="R56" s="40">
        <f t="shared" si="5"/>
        <v>0.5</v>
      </c>
      <c r="S56" s="40">
        <f>VLOOKUP(C56,Sheet3!$A$19:$G$81,7,FALSE)</f>
        <v>1</v>
      </c>
      <c r="T56" s="8">
        <f t="shared" si="6"/>
        <v>0.5</v>
      </c>
      <c r="U56" s="8">
        <f t="shared" si="7"/>
        <v>0.5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6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1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5</v>
      </c>
      <c r="Q57" s="40">
        <f t="shared" si="4"/>
        <v>0.83333333333333337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0.83333333333333337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2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</v>
      </c>
      <c r="Q59" s="40">
        <f t="shared" si="4"/>
        <v>0.5</v>
      </c>
      <c r="R59" s="40">
        <f t="shared" si="5"/>
        <v>1</v>
      </c>
      <c r="S59" s="40">
        <f>VLOOKUP(C59,Sheet3!$A$19:$G$81,7,FALSE)</f>
        <v>1</v>
      </c>
      <c r="T59" s="8">
        <f t="shared" si="6"/>
        <v>0.5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3</v>
      </c>
      <c r="E60" s="63">
        <f>'LOOKUP  telda'!F34+'LOOKUP  telda'!G34+'LOOKUP  telda'!H34</f>
        <v>1</v>
      </c>
      <c r="F60" s="63">
        <f>'LOOKUP  telda'!I34</f>
        <v>1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 t="e">
        <f>VLOOKUP(C60,Sheet3!$A$19:$G$81,7,FALSE)</f>
        <v>#DIV/0!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1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 t="e">
        <f>VLOOKUP(C61,Sheet3!$A$19:$G$81,7,FALSE)</f>
        <v>#DIV/0!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1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1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#DIV/0!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1</v>
      </c>
      <c r="N64" s="69">
        <f>'LOOKUP  telda'!X38</f>
        <v>0</v>
      </c>
      <c r="O64" s="69">
        <f>'LOOKUP  telda'!Y38</f>
        <v>2</v>
      </c>
      <c r="P64" s="69">
        <f>'LOOKUP  telda'!Z38</f>
        <v>3</v>
      </c>
      <c r="Q64" s="40">
        <f t="shared" si="4"/>
        <v>0.5</v>
      </c>
      <c r="R64" s="40">
        <f t="shared" si="5"/>
        <v>0.5</v>
      </c>
      <c r="S64" s="40">
        <f>VLOOKUP(C64,Sheet3!$A$19:$G$81,7,FALSE)</f>
        <v>1</v>
      </c>
      <c r="T64" s="8">
        <f t="shared" si="6"/>
        <v>0.5</v>
      </c>
      <c r="U64" s="8">
        <f t="shared" si="7"/>
        <v>0.5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 t="e">
        <f>VLOOKUP(C65,Sheet3!$A$19:$G$81,7,FALSE)</f>
        <v>#N/A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11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3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1</v>
      </c>
      <c r="P66" s="69">
        <f>'LOOKUP  telda'!Z40</f>
        <v>5</v>
      </c>
      <c r="Q66" s="40">
        <f t="shared" si="4"/>
        <v>0.5</v>
      </c>
      <c r="R66" s="40">
        <f t="shared" si="5"/>
        <v>0.83333333333333337</v>
      </c>
      <c r="S66" s="40" t="e">
        <f>VLOOKUP(C66,Sheet3!$A$19:$G$81,7,FALSE)</f>
        <v>#N/A</v>
      </c>
      <c r="T66" s="8">
        <f t="shared" si="6"/>
        <v>0.5</v>
      </c>
      <c r="U66" s="8">
        <f t="shared" si="7"/>
        <v>0.83333333333333337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6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6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 t="e">
        <f>VLOOKUP(C67,Sheet3!$A$19:$G$81,7,FALSE)</f>
        <v>#DIV/0!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1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 t="e">
        <f>VLOOKUP(C68,Sheet3!$A$19:$G$81,7,FALSE)</f>
        <v>#DIV/0!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9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4</v>
      </c>
      <c r="K69" s="69">
        <f>'LOOKUP  telda'!K43</f>
        <v>0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0</v>
      </c>
      <c r="P69" s="69">
        <f>'LOOKUP  telda'!Z43</f>
        <v>3</v>
      </c>
      <c r="Q69" s="40">
        <f t="shared" si="4"/>
        <v>0.33333333333333331</v>
      </c>
      <c r="R69" s="40">
        <f t="shared" si="5"/>
        <v>0.75</v>
      </c>
      <c r="S69" s="40" t="e">
        <f>VLOOKUP(C69,Sheet3!$A$19:$G$81,7,FALSE)</f>
        <v>#N/A</v>
      </c>
      <c r="T69" s="8">
        <f t="shared" si="6"/>
        <v>0.33333333333333331</v>
      </c>
      <c r="U69" s="8">
        <f t="shared" si="7"/>
        <v>0.75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10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5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4</v>
      </c>
      <c r="Q70" s="40">
        <f t="shared" si="4"/>
        <v>0.4</v>
      </c>
      <c r="R70" s="40">
        <f t="shared" si="5"/>
        <v>0.8</v>
      </c>
      <c r="S70" s="40" t="e">
        <f>VLOOKUP(C70,Sheet3!$A$19:$G$81,7,FALSE)</f>
        <v>#N/A</v>
      </c>
      <c r="T70" s="8">
        <f t="shared" si="6"/>
        <v>0.4</v>
      </c>
      <c r="U70" s="8">
        <f t="shared" si="7"/>
        <v>0.8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4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3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#DIV/0!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6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2</v>
      </c>
      <c r="N72" s="69">
        <f>'LOOKUP  telda'!X46</f>
        <v>0</v>
      </c>
      <c r="O72" s="69">
        <f>'LOOKUP  telda'!Y46</f>
        <v>1</v>
      </c>
      <c r="P72" s="69">
        <f>'LOOKUP  telda'!Z46</f>
        <v>3</v>
      </c>
      <c r="Q72" s="40">
        <f t="shared" si="4"/>
        <v>0.5</v>
      </c>
      <c r="R72" s="40">
        <f t="shared" si="5"/>
        <v>0.5</v>
      </c>
      <c r="S72" s="40">
        <f>VLOOKUP(C72,Sheet3!$A$19:$G$81,7,FALSE)</f>
        <v>1</v>
      </c>
      <c r="T72" s="8">
        <f t="shared" si="6"/>
        <v>0.5</v>
      </c>
      <c r="U72" s="8">
        <f t="shared" si="7"/>
        <v>0.5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3</v>
      </c>
      <c r="E75" s="71">
        <f>'LOOKUP  telda'!F49+'LOOKUP  telda'!G49+'LOOKUP  telda'!H49</f>
        <v>1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2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6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2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1</v>
      </c>
      <c r="O76" s="71">
        <f>'LOOKUP  telda'!Y50</f>
        <v>0</v>
      </c>
      <c r="P76" s="71">
        <f>'LOOKUP  telda'!Z50</f>
        <v>3</v>
      </c>
      <c r="Q76" s="40">
        <f t="shared" si="4"/>
        <v>0.5</v>
      </c>
      <c r="R76" s="40">
        <f t="shared" si="5"/>
        <v>0.75</v>
      </c>
      <c r="S76" s="40">
        <f>VLOOKUP(C76,Sheet3!$A$19:$G$81,7,FALSE)</f>
        <v>1</v>
      </c>
      <c r="T76" s="8">
        <f t="shared" si="6"/>
        <v>0.5</v>
      </c>
      <c r="U76" s="8">
        <f t="shared" si="7"/>
        <v>0.75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4</v>
      </c>
      <c r="E77" s="71">
        <f>'LOOKUP  telda'!F51+'LOOKUP  telda'!G51+'LOOKUP  telda'!H51</f>
        <v>1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2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1</v>
      </c>
      <c r="Q77" s="40">
        <f t="shared" si="4"/>
        <v>0.25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0.25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3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1</v>
      </c>
      <c r="N78" s="71">
        <f>'LOOKUP  telda'!X52</f>
        <v>0</v>
      </c>
      <c r="O78" s="71">
        <f>'LOOKUP  telda'!Y52</f>
        <v>0</v>
      </c>
      <c r="P78" s="71">
        <f>'LOOKUP  telda'!Z52</f>
        <v>1</v>
      </c>
      <c r="Q78" s="40">
        <f t="shared" si="4"/>
        <v>0.33333333333333331</v>
      </c>
      <c r="R78" s="40">
        <f t="shared" si="5"/>
        <v>0.5</v>
      </c>
      <c r="S78" s="40" t="e">
        <f>VLOOKUP(C78,Sheet3!$A$19:$G$81,7,FALSE)</f>
        <v>#N/A</v>
      </c>
      <c r="T78" s="8">
        <f t="shared" si="6"/>
        <v>0.33333333333333331</v>
      </c>
      <c r="U78" s="8">
        <f t="shared" si="7"/>
        <v>0.5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3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1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1</v>
      </c>
      <c r="Q79" s="40">
        <f t="shared" si="4"/>
        <v>0.5</v>
      </c>
      <c r="R79" s="40">
        <f t="shared" si="5"/>
        <v>0.5</v>
      </c>
      <c r="S79" s="40" t="e">
        <f>VLOOKUP(C79,Sheet3!$A$19:$G$81,7,FALSE)</f>
        <v>#N/A</v>
      </c>
      <c r="T79" s="8">
        <f t="shared" si="6"/>
        <v>0.5</v>
      </c>
      <c r="U79" s="8">
        <f t="shared" si="7"/>
        <v>0.5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12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6</v>
      </c>
      <c r="K80" s="71">
        <f>'LOOKUP  telda'!K54</f>
        <v>0</v>
      </c>
      <c r="L80" s="71">
        <f>'LOOKUP  telda'!L54</f>
        <v>0</v>
      </c>
      <c r="M80" s="71">
        <f>'LOOKUP  telda'!P54</f>
        <v>1</v>
      </c>
      <c r="N80" s="71">
        <f>'LOOKUP  telda'!X54</f>
        <v>0</v>
      </c>
      <c r="O80" s="71">
        <f>'LOOKUP  telda'!Y54</f>
        <v>0</v>
      </c>
      <c r="P80" s="71">
        <f>'LOOKUP  telda'!Z54</f>
        <v>5</v>
      </c>
      <c r="Q80" s="40">
        <f t="shared" si="4"/>
        <v>0.41666666666666669</v>
      </c>
      <c r="R80" s="40">
        <f t="shared" si="5"/>
        <v>0.83333333333333337</v>
      </c>
      <c r="S80" s="40" t="e">
        <f>VLOOKUP(C80,Sheet3!$A$19:$G$81,7,FALSE)</f>
        <v>#N/A</v>
      </c>
      <c r="T80" s="8">
        <f t="shared" si="6"/>
        <v>0.41666666666666669</v>
      </c>
      <c r="U80" s="8">
        <f t="shared" si="7"/>
        <v>0.83333333333333337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3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2</v>
      </c>
      <c r="K82" s="71">
        <f>'LOOKUP  telda'!K56</f>
        <v>0</v>
      </c>
      <c r="L82" s="71">
        <f>'LOOKUP  telda'!L56</f>
        <v>0</v>
      </c>
      <c r="M82" s="71">
        <f>'LOOKUP  telda'!P56</f>
        <v>1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75">
      <c r="B83" s="150" t="s">
        <v>62</v>
      </c>
      <c r="C83" s="150"/>
      <c r="D83" s="26">
        <f>SUM(D33:D82)</f>
        <v>164</v>
      </c>
      <c r="E83" s="26">
        <f>SUM(E33:E82)</f>
        <v>8</v>
      </c>
      <c r="F83" s="26">
        <f>SUM(F33:F82)</f>
        <v>1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1</v>
      </c>
      <c r="J83" s="26">
        <f t="shared" si="8"/>
        <v>46</v>
      </c>
      <c r="K83" s="26">
        <f t="shared" si="8"/>
        <v>1</v>
      </c>
      <c r="L83" s="26">
        <f t="shared" si="8"/>
        <v>2</v>
      </c>
      <c r="M83" s="26">
        <f t="shared" si="8"/>
        <v>28</v>
      </c>
      <c r="N83" s="26">
        <f t="shared" si="8"/>
        <v>4</v>
      </c>
      <c r="O83" s="26">
        <f t="shared" si="8"/>
        <v>5</v>
      </c>
      <c r="P83" s="26">
        <f t="shared" si="8"/>
        <v>69</v>
      </c>
      <c r="Q83" s="41">
        <f>T83</f>
        <v>0.42857142857142855</v>
      </c>
      <c r="R83" s="41">
        <f>U83</f>
        <v>0.65094339622641506</v>
      </c>
      <c r="S83" s="41">
        <f>S15</f>
        <v>1</v>
      </c>
      <c r="T83" s="8">
        <f>P83/(D83-F83-K83-I83)</f>
        <v>0.42857142857142855</v>
      </c>
      <c r="U83" s="8">
        <f>P83/(M83+N83+O83+P83)</f>
        <v>0.65094339622641506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79" t="str">
        <f ca="1">LAPORAN!C1</f>
        <v xml:space="preserve">PROVISIONING NEW SALES INDIBIZ TR3 JBN MTD H-1  2026-09-02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2026-09-02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03-09-2026 09:49:04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20</v>
      </c>
      <c r="C6" s="4">
        <f>HARIAN!I10</f>
        <v>0</v>
      </c>
      <c r="D6" s="4">
        <f>HARIAN!P10</f>
        <v>10</v>
      </c>
      <c r="E6" s="77">
        <f t="shared" ref="E6:E11" si="0">C6/B6</f>
        <v>0</v>
      </c>
      <c r="F6" s="78">
        <f>HARIAN!Q10</f>
        <v>0.5</v>
      </c>
      <c r="G6" s="78">
        <f>HARIAN!R10</f>
        <v>0.7142857142857143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33</v>
      </c>
      <c r="C7" s="4">
        <f>HARIAN!I11</f>
        <v>0</v>
      </c>
      <c r="D7" s="4">
        <f>HARIAN!P11</f>
        <v>16</v>
      </c>
      <c r="E7" s="77">
        <f t="shared" si="0"/>
        <v>0</v>
      </c>
      <c r="F7" s="78">
        <f>HARIAN!Q11</f>
        <v>0.48484848484848486</v>
      </c>
      <c r="G7" s="78">
        <f>HARIAN!R11</f>
        <v>0.76190476190476186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23</v>
      </c>
      <c r="C8" s="4">
        <f>HARIAN!I12</f>
        <v>0</v>
      </c>
      <c r="D8" s="4">
        <f>HARIAN!P12</f>
        <v>13</v>
      </c>
      <c r="E8" s="77">
        <f t="shared" si="0"/>
        <v>0</v>
      </c>
      <c r="F8" s="78">
        <f>HARIAN!Q12</f>
        <v>0.59090909090909094</v>
      </c>
      <c r="G8" s="78">
        <f>HARIAN!R12</f>
        <v>0.8125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54</v>
      </c>
      <c r="C9" s="4">
        <f>HARIAN!I13</f>
        <v>0</v>
      </c>
      <c r="D9" s="4">
        <f>HARIAN!P13</f>
        <v>18</v>
      </c>
      <c r="E9" s="77">
        <f t="shared" si="0"/>
        <v>0</v>
      </c>
      <c r="F9" s="78">
        <f>HARIAN!Q13</f>
        <v>0.33962264150943394</v>
      </c>
      <c r="G9" s="78">
        <f>HARIAN!R13</f>
        <v>0.47368421052631576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34</v>
      </c>
      <c r="C10" s="4">
        <f>HARIAN!I14</f>
        <v>1</v>
      </c>
      <c r="D10" s="4">
        <f>HARIAN!P14</f>
        <v>11</v>
      </c>
      <c r="E10" s="77">
        <f t="shared" si="0"/>
        <v>2.9411764705882353E-2</v>
      </c>
      <c r="F10" s="78">
        <f>HARIAN!Q14</f>
        <v>0.33333333333333331</v>
      </c>
      <c r="G10" s="78">
        <f>HARIAN!R14</f>
        <v>0.6875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164</v>
      </c>
      <c r="C11" s="80">
        <f>HARIAN!I15</f>
        <v>1</v>
      </c>
      <c r="D11" s="80">
        <f>HARIAN!P15</f>
        <v>68</v>
      </c>
      <c r="E11" s="81">
        <f t="shared" si="0"/>
        <v>6.0975609756097563E-3</v>
      </c>
      <c r="F11" s="82">
        <f>HARIAN!Q15</f>
        <v>0.42236024844720499</v>
      </c>
      <c r="G11" s="82">
        <f>HARIAN!R15</f>
        <v>0.64761904761904765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C4" sqref="C4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01" t="str">
        <f ca="1">"PROVISIONING NEW SALES INDIBIZ TR3 JBN MTD H-1  "&amp;TEXT(TODAY()-1,"YYYY-MM-DD ")</f>
        <v xml:space="preserve">PROVISIONING NEW SALES INDIBIZ TR3 JBN MTD H-1  2026-09-02 </v>
      </c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20"/>
    </row>
    <row r="2" spans="3:19" ht="18.75">
      <c r="C2" s="101" t="str">
        <f ca="1">"PERIODE ORDER &amp; PS : 2026-09-01 to  "&amp;TEXT(TODAY()-1,"YYYY-MM-DD ")</f>
        <v xml:space="preserve">PERIODE ORDER &amp; PS : 2026-09-01 to  2026-09-02 </v>
      </c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20"/>
    </row>
    <row r="3" spans="3:19" ht="15.75">
      <c r="C3" s="180" t="s">
        <v>2220</v>
      </c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93"/>
    </row>
    <row r="5" spans="3:19" ht="15" customHeight="1">
      <c r="C5" s="135" t="s">
        <v>1</v>
      </c>
      <c r="D5" s="135" t="s">
        <v>129</v>
      </c>
      <c r="E5" s="135" t="s">
        <v>67</v>
      </c>
      <c r="F5" s="158" t="s">
        <v>12</v>
      </c>
      <c r="G5" s="159"/>
      <c r="H5" s="160"/>
      <c r="I5" s="138" t="s">
        <v>14</v>
      </c>
      <c r="J5" s="141" t="s">
        <v>8</v>
      </c>
      <c r="K5" s="141" t="s">
        <v>9</v>
      </c>
      <c r="L5" s="167" t="s">
        <v>10</v>
      </c>
      <c r="M5" s="168"/>
      <c r="N5" s="168"/>
      <c r="O5" s="169"/>
      <c r="P5" s="144" t="s">
        <v>11</v>
      </c>
      <c r="Q5" s="147" t="s">
        <v>130</v>
      </c>
      <c r="R5" s="147" t="s">
        <v>864</v>
      </c>
      <c r="S5" s="147" t="s">
        <v>865</v>
      </c>
    </row>
    <row r="6" spans="3:19" ht="6.75" customHeight="1">
      <c r="C6" s="136"/>
      <c r="D6" s="136"/>
      <c r="E6" s="136"/>
      <c r="F6" s="161"/>
      <c r="G6" s="162"/>
      <c r="H6" s="163"/>
      <c r="I6" s="139"/>
      <c r="J6" s="142"/>
      <c r="K6" s="142"/>
      <c r="L6" s="170"/>
      <c r="M6" s="171"/>
      <c r="N6" s="171"/>
      <c r="O6" s="172"/>
      <c r="P6" s="145"/>
      <c r="Q6" s="148"/>
      <c r="R6" s="148"/>
      <c r="S6" s="148"/>
    </row>
    <row r="7" spans="3:19" ht="4.5" customHeight="1">
      <c r="C7" s="136"/>
      <c r="D7" s="136"/>
      <c r="E7" s="136"/>
      <c r="F7" s="164"/>
      <c r="G7" s="165"/>
      <c r="H7" s="166"/>
      <c r="I7" s="139"/>
      <c r="J7" s="142"/>
      <c r="K7" s="142"/>
      <c r="L7" s="173"/>
      <c r="M7" s="174"/>
      <c r="N7" s="174"/>
      <c r="O7" s="175"/>
      <c r="P7" s="145"/>
      <c r="Q7" s="148"/>
      <c r="R7" s="148"/>
      <c r="S7" s="148"/>
    </row>
    <row r="8" spans="3:19" ht="45" customHeight="1">
      <c r="C8" s="137"/>
      <c r="D8" s="137"/>
      <c r="E8" s="137"/>
      <c r="F8" s="22" t="s">
        <v>133</v>
      </c>
      <c r="G8" s="22" t="s">
        <v>30</v>
      </c>
      <c r="H8" s="22" t="s">
        <v>69</v>
      </c>
      <c r="I8" s="140"/>
      <c r="J8" s="143"/>
      <c r="K8" s="143"/>
      <c r="L8" s="37" t="s">
        <v>2</v>
      </c>
      <c r="M8" s="37" t="s">
        <v>18</v>
      </c>
      <c r="N8" s="37" t="s">
        <v>20</v>
      </c>
      <c r="O8" s="37" t="s">
        <v>22</v>
      </c>
      <c r="P8" s="146"/>
      <c r="Q8" s="149"/>
      <c r="R8" s="149"/>
      <c r="S8" s="149"/>
    </row>
    <row r="9" spans="3:19" ht="15.75">
      <c r="C9" s="23" t="s">
        <v>34</v>
      </c>
      <c r="D9" s="24">
        <f>HARIAN!D10</f>
        <v>20</v>
      </c>
      <c r="E9" s="24">
        <f>HARIAN!E10</f>
        <v>4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2</v>
      </c>
      <c r="K9" s="24">
        <f>HARIAN!K10</f>
        <v>0</v>
      </c>
      <c r="L9" s="24">
        <f>HARIAN!L10</f>
        <v>0</v>
      </c>
      <c r="M9" s="24">
        <f>HARIAN!M10</f>
        <v>3</v>
      </c>
      <c r="N9" s="24">
        <f>HARIAN!N10</f>
        <v>1</v>
      </c>
      <c r="O9" s="24">
        <f>HARIAN!O10</f>
        <v>0</v>
      </c>
      <c r="P9" s="24">
        <f>HARIAN!P10</f>
        <v>10</v>
      </c>
      <c r="Q9" s="40">
        <f>HARIAN!Q10</f>
        <v>0.5</v>
      </c>
      <c r="R9" s="40">
        <f>HARIAN!R10</f>
        <v>0.7142857142857143</v>
      </c>
      <c r="S9" s="40">
        <f>HARIAN!S10</f>
        <v>1</v>
      </c>
    </row>
    <row r="10" spans="3:19" ht="15.75">
      <c r="C10" s="23" t="s">
        <v>38</v>
      </c>
      <c r="D10" s="24">
        <f>HARIAN!D11</f>
        <v>33</v>
      </c>
      <c r="E10" s="24">
        <f>HARIAN!E11</f>
        <v>0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11</v>
      </c>
      <c r="K10" s="24">
        <f>HARIAN!K11</f>
        <v>0</v>
      </c>
      <c r="L10" s="24">
        <f>HARIAN!L11</f>
        <v>1</v>
      </c>
      <c r="M10" s="24">
        <f>HARIAN!M11</f>
        <v>5</v>
      </c>
      <c r="N10" s="24">
        <f>HARIAN!N11</f>
        <v>0</v>
      </c>
      <c r="O10" s="24">
        <f>HARIAN!O11</f>
        <v>0</v>
      </c>
      <c r="P10" s="24">
        <f>HARIAN!P11</f>
        <v>16</v>
      </c>
      <c r="Q10" s="40">
        <f>HARIAN!Q11</f>
        <v>0.48484848484848486</v>
      </c>
      <c r="R10" s="40">
        <f>HARIAN!R11</f>
        <v>0.76190476190476186</v>
      </c>
      <c r="S10" s="40">
        <f>HARIAN!S11</f>
        <v>1</v>
      </c>
    </row>
    <row r="11" spans="3:19" ht="15.75">
      <c r="C11" s="23" t="s">
        <v>42</v>
      </c>
      <c r="D11" s="24">
        <f>HARIAN!D12</f>
        <v>23</v>
      </c>
      <c r="E11" s="24">
        <f>HARIAN!E12</f>
        <v>1</v>
      </c>
      <c r="F11" s="24">
        <f>HARIAN!F12</f>
        <v>1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4</v>
      </c>
      <c r="K11" s="24">
        <f>HARIAN!K12</f>
        <v>0</v>
      </c>
      <c r="L11" s="24">
        <f>HARIAN!L12</f>
        <v>1</v>
      </c>
      <c r="M11" s="24">
        <f>HARIAN!M12</f>
        <v>1</v>
      </c>
      <c r="N11" s="24">
        <f>HARIAN!N12</f>
        <v>1</v>
      </c>
      <c r="O11" s="24">
        <f>HARIAN!O12</f>
        <v>1</v>
      </c>
      <c r="P11" s="24">
        <f>HARIAN!P12</f>
        <v>13</v>
      </c>
      <c r="Q11" s="40">
        <f>HARIAN!Q12</f>
        <v>0.59090909090909094</v>
      </c>
      <c r="R11" s="40">
        <f>HARIAN!R12</f>
        <v>0.8125</v>
      </c>
      <c r="S11" s="40">
        <f>HARIAN!S12</f>
        <v>1</v>
      </c>
    </row>
    <row r="12" spans="3:19" ht="15.75">
      <c r="C12" s="23" t="s">
        <v>45</v>
      </c>
      <c r="D12" s="24">
        <f>HARIAN!D13</f>
        <v>54</v>
      </c>
      <c r="E12" s="24">
        <f>HARIAN!E13</f>
        <v>1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13</v>
      </c>
      <c r="K12" s="24">
        <f>HARIAN!K13</f>
        <v>1</v>
      </c>
      <c r="L12" s="24">
        <f>HARIAN!L13</f>
        <v>0</v>
      </c>
      <c r="M12" s="24">
        <f>HARIAN!M13</f>
        <v>16</v>
      </c>
      <c r="N12" s="24">
        <f>HARIAN!N13</f>
        <v>0</v>
      </c>
      <c r="O12" s="24">
        <f>HARIAN!O13</f>
        <v>4</v>
      </c>
      <c r="P12" s="24">
        <f>HARIAN!P13</f>
        <v>18</v>
      </c>
      <c r="Q12" s="40">
        <f>HARIAN!Q13</f>
        <v>0.33962264150943394</v>
      </c>
      <c r="R12" s="40">
        <f>HARIAN!R13</f>
        <v>0.47368421052631576</v>
      </c>
      <c r="S12" s="40">
        <f>HARIAN!S13</f>
        <v>1</v>
      </c>
    </row>
    <row r="13" spans="3:19" ht="15.75">
      <c r="C13" s="23" t="s">
        <v>55</v>
      </c>
      <c r="D13" s="24">
        <f>HARIAN!D14</f>
        <v>34</v>
      </c>
      <c r="E13" s="24">
        <f>HARIAN!E14</f>
        <v>2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1</v>
      </c>
      <c r="J13" s="24">
        <f>HARIAN!J14</f>
        <v>16</v>
      </c>
      <c r="K13" s="24">
        <f>HARIAN!K14</f>
        <v>0</v>
      </c>
      <c r="L13" s="24">
        <f>HARIAN!L14</f>
        <v>0</v>
      </c>
      <c r="M13" s="24">
        <f>HARIAN!M14</f>
        <v>3</v>
      </c>
      <c r="N13" s="24">
        <f>HARIAN!N14</f>
        <v>2</v>
      </c>
      <c r="O13" s="24">
        <f>HARIAN!O14</f>
        <v>0</v>
      </c>
      <c r="P13" s="24">
        <f>HARIAN!P14</f>
        <v>11</v>
      </c>
      <c r="Q13" s="40">
        <f>HARIAN!Q14</f>
        <v>0.33333333333333331</v>
      </c>
      <c r="R13" s="40">
        <f>HARIAN!R14</f>
        <v>0.6875</v>
      </c>
      <c r="S13" s="40">
        <f>HARIAN!S14</f>
        <v>1</v>
      </c>
    </row>
    <row r="14" spans="3:19" ht="15.75">
      <c r="C14" s="25" t="s">
        <v>62</v>
      </c>
      <c r="D14" s="26">
        <f>SUM(D9:D13)</f>
        <v>164</v>
      </c>
      <c r="E14" s="26">
        <f>SUM(E9:E13)</f>
        <v>8</v>
      </c>
      <c r="F14" s="26">
        <f>SUM(F9:F13)</f>
        <v>1</v>
      </c>
      <c r="G14" s="26">
        <f t="shared" ref="G14:P14" si="0">SUM(G9:G13)</f>
        <v>0</v>
      </c>
      <c r="H14" s="26">
        <f t="shared" si="0"/>
        <v>0</v>
      </c>
      <c r="I14" s="26">
        <f t="shared" si="0"/>
        <v>1</v>
      </c>
      <c r="J14" s="26">
        <f t="shared" si="0"/>
        <v>46</v>
      </c>
      <c r="K14" s="26">
        <f t="shared" si="0"/>
        <v>1</v>
      </c>
      <c r="L14" s="26">
        <f t="shared" si="0"/>
        <v>2</v>
      </c>
      <c r="M14" s="26">
        <f t="shared" si="0"/>
        <v>28</v>
      </c>
      <c r="N14" s="26">
        <f t="shared" si="0"/>
        <v>4</v>
      </c>
      <c r="O14" s="26">
        <f t="shared" si="0"/>
        <v>5</v>
      </c>
      <c r="P14" s="26">
        <f t="shared" si="0"/>
        <v>68</v>
      </c>
      <c r="Q14" s="41">
        <f>HARIAN!Q15</f>
        <v>0.42236024844720499</v>
      </c>
      <c r="R14" s="41">
        <f>HARIAN!R15</f>
        <v>0.64761904761904765</v>
      </c>
      <c r="S14" s="41">
        <f>HARIAN!S15</f>
        <v>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30" t="s">
        <v>72</v>
      </c>
      <c r="E16" s="13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27" t="s">
        <v>73</v>
      </c>
      <c r="E17" s="128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27" t="s">
        <v>74</v>
      </c>
      <c r="E18" s="128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27" t="s">
        <v>75</v>
      </c>
      <c r="E19" s="128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27" t="s">
        <v>76</v>
      </c>
      <c r="E20" s="128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23" t="s">
        <v>138</v>
      </c>
      <c r="E21" s="124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2026-09-02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2026-09-02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75">
      <c r="B25" s="126" t="str">
        <f>C3</f>
        <v>Last update proses : 03-09-2026 09:49:04 WIB (Source: ETL XPRO)</v>
      </c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35"/>
    </row>
    <row r="26" spans="2:21" ht="6.75" customHeight="1"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51" t="s">
        <v>67</v>
      </c>
      <c r="F28" s="181" t="s">
        <v>12</v>
      </c>
      <c r="G28" s="181"/>
      <c r="H28" s="181"/>
      <c r="I28" s="181" t="s">
        <v>14</v>
      </c>
      <c r="J28" s="176" t="s">
        <v>8</v>
      </c>
      <c r="K28" s="176" t="s">
        <v>9</v>
      </c>
      <c r="L28" s="182" t="s">
        <v>10</v>
      </c>
      <c r="M28" s="182"/>
      <c r="N28" s="182"/>
      <c r="O28" s="182"/>
      <c r="P28" s="178" t="s">
        <v>11</v>
      </c>
      <c r="Q28" s="122" t="s">
        <v>130</v>
      </c>
      <c r="R28" s="147" t="s">
        <v>864</v>
      </c>
      <c r="S28" s="147" t="s">
        <v>865</v>
      </c>
    </row>
    <row r="29" spans="2:21" ht="15" customHeight="1">
      <c r="B29" s="157"/>
      <c r="C29" s="157"/>
      <c r="D29" s="157"/>
      <c r="E29" s="151"/>
      <c r="F29" s="181"/>
      <c r="G29" s="181"/>
      <c r="H29" s="181"/>
      <c r="I29" s="181"/>
      <c r="J29" s="176"/>
      <c r="K29" s="176"/>
      <c r="L29" s="182"/>
      <c r="M29" s="182"/>
      <c r="N29" s="182"/>
      <c r="O29" s="182"/>
      <c r="P29" s="178"/>
      <c r="Q29" s="122"/>
      <c r="R29" s="148"/>
      <c r="S29" s="148"/>
    </row>
    <row r="30" spans="2:21" ht="15" customHeight="1">
      <c r="B30" s="157"/>
      <c r="C30" s="157"/>
      <c r="D30" s="157"/>
      <c r="E30" s="151"/>
      <c r="F30" s="181"/>
      <c r="G30" s="181"/>
      <c r="H30" s="181"/>
      <c r="I30" s="181"/>
      <c r="J30" s="176"/>
      <c r="K30" s="176"/>
      <c r="L30" s="182"/>
      <c r="M30" s="182"/>
      <c r="N30" s="182"/>
      <c r="O30" s="182"/>
      <c r="P30" s="178"/>
      <c r="Q30" s="122"/>
      <c r="R30" s="148"/>
      <c r="S30" s="148"/>
    </row>
    <row r="31" spans="2:21" s="19" customFormat="1" ht="48" customHeight="1">
      <c r="B31" s="157"/>
      <c r="C31" s="157"/>
      <c r="D31" s="157"/>
      <c r="E31" s="151"/>
      <c r="F31" s="22" t="s">
        <v>133</v>
      </c>
      <c r="G31" s="22" t="s">
        <v>30</v>
      </c>
      <c r="H31" s="22" t="s">
        <v>69</v>
      </c>
      <c r="I31" s="181"/>
      <c r="J31" s="176"/>
      <c r="K31" s="176"/>
      <c r="L31" s="37" t="s">
        <v>2</v>
      </c>
      <c r="M31" s="37" t="s">
        <v>18</v>
      </c>
      <c r="N31" s="37" t="s">
        <v>20</v>
      </c>
      <c r="O31" s="37" t="s">
        <v>22</v>
      </c>
      <c r="P31" s="178"/>
      <c r="Q31" s="122"/>
      <c r="R31" s="149"/>
      <c r="S31" s="149"/>
    </row>
    <row r="32" spans="2:21" ht="15.75">
      <c r="B32" s="183" t="s">
        <v>34</v>
      </c>
      <c r="C32" s="88" t="s">
        <v>79</v>
      </c>
      <c r="D32" s="65">
        <f>HARIAN!D33</f>
        <v>2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0</v>
      </c>
      <c r="O32" s="65">
        <f>HARIAN!O33</f>
        <v>0</v>
      </c>
      <c r="P32" s="65">
        <f>HARIAN!P33</f>
        <v>1</v>
      </c>
      <c r="Q32" s="40">
        <f>T32</f>
        <v>0.5</v>
      </c>
      <c r="R32" s="40">
        <f t="shared" ref="R32:R67" si="1">U32</f>
        <v>0.5</v>
      </c>
      <c r="S32" s="40">
        <f>VLOOKUP(C32,Sheet3!$A$19:$G$81,7,FALSE)</f>
        <v>1</v>
      </c>
      <c r="T32" s="10">
        <f>P32/(D32-F32-K32-I32)</f>
        <v>0.5</v>
      </c>
      <c r="U32" s="10">
        <f>P32/(M32+N32+O32+P32)</f>
        <v>0.5</v>
      </c>
    </row>
    <row r="33" spans="2:21" ht="15.75">
      <c r="B33" s="183"/>
      <c r="C33" s="88" t="s">
        <v>85</v>
      </c>
      <c r="D33" s="65">
        <f>HARIAN!D34+HARIAN!D39</f>
        <v>4</v>
      </c>
      <c r="E33" s="65">
        <f>HARIAN!E34+HARIAN!E39</f>
        <v>2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2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>
        <f t="shared" ref="Q33:Q67" si="2">T33</f>
        <v>0</v>
      </c>
      <c r="R33" s="40">
        <f t="shared" si="1"/>
        <v>0</v>
      </c>
      <c r="S33" s="40" t="e">
        <f>VLOOKUP(C33,Sheet3!$A$19:$G$81,7,FALSE)</f>
        <v>#DIV/0!</v>
      </c>
      <c r="T33" s="10">
        <f t="shared" ref="T33:T67" si="3">P33/(D33-F33-K33-I33)</f>
        <v>0</v>
      </c>
      <c r="U33" s="10">
        <f t="shared" ref="U33:U67" si="4">P33/(M33+N33+O33+P33)</f>
        <v>0</v>
      </c>
    </row>
    <row r="34" spans="2:21" ht="15.75">
      <c r="B34" s="183"/>
      <c r="C34" s="88" t="s">
        <v>81</v>
      </c>
      <c r="D34" s="65">
        <f>HARIAN!D35</f>
        <v>2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1</v>
      </c>
      <c r="R34" s="40">
        <f t="shared" si="1"/>
        <v>1</v>
      </c>
      <c r="S34" s="40">
        <f>VLOOKUP(C34,Sheet3!$A$19:$G$81,7,FALSE)</f>
        <v>1</v>
      </c>
      <c r="T34" s="10">
        <f t="shared" si="3"/>
        <v>1</v>
      </c>
      <c r="U34" s="10">
        <f t="shared" si="4"/>
        <v>1</v>
      </c>
    </row>
    <row r="35" spans="2:21" ht="15.75">
      <c r="B35" s="183"/>
      <c r="C35" s="88" t="s">
        <v>82</v>
      </c>
      <c r="D35" s="65">
        <f>HARIAN!D36</f>
        <v>3</v>
      </c>
      <c r="E35" s="65">
        <f>HARIAN!E36</f>
        <v>1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0.66666666666666663</v>
      </c>
      <c r="R35" s="40">
        <f t="shared" si="1"/>
        <v>1</v>
      </c>
      <c r="S35" s="40">
        <f>VLOOKUP(C35,Sheet3!$A$19:$G$81,7,FALSE)</f>
        <v>1</v>
      </c>
      <c r="T35" s="10">
        <f t="shared" si="3"/>
        <v>0.66666666666666663</v>
      </c>
      <c r="U35" s="10">
        <f t="shared" si="4"/>
        <v>1</v>
      </c>
    </row>
    <row r="36" spans="2:21" ht="15.75">
      <c r="B36" s="183"/>
      <c r="C36" s="88" t="s">
        <v>83</v>
      </c>
      <c r="D36" s="65">
        <f>HARIAN!D37</f>
        <v>5</v>
      </c>
      <c r="E36" s="65">
        <f>HARIAN!E37</f>
        <v>1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2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2</v>
      </c>
      <c r="Q36" s="40">
        <f t="shared" si="2"/>
        <v>0.4</v>
      </c>
      <c r="R36" s="40">
        <f t="shared" si="1"/>
        <v>1</v>
      </c>
      <c r="S36" s="40">
        <f>VLOOKUP(C36,Sheet3!$A$19:$G$81,7,FALSE)</f>
        <v>1</v>
      </c>
      <c r="T36" s="10">
        <f t="shared" si="3"/>
        <v>0.4</v>
      </c>
      <c r="U36" s="10">
        <f t="shared" si="4"/>
        <v>1</v>
      </c>
    </row>
    <row r="37" spans="2:21" ht="15.75">
      <c r="B37" s="183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 t="e">
        <f>VLOOKUP(C37,Sheet3!$A$19:$G$81,7,FALSE)</f>
        <v>#N/A</v>
      </c>
      <c r="T37" s="10" t="e">
        <f t="shared" si="3"/>
        <v>#DIV/0!</v>
      </c>
      <c r="U37" s="10">
        <f t="shared" si="4"/>
        <v>1</v>
      </c>
    </row>
    <row r="38" spans="2:21" ht="15.75">
      <c r="B38" s="183"/>
      <c r="C38" s="88" t="s">
        <v>86</v>
      </c>
      <c r="D38" s="65">
        <f>HARIAN!D40</f>
        <v>4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1</v>
      </c>
      <c r="O38" s="65">
        <f>HARIAN!O40</f>
        <v>0</v>
      </c>
      <c r="P38" s="65">
        <f>HARIAN!P40</f>
        <v>3</v>
      </c>
      <c r="Q38" s="40">
        <f t="shared" si="2"/>
        <v>0.75</v>
      </c>
      <c r="R38" s="40">
        <f t="shared" si="1"/>
        <v>0.75</v>
      </c>
      <c r="S38" s="40">
        <f>VLOOKUP(C38,Sheet3!$A$19:$G$81,7,FALSE)</f>
        <v>1</v>
      </c>
      <c r="T38" s="10">
        <f t="shared" si="3"/>
        <v>0.75</v>
      </c>
      <c r="U38" s="10">
        <f t="shared" si="4"/>
        <v>0.75</v>
      </c>
    </row>
    <row r="39" spans="2:21" ht="15.75">
      <c r="B39" s="184" t="s">
        <v>38</v>
      </c>
      <c r="C39" s="89" t="s">
        <v>87</v>
      </c>
      <c r="D39" s="67">
        <f>HARIAN!D41</f>
        <v>2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2</v>
      </c>
      <c r="Q39" s="40">
        <f t="shared" si="2"/>
        <v>1</v>
      </c>
      <c r="R39" s="40">
        <f t="shared" si="1"/>
        <v>1</v>
      </c>
      <c r="S39" s="40">
        <f>VLOOKUP(C39,Sheet3!$A$19:$G$81,7,FALSE)</f>
        <v>1</v>
      </c>
      <c r="T39" s="10">
        <f t="shared" si="3"/>
        <v>1</v>
      </c>
      <c r="U39" s="10">
        <f t="shared" si="4"/>
        <v>1</v>
      </c>
    </row>
    <row r="40" spans="2:21" ht="15.75">
      <c r="B40" s="184"/>
      <c r="C40" s="89" t="s">
        <v>88</v>
      </c>
      <c r="D40" s="67">
        <f>HARIAN!D42+HARIAN!D52</f>
        <v>2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1</v>
      </c>
      <c r="N40" s="67">
        <f>HARIAN!N42+HARIAN!N52</f>
        <v>0</v>
      </c>
      <c r="O40" s="67">
        <f>HARIAN!O42+HARIAN!O52</f>
        <v>0</v>
      </c>
      <c r="P40" s="67">
        <f>HARIAN!P42+HARIAN!P52</f>
        <v>1</v>
      </c>
      <c r="Q40" s="40">
        <f t="shared" si="2"/>
        <v>0.5</v>
      </c>
      <c r="R40" s="40">
        <f t="shared" si="1"/>
        <v>0.5</v>
      </c>
      <c r="S40" s="40">
        <f>VLOOKUP(C40,Sheet3!$A$19:$G$81,7,FALSE)</f>
        <v>1</v>
      </c>
      <c r="T40" s="10">
        <f t="shared" si="3"/>
        <v>0.5</v>
      </c>
      <c r="U40" s="10">
        <f t="shared" si="4"/>
        <v>0.5</v>
      </c>
    </row>
    <row r="41" spans="2:21" ht="15.75">
      <c r="B41" s="184"/>
      <c r="C41" s="89" t="s">
        <v>89</v>
      </c>
      <c r="D41" s="67">
        <f>HARIAN!D43+HARIAN!D51</f>
        <v>5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4</v>
      </c>
      <c r="K41" s="67">
        <f>HARIAN!K43+HARIAN!K51</f>
        <v>0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>
        <f t="shared" si="2"/>
        <v>0</v>
      </c>
      <c r="R41" s="40">
        <f t="shared" si="1"/>
        <v>0</v>
      </c>
      <c r="S41" s="40" t="e">
        <f>VLOOKUP(C41,Sheet3!$A$19:$G$81,7,FALSE)</f>
        <v>#DIV/0!</v>
      </c>
      <c r="T41" s="10">
        <f t="shared" si="3"/>
        <v>0</v>
      </c>
      <c r="U41" s="10">
        <f t="shared" si="4"/>
        <v>0</v>
      </c>
    </row>
    <row r="42" spans="2:21" ht="15.75">
      <c r="B42" s="184"/>
      <c r="C42" s="89" t="s">
        <v>90</v>
      </c>
      <c r="D42" s="67">
        <f>HARIAN!D44</f>
        <v>6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2</v>
      </c>
      <c r="N42" s="67">
        <f>HARIAN!N44</f>
        <v>0</v>
      </c>
      <c r="O42" s="67">
        <f>HARIAN!O44</f>
        <v>0</v>
      </c>
      <c r="P42" s="67">
        <f>HARIAN!P44</f>
        <v>4</v>
      </c>
      <c r="Q42" s="40">
        <f t="shared" si="2"/>
        <v>0.66666666666666663</v>
      </c>
      <c r="R42" s="40">
        <f t="shared" si="1"/>
        <v>0.66666666666666663</v>
      </c>
      <c r="S42" s="40">
        <f>VLOOKUP(C42,Sheet3!$A$19:$G$81,7,FALSE)</f>
        <v>1</v>
      </c>
      <c r="T42" s="10">
        <f t="shared" si="3"/>
        <v>0.66666666666666663</v>
      </c>
      <c r="U42" s="10">
        <f t="shared" si="4"/>
        <v>0.66666666666666663</v>
      </c>
    </row>
    <row r="43" spans="2:21" ht="15.75">
      <c r="B43" s="184"/>
      <c r="C43" s="89" t="s">
        <v>248</v>
      </c>
      <c r="D43" s="67">
        <f>HARIAN!D45</f>
        <v>11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5</v>
      </c>
      <c r="K43" s="67">
        <f>HARIAN!K45</f>
        <v>0</v>
      </c>
      <c r="L43" s="67">
        <f>HARIAN!L45</f>
        <v>1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5</v>
      </c>
      <c r="Q43" s="40">
        <f t="shared" si="2"/>
        <v>0.45454545454545453</v>
      </c>
      <c r="R43" s="40">
        <f t="shared" si="1"/>
        <v>1</v>
      </c>
      <c r="S43" s="40">
        <f>VLOOKUP(C43,Sheet3!$A$19:$G$81,7,FALSE)</f>
        <v>1</v>
      </c>
      <c r="T43" s="10">
        <f t="shared" si="3"/>
        <v>0.45454545454545453</v>
      </c>
      <c r="U43" s="10">
        <f t="shared" si="4"/>
        <v>1</v>
      </c>
    </row>
    <row r="44" spans="2:21" ht="15.75">
      <c r="B44" s="184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1</v>
      </c>
      <c r="T44" s="10" t="e">
        <f t="shared" si="3"/>
        <v>#DIV/0!</v>
      </c>
      <c r="U44" s="10" t="e">
        <f t="shared" si="4"/>
        <v>#DIV/0!</v>
      </c>
    </row>
    <row r="45" spans="2:21" ht="15.75">
      <c r="B45" s="184"/>
      <c r="C45" s="89" t="s">
        <v>93</v>
      </c>
      <c r="D45" s="67">
        <f>HARIAN!D47</f>
        <v>4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1</v>
      </c>
      <c r="N45" s="67">
        <f>HARIAN!N47</f>
        <v>0</v>
      </c>
      <c r="O45" s="67">
        <f>HARIAN!O47</f>
        <v>0</v>
      </c>
      <c r="P45" s="67">
        <f>HARIAN!P47</f>
        <v>3</v>
      </c>
      <c r="Q45" s="40">
        <f t="shared" si="2"/>
        <v>0.75</v>
      </c>
      <c r="R45" s="40">
        <f t="shared" si="1"/>
        <v>0.75</v>
      </c>
      <c r="S45" s="40">
        <f>VLOOKUP(C45,Sheet3!$A$19:$G$81,7,FALSE)</f>
        <v>1</v>
      </c>
      <c r="T45" s="10">
        <f t="shared" si="3"/>
        <v>0.75</v>
      </c>
      <c r="U45" s="10">
        <f t="shared" si="4"/>
        <v>0.75</v>
      </c>
    </row>
    <row r="46" spans="2:21" ht="15.75">
      <c r="B46" s="184"/>
      <c r="C46" s="89" t="s">
        <v>92</v>
      </c>
      <c r="D46" s="67">
        <f>HARIAN!D48</f>
        <v>3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2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</v>
      </c>
      <c r="Q46" s="40">
        <f t="shared" si="2"/>
        <v>0.33333333333333331</v>
      </c>
      <c r="R46" s="40">
        <f t="shared" si="1"/>
        <v>1</v>
      </c>
      <c r="S46" s="40">
        <f>VLOOKUP(C46,Sheet3!$A$19:$G$81,7,FALSE)</f>
        <v>1</v>
      </c>
      <c r="T46" s="10">
        <f t="shared" si="3"/>
        <v>0.33333333333333331</v>
      </c>
      <c r="U46" s="10">
        <f t="shared" si="4"/>
        <v>1</v>
      </c>
    </row>
    <row r="47" spans="2:21" ht="15.75">
      <c r="B47" s="184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 t="e">
        <f>VLOOKUP(C47,Sheet3!$A$19:$G$81,7,FALSE)</f>
        <v>#N/A</v>
      </c>
      <c r="T47" s="10" t="e">
        <f t="shared" si="3"/>
        <v>#DIV/0!</v>
      </c>
      <c r="U47" s="10" t="e">
        <f t="shared" si="4"/>
        <v>#DIV/0!</v>
      </c>
    </row>
    <row r="48" spans="2:21" ht="15.75">
      <c r="B48" s="185" t="s">
        <v>42</v>
      </c>
      <c r="C48" s="90" t="s">
        <v>99</v>
      </c>
      <c r="D48" s="63">
        <f>HARIAN!D53+HARIAN!D62</f>
        <v>5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5</v>
      </c>
      <c r="Q48" s="40">
        <f t="shared" si="2"/>
        <v>1</v>
      </c>
      <c r="R48" s="40">
        <f t="shared" si="1"/>
        <v>1</v>
      </c>
      <c r="S48" s="40">
        <f>VLOOKUP(C48,Sheet3!$A$19:$G$81,7,FALSE)</f>
        <v>1</v>
      </c>
      <c r="T48" s="10">
        <f t="shared" si="3"/>
        <v>1</v>
      </c>
      <c r="U48" s="10">
        <f t="shared" si="4"/>
        <v>1</v>
      </c>
    </row>
    <row r="49" spans="2:21" ht="15.75">
      <c r="B49" s="185"/>
      <c r="C49" s="90" t="s">
        <v>102</v>
      </c>
      <c r="D49" s="63">
        <f>HARIAN!D54+HARIAN!D56</f>
        <v>2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1</v>
      </c>
      <c r="P49" s="63">
        <f>HARIAN!P54+HARIAN!P56</f>
        <v>1</v>
      </c>
      <c r="Q49" s="40">
        <f t="shared" si="2"/>
        <v>0.5</v>
      </c>
      <c r="R49" s="40">
        <f t="shared" si="1"/>
        <v>0.5</v>
      </c>
      <c r="S49" s="40">
        <f>VLOOKUP(C49,Sheet3!$A$19:$G$81,7,FALSE)</f>
        <v>1</v>
      </c>
      <c r="T49" s="10">
        <f t="shared" si="3"/>
        <v>0.5</v>
      </c>
      <c r="U49" s="10">
        <f t="shared" si="4"/>
        <v>0.5</v>
      </c>
    </row>
    <row r="50" spans="2:21" ht="15.75">
      <c r="B50" s="185"/>
      <c r="C50" s="90" t="s">
        <v>232</v>
      </c>
      <c r="D50" s="63">
        <f>HARIAN!D55</f>
        <v>4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1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1</v>
      </c>
      <c r="O50" s="63">
        <f>HARIAN!O55</f>
        <v>0</v>
      </c>
      <c r="P50" s="63">
        <f>HARIAN!P55</f>
        <v>1</v>
      </c>
      <c r="Q50" s="40">
        <f t="shared" si="2"/>
        <v>0.25</v>
      </c>
      <c r="R50" s="40">
        <f t="shared" si="1"/>
        <v>0.33333333333333331</v>
      </c>
      <c r="S50" s="40">
        <f>VLOOKUP(C50,Sheet3!$A$19:$G$81,7,FALSE)</f>
        <v>1</v>
      </c>
      <c r="T50" s="10">
        <f t="shared" si="3"/>
        <v>0.25</v>
      </c>
      <c r="U50" s="10">
        <f t="shared" si="4"/>
        <v>0.33333333333333331</v>
      </c>
    </row>
    <row r="51" spans="2:21" ht="15.75">
      <c r="B51" s="185"/>
      <c r="C51" s="90" t="s">
        <v>105</v>
      </c>
      <c r="D51" s="63">
        <f>HARIAN!D57+HARIAN!D59</f>
        <v>8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1</v>
      </c>
      <c r="K51" s="63">
        <f>HARIAN!K57+HARIAN!K59</f>
        <v>0</v>
      </c>
      <c r="L51" s="63">
        <f>HARIAN!L57+HARIAN!L59</f>
        <v>1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6</v>
      </c>
      <c r="Q51" s="40">
        <f t="shared" si="2"/>
        <v>0.75</v>
      </c>
      <c r="R51" s="40">
        <f t="shared" si="1"/>
        <v>1</v>
      </c>
      <c r="S51" s="40">
        <f>VLOOKUP(C51,Sheet3!$A$19:$G$81,7,FALSE)</f>
        <v>1</v>
      </c>
      <c r="T51" s="10">
        <f t="shared" si="3"/>
        <v>0.75</v>
      </c>
      <c r="U51" s="10">
        <f t="shared" si="4"/>
        <v>1</v>
      </c>
    </row>
    <row r="52" spans="2:21" ht="15.75">
      <c r="B52" s="185"/>
      <c r="C52" s="90" t="s">
        <v>106</v>
      </c>
      <c r="D52" s="63">
        <f>HARIAN!D60</f>
        <v>3</v>
      </c>
      <c r="E52" s="63">
        <f>HARIAN!E60</f>
        <v>1</v>
      </c>
      <c r="F52" s="63">
        <f>HARIAN!F60</f>
        <v>1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>
        <f t="shared" si="2"/>
        <v>0</v>
      </c>
      <c r="R52" s="40" t="e">
        <f t="shared" si="1"/>
        <v>#DIV/0!</v>
      </c>
      <c r="S52" s="40" t="e">
        <f>VLOOKUP(C52,Sheet3!$A$19:$G$81,7,FALSE)</f>
        <v>#DIV/0!</v>
      </c>
      <c r="T52" s="10">
        <f t="shared" si="3"/>
        <v>0</v>
      </c>
      <c r="U52" s="10" t="e">
        <f t="shared" si="4"/>
        <v>#DIV/0!</v>
      </c>
    </row>
    <row r="53" spans="2:21" ht="15.75">
      <c r="B53" s="185"/>
      <c r="C53" s="90" t="s">
        <v>107</v>
      </c>
      <c r="D53" s="63">
        <f>HARIAN!D61+HARIAN!D58</f>
        <v>1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1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>
        <f t="shared" si="2"/>
        <v>0</v>
      </c>
      <c r="R53" s="40" t="e">
        <f t="shared" si="1"/>
        <v>#DIV/0!</v>
      </c>
      <c r="S53" s="40" t="e">
        <f>VLOOKUP(C53,Sheet3!$A$19:$G$81,7,FALSE)</f>
        <v>#DIV/0!</v>
      </c>
      <c r="T53" s="10">
        <f t="shared" si="3"/>
        <v>0</v>
      </c>
      <c r="U53" s="10" t="e">
        <f t="shared" si="4"/>
        <v>#DIV/0!</v>
      </c>
    </row>
    <row r="54" spans="2:21" ht="15.75">
      <c r="B54" s="186" t="s">
        <v>70</v>
      </c>
      <c r="C54" s="91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0</v>
      </c>
      <c r="P54" s="69">
        <f>HARIAN!P63</f>
        <v>0</v>
      </c>
      <c r="Q54" s="40">
        <f t="shared" si="2"/>
        <v>0</v>
      </c>
      <c r="R54" s="40">
        <f t="shared" si="1"/>
        <v>0</v>
      </c>
      <c r="S54" s="40" t="e">
        <f>VLOOKUP(C54,Sheet3!$A$19:$G$81,7,FALSE)</f>
        <v>#DIV/0!</v>
      </c>
      <c r="T54" s="10">
        <f t="shared" si="3"/>
        <v>0</v>
      </c>
      <c r="U54" s="10">
        <f t="shared" si="4"/>
        <v>0</v>
      </c>
    </row>
    <row r="55" spans="2:21" ht="15.75">
      <c r="B55" s="186"/>
      <c r="C55" s="91" t="s">
        <v>110</v>
      </c>
      <c r="D55" s="69">
        <f>HARIAN!D64</f>
        <v>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1</v>
      </c>
      <c r="N55" s="69">
        <f>HARIAN!N64</f>
        <v>0</v>
      </c>
      <c r="O55" s="69">
        <f>HARIAN!O64</f>
        <v>2</v>
      </c>
      <c r="P55" s="69">
        <f>HARIAN!P64</f>
        <v>3</v>
      </c>
      <c r="Q55" s="40">
        <f t="shared" si="2"/>
        <v>0.5</v>
      </c>
      <c r="R55" s="40">
        <f t="shared" si="1"/>
        <v>0.5</v>
      </c>
      <c r="S55" s="40">
        <f>VLOOKUP(C55,Sheet3!$A$19:$G$81,7,FALSE)</f>
        <v>1</v>
      </c>
      <c r="T55" s="10">
        <f t="shared" si="3"/>
        <v>0.5</v>
      </c>
      <c r="U55" s="10">
        <f t="shared" si="4"/>
        <v>0.5</v>
      </c>
    </row>
    <row r="56" spans="2:21" ht="15.75">
      <c r="B56" s="186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 t="e">
        <f>VLOOKUP(C56,Sheet3!$A$19:$G$81,7,FALSE)</f>
        <v>#N/A</v>
      </c>
      <c r="T56" s="10" t="e">
        <f t="shared" si="3"/>
        <v>#DIV/0!</v>
      </c>
      <c r="U56" s="10" t="e">
        <f t="shared" si="4"/>
        <v>#DIV/0!</v>
      </c>
    </row>
    <row r="57" spans="2:21" ht="15.75">
      <c r="B57" s="186"/>
      <c r="C57" s="91" t="s">
        <v>210</v>
      </c>
      <c r="D57" s="69">
        <f>HARIAN!D66</f>
        <v>11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3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1</v>
      </c>
      <c r="P57" s="69">
        <f>HARIAN!P66</f>
        <v>5</v>
      </c>
      <c r="Q57" s="40">
        <f t="shared" si="2"/>
        <v>0.5</v>
      </c>
      <c r="R57" s="40">
        <f t="shared" si="1"/>
        <v>0.83333333333333337</v>
      </c>
      <c r="S57" s="40">
        <f>VLOOKUP(C57,Sheet3!$A$19:$G$81,7,FALSE)</f>
        <v>1</v>
      </c>
      <c r="T57" s="10">
        <f t="shared" si="3"/>
        <v>0.5</v>
      </c>
      <c r="U57" s="10">
        <f t="shared" si="4"/>
        <v>0.83333333333333337</v>
      </c>
    </row>
    <row r="58" spans="2:21" ht="15.75">
      <c r="B58" s="186"/>
      <c r="C58" s="91" t="s">
        <v>113</v>
      </c>
      <c r="D58" s="69">
        <f>HARIAN!D67</f>
        <v>6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6</v>
      </c>
      <c r="N58" s="69">
        <f>HARIAN!N67</f>
        <v>0</v>
      </c>
      <c r="O58" s="69">
        <f>HARIAN!O67</f>
        <v>0</v>
      </c>
      <c r="P58" s="69">
        <f>HARIAN!P67</f>
        <v>0</v>
      </c>
      <c r="Q58" s="40">
        <f t="shared" si="2"/>
        <v>0</v>
      </c>
      <c r="R58" s="40">
        <f t="shared" si="1"/>
        <v>0</v>
      </c>
      <c r="S58" s="40" t="e">
        <f>VLOOKUP(C58,Sheet3!$A$19:$G$81,7,FALSE)</f>
        <v>#DIV/0!</v>
      </c>
      <c r="T58" s="10">
        <f t="shared" si="3"/>
        <v>0</v>
      </c>
      <c r="U58" s="10">
        <f t="shared" si="4"/>
        <v>0</v>
      </c>
    </row>
    <row r="59" spans="2:21" ht="15.75">
      <c r="B59" s="186"/>
      <c r="C59" s="91" t="s">
        <v>114</v>
      </c>
      <c r="D59" s="69">
        <f>HARIAN!D68</f>
        <v>1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1</v>
      </c>
      <c r="N59" s="69">
        <f>HARIAN!N68</f>
        <v>0</v>
      </c>
      <c r="O59" s="69">
        <f>HARIAN!O68</f>
        <v>0</v>
      </c>
      <c r="P59" s="69">
        <f>HARIAN!P68</f>
        <v>0</v>
      </c>
      <c r="Q59" s="40">
        <f t="shared" si="2"/>
        <v>0</v>
      </c>
      <c r="R59" s="40">
        <f t="shared" si="1"/>
        <v>0</v>
      </c>
      <c r="S59" s="40" t="e">
        <f>VLOOKUP(C59,Sheet3!$A$19:$G$81,7,FALSE)</f>
        <v>#DIV/0!</v>
      </c>
      <c r="T59" s="10">
        <f t="shared" si="3"/>
        <v>0</v>
      </c>
      <c r="U59" s="10">
        <f t="shared" si="4"/>
        <v>0</v>
      </c>
    </row>
    <row r="60" spans="2:21" ht="15.75">
      <c r="B60" s="186"/>
      <c r="C60" s="91" t="s">
        <v>781</v>
      </c>
      <c r="D60" s="69">
        <f>HARIAN!D69+HARIAN!D70</f>
        <v>19</v>
      </c>
      <c r="E60" s="69">
        <f>HARIAN!E69+HARIAN!E70</f>
        <v>1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9</v>
      </c>
      <c r="K60" s="69">
        <f>HARIAN!K69+HARIAN!K70</f>
        <v>0</v>
      </c>
      <c r="L60" s="69">
        <f>HARIAN!L69+HARIAN!L70</f>
        <v>0</v>
      </c>
      <c r="M60" s="69">
        <f>HARIAN!M69+HARIAN!M70</f>
        <v>2</v>
      </c>
      <c r="N60" s="69">
        <f>HARIAN!N69+HARIAN!N70</f>
        <v>0</v>
      </c>
      <c r="O60" s="69">
        <f>HARIAN!O69+HARIAN!O70</f>
        <v>0</v>
      </c>
      <c r="P60" s="69">
        <f>HARIAN!P69+HARIAN!P70</f>
        <v>7</v>
      </c>
      <c r="Q60" s="40">
        <f t="shared" si="2"/>
        <v>0.36842105263157893</v>
      </c>
      <c r="R60" s="40">
        <f t="shared" si="1"/>
        <v>0.77777777777777779</v>
      </c>
      <c r="S60" s="40">
        <f>VLOOKUP(C60,Sheet3!$A$19:$G$81,7,FALSE)</f>
        <v>1</v>
      </c>
      <c r="T60" s="10">
        <f t="shared" si="3"/>
        <v>0.36842105263157893</v>
      </c>
      <c r="U60" s="10">
        <f t="shared" si="4"/>
        <v>0.77777777777777779</v>
      </c>
    </row>
    <row r="61" spans="2:21" ht="15.75">
      <c r="B61" s="186"/>
      <c r="C61" s="91" t="s">
        <v>117</v>
      </c>
      <c r="D61" s="69">
        <f>HARIAN!D71</f>
        <v>4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3</v>
      </c>
      <c r="N61" s="69">
        <f>HARIAN!N71</f>
        <v>0</v>
      </c>
      <c r="O61" s="69">
        <f>HARIAN!O71</f>
        <v>0</v>
      </c>
      <c r="P61" s="69">
        <f>HARIAN!P71</f>
        <v>0</v>
      </c>
      <c r="Q61" s="40">
        <f t="shared" si="2"/>
        <v>0</v>
      </c>
      <c r="R61" s="40">
        <f t="shared" si="1"/>
        <v>0</v>
      </c>
      <c r="S61" s="40" t="e">
        <f>VLOOKUP(C61,Sheet3!$A$19:$G$81,7,FALSE)</f>
        <v>#DIV/0!</v>
      </c>
      <c r="T61" s="10">
        <f t="shared" si="3"/>
        <v>0</v>
      </c>
      <c r="U61" s="10">
        <f t="shared" si="4"/>
        <v>0</v>
      </c>
    </row>
    <row r="62" spans="2:21" ht="15.75">
      <c r="B62" s="186"/>
      <c r="C62" s="91" t="s">
        <v>118</v>
      </c>
      <c r="D62" s="69">
        <f>HARIAN!D72</f>
        <v>6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2</v>
      </c>
      <c r="N62" s="69">
        <f>HARIAN!N72</f>
        <v>0</v>
      </c>
      <c r="O62" s="69">
        <f>HARIAN!O72</f>
        <v>1</v>
      </c>
      <c r="P62" s="69">
        <f>HARIAN!P72</f>
        <v>3</v>
      </c>
      <c r="Q62" s="40">
        <f t="shared" si="2"/>
        <v>0.5</v>
      </c>
      <c r="R62" s="40">
        <f t="shared" si="1"/>
        <v>0.5</v>
      </c>
      <c r="S62" s="40">
        <f>VLOOKUP(C62,Sheet3!$A$19:$G$81,7,FALSE)</f>
        <v>1</v>
      </c>
      <c r="T62" s="10">
        <f t="shared" si="3"/>
        <v>0.5</v>
      </c>
      <c r="U62" s="10">
        <f t="shared" si="4"/>
        <v>0.5</v>
      </c>
    </row>
    <row r="63" spans="2:21" ht="15.75">
      <c r="B63" s="186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75">
      <c r="B64" s="187" t="s">
        <v>55</v>
      </c>
      <c r="C64" s="92" t="s">
        <v>227</v>
      </c>
      <c r="D64" s="71">
        <f>HARIAN!D75+HARIAN!D81</f>
        <v>3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2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>
        <f t="shared" si="2"/>
        <v>0</v>
      </c>
      <c r="R64" s="40" t="e">
        <f t="shared" si="1"/>
        <v>#DIV/0!</v>
      </c>
      <c r="S64" s="40" t="e">
        <f>VLOOKUP(C64,Sheet3!$A$19:$G$81,7,FALSE)</f>
        <v>#DIV/0!</v>
      </c>
      <c r="T64" s="10">
        <f t="shared" si="3"/>
        <v>0</v>
      </c>
      <c r="U64" s="10" t="e">
        <f t="shared" si="4"/>
        <v>#DIV/0!</v>
      </c>
    </row>
    <row r="65" spans="2:21" ht="15.75">
      <c r="B65" s="187"/>
      <c r="C65" s="92" t="s">
        <v>122</v>
      </c>
      <c r="D65" s="71">
        <f>HARIAN!D76+HARIAN!D79</f>
        <v>9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1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2</v>
      </c>
      <c r="O65" s="71">
        <f>HARIAN!O76+HARIAN!O79</f>
        <v>0</v>
      </c>
      <c r="P65" s="71">
        <f>HARIAN!P76+HARIAN!P79</f>
        <v>4</v>
      </c>
      <c r="Q65" s="40">
        <f t="shared" si="2"/>
        <v>0.5</v>
      </c>
      <c r="R65" s="40">
        <f t="shared" si="1"/>
        <v>0.66666666666666663</v>
      </c>
      <c r="S65" s="40">
        <f>VLOOKUP(C65,Sheet3!$A$19:$G$81,7,FALSE)</f>
        <v>1</v>
      </c>
      <c r="T65" s="10">
        <f t="shared" si="3"/>
        <v>0.5</v>
      </c>
      <c r="U65" s="10">
        <f t="shared" si="4"/>
        <v>0.66666666666666663</v>
      </c>
    </row>
    <row r="66" spans="2:21" ht="15.75">
      <c r="B66" s="187"/>
      <c r="C66" s="92" t="s">
        <v>663</v>
      </c>
      <c r="D66" s="71">
        <f>HARIAN!D77+HARIAN!D82</f>
        <v>7</v>
      </c>
      <c r="E66" s="71">
        <f>HARIAN!E77+HARIAN!E82</f>
        <v>1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4</v>
      </c>
      <c r="K66" s="71">
        <f>HARIAN!K77+HARIAN!K82</f>
        <v>0</v>
      </c>
      <c r="L66" s="71">
        <f>HARIAN!L77+HARIAN!L82</f>
        <v>0</v>
      </c>
      <c r="M66" s="71">
        <f>HARIAN!M77+HARIAN!M82</f>
        <v>1</v>
      </c>
      <c r="N66" s="71">
        <f>HARIAN!N77+HARIAN!N82</f>
        <v>0</v>
      </c>
      <c r="O66" s="71">
        <f>HARIAN!O77+HARIAN!O82</f>
        <v>0</v>
      </c>
      <c r="P66" s="71">
        <f>HARIAN!P77+HARIAN!P82</f>
        <v>1</v>
      </c>
      <c r="Q66" s="40">
        <f t="shared" si="2"/>
        <v>0.14285714285714285</v>
      </c>
      <c r="R66" s="40">
        <f t="shared" si="1"/>
        <v>0.5</v>
      </c>
      <c r="S66" s="40">
        <f>VLOOKUP(C66,Sheet3!$A$19:$G$81,7,FALSE)</f>
        <v>1</v>
      </c>
      <c r="T66" s="10">
        <f t="shared" si="3"/>
        <v>0.14285714285714285</v>
      </c>
      <c r="U66" s="10">
        <f t="shared" si="4"/>
        <v>0.5</v>
      </c>
    </row>
    <row r="67" spans="2:21" ht="15.75">
      <c r="B67" s="187"/>
      <c r="C67" s="92" t="s">
        <v>666</v>
      </c>
      <c r="D67" s="71">
        <f>HARIAN!D78+HARIAN!D80</f>
        <v>15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7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0</v>
      </c>
      <c r="O67" s="71">
        <f>HARIAN!O78+HARIAN!O80</f>
        <v>0</v>
      </c>
      <c r="P67" s="71">
        <f>HARIAN!P78+HARIAN!P80</f>
        <v>6</v>
      </c>
      <c r="Q67" s="40">
        <f t="shared" si="2"/>
        <v>0.4</v>
      </c>
      <c r="R67" s="40">
        <f t="shared" si="1"/>
        <v>0.75</v>
      </c>
      <c r="S67" s="40">
        <f>VLOOKUP(C67,Sheet3!$A$19:$G$81,7,FALSE)</f>
        <v>1</v>
      </c>
      <c r="T67" s="10">
        <f t="shared" si="3"/>
        <v>0.4</v>
      </c>
      <c r="U67" s="10">
        <f t="shared" si="4"/>
        <v>0.75</v>
      </c>
    </row>
    <row r="68" spans="2:21" ht="15.75">
      <c r="B68" s="150" t="s">
        <v>62</v>
      </c>
      <c r="C68" s="150"/>
      <c r="D68" s="26">
        <f t="shared" ref="D68:P68" si="5">SUM(D32:D67)</f>
        <v>164</v>
      </c>
      <c r="E68" s="26">
        <f t="shared" si="5"/>
        <v>8</v>
      </c>
      <c r="F68" s="26">
        <f t="shared" si="5"/>
        <v>1</v>
      </c>
      <c r="G68" s="26">
        <f t="shared" si="5"/>
        <v>0</v>
      </c>
      <c r="H68" s="26">
        <f t="shared" si="5"/>
        <v>0</v>
      </c>
      <c r="I68" s="26">
        <f t="shared" si="5"/>
        <v>1</v>
      </c>
      <c r="J68" s="26">
        <f t="shared" si="5"/>
        <v>46</v>
      </c>
      <c r="K68" s="26">
        <f t="shared" si="5"/>
        <v>1</v>
      </c>
      <c r="L68" s="26">
        <f t="shared" si="5"/>
        <v>2</v>
      </c>
      <c r="M68" s="26">
        <f t="shared" si="5"/>
        <v>28</v>
      </c>
      <c r="N68" s="26">
        <f t="shared" si="5"/>
        <v>4</v>
      </c>
      <c r="O68" s="26">
        <f t="shared" si="5"/>
        <v>5</v>
      </c>
      <c r="P68" s="26">
        <f t="shared" si="5"/>
        <v>69</v>
      </c>
      <c r="Q68" s="41">
        <f>Q14</f>
        <v>0.42236024844720499</v>
      </c>
      <c r="R68" s="41">
        <f>R14</f>
        <v>0.64761904761904765</v>
      </c>
      <c r="S68" s="41">
        <f>S14</f>
        <v>1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3" sqref="C3:N3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8" t="s">
        <v>867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27" t="str">
        <f ca="1">LAPORAN!C2</f>
        <v xml:space="preserve">PERIODE ORDER &amp; PS : 2026-09-01 to  2026-09-02 </v>
      </c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</row>
    <row r="3" spans="3:14">
      <c r="C3" s="127" t="str">
        <f>LAPORAN!C3</f>
        <v>Last update proses : 03-09-2026 09:49:04 WIB (Source: ETL XPRO)</v>
      </c>
      <c r="D3" s="127"/>
      <c r="E3" s="127"/>
      <c r="F3" s="127"/>
      <c r="G3" s="127"/>
      <c r="H3" s="127"/>
      <c r="I3" s="127"/>
      <c r="J3" s="127"/>
      <c r="K3" s="127"/>
      <c r="L3" s="127"/>
      <c r="M3" s="127"/>
      <c r="N3" s="127"/>
    </row>
    <row r="5" spans="3:14" ht="47.25">
      <c r="C5" s="74" t="s">
        <v>1</v>
      </c>
      <c r="D5" s="74" t="s">
        <v>961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866</v>
      </c>
      <c r="K5" s="75" t="s">
        <v>218</v>
      </c>
      <c r="L5" s="72" t="s">
        <v>130</v>
      </c>
      <c r="M5" s="72" t="s">
        <v>864</v>
      </c>
      <c r="N5" s="72" t="s">
        <v>865</v>
      </c>
    </row>
    <row r="6" spans="3:14" ht="15.75">
      <c r="C6" s="76" t="str">
        <f>[1]LAPORAN!C9</f>
        <v>BALI</v>
      </c>
      <c r="D6" s="4">
        <f>LAPORAN!D9</f>
        <v>20</v>
      </c>
      <c r="E6" s="94">
        <f>LAPORAN!J9</f>
        <v>2</v>
      </c>
      <c r="F6" s="94">
        <f>LAPORAN!K9</f>
        <v>0</v>
      </c>
      <c r="G6" s="94">
        <f>LAPORAN!L9</f>
        <v>0</v>
      </c>
      <c r="H6" s="94">
        <f>LAPORAN!M9</f>
        <v>3</v>
      </c>
      <c r="I6" s="94">
        <f>LAPORAN!N9</f>
        <v>1</v>
      </c>
      <c r="J6" s="94">
        <f>LAPORAN!O9</f>
        <v>0</v>
      </c>
      <c r="K6" s="94">
        <f>LAPORAN!P9</f>
        <v>10</v>
      </c>
      <c r="L6" s="40">
        <f>LAPORAN!Q9</f>
        <v>0.5</v>
      </c>
      <c r="M6" s="40">
        <f>LAPORAN!R9</f>
        <v>0.7142857142857143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33</v>
      </c>
      <c r="E7" s="94">
        <f>LAPORAN!J10</f>
        <v>11</v>
      </c>
      <c r="F7" s="94">
        <f>LAPORAN!K10</f>
        <v>0</v>
      </c>
      <c r="G7" s="94">
        <f>LAPORAN!L10</f>
        <v>1</v>
      </c>
      <c r="H7" s="94">
        <f>LAPORAN!M10</f>
        <v>5</v>
      </c>
      <c r="I7" s="94">
        <f>LAPORAN!N10</f>
        <v>0</v>
      </c>
      <c r="J7" s="94">
        <f>LAPORAN!O10</f>
        <v>0</v>
      </c>
      <c r="K7" s="94">
        <f>LAPORAN!P10</f>
        <v>16</v>
      </c>
      <c r="L7" s="40">
        <f>LAPORAN!Q10</f>
        <v>0.48484848484848486</v>
      </c>
      <c r="M7" s="40">
        <f>LAPORAN!R10</f>
        <v>0.76190476190476186</v>
      </c>
      <c r="N7" s="40">
        <f>LAPORAN!S10</f>
        <v>1</v>
      </c>
    </row>
    <row r="8" spans="3:14" ht="15.75">
      <c r="C8" s="76" t="str">
        <f>[1]LAPORAN!C11</f>
        <v>JATIM TIMUR</v>
      </c>
      <c r="D8" s="4">
        <f>LAPORAN!D11</f>
        <v>23</v>
      </c>
      <c r="E8" s="94">
        <f>LAPORAN!J11</f>
        <v>4</v>
      </c>
      <c r="F8" s="94">
        <f>LAPORAN!K11</f>
        <v>0</v>
      </c>
      <c r="G8" s="94">
        <f>LAPORAN!L11</f>
        <v>1</v>
      </c>
      <c r="H8" s="94">
        <f>LAPORAN!M11</f>
        <v>1</v>
      </c>
      <c r="I8" s="94">
        <f>LAPORAN!N11</f>
        <v>1</v>
      </c>
      <c r="J8" s="94">
        <f>LAPORAN!O11</f>
        <v>1</v>
      </c>
      <c r="K8" s="94">
        <f>LAPORAN!P11</f>
        <v>13</v>
      </c>
      <c r="L8" s="40">
        <f>LAPORAN!Q11</f>
        <v>0.59090909090909094</v>
      </c>
      <c r="M8" s="40">
        <f>LAPORAN!R11</f>
        <v>0.8125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54</v>
      </c>
      <c r="E9" s="94">
        <f>LAPORAN!J12</f>
        <v>13</v>
      </c>
      <c r="F9" s="94">
        <f>LAPORAN!K12</f>
        <v>1</v>
      </c>
      <c r="G9" s="94">
        <f>LAPORAN!L12</f>
        <v>0</v>
      </c>
      <c r="H9" s="94">
        <f>LAPORAN!M12</f>
        <v>16</v>
      </c>
      <c r="I9" s="94">
        <f>LAPORAN!N12</f>
        <v>0</v>
      </c>
      <c r="J9" s="94">
        <f>LAPORAN!O12</f>
        <v>4</v>
      </c>
      <c r="K9" s="94">
        <f>LAPORAN!P12</f>
        <v>18</v>
      </c>
      <c r="L9" s="40">
        <f>LAPORAN!Q12</f>
        <v>0.33962264150943394</v>
      </c>
      <c r="M9" s="40">
        <f>LAPORAN!R12</f>
        <v>0.47368421052631576</v>
      </c>
      <c r="N9" s="40">
        <f>LAPORAN!S12</f>
        <v>1</v>
      </c>
    </row>
    <row r="10" spans="3:14" ht="15.75">
      <c r="C10" s="76" t="str">
        <f>[1]LAPORAN!C13</f>
        <v>SURAMADU</v>
      </c>
      <c r="D10" s="4">
        <f>LAPORAN!D13</f>
        <v>34</v>
      </c>
      <c r="E10" s="94">
        <f>LAPORAN!J13</f>
        <v>16</v>
      </c>
      <c r="F10" s="94">
        <f>LAPORAN!K13</f>
        <v>0</v>
      </c>
      <c r="G10" s="94">
        <f>LAPORAN!L13</f>
        <v>0</v>
      </c>
      <c r="H10" s="94">
        <f>LAPORAN!M13</f>
        <v>3</v>
      </c>
      <c r="I10" s="94">
        <f>LAPORAN!N13</f>
        <v>2</v>
      </c>
      <c r="J10" s="94">
        <f>LAPORAN!O13</f>
        <v>0</v>
      </c>
      <c r="K10" s="94">
        <f>LAPORAN!P13</f>
        <v>11</v>
      </c>
      <c r="L10" s="40">
        <f>LAPORAN!Q13</f>
        <v>0.33333333333333331</v>
      </c>
      <c r="M10" s="40">
        <f>LAPORAN!R13</f>
        <v>0.6875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164</v>
      </c>
      <c r="E11" s="96">
        <f>LAPORAN!J14</f>
        <v>46</v>
      </c>
      <c r="F11" s="96">
        <f>LAPORAN!K14</f>
        <v>1</v>
      </c>
      <c r="G11" s="96">
        <f>LAPORAN!L14</f>
        <v>2</v>
      </c>
      <c r="H11" s="96">
        <f>LAPORAN!M14</f>
        <v>28</v>
      </c>
      <c r="I11" s="96">
        <f>LAPORAN!N14</f>
        <v>4</v>
      </c>
      <c r="J11" s="96">
        <f>LAPORAN!O14</f>
        <v>5</v>
      </c>
      <c r="K11" s="96">
        <f>LAPORAN!P14</f>
        <v>68</v>
      </c>
      <c r="L11" s="97">
        <f>LAPORAN!Q14</f>
        <v>0.42236024844720499</v>
      </c>
      <c r="M11" s="97">
        <f>LAPORAN!R14</f>
        <v>0.64761904761904765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3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1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100</v>
      </c>
      <c r="AH7">
        <f>IFERROR(VLOOKUP(C7,'COPY DATA XPRO'!$C$7:$AI$58,32,FALSE),0)</f>
        <v>50</v>
      </c>
      <c r="AI7">
        <f>IFERROR(VLOOKUP(C7,'COPY DATA XPRO'!$C$7:$AI$58,33,FALSE),0)</f>
        <v>50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100</v>
      </c>
      <c r="AH9">
        <f>IFERROR(VLOOKUP(C9,'COPY DATA XPRO'!$C$7:$AI$58,32,FALSE),0)</f>
        <v>100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1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66.67</v>
      </c>
      <c r="AH10">
        <f>IFERROR(VLOOKUP(C10,'COPY DATA XPRO'!$C$7:$AI$58,32,FALSE),0)</f>
        <v>66.67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5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2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2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40</v>
      </c>
      <c r="AH11">
        <f>IFERROR(VLOOKUP(C11,'COPY DATA XPRO'!$C$7:$AI$58,32,FALSE),0)</f>
        <v>40</v>
      </c>
      <c r="AI11">
        <f>IFERROR(VLOOKUP(C11,'COPY DATA XPRO'!$C$7:$AI$58,33,FALSE),0)</f>
        <v>100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4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1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2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2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50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1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0</v>
      </c>
      <c r="Z14">
        <f>IFERROR(VLOOKUP(C14,'COPY DATA XPRO'!$C$7:$AI$58,24,FALSE),0)</f>
        <v>3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100</v>
      </c>
      <c r="AH14">
        <f>IFERROR(VLOOKUP(C14,'COPY DATA XPRO'!$C$7:$AI$58,32,FALSE),0)</f>
        <v>75</v>
      </c>
      <c r="AI14">
        <f>IFERROR(VLOOKUP(C14,'COPY DATA XPRO'!$C$7:$AI$58,33,FALSE),0)</f>
        <v>75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100</v>
      </c>
      <c r="AH15">
        <f>IFERROR(VLOOKUP(C15,'COPY DATA XPRO'!$C$7:$AI$58,32,FALSE),0)</f>
        <v>100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1</v>
      </c>
      <c r="O16">
        <f>IFERROR(VLOOKUP(C16,'COPY DATA XPRO'!$C$7:$AI$58,13,FALSE),0)</f>
        <v>0</v>
      </c>
      <c r="P16">
        <f>IFERROR(VLOOKUP(C16,'COPY DATA XPRO'!$C$7:$AI$58,14,FALSE),0)</f>
        <v>1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100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3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25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1</v>
      </c>
      <c r="N18">
        <f>IFERROR(VLOOKUP(C18,'COPY DATA XPRO'!$C$7:$AI$58,12,FALSE),0)</f>
        <v>1</v>
      </c>
      <c r="O18">
        <f>IFERROR(VLOOKUP(C18,'COPY DATA XPRO'!$C$7:$AI$58,13,FALSE),0)</f>
        <v>0</v>
      </c>
      <c r="P18">
        <f>IFERROR(VLOOKUP(C18,'COPY DATA XPRO'!$C$7:$AI$58,14,FALSE),0)</f>
        <v>2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4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100</v>
      </c>
      <c r="AH18">
        <f>IFERROR(VLOOKUP(C18,'COPY DATA XPRO'!$C$7:$AI$58,32,FALSE),0)</f>
        <v>66.67</v>
      </c>
      <c r="AI18">
        <f>IFERROR(VLOOKUP(C18,'COPY DATA XPRO'!$C$7:$AI$58,33,FALSE),0)</f>
        <v>66.67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11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5</v>
      </c>
      <c r="K19">
        <f>IFERROR(VLOOKUP(C19,'COPY DATA XPRO'!$C$7:$AI$58,9,FALSE),0)</f>
        <v>0</v>
      </c>
      <c r="L19">
        <f>IFERROR(VLOOKUP(C19,'COPY DATA XPRO'!$C$7:$AI$58,10,FALSE),0)</f>
        <v>1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45.45</v>
      </c>
      <c r="AH19">
        <f>IFERROR(VLOOKUP(C19,'COPY DATA XPRO'!$C$7:$AI$58,32,FALSE),0)</f>
        <v>45.45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4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1</v>
      </c>
      <c r="O21">
        <f>IFERROR(VLOOKUP(C21,'COPY DATA XPRO'!$C$7:$AI$58,13,FALSE),0)</f>
        <v>0</v>
      </c>
      <c r="P21">
        <f>IFERROR(VLOOKUP(C21,'COPY DATA XPRO'!$C$7:$AI$58,14,FALSE),0)</f>
        <v>1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3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100</v>
      </c>
      <c r="AH21">
        <f>IFERROR(VLOOKUP(C21,'COPY DATA XPRO'!$C$7:$AI$58,32,FALSE),0)</f>
        <v>75</v>
      </c>
      <c r="AI21">
        <f>IFERROR(VLOOKUP(C21,'COPY DATA XPRO'!$C$7:$AI$58,33,FALSE),0)</f>
        <v>75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3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2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33.33</v>
      </c>
      <c r="AH22">
        <f>IFERROR(VLOOKUP(C22,'COPY DATA XPRO'!$C$7:$AI$58,32,FALSE),0)</f>
        <v>33.33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1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4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4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100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1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1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0</v>
      </c>
      <c r="Z29">
        <f>IFERROR(VLOOKUP(C29,'COPY DATA XPRO'!$C$7:$AI$58,24,FALSE),0)</f>
        <v>1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75</v>
      </c>
      <c r="AH29">
        <f>IFERROR(VLOOKUP(C29,'COPY DATA XPRO'!$C$7:$AI$58,32,FALSE),0)</f>
        <v>25</v>
      </c>
      <c r="AI29">
        <f>IFERROR(VLOOKUP(C29,'COPY DATA XPRO'!$C$7:$AI$58,33,FALSE),0)</f>
        <v>33.33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1</v>
      </c>
      <c r="Z30">
        <f>IFERROR(VLOOKUP(C30,'COPY DATA XPRO'!$C$7:$AI$58,24,FALSE),0)</f>
        <v>1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100</v>
      </c>
      <c r="AH30">
        <f>IFERROR(VLOOKUP(C30,'COPY DATA XPRO'!$C$7:$AI$58,32,FALSE),0)</f>
        <v>50</v>
      </c>
      <c r="AI30">
        <f>IFERROR(VLOOKUP(C30,'COPY DATA XPRO'!$C$7:$AI$58,33,FALSE),0)</f>
        <v>50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6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1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5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83.33</v>
      </c>
      <c r="AH31">
        <f>IFERROR(VLOOKUP(C31,'COPY DATA XPRO'!$C$7:$AI$58,32,FALSE),0)</f>
        <v>83.33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50</v>
      </c>
      <c r="AH33">
        <f>IFERROR(VLOOKUP(C33,'COPY DATA XPRO'!$C$7:$AI$58,32,FALSE),0)</f>
        <v>50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1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1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1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1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2</v>
      </c>
      <c r="Z38">
        <f>IFERROR(VLOOKUP(C38,'COPY DATA XPRO'!$C$7:$AI$58,24,FALSE),0)</f>
        <v>3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100</v>
      </c>
      <c r="AH38">
        <f>IFERROR(VLOOKUP(C38,'COPY DATA XPRO'!$C$7:$AI$58,32,FALSE),0)</f>
        <v>50</v>
      </c>
      <c r="AI38">
        <f>IFERROR(VLOOKUP(C38,'COPY DATA XPRO'!$C$7:$AI$58,33,FALSE),0)</f>
        <v>50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11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3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1</v>
      </c>
      <c r="Z40">
        <f>IFERROR(VLOOKUP(C40,'COPY DATA XPRO'!$C$7:$AI$58,24,FALSE),0)</f>
        <v>5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54.55</v>
      </c>
      <c r="AH40">
        <f>IFERROR(VLOOKUP(C40,'COPY DATA XPRO'!$C$7:$AI$58,32,FALSE),0)</f>
        <v>50</v>
      </c>
      <c r="AI40">
        <f>IFERROR(VLOOKUP(C40,'COPY DATA XPRO'!$C$7:$AI$58,33,FALSE),0)</f>
        <v>83.33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6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3</v>
      </c>
      <c r="N41">
        <f>IFERROR(VLOOKUP(C41,'COPY DATA XPRO'!$C$7:$AI$58,12,FALSE),0)</f>
        <v>3</v>
      </c>
      <c r="O41">
        <f>IFERROR(VLOOKUP(C41,'COPY DATA XPRO'!$C$7:$AI$58,13,FALSE),0)</f>
        <v>0</v>
      </c>
      <c r="P41">
        <f>IFERROR(VLOOKUP(C41,'COPY DATA XPRO'!$C$7:$AI$58,14,FALSE),0)</f>
        <v>6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100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1</v>
      </c>
      <c r="O42">
        <f>IFERROR(VLOOKUP(C42,'COPY DATA XPRO'!$C$7:$AI$58,13,FALSE),0)</f>
        <v>0</v>
      </c>
      <c r="P42">
        <f>IFERROR(VLOOKUP(C42,'COPY DATA XPRO'!$C$7:$AI$58,14,FALSE),0)</f>
        <v>1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100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9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0</v>
      </c>
      <c r="J43">
        <f>IFERROR(VLOOKUP(C43,'COPY DATA XPRO'!$C$7:$AI$58,8,FALSE),0)</f>
        <v>4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3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44.44</v>
      </c>
      <c r="AH43">
        <f>IFERROR(VLOOKUP(C43,'COPY DATA XPRO'!$C$7:$AI$58,32,FALSE),0)</f>
        <v>33.33</v>
      </c>
      <c r="AI43">
        <f>IFERROR(VLOOKUP(C43,'COPY DATA XPRO'!$C$7:$AI$58,33,FALSE),0)</f>
        <v>75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5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1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4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50</v>
      </c>
      <c r="AH44">
        <f>IFERROR(VLOOKUP(C44,'COPY DATA XPRO'!$C$7:$AI$58,32,FALSE),0)</f>
        <v>40</v>
      </c>
      <c r="AI44">
        <f>IFERROR(VLOOKUP(C44,'COPY DATA XPRO'!$C$7:$AI$58,33,FALSE),0)</f>
        <v>80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4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2</v>
      </c>
      <c r="N45">
        <f>IFERROR(VLOOKUP(C45,'COPY DATA XPRO'!$C$7:$AI$58,12,FALSE),0)</f>
        <v>1</v>
      </c>
      <c r="O45">
        <f>IFERROR(VLOOKUP(C45,'COPY DATA XPRO'!$C$7:$AI$58,13,FALSE),0)</f>
        <v>0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75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2</v>
      </c>
      <c r="O46">
        <f>IFERROR(VLOOKUP(C46,'COPY DATA XPRO'!$C$7:$AI$58,13,FALSE),0)</f>
        <v>0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1</v>
      </c>
      <c r="Z46">
        <f>IFERROR(VLOOKUP(C46,'COPY DATA XPRO'!$C$7:$AI$58,24,FALSE),0)</f>
        <v>3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100</v>
      </c>
      <c r="AH46">
        <f>IFERROR(VLOOKUP(C46,'COPY DATA XPRO'!$C$7:$AI$58,32,FALSE),0)</f>
        <v>50</v>
      </c>
      <c r="AI46">
        <f>IFERROR(VLOOKUP(C46,'COPY DATA XPRO'!$C$7:$AI$58,33,FALSE),0)</f>
        <v>50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1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6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1</v>
      </c>
      <c r="Y50">
        <f>IFERROR(VLOOKUP(C50,'COPY DATA XPRO'!$C$7:$AI$58,23,FALSE),0)</f>
        <v>0</v>
      </c>
      <c r="Z50">
        <f>IFERROR(VLOOKUP(C50,'COPY DATA XPRO'!$C$7:$AI$58,24,FALSE),0)</f>
        <v>3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66.67</v>
      </c>
      <c r="AH50">
        <f>IFERROR(VLOOKUP(C50,'COPY DATA XPRO'!$C$7:$AI$58,32,FALSE),0)</f>
        <v>50</v>
      </c>
      <c r="AI50">
        <f>IFERROR(VLOOKUP(C50,'COPY DATA XPRO'!$C$7:$AI$58,33,FALSE),0)</f>
        <v>75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1</v>
      </c>
      <c r="I51">
        <f>IFERROR(VLOOKUP(C51,'COPY DATA XPRO'!$C$7:$AI$58,7,FALSE),0)</f>
        <v>0</v>
      </c>
      <c r="J51">
        <f>IFERROR(VLOOKUP(C51,'COPY DATA XPRO'!$C$7:$AI$58,8,FALSE),0)</f>
        <v>2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25</v>
      </c>
      <c r="AH51">
        <f>IFERROR(VLOOKUP(C51,'COPY DATA XPRO'!$C$7:$AI$58,32,FALSE),0)</f>
        <v>25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66.67</v>
      </c>
      <c r="AH52">
        <f>IFERROR(VLOOKUP(C52,'COPY DATA XPRO'!$C$7:$AI$58,32,FALSE),0)</f>
        <v>33.33</v>
      </c>
      <c r="AI52">
        <f>IFERROR(VLOOKUP(C52,'COPY DATA XPRO'!$C$7:$AI$58,33,FALSE),0)</f>
        <v>50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3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1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1</v>
      </c>
      <c r="AG53">
        <f>IFERROR(VLOOKUP(C53,'COPY DATA XPRO'!$C$7:$AI$58,31,FALSE),0)</f>
        <v>66.67</v>
      </c>
      <c r="AH53">
        <f>IFERROR(VLOOKUP(C53,'COPY DATA XPRO'!$C$7:$AI$58,32,FALSE),0)</f>
        <v>50</v>
      </c>
      <c r="AI53">
        <f>IFERROR(VLOOKUP(C53,'COPY DATA XPRO'!$C$7:$AI$58,33,FALSE),0)</f>
        <v>50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12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6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1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1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5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50</v>
      </c>
      <c r="AH54">
        <f>IFERROR(VLOOKUP(C54,'COPY DATA XPRO'!$C$7:$AI$58,32,FALSE),0)</f>
        <v>41.67</v>
      </c>
      <c r="AI54">
        <f>IFERROR(VLOOKUP(C54,'COPY DATA XPRO'!$C$7:$AI$58,33,FALSE),0)</f>
        <v>83.33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3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2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33.33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89" t="s">
        <v>140</v>
      </c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  <c r="AG61" s="189"/>
      <c r="AH61" s="189"/>
      <c r="AI61" s="189"/>
    </row>
    <row r="62" spans="2:35"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</row>
    <row r="63" spans="2:35">
      <c r="C63" s="103" t="s">
        <v>1</v>
      </c>
      <c r="D63" s="99" t="s">
        <v>2</v>
      </c>
      <c r="E63" s="99" t="s">
        <v>3</v>
      </c>
      <c r="F63" s="99" t="s">
        <v>4</v>
      </c>
      <c r="G63" s="99" t="s">
        <v>5</v>
      </c>
      <c r="H63" s="99" t="s">
        <v>6</v>
      </c>
      <c r="I63" s="99" t="s">
        <v>7</v>
      </c>
      <c r="J63" s="99" t="s">
        <v>8</v>
      </c>
      <c r="K63" s="99" t="s">
        <v>9</v>
      </c>
      <c r="L63" s="99" t="s">
        <v>10</v>
      </c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 t="s">
        <v>11</v>
      </c>
      <c r="AA63" s="99" t="s">
        <v>12</v>
      </c>
      <c r="AB63" s="99"/>
      <c r="AC63" s="99"/>
      <c r="AD63" s="99"/>
      <c r="AE63" s="99" t="s">
        <v>13</v>
      </c>
      <c r="AF63" s="99" t="s">
        <v>14</v>
      </c>
      <c r="AG63" s="99" t="s">
        <v>15</v>
      </c>
      <c r="AH63" s="99" t="s">
        <v>16</v>
      </c>
      <c r="AI63" s="99" t="s">
        <v>17</v>
      </c>
    </row>
    <row r="64" spans="2:35">
      <c r="C64" s="103"/>
      <c r="D64" s="99"/>
      <c r="E64" s="99"/>
      <c r="F64" s="99"/>
      <c r="G64" s="99"/>
      <c r="H64" s="99"/>
      <c r="I64" s="99"/>
      <c r="J64" s="99"/>
      <c r="K64" s="99"/>
      <c r="L64" s="99" t="s">
        <v>2</v>
      </c>
      <c r="M64" s="99" t="s">
        <v>18</v>
      </c>
      <c r="N64" s="99"/>
      <c r="O64" s="99"/>
      <c r="P64" s="99" t="s">
        <v>19</v>
      </c>
      <c r="Q64" s="99" t="s">
        <v>20</v>
      </c>
      <c r="R64" s="99"/>
      <c r="S64" s="99"/>
      <c r="T64" s="99"/>
      <c r="U64" s="99"/>
      <c r="V64" s="99"/>
      <c r="W64" s="99"/>
      <c r="X64" s="99" t="s">
        <v>21</v>
      </c>
      <c r="Y64" s="99" t="s">
        <v>22</v>
      </c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>
      <c r="C65" s="103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 t="s">
        <v>23</v>
      </c>
      <c r="R65" s="99"/>
      <c r="S65" s="99"/>
      <c r="T65" s="99"/>
      <c r="U65" s="99" t="s">
        <v>24</v>
      </c>
      <c r="V65" s="99" t="s">
        <v>25</v>
      </c>
      <c r="W65" s="99" t="s">
        <v>26</v>
      </c>
      <c r="X65" s="99"/>
      <c r="Y65" s="99"/>
      <c r="Z65" s="99"/>
      <c r="AA65" s="99"/>
      <c r="AB65" s="99"/>
      <c r="AC65" s="99"/>
      <c r="AD65" s="99"/>
      <c r="AE65" s="99"/>
      <c r="AF65" s="99"/>
      <c r="AG65" s="99"/>
      <c r="AH65" s="99"/>
      <c r="AI65" s="99"/>
    </row>
    <row r="66" spans="2:35" ht="30">
      <c r="C66" s="103"/>
      <c r="D66" s="99"/>
      <c r="E66" s="99"/>
      <c r="F66" s="99"/>
      <c r="G66" s="99"/>
      <c r="H66" s="99"/>
      <c r="I66" s="99"/>
      <c r="J66" s="99"/>
      <c r="K66" s="99"/>
      <c r="L66" s="13"/>
      <c r="M66" s="13" t="s">
        <v>27</v>
      </c>
      <c r="N66" s="13" t="s">
        <v>28</v>
      </c>
      <c r="O66" s="13" t="s">
        <v>29</v>
      </c>
      <c r="P66" s="99"/>
      <c r="Q66" s="13" t="s">
        <v>30</v>
      </c>
      <c r="R66" s="13" t="s">
        <v>31</v>
      </c>
      <c r="S66" s="13" t="s">
        <v>32</v>
      </c>
      <c r="T66" s="13" t="s">
        <v>33</v>
      </c>
      <c r="U66" s="99"/>
      <c r="V66" s="99"/>
      <c r="W66" s="99"/>
      <c r="X66" s="99"/>
      <c r="Y66" s="99"/>
      <c r="Z66" s="99"/>
      <c r="AA66" s="13" t="s">
        <v>30</v>
      </c>
      <c r="AB66" s="13" t="s">
        <v>31</v>
      </c>
      <c r="AC66" s="13" t="s">
        <v>32</v>
      </c>
      <c r="AD66" s="13" t="s">
        <v>33</v>
      </c>
      <c r="AE66" s="99"/>
      <c r="AF66" s="99"/>
      <c r="AG66" s="99"/>
      <c r="AH66" s="99"/>
      <c r="AI66" s="99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C3:C6"/>
    <mergeCell ref="C63:C66"/>
    <mergeCell ref="D3:D6"/>
    <mergeCell ref="D63:D66"/>
    <mergeCell ref="E3:E6"/>
    <mergeCell ref="E63:E66"/>
    <mergeCell ref="F3:F6"/>
    <mergeCell ref="F63:F66"/>
    <mergeCell ref="G3:G6"/>
    <mergeCell ref="G63:G66"/>
    <mergeCell ref="H3:H6"/>
    <mergeCell ref="H63:H66"/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7" zoomScale="60" zoomScaleNormal="60" workbookViewId="0">
      <selection activeCell="C50" sqref="C50:AI56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03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03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" customHeight="1">
      <c r="C5" s="103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60">
      <c r="C6" s="103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45" customHeight="1">
      <c r="B7" t="s">
        <v>34</v>
      </c>
      <c r="C7" t="s">
        <v>79</v>
      </c>
      <c r="D7">
        <v>0</v>
      </c>
      <c r="E7">
        <v>2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100</v>
      </c>
      <c r="AH7">
        <v>50</v>
      </c>
      <c r="AI7">
        <v>50</v>
      </c>
    </row>
    <row r="8" spans="2:35">
      <c r="C8" t="s">
        <v>81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82</v>
      </c>
      <c r="D9">
        <v>0</v>
      </c>
      <c r="E9">
        <v>3</v>
      </c>
      <c r="F9">
        <v>0</v>
      </c>
      <c r="G9">
        <v>0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66.67</v>
      </c>
      <c r="AH9">
        <v>66.67</v>
      </c>
      <c r="AI9">
        <v>100</v>
      </c>
    </row>
    <row r="10" spans="2:35">
      <c r="C10" t="s">
        <v>83</v>
      </c>
      <c r="D10">
        <v>0</v>
      </c>
      <c r="E10">
        <v>5</v>
      </c>
      <c r="F10">
        <v>1</v>
      </c>
      <c r="G10">
        <v>0</v>
      </c>
      <c r="H10">
        <v>0</v>
      </c>
      <c r="I10">
        <v>0</v>
      </c>
      <c r="J10">
        <v>2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40</v>
      </c>
      <c r="AH10">
        <v>40</v>
      </c>
      <c r="AI10">
        <v>100</v>
      </c>
    </row>
    <row r="11" spans="2:35">
      <c r="C11" t="s">
        <v>85</v>
      </c>
      <c r="D11">
        <v>0</v>
      </c>
      <c r="E11">
        <v>4</v>
      </c>
      <c r="F11">
        <v>1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2</v>
      </c>
      <c r="N11">
        <v>0</v>
      </c>
      <c r="O11">
        <v>0</v>
      </c>
      <c r="P11">
        <v>2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50</v>
      </c>
      <c r="AH11">
        <v>0</v>
      </c>
      <c r="AI11">
        <v>0</v>
      </c>
    </row>
    <row r="12" spans="2:35">
      <c r="C12" t="s">
        <v>86</v>
      </c>
      <c r="D12">
        <v>0</v>
      </c>
      <c r="E12">
        <v>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1</v>
      </c>
      <c r="Y12">
        <v>0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100</v>
      </c>
      <c r="AH12">
        <v>75</v>
      </c>
      <c r="AI12">
        <v>75</v>
      </c>
    </row>
    <row r="16" spans="2:35">
      <c r="B16" t="s">
        <v>38</v>
      </c>
      <c r="C16" t="s">
        <v>87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100</v>
      </c>
      <c r="AH16">
        <v>100</v>
      </c>
      <c r="AI16">
        <v>100</v>
      </c>
    </row>
    <row r="17" spans="2:35">
      <c r="C17" t="s">
        <v>88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100</v>
      </c>
      <c r="AH17">
        <v>0</v>
      </c>
      <c r="AI17">
        <v>0</v>
      </c>
    </row>
    <row r="18" spans="2:35">
      <c r="C18" t="s">
        <v>89</v>
      </c>
      <c r="D18">
        <v>0</v>
      </c>
      <c r="E18">
        <v>4</v>
      </c>
      <c r="F18">
        <v>0</v>
      </c>
      <c r="G18">
        <v>0</v>
      </c>
      <c r="H18">
        <v>0</v>
      </c>
      <c r="I18">
        <v>0</v>
      </c>
      <c r="J18">
        <v>3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25</v>
      </c>
      <c r="AH18">
        <v>0</v>
      </c>
      <c r="AI18">
        <v>0</v>
      </c>
    </row>
    <row r="19" spans="2:35">
      <c r="C19" t="s">
        <v>90</v>
      </c>
      <c r="D19">
        <v>0</v>
      </c>
      <c r="E19">
        <v>6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0</v>
      </c>
      <c r="P19">
        <v>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4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100</v>
      </c>
      <c r="AH19">
        <v>66.67</v>
      </c>
      <c r="AI19">
        <v>66.67</v>
      </c>
    </row>
    <row r="20" spans="2:35">
      <c r="C20" t="s">
        <v>91</v>
      </c>
      <c r="D20">
        <v>0</v>
      </c>
      <c r="E20">
        <v>11</v>
      </c>
      <c r="F20">
        <v>0</v>
      </c>
      <c r="G20">
        <v>0</v>
      </c>
      <c r="H20">
        <v>0</v>
      </c>
      <c r="I20">
        <v>0</v>
      </c>
      <c r="J20">
        <v>5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45.45</v>
      </c>
      <c r="AH20">
        <v>45.45</v>
      </c>
      <c r="AI20">
        <v>100</v>
      </c>
    </row>
    <row r="21" spans="2:35">
      <c r="C21" t="s">
        <v>93</v>
      </c>
      <c r="D21">
        <v>0</v>
      </c>
      <c r="E21">
        <v>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3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100</v>
      </c>
      <c r="AH21">
        <v>75</v>
      </c>
      <c r="AI21">
        <v>75</v>
      </c>
    </row>
    <row r="22" spans="2:35">
      <c r="C22" t="s">
        <v>94</v>
      </c>
      <c r="D22">
        <v>0</v>
      </c>
      <c r="E22">
        <v>3</v>
      </c>
      <c r="F22">
        <v>0</v>
      </c>
      <c r="G22">
        <v>0</v>
      </c>
      <c r="H22">
        <v>0</v>
      </c>
      <c r="I22">
        <v>0</v>
      </c>
      <c r="J22">
        <v>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33.33</v>
      </c>
      <c r="AH22">
        <v>33.33</v>
      </c>
      <c r="AI22">
        <v>100</v>
      </c>
    </row>
    <row r="23" spans="2:35">
      <c r="C23" t="s">
        <v>97</v>
      </c>
      <c r="D23">
        <v>0</v>
      </c>
      <c r="E23">
        <v>1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</row>
    <row r="24" spans="2:35">
      <c r="C24" t="s">
        <v>98</v>
      </c>
      <c r="D24">
        <v>0</v>
      </c>
      <c r="E24">
        <v>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100</v>
      </c>
      <c r="AH24">
        <v>100</v>
      </c>
      <c r="AI24">
        <v>100</v>
      </c>
    </row>
    <row r="28" spans="2:35">
      <c r="B28" t="s">
        <v>42</v>
      </c>
      <c r="C28" t="s">
        <v>99</v>
      </c>
      <c r="D28">
        <v>0</v>
      </c>
      <c r="E28">
        <v>4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4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100</v>
      </c>
      <c r="AI28">
        <v>100</v>
      </c>
    </row>
    <row r="29" spans="2:35">
      <c r="C29" t="s">
        <v>101</v>
      </c>
      <c r="D29">
        <v>0</v>
      </c>
      <c r="E29">
        <v>4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1</v>
      </c>
      <c r="O29">
        <v>0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75</v>
      </c>
      <c r="AH29">
        <v>25</v>
      </c>
      <c r="AI29">
        <v>33.33</v>
      </c>
    </row>
    <row r="30" spans="2:35">
      <c r="C30" t="s">
        <v>102</v>
      </c>
      <c r="D30">
        <v>0</v>
      </c>
      <c r="E30">
        <v>2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1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100</v>
      </c>
      <c r="AH30">
        <v>50</v>
      </c>
      <c r="AI30">
        <v>50</v>
      </c>
    </row>
    <row r="31" spans="2:35">
      <c r="C31" t="s">
        <v>103</v>
      </c>
      <c r="D31">
        <v>0</v>
      </c>
      <c r="E31">
        <v>6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5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83.33</v>
      </c>
      <c r="AH31">
        <v>83.33</v>
      </c>
      <c r="AI31">
        <v>100</v>
      </c>
    </row>
    <row r="32" spans="2:35">
      <c r="C32" t="s">
        <v>105</v>
      </c>
      <c r="D32">
        <v>0</v>
      </c>
      <c r="E32">
        <v>2</v>
      </c>
      <c r="F32">
        <v>0</v>
      </c>
      <c r="G32">
        <v>0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50</v>
      </c>
      <c r="AH32">
        <v>50</v>
      </c>
      <c r="AI32">
        <v>100</v>
      </c>
    </row>
    <row r="33" spans="2:35">
      <c r="C33" t="s">
        <v>106</v>
      </c>
      <c r="D33">
        <v>0</v>
      </c>
      <c r="E33">
        <v>3</v>
      </c>
      <c r="F33">
        <v>1</v>
      </c>
      <c r="G33">
        <v>0</v>
      </c>
      <c r="H33">
        <v>0</v>
      </c>
      <c r="I33">
        <v>1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</row>
    <row r="34" spans="2:35">
      <c r="C34" t="s">
        <v>107</v>
      </c>
      <c r="D34">
        <v>0</v>
      </c>
      <c r="E34">
        <v>1</v>
      </c>
      <c r="F34">
        <v>0</v>
      </c>
      <c r="G34">
        <v>0</v>
      </c>
      <c r="H34">
        <v>0</v>
      </c>
      <c r="I34">
        <v>0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</row>
    <row r="35" spans="2:35">
      <c r="C35" t="s">
        <v>108</v>
      </c>
      <c r="D35">
        <v>0</v>
      </c>
      <c r="E35">
        <v>1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100</v>
      </c>
      <c r="AH35">
        <v>100</v>
      </c>
      <c r="AI35">
        <v>100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0</v>
      </c>
      <c r="AI38">
        <v>0</v>
      </c>
    </row>
    <row r="39" spans="2:35">
      <c r="C39" t="s">
        <v>110</v>
      </c>
      <c r="D39">
        <v>0</v>
      </c>
      <c r="E39">
        <v>6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0</v>
      </c>
      <c r="P39">
        <v>1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</v>
      </c>
      <c r="Z39">
        <v>3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100</v>
      </c>
      <c r="AH39">
        <v>50</v>
      </c>
      <c r="AI39">
        <v>50</v>
      </c>
    </row>
    <row r="40" spans="2:35">
      <c r="C40" t="s">
        <v>112</v>
      </c>
      <c r="D40">
        <v>0</v>
      </c>
      <c r="E40">
        <v>11</v>
      </c>
      <c r="F40">
        <v>0</v>
      </c>
      <c r="G40">
        <v>0</v>
      </c>
      <c r="H40">
        <v>0</v>
      </c>
      <c r="I40">
        <v>0</v>
      </c>
      <c r="J40">
        <v>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5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54.55</v>
      </c>
      <c r="AH40">
        <v>50</v>
      </c>
      <c r="AI40">
        <v>83.33</v>
      </c>
    </row>
    <row r="41" spans="2:35">
      <c r="C41" t="s">
        <v>113</v>
      </c>
      <c r="D41">
        <v>0</v>
      </c>
      <c r="E41">
        <v>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3</v>
      </c>
      <c r="N41">
        <v>3</v>
      </c>
      <c r="O41">
        <v>0</v>
      </c>
      <c r="P41">
        <v>6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100</v>
      </c>
      <c r="AH41">
        <v>0</v>
      </c>
      <c r="AI41">
        <v>0</v>
      </c>
    </row>
    <row r="42" spans="2:35">
      <c r="C42" t="s">
        <v>114</v>
      </c>
      <c r="D42">
        <v>0</v>
      </c>
      <c r="E42">
        <v>1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100</v>
      </c>
      <c r="AH42">
        <v>0</v>
      </c>
      <c r="AI42">
        <v>0</v>
      </c>
    </row>
    <row r="43" spans="2:35">
      <c r="C43" t="s">
        <v>115</v>
      </c>
      <c r="D43">
        <v>0</v>
      </c>
      <c r="E43">
        <v>9</v>
      </c>
      <c r="F43">
        <v>0</v>
      </c>
      <c r="G43">
        <v>0</v>
      </c>
      <c r="H43">
        <v>1</v>
      </c>
      <c r="I43">
        <v>0</v>
      </c>
      <c r="J43">
        <v>4</v>
      </c>
      <c r="K43">
        <v>0</v>
      </c>
      <c r="L43">
        <v>0</v>
      </c>
      <c r="M43">
        <v>0</v>
      </c>
      <c r="N43">
        <v>1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3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44.44</v>
      </c>
      <c r="AH43">
        <v>33.33</v>
      </c>
      <c r="AI43">
        <v>75</v>
      </c>
    </row>
    <row r="44" spans="2:35">
      <c r="C44" t="s">
        <v>116</v>
      </c>
      <c r="D44">
        <v>0</v>
      </c>
      <c r="E44">
        <v>10</v>
      </c>
      <c r="F44">
        <v>0</v>
      </c>
      <c r="G44">
        <v>0</v>
      </c>
      <c r="H44">
        <v>0</v>
      </c>
      <c r="I44">
        <v>0</v>
      </c>
      <c r="J44">
        <v>5</v>
      </c>
      <c r="K44">
        <v>0</v>
      </c>
      <c r="L44">
        <v>0</v>
      </c>
      <c r="M44">
        <v>0</v>
      </c>
      <c r="N44">
        <v>1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4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50</v>
      </c>
      <c r="AH44">
        <v>40</v>
      </c>
      <c r="AI44">
        <v>80</v>
      </c>
    </row>
    <row r="45" spans="2:35">
      <c r="C45" t="s">
        <v>117</v>
      </c>
      <c r="D45">
        <v>0</v>
      </c>
      <c r="E45">
        <v>4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2</v>
      </c>
      <c r="N45">
        <v>1</v>
      </c>
      <c r="O45">
        <v>0</v>
      </c>
      <c r="P45">
        <v>3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75</v>
      </c>
      <c r="AH45">
        <v>0</v>
      </c>
      <c r="AI45">
        <v>0</v>
      </c>
    </row>
    <row r="46" spans="2:35">
      <c r="C46" t="s">
        <v>118</v>
      </c>
      <c r="D46">
        <v>0</v>
      </c>
      <c r="E46">
        <v>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2</v>
      </c>
      <c r="O46">
        <v>0</v>
      </c>
      <c r="P46">
        <v>2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3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100</v>
      </c>
      <c r="AH46">
        <v>50</v>
      </c>
      <c r="AI46">
        <v>50</v>
      </c>
    </row>
    <row r="50" spans="2:35">
      <c r="B50" t="s">
        <v>55</v>
      </c>
      <c r="C50" t="s">
        <v>121</v>
      </c>
      <c r="D50">
        <v>0</v>
      </c>
      <c r="E50">
        <v>3</v>
      </c>
      <c r="F50">
        <v>0</v>
      </c>
      <c r="G50">
        <v>0</v>
      </c>
      <c r="H50">
        <v>1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:35">
      <c r="C51" t="s">
        <v>122</v>
      </c>
      <c r="D51">
        <v>0</v>
      </c>
      <c r="E51">
        <v>6</v>
      </c>
      <c r="F51">
        <v>0</v>
      </c>
      <c r="G51">
        <v>0</v>
      </c>
      <c r="H51">
        <v>0</v>
      </c>
      <c r="I51">
        <v>0</v>
      </c>
      <c r="J51">
        <v>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1</v>
      </c>
      <c r="Y51">
        <v>0</v>
      </c>
      <c r="Z51">
        <v>3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66.67</v>
      </c>
      <c r="AH51">
        <v>50</v>
      </c>
      <c r="AI51">
        <v>75</v>
      </c>
    </row>
    <row r="52" spans="2:35">
      <c r="C52" t="s">
        <v>123</v>
      </c>
      <c r="D52">
        <v>0</v>
      </c>
      <c r="E52">
        <v>4</v>
      </c>
      <c r="F52">
        <v>0</v>
      </c>
      <c r="G52">
        <v>0</v>
      </c>
      <c r="H52">
        <v>1</v>
      </c>
      <c r="I52">
        <v>0</v>
      </c>
      <c r="J52">
        <v>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25</v>
      </c>
      <c r="AH52">
        <v>25</v>
      </c>
      <c r="AI52">
        <v>100</v>
      </c>
    </row>
    <row r="53" spans="2:35">
      <c r="C53" t="s">
        <v>124</v>
      </c>
      <c r="D53">
        <v>0</v>
      </c>
      <c r="E53">
        <v>3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66.67</v>
      </c>
      <c r="AH53">
        <v>33.33</v>
      </c>
      <c r="AI53">
        <v>50</v>
      </c>
    </row>
    <row r="54" spans="2:35">
      <c r="C54" t="s">
        <v>125</v>
      </c>
      <c r="D54">
        <v>0</v>
      </c>
      <c r="E54">
        <v>3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</v>
      </c>
      <c r="X54">
        <v>1</v>
      </c>
      <c r="Y54">
        <v>0</v>
      </c>
      <c r="Z54">
        <v>1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66.67</v>
      </c>
      <c r="AH54">
        <v>50</v>
      </c>
      <c r="AI54">
        <v>50</v>
      </c>
    </row>
    <row r="55" spans="2:35">
      <c r="C55" t="s">
        <v>126</v>
      </c>
      <c r="D55">
        <v>0</v>
      </c>
      <c r="E55">
        <v>12</v>
      </c>
      <c r="F55">
        <v>0</v>
      </c>
      <c r="G55">
        <v>0</v>
      </c>
      <c r="H55">
        <v>0</v>
      </c>
      <c r="I55">
        <v>0</v>
      </c>
      <c r="J55">
        <v>6</v>
      </c>
      <c r="K55">
        <v>0</v>
      </c>
      <c r="L55">
        <v>0</v>
      </c>
      <c r="M55">
        <v>1</v>
      </c>
      <c r="N55">
        <v>0</v>
      </c>
      <c r="O55">
        <v>0</v>
      </c>
      <c r="P55">
        <v>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50</v>
      </c>
      <c r="AH55">
        <v>41.67</v>
      </c>
      <c r="AI55">
        <v>83.33</v>
      </c>
    </row>
    <row r="56" spans="2:35">
      <c r="C56" t="s">
        <v>128</v>
      </c>
      <c r="D56">
        <v>0</v>
      </c>
      <c r="E56">
        <v>3</v>
      </c>
      <c r="F56">
        <v>0</v>
      </c>
      <c r="G56">
        <v>0</v>
      </c>
      <c r="H56">
        <v>0</v>
      </c>
      <c r="I56">
        <v>0</v>
      </c>
      <c r="J56">
        <v>2</v>
      </c>
      <c r="K56">
        <v>0</v>
      </c>
      <c r="L56">
        <v>0</v>
      </c>
      <c r="M56">
        <v>1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33.33</v>
      </c>
      <c r="AH56">
        <v>0</v>
      </c>
      <c r="AI56">
        <v>0</v>
      </c>
    </row>
    <row r="59" spans="2:35">
      <c r="C59" s="103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03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03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60.75" thickBot="1">
      <c r="C62" s="103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" thickBot="1">
      <c r="C63" s="11" t="s">
        <v>34</v>
      </c>
      <c r="D63" s="12">
        <v>0</v>
      </c>
      <c r="E63" s="12">
        <v>20</v>
      </c>
      <c r="F63" s="12">
        <v>2</v>
      </c>
      <c r="G63" s="12">
        <v>0</v>
      </c>
      <c r="H63" s="12">
        <v>2</v>
      </c>
      <c r="I63" s="12">
        <v>0</v>
      </c>
      <c r="J63" s="12">
        <v>2</v>
      </c>
      <c r="K63" s="12">
        <v>0</v>
      </c>
      <c r="L63" s="12">
        <v>0</v>
      </c>
      <c r="M63" s="12">
        <v>3</v>
      </c>
      <c r="N63" s="12">
        <v>0</v>
      </c>
      <c r="O63" s="12">
        <v>0</v>
      </c>
      <c r="P63" s="12">
        <v>3</v>
      </c>
      <c r="Q63" s="12">
        <v>0</v>
      </c>
      <c r="R63" s="12">
        <v>0</v>
      </c>
      <c r="S63" s="12">
        <v>0</v>
      </c>
      <c r="T63" s="12">
        <v>1</v>
      </c>
      <c r="U63" s="12">
        <v>0</v>
      </c>
      <c r="V63" s="12">
        <v>0</v>
      </c>
      <c r="W63" s="12">
        <v>0</v>
      </c>
      <c r="X63" s="12">
        <v>1</v>
      </c>
      <c r="Y63" s="12">
        <v>0</v>
      </c>
      <c r="Z63" s="12">
        <v>10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70</v>
      </c>
      <c r="AH63" s="12">
        <v>50</v>
      </c>
      <c r="AI63" s="12">
        <v>71.430000000000007</v>
      </c>
    </row>
    <row r="64" spans="2:35" ht="21" thickBot="1">
      <c r="C64" s="11" t="s">
        <v>38</v>
      </c>
      <c r="D64" s="12">
        <v>0</v>
      </c>
      <c r="E64" s="12">
        <v>33</v>
      </c>
      <c r="F64" s="12">
        <v>0</v>
      </c>
      <c r="G64" s="12">
        <v>0</v>
      </c>
      <c r="H64" s="12">
        <v>0</v>
      </c>
      <c r="I64" s="12">
        <v>0</v>
      </c>
      <c r="J64" s="12">
        <v>11</v>
      </c>
      <c r="K64" s="12">
        <v>0</v>
      </c>
      <c r="L64" s="12">
        <v>1</v>
      </c>
      <c r="M64" s="12">
        <v>2</v>
      </c>
      <c r="N64" s="12">
        <v>3</v>
      </c>
      <c r="O64" s="12">
        <v>0</v>
      </c>
      <c r="P64" s="12">
        <v>5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16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63.64</v>
      </c>
      <c r="AH64" s="14">
        <v>48.48</v>
      </c>
      <c r="AI64" s="14">
        <v>76.19</v>
      </c>
    </row>
    <row r="65" spans="3:35" ht="21" thickBot="1">
      <c r="C65" s="11" t="s">
        <v>42</v>
      </c>
      <c r="D65" s="12">
        <v>0</v>
      </c>
      <c r="E65" s="12">
        <v>23</v>
      </c>
      <c r="F65" s="12">
        <v>1</v>
      </c>
      <c r="G65" s="12">
        <v>0</v>
      </c>
      <c r="H65" s="12">
        <v>0</v>
      </c>
      <c r="I65" s="12">
        <v>1</v>
      </c>
      <c r="J65" s="12">
        <v>4</v>
      </c>
      <c r="K65" s="12">
        <v>0</v>
      </c>
      <c r="L65" s="12">
        <v>1</v>
      </c>
      <c r="M65" s="12">
        <v>0</v>
      </c>
      <c r="N65" s="12">
        <v>1</v>
      </c>
      <c r="O65" s="12">
        <v>0</v>
      </c>
      <c r="P65" s="12">
        <v>1</v>
      </c>
      <c r="Q65" s="12">
        <v>1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</v>
      </c>
      <c r="Y65" s="12">
        <v>1</v>
      </c>
      <c r="Z65" s="12">
        <v>13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69.569999999999993</v>
      </c>
      <c r="AH65" s="14">
        <v>59.09</v>
      </c>
      <c r="AI65" s="14">
        <v>81.25</v>
      </c>
    </row>
    <row r="66" spans="3:35" ht="21" thickBot="1">
      <c r="C66" s="11" t="s">
        <v>45</v>
      </c>
      <c r="D66" s="12">
        <v>0</v>
      </c>
      <c r="E66" s="12">
        <v>54</v>
      </c>
      <c r="F66" s="12">
        <v>0</v>
      </c>
      <c r="G66" s="12">
        <v>0</v>
      </c>
      <c r="H66" s="12">
        <v>1</v>
      </c>
      <c r="I66" s="12">
        <v>0</v>
      </c>
      <c r="J66" s="12">
        <v>13</v>
      </c>
      <c r="K66" s="12">
        <v>1</v>
      </c>
      <c r="L66" s="12">
        <v>0</v>
      </c>
      <c r="M66" s="12">
        <v>6</v>
      </c>
      <c r="N66" s="12">
        <v>10</v>
      </c>
      <c r="O66" s="12">
        <v>0</v>
      </c>
      <c r="P66" s="12">
        <v>16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4</v>
      </c>
      <c r="Z66" s="12">
        <v>18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70.37</v>
      </c>
      <c r="AH66" s="14">
        <v>33.96</v>
      </c>
      <c r="AI66" s="14">
        <v>47.37</v>
      </c>
    </row>
    <row r="67" spans="3:35" ht="21" thickBot="1">
      <c r="C67" s="11" t="s">
        <v>49</v>
      </c>
      <c r="D67" s="12">
        <v>0</v>
      </c>
      <c r="E67" s="12">
        <v>27</v>
      </c>
      <c r="F67" s="12">
        <v>0</v>
      </c>
      <c r="G67" s="12">
        <v>0</v>
      </c>
      <c r="H67" s="12">
        <v>0</v>
      </c>
      <c r="I67" s="12">
        <v>1</v>
      </c>
      <c r="J67" s="12">
        <v>6</v>
      </c>
      <c r="K67" s="12">
        <v>0</v>
      </c>
      <c r="L67" s="12">
        <v>0</v>
      </c>
      <c r="M67" s="12">
        <v>2</v>
      </c>
      <c r="N67" s="12">
        <v>1</v>
      </c>
      <c r="O67" s="12">
        <v>0</v>
      </c>
      <c r="P67" s="12">
        <v>3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16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1</v>
      </c>
      <c r="AG67" s="14">
        <v>74.069999999999993</v>
      </c>
      <c r="AH67" s="14">
        <v>64</v>
      </c>
      <c r="AI67" s="14">
        <v>84.21</v>
      </c>
    </row>
    <row r="68" spans="3:35" ht="21" thickBot="1">
      <c r="C68" s="11" t="s">
        <v>51</v>
      </c>
      <c r="D68" s="12">
        <v>0</v>
      </c>
      <c r="E68" s="12">
        <v>30</v>
      </c>
      <c r="F68" s="12">
        <v>0</v>
      </c>
      <c r="G68" s="12">
        <v>0</v>
      </c>
      <c r="H68" s="12">
        <v>0</v>
      </c>
      <c r="I68" s="12">
        <v>1</v>
      </c>
      <c r="J68" s="12">
        <v>10</v>
      </c>
      <c r="K68" s="12">
        <v>0</v>
      </c>
      <c r="L68" s="12">
        <v>0</v>
      </c>
      <c r="M68" s="12">
        <v>2</v>
      </c>
      <c r="N68" s="12">
        <v>1</v>
      </c>
      <c r="O68" s="12">
        <v>0</v>
      </c>
      <c r="P68" s="12">
        <v>3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15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60</v>
      </c>
      <c r="AH68" s="14">
        <v>51.72</v>
      </c>
      <c r="AI68" s="14">
        <v>83.33</v>
      </c>
    </row>
    <row r="69" spans="3:35" ht="21" thickBot="1">
      <c r="C69" s="11" t="s">
        <v>55</v>
      </c>
      <c r="D69" s="12">
        <v>0</v>
      </c>
      <c r="E69" s="12">
        <v>34</v>
      </c>
      <c r="F69" s="12">
        <v>0</v>
      </c>
      <c r="G69" s="12">
        <v>0</v>
      </c>
      <c r="H69" s="12">
        <v>2</v>
      </c>
      <c r="I69" s="12">
        <v>0</v>
      </c>
      <c r="J69" s="12">
        <v>16</v>
      </c>
      <c r="K69" s="12">
        <v>0</v>
      </c>
      <c r="L69" s="12">
        <v>0</v>
      </c>
      <c r="M69" s="12">
        <v>3</v>
      </c>
      <c r="N69" s="12">
        <v>0</v>
      </c>
      <c r="O69" s="12">
        <v>0</v>
      </c>
      <c r="P69" s="12">
        <v>3</v>
      </c>
      <c r="Q69" s="12">
        <v>1</v>
      </c>
      <c r="R69" s="12">
        <v>0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2</v>
      </c>
      <c r="Y69" s="12">
        <v>0</v>
      </c>
      <c r="Z69" s="12">
        <v>11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</v>
      </c>
      <c r="AG69" s="14">
        <v>47.06</v>
      </c>
      <c r="AH69" s="14">
        <v>33.33</v>
      </c>
      <c r="AI69" s="14">
        <v>68.75</v>
      </c>
    </row>
    <row r="70" spans="3:35" ht="21" thickBot="1">
      <c r="C70" s="11" t="s">
        <v>59</v>
      </c>
      <c r="D70" s="12">
        <v>0</v>
      </c>
      <c r="E70" s="12">
        <v>42</v>
      </c>
      <c r="F70" s="12">
        <v>1</v>
      </c>
      <c r="G70" s="12">
        <v>0</v>
      </c>
      <c r="H70" s="12">
        <v>0</v>
      </c>
      <c r="I70" s="12">
        <v>0</v>
      </c>
      <c r="J70" s="12">
        <v>9</v>
      </c>
      <c r="K70" s="12">
        <v>1</v>
      </c>
      <c r="L70" s="12">
        <v>2</v>
      </c>
      <c r="M70" s="12">
        <v>4</v>
      </c>
      <c r="N70" s="12">
        <v>0</v>
      </c>
      <c r="O70" s="12">
        <v>0</v>
      </c>
      <c r="P70" s="12">
        <v>4</v>
      </c>
      <c r="Q70" s="12">
        <v>1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5</v>
      </c>
      <c r="Z70" s="12">
        <v>15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2</v>
      </c>
      <c r="AG70" s="14">
        <v>59.52</v>
      </c>
      <c r="AH70" s="14">
        <v>38.46</v>
      </c>
      <c r="AI70" s="14">
        <v>60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9" sqref="G19:G55"/>
    </sheetView>
  </sheetViews>
  <sheetFormatPr defaultColWidth="9" defaultRowHeight="15"/>
  <cols>
    <col min="1" max="2" width="16.28515625" bestFit="1" customWidth="1"/>
    <col min="3" max="3" width="7.42578125" bestFit="1" customWidth="1"/>
    <col min="4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530</v>
      </c>
      <c r="D4" t="s">
        <v>154</v>
      </c>
    </row>
    <row r="5" spans="1:7">
      <c r="A5" s="7" t="s">
        <v>34</v>
      </c>
      <c r="B5" s="192">
        <v>10</v>
      </c>
      <c r="C5" s="192">
        <v>10</v>
      </c>
      <c r="D5" s="192">
        <v>20</v>
      </c>
      <c r="G5" s="8">
        <f>B5/(B5+0)</f>
        <v>1</v>
      </c>
    </row>
    <row r="6" spans="1:7">
      <c r="A6" s="7" t="s">
        <v>38</v>
      </c>
      <c r="B6" s="192">
        <v>16</v>
      </c>
      <c r="C6" s="192">
        <v>17</v>
      </c>
      <c r="D6" s="192">
        <v>33</v>
      </c>
      <c r="G6" s="8">
        <f t="shared" ref="G6:G10" si="0">B6/(B6+0)</f>
        <v>1</v>
      </c>
    </row>
    <row r="7" spans="1:7">
      <c r="A7" s="7" t="s">
        <v>42</v>
      </c>
      <c r="B7" s="192">
        <v>13</v>
      </c>
      <c r="C7" s="192">
        <v>10</v>
      </c>
      <c r="D7" s="192">
        <v>23</v>
      </c>
      <c r="G7" s="8">
        <f t="shared" si="0"/>
        <v>1</v>
      </c>
    </row>
    <row r="8" spans="1:7">
      <c r="A8" s="7" t="s">
        <v>45</v>
      </c>
      <c r="B8" s="192">
        <v>18</v>
      </c>
      <c r="C8" s="192">
        <v>36</v>
      </c>
      <c r="D8" s="192">
        <v>54</v>
      </c>
      <c r="G8" s="8">
        <f t="shared" si="0"/>
        <v>1</v>
      </c>
    </row>
    <row r="9" spans="1:7">
      <c r="A9" s="7" t="s">
        <v>55</v>
      </c>
      <c r="B9" s="192">
        <v>11</v>
      </c>
      <c r="C9" s="192">
        <v>23</v>
      </c>
      <c r="D9" s="192">
        <v>34</v>
      </c>
      <c r="G9" s="8">
        <f t="shared" si="0"/>
        <v>1</v>
      </c>
    </row>
    <row r="10" spans="1:7">
      <c r="A10" s="7" t="s">
        <v>154</v>
      </c>
      <c r="B10" s="192">
        <v>68</v>
      </c>
      <c r="C10" s="192">
        <v>96</v>
      </c>
      <c r="D10" s="192">
        <v>164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530</v>
      </c>
      <c r="D18" t="s">
        <v>154</v>
      </c>
    </row>
    <row r="19" spans="1:7">
      <c r="A19" s="7" t="s">
        <v>34</v>
      </c>
      <c r="B19" s="192">
        <v>10</v>
      </c>
      <c r="C19" s="192">
        <v>10</v>
      </c>
      <c r="D19" s="192">
        <v>20</v>
      </c>
      <c r="G19" s="8">
        <f>B19/(B19+0)</f>
        <v>1</v>
      </c>
    </row>
    <row r="20" spans="1:7">
      <c r="A20" s="9" t="s">
        <v>81</v>
      </c>
      <c r="B20" s="192">
        <v>2</v>
      </c>
      <c r="C20" s="192"/>
      <c r="D20" s="192">
        <v>2</v>
      </c>
      <c r="G20" s="8">
        <f t="shared" ref="G20:G55" si="1">B20/(B20+0)</f>
        <v>1</v>
      </c>
    </row>
    <row r="21" spans="1:7">
      <c r="A21" s="9" t="s">
        <v>79</v>
      </c>
      <c r="B21" s="192">
        <v>1</v>
      </c>
      <c r="C21" s="192">
        <v>1</v>
      </c>
      <c r="D21" s="192">
        <v>2</v>
      </c>
      <c r="G21" s="8">
        <f t="shared" si="1"/>
        <v>1</v>
      </c>
    </row>
    <row r="22" spans="1:7">
      <c r="A22" s="9" t="s">
        <v>86</v>
      </c>
      <c r="B22" s="192">
        <v>3</v>
      </c>
      <c r="C22" s="192">
        <v>1</v>
      </c>
      <c r="D22" s="192">
        <v>4</v>
      </c>
      <c r="G22" s="8">
        <f t="shared" si="1"/>
        <v>1</v>
      </c>
    </row>
    <row r="23" spans="1:7">
      <c r="A23" s="9" t="s">
        <v>82</v>
      </c>
      <c r="B23" s="192">
        <v>2</v>
      </c>
      <c r="C23" s="192">
        <v>1</v>
      </c>
      <c r="D23" s="192">
        <v>3</v>
      </c>
      <c r="G23" s="8">
        <f t="shared" si="1"/>
        <v>1</v>
      </c>
    </row>
    <row r="24" spans="1:7">
      <c r="A24" s="9" t="s">
        <v>83</v>
      </c>
      <c r="B24" s="192">
        <v>2</v>
      </c>
      <c r="C24" s="192">
        <v>3</v>
      </c>
      <c r="D24" s="192">
        <v>5</v>
      </c>
      <c r="G24" s="8">
        <f t="shared" si="1"/>
        <v>1</v>
      </c>
    </row>
    <row r="25" spans="1:7">
      <c r="A25" s="9" t="s">
        <v>85</v>
      </c>
      <c r="B25" s="192"/>
      <c r="C25" s="192">
        <v>4</v>
      </c>
      <c r="D25" s="192">
        <v>4</v>
      </c>
      <c r="G25" s="8" t="e">
        <f t="shared" si="1"/>
        <v>#DIV/0!</v>
      </c>
    </row>
    <row r="26" spans="1:7">
      <c r="A26" s="7" t="s">
        <v>38</v>
      </c>
      <c r="B26" s="192">
        <v>16</v>
      </c>
      <c r="C26" s="192">
        <v>17</v>
      </c>
      <c r="D26" s="192">
        <v>33</v>
      </c>
      <c r="G26" s="8">
        <f t="shared" si="1"/>
        <v>1</v>
      </c>
    </row>
    <row r="27" spans="1:7">
      <c r="A27" s="9" t="s">
        <v>93</v>
      </c>
      <c r="B27" s="192">
        <v>3</v>
      </c>
      <c r="C27" s="192">
        <v>1</v>
      </c>
      <c r="D27" s="192">
        <v>4</v>
      </c>
      <c r="G27" s="8">
        <f t="shared" si="1"/>
        <v>1</v>
      </c>
    </row>
    <row r="28" spans="1:7">
      <c r="A28" s="9" t="s">
        <v>87</v>
      </c>
      <c r="B28" s="192">
        <v>2</v>
      </c>
      <c r="C28" s="192"/>
      <c r="D28" s="192">
        <v>2</v>
      </c>
      <c r="G28" s="8">
        <f t="shared" si="1"/>
        <v>1</v>
      </c>
    </row>
    <row r="29" spans="1:7">
      <c r="A29" s="9" t="s">
        <v>89</v>
      </c>
      <c r="B29" s="192"/>
      <c r="C29" s="192">
        <v>5</v>
      </c>
      <c r="D29" s="192">
        <v>5</v>
      </c>
      <c r="G29" s="8" t="e">
        <f t="shared" si="1"/>
        <v>#DIV/0!</v>
      </c>
    </row>
    <row r="30" spans="1:7">
      <c r="A30" s="9" t="s">
        <v>90</v>
      </c>
      <c r="B30" s="192">
        <v>4</v>
      </c>
      <c r="C30" s="192">
        <v>2</v>
      </c>
      <c r="D30" s="192">
        <v>6</v>
      </c>
      <c r="G30" s="8">
        <f t="shared" si="1"/>
        <v>1</v>
      </c>
    </row>
    <row r="31" spans="1:7">
      <c r="A31" s="9" t="s">
        <v>92</v>
      </c>
      <c r="B31" s="192">
        <v>1</v>
      </c>
      <c r="C31" s="192">
        <v>2</v>
      </c>
      <c r="D31" s="192">
        <v>3</v>
      </c>
      <c r="G31" s="8">
        <f t="shared" si="1"/>
        <v>1</v>
      </c>
    </row>
    <row r="32" spans="1:7">
      <c r="A32" s="9" t="s">
        <v>88</v>
      </c>
      <c r="B32" s="192">
        <v>1</v>
      </c>
      <c r="C32" s="192">
        <v>1</v>
      </c>
      <c r="D32" s="192">
        <v>2</v>
      </c>
      <c r="G32" s="8">
        <f t="shared" si="1"/>
        <v>1</v>
      </c>
    </row>
    <row r="33" spans="1:7">
      <c r="A33" s="9" t="s">
        <v>248</v>
      </c>
      <c r="B33" s="192">
        <v>5</v>
      </c>
      <c r="C33" s="192">
        <v>6</v>
      </c>
      <c r="D33" s="192">
        <v>11</v>
      </c>
      <c r="G33" s="8">
        <f t="shared" si="1"/>
        <v>1</v>
      </c>
    </row>
    <row r="34" spans="1:7">
      <c r="A34" s="7" t="s">
        <v>42</v>
      </c>
      <c r="B34" s="192">
        <v>13</v>
      </c>
      <c r="C34" s="192">
        <v>10</v>
      </c>
      <c r="D34" s="192">
        <v>23</v>
      </c>
      <c r="G34" s="8">
        <f t="shared" si="1"/>
        <v>1</v>
      </c>
    </row>
    <row r="35" spans="1:7">
      <c r="A35" s="9" t="s">
        <v>107</v>
      </c>
      <c r="B35" s="192"/>
      <c r="C35" s="192">
        <v>1</v>
      </c>
      <c r="D35" s="192">
        <v>1</v>
      </c>
      <c r="G35" s="8" t="e">
        <f t="shared" si="1"/>
        <v>#DIV/0!</v>
      </c>
    </row>
    <row r="36" spans="1:7">
      <c r="A36" s="9" t="s">
        <v>106</v>
      </c>
      <c r="B36" s="192"/>
      <c r="C36" s="192">
        <v>3</v>
      </c>
      <c r="D36" s="192">
        <v>3</v>
      </c>
      <c r="G36" s="8" t="e">
        <f t="shared" si="1"/>
        <v>#DIV/0!</v>
      </c>
    </row>
    <row r="37" spans="1:7">
      <c r="A37" s="9" t="s">
        <v>102</v>
      </c>
      <c r="B37" s="192">
        <v>1</v>
      </c>
      <c r="C37" s="192">
        <v>1</v>
      </c>
      <c r="D37" s="192">
        <v>2</v>
      </c>
      <c r="G37" s="8">
        <f t="shared" si="1"/>
        <v>1</v>
      </c>
    </row>
    <row r="38" spans="1:7">
      <c r="A38" s="9" t="s">
        <v>105</v>
      </c>
      <c r="B38" s="192">
        <v>6</v>
      </c>
      <c r="C38" s="192">
        <v>2</v>
      </c>
      <c r="D38" s="192">
        <v>8</v>
      </c>
      <c r="G38" s="8">
        <f t="shared" si="1"/>
        <v>1</v>
      </c>
    </row>
    <row r="39" spans="1:7">
      <c r="A39" s="9" t="s">
        <v>99</v>
      </c>
      <c r="B39" s="192">
        <v>5</v>
      </c>
      <c r="C39" s="192"/>
      <c r="D39" s="192">
        <v>5</v>
      </c>
      <c r="G39" s="8">
        <f t="shared" si="1"/>
        <v>1</v>
      </c>
    </row>
    <row r="40" spans="1:7">
      <c r="A40" s="9" t="s">
        <v>232</v>
      </c>
      <c r="B40" s="192">
        <v>1</v>
      </c>
      <c r="C40" s="192">
        <v>3</v>
      </c>
      <c r="D40" s="192">
        <v>4</v>
      </c>
      <c r="G40" s="8">
        <f t="shared" si="1"/>
        <v>1</v>
      </c>
    </row>
    <row r="41" spans="1:7">
      <c r="A41" s="7" t="s">
        <v>45</v>
      </c>
      <c r="B41" s="192">
        <v>18</v>
      </c>
      <c r="C41" s="192">
        <v>36</v>
      </c>
      <c r="D41" s="192">
        <v>54</v>
      </c>
      <c r="G41" s="8">
        <f t="shared" si="1"/>
        <v>1</v>
      </c>
    </row>
    <row r="42" spans="1:7">
      <c r="A42" s="9" t="s">
        <v>118</v>
      </c>
      <c r="B42" s="192">
        <v>3</v>
      </c>
      <c r="C42" s="192">
        <v>3</v>
      </c>
      <c r="D42" s="192">
        <v>6</v>
      </c>
      <c r="G42" s="8">
        <f t="shared" si="1"/>
        <v>1</v>
      </c>
    </row>
    <row r="43" spans="1:7">
      <c r="A43" s="9" t="s">
        <v>110</v>
      </c>
      <c r="B43" s="192">
        <v>3</v>
      </c>
      <c r="C43" s="192">
        <v>3</v>
      </c>
      <c r="D43" s="192">
        <v>6</v>
      </c>
      <c r="G43" s="8">
        <f t="shared" si="1"/>
        <v>1</v>
      </c>
    </row>
    <row r="44" spans="1:7">
      <c r="A44" s="9" t="s">
        <v>109</v>
      </c>
      <c r="B44" s="192"/>
      <c r="C44" s="192">
        <v>1</v>
      </c>
      <c r="D44" s="192">
        <v>1</v>
      </c>
      <c r="G44" s="8" t="e">
        <f t="shared" si="1"/>
        <v>#DIV/0!</v>
      </c>
    </row>
    <row r="45" spans="1:7">
      <c r="A45" s="9" t="s">
        <v>113</v>
      </c>
      <c r="B45" s="192"/>
      <c r="C45" s="192">
        <v>6</v>
      </c>
      <c r="D45" s="192">
        <v>6</v>
      </c>
      <c r="G45" s="8" t="e">
        <f t="shared" si="1"/>
        <v>#DIV/0!</v>
      </c>
    </row>
    <row r="46" spans="1:7">
      <c r="A46" s="9" t="s">
        <v>117</v>
      </c>
      <c r="B46" s="192"/>
      <c r="C46" s="192">
        <v>4</v>
      </c>
      <c r="D46" s="192">
        <v>4</v>
      </c>
      <c r="G46" s="8" t="e">
        <f t="shared" si="1"/>
        <v>#DIV/0!</v>
      </c>
    </row>
    <row r="47" spans="1:7">
      <c r="A47" s="9" t="s">
        <v>114</v>
      </c>
      <c r="B47" s="192"/>
      <c r="C47" s="192">
        <v>1</v>
      </c>
      <c r="D47" s="192">
        <v>1</v>
      </c>
      <c r="G47" s="8" t="e">
        <f t="shared" si="1"/>
        <v>#DIV/0!</v>
      </c>
    </row>
    <row r="48" spans="1:7">
      <c r="A48" s="9" t="s">
        <v>781</v>
      </c>
      <c r="B48" s="192">
        <v>7</v>
      </c>
      <c r="C48" s="192">
        <v>12</v>
      </c>
      <c r="D48" s="192">
        <v>19</v>
      </c>
      <c r="G48" s="8">
        <f t="shared" si="1"/>
        <v>1</v>
      </c>
    </row>
    <row r="49" spans="1:7">
      <c r="A49" s="9" t="s">
        <v>210</v>
      </c>
      <c r="B49" s="192">
        <v>5</v>
      </c>
      <c r="C49" s="192">
        <v>6</v>
      </c>
      <c r="D49" s="192">
        <v>11</v>
      </c>
      <c r="G49" s="8">
        <f t="shared" si="1"/>
        <v>1</v>
      </c>
    </row>
    <row r="50" spans="1:7">
      <c r="A50" s="7" t="s">
        <v>55</v>
      </c>
      <c r="B50" s="192">
        <v>11</v>
      </c>
      <c r="C50" s="192">
        <v>23</v>
      </c>
      <c r="D50" s="192">
        <v>34</v>
      </c>
      <c r="G50" s="8">
        <f t="shared" si="1"/>
        <v>1</v>
      </c>
    </row>
    <row r="51" spans="1:7">
      <c r="A51" s="9" t="s">
        <v>122</v>
      </c>
      <c r="B51" s="192">
        <v>4</v>
      </c>
      <c r="C51" s="192">
        <v>5</v>
      </c>
      <c r="D51" s="192">
        <v>9</v>
      </c>
      <c r="G51" s="8">
        <f t="shared" si="1"/>
        <v>1</v>
      </c>
    </row>
    <row r="52" spans="1:7">
      <c r="A52" s="9" t="s">
        <v>227</v>
      </c>
      <c r="B52" s="192"/>
      <c r="C52" s="192">
        <v>3</v>
      </c>
      <c r="D52" s="192">
        <v>3</v>
      </c>
      <c r="G52" s="8" t="e">
        <f t="shared" si="1"/>
        <v>#DIV/0!</v>
      </c>
    </row>
    <row r="53" spans="1:7">
      <c r="A53" s="9" t="s">
        <v>666</v>
      </c>
      <c r="B53" s="192">
        <v>6</v>
      </c>
      <c r="C53" s="192">
        <v>9</v>
      </c>
      <c r="D53" s="192">
        <v>15</v>
      </c>
      <c r="G53" s="8">
        <f t="shared" si="1"/>
        <v>1</v>
      </c>
    </row>
    <row r="54" spans="1:7">
      <c r="A54" s="9" t="s">
        <v>663</v>
      </c>
      <c r="B54" s="192">
        <v>1</v>
      </c>
      <c r="C54" s="192">
        <v>6</v>
      </c>
      <c r="D54" s="192">
        <v>7</v>
      </c>
      <c r="G54" s="8">
        <f t="shared" si="1"/>
        <v>1</v>
      </c>
    </row>
    <row r="55" spans="1:7">
      <c r="A55" s="7" t="s">
        <v>154</v>
      </c>
      <c r="B55" s="192">
        <v>68</v>
      </c>
      <c r="C55" s="192">
        <v>96</v>
      </c>
      <c r="D55" s="192">
        <v>164</v>
      </c>
      <c r="G55" s="8">
        <f t="shared" si="1"/>
        <v>1</v>
      </c>
    </row>
    <row r="56" spans="1:7">
      <c r="G56" s="8" t="e">
        <f t="shared" ref="G48:G78" si="2">B56/(B56+C56)</f>
        <v>#DIV/0!</v>
      </c>
    </row>
    <row r="57" spans="1:7">
      <c r="G57" s="8" t="e">
        <f t="shared" si="2"/>
        <v>#DIV/0!</v>
      </c>
    </row>
    <row r="58" spans="1:7">
      <c r="G58" s="8" t="e">
        <f t="shared" si="2"/>
        <v>#DIV/0!</v>
      </c>
    </row>
    <row r="59" spans="1:7">
      <c r="G59" s="8" t="e">
        <f t="shared" si="2"/>
        <v>#DIV/0!</v>
      </c>
    </row>
    <row r="60" spans="1:7">
      <c r="G60" s="8" t="e">
        <f t="shared" si="2"/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191" t="s">
        <v>2217</v>
      </c>
      <c r="BD1" s="191" t="s">
        <v>2218</v>
      </c>
      <c r="BE1" s="191" t="s">
        <v>2219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1002566939</v>
      </c>
      <c r="C2">
        <v>3</v>
      </c>
      <c r="D2" t="s">
        <v>42</v>
      </c>
      <c r="E2">
        <v>5</v>
      </c>
      <c r="F2" t="s">
        <v>232</v>
      </c>
      <c r="G2" t="s">
        <v>106</v>
      </c>
      <c r="H2" t="s">
        <v>414</v>
      </c>
      <c r="I2" t="s">
        <v>212</v>
      </c>
      <c r="J2" t="s">
        <v>213</v>
      </c>
      <c r="K2" t="s">
        <v>149</v>
      </c>
      <c r="M2" t="s">
        <v>235</v>
      </c>
      <c r="N2" t="s">
        <v>215</v>
      </c>
      <c r="O2" s="57">
        <v>46267.410821759258</v>
      </c>
      <c r="P2" s="57">
        <v>46267.738993055558</v>
      </c>
      <c r="Q2">
        <v>69382069</v>
      </c>
      <c r="S2">
        <v>152740208101</v>
      </c>
      <c r="T2" t="s">
        <v>1511</v>
      </c>
      <c r="U2" t="s">
        <v>1512</v>
      </c>
      <c r="Z2">
        <v>112.8256774</v>
      </c>
      <c r="AA2">
        <v>-7.7647108999999999</v>
      </c>
      <c r="AB2" t="s">
        <v>1513</v>
      </c>
      <c r="AC2" t="s">
        <v>229</v>
      </c>
      <c r="AO2" s="57">
        <v>46062.413263888891</v>
      </c>
      <c r="AR2" t="s">
        <v>306</v>
      </c>
      <c r="AS2" t="s">
        <v>1514</v>
      </c>
      <c r="AT2" t="s">
        <v>230</v>
      </c>
      <c r="AV2" t="s">
        <v>1515</v>
      </c>
      <c r="AW2" t="s">
        <v>545</v>
      </c>
      <c r="AX2" t="s">
        <v>222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PASURUAN</v>
      </c>
    </row>
    <row r="3" spans="1:61">
      <c r="A3">
        <v>2</v>
      </c>
      <c r="B3">
        <v>1002566730</v>
      </c>
      <c r="C3">
        <v>3</v>
      </c>
      <c r="D3" t="s">
        <v>51</v>
      </c>
      <c r="E3">
        <v>4</v>
      </c>
      <c r="F3" t="s">
        <v>234</v>
      </c>
      <c r="G3" t="s">
        <v>562</v>
      </c>
      <c r="H3" t="s">
        <v>588</v>
      </c>
      <c r="I3" t="s">
        <v>212</v>
      </c>
      <c r="J3" t="s">
        <v>213</v>
      </c>
      <c r="K3" t="s">
        <v>149</v>
      </c>
      <c r="M3" t="s">
        <v>235</v>
      </c>
      <c r="N3" t="s">
        <v>215</v>
      </c>
      <c r="O3" s="57">
        <v>46267.371134259258</v>
      </c>
      <c r="P3" s="57">
        <v>46267.428379629629</v>
      </c>
      <c r="Q3">
        <v>69381954</v>
      </c>
      <c r="S3">
        <v>142505403232</v>
      </c>
      <c r="T3" t="s">
        <v>1516</v>
      </c>
      <c r="U3" t="s">
        <v>1517</v>
      </c>
      <c r="Z3">
        <v>110.7841482</v>
      </c>
      <c r="AA3">
        <v>-7.5490475000000004</v>
      </c>
      <c r="AB3" t="s">
        <v>1518</v>
      </c>
      <c r="AC3" t="s">
        <v>229</v>
      </c>
      <c r="AO3" s="57">
        <v>46062.382025462961</v>
      </c>
      <c r="AR3" t="s">
        <v>306</v>
      </c>
      <c r="AS3" t="s">
        <v>219</v>
      </c>
      <c r="AT3" t="s">
        <v>230</v>
      </c>
      <c r="AV3" t="s">
        <v>1519</v>
      </c>
      <c r="AW3" t="s">
        <v>545</v>
      </c>
      <c r="AX3" t="s">
        <v>222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e">
        <f>VLOOKUP(H3,Sheet2!$A$1:$B$270,2,FALSE)</f>
        <v>#N/A</v>
      </c>
    </row>
    <row r="4" spans="1:61">
      <c r="A4">
        <v>3</v>
      </c>
      <c r="B4">
        <v>1002564244</v>
      </c>
      <c r="C4">
        <v>3</v>
      </c>
      <c r="D4" t="s">
        <v>49</v>
      </c>
      <c r="E4">
        <v>4</v>
      </c>
      <c r="F4" t="s">
        <v>250</v>
      </c>
      <c r="G4" t="s">
        <v>250</v>
      </c>
      <c r="H4" t="s">
        <v>855</v>
      </c>
      <c r="I4" t="s">
        <v>212</v>
      </c>
      <c r="J4" t="s">
        <v>213</v>
      </c>
      <c r="K4" t="s">
        <v>149</v>
      </c>
      <c r="L4" t="s">
        <v>214</v>
      </c>
      <c r="M4" t="s">
        <v>235</v>
      </c>
      <c r="N4" t="s">
        <v>215</v>
      </c>
      <c r="O4" s="57">
        <v>46266.376064814816</v>
      </c>
      <c r="P4" s="57">
        <v>46266.622476851851</v>
      </c>
      <c r="Q4">
        <v>69377558</v>
      </c>
      <c r="T4" t="s">
        <v>965</v>
      </c>
      <c r="V4" t="s">
        <v>966</v>
      </c>
      <c r="Z4">
        <v>109.52406000000001</v>
      </c>
      <c r="AA4">
        <v>-7.0198</v>
      </c>
      <c r="AB4" t="s">
        <v>967</v>
      </c>
      <c r="AC4" t="s">
        <v>236</v>
      </c>
      <c r="AL4" t="s">
        <v>217</v>
      </c>
      <c r="AM4" t="s">
        <v>968</v>
      </c>
      <c r="AN4" t="s">
        <v>6</v>
      </c>
      <c r="AO4" s="57">
        <v>46031.382175925923</v>
      </c>
      <c r="AP4" s="57">
        <v>46262</v>
      </c>
      <c r="AR4" t="s">
        <v>306</v>
      </c>
      <c r="AS4" t="s">
        <v>899</v>
      </c>
      <c r="AT4" t="s">
        <v>230</v>
      </c>
      <c r="AV4" t="s">
        <v>1039</v>
      </c>
      <c r="AW4" t="s">
        <v>886</v>
      </c>
      <c r="AX4" t="s">
        <v>222</v>
      </c>
      <c r="AZ4" t="s">
        <v>1039</v>
      </c>
      <c r="BA4" s="57">
        <v>46262.333333333336</v>
      </c>
      <c r="BB4" t="s">
        <v>968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e">
        <f>VLOOKUP(H4,Sheet2!$A$1:$B$270,2,FALSE)</f>
        <v>#N/A</v>
      </c>
    </row>
    <row r="5" spans="1:61">
      <c r="A5">
        <v>4</v>
      </c>
      <c r="B5">
        <v>1002564718</v>
      </c>
      <c r="C5">
        <v>3</v>
      </c>
      <c r="D5" t="s">
        <v>45</v>
      </c>
      <c r="E5">
        <v>5</v>
      </c>
      <c r="F5" t="s">
        <v>210</v>
      </c>
      <c r="G5" t="s">
        <v>116</v>
      </c>
      <c r="H5" t="s">
        <v>268</v>
      </c>
      <c r="I5" t="s">
        <v>212</v>
      </c>
      <c r="J5" t="s">
        <v>213</v>
      </c>
      <c r="K5" t="s">
        <v>149</v>
      </c>
      <c r="M5" t="s">
        <v>1520</v>
      </c>
      <c r="N5" t="s">
        <v>215</v>
      </c>
      <c r="O5" s="57">
        <v>46266.435694444444</v>
      </c>
      <c r="P5" s="57">
        <v>46268.388923611114</v>
      </c>
      <c r="Q5">
        <v>69381301</v>
      </c>
      <c r="S5">
        <v>172604214258</v>
      </c>
      <c r="T5" t="s">
        <v>924</v>
      </c>
      <c r="U5" t="s">
        <v>925</v>
      </c>
      <c r="Z5">
        <v>116.16528560594401</v>
      </c>
      <c r="AA5">
        <v>-8.3573149169125394</v>
      </c>
      <c r="AB5" t="s">
        <v>926</v>
      </c>
      <c r="AC5" t="s">
        <v>285</v>
      </c>
      <c r="AO5" s="57">
        <v>46031.444409722222</v>
      </c>
      <c r="AR5" t="s">
        <v>6</v>
      </c>
      <c r="AS5" t="s">
        <v>912</v>
      </c>
      <c r="AT5" t="s">
        <v>220</v>
      </c>
      <c r="AV5" t="s">
        <v>1521</v>
      </c>
      <c r="AW5" t="s">
        <v>545</v>
      </c>
      <c r="AX5" t="s">
        <v>222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1002568091</v>
      </c>
      <c r="C6">
        <v>3</v>
      </c>
      <c r="D6" t="s">
        <v>34</v>
      </c>
      <c r="E6">
        <v>5</v>
      </c>
      <c r="F6" t="s">
        <v>563</v>
      </c>
      <c r="G6" t="s">
        <v>83</v>
      </c>
      <c r="H6" t="s">
        <v>379</v>
      </c>
      <c r="I6" t="s">
        <v>212</v>
      </c>
      <c r="J6" t="s">
        <v>213</v>
      </c>
      <c r="K6" t="s">
        <v>149</v>
      </c>
      <c r="M6" t="s">
        <v>972</v>
      </c>
      <c r="N6" t="s">
        <v>581</v>
      </c>
      <c r="O6" s="57">
        <v>46267.646006944444</v>
      </c>
      <c r="P6" s="57">
        <v>46267.647280092591</v>
      </c>
      <c r="Q6">
        <v>69382438</v>
      </c>
      <c r="S6">
        <v>172422212787</v>
      </c>
      <c r="T6" t="s">
        <v>1522</v>
      </c>
      <c r="U6" t="s">
        <v>1523</v>
      </c>
      <c r="Z6">
        <v>115.24644718691501</v>
      </c>
      <c r="AA6">
        <v>-8.6353376878044603</v>
      </c>
      <c r="AB6" t="s">
        <v>1524</v>
      </c>
      <c r="AC6" t="s">
        <v>284</v>
      </c>
      <c r="AO6" s="57">
        <v>46062.652743055558</v>
      </c>
      <c r="AR6" t="s">
        <v>327</v>
      </c>
      <c r="AS6" t="s">
        <v>1525</v>
      </c>
      <c r="AT6" t="s">
        <v>220</v>
      </c>
      <c r="AV6" t="s">
        <v>973</v>
      </c>
      <c r="AW6" t="s">
        <v>598</v>
      </c>
      <c r="AX6" t="s">
        <v>222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SANUR</v>
      </c>
    </row>
    <row r="7" spans="1:61">
      <c r="A7">
        <v>6</v>
      </c>
      <c r="B7">
        <v>1002566613</v>
      </c>
      <c r="C7">
        <v>3</v>
      </c>
      <c r="D7" t="s">
        <v>34</v>
      </c>
      <c r="E7">
        <v>5</v>
      </c>
      <c r="F7" t="s">
        <v>554</v>
      </c>
      <c r="G7" t="s">
        <v>85</v>
      </c>
      <c r="H7" t="s">
        <v>279</v>
      </c>
      <c r="I7" t="s">
        <v>212</v>
      </c>
      <c r="J7" t="s">
        <v>213</v>
      </c>
      <c r="K7" t="s">
        <v>149</v>
      </c>
      <c r="M7" t="s">
        <v>972</v>
      </c>
      <c r="N7" t="s">
        <v>215</v>
      </c>
      <c r="O7" s="57">
        <v>46267.345983796295</v>
      </c>
      <c r="P7" s="57">
        <v>46267.347280092596</v>
      </c>
      <c r="Q7">
        <v>69381917</v>
      </c>
      <c r="S7">
        <v>172413244690</v>
      </c>
      <c r="T7" t="s">
        <v>1526</v>
      </c>
      <c r="U7" t="s">
        <v>1527</v>
      </c>
      <c r="Z7">
        <v>114.93094189999999</v>
      </c>
      <c r="AA7">
        <v>-8.4741797000000005</v>
      </c>
      <c r="AB7" t="s">
        <v>1528</v>
      </c>
      <c r="AC7" t="s">
        <v>229</v>
      </c>
      <c r="AO7" s="57">
        <v>46062.350763888891</v>
      </c>
      <c r="AR7" t="s">
        <v>327</v>
      </c>
      <c r="AS7" t="s">
        <v>85</v>
      </c>
      <c r="AT7" t="s">
        <v>230</v>
      </c>
      <c r="AV7" t="s">
        <v>973</v>
      </c>
      <c r="AW7" t="s">
        <v>545</v>
      </c>
      <c r="AX7" t="s">
        <v>222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TABANAN</v>
      </c>
    </row>
    <row r="8" spans="1:61">
      <c r="A8">
        <v>7</v>
      </c>
      <c r="B8">
        <v>1002566538</v>
      </c>
      <c r="C8">
        <v>3</v>
      </c>
      <c r="D8" t="s">
        <v>59</v>
      </c>
      <c r="E8">
        <v>4</v>
      </c>
      <c r="F8" t="s">
        <v>549</v>
      </c>
      <c r="G8" t="s">
        <v>582</v>
      </c>
      <c r="H8" t="s">
        <v>583</v>
      </c>
      <c r="I8" t="s">
        <v>212</v>
      </c>
      <c r="J8" t="s">
        <v>213</v>
      </c>
      <c r="K8" t="s">
        <v>149</v>
      </c>
      <c r="M8" t="s">
        <v>972</v>
      </c>
      <c r="N8" t="s">
        <v>215</v>
      </c>
      <c r="O8" s="57">
        <v>46266.965520833335</v>
      </c>
      <c r="P8" s="57">
        <v>46266.966724537036</v>
      </c>
      <c r="Q8">
        <v>69381894</v>
      </c>
      <c r="S8">
        <v>146130138736</v>
      </c>
      <c r="T8" t="s">
        <v>1040</v>
      </c>
      <c r="U8" t="s">
        <v>1041</v>
      </c>
      <c r="Z8">
        <v>110.433431469799</v>
      </c>
      <c r="AA8">
        <v>-7.7632600050565603</v>
      </c>
      <c r="AB8" t="s">
        <v>1042</v>
      </c>
      <c r="AC8" t="s">
        <v>285</v>
      </c>
      <c r="AO8" s="57">
        <v>46031.975787037038</v>
      </c>
      <c r="AR8" t="s">
        <v>327</v>
      </c>
      <c r="AS8" t="s">
        <v>904</v>
      </c>
      <c r="AT8" t="s">
        <v>230</v>
      </c>
      <c r="AV8" t="s">
        <v>973</v>
      </c>
      <c r="AW8" t="s">
        <v>545</v>
      </c>
      <c r="AX8" t="s">
        <v>222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e">
        <f>VLOOKUP(H8,Sheet2!$A$1:$B$270,2,FALSE)</f>
        <v>#N/A</v>
      </c>
    </row>
    <row r="9" spans="1:61">
      <c r="A9">
        <v>8</v>
      </c>
      <c r="B9">
        <v>1002566671</v>
      </c>
      <c r="C9">
        <v>3</v>
      </c>
      <c r="D9" t="s">
        <v>34</v>
      </c>
      <c r="E9">
        <v>5</v>
      </c>
      <c r="F9" t="s">
        <v>554</v>
      </c>
      <c r="G9" t="s">
        <v>85</v>
      </c>
      <c r="H9" t="s">
        <v>279</v>
      </c>
      <c r="I9" t="s">
        <v>212</v>
      </c>
      <c r="J9" t="s">
        <v>213</v>
      </c>
      <c r="K9" t="s">
        <v>149</v>
      </c>
      <c r="M9" t="s">
        <v>541</v>
      </c>
      <c r="N9" t="s">
        <v>215</v>
      </c>
      <c r="O9" s="57">
        <v>46267.356516203705</v>
      </c>
      <c r="P9" s="57">
        <v>46268.373773148145</v>
      </c>
      <c r="Q9">
        <v>69381948</v>
      </c>
      <c r="S9">
        <v>172413244691</v>
      </c>
      <c r="T9" t="s">
        <v>1529</v>
      </c>
      <c r="U9" t="s">
        <v>1530</v>
      </c>
      <c r="Z9">
        <v>115.1825267</v>
      </c>
      <c r="AA9">
        <v>-8.5028325000000002</v>
      </c>
      <c r="AB9" t="s">
        <v>1531</v>
      </c>
      <c r="AC9" t="s">
        <v>229</v>
      </c>
      <c r="AO9" s="57">
        <v>46062.361122685186</v>
      </c>
      <c r="AR9" t="s">
        <v>6</v>
      </c>
      <c r="AS9" t="s">
        <v>85</v>
      </c>
      <c r="AT9" t="s">
        <v>230</v>
      </c>
      <c r="AV9" t="s">
        <v>1532</v>
      </c>
      <c r="AW9" t="s">
        <v>545</v>
      </c>
      <c r="AX9" t="s">
        <v>222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TABANAN</v>
      </c>
    </row>
    <row r="10" spans="1:61">
      <c r="A10">
        <v>9</v>
      </c>
      <c r="B10">
        <v>1002568161</v>
      </c>
      <c r="C10">
        <v>3</v>
      </c>
      <c r="D10" t="s">
        <v>42</v>
      </c>
      <c r="E10">
        <v>5</v>
      </c>
      <c r="F10" t="s">
        <v>232</v>
      </c>
      <c r="G10" t="s">
        <v>106</v>
      </c>
      <c r="H10" t="s">
        <v>446</v>
      </c>
      <c r="I10" t="s">
        <v>212</v>
      </c>
      <c r="J10" t="s">
        <v>213</v>
      </c>
      <c r="K10" t="s">
        <v>149</v>
      </c>
      <c r="M10" t="s">
        <v>541</v>
      </c>
      <c r="N10" t="s">
        <v>215</v>
      </c>
      <c r="O10" s="57">
        <v>46267.653912037036</v>
      </c>
      <c r="P10" s="57">
        <v>46267.829270833332</v>
      </c>
      <c r="Q10">
        <v>69382472</v>
      </c>
      <c r="S10">
        <v>152746208711</v>
      </c>
      <c r="T10" t="s">
        <v>1533</v>
      </c>
      <c r="U10" t="s">
        <v>1534</v>
      </c>
      <c r="Z10">
        <v>112.59153379999999</v>
      </c>
      <c r="AA10">
        <v>-7.6649966999999997</v>
      </c>
      <c r="AB10" t="s">
        <v>1535</v>
      </c>
      <c r="AC10" t="s">
        <v>229</v>
      </c>
      <c r="AO10" s="57">
        <v>46062.663159722222</v>
      </c>
      <c r="AR10" t="s">
        <v>6</v>
      </c>
      <c r="AS10" t="s">
        <v>1514</v>
      </c>
      <c r="AT10" t="s">
        <v>230</v>
      </c>
      <c r="AV10" t="s">
        <v>1536</v>
      </c>
      <c r="AW10" t="s">
        <v>545</v>
      </c>
      <c r="AX10" t="s">
        <v>222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PASURUAN</v>
      </c>
    </row>
    <row r="11" spans="1:61">
      <c r="A11">
        <v>10</v>
      </c>
      <c r="B11">
        <v>1002567556</v>
      </c>
      <c r="C11">
        <v>3</v>
      </c>
      <c r="D11" t="s">
        <v>59</v>
      </c>
      <c r="E11">
        <v>4</v>
      </c>
      <c r="F11" t="s">
        <v>549</v>
      </c>
      <c r="G11" t="s">
        <v>582</v>
      </c>
      <c r="H11" t="s">
        <v>835</v>
      </c>
      <c r="I11" t="s">
        <v>212</v>
      </c>
      <c r="J11" t="s">
        <v>213</v>
      </c>
      <c r="K11" t="s">
        <v>149</v>
      </c>
      <c r="M11" t="s">
        <v>541</v>
      </c>
      <c r="N11" t="s">
        <v>215</v>
      </c>
      <c r="O11" s="57">
        <v>46267.554293981484</v>
      </c>
      <c r="P11" s="57">
        <v>46268.354120370372</v>
      </c>
      <c r="Q11">
        <v>69382299</v>
      </c>
      <c r="R11">
        <v>2745059176</v>
      </c>
      <c r="S11">
        <v>146113146876</v>
      </c>
      <c r="T11" t="s">
        <v>1537</v>
      </c>
      <c r="U11" t="s">
        <v>1538</v>
      </c>
      <c r="Z11">
        <v>110.3612481</v>
      </c>
      <c r="AA11">
        <v>-7.7611556000000004</v>
      </c>
      <c r="AB11" t="s">
        <v>1539</v>
      </c>
      <c r="AC11" t="s">
        <v>284</v>
      </c>
      <c r="AO11" s="57">
        <v>46062.559687499997</v>
      </c>
      <c r="AR11" t="s">
        <v>6</v>
      </c>
      <c r="AS11" t="s">
        <v>219</v>
      </c>
      <c r="AT11" t="s">
        <v>230</v>
      </c>
      <c r="AV11" t="s">
        <v>1540</v>
      </c>
      <c r="AW11" t="s">
        <v>545</v>
      </c>
      <c r="AX11" t="s">
        <v>222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e">
        <f>VLOOKUP(H11,Sheet2!$A$1:$B$270,2,FALSE)</f>
        <v>#N/A</v>
      </c>
    </row>
    <row r="12" spans="1:61">
      <c r="A12">
        <v>11</v>
      </c>
      <c r="B12">
        <v>1002566767</v>
      </c>
      <c r="C12">
        <v>3</v>
      </c>
      <c r="D12" t="s">
        <v>34</v>
      </c>
      <c r="E12">
        <v>5</v>
      </c>
      <c r="F12" t="s">
        <v>554</v>
      </c>
      <c r="G12" t="s">
        <v>82</v>
      </c>
      <c r="H12" t="s">
        <v>264</v>
      </c>
      <c r="I12" t="s">
        <v>212</v>
      </c>
      <c r="J12" t="s">
        <v>213</v>
      </c>
      <c r="K12" t="s">
        <v>149</v>
      </c>
      <c r="M12" t="s">
        <v>541</v>
      </c>
      <c r="N12" t="s">
        <v>215</v>
      </c>
      <c r="O12" s="57">
        <v>46267.382025462961</v>
      </c>
      <c r="P12" s="57">
        <v>46267.727986111109</v>
      </c>
      <c r="Q12">
        <v>69382007</v>
      </c>
      <c r="S12">
        <v>172428816065</v>
      </c>
      <c r="T12" t="s">
        <v>1541</v>
      </c>
      <c r="U12" t="s">
        <v>1542</v>
      </c>
      <c r="Z12">
        <v>115.4412536</v>
      </c>
      <c r="AA12">
        <v>-8.7049766000000002</v>
      </c>
      <c r="AB12" t="s">
        <v>1543</v>
      </c>
      <c r="AC12" t="s">
        <v>229</v>
      </c>
      <c r="AO12" s="57">
        <v>46062.402870370373</v>
      </c>
      <c r="AR12" t="s">
        <v>6</v>
      </c>
      <c r="AS12" t="s">
        <v>555</v>
      </c>
      <c r="AT12" t="s">
        <v>230</v>
      </c>
      <c r="AV12" t="s">
        <v>1544</v>
      </c>
      <c r="AW12" t="s">
        <v>545</v>
      </c>
      <c r="AX12" t="s">
        <v>222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str">
        <f>VLOOKUP(H12,Sheet2!$A$1:$B$270,2,FALSE)</f>
        <v>KLUNGKUNG</v>
      </c>
    </row>
    <row r="13" spans="1:61">
      <c r="A13">
        <v>12</v>
      </c>
      <c r="B13">
        <v>1002564602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273</v>
      </c>
      <c r="I13" t="s">
        <v>212</v>
      </c>
      <c r="J13" t="s">
        <v>213</v>
      </c>
      <c r="K13" t="s">
        <v>149</v>
      </c>
      <c r="L13" t="s">
        <v>214</v>
      </c>
      <c r="M13" t="s">
        <v>541</v>
      </c>
      <c r="N13" t="s">
        <v>215</v>
      </c>
      <c r="O13" s="57">
        <v>46266.418541666666</v>
      </c>
      <c r="P13" s="57">
        <v>46268.378819444442</v>
      </c>
      <c r="Q13">
        <v>69374745</v>
      </c>
      <c r="S13">
        <v>172603791824</v>
      </c>
      <c r="T13" t="s">
        <v>949</v>
      </c>
      <c r="U13" t="s">
        <v>1545</v>
      </c>
      <c r="V13" t="s">
        <v>950</v>
      </c>
      <c r="Z13">
        <v>116.316</v>
      </c>
      <c r="AA13">
        <v>-8.6163000000000007</v>
      </c>
      <c r="AB13" t="s">
        <v>951</v>
      </c>
      <c r="AC13" t="s">
        <v>216</v>
      </c>
      <c r="AL13" t="s">
        <v>217</v>
      </c>
      <c r="AM13" t="s">
        <v>952</v>
      </c>
      <c r="AN13" t="s">
        <v>6</v>
      </c>
      <c r="AO13" s="57">
        <v>46031.423645833333</v>
      </c>
      <c r="AP13" s="57">
        <v>46261</v>
      </c>
      <c r="AR13" t="s">
        <v>6</v>
      </c>
      <c r="AS13" t="s">
        <v>901</v>
      </c>
      <c r="AT13" t="s">
        <v>230</v>
      </c>
      <c r="AV13" t="s">
        <v>1546</v>
      </c>
      <c r="AW13" t="s">
        <v>831</v>
      </c>
      <c r="AX13" t="s">
        <v>222</v>
      </c>
      <c r="BA13" s="57">
        <v>46261.625</v>
      </c>
      <c r="BB13" t="s">
        <v>952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1002567253</v>
      </c>
      <c r="C14">
        <v>3</v>
      </c>
      <c r="D14" t="s">
        <v>55</v>
      </c>
      <c r="E14">
        <v>5</v>
      </c>
      <c r="F14" t="s">
        <v>261</v>
      </c>
      <c r="G14" t="s">
        <v>123</v>
      </c>
      <c r="H14" t="s">
        <v>287</v>
      </c>
      <c r="I14" t="s">
        <v>212</v>
      </c>
      <c r="J14" t="s">
        <v>213</v>
      </c>
      <c r="K14" t="s">
        <v>149</v>
      </c>
      <c r="M14" t="s">
        <v>842</v>
      </c>
      <c r="N14" t="s">
        <v>215</v>
      </c>
      <c r="O14" s="57">
        <v>46267.477280092593</v>
      </c>
      <c r="P14" s="57">
        <v>46267.656990740739</v>
      </c>
      <c r="Q14">
        <v>69382161</v>
      </c>
      <c r="S14">
        <v>152401227303</v>
      </c>
      <c r="T14" t="s">
        <v>1547</v>
      </c>
      <c r="U14" t="s">
        <v>1548</v>
      </c>
      <c r="Z14">
        <v>112.7154621</v>
      </c>
      <c r="AA14">
        <v>-7.2402169000000001</v>
      </c>
      <c r="AB14" t="s">
        <v>1549</v>
      </c>
      <c r="AC14" t="s">
        <v>229</v>
      </c>
      <c r="AO14" s="57">
        <v>46062.486145833333</v>
      </c>
      <c r="AR14" t="s">
        <v>6</v>
      </c>
      <c r="AS14" t="s">
        <v>271</v>
      </c>
      <c r="AT14" t="s">
        <v>230</v>
      </c>
      <c r="AV14" t="s">
        <v>1550</v>
      </c>
      <c r="AW14" t="s">
        <v>1551</v>
      </c>
      <c r="AX14" t="s">
        <v>222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SURABAYA UTARA</v>
      </c>
    </row>
    <row r="15" spans="1:61">
      <c r="A15">
        <v>14</v>
      </c>
      <c r="B15">
        <v>1002564745</v>
      </c>
      <c r="C15">
        <v>3</v>
      </c>
      <c r="D15" t="s">
        <v>55</v>
      </c>
      <c r="E15">
        <v>5</v>
      </c>
      <c r="F15" t="s">
        <v>227</v>
      </c>
      <c r="G15" t="s">
        <v>121</v>
      </c>
      <c r="H15" t="s">
        <v>334</v>
      </c>
      <c r="I15" t="s">
        <v>212</v>
      </c>
      <c r="J15" t="s">
        <v>213</v>
      </c>
      <c r="K15" t="s">
        <v>149</v>
      </c>
      <c r="M15" t="s">
        <v>842</v>
      </c>
      <c r="N15" t="s">
        <v>215</v>
      </c>
      <c r="O15" s="57">
        <v>46266.44158564815</v>
      </c>
      <c r="P15" s="57">
        <v>46266.694004629629</v>
      </c>
      <c r="Q15">
        <v>69381308</v>
      </c>
      <c r="S15">
        <v>152434913996</v>
      </c>
      <c r="T15" t="s">
        <v>1049</v>
      </c>
      <c r="U15" t="s">
        <v>860</v>
      </c>
      <c r="Z15">
        <v>113.2519231</v>
      </c>
      <c r="AA15">
        <v>-7.1953864999999997</v>
      </c>
      <c r="AB15" t="s">
        <v>1050</v>
      </c>
      <c r="AC15" t="s">
        <v>229</v>
      </c>
      <c r="AO15" s="57">
        <v>46031.444409722222</v>
      </c>
      <c r="AR15" t="s">
        <v>6</v>
      </c>
      <c r="AS15" t="s">
        <v>335</v>
      </c>
      <c r="AT15" t="s">
        <v>230</v>
      </c>
      <c r="AV15" t="s">
        <v>1051</v>
      </c>
      <c r="AW15" t="s">
        <v>544</v>
      </c>
      <c r="AX15" t="s">
        <v>222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MADURA</v>
      </c>
    </row>
    <row r="16" spans="1:61">
      <c r="A16">
        <v>15</v>
      </c>
      <c r="B16">
        <v>1002566333</v>
      </c>
      <c r="C16">
        <v>3</v>
      </c>
      <c r="D16" t="s">
        <v>59</v>
      </c>
      <c r="E16">
        <v>4</v>
      </c>
      <c r="F16" t="s">
        <v>549</v>
      </c>
      <c r="G16" t="s">
        <v>850</v>
      </c>
      <c r="H16" t="s">
        <v>851</v>
      </c>
      <c r="I16" t="s">
        <v>212</v>
      </c>
      <c r="J16" t="s">
        <v>213</v>
      </c>
      <c r="K16" t="s">
        <v>149</v>
      </c>
      <c r="L16" t="s">
        <v>214</v>
      </c>
      <c r="M16" t="s">
        <v>559</v>
      </c>
      <c r="N16" t="s">
        <v>215</v>
      </c>
      <c r="O16" s="57">
        <v>46266.70417824074</v>
      </c>
      <c r="P16" s="57">
        <v>46267.460439814815</v>
      </c>
      <c r="Q16">
        <v>69380335</v>
      </c>
      <c r="T16" t="s">
        <v>1027</v>
      </c>
      <c r="V16" t="s">
        <v>1028</v>
      </c>
      <c r="Z16">
        <v>110.74294399999999</v>
      </c>
      <c r="AA16">
        <v>-8.0177610000000001</v>
      </c>
      <c r="AB16" t="s">
        <v>1029</v>
      </c>
      <c r="AC16" t="s">
        <v>236</v>
      </c>
      <c r="AL16" t="s">
        <v>217</v>
      </c>
      <c r="AM16" t="s">
        <v>1030</v>
      </c>
      <c r="AN16" t="s">
        <v>6</v>
      </c>
      <c r="AO16" s="57">
        <v>46031.704814814817</v>
      </c>
      <c r="AP16" s="57">
        <v>46266</v>
      </c>
      <c r="AR16" t="s">
        <v>548</v>
      </c>
      <c r="AS16" t="s">
        <v>903</v>
      </c>
      <c r="AT16" t="s">
        <v>230</v>
      </c>
      <c r="AV16" t="s">
        <v>847</v>
      </c>
      <c r="AW16" t="s">
        <v>836</v>
      </c>
      <c r="AX16" t="s">
        <v>222</v>
      </c>
      <c r="BA16" s="57">
        <v>46266.625</v>
      </c>
      <c r="BB16" t="s">
        <v>1030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e">
        <f>VLOOKUP(H16,Sheet2!$A$1:$B$270,2,FALSE)</f>
        <v>#N/A</v>
      </c>
    </row>
    <row r="17" spans="1:61">
      <c r="A17">
        <v>16</v>
      </c>
      <c r="B17">
        <v>1002567928</v>
      </c>
      <c r="C17">
        <v>3</v>
      </c>
      <c r="D17" t="s">
        <v>59</v>
      </c>
      <c r="E17">
        <v>4</v>
      </c>
      <c r="F17" t="s">
        <v>242</v>
      </c>
      <c r="G17" t="s">
        <v>1552</v>
      </c>
      <c r="H17" t="s">
        <v>1553</v>
      </c>
      <c r="I17" t="s">
        <v>212</v>
      </c>
      <c r="J17" t="s">
        <v>213</v>
      </c>
      <c r="K17" t="s">
        <v>149</v>
      </c>
      <c r="L17" t="s">
        <v>214</v>
      </c>
      <c r="M17" t="s">
        <v>239</v>
      </c>
      <c r="N17" t="s">
        <v>215</v>
      </c>
      <c r="O17" s="57">
        <v>46267.613159722219</v>
      </c>
      <c r="P17" s="57">
        <v>46267.613900462966</v>
      </c>
      <c r="Q17">
        <v>69382428</v>
      </c>
      <c r="S17">
        <v>141373127584</v>
      </c>
      <c r="T17" t="s">
        <v>1554</v>
      </c>
      <c r="U17" t="s">
        <v>1555</v>
      </c>
      <c r="V17" t="s">
        <v>1556</v>
      </c>
      <c r="Z17">
        <v>109.93605700000001</v>
      </c>
      <c r="AA17">
        <v>-7.4980890000000002</v>
      </c>
      <c r="AB17" t="s">
        <v>1557</v>
      </c>
      <c r="AC17" t="s">
        <v>236</v>
      </c>
      <c r="AL17" t="s">
        <v>217</v>
      </c>
      <c r="AM17" t="s">
        <v>1558</v>
      </c>
      <c r="AN17" t="s">
        <v>6</v>
      </c>
      <c r="AO17" s="57">
        <v>46062.621527777781</v>
      </c>
      <c r="AP17" s="57">
        <v>46268.541666666664</v>
      </c>
      <c r="AR17" t="s">
        <v>240</v>
      </c>
      <c r="AS17" t="s">
        <v>219</v>
      </c>
      <c r="AT17" t="s">
        <v>230</v>
      </c>
      <c r="AV17" t="s">
        <v>239</v>
      </c>
      <c r="AW17" t="s">
        <v>882</v>
      </c>
      <c r="AX17" t="s">
        <v>222</v>
      </c>
      <c r="BA17" s="57">
        <v>46268.541666666664</v>
      </c>
      <c r="BB17" t="s">
        <v>1558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e">
        <f>VLOOKUP(H17,Sheet2!$A$1:$B$270,2,FALSE)</f>
        <v>#N/A</v>
      </c>
    </row>
    <row r="18" spans="1:61">
      <c r="A18">
        <v>17</v>
      </c>
      <c r="B18">
        <v>1002568563</v>
      </c>
      <c r="C18">
        <v>3</v>
      </c>
      <c r="D18" t="s">
        <v>49</v>
      </c>
      <c r="E18">
        <v>4</v>
      </c>
      <c r="F18" t="s">
        <v>245</v>
      </c>
      <c r="G18" t="s">
        <v>246</v>
      </c>
      <c r="H18" t="s">
        <v>832</v>
      </c>
      <c r="I18" t="s">
        <v>212</v>
      </c>
      <c r="J18" t="s">
        <v>213</v>
      </c>
      <c r="K18" t="s">
        <v>149</v>
      </c>
      <c r="L18" t="s">
        <v>214</v>
      </c>
      <c r="M18" t="s">
        <v>239</v>
      </c>
      <c r="N18" t="s">
        <v>215</v>
      </c>
      <c r="O18" s="57">
        <v>46267.779120370367</v>
      </c>
      <c r="P18" s="57">
        <v>46267.78056712963</v>
      </c>
      <c r="Q18">
        <v>69382629</v>
      </c>
      <c r="S18">
        <v>142406122667</v>
      </c>
      <c r="T18" t="s">
        <v>1559</v>
      </c>
      <c r="U18" t="s">
        <v>1560</v>
      </c>
      <c r="V18" t="s">
        <v>1561</v>
      </c>
      <c r="Z18">
        <v>110.405501419705</v>
      </c>
      <c r="AA18">
        <v>-6.9828250310455298</v>
      </c>
      <c r="AB18" t="s">
        <v>1562</v>
      </c>
      <c r="AC18" t="s">
        <v>1563</v>
      </c>
      <c r="AL18" t="s">
        <v>217</v>
      </c>
      <c r="AM18" t="s">
        <v>1564</v>
      </c>
      <c r="AN18" t="s">
        <v>6</v>
      </c>
      <c r="AO18" s="57">
        <v>46062.788148148145</v>
      </c>
      <c r="AP18" s="57">
        <v>46268.625</v>
      </c>
      <c r="AR18" t="s">
        <v>240</v>
      </c>
      <c r="AS18" t="s">
        <v>900</v>
      </c>
      <c r="AT18" t="s">
        <v>230</v>
      </c>
      <c r="AV18" t="s">
        <v>239</v>
      </c>
      <c r="AW18" t="s">
        <v>929</v>
      </c>
      <c r="AX18" t="s">
        <v>222</v>
      </c>
      <c r="BA18" s="57">
        <v>46268.625</v>
      </c>
      <c r="BB18" t="s">
        <v>1564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e">
        <f>VLOOKUP(H18,Sheet2!$A$1:$B$270,2,FALSE)</f>
        <v>#N/A</v>
      </c>
    </row>
    <row r="19" spans="1:61">
      <c r="A19">
        <v>18</v>
      </c>
      <c r="B19">
        <v>1002568550</v>
      </c>
      <c r="C19">
        <v>3</v>
      </c>
      <c r="D19" t="s">
        <v>55</v>
      </c>
      <c r="E19">
        <v>5</v>
      </c>
      <c r="F19" t="s">
        <v>261</v>
      </c>
      <c r="G19" t="s">
        <v>123</v>
      </c>
      <c r="H19" t="s">
        <v>267</v>
      </c>
      <c r="I19" t="s">
        <v>212</v>
      </c>
      <c r="J19" t="s">
        <v>213</v>
      </c>
      <c r="K19" t="s">
        <v>149</v>
      </c>
      <c r="L19" t="s">
        <v>214</v>
      </c>
      <c r="M19" t="s">
        <v>239</v>
      </c>
      <c r="N19" t="s">
        <v>215</v>
      </c>
      <c r="O19" s="57">
        <v>46267.758981481478</v>
      </c>
      <c r="P19" s="57">
        <v>46267.759733796294</v>
      </c>
      <c r="Q19">
        <v>69382627</v>
      </c>
      <c r="S19">
        <v>152407281983</v>
      </c>
      <c r="T19" t="s">
        <v>1565</v>
      </c>
      <c r="U19" t="s">
        <v>1566</v>
      </c>
      <c r="V19" t="s">
        <v>1567</v>
      </c>
      <c r="Z19">
        <v>112.7640701</v>
      </c>
      <c r="AA19">
        <v>-7.2579474999999896</v>
      </c>
      <c r="AB19" t="s">
        <v>1568</v>
      </c>
      <c r="AC19" t="s">
        <v>236</v>
      </c>
      <c r="AL19" t="s">
        <v>217</v>
      </c>
      <c r="AM19" t="s">
        <v>1569</v>
      </c>
      <c r="AN19" t="s">
        <v>6</v>
      </c>
      <c r="AO19" s="57">
        <v>46062.767453703702</v>
      </c>
      <c r="AP19" s="57">
        <v>46268.625</v>
      </c>
      <c r="AR19" t="s">
        <v>240</v>
      </c>
      <c r="AS19" t="s">
        <v>123</v>
      </c>
      <c r="AT19" t="s">
        <v>230</v>
      </c>
      <c r="AV19" t="s">
        <v>239</v>
      </c>
      <c r="AW19" t="s">
        <v>890</v>
      </c>
      <c r="AX19" t="s">
        <v>222</v>
      </c>
      <c r="BA19" s="57">
        <v>46268.625</v>
      </c>
      <c r="BB19" t="s">
        <v>1569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SURABAYA UTARA</v>
      </c>
    </row>
    <row r="20" spans="1:61">
      <c r="A20">
        <v>19</v>
      </c>
      <c r="B20">
        <v>1002566975</v>
      </c>
      <c r="C20">
        <v>3</v>
      </c>
      <c r="D20" t="s">
        <v>49</v>
      </c>
      <c r="E20">
        <v>4</v>
      </c>
      <c r="F20" t="s">
        <v>250</v>
      </c>
      <c r="G20" t="s">
        <v>253</v>
      </c>
      <c r="H20" t="s">
        <v>1570</v>
      </c>
      <c r="I20" t="s">
        <v>212</v>
      </c>
      <c r="J20" t="s">
        <v>213</v>
      </c>
      <c r="K20" t="s">
        <v>149</v>
      </c>
      <c r="M20" t="s">
        <v>239</v>
      </c>
      <c r="N20" t="s">
        <v>215</v>
      </c>
      <c r="O20" s="57">
        <v>46267.419942129629</v>
      </c>
      <c r="P20" s="57">
        <v>46267.529178240744</v>
      </c>
      <c r="Q20">
        <v>69382056</v>
      </c>
      <c r="S20">
        <v>142283120012</v>
      </c>
      <c r="T20" t="s">
        <v>1571</v>
      </c>
      <c r="U20" t="s">
        <v>1572</v>
      </c>
      <c r="V20" t="s">
        <v>1573</v>
      </c>
      <c r="Z20">
        <v>109.1181605</v>
      </c>
      <c r="AA20">
        <v>-6.9798542000000001</v>
      </c>
      <c r="AB20" t="s">
        <v>1574</v>
      </c>
      <c r="AC20" t="s">
        <v>225</v>
      </c>
      <c r="AL20" t="s">
        <v>217</v>
      </c>
      <c r="AM20" t="s">
        <v>1575</v>
      </c>
      <c r="AN20" t="s">
        <v>6</v>
      </c>
      <c r="AO20" s="57">
        <v>46062.423657407409</v>
      </c>
      <c r="AP20" s="57">
        <v>46268.541666666664</v>
      </c>
      <c r="AR20" t="s">
        <v>240</v>
      </c>
      <c r="AS20" t="s">
        <v>219</v>
      </c>
      <c r="AT20" t="s">
        <v>230</v>
      </c>
      <c r="AV20" t="s">
        <v>239</v>
      </c>
      <c r="AW20" t="s">
        <v>544</v>
      </c>
      <c r="AX20" t="s">
        <v>222</v>
      </c>
      <c r="BA20" s="57">
        <v>46268.541666666664</v>
      </c>
      <c r="BB20" t="s">
        <v>1575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e">
        <f>VLOOKUP(H20,Sheet2!$A$1:$B$270,2,FALSE)</f>
        <v>#N/A</v>
      </c>
    </row>
    <row r="21" spans="1:61">
      <c r="A21">
        <v>20</v>
      </c>
      <c r="B21">
        <v>1002568552</v>
      </c>
      <c r="C21">
        <v>3</v>
      </c>
      <c r="D21" t="s">
        <v>59</v>
      </c>
      <c r="E21">
        <v>4</v>
      </c>
      <c r="F21" t="s">
        <v>549</v>
      </c>
      <c r="G21" t="s">
        <v>582</v>
      </c>
      <c r="H21" t="s">
        <v>835</v>
      </c>
      <c r="I21" t="s">
        <v>212</v>
      </c>
      <c r="J21" t="s">
        <v>213</v>
      </c>
      <c r="K21" t="s">
        <v>149</v>
      </c>
      <c r="L21" t="s">
        <v>214</v>
      </c>
      <c r="M21" t="s">
        <v>239</v>
      </c>
      <c r="N21" t="s">
        <v>215</v>
      </c>
      <c r="O21" s="57">
        <v>46267.762465277781</v>
      </c>
      <c r="P21" s="57">
        <v>46267.76390046296</v>
      </c>
      <c r="Q21">
        <v>69382616</v>
      </c>
      <c r="S21">
        <v>146113147312</v>
      </c>
      <c r="T21" t="s">
        <v>1576</v>
      </c>
      <c r="U21" t="s">
        <v>1577</v>
      </c>
      <c r="V21" t="s">
        <v>1578</v>
      </c>
      <c r="Z21">
        <v>110.3804032</v>
      </c>
      <c r="AA21">
        <v>-7.7611340999999996</v>
      </c>
      <c r="AB21" t="s">
        <v>1579</v>
      </c>
      <c r="AC21" t="s">
        <v>236</v>
      </c>
      <c r="AL21" t="s">
        <v>217</v>
      </c>
      <c r="AM21" t="s">
        <v>1580</v>
      </c>
      <c r="AN21" t="s">
        <v>6</v>
      </c>
      <c r="AO21" s="57">
        <v>46062.767453703702</v>
      </c>
      <c r="AP21" s="57">
        <v>46269.416666666664</v>
      </c>
      <c r="AR21" t="s">
        <v>240</v>
      </c>
      <c r="AS21" t="s">
        <v>219</v>
      </c>
      <c r="AT21" t="s">
        <v>230</v>
      </c>
      <c r="AV21" t="s">
        <v>239</v>
      </c>
      <c r="AW21" t="s">
        <v>887</v>
      </c>
      <c r="AX21" t="s">
        <v>222</v>
      </c>
      <c r="BA21" s="57">
        <v>46269.416666666664</v>
      </c>
      <c r="BB21" t="s">
        <v>1580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1002568399</v>
      </c>
      <c r="C22">
        <v>3</v>
      </c>
      <c r="D22" t="s">
        <v>55</v>
      </c>
      <c r="E22">
        <v>5</v>
      </c>
      <c r="F22" t="s">
        <v>307</v>
      </c>
      <c r="G22" t="s">
        <v>124</v>
      </c>
      <c r="H22" t="s">
        <v>309</v>
      </c>
      <c r="I22" t="s">
        <v>212</v>
      </c>
      <c r="J22" t="s">
        <v>213</v>
      </c>
      <c r="K22" t="s">
        <v>149</v>
      </c>
      <c r="L22" t="s">
        <v>214</v>
      </c>
      <c r="M22" t="s">
        <v>239</v>
      </c>
      <c r="N22" t="s">
        <v>215</v>
      </c>
      <c r="O22" s="57">
        <v>46267.697870370372</v>
      </c>
      <c r="P22" s="57">
        <v>46267.698773148149</v>
      </c>
      <c r="Q22">
        <v>69382568</v>
      </c>
      <c r="S22">
        <v>152308243235</v>
      </c>
      <c r="T22" t="s">
        <v>1581</v>
      </c>
      <c r="U22" t="s">
        <v>1582</v>
      </c>
      <c r="V22" t="s">
        <v>1583</v>
      </c>
      <c r="Z22">
        <v>112.73393590003199</v>
      </c>
      <c r="AA22">
        <v>-7.32036786912564</v>
      </c>
      <c r="AB22" t="s">
        <v>1584</v>
      </c>
      <c r="AC22" t="s">
        <v>216</v>
      </c>
      <c r="AL22" t="s">
        <v>217</v>
      </c>
      <c r="AM22" t="s">
        <v>1585</v>
      </c>
      <c r="AN22" t="s">
        <v>6</v>
      </c>
      <c r="AO22" s="57">
        <v>46062.704965277779</v>
      </c>
      <c r="AP22" s="57">
        <v>46268.625</v>
      </c>
      <c r="AR22" t="s">
        <v>240</v>
      </c>
      <c r="AS22" t="s">
        <v>605</v>
      </c>
      <c r="AT22" t="s">
        <v>230</v>
      </c>
      <c r="AV22" t="s">
        <v>239</v>
      </c>
      <c r="AW22" t="s">
        <v>891</v>
      </c>
      <c r="AX22" t="s">
        <v>222</v>
      </c>
      <c r="BA22" s="57">
        <v>46268.625</v>
      </c>
      <c r="BB22" t="s">
        <v>1585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SURABAYA SELATAN</v>
      </c>
    </row>
    <row r="23" spans="1:61">
      <c r="A23">
        <v>22</v>
      </c>
      <c r="B23">
        <v>1002567882</v>
      </c>
      <c r="C23">
        <v>3</v>
      </c>
      <c r="D23" t="s">
        <v>55</v>
      </c>
      <c r="E23">
        <v>5</v>
      </c>
      <c r="F23" t="s">
        <v>261</v>
      </c>
      <c r="G23" t="s">
        <v>128</v>
      </c>
      <c r="H23" t="s">
        <v>305</v>
      </c>
      <c r="I23" t="s">
        <v>212</v>
      </c>
      <c r="J23" t="s">
        <v>213</v>
      </c>
      <c r="K23" t="s">
        <v>149</v>
      </c>
      <c r="L23" t="s">
        <v>214</v>
      </c>
      <c r="M23" t="s">
        <v>239</v>
      </c>
      <c r="N23" t="s">
        <v>215</v>
      </c>
      <c r="O23" s="57">
        <v>46267.606979166667</v>
      </c>
      <c r="P23" s="57">
        <v>46267.608356481483</v>
      </c>
      <c r="Q23">
        <v>69382418</v>
      </c>
      <c r="S23">
        <v>152417233852</v>
      </c>
      <c r="T23" t="s">
        <v>1586</v>
      </c>
      <c r="U23" t="s">
        <v>1587</v>
      </c>
      <c r="V23" t="s">
        <v>1588</v>
      </c>
      <c r="Z23">
        <v>112.5747837</v>
      </c>
      <c r="AA23">
        <v>-7.3740005999999996</v>
      </c>
      <c r="AB23" t="s">
        <v>1589</v>
      </c>
      <c r="AC23" t="s">
        <v>216</v>
      </c>
      <c r="AL23" t="s">
        <v>217</v>
      </c>
      <c r="AM23" t="s">
        <v>1590</v>
      </c>
      <c r="AN23" t="s">
        <v>6</v>
      </c>
      <c r="AO23" s="57">
        <v>46062.61109953704</v>
      </c>
      <c r="AP23" s="57">
        <v>46268.458333333336</v>
      </c>
      <c r="AR23" t="s">
        <v>240</v>
      </c>
      <c r="AS23" t="s">
        <v>602</v>
      </c>
      <c r="AT23" t="s">
        <v>344</v>
      </c>
      <c r="AV23" t="s">
        <v>239</v>
      </c>
      <c r="AW23" t="s">
        <v>1591</v>
      </c>
      <c r="AX23" t="s">
        <v>222</v>
      </c>
      <c r="BA23" s="57">
        <v>46268.458333333336</v>
      </c>
      <c r="BB23" t="s">
        <v>1590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SURABAYA UTARA</v>
      </c>
    </row>
    <row r="24" spans="1:61">
      <c r="A24">
        <v>23</v>
      </c>
      <c r="B24">
        <v>1002567874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263</v>
      </c>
      <c r="I24" t="s">
        <v>212</v>
      </c>
      <c r="J24" t="s">
        <v>213</v>
      </c>
      <c r="K24" t="s">
        <v>149</v>
      </c>
      <c r="L24" t="s">
        <v>214</v>
      </c>
      <c r="M24" t="s">
        <v>239</v>
      </c>
      <c r="N24" t="s">
        <v>215</v>
      </c>
      <c r="O24" s="57">
        <v>46267.606215277781</v>
      </c>
      <c r="P24" s="57">
        <v>46267.607152777775</v>
      </c>
      <c r="Q24">
        <v>69382416</v>
      </c>
      <c r="S24">
        <v>172601793606</v>
      </c>
      <c r="T24" t="s">
        <v>1592</v>
      </c>
      <c r="U24" t="s">
        <v>1593</v>
      </c>
      <c r="V24" t="s">
        <v>1594</v>
      </c>
      <c r="Z24">
        <v>116.094719</v>
      </c>
      <c r="AA24">
        <v>-8.62235499999999</v>
      </c>
      <c r="AB24" t="s">
        <v>1595</v>
      </c>
      <c r="AC24" t="s">
        <v>216</v>
      </c>
      <c r="AL24" t="s">
        <v>217</v>
      </c>
      <c r="AM24" t="s">
        <v>1596</v>
      </c>
      <c r="AN24" t="s">
        <v>6</v>
      </c>
      <c r="AO24" s="57">
        <v>46062.61109953704</v>
      </c>
      <c r="AP24" s="57">
        <v>46269.333333333336</v>
      </c>
      <c r="AR24" t="s">
        <v>240</v>
      </c>
      <c r="AS24" t="s">
        <v>219</v>
      </c>
      <c r="AT24" t="s">
        <v>230</v>
      </c>
      <c r="AV24" t="s">
        <v>239</v>
      </c>
      <c r="AW24" t="s">
        <v>882</v>
      </c>
      <c r="AX24" t="s">
        <v>222</v>
      </c>
      <c r="BA24" s="57">
        <v>46269.333333333336</v>
      </c>
      <c r="BB24" t="s">
        <v>1596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1002567985</v>
      </c>
      <c r="C25">
        <v>3</v>
      </c>
      <c r="D25" t="s">
        <v>45</v>
      </c>
      <c r="E25">
        <v>5</v>
      </c>
      <c r="F25" t="s">
        <v>113</v>
      </c>
      <c r="G25" t="s">
        <v>117</v>
      </c>
      <c r="H25" t="s">
        <v>274</v>
      </c>
      <c r="I25" t="s">
        <v>212</v>
      </c>
      <c r="J25" t="s">
        <v>213</v>
      </c>
      <c r="K25" t="s">
        <v>149</v>
      </c>
      <c r="L25" t="s">
        <v>214</v>
      </c>
      <c r="M25" t="s">
        <v>239</v>
      </c>
      <c r="N25" t="s">
        <v>215</v>
      </c>
      <c r="O25" s="57">
        <v>46267.622870370367</v>
      </c>
      <c r="P25" s="57">
        <v>46267.623622685183</v>
      </c>
      <c r="Q25">
        <v>69382447</v>
      </c>
      <c r="S25">
        <v>172510701070</v>
      </c>
      <c r="T25" t="s">
        <v>1597</v>
      </c>
      <c r="U25" t="s">
        <v>1598</v>
      </c>
      <c r="V25" t="s">
        <v>1599</v>
      </c>
      <c r="Z25">
        <v>123.43901392980401</v>
      </c>
      <c r="AA25">
        <v>-8.3653747622922303</v>
      </c>
      <c r="AB25" t="s">
        <v>1600</v>
      </c>
      <c r="AC25" t="s">
        <v>236</v>
      </c>
      <c r="AL25" t="s">
        <v>217</v>
      </c>
      <c r="AM25" t="s">
        <v>1601</v>
      </c>
      <c r="AN25" t="s">
        <v>6</v>
      </c>
      <c r="AO25" s="57">
        <v>46062.631921296299</v>
      </c>
      <c r="AP25" s="57">
        <v>46268.541666666664</v>
      </c>
      <c r="AR25" t="s">
        <v>240</v>
      </c>
      <c r="AS25" t="s">
        <v>219</v>
      </c>
      <c r="AT25" t="s">
        <v>230</v>
      </c>
      <c r="AV25" t="s">
        <v>239</v>
      </c>
      <c r="AW25" t="s">
        <v>831</v>
      </c>
      <c r="AX25" t="s">
        <v>222</v>
      </c>
      <c r="BA25" s="57">
        <v>46268.541666666664</v>
      </c>
      <c r="BB25" t="s">
        <v>1601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MAUMERE</v>
      </c>
    </row>
    <row r="26" spans="1:61">
      <c r="A26">
        <v>25</v>
      </c>
      <c r="B26">
        <v>1002568456</v>
      </c>
      <c r="C26">
        <v>3</v>
      </c>
      <c r="D26" t="s">
        <v>38</v>
      </c>
      <c r="E26">
        <v>5</v>
      </c>
      <c r="F26" t="s">
        <v>92</v>
      </c>
      <c r="G26" t="s">
        <v>89</v>
      </c>
      <c r="H26" t="s">
        <v>360</v>
      </c>
      <c r="I26" t="s">
        <v>212</v>
      </c>
      <c r="J26" t="s">
        <v>213</v>
      </c>
      <c r="K26" t="s">
        <v>149</v>
      </c>
      <c r="L26" t="s">
        <v>214</v>
      </c>
      <c r="M26" t="s">
        <v>239</v>
      </c>
      <c r="N26" t="s">
        <v>215</v>
      </c>
      <c r="O26" s="57">
        <v>46267.712465277778</v>
      </c>
      <c r="P26" s="57">
        <v>46267.713900462964</v>
      </c>
      <c r="Q26">
        <v>69382589</v>
      </c>
      <c r="S26">
        <v>152644206416</v>
      </c>
      <c r="T26" t="s">
        <v>1602</v>
      </c>
      <c r="U26" t="s">
        <v>1603</v>
      </c>
      <c r="V26" t="s">
        <v>1604</v>
      </c>
      <c r="Z26">
        <v>111.597600531919</v>
      </c>
      <c r="AA26">
        <v>-7.2663955216170297</v>
      </c>
      <c r="AB26" t="s">
        <v>1605</v>
      </c>
      <c r="AC26" t="s">
        <v>236</v>
      </c>
      <c r="AL26" t="s">
        <v>217</v>
      </c>
      <c r="AM26" t="s">
        <v>1606</v>
      </c>
      <c r="AN26" t="s">
        <v>6</v>
      </c>
      <c r="AO26" s="57">
        <v>46062.715486111112</v>
      </c>
      <c r="AP26" s="57">
        <v>46268.625</v>
      </c>
      <c r="AR26" t="s">
        <v>240</v>
      </c>
      <c r="AS26" t="s">
        <v>1607</v>
      </c>
      <c r="AT26" t="s">
        <v>230</v>
      </c>
      <c r="AV26" t="s">
        <v>239</v>
      </c>
      <c r="AW26" t="s">
        <v>885</v>
      </c>
      <c r="AX26" t="s">
        <v>222</v>
      </c>
      <c r="BA26" s="57">
        <v>46268.625</v>
      </c>
      <c r="BB26" t="s">
        <v>1606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str">
        <f>VLOOKUP(H26,Sheet2!$A$1:$B$270,2,FALSE)</f>
        <v>BOJONEGORO</v>
      </c>
    </row>
    <row r="27" spans="1:61">
      <c r="A27">
        <v>26</v>
      </c>
      <c r="B27">
        <v>1002567313</v>
      </c>
      <c r="C27">
        <v>3</v>
      </c>
      <c r="D27" t="s">
        <v>51</v>
      </c>
      <c r="E27">
        <v>4</v>
      </c>
      <c r="F27" t="s">
        <v>234</v>
      </c>
      <c r="G27" t="s">
        <v>562</v>
      </c>
      <c r="H27" t="s">
        <v>854</v>
      </c>
      <c r="I27" t="s">
        <v>212</v>
      </c>
      <c r="J27" t="s">
        <v>213</v>
      </c>
      <c r="K27" t="s">
        <v>149</v>
      </c>
      <c r="L27" t="s">
        <v>214</v>
      </c>
      <c r="M27" t="s">
        <v>239</v>
      </c>
      <c r="N27" t="s">
        <v>215</v>
      </c>
      <c r="O27" s="57">
        <v>46267.481203703705</v>
      </c>
      <c r="P27" s="57">
        <v>46267.481956018521</v>
      </c>
      <c r="Q27">
        <v>69382210</v>
      </c>
      <c r="S27">
        <v>142566103740</v>
      </c>
      <c r="T27" t="s">
        <v>1608</v>
      </c>
      <c r="U27" t="s">
        <v>1609</v>
      </c>
      <c r="V27" t="s">
        <v>1610</v>
      </c>
      <c r="Z27">
        <v>110.8475772</v>
      </c>
      <c r="AA27">
        <v>-7.5198448999999998</v>
      </c>
      <c r="AB27" t="s">
        <v>1611</v>
      </c>
      <c r="AC27" t="s">
        <v>236</v>
      </c>
      <c r="AL27" t="s">
        <v>217</v>
      </c>
      <c r="AM27" t="s">
        <v>1612</v>
      </c>
      <c r="AN27" t="s">
        <v>6</v>
      </c>
      <c r="AO27" s="57">
        <v>46062.486145833333</v>
      </c>
      <c r="AP27" s="57">
        <v>46270.333333333336</v>
      </c>
      <c r="AR27" t="s">
        <v>240</v>
      </c>
      <c r="AS27" t="s">
        <v>914</v>
      </c>
      <c r="AT27" t="s">
        <v>230</v>
      </c>
      <c r="AV27" t="s">
        <v>239</v>
      </c>
      <c r="AW27" t="s">
        <v>890</v>
      </c>
      <c r="AX27" t="s">
        <v>222</v>
      </c>
      <c r="BA27" s="57">
        <v>46270.333333333336</v>
      </c>
      <c r="BB27" t="s">
        <v>1612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e">
        <f>VLOOKUP(H27,Sheet2!$A$1:$B$270,2,FALSE)</f>
        <v>#N/A</v>
      </c>
    </row>
    <row r="28" spans="1:61">
      <c r="A28">
        <v>27</v>
      </c>
      <c r="B28">
        <v>1002568555</v>
      </c>
      <c r="C28">
        <v>3</v>
      </c>
      <c r="D28" t="s">
        <v>59</v>
      </c>
      <c r="E28">
        <v>4</v>
      </c>
      <c r="F28" t="s">
        <v>549</v>
      </c>
      <c r="G28" t="s">
        <v>825</v>
      </c>
      <c r="H28" t="s">
        <v>1613</v>
      </c>
      <c r="I28" t="s">
        <v>212</v>
      </c>
      <c r="J28" t="s">
        <v>213</v>
      </c>
      <c r="K28" t="s">
        <v>149</v>
      </c>
      <c r="L28" t="s">
        <v>214</v>
      </c>
      <c r="M28" t="s">
        <v>239</v>
      </c>
      <c r="N28" t="s">
        <v>215</v>
      </c>
      <c r="O28" s="57">
        <v>46267.767314814817</v>
      </c>
      <c r="P28" s="57">
        <v>46267.769456018519</v>
      </c>
      <c r="Q28">
        <v>69382617</v>
      </c>
      <c r="S28">
        <v>146143118536</v>
      </c>
      <c r="T28" t="s">
        <v>1576</v>
      </c>
      <c r="U28" t="s">
        <v>1614</v>
      </c>
      <c r="V28" t="s">
        <v>1615</v>
      </c>
      <c r="Z28">
        <v>110.153674</v>
      </c>
      <c r="AA28">
        <v>-7.8596780999999902</v>
      </c>
      <c r="AB28" t="s">
        <v>1616</v>
      </c>
      <c r="AC28" t="s">
        <v>236</v>
      </c>
      <c r="AL28" t="s">
        <v>217</v>
      </c>
      <c r="AM28" t="s">
        <v>1617</v>
      </c>
      <c r="AN28" t="s">
        <v>6</v>
      </c>
      <c r="AO28" s="57">
        <v>46062.777731481481</v>
      </c>
      <c r="AP28" s="57">
        <v>46269.625</v>
      </c>
      <c r="AR28" t="s">
        <v>240</v>
      </c>
      <c r="AS28" t="s">
        <v>1618</v>
      </c>
      <c r="AT28" t="s">
        <v>230</v>
      </c>
      <c r="AV28" t="s">
        <v>239</v>
      </c>
      <c r="AW28" t="s">
        <v>887</v>
      </c>
      <c r="AX28" t="s">
        <v>222</v>
      </c>
      <c r="BA28" s="57">
        <v>46269.625</v>
      </c>
      <c r="BB28" t="s">
        <v>1617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1002568037</v>
      </c>
      <c r="C29">
        <v>3</v>
      </c>
      <c r="D29" t="s">
        <v>42</v>
      </c>
      <c r="E29">
        <v>5</v>
      </c>
      <c r="F29" t="s">
        <v>106</v>
      </c>
      <c r="G29" t="s">
        <v>107</v>
      </c>
      <c r="H29" t="s">
        <v>345</v>
      </c>
      <c r="I29" t="s">
        <v>212</v>
      </c>
      <c r="J29" t="s">
        <v>213</v>
      </c>
      <c r="K29" t="s">
        <v>149</v>
      </c>
      <c r="L29" t="s">
        <v>214</v>
      </c>
      <c r="M29" t="s">
        <v>239</v>
      </c>
      <c r="N29" t="s">
        <v>215</v>
      </c>
      <c r="O29" s="57">
        <v>46267.633298611108</v>
      </c>
      <c r="P29" s="57">
        <v>46267.634733796294</v>
      </c>
      <c r="Q29">
        <v>69382457</v>
      </c>
      <c r="S29">
        <v>152509216392</v>
      </c>
      <c r="T29" t="s">
        <v>1619</v>
      </c>
      <c r="U29" t="s">
        <v>1620</v>
      </c>
      <c r="V29" t="s">
        <v>1621</v>
      </c>
      <c r="Z29">
        <v>113.379946611821</v>
      </c>
      <c r="AA29">
        <v>-7.8220765346997103</v>
      </c>
      <c r="AB29" t="s">
        <v>1622</v>
      </c>
      <c r="AC29" t="s">
        <v>216</v>
      </c>
      <c r="AL29" t="s">
        <v>217</v>
      </c>
      <c r="AM29" t="s">
        <v>1623</v>
      </c>
      <c r="AN29" t="s">
        <v>6</v>
      </c>
      <c r="AO29" s="57">
        <v>46062.642453703702</v>
      </c>
      <c r="AP29" s="57">
        <v>46268.541666666664</v>
      </c>
      <c r="AR29" t="s">
        <v>240</v>
      </c>
      <c r="AS29" t="s">
        <v>1624</v>
      </c>
      <c r="AT29" t="s">
        <v>230</v>
      </c>
      <c r="AV29" t="s">
        <v>239</v>
      </c>
      <c r="AW29" t="s">
        <v>886</v>
      </c>
      <c r="AX29" t="s">
        <v>222</v>
      </c>
      <c r="BA29" s="57">
        <v>46268.541666666664</v>
      </c>
      <c r="BB29" t="s">
        <v>1623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str">
        <f>VLOOKUP(H29,Sheet2!$A$1:$B$270,2,FALSE)</f>
        <v>PROBOLINGGO</v>
      </c>
    </row>
    <row r="30" spans="1:61">
      <c r="A30">
        <v>29</v>
      </c>
      <c r="B30">
        <v>1002568030</v>
      </c>
      <c r="C30">
        <v>3</v>
      </c>
      <c r="D30" t="s">
        <v>38</v>
      </c>
      <c r="E30">
        <v>5</v>
      </c>
      <c r="F30" t="s">
        <v>92</v>
      </c>
      <c r="G30" t="s">
        <v>97</v>
      </c>
      <c r="H30" t="s">
        <v>252</v>
      </c>
      <c r="I30" t="s">
        <v>212</v>
      </c>
      <c r="J30" t="s">
        <v>213</v>
      </c>
      <c r="K30" t="s">
        <v>149</v>
      </c>
      <c r="L30" t="s">
        <v>214</v>
      </c>
      <c r="M30" t="s">
        <v>239</v>
      </c>
      <c r="N30" t="s">
        <v>215</v>
      </c>
      <c r="O30" s="57">
        <v>46267.631909722222</v>
      </c>
      <c r="P30" s="57">
        <v>46267.633344907408</v>
      </c>
      <c r="Q30">
        <v>69382432</v>
      </c>
      <c r="S30">
        <v>152612240422</v>
      </c>
      <c r="T30" t="s">
        <v>1625</v>
      </c>
      <c r="U30" t="s">
        <v>1626</v>
      </c>
      <c r="V30" t="s">
        <v>1627</v>
      </c>
      <c r="Z30">
        <v>112.042243480682</v>
      </c>
      <c r="AA30">
        <v>-6.8893245840678397</v>
      </c>
      <c r="AB30" t="s">
        <v>1628</v>
      </c>
      <c r="AC30" t="s">
        <v>216</v>
      </c>
      <c r="AL30" t="s">
        <v>217</v>
      </c>
      <c r="AM30" t="s">
        <v>1629</v>
      </c>
      <c r="AN30" t="s">
        <v>6</v>
      </c>
      <c r="AO30" s="57">
        <v>46062.642453703702</v>
      </c>
      <c r="AP30" s="57">
        <v>46269.333333333336</v>
      </c>
      <c r="AR30" t="s">
        <v>240</v>
      </c>
      <c r="AS30" t="s">
        <v>219</v>
      </c>
      <c r="AT30" t="s">
        <v>230</v>
      </c>
      <c r="AV30" t="s">
        <v>239</v>
      </c>
      <c r="AW30" t="s">
        <v>883</v>
      </c>
      <c r="AX30" t="s">
        <v>222</v>
      </c>
      <c r="BA30" s="57">
        <v>46269.333333333336</v>
      </c>
      <c r="BB30" t="s">
        <v>1629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BOJONEGORO</v>
      </c>
    </row>
    <row r="31" spans="1:61">
      <c r="A31">
        <v>30</v>
      </c>
      <c r="B31">
        <v>1002568049</v>
      </c>
      <c r="C31">
        <v>3</v>
      </c>
      <c r="D31" t="s">
        <v>38</v>
      </c>
      <c r="E31">
        <v>5</v>
      </c>
      <c r="F31" t="s">
        <v>92</v>
      </c>
      <c r="G31" t="s">
        <v>89</v>
      </c>
      <c r="H31" t="s">
        <v>397</v>
      </c>
      <c r="I31" t="s">
        <v>212</v>
      </c>
      <c r="J31" t="s">
        <v>213</v>
      </c>
      <c r="K31" t="s">
        <v>149</v>
      </c>
      <c r="L31" t="s">
        <v>214</v>
      </c>
      <c r="M31" t="s">
        <v>239</v>
      </c>
      <c r="N31" t="s">
        <v>215</v>
      </c>
      <c r="O31" s="57">
        <v>46267.636076388888</v>
      </c>
      <c r="P31" s="57">
        <v>46267.637523148151</v>
      </c>
      <c r="Q31">
        <v>69382459</v>
      </c>
      <c r="S31">
        <v>152642208293</v>
      </c>
      <c r="T31" t="s">
        <v>1630</v>
      </c>
      <c r="U31" t="s">
        <v>1631</v>
      </c>
      <c r="V31" t="s">
        <v>1632</v>
      </c>
      <c r="Z31">
        <v>111.984771799999</v>
      </c>
      <c r="AA31">
        <v>-7.1844241999999996</v>
      </c>
      <c r="AB31" t="s">
        <v>1633</v>
      </c>
      <c r="AC31" t="s">
        <v>236</v>
      </c>
      <c r="AL31" t="s">
        <v>217</v>
      </c>
      <c r="AM31" t="s">
        <v>1634</v>
      </c>
      <c r="AN31" t="s">
        <v>6</v>
      </c>
      <c r="AO31" s="57">
        <v>46062.642453703702</v>
      </c>
      <c r="AP31" s="57">
        <v>46268.625</v>
      </c>
      <c r="AR31" t="s">
        <v>240</v>
      </c>
      <c r="AS31" t="s">
        <v>1607</v>
      </c>
      <c r="AT31" t="s">
        <v>230</v>
      </c>
      <c r="AV31" t="s">
        <v>239</v>
      </c>
      <c r="AW31" t="s">
        <v>886</v>
      </c>
      <c r="AX31" t="s">
        <v>222</v>
      </c>
      <c r="BA31" s="57">
        <v>46268.625</v>
      </c>
      <c r="BB31" t="s">
        <v>1634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BOJONEGORO</v>
      </c>
    </row>
    <row r="32" spans="1:61">
      <c r="A32">
        <v>31</v>
      </c>
      <c r="B32">
        <v>1002567684</v>
      </c>
      <c r="C32">
        <v>3</v>
      </c>
      <c r="D32" t="s">
        <v>42</v>
      </c>
      <c r="E32">
        <v>5</v>
      </c>
      <c r="F32" t="s">
        <v>106</v>
      </c>
      <c r="G32" t="s">
        <v>106</v>
      </c>
      <c r="H32" t="s">
        <v>365</v>
      </c>
      <c r="I32" t="s">
        <v>212</v>
      </c>
      <c r="J32" t="s">
        <v>213</v>
      </c>
      <c r="K32" t="s">
        <v>149</v>
      </c>
      <c r="M32" t="s">
        <v>239</v>
      </c>
      <c r="N32" t="s">
        <v>215</v>
      </c>
      <c r="O32" s="57">
        <v>46267.573125000003</v>
      </c>
      <c r="P32" s="57">
        <v>46267.627812500003</v>
      </c>
      <c r="Q32">
        <v>69382355</v>
      </c>
      <c r="S32">
        <v>152731204219</v>
      </c>
      <c r="T32" t="s">
        <v>1635</v>
      </c>
      <c r="U32" t="s">
        <v>1636</v>
      </c>
      <c r="V32" t="s">
        <v>1637</v>
      </c>
      <c r="Z32">
        <v>112.9810363</v>
      </c>
      <c r="AA32">
        <v>-7.8022390000000001</v>
      </c>
      <c r="AB32" t="s">
        <v>1638</v>
      </c>
      <c r="AC32" t="s">
        <v>229</v>
      </c>
      <c r="AL32" t="s">
        <v>217</v>
      </c>
      <c r="AM32" t="s">
        <v>1639</v>
      </c>
      <c r="AN32" t="s">
        <v>6</v>
      </c>
      <c r="AO32" s="57">
        <v>46062.579953703702</v>
      </c>
      <c r="AP32" s="57">
        <v>46270.333333333336</v>
      </c>
      <c r="AR32" t="s">
        <v>240</v>
      </c>
      <c r="AS32" t="s">
        <v>219</v>
      </c>
      <c r="AT32" t="s">
        <v>230</v>
      </c>
      <c r="AV32" t="s">
        <v>239</v>
      </c>
      <c r="AW32" t="s">
        <v>545</v>
      </c>
      <c r="AX32" t="s">
        <v>222</v>
      </c>
      <c r="BA32" s="57">
        <v>46270.333333333336</v>
      </c>
      <c r="BB32" t="s">
        <v>1639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PASURUAN</v>
      </c>
    </row>
    <row r="33" spans="1:61">
      <c r="A33">
        <v>32</v>
      </c>
      <c r="B33">
        <v>1002568531</v>
      </c>
      <c r="C33">
        <v>3</v>
      </c>
      <c r="D33" t="s">
        <v>51</v>
      </c>
      <c r="E33">
        <v>4</v>
      </c>
      <c r="F33" t="s">
        <v>269</v>
      </c>
      <c r="G33" t="s">
        <v>551</v>
      </c>
      <c r="H33" t="s">
        <v>1640</v>
      </c>
      <c r="I33" t="s">
        <v>212</v>
      </c>
      <c r="J33" t="s">
        <v>213</v>
      </c>
      <c r="K33" t="s">
        <v>149</v>
      </c>
      <c r="L33" t="s">
        <v>214</v>
      </c>
      <c r="M33" t="s">
        <v>239</v>
      </c>
      <c r="N33" t="s">
        <v>215</v>
      </c>
      <c r="O33" s="57">
        <v>46267.745798611111</v>
      </c>
      <c r="P33" s="57">
        <v>46267.747534722221</v>
      </c>
      <c r="Q33">
        <v>69382609</v>
      </c>
      <c r="S33">
        <v>142509107207</v>
      </c>
      <c r="T33" t="s">
        <v>1641</v>
      </c>
      <c r="U33" t="s">
        <v>1642</v>
      </c>
      <c r="V33" t="s">
        <v>1643</v>
      </c>
      <c r="Z33">
        <v>111.14239600000001</v>
      </c>
      <c r="AA33">
        <v>-7.0871589999999998</v>
      </c>
      <c r="AB33" t="s">
        <v>1644</v>
      </c>
      <c r="AC33" t="s">
        <v>236</v>
      </c>
      <c r="AL33" t="s">
        <v>217</v>
      </c>
      <c r="AM33" t="s">
        <v>1634</v>
      </c>
      <c r="AN33" t="s">
        <v>6</v>
      </c>
      <c r="AO33" s="57">
        <v>46062.746516203704</v>
      </c>
      <c r="AP33" s="57">
        <v>46268.625</v>
      </c>
      <c r="AR33" t="s">
        <v>240</v>
      </c>
      <c r="AS33" t="s">
        <v>1645</v>
      </c>
      <c r="AT33" t="s">
        <v>230</v>
      </c>
      <c r="AV33" t="s">
        <v>239</v>
      </c>
      <c r="AW33" t="s">
        <v>890</v>
      </c>
      <c r="AX33" t="s">
        <v>222</v>
      </c>
      <c r="BA33" s="57">
        <v>46268.625</v>
      </c>
      <c r="BB33" t="s">
        <v>1634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e">
        <f>VLOOKUP(H33,Sheet2!$A$1:$B$270,2,FALSE)</f>
        <v>#N/A</v>
      </c>
    </row>
    <row r="34" spans="1:61">
      <c r="A34">
        <v>33</v>
      </c>
      <c r="B34">
        <v>1002568518</v>
      </c>
      <c r="C34">
        <v>3</v>
      </c>
      <c r="D34" t="s">
        <v>59</v>
      </c>
      <c r="E34">
        <v>4</v>
      </c>
      <c r="F34" t="s">
        <v>242</v>
      </c>
      <c r="G34" t="s">
        <v>542</v>
      </c>
      <c r="H34" t="s">
        <v>1646</v>
      </c>
      <c r="I34" t="s">
        <v>212</v>
      </c>
      <c r="J34" t="s">
        <v>213</v>
      </c>
      <c r="K34" t="s">
        <v>149</v>
      </c>
      <c r="L34" t="s">
        <v>214</v>
      </c>
      <c r="M34" t="s">
        <v>239</v>
      </c>
      <c r="N34" t="s">
        <v>215</v>
      </c>
      <c r="O34" s="57">
        <v>46267.741631944446</v>
      </c>
      <c r="P34" s="57">
        <v>46267.743067129632</v>
      </c>
      <c r="Q34">
        <v>69382605</v>
      </c>
      <c r="S34">
        <v>141176104975</v>
      </c>
      <c r="T34" t="s">
        <v>1647</v>
      </c>
      <c r="U34" t="s">
        <v>1648</v>
      </c>
      <c r="V34" t="s">
        <v>1649</v>
      </c>
      <c r="Z34">
        <v>109.7888514</v>
      </c>
      <c r="AA34">
        <v>-7.8002635999999903</v>
      </c>
      <c r="AB34" t="s">
        <v>1650</v>
      </c>
      <c r="AC34" t="s">
        <v>236</v>
      </c>
      <c r="AL34" t="s">
        <v>217</v>
      </c>
      <c r="AM34" t="s">
        <v>1651</v>
      </c>
      <c r="AN34" t="s">
        <v>6</v>
      </c>
      <c r="AO34" s="57">
        <v>46062.746516203704</v>
      </c>
      <c r="AP34" s="57">
        <v>46268.625</v>
      </c>
      <c r="AR34" t="s">
        <v>240</v>
      </c>
      <c r="AS34" t="s">
        <v>219</v>
      </c>
      <c r="AT34" t="s">
        <v>230</v>
      </c>
      <c r="AV34" t="s">
        <v>239</v>
      </c>
      <c r="AW34" t="s">
        <v>890</v>
      </c>
      <c r="AX34" t="s">
        <v>222</v>
      </c>
      <c r="BA34" s="57">
        <v>46268.625</v>
      </c>
      <c r="BB34" t="s">
        <v>1651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1002568195</v>
      </c>
      <c r="C35">
        <v>3</v>
      </c>
      <c r="D35" t="s">
        <v>59</v>
      </c>
      <c r="E35">
        <v>4</v>
      </c>
      <c r="F35" t="s">
        <v>242</v>
      </c>
      <c r="G35" t="s">
        <v>1652</v>
      </c>
      <c r="H35" t="s">
        <v>1653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46267.65828703704</v>
      </c>
      <c r="P35" s="57">
        <v>46267.659733796296</v>
      </c>
      <c r="Q35">
        <v>69382476</v>
      </c>
      <c r="S35">
        <v>142138510633</v>
      </c>
      <c r="T35" t="s">
        <v>1654</v>
      </c>
      <c r="U35" t="s">
        <v>1655</v>
      </c>
      <c r="V35" t="s">
        <v>1656</v>
      </c>
      <c r="Z35">
        <v>109.96678199999999</v>
      </c>
      <c r="AA35">
        <v>-7.7259229999999999</v>
      </c>
      <c r="AB35" t="s">
        <v>1657</v>
      </c>
      <c r="AC35" t="s">
        <v>236</v>
      </c>
      <c r="AL35" t="s">
        <v>217</v>
      </c>
      <c r="AM35" t="s">
        <v>1658</v>
      </c>
      <c r="AN35" t="s">
        <v>6</v>
      </c>
      <c r="AO35" s="57">
        <v>46062.663159722222</v>
      </c>
      <c r="AP35" s="57">
        <v>46268.541666666664</v>
      </c>
      <c r="AR35" t="s">
        <v>240</v>
      </c>
      <c r="AS35" t="s">
        <v>219</v>
      </c>
      <c r="AT35" t="s">
        <v>230</v>
      </c>
      <c r="AV35" t="s">
        <v>239</v>
      </c>
      <c r="AW35" t="s">
        <v>887</v>
      </c>
      <c r="AX35" t="s">
        <v>222</v>
      </c>
      <c r="BA35" s="57">
        <v>46268.541666666664</v>
      </c>
      <c r="BB35" t="s">
        <v>1658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e">
        <f>VLOOKUP(H35,Sheet2!$A$1:$B$270,2,FALSE)</f>
        <v>#N/A</v>
      </c>
    </row>
    <row r="36" spans="1:61">
      <c r="A36">
        <v>35</v>
      </c>
      <c r="B36">
        <v>1002567425</v>
      </c>
      <c r="C36">
        <v>3</v>
      </c>
      <c r="D36" t="s">
        <v>59</v>
      </c>
      <c r="E36">
        <v>4</v>
      </c>
      <c r="F36" t="s">
        <v>242</v>
      </c>
      <c r="G36" t="s">
        <v>1552</v>
      </c>
      <c r="H36" t="s">
        <v>1553</v>
      </c>
      <c r="I36" t="s">
        <v>212</v>
      </c>
      <c r="J36" t="s">
        <v>213</v>
      </c>
      <c r="K36" t="s">
        <v>149</v>
      </c>
      <c r="L36" t="s">
        <v>214</v>
      </c>
      <c r="M36" t="s">
        <v>239</v>
      </c>
      <c r="N36" t="s">
        <v>215</v>
      </c>
      <c r="O36" s="57">
        <v>46267.504143518519</v>
      </c>
      <c r="P36" s="57">
        <v>46267.505567129629</v>
      </c>
      <c r="Q36">
        <v>69382249</v>
      </c>
      <c r="S36">
        <v>141373127581</v>
      </c>
      <c r="T36" t="s">
        <v>1659</v>
      </c>
      <c r="U36" t="s">
        <v>1660</v>
      </c>
      <c r="V36" t="s">
        <v>1661</v>
      </c>
      <c r="Z36">
        <v>109.999415</v>
      </c>
      <c r="AA36">
        <v>-7.3580639999999997</v>
      </c>
      <c r="AB36" t="s">
        <v>1662</v>
      </c>
      <c r="AC36" t="s">
        <v>236</v>
      </c>
      <c r="AL36" t="s">
        <v>217</v>
      </c>
      <c r="AM36" t="s">
        <v>1663</v>
      </c>
      <c r="AN36" t="s">
        <v>6</v>
      </c>
      <c r="AO36" s="57">
        <v>46062.506898148145</v>
      </c>
      <c r="AP36" s="57">
        <v>46268.541666666664</v>
      </c>
      <c r="AR36" t="s">
        <v>240</v>
      </c>
      <c r="AS36" t="s">
        <v>219</v>
      </c>
      <c r="AT36" t="s">
        <v>230</v>
      </c>
      <c r="AV36" t="s">
        <v>239</v>
      </c>
      <c r="AW36" t="s">
        <v>887</v>
      </c>
      <c r="AX36" t="s">
        <v>222</v>
      </c>
      <c r="BA36" s="57">
        <v>46268.541666666664</v>
      </c>
      <c r="BB36" t="s">
        <v>1663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1002567420</v>
      </c>
      <c r="C37">
        <v>3</v>
      </c>
      <c r="D37" t="s">
        <v>49</v>
      </c>
      <c r="E37">
        <v>4</v>
      </c>
      <c r="F37" t="s">
        <v>245</v>
      </c>
      <c r="G37" t="s">
        <v>246</v>
      </c>
      <c r="H37" t="s">
        <v>834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46267.502743055556</v>
      </c>
      <c r="P37" s="57">
        <v>46267.504189814812</v>
      </c>
      <c r="Q37">
        <v>69382239</v>
      </c>
      <c r="S37">
        <v>142410346466</v>
      </c>
      <c r="T37" t="s">
        <v>1664</v>
      </c>
      <c r="U37" t="s">
        <v>1665</v>
      </c>
      <c r="V37" t="s">
        <v>1666</v>
      </c>
      <c r="Z37">
        <v>110.526506</v>
      </c>
      <c r="AA37">
        <v>-7.0235409999999998</v>
      </c>
      <c r="AB37" t="s">
        <v>1667</v>
      </c>
      <c r="AC37" t="s">
        <v>236</v>
      </c>
      <c r="AL37" t="s">
        <v>217</v>
      </c>
      <c r="AM37" t="s">
        <v>1668</v>
      </c>
      <c r="AN37" t="s">
        <v>6</v>
      </c>
      <c r="AO37" s="57">
        <v>46062.506898148145</v>
      </c>
      <c r="AP37" s="57">
        <v>46268.458333333336</v>
      </c>
      <c r="AR37" t="s">
        <v>240</v>
      </c>
      <c r="AS37" t="s">
        <v>911</v>
      </c>
      <c r="AT37" t="s">
        <v>230</v>
      </c>
      <c r="AV37" t="s">
        <v>239</v>
      </c>
      <c r="AW37" t="s">
        <v>882</v>
      </c>
      <c r="AX37" t="s">
        <v>222</v>
      </c>
      <c r="BA37" s="57">
        <v>46268.458333333336</v>
      </c>
      <c r="BB37" t="s">
        <v>1668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e">
        <f>VLOOKUP(H37,Sheet2!$A$1:$B$270,2,FALSE)</f>
        <v>#N/A</v>
      </c>
    </row>
    <row r="38" spans="1:61">
      <c r="A38">
        <v>37</v>
      </c>
      <c r="B38">
        <v>1002567595</v>
      </c>
      <c r="C38">
        <v>3</v>
      </c>
      <c r="D38" t="s">
        <v>38</v>
      </c>
      <c r="E38">
        <v>5</v>
      </c>
      <c r="F38" t="s">
        <v>92</v>
      </c>
      <c r="G38" t="s">
        <v>94</v>
      </c>
      <c r="H38" t="s">
        <v>452</v>
      </c>
      <c r="I38" t="s">
        <v>212</v>
      </c>
      <c r="J38" t="s">
        <v>213</v>
      </c>
      <c r="K38" t="s">
        <v>149</v>
      </c>
      <c r="L38" t="s">
        <v>214</v>
      </c>
      <c r="M38" t="s">
        <v>239</v>
      </c>
      <c r="N38" t="s">
        <v>215</v>
      </c>
      <c r="O38" s="57">
        <v>46267.558287037034</v>
      </c>
      <c r="P38" s="57">
        <v>46267.559745370374</v>
      </c>
      <c r="Q38">
        <v>69382331</v>
      </c>
      <c r="S38">
        <v>152605224195</v>
      </c>
      <c r="T38" t="s">
        <v>1669</v>
      </c>
      <c r="U38" t="s">
        <v>1670</v>
      </c>
      <c r="V38" t="s">
        <v>1671</v>
      </c>
      <c r="Z38">
        <v>111.35494136219199</v>
      </c>
      <c r="AA38">
        <v>-7.4455752915795799</v>
      </c>
      <c r="AB38" t="s">
        <v>1672</v>
      </c>
      <c r="AC38" t="s">
        <v>236</v>
      </c>
      <c r="AL38" t="s">
        <v>217</v>
      </c>
      <c r="AM38" t="s">
        <v>1673</v>
      </c>
      <c r="AN38" t="s">
        <v>6</v>
      </c>
      <c r="AO38" s="57">
        <v>46062.559687499997</v>
      </c>
      <c r="AP38" s="57">
        <v>46268.541666666664</v>
      </c>
      <c r="AR38" t="s">
        <v>240</v>
      </c>
      <c r="AS38" t="s">
        <v>219</v>
      </c>
      <c r="AT38" t="s">
        <v>344</v>
      </c>
      <c r="AV38" t="s">
        <v>239</v>
      </c>
      <c r="AW38" t="s">
        <v>1674</v>
      </c>
      <c r="AX38" t="s">
        <v>222</v>
      </c>
      <c r="BA38" s="57">
        <v>46268.541666666664</v>
      </c>
      <c r="BB38" t="s">
        <v>1673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MADIUN</v>
      </c>
    </row>
    <row r="39" spans="1:61">
      <c r="A39">
        <v>38</v>
      </c>
      <c r="B39">
        <v>1002567634</v>
      </c>
      <c r="C39">
        <v>3</v>
      </c>
      <c r="D39" t="s">
        <v>55</v>
      </c>
      <c r="E39">
        <v>5</v>
      </c>
      <c r="F39" t="s">
        <v>261</v>
      </c>
      <c r="G39" t="s">
        <v>125</v>
      </c>
      <c r="H39" t="s">
        <v>405</v>
      </c>
      <c r="I39" t="s">
        <v>212</v>
      </c>
      <c r="J39" t="s">
        <v>213</v>
      </c>
      <c r="K39" t="s">
        <v>149</v>
      </c>
      <c r="L39" t="s">
        <v>214</v>
      </c>
      <c r="M39" t="s">
        <v>239</v>
      </c>
      <c r="N39" t="s">
        <v>215</v>
      </c>
      <c r="O39" s="57">
        <v>46267.565243055556</v>
      </c>
      <c r="P39" s="57">
        <v>46267.566678240742</v>
      </c>
      <c r="Q39">
        <v>69382344</v>
      </c>
      <c r="S39">
        <v>152433910150</v>
      </c>
      <c r="T39" t="s">
        <v>1675</v>
      </c>
      <c r="U39" t="s">
        <v>1676</v>
      </c>
      <c r="V39" t="s">
        <v>1677</v>
      </c>
      <c r="Z39">
        <v>112.42066059261499</v>
      </c>
      <c r="AA39">
        <v>-7.1230848578334101</v>
      </c>
      <c r="AB39" t="s">
        <v>1678</v>
      </c>
      <c r="AC39" t="s">
        <v>216</v>
      </c>
      <c r="AL39" t="s">
        <v>217</v>
      </c>
      <c r="AM39" t="s">
        <v>1679</v>
      </c>
      <c r="AN39" t="s">
        <v>6</v>
      </c>
      <c r="AO39" s="57">
        <v>46062.569467592592</v>
      </c>
      <c r="AP39" s="57">
        <v>46268.458333333336</v>
      </c>
      <c r="AR39" t="s">
        <v>240</v>
      </c>
      <c r="AS39" t="s">
        <v>125</v>
      </c>
      <c r="AT39" t="s">
        <v>230</v>
      </c>
      <c r="AV39" t="s">
        <v>239</v>
      </c>
      <c r="AW39" t="s">
        <v>886</v>
      </c>
      <c r="AX39" t="s">
        <v>222</v>
      </c>
      <c r="BA39" s="57">
        <v>46268.458333333336</v>
      </c>
      <c r="BB39" t="s">
        <v>1679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GRESIK</v>
      </c>
    </row>
    <row r="40" spans="1:61">
      <c r="A40">
        <v>39</v>
      </c>
      <c r="B40">
        <v>1002567613</v>
      </c>
      <c r="C40">
        <v>3</v>
      </c>
      <c r="D40" t="s">
        <v>42</v>
      </c>
      <c r="E40">
        <v>5</v>
      </c>
      <c r="F40" t="s">
        <v>232</v>
      </c>
      <c r="G40" t="s">
        <v>105</v>
      </c>
      <c r="H40" t="s">
        <v>370</v>
      </c>
      <c r="I40" t="s">
        <v>212</v>
      </c>
      <c r="J40" t="s">
        <v>213</v>
      </c>
      <c r="K40" t="s">
        <v>149</v>
      </c>
      <c r="M40" t="s">
        <v>239</v>
      </c>
      <c r="N40" t="s">
        <v>215</v>
      </c>
      <c r="O40" s="57">
        <v>46267.562974537039</v>
      </c>
      <c r="P40" s="57">
        <v>46267.619479166664</v>
      </c>
      <c r="Q40">
        <v>69382338</v>
      </c>
      <c r="S40">
        <v>152329214727</v>
      </c>
      <c r="T40" t="s">
        <v>1680</v>
      </c>
      <c r="U40" t="s">
        <v>1681</v>
      </c>
      <c r="V40" t="s">
        <v>1682</v>
      </c>
      <c r="Z40">
        <v>112.45543619999999</v>
      </c>
      <c r="AA40">
        <v>-7.5968659000000001</v>
      </c>
      <c r="AB40" t="s">
        <v>1683</v>
      </c>
      <c r="AC40" t="s">
        <v>229</v>
      </c>
      <c r="AL40" t="s">
        <v>217</v>
      </c>
      <c r="AM40" t="s">
        <v>1684</v>
      </c>
      <c r="AN40" t="s">
        <v>6</v>
      </c>
      <c r="AO40" s="57">
        <v>46062.569467592592</v>
      </c>
      <c r="AP40" s="57">
        <v>46268.458333333336</v>
      </c>
      <c r="AR40" t="s">
        <v>240</v>
      </c>
      <c r="AS40" t="s">
        <v>105</v>
      </c>
      <c r="AT40" t="s">
        <v>220</v>
      </c>
      <c r="AV40" t="s">
        <v>239</v>
      </c>
      <c r="AW40" t="s">
        <v>1685</v>
      </c>
      <c r="AX40" t="s">
        <v>222</v>
      </c>
      <c r="BA40" s="57">
        <v>46268.458333333336</v>
      </c>
      <c r="BB40" t="s">
        <v>1684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MOJOKERTO</v>
      </c>
    </row>
    <row r="41" spans="1:61">
      <c r="A41">
        <v>40</v>
      </c>
      <c r="B41">
        <v>1002567606</v>
      </c>
      <c r="C41">
        <v>3</v>
      </c>
      <c r="D41" t="s">
        <v>38</v>
      </c>
      <c r="E41">
        <v>5</v>
      </c>
      <c r="F41" t="s">
        <v>92</v>
      </c>
      <c r="G41" t="s">
        <v>94</v>
      </c>
      <c r="H41" t="s">
        <v>452</v>
      </c>
      <c r="I41" t="s">
        <v>212</v>
      </c>
      <c r="J41" t="s">
        <v>213</v>
      </c>
      <c r="K41" t="s">
        <v>149</v>
      </c>
      <c r="L41" t="s">
        <v>214</v>
      </c>
      <c r="M41" t="s">
        <v>239</v>
      </c>
      <c r="N41" t="s">
        <v>215</v>
      </c>
      <c r="O41" s="57">
        <v>46267.560370370367</v>
      </c>
      <c r="P41" s="57">
        <v>46267.561122685183</v>
      </c>
      <c r="Q41">
        <v>69382335</v>
      </c>
      <c r="S41">
        <v>152605224196</v>
      </c>
      <c r="T41" t="s">
        <v>1686</v>
      </c>
      <c r="U41" t="s">
        <v>1670</v>
      </c>
      <c r="V41" t="s">
        <v>1687</v>
      </c>
      <c r="Z41">
        <v>111.354450924052</v>
      </c>
      <c r="AA41">
        <v>-7.4457019480741398</v>
      </c>
      <c r="AB41" t="s">
        <v>1688</v>
      </c>
      <c r="AC41" t="s">
        <v>236</v>
      </c>
      <c r="AL41" t="s">
        <v>217</v>
      </c>
      <c r="AM41" t="s">
        <v>1673</v>
      </c>
      <c r="AN41" t="s">
        <v>6</v>
      </c>
      <c r="AO41" s="57">
        <v>46062.569467592592</v>
      </c>
      <c r="AP41" s="57">
        <v>46268.541666666664</v>
      </c>
      <c r="AR41" t="s">
        <v>240</v>
      </c>
      <c r="AS41" t="s">
        <v>219</v>
      </c>
      <c r="AT41" t="s">
        <v>344</v>
      </c>
      <c r="AV41" t="s">
        <v>239</v>
      </c>
      <c r="AW41" t="s">
        <v>1674</v>
      </c>
      <c r="AX41" t="s">
        <v>222</v>
      </c>
      <c r="BA41" s="57">
        <v>46268.541666666664</v>
      </c>
      <c r="BB41" t="s">
        <v>1673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MADIUN</v>
      </c>
    </row>
    <row r="42" spans="1:61">
      <c r="A42">
        <v>41</v>
      </c>
      <c r="B42">
        <v>1002567375</v>
      </c>
      <c r="C42">
        <v>3</v>
      </c>
      <c r="D42" t="s">
        <v>38</v>
      </c>
      <c r="E42">
        <v>5</v>
      </c>
      <c r="F42" t="s">
        <v>92</v>
      </c>
      <c r="G42" t="s">
        <v>89</v>
      </c>
      <c r="H42" t="s">
        <v>360</v>
      </c>
      <c r="I42" t="s">
        <v>212</v>
      </c>
      <c r="J42" t="s">
        <v>213</v>
      </c>
      <c r="K42" t="s">
        <v>149</v>
      </c>
      <c r="L42" t="s">
        <v>214</v>
      </c>
      <c r="M42" t="s">
        <v>239</v>
      </c>
      <c r="N42" t="s">
        <v>215</v>
      </c>
      <c r="O42" s="57">
        <v>46267.493703703702</v>
      </c>
      <c r="P42" s="57">
        <v>46267.494456018518</v>
      </c>
      <c r="Q42">
        <v>69382223</v>
      </c>
      <c r="S42">
        <v>152644206415</v>
      </c>
      <c r="T42" t="s">
        <v>1689</v>
      </c>
      <c r="U42" t="s">
        <v>1690</v>
      </c>
      <c r="V42" t="s">
        <v>1691</v>
      </c>
      <c r="Z42">
        <v>111.70139399999999</v>
      </c>
      <c r="AA42">
        <v>-7.1487210000000001</v>
      </c>
      <c r="AB42" t="s">
        <v>1692</v>
      </c>
      <c r="AC42" t="s">
        <v>236</v>
      </c>
      <c r="AL42" t="s">
        <v>217</v>
      </c>
      <c r="AM42" t="s">
        <v>1693</v>
      </c>
      <c r="AN42" t="s">
        <v>6</v>
      </c>
      <c r="AO42" s="57">
        <v>46062.496516203704</v>
      </c>
      <c r="AP42" s="57">
        <v>46268.458333333336</v>
      </c>
      <c r="AR42" t="s">
        <v>240</v>
      </c>
      <c r="AS42" t="s">
        <v>1607</v>
      </c>
      <c r="AT42" t="s">
        <v>230</v>
      </c>
      <c r="AV42" t="s">
        <v>239</v>
      </c>
      <c r="AW42" t="s">
        <v>886</v>
      </c>
      <c r="AX42" t="s">
        <v>222</v>
      </c>
      <c r="BA42" s="57">
        <v>46268.458333333336</v>
      </c>
      <c r="BB42" t="s">
        <v>1693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BOJONEGORO</v>
      </c>
    </row>
    <row r="43" spans="1:61">
      <c r="A43">
        <v>42</v>
      </c>
      <c r="B43">
        <v>1002567346</v>
      </c>
      <c r="C43">
        <v>3</v>
      </c>
      <c r="D43" t="s">
        <v>59</v>
      </c>
      <c r="E43">
        <v>4</v>
      </c>
      <c r="F43" t="s">
        <v>549</v>
      </c>
      <c r="G43" t="s">
        <v>582</v>
      </c>
      <c r="H43" t="s">
        <v>835</v>
      </c>
      <c r="I43" t="s">
        <v>212</v>
      </c>
      <c r="J43" t="s">
        <v>213</v>
      </c>
      <c r="K43" t="s">
        <v>149</v>
      </c>
      <c r="L43" t="s">
        <v>214</v>
      </c>
      <c r="M43" t="s">
        <v>239</v>
      </c>
      <c r="N43" t="s">
        <v>215</v>
      </c>
      <c r="O43" s="57">
        <v>46267.488159722219</v>
      </c>
      <c r="P43" s="57">
        <v>46267.489189814813</v>
      </c>
      <c r="Q43">
        <v>69382220</v>
      </c>
      <c r="S43">
        <v>146113146875</v>
      </c>
      <c r="T43" t="s">
        <v>1694</v>
      </c>
      <c r="U43" t="s">
        <v>1695</v>
      </c>
      <c r="V43" t="s">
        <v>1696</v>
      </c>
      <c r="Z43">
        <v>110.3695792</v>
      </c>
      <c r="AA43">
        <v>-7.7603827000000001</v>
      </c>
      <c r="AB43" t="s">
        <v>1697</v>
      </c>
      <c r="AC43" t="s">
        <v>236</v>
      </c>
      <c r="AL43" t="s">
        <v>217</v>
      </c>
      <c r="AM43" t="s">
        <v>1698</v>
      </c>
      <c r="AN43" t="s">
        <v>6</v>
      </c>
      <c r="AO43" s="57">
        <v>46062.496516203704</v>
      </c>
      <c r="AP43" s="57">
        <v>46268.458333333336</v>
      </c>
      <c r="AR43" t="s">
        <v>240</v>
      </c>
      <c r="AS43" t="s">
        <v>219</v>
      </c>
      <c r="AT43" t="s">
        <v>230</v>
      </c>
      <c r="AV43" t="s">
        <v>239</v>
      </c>
      <c r="AW43" t="s">
        <v>537</v>
      </c>
      <c r="AX43" t="s">
        <v>222</v>
      </c>
      <c r="BA43" s="57">
        <v>46268.458333333336</v>
      </c>
      <c r="BB43" t="s">
        <v>1698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e">
        <f>VLOOKUP(H43,Sheet2!$A$1:$B$270,2,FALSE)</f>
        <v>#N/A</v>
      </c>
    </row>
    <row r="44" spans="1:61">
      <c r="A44">
        <v>43</v>
      </c>
      <c r="B44">
        <v>1002568147</v>
      </c>
      <c r="C44">
        <v>3</v>
      </c>
      <c r="D44" t="s">
        <v>55</v>
      </c>
      <c r="E44">
        <v>5</v>
      </c>
      <c r="F44" t="s">
        <v>307</v>
      </c>
      <c r="G44" t="s">
        <v>126</v>
      </c>
      <c r="H44" t="s">
        <v>308</v>
      </c>
      <c r="I44" t="s">
        <v>212</v>
      </c>
      <c r="J44" t="s">
        <v>213</v>
      </c>
      <c r="K44" t="s">
        <v>149</v>
      </c>
      <c r="L44" t="s">
        <v>214</v>
      </c>
      <c r="M44" t="s">
        <v>239</v>
      </c>
      <c r="N44" t="s">
        <v>215</v>
      </c>
      <c r="O44" s="57">
        <v>46267.650659722225</v>
      </c>
      <c r="P44" s="57">
        <v>46267.651412037034</v>
      </c>
      <c r="Q44">
        <v>69382489</v>
      </c>
      <c r="S44">
        <v>152320246363</v>
      </c>
      <c r="T44" t="s">
        <v>1699</v>
      </c>
      <c r="U44" t="s">
        <v>1700</v>
      </c>
      <c r="V44" t="s">
        <v>1701</v>
      </c>
      <c r="Z44">
        <v>112.755916602909</v>
      </c>
      <c r="AA44">
        <v>-7.2904935021961004</v>
      </c>
      <c r="AB44" t="s">
        <v>1702</v>
      </c>
      <c r="AC44" t="s">
        <v>216</v>
      </c>
      <c r="AL44" t="s">
        <v>217</v>
      </c>
      <c r="AM44" t="s">
        <v>1703</v>
      </c>
      <c r="AN44" t="s">
        <v>6</v>
      </c>
      <c r="AO44" s="57">
        <v>46062.652743055558</v>
      </c>
      <c r="AP44" s="57">
        <v>46268.625</v>
      </c>
      <c r="AR44" t="s">
        <v>240</v>
      </c>
      <c r="AS44" t="s">
        <v>907</v>
      </c>
      <c r="AT44" t="s">
        <v>230</v>
      </c>
      <c r="AV44" t="s">
        <v>239</v>
      </c>
      <c r="AW44" t="s">
        <v>887</v>
      </c>
      <c r="AX44" t="s">
        <v>222</v>
      </c>
      <c r="BA44" s="57">
        <v>46268.625</v>
      </c>
      <c r="BB44" t="s">
        <v>1703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SURABAYA SELATAN</v>
      </c>
    </row>
    <row r="45" spans="1:61">
      <c r="A45">
        <v>44</v>
      </c>
      <c r="B45">
        <v>1002568139</v>
      </c>
      <c r="C45">
        <v>3</v>
      </c>
      <c r="D45" t="s">
        <v>55</v>
      </c>
      <c r="E45">
        <v>5</v>
      </c>
      <c r="F45" t="s">
        <v>261</v>
      </c>
      <c r="G45" t="s">
        <v>122</v>
      </c>
      <c r="H45" t="s">
        <v>347</v>
      </c>
      <c r="I45" t="s">
        <v>212</v>
      </c>
      <c r="J45" t="s">
        <v>213</v>
      </c>
      <c r="K45" t="s">
        <v>149</v>
      </c>
      <c r="L45" t="s">
        <v>214</v>
      </c>
      <c r="M45" t="s">
        <v>239</v>
      </c>
      <c r="N45" t="s">
        <v>215</v>
      </c>
      <c r="O45" s="57">
        <v>46267.649953703702</v>
      </c>
      <c r="P45" s="57">
        <v>46267.651412037034</v>
      </c>
      <c r="Q45">
        <v>69382486</v>
      </c>
      <c r="S45">
        <v>152421262584</v>
      </c>
      <c r="T45" t="s">
        <v>1704</v>
      </c>
      <c r="U45" t="s">
        <v>1705</v>
      </c>
      <c r="V45" t="s">
        <v>1706</v>
      </c>
      <c r="Z45">
        <v>112.616857231757</v>
      </c>
      <c r="AA45">
        <v>-7.1571912655527798</v>
      </c>
      <c r="AB45" t="s">
        <v>1707</v>
      </c>
      <c r="AC45" t="s">
        <v>236</v>
      </c>
      <c r="AL45" t="s">
        <v>217</v>
      </c>
      <c r="AM45" t="s">
        <v>1708</v>
      </c>
      <c r="AN45" t="s">
        <v>6</v>
      </c>
      <c r="AO45" s="57">
        <v>46062.652743055558</v>
      </c>
      <c r="AP45" s="57">
        <v>46271.625</v>
      </c>
      <c r="AR45" t="s">
        <v>240</v>
      </c>
      <c r="AS45" t="s">
        <v>122</v>
      </c>
      <c r="AT45" t="s">
        <v>230</v>
      </c>
      <c r="AV45" t="s">
        <v>239</v>
      </c>
      <c r="AW45" t="s">
        <v>886</v>
      </c>
      <c r="AX45" t="s">
        <v>222</v>
      </c>
      <c r="BA45" s="57">
        <v>46271.625</v>
      </c>
      <c r="BB45" t="s">
        <v>1708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GRESIK</v>
      </c>
    </row>
    <row r="46" spans="1:61">
      <c r="A46">
        <v>45</v>
      </c>
      <c r="B46">
        <v>1002567782</v>
      </c>
      <c r="C46">
        <v>3</v>
      </c>
      <c r="D46" t="s">
        <v>59</v>
      </c>
      <c r="E46">
        <v>4</v>
      </c>
      <c r="F46" t="s">
        <v>549</v>
      </c>
      <c r="G46" t="s">
        <v>1709</v>
      </c>
      <c r="H46" t="s">
        <v>1710</v>
      </c>
      <c r="I46" t="s">
        <v>212</v>
      </c>
      <c r="J46" t="s">
        <v>213</v>
      </c>
      <c r="K46" t="s">
        <v>149</v>
      </c>
      <c r="M46" t="s">
        <v>239</v>
      </c>
      <c r="N46" t="s">
        <v>215</v>
      </c>
      <c r="O46" s="57">
        <v>46267.589583333334</v>
      </c>
      <c r="P46" s="57">
        <v>46267.719456018516</v>
      </c>
      <c r="Q46">
        <v>69382383</v>
      </c>
      <c r="S46">
        <v>146136130378</v>
      </c>
      <c r="T46" t="s">
        <v>1711</v>
      </c>
      <c r="U46" t="s">
        <v>1712</v>
      </c>
      <c r="V46" t="s">
        <v>1713</v>
      </c>
      <c r="Z46">
        <v>110.281480550765</v>
      </c>
      <c r="AA46">
        <v>-7.7203847643879797</v>
      </c>
      <c r="AB46" t="s">
        <v>1714</v>
      </c>
      <c r="AC46" t="s">
        <v>285</v>
      </c>
      <c r="AL46" t="s">
        <v>217</v>
      </c>
      <c r="AM46" t="s">
        <v>1715</v>
      </c>
      <c r="AN46" t="s">
        <v>6</v>
      </c>
      <c r="AO46" s="57">
        <v>46062.590219907404</v>
      </c>
      <c r="AP46" s="57">
        <v>46268.625</v>
      </c>
      <c r="AR46" t="s">
        <v>240</v>
      </c>
      <c r="AS46" t="s">
        <v>219</v>
      </c>
      <c r="AT46" t="s">
        <v>230</v>
      </c>
      <c r="AV46" t="s">
        <v>239</v>
      </c>
      <c r="AW46" t="s">
        <v>560</v>
      </c>
      <c r="AX46" t="s">
        <v>222</v>
      </c>
      <c r="BA46" s="57">
        <v>46268.625</v>
      </c>
      <c r="BB46" t="s">
        <v>1715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e">
        <f>VLOOKUP(H46,Sheet2!$A$1:$B$270,2,FALSE)</f>
        <v>#N/A</v>
      </c>
    </row>
    <row r="47" spans="1:61">
      <c r="A47">
        <v>46</v>
      </c>
      <c r="B47">
        <v>1002568591</v>
      </c>
      <c r="C47">
        <v>3</v>
      </c>
      <c r="D47" t="s">
        <v>59</v>
      </c>
      <c r="E47">
        <v>4</v>
      </c>
      <c r="F47" t="s">
        <v>549</v>
      </c>
      <c r="G47" t="s">
        <v>825</v>
      </c>
      <c r="H47" t="s">
        <v>830</v>
      </c>
      <c r="I47" t="s">
        <v>212</v>
      </c>
      <c r="J47" t="s">
        <v>213</v>
      </c>
      <c r="K47" t="s">
        <v>149</v>
      </c>
      <c r="L47" t="s">
        <v>214</v>
      </c>
      <c r="M47" t="s">
        <v>239</v>
      </c>
      <c r="N47" t="s">
        <v>215</v>
      </c>
      <c r="O47" s="57">
        <v>46267.827037037037</v>
      </c>
      <c r="P47" s="57">
        <v>46267.827789351853</v>
      </c>
      <c r="Q47">
        <v>69382642</v>
      </c>
      <c r="S47">
        <v>146129128807</v>
      </c>
      <c r="T47" t="s">
        <v>1716</v>
      </c>
      <c r="U47" t="s">
        <v>1717</v>
      </c>
      <c r="V47" t="s">
        <v>1718</v>
      </c>
      <c r="Z47">
        <v>110.4164993</v>
      </c>
      <c r="AA47">
        <v>-7.8764792999999997</v>
      </c>
      <c r="AB47" t="s">
        <v>1719</v>
      </c>
      <c r="AC47" t="s">
        <v>236</v>
      </c>
      <c r="AL47" t="s">
        <v>217</v>
      </c>
      <c r="AM47" t="s">
        <v>1720</v>
      </c>
      <c r="AN47" t="s">
        <v>6</v>
      </c>
      <c r="AO47" s="57">
        <v>46062.829826388886</v>
      </c>
      <c r="AP47" s="57">
        <v>46269.333333333336</v>
      </c>
      <c r="AR47" t="s">
        <v>240</v>
      </c>
      <c r="AS47" t="s">
        <v>219</v>
      </c>
      <c r="AT47" t="s">
        <v>230</v>
      </c>
      <c r="AV47" t="s">
        <v>239</v>
      </c>
      <c r="AW47" t="s">
        <v>887</v>
      </c>
      <c r="AX47" t="s">
        <v>222</v>
      </c>
      <c r="BA47" s="57">
        <v>46269.333333333336</v>
      </c>
      <c r="BB47" t="s">
        <v>1720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1002568578</v>
      </c>
      <c r="C48">
        <v>3</v>
      </c>
      <c r="D48" t="s">
        <v>45</v>
      </c>
      <c r="E48">
        <v>5</v>
      </c>
      <c r="F48" t="s">
        <v>210</v>
      </c>
      <c r="G48" t="s">
        <v>116</v>
      </c>
      <c r="H48" t="s">
        <v>358</v>
      </c>
      <c r="I48" t="s">
        <v>212</v>
      </c>
      <c r="J48" t="s">
        <v>213</v>
      </c>
      <c r="K48" t="s">
        <v>149</v>
      </c>
      <c r="L48" t="s">
        <v>214</v>
      </c>
      <c r="M48" t="s">
        <v>239</v>
      </c>
      <c r="N48" t="s">
        <v>215</v>
      </c>
      <c r="O48" s="57">
        <v>46267.794398148151</v>
      </c>
      <c r="P48" s="57">
        <v>46267.795844907407</v>
      </c>
      <c r="Q48">
        <v>69382639</v>
      </c>
      <c r="S48">
        <v>172619203421</v>
      </c>
      <c r="T48" t="s">
        <v>1721</v>
      </c>
      <c r="U48" t="s">
        <v>1722</v>
      </c>
      <c r="V48" t="s">
        <v>1723</v>
      </c>
      <c r="Z48">
        <v>116.63152590394</v>
      </c>
      <c r="AA48">
        <v>-8.5578075978598296</v>
      </c>
      <c r="AB48" t="s">
        <v>1724</v>
      </c>
      <c r="AC48" t="s">
        <v>216</v>
      </c>
      <c r="AL48" t="s">
        <v>217</v>
      </c>
      <c r="AM48" t="s">
        <v>1725</v>
      </c>
      <c r="AN48" t="s">
        <v>6</v>
      </c>
      <c r="AO48" s="57">
        <v>46062.798587962963</v>
      </c>
      <c r="AP48" s="57">
        <v>46271.541666666664</v>
      </c>
      <c r="AR48" t="s">
        <v>240</v>
      </c>
      <c r="AS48" t="s">
        <v>1726</v>
      </c>
      <c r="AT48" t="s">
        <v>230</v>
      </c>
      <c r="AV48" t="s">
        <v>239</v>
      </c>
      <c r="AW48" t="s">
        <v>882</v>
      </c>
      <c r="AX48" t="s">
        <v>222</v>
      </c>
      <c r="BA48" s="57">
        <v>46271.541666666664</v>
      </c>
      <c r="BB48" t="s">
        <v>1725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1002568571</v>
      </c>
      <c r="C49">
        <v>3</v>
      </c>
      <c r="D49" t="s">
        <v>38</v>
      </c>
      <c r="E49">
        <v>5</v>
      </c>
      <c r="F49" t="s">
        <v>248</v>
      </c>
      <c r="G49" t="s">
        <v>91</v>
      </c>
      <c r="H49" t="s">
        <v>512</v>
      </c>
      <c r="I49" t="s">
        <v>212</v>
      </c>
      <c r="J49" t="s">
        <v>213</v>
      </c>
      <c r="K49" t="s">
        <v>149</v>
      </c>
      <c r="L49" t="s">
        <v>214</v>
      </c>
      <c r="M49" t="s">
        <v>239</v>
      </c>
      <c r="N49" t="s">
        <v>215</v>
      </c>
      <c r="O49" s="57">
        <v>46267.791620370372</v>
      </c>
      <c r="P49" s="57">
        <v>46267.793067129627</v>
      </c>
      <c r="Q49">
        <v>69382634</v>
      </c>
      <c r="S49">
        <v>152722205326</v>
      </c>
      <c r="T49" t="s">
        <v>1727</v>
      </c>
      <c r="U49" t="s">
        <v>1728</v>
      </c>
      <c r="V49" t="s">
        <v>1729</v>
      </c>
      <c r="Z49">
        <v>112.46492972921</v>
      </c>
      <c r="AA49">
        <v>-8.2124165657771595</v>
      </c>
      <c r="AB49" t="s">
        <v>1730</v>
      </c>
      <c r="AC49" t="s">
        <v>236</v>
      </c>
      <c r="AL49" t="s">
        <v>217</v>
      </c>
      <c r="AM49" t="s">
        <v>1731</v>
      </c>
      <c r="AN49" t="s">
        <v>6</v>
      </c>
      <c r="AO49" s="57">
        <v>46062.798587962963</v>
      </c>
      <c r="AP49" s="57">
        <v>46268.625</v>
      </c>
      <c r="AR49" t="s">
        <v>240</v>
      </c>
      <c r="AS49" t="s">
        <v>91</v>
      </c>
      <c r="AT49" t="s">
        <v>344</v>
      </c>
      <c r="AV49" t="s">
        <v>239</v>
      </c>
      <c r="AW49" t="s">
        <v>1732</v>
      </c>
      <c r="AX49" t="s">
        <v>222</v>
      </c>
      <c r="BA49" s="57">
        <v>46268.625</v>
      </c>
      <c r="BB49" t="s">
        <v>1731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MALANG</v>
      </c>
    </row>
    <row r="50" spans="1:61">
      <c r="A50">
        <v>49</v>
      </c>
      <c r="B50">
        <v>1002568312</v>
      </c>
      <c r="C50">
        <v>3</v>
      </c>
      <c r="D50" t="s">
        <v>59</v>
      </c>
      <c r="E50">
        <v>4</v>
      </c>
      <c r="F50" t="s">
        <v>223</v>
      </c>
      <c r="G50" t="s">
        <v>580</v>
      </c>
      <c r="H50" t="s">
        <v>1733</v>
      </c>
      <c r="I50" t="s">
        <v>212</v>
      </c>
      <c r="J50" t="s">
        <v>213</v>
      </c>
      <c r="K50" t="s">
        <v>149</v>
      </c>
      <c r="L50" t="s">
        <v>214</v>
      </c>
      <c r="M50" t="s">
        <v>239</v>
      </c>
      <c r="N50" t="s">
        <v>215</v>
      </c>
      <c r="O50" s="57">
        <v>46267.677060185182</v>
      </c>
      <c r="P50" s="57">
        <v>46267.677789351852</v>
      </c>
      <c r="Q50">
        <v>69382520</v>
      </c>
      <c r="S50">
        <v>143385101245</v>
      </c>
      <c r="T50" t="s">
        <v>1734</v>
      </c>
      <c r="U50" t="s">
        <v>1735</v>
      </c>
      <c r="V50" t="s">
        <v>1736</v>
      </c>
      <c r="Z50">
        <v>109.274609</v>
      </c>
      <c r="AA50">
        <v>-7.5926549999999997</v>
      </c>
      <c r="AB50" t="s">
        <v>1737</v>
      </c>
      <c r="AC50" t="s">
        <v>236</v>
      </c>
      <c r="AL50" t="s">
        <v>217</v>
      </c>
      <c r="AM50" t="s">
        <v>1738</v>
      </c>
      <c r="AN50" t="s">
        <v>6</v>
      </c>
      <c r="AO50" s="57">
        <v>46062.684166666666</v>
      </c>
      <c r="AP50" s="57">
        <v>46269.625</v>
      </c>
      <c r="AR50" t="s">
        <v>240</v>
      </c>
      <c r="AS50" t="s">
        <v>1739</v>
      </c>
      <c r="AT50" t="s">
        <v>230</v>
      </c>
      <c r="AV50" t="s">
        <v>239</v>
      </c>
      <c r="AW50" t="s">
        <v>886</v>
      </c>
      <c r="AX50" t="s">
        <v>222</v>
      </c>
      <c r="BA50" s="57">
        <v>46269.625</v>
      </c>
      <c r="BB50" t="s">
        <v>1738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e">
        <f>VLOOKUP(H50,Sheet2!$A$1:$B$270,2,FALSE)</f>
        <v>#N/A</v>
      </c>
    </row>
    <row r="51" spans="1:61">
      <c r="A51">
        <v>50</v>
      </c>
      <c r="B51">
        <v>1002566867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239</v>
      </c>
      <c r="N51" t="s">
        <v>215</v>
      </c>
      <c r="O51" s="57">
        <v>46267.399953703702</v>
      </c>
      <c r="P51" s="57">
        <v>46267.401469907411</v>
      </c>
      <c r="Q51">
        <v>69382037</v>
      </c>
      <c r="S51">
        <v>172603791820</v>
      </c>
      <c r="T51" t="s">
        <v>1740</v>
      </c>
      <c r="U51" t="s">
        <v>1741</v>
      </c>
      <c r="V51" t="s">
        <v>1742</v>
      </c>
      <c r="Z51">
        <v>116.39441290000001</v>
      </c>
      <c r="AA51">
        <v>-8.6871682000000003</v>
      </c>
      <c r="AB51" t="s">
        <v>1743</v>
      </c>
      <c r="AC51" t="s">
        <v>216</v>
      </c>
      <c r="AL51" t="s">
        <v>217</v>
      </c>
      <c r="AM51" t="s">
        <v>1703</v>
      </c>
      <c r="AN51" t="s">
        <v>6</v>
      </c>
      <c r="AO51" s="57">
        <v>46062.402870370373</v>
      </c>
      <c r="AP51" s="57">
        <v>46268.625</v>
      </c>
      <c r="AR51" t="s">
        <v>240</v>
      </c>
      <c r="AS51" t="s">
        <v>901</v>
      </c>
      <c r="AT51" t="s">
        <v>230</v>
      </c>
      <c r="AV51" t="s">
        <v>239</v>
      </c>
      <c r="AW51" t="s">
        <v>883</v>
      </c>
      <c r="AX51" t="s">
        <v>222</v>
      </c>
      <c r="BA51" s="57">
        <v>46268.625</v>
      </c>
      <c r="BB51" t="s">
        <v>1703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1002566869</v>
      </c>
      <c r="C52">
        <v>3</v>
      </c>
      <c r="D52" t="s">
        <v>59</v>
      </c>
      <c r="E52">
        <v>4</v>
      </c>
      <c r="F52" t="s">
        <v>549</v>
      </c>
      <c r="G52" t="s">
        <v>825</v>
      </c>
      <c r="H52" t="s">
        <v>830</v>
      </c>
      <c r="I52" t="s">
        <v>212</v>
      </c>
      <c r="J52" t="s">
        <v>213</v>
      </c>
      <c r="K52" t="s">
        <v>149</v>
      </c>
      <c r="L52" t="s">
        <v>214</v>
      </c>
      <c r="M52" t="s">
        <v>239</v>
      </c>
      <c r="N52" t="s">
        <v>215</v>
      </c>
      <c r="O52" s="57">
        <v>46267.400648148148</v>
      </c>
      <c r="P52" s="57">
        <v>46267.401412037034</v>
      </c>
      <c r="Q52">
        <v>69382038</v>
      </c>
      <c r="S52">
        <v>146129128792</v>
      </c>
      <c r="T52" t="s">
        <v>1744</v>
      </c>
      <c r="U52" t="s">
        <v>1745</v>
      </c>
      <c r="V52" t="s">
        <v>1746</v>
      </c>
      <c r="Z52">
        <v>110.348877</v>
      </c>
      <c r="AA52">
        <v>-7.8289010000000001</v>
      </c>
      <c r="AB52" t="s">
        <v>1747</v>
      </c>
      <c r="AC52" t="s">
        <v>236</v>
      </c>
      <c r="AL52" t="s">
        <v>217</v>
      </c>
      <c r="AM52" t="s">
        <v>1748</v>
      </c>
      <c r="AN52" t="s">
        <v>6</v>
      </c>
      <c r="AO52" s="57">
        <v>46062.402870370373</v>
      </c>
      <c r="AP52" s="57">
        <v>46268.416666666664</v>
      </c>
      <c r="AR52" t="s">
        <v>240</v>
      </c>
      <c r="AS52" t="s">
        <v>219</v>
      </c>
      <c r="AT52" t="s">
        <v>230</v>
      </c>
      <c r="AV52" t="s">
        <v>239</v>
      </c>
      <c r="AW52" t="s">
        <v>882</v>
      </c>
      <c r="AX52" t="s">
        <v>222</v>
      </c>
      <c r="BA52" s="57">
        <v>46268.416666666664</v>
      </c>
      <c r="BB52" t="s">
        <v>1748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e">
        <f>VLOOKUP(H52,Sheet2!$A$1:$B$270,2,FALSE)</f>
        <v>#N/A</v>
      </c>
    </row>
    <row r="53" spans="1:61">
      <c r="A53">
        <v>52</v>
      </c>
      <c r="B53">
        <v>1002566811</v>
      </c>
      <c r="C53">
        <v>3</v>
      </c>
      <c r="D53" t="s">
        <v>45</v>
      </c>
      <c r="E53">
        <v>5</v>
      </c>
      <c r="F53" t="s">
        <v>210</v>
      </c>
      <c r="G53" t="s">
        <v>116</v>
      </c>
      <c r="H53" t="s">
        <v>268</v>
      </c>
      <c r="I53" t="s">
        <v>212</v>
      </c>
      <c r="J53" t="s">
        <v>213</v>
      </c>
      <c r="K53" t="s">
        <v>149</v>
      </c>
      <c r="L53" t="s">
        <v>214</v>
      </c>
      <c r="M53" t="s">
        <v>239</v>
      </c>
      <c r="N53" t="s">
        <v>215</v>
      </c>
      <c r="O53" s="57">
        <v>46267.390231481484</v>
      </c>
      <c r="P53" s="57">
        <v>46267.39167824074</v>
      </c>
      <c r="Q53">
        <v>69382025</v>
      </c>
      <c r="S53">
        <v>172604214266</v>
      </c>
      <c r="T53" t="s">
        <v>1749</v>
      </c>
      <c r="U53" t="s">
        <v>1750</v>
      </c>
      <c r="V53" t="s">
        <v>1751</v>
      </c>
      <c r="Z53">
        <v>116.273852325975</v>
      </c>
      <c r="AA53">
        <v>-8.2975592674919998</v>
      </c>
      <c r="AB53" t="s">
        <v>1752</v>
      </c>
      <c r="AC53" t="s">
        <v>216</v>
      </c>
      <c r="AL53" t="s">
        <v>217</v>
      </c>
      <c r="AM53" t="s">
        <v>1703</v>
      </c>
      <c r="AN53" t="s">
        <v>6</v>
      </c>
      <c r="AO53" s="57">
        <v>46062.402870370373</v>
      </c>
      <c r="AP53" s="57">
        <v>46268.625</v>
      </c>
      <c r="AR53" t="s">
        <v>240</v>
      </c>
      <c r="AS53" t="s">
        <v>912</v>
      </c>
      <c r="AT53" t="s">
        <v>230</v>
      </c>
      <c r="AV53" t="s">
        <v>239</v>
      </c>
      <c r="AW53" t="s">
        <v>887</v>
      </c>
      <c r="AX53" t="s">
        <v>222</v>
      </c>
      <c r="BA53" s="57">
        <v>46268.625</v>
      </c>
      <c r="BB53" t="s">
        <v>1703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SELONG</v>
      </c>
    </row>
    <row r="54" spans="1:61">
      <c r="A54">
        <v>53</v>
      </c>
      <c r="B54">
        <v>1002566804</v>
      </c>
      <c r="C54">
        <v>3</v>
      </c>
      <c r="D54" t="s">
        <v>59</v>
      </c>
      <c r="E54">
        <v>4</v>
      </c>
      <c r="F54" t="s">
        <v>242</v>
      </c>
      <c r="G54" t="s">
        <v>242</v>
      </c>
      <c r="H54" t="s">
        <v>288</v>
      </c>
      <c r="I54" t="s">
        <v>212</v>
      </c>
      <c r="J54" t="s">
        <v>213</v>
      </c>
      <c r="K54" t="s">
        <v>149</v>
      </c>
      <c r="L54" t="s">
        <v>214</v>
      </c>
      <c r="M54" t="s">
        <v>239</v>
      </c>
      <c r="N54" t="s">
        <v>215</v>
      </c>
      <c r="O54" s="57">
        <v>46267.388148148151</v>
      </c>
      <c r="P54" s="57">
        <v>46267.38890046296</v>
      </c>
      <c r="Q54">
        <v>69382001</v>
      </c>
      <c r="S54">
        <v>146137147455</v>
      </c>
      <c r="T54" t="s">
        <v>1753</v>
      </c>
      <c r="U54" t="s">
        <v>1754</v>
      </c>
      <c r="V54" t="s">
        <v>1755</v>
      </c>
      <c r="Z54">
        <v>110.22905149989199</v>
      </c>
      <c r="AA54">
        <v>-7.4224383556040401</v>
      </c>
      <c r="AB54" t="s">
        <v>1756</v>
      </c>
      <c r="AC54" t="s">
        <v>236</v>
      </c>
      <c r="AL54" t="s">
        <v>217</v>
      </c>
      <c r="AM54" t="s">
        <v>1757</v>
      </c>
      <c r="AN54" t="s">
        <v>6</v>
      </c>
      <c r="AO54" s="57">
        <v>46062.402870370373</v>
      </c>
      <c r="AP54" s="57">
        <v>46271.625</v>
      </c>
      <c r="AR54" t="s">
        <v>240</v>
      </c>
      <c r="AS54" t="s">
        <v>219</v>
      </c>
      <c r="AT54" t="s">
        <v>230</v>
      </c>
      <c r="AV54" t="s">
        <v>239</v>
      </c>
      <c r="AW54" t="s">
        <v>887</v>
      </c>
      <c r="AX54" t="s">
        <v>222</v>
      </c>
      <c r="BA54" s="57">
        <v>46271.625</v>
      </c>
      <c r="BB54" t="s">
        <v>1757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1002566826</v>
      </c>
      <c r="C55">
        <v>3</v>
      </c>
      <c r="D55" t="s">
        <v>45</v>
      </c>
      <c r="E55">
        <v>5</v>
      </c>
      <c r="F55" t="s">
        <v>210</v>
      </c>
      <c r="G55" t="s">
        <v>116</v>
      </c>
      <c r="H55" t="s">
        <v>268</v>
      </c>
      <c r="I55" t="s">
        <v>212</v>
      </c>
      <c r="J55" t="s">
        <v>213</v>
      </c>
      <c r="K55" t="s">
        <v>149</v>
      </c>
      <c r="L55" t="s">
        <v>214</v>
      </c>
      <c r="M55" t="s">
        <v>239</v>
      </c>
      <c r="N55" t="s">
        <v>215</v>
      </c>
      <c r="O55" s="57">
        <v>46267.392326388886</v>
      </c>
      <c r="P55" s="57">
        <v>46267.39329861111</v>
      </c>
      <c r="Q55">
        <v>69382029</v>
      </c>
      <c r="S55">
        <v>172604214267</v>
      </c>
      <c r="T55" t="s">
        <v>1758</v>
      </c>
      <c r="U55" t="s">
        <v>1759</v>
      </c>
      <c r="V55" t="s">
        <v>1760</v>
      </c>
      <c r="Z55">
        <v>116.27456814050601</v>
      </c>
      <c r="AA55">
        <v>-8.2955046325850592</v>
      </c>
      <c r="AB55" t="s">
        <v>1761</v>
      </c>
      <c r="AC55" t="s">
        <v>216</v>
      </c>
      <c r="AL55" t="s">
        <v>217</v>
      </c>
      <c r="AM55" t="s">
        <v>1703</v>
      </c>
      <c r="AN55" t="s">
        <v>6</v>
      </c>
      <c r="AO55" s="57">
        <v>46062.402870370373</v>
      </c>
      <c r="AP55" s="57">
        <v>46268.625</v>
      </c>
      <c r="AR55" t="s">
        <v>240</v>
      </c>
      <c r="AS55" t="s">
        <v>912</v>
      </c>
      <c r="AT55" t="s">
        <v>230</v>
      </c>
      <c r="AV55" t="s">
        <v>239</v>
      </c>
      <c r="AW55" t="s">
        <v>887</v>
      </c>
      <c r="AX55" t="s">
        <v>222</v>
      </c>
      <c r="BA55" s="57">
        <v>46268.625</v>
      </c>
      <c r="BB55" t="s">
        <v>1703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SELONG</v>
      </c>
    </row>
    <row r="56" spans="1:61">
      <c r="A56">
        <v>55</v>
      </c>
      <c r="B56">
        <v>1002566822</v>
      </c>
      <c r="C56">
        <v>3</v>
      </c>
      <c r="D56" t="s">
        <v>42</v>
      </c>
      <c r="E56">
        <v>5</v>
      </c>
      <c r="F56" t="s">
        <v>232</v>
      </c>
      <c r="G56" t="s">
        <v>101</v>
      </c>
      <c r="H56" t="s">
        <v>427</v>
      </c>
      <c r="I56" t="s">
        <v>212</v>
      </c>
      <c r="J56" t="s">
        <v>213</v>
      </c>
      <c r="K56" t="s">
        <v>149</v>
      </c>
      <c r="L56" t="s">
        <v>214</v>
      </c>
      <c r="M56" t="s">
        <v>239</v>
      </c>
      <c r="N56" t="s">
        <v>215</v>
      </c>
      <c r="O56" s="57">
        <v>46267.39162037037</v>
      </c>
      <c r="P56" s="57">
        <v>46267.393067129633</v>
      </c>
      <c r="Q56">
        <v>69382028</v>
      </c>
      <c r="S56">
        <v>152331251351</v>
      </c>
      <c r="T56" t="s">
        <v>1762</v>
      </c>
      <c r="U56" t="s">
        <v>1763</v>
      </c>
      <c r="V56" t="s">
        <v>1764</v>
      </c>
      <c r="Z56">
        <v>112.63323459999999</v>
      </c>
      <c r="AA56">
        <v>-7.4509832999999999</v>
      </c>
      <c r="AB56" t="s">
        <v>1765</v>
      </c>
      <c r="AC56" t="s">
        <v>216</v>
      </c>
      <c r="AL56" t="s">
        <v>217</v>
      </c>
      <c r="AM56" t="s">
        <v>1766</v>
      </c>
      <c r="AN56" t="s">
        <v>6</v>
      </c>
      <c r="AO56" s="57">
        <v>46062.402870370373</v>
      </c>
      <c r="AP56" s="57">
        <v>46270.333333333336</v>
      </c>
      <c r="AR56" t="s">
        <v>240</v>
      </c>
      <c r="AS56" t="s">
        <v>573</v>
      </c>
      <c r="AT56" t="s">
        <v>230</v>
      </c>
      <c r="AV56" t="s">
        <v>239</v>
      </c>
      <c r="AW56" t="s">
        <v>882</v>
      </c>
      <c r="AX56" t="s">
        <v>222</v>
      </c>
      <c r="BA56" s="57">
        <v>46270.333333333336</v>
      </c>
      <c r="BB56" t="s">
        <v>1766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SIDOARJO</v>
      </c>
    </row>
    <row r="57" spans="1:61">
      <c r="A57">
        <v>56</v>
      </c>
      <c r="B57">
        <v>1002567492</v>
      </c>
      <c r="C57">
        <v>3</v>
      </c>
      <c r="D57" t="s">
        <v>55</v>
      </c>
      <c r="E57">
        <v>5</v>
      </c>
      <c r="F57" t="s">
        <v>307</v>
      </c>
      <c r="G57" t="s">
        <v>126</v>
      </c>
      <c r="H57" t="s">
        <v>372</v>
      </c>
      <c r="I57" t="s">
        <v>212</v>
      </c>
      <c r="J57" t="s">
        <v>213</v>
      </c>
      <c r="K57" t="s">
        <v>149</v>
      </c>
      <c r="L57" t="s">
        <v>1767</v>
      </c>
      <c r="M57" t="s">
        <v>239</v>
      </c>
      <c r="N57" t="s">
        <v>215</v>
      </c>
      <c r="O57" s="57">
        <v>46267.524953703702</v>
      </c>
      <c r="P57" s="57">
        <v>46267.526412037034</v>
      </c>
      <c r="Q57">
        <v>69382275</v>
      </c>
      <c r="R57">
        <v>3135954272</v>
      </c>
      <c r="S57">
        <v>152303245891</v>
      </c>
      <c r="T57" t="s">
        <v>1768</v>
      </c>
      <c r="U57" t="s">
        <v>1769</v>
      </c>
      <c r="V57" t="s">
        <v>1770</v>
      </c>
      <c r="Z57">
        <v>112.784141965226</v>
      </c>
      <c r="AA57">
        <v>-7.2804557765349696</v>
      </c>
      <c r="AB57" t="s">
        <v>1771</v>
      </c>
      <c r="AC57" t="s">
        <v>1772</v>
      </c>
      <c r="AL57" t="s">
        <v>217</v>
      </c>
      <c r="AM57" t="s">
        <v>1773</v>
      </c>
      <c r="AN57" t="s">
        <v>6</v>
      </c>
      <c r="AO57" s="57">
        <v>46062.527777777781</v>
      </c>
      <c r="AP57" s="57">
        <v>46269.625</v>
      </c>
      <c r="AR57" t="s">
        <v>240</v>
      </c>
      <c r="AS57" t="s">
        <v>126</v>
      </c>
      <c r="AT57" t="s">
        <v>230</v>
      </c>
      <c r="AV57" t="s">
        <v>239</v>
      </c>
      <c r="AW57" t="s">
        <v>1774</v>
      </c>
      <c r="AX57" t="s">
        <v>222</v>
      </c>
      <c r="BA57" s="57">
        <v>46269.625</v>
      </c>
      <c r="BB57" t="s">
        <v>1773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SURABAYA SELATAN</v>
      </c>
    </row>
    <row r="58" spans="1:61">
      <c r="A58">
        <v>57</v>
      </c>
      <c r="B58">
        <v>1002567110</v>
      </c>
      <c r="C58">
        <v>3</v>
      </c>
      <c r="D58" t="s">
        <v>55</v>
      </c>
      <c r="E58">
        <v>5</v>
      </c>
      <c r="F58" t="s">
        <v>261</v>
      </c>
      <c r="G58" t="s">
        <v>122</v>
      </c>
      <c r="H58" t="s">
        <v>453</v>
      </c>
      <c r="I58" t="s">
        <v>212</v>
      </c>
      <c r="J58" t="s">
        <v>213</v>
      </c>
      <c r="K58" t="s">
        <v>149</v>
      </c>
      <c r="M58" t="s">
        <v>239</v>
      </c>
      <c r="N58" t="s">
        <v>215</v>
      </c>
      <c r="O58" s="57">
        <v>46267.443460648145</v>
      </c>
      <c r="P58" s="57">
        <v>46268.381956018522</v>
      </c>
      <c r="Q58">
        <v>69382115</v>
      </c>
      <c r="S58">
        <v>152442201952</v>
      </c>
      <c r="T58" t="s">
        <v>1775</v>
      </c>
      <c r="U58" t="s">
        <v>1776</v>
      </c>
      <c r="V58" t="s">
        <v>1777</v>
      </c>
      <c r="Z58">
        <v>112.5345174</v>
      </c>
      <c r="AA58">
        <v>-7.3510233999999999</v>
      </c>
      <c r="AB58" t="s">
        <v>1778</v>
      </c>
      <c r="AC58" t="s">
        <v>229</v>
      </c>
      <c r="AL58" t="s">
        <v>217</v>
      </c>
      <c r="AM58" t="s">
        <v>1779</v>
      </c>
      <c r="AN58" t="s">
        <v>6</v>
      </c>
      <c r="AO58" s="57">
        <v>46062.444363425922</v>
      </c>
      <c r="AP58" s="57">
        <v>46271.458333333336</v>
      </c>
      <c r="AR58" t="s">
        <v>240</v>
      </c>
      <c r="AS58" t="s">
        <v>1780</v>
      </c>
      <c r="AT58" t="s">
        <v>230</v>
      </c>
      <c r="AV58" t="s">
        <v>239</v>
      </c>
      <c r="AW58" t="s">
        <v>545</v>
      </c>
      <c r="AX58" t="s">
        <v>222</v>
      </c>
      <c r="BA58" s="57">
        <v>46271.458333333336</v>
      </c>
      <c r="BB58" t="s">
        <v>1779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GRESIK</v>
      </c>
    </row>
    <row r="59" spans="1:61">
      <c r="A59">
        <v>58</v>
      </c>
      <c r="B59">
        <v>1002567489</v>
      </c>
      <c r="C59">
        <v>3</v>
      </c>
      <c r="D59" t="s">
        <v>51</v>
      </c>
      <c r="E59">
        <v>4</v>
      </c>
      <c r="F59" t="s">
        <v>234</v>
      </c>
      <c r="G59" t="s">
        <v>1781</v>
      </c>
      <c r="H59" t="s">
        <v>1782</v>
      </c>
      <c r="I59" t="s">
        <v>212</v>
      </c>
      <c r="J59" t="s">
        <v>213</v>
      </c>
      <c r="K59" t="s">
        <v>149</v>
      </c>
      <c r="L59" t="s">
        <v>214</v>
      </c>
      <c r="M59" t="s">
        <v>239</v>
      </c>
      <c r="N59" t="s">
        <v>215</v>
      </c>
      <c r="O59" s="57">
        <v>46267.523576388892</v>
      </c>
      <c r="P59" s="57">
        <v>46267.525034722225</v>
      </c>
      <c r="Q59">
        <v>69382285</v>
      </c>
      <c r="S59">
        <v>146550124358</v>
      </c>
      <c r="T59" t="s">
        <v>1783</v>
      </c>
      <c r="U59" t="s">
        <v>1784</v>
      </c>
      <c r="V59" t="s">
        <v>1785</v>
      </c>
      <c r="Z59">
        <v>110.5951146</v>
      </c>
      <c r="AA59">
        <v>-7.6287841999999904</v>
      </c>
      <c r="AB59" t="s">
        <v>1786</v>
      </c>
      <c r="AC59" t="s">
        <v>236</v>
      </c>
      <c r="AL59" t="s">
        <v>217</v>
      </c>
      <c r="AM59" t="s">
        <v>1787</v>
      </c>
      <c r="AN59" t="s">
        <v>6</v>
      </c>
      <c r="AO59" s="57">
        <v>46062.527777777781</v>
      </c>
      <c r="AP59" s="57">
        <v>46272.541666666664</v>
      </c>
      <c r="AR59" t="s">
        <v>240</v>
      </c>
      <c r="AS59" t="s">
        <v>219</v>
      </c>
      <c r="AT59" t="s">
        <v>230</v>
      </c>
      <c r="AV59" t="s">
        <v>239</v>
      </c>
      <c r="AW59" t="s">
        <v>886</v>
      </c>
      <c r="AX59" t="s">
        <v>222</v>
      </c>
      <c r="BA59" s="57">
        <v>46272.541666666664</v>
      </c>
      <c r="BB59" t="s">
        <v>1787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e">
        <f>VLOOKUP(H59,Sheet2!$A$1:$B$270,2,FALSE)</f>
        <v>#N/A</v>
      </c>
    </row>
    <row r="60" spans="1:61">
      <c r="A60">
        <v>59</v>
      </c>
      <c r="B60">
        <v>1002568541</v>
      </c>
      <c r="C60">
        <v>3</v>
      </c>
      <c r="D60" t="s">
        <v>51</v>
      </c>
      <c r="E60">
        <v>4</v>
      </c>
      <c r="F60" t="s">
        <v>234</v>
      </c>
      <c r="G60" t="s">
        <v>562</v>
      </c>
      <c r="H60" t="s">
        <v>873</v>
      </c>
      <c r="I60" t="s">
        <v>212</v>
      </c>
      <c r="J60" t="s">
        <v>213</v>
      </c>
      <c r="K60" t="s">
        <v>149</v>
      </c>
      <c r="L60" t="s">
        <v>214</v>
      </c>
      <c r="M60" t="s">
        <v>239</v>
      </c>
      <c r="N60" t="s">
        <v>215</v>
      </c>
      <c r="O60" s="57">
        <v>46267.75204861111</v>
      </c>
      <c r="P60" s="57">
        <v>46267.752789351849</v>
      </c>
      <c r="Q60">
        <v>69382625</v>
      </c>
      <c r="S60">
        <v>142526106511</v>
      </c>
      <c r="T60" t="s">
        <v>1788</v>
      </c>
      <c r="U60" t="s">
        <v>1789</v>
      </c>
      <c r="V60" t="s">
        <v>1790</v>
      </c>
      <c r="Z60">
        <v>110.89590561548</v>
      </c>
      <c r="AA60">
        <v>-7.5647372090437397</v>
      </c>
      <c r="AB60" t="s">
        <v>1791</v>
      </c>
      <c r="AC60" t="s">
        <v>236</v>
      </c>
      <c r="AL60" t="s">
        <v>217</v>
      </c>
      <c r="AM60" t="s">
        <v>1773</v>
      </c>
      <c r="AN60" t="s">
        <v>6</v>
      </c>
      <c r="AO60" s="57">
        <v>46062.756840277776</v>
      </c>
      <c r="AP60" s="57">
        <v>46269.625</v>
      </c>
      <c r="AR60" t="s">
        <v>240</v>
      </c>
      <c r="AS60" t="s">
        <v>914</v>
      </c>
      <c r="AT60" t="s">
        <v>230</v>
      </c>
      <c r="AV60" t="s">
        <v>239</v>
      </c>
      <c r="AW60" t="s">
        <v>884</v>
      </c>
      <c r="AX60" t="s">
        <v>222</v>
      </c>
      <c r="BA60" s="57">
        <v>46269.625</v>
      </c>
      <c r="BB60" t="s">
        <v>1773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e">
        <f>VLOOKUP(H60,Sheet2!$A$1:$B$270,2,FALSE)</f>
        <v>#N/A</v>
      </c>
    </row>
    <row r="61" spans="1:61">
      <c r="A61">
        <v>60</v>
      </c>
      <c r="B61">
        <v>1002568545</v>
      </c>
      <c r="C61">
        <v>3</v>
      </c>
      <c r="D61" t="s">
        <v>55</v>
      </c>
      <c r="E61">
        <v>5</v>
      </c>
      <c r="F61" t="s">
        <v>261</v>
      </c>
      <c r="G61" t="s">
        <v>126</v>
      </c>
      <c r="H61" t="s">
        <v>262</v>
      </c>
      <c r="I61" t="s">
        <v>212</v>
      </c>
      <c r="J61" t="s">
        <v>213</v>
      </c>
      <c r="K61" t="s">
        <v>149</v>
      </c>
      <c r="L61" t="s">
        <v>214</v>
      </c>
      <c r="M61" t="s">
        <v>239</v>
      </c>
      <c r="N61" t="s">
        <v>215</v>
      </c>
      <c r="O61" s="57">
        <v>46267.754120370373</v>
      </c>
      <c r="P61" s="57">
        <v>46267.755567129629</v>
      </c>
      <c r="Q61">
        <v>69382615</v>
      </c>
      <c r="S61">
        <v>152413167936</v>
      </c>
      <c r="T61" t="s">
        <v>1792</v>
      </c>
      <c r="U61" t="s">
        <v>1793</v>
      </c>
      <c r="V61" t="s">
        <v>1794</v>
      </c>
      <c r="Z61">
        <v>112.747347</v>
      </c>
      <c r="AA61">
        <v>-7.2645670000000004</v>
      </c>
      <c r="AB61" t="s">
        <v>1795</v>
      </c>
      <c r="AC61" t="s">
        <v>236</v>
      </c>
      <c r="AL61" t="s">
        <v>217</v>
      </c>
      <c r="AM61" t="s">
        <v>1796</v>
      </c>
      <c r="AN61" t="s">
        <v>6</v>
      </c>
      <c r="AO61" s="57">
        <v>46062.756840277776</v>
      </c>
      <c r="AP61" s="57">
        <v>46268.625</v>
      </c>
      <c r="AR61" t="s">
        <v>240</v>
      </c>
      <c r="AS61" t="s">
        <v>575</v>
      </c>
      <c r="AT61" t="s">
        <v>230</v>
      </c>
      <c r="AV61" t="s">
        <v>239</v>
      </c>
      <c r="AW61" t="s">
        <v>884</v>
      </c>
      <c r="AX61" t="s">
        <v>222</v>
      </c>
      <c r="BA61" s="57">
        <v>46268.625</v>
      </c>
      <c r="BB61" t="s">
        <v>1796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SURABAYA SELATAN</v>
      </c>
    </row>
    <row r="62" spans="1:61">
      <c r="A62">
        <v>61</v>
      </c>
      <c r="B62">
        <v>1002567484</v>
      </c>
      <c r="C62">
        <v>3</v>
      </c>
      <c r="D62" t="s">
        <v>51</v>
      </c>
      <c r="E62">
        <v>4</v>
      </c>
      <c r="F62" t="s">
        <v>234</v>
      </c>
      <c r="G62" t="s">
        <v>1781</v>
      </c>
      <c r="H62" t="s">
        <v>1782</v>
      </c>
      <c r="I62" t="s">
        <v>212</v>
      </c>
      <c r="J62" t="s">
        <v>213</v>
      </c>
      <c r="K62" t="s">
        <v>149</v>
      </c>
      <c r="L62" t="s">
        <v>214</v>
      </c>
      <c r="M62" t="s">
        <v>239</v>
      </c>
      <c r="N62" t="s">
        <v>215</v>
      </c>
      <c r="O62" s="57">
        <v>46267.522881944446</v>
      </c>
      <c r="P62" s="57">
        <v>46267.523622685185</v>
      </c>
      <c r="Q62">
        <v>69382264</v>
      </c>
      <c r="S62">
        <v>146550124357</v>
      </c>
      <c r="T62" t="s">
        <v>1797</v>
      </c>
      <c r="U62" t="s">
        <v>1784</v>
      </c>
      <c r="V62" t="s">
        <v>1798</v>
      </c>
      <c r="Z62">
        <v>110.59512532407901</v>
      </c>
      <c r="AA62">
        <v>-7.6285608809295899</v>
      </c>
      <c r="AB62" t="s">
        <v>1799</v>
      </c>
      <c r="AC62" t="s">
        <v>236</v>
      </c>
      <c r="AL62" t="s">
        <v>217</v>
      </c>
      <c r="AM62" t="s">
        <v>1800</v>
      </c>
      <c r="AN62" t="s">
        <v>6</v>
      </c>
      <c r="AO62" s="57">
        <v>46062.527777777781</v>
      </c>
      <c r="AP62" s="57">
        <v>46272.333333333336</v>
      </c>
      <c r="AR62" t="s">
        <v>240</v>
      </c>
      <c r="AS62" t="s">
        <v>219</v>
      </c>
      <c r="AT62" t="s">
        <v>230</v>
      </c>
      <c r="AV62" t="s">
        <v>239</v>
      </c>
      <c r="AW62" t="s">
        <v>886</v>
      </c>
      <c r="AX62" t="s">
        <v>222</v>
      </c>
      <c r="BA62" s="57">
        <v>46272.333333333336</v>
      </c>
      <c r="BB62" t="s">
        <v>1800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1002567485</v>
      </c>
      <c r="C63">
        <v>3</v>
      </c>
      <c r="D63" t="s">
        <v>51</v>
      </c>
      <c r="E63">
        <v>4</v>
      </c>
      <c r="F63" t="s">
        <v>234</v>
      </c>
      <c r="G63" t="s">
        <v>1781</v>
      </c>
      <c r="H63" t="s">
        <v>1782</v>
      </c>
      <c r="I63" t="s">
        <v>212</v>
      </c>
      <c r="J63" t="s">
        <v>213</v>
      </c>
      <c r="K63" t="s">
        <v>149</v>
      </c>
      <c r="L63" t="s">
        <v>214</v>
      </c>
      <c r="M63" t="s">
        <v>239</v>
      </c>
      <c r="N63" t="s">
        <v>215</v>
      </c>
      <c r="O63" s="57">
        <v>46267.522881944446</v>
      </c>
      <c r="P63" s="57">
        <v>46267.523622685185</v>
      </c>
      <c r="Q63">
        <v>69382263</v>
      </c>
      <c r="S63">
        <v>146550124356</v>
      </c>
      <c r="T63" t="s">
        <v>1801</v>
      </c>
      <c r="U63" t="s">
        <v>1784</v>
      </c>
      <c r="V63" t="s">
        <v>1802</v>
      </c>
      <c r="Z63">
        <v>110.5951146</v>
      </c>
      <c r="AA63">
        <v>-7.6287841999999904</v>
      </c>
      <c r="AB63" t="s">
        <v>1803</v>
      </c>
      <c r="AC63" t="s">
        <v>236</v>
      </c>
      <c r="AL63" t="s">
        <v>217</v>
      </c>
      <c r="AM63" t="s">
        <v>1800</v>
      </c>
      <c r="AN63" t="s">
        <v>6</v>
      </c>
      <c r="AO63" s="57">
        <v>46062.527777777781</v>
      </c>
      <c r="AP63" s="57">
        <v>46272.333333333336</v>
      </c>
      <c r="AR63" t="s">
        <v>240</v>
      </c>
      <c r="AS63" t="s">
        <v>219</v>
      </c>
      <c r="AT63" t="s">
        <v>230</v>
      </c>
      <c r="AV63" t="s">
        <v>239</v>
      </c>
      <c r="AW63" t="s">
        <v>886</v>
      </c>
      <c r="AX63" t="s">
        <v>222</v>
      </c>
      <c r="BA63" s="57">
        <v>46272.333333333336</v>
      </c>
      <c r="BB63" t="s">
        <v>1800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e">
        <f>VLOOKUP(H63,Sheet2!$A$1:$B$270,2,FALSE)</f>
        <v>#N/A</v>
      </c>
    </row>
    <row r="64" spans="1:61">
      <c r="A64">
        <v>63</v>
      </c>
      <c r="B64">
        <v>1002568368</v>
      </c>
      <c r="C64">
        <v>3</v>
      </c>
      <c r="D64" t="s">
        <v>51</v>
      </c>
      <c r="E64">
        <v>4</v>
      </c>
      <c r="F64" t="s">
        <v>269</v>
      </c>
      <c r="G64" t="s">
        <v>823</v>
      </c>
      <c r="H64" t="s">
        <v>837</v>
      </c>
      <c r="I64" t="s">
        <v>212</v>
      </c>
      <c r="J64" t="s">
        <v>213</v>
      </c>
      <c r="K64" t="s">
        <v>149</v>
      </c>
      <c r="L64" t="s">
        <v>214</v>
      </c>
      <c r="M64" t="s">
        <v>239</v>
      </c>
      <c r="N64" t="s">
        <v>215</v>
      </c>
      <c r="O64" s="57">
        <v>46267.68953703704</v>
      </c>
      <c r="P64" s="57">
        <v>46267.690289351849</v>
      </c>
      <c r="Q64">
        <v>69382544</v>
      </c>
      <c r="S64">
        <v>146593115589</v>
      </c>
      <c r="T64" t="s">
        <v>1804</v>
      </c>
      <c r="U64" t="s">
        <v>1805</v>
      </c>
      <c r="V64" t="s">
        <v>1806</v>
      </c>
      <c r="Z64">
        <v>110.767900831997</v>
      </c>
      <c r="AA64">
        <v>-6.7217601473032698</v>
      </c>
      <c r="AB64" t="s">
        <v>1807</v>
      </c>
      <c r="AC64" t="s">
        <v>216</v>
      </c>
      <c r="AL64" t="s">
        <v>217</v>
      </c>
      <c r="AM64" t="s">
        <v>1808</v>
      </c>
      <c r="AN64" t="s">
        <v>6</v>
      </c>
      <c r="AO64" s="57">
        <v>46062.694432870368</v>
      </c>
      <c r="AP64" s="57">
        <v>46268.541666666664</v>
      </c>
      <c r="AR64" t="s">
        <v>240</v>
      </c>
      <c r="AS64" t="s">
        <v>919</v>
      </c>
      <c r="AT64" t="s">
        <v>230</v>
      </c>
      <c r="AV64" t="s">
        <v>239</v>
      </c>
      <c r="AW64" t="s">
        <v>886</v>
      </c>
      <c r="AX64" t="s">
        <v>222</v>
      </c>
      <c r="BA64" s="57">
        <v>46268.541666666664</v>
      </c>
      <c r="BB64" t="s">
        <v>1808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e">
        <f>VLOOKUP(H64,Sheet2!$A$1:$B$270,2,FALSE)</f>
        <v>#N/A</v>
      </c>
    </row>
    <row r="65" spans="1:61">
      <c r="A65">
        <v>64</v>
      </c>
      <c r="B65">
        <v>1002568359</v>
      </c>
      <c r="C65">
        <v>3</v>
      </c>
      <c r="D65" t="s">
        <v>45</v>
      </c>
      <c r="E65">
        <v>5</v>
      </c>
      <c r="F65" t="s">
        <v>210</v>
      </c>
      <c r="G65" t="s">
        <v>112</v>
      </c>
      <c r="H65" t="s">
        <v>263</v>
      </c>
      <c r="I65" t="s">
        <v>212</v>
      </c>
      <c r="J65" t="s">
        <v>213</v>
      </c>
      <c r="K65" t="s">
        <v>149</v>
      </c>
      <c r="L65" t="s">
        <v>214</v>
      </c>
      <c r="M65" t="s">
        <v>239</v>
      </c>
      <c r="N65" t="s">
        <v>215</v>
      </c>
      <c r="O65" s="57">
        <v>46267.6874537037</v>
      </c>
      <c r="P65" s="57">
        <v>46267.688900462963</v>
      </c>
      <c r="Q65">
        <v>69382541</v>
      </c>
      <c r="S65">
        <v>172601797568</v>
      </c>
      <c r="T65" t="s">
        <v>1809</v>
      </c>
      <c r="U65" t="s">
        <v>1810</v>
      </c>
      <c r="V65" t="s">
        <v>1811</v>
      </c>
      <c r="Z65">
        <v>116.0986278</v>
      </c>
      <c r="AA65">
        <v>-8.5388558000000003</v>
      </c>
      <c r="AB65" t="s">
        <v>1812</v>
      </c>
      <c r="AC65" t="s">
        <v>236</v>
      </c>
      <c r="AL65" t="s">
        <v>217</v>
      </c>
      <c r="AM65" t="s">
        <v>1813</v>
      </c>
      <c r="AN65" t="s">
        <v>6</v>
      </c>
      <c r="AO65" s="57">
        <v>46062.694432870368</v>
      </c>
      <c r="AP65" s="57">
        <v>46269.333333333336</v>
      </c>
      <c r="AR65" t="s">
        <v>240</v>
      </c>
      <c r="AS65" t="s">
        <v>219</v>
      </c>
      <c r="AT65" t="s">
        <v>230</v>
      </c>
      <c r="AV65" t="s">
        <v>239</v>
      </c>
      <c r="AW65" t="s">
        <v>885</v>
      </c>
      <c r="AX65" t="s">
        <v>222</v>
      </c>
      <c r="BA65" s="57">
        <v>46269.333333333336</v>
      </c>
      <c r="BB65" t="s">
        <v>1813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MATARAM</v>
      </c>
    </row>
    <row r="66" spans="1:61">
      <c r="A66">
        <v>65</v>
      </c>
      <c r="B66">
        <v>1002568374</v>
      </c>
      <c r="C66">
        <v>3</v>
      </c>
      <c r="D66" t="s">
        <v>55</v>
      </c>
      <c r="E66">
        <v>5</v>
      </c>
      <c r="F66" t="s">
        <v>261</v>
      </c>
      <c r="G66" t="s">
        <v>123</v>
      </c>
      <c r="H66" t="s">
        <v>287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46267.691631944443</v>
      </c>
      <c r="P66" s="57">
        <v>46267.693067129629</v>
      </c>
      <c r="Q66">
        <v>69382545</v>
      </c>
      <c r="S66">
        <v>152401227605</v>
      </c>
      <c r="T66" t="s">
        <v>1814</v>
      </c>
      <c r="U66" t="s">
        <v>1815</v>
      </c>
      <c r="V66" t="s">
        <v>1816</v>
      </c>
      <c r="Z66">
        <v>112.7438654</v>
      </c>
      <c r="AA66">
        <v>-7.2420342</v>
      </c>
      <c r="AB66" t="s">
        <v>1817</v>
      </c>
      <c r="AC66" t="s">
        <v>236</v>
      </c>
      <c r="AL66" t="s">
        <v>217</v>
      </c>
      <c r="AM66" t="s">
        <v>1818</v>
      </c>
      <c r="AN66" t="s">
        <v>6</v>
      </c>
      <c r="AO66" s="57">
        <v>46062.694432870368</v>
      </c>
      <c r="AP66" s="57">
        <v>46269.458333333336</v>
      </c>
      <c r="AR66" t="s">
        <v>240</v>
      </c>
      <c r="AS66" t="s">
        <v>271</v>
      </c>
      <c r="AT66" t="s">
        <v>230</v>
      </c>
      <c r="AV66" t="s">
        <v>239</v>
      </c>
      <c r="AW66" t="s">
        <v>886</v>
      </c>
      <c r="AX66" t="s">
        <v>222</v>
      </c>
      <c r="BA66" s="57">
        <v>46269.458333333336</v>
      </c>
      <c r="BB66" t="s">
        <v>1818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SURABAYA UTARA</v>
      </c>
    </row>
    <row r="67" spans="1:61">
      <c r="A67">
        <v>66</v>
      </c>
      <c r="B67">
        <v>1002566618</v>
      </c>
      <c r="C67">
        <v>3</v>
      </c>
      <c r="D67" t="s">
        <v>59</v>
      </c>
      <c r="E67">
        <v>4</v>
      </c>
      <c r="F67" t="s">
        <v>242</v>
      </c>
      <c r="G67" t="s">
        <v>242</v>
      </c>
      <c r="H67" t="s">
        <v>288</v>
      </c>
      <c r="I67" t="s">
        <v>212</v>
      </c>
      <c r="J67" t="s">
        <v>213</v>
      </c>
      <c r="K67" t="s">
        <v>149</v>
      </c>
      <c r="L67" t="s">
        <v>214</v>
      </c>
      <c r="M67" t="s">
        <v>239</v>
      </c>
      <c r="N67" t="s">
        <v>215</v>
      </c>
      <c r="O67" s="57">
        <v>46267.34648148148</v>
      </c>
      <c r="P67" s="57">
        <v>46267.347233796296</v>
      </c>
      <c r="Q67">
        <v>69381943</v>
      </c>
      <c r="S67">
        <v>146137149102</v>
      </c>
      <c r="T67" t="s">
        <v>1819</v>
      </c>
      <c r="U67" t="s">
        <v>1820</v>
      </c>
      <c r="V67" t="s">
        <v>1821</v>
      </c>
      <c r="Z67">
        <v>110.27992999999999</v>
      </c>
      <c r="AA67">
        <v>-7.43513</v>
      </c>
      <c r="AB67" t="s">
        <v>1822</v>
      </c>
      <c r="AC67" t="s">
        <v>236</v>
      </c>
      <c r="AL67" t="s">
        <v>217</v>
      </c>
      <c r="AM67" t="s">
        <v>1823</v>
      </c>
      <c r="AN67" t="s">
        <v>6</v>
      </c>
      <c r="AO67" s="57">
        <v>46062.350763888891</v>
      </c>
      <c r="AP67" s="57">
        <v>46273.333333333336</v>
      </c>
      <c r="AR67" t="s">
        <v>240</v>
      </c>
      <c r="AS67" t="s">
        <v>219</v>
      </c>
      <c r="AT67" t="s">
        <v>230</v>
      </c>
      <c r="AV67" t="s">
        <v>239</v>
      </c>
      <c r="AW67" t="s">
        <v>921</v>
      </c>
      <c r="AX67" t="s">
        <v>222</v>
      </c>
      <c r="BA67" s="57">
        <v>46273.333333333336</v>
      </c>
      <c r="BB67" t="s">
        <v>1823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e">
        <f>VLOOKUP(H67,Sheet2!$A$1:$B$270,2,FALSE)</f>
        <v>#N/A</v>
      </c>
    </row>
    <row r="68" spans="1:61">
      <c r="A68">
        <v>67</v>
      </c>
      <c r="B68">
        <v>1002568238</v>
      </c>
      <c r="C68">
        <v>3</v>
      </c>
      <c r="D68" t="s">
        <v>38</v>
      </c>
      <c r="E68">
        <v>5</v>
      </c>
      <c r="F68" t="s">
        <v>92</v>
      </c>
      <c r="G68" t="s">
        <v>89</v>
      </c>
      <c r="H68" t="s">
        <v>266</v>
      </c>
      <c r="I68" t="s">
        <v>212</v>
      </c>
      <c r="J68" t="s">
        <v>213</v>
      </c>
      <c r="K68" t="s">
        <v>149</v>
      </c>
      <c r="L68" t="s">
        <v>214</v>
      </c>
      <c r="M68" t="s">
        <v>239</v>
      </c>
      <c r="N68" t="s">
        <v>215</v>
      </c>
      <c r="O68" s="57">
        <v>46267.665231481478</v>
      </c>
      <c r="P68" s="57">
        <v>46267.666689814818</v>
      </c>
      <c r="Q68">
        <v>69382507</v>
      </c>
      <c r="S68">
        <v>152643201658</v>
      </c>
      <c r="T68" t="s">
        <v>1824</v>
      </c>
      <c r="U68" t="s">
        <v>1825</v>
      </c>
      <c r="V68" t="s">
        <v>1826</v>
      </c>
      <c r="Z68">
        <v>111.762289</v>
      </c>
      <c r="AA68">
        <v>-7.1452109999999998</v>
      </c>
      <c r="AB68" t="s">
        <v>1827</v>
      </c>
      <c r="AC68" t="s">
        <v>236</v>
      </c>
      <c r="AL68" t="s">
        <v>217</v>
      </c>
      <c r="AM68" t="s">
        <v>1828</v>
      </c>
      <c r="AN68" t="s">
        <v>6</v>
      </c>
      <c r="AO68" s="57">
        <v>46062.673541666663</v>
      </c>
      <c r="AP68" s="57">
        <v>46268.625</v>
      </c>
      <c r="AR68" t="s">
        <v>240</v>
      </c>
      <c r="AS68" t="s">
        <v>1607</v>
      </c>
      <c r="AT68" t="s">
        <v>230</v>
      </c>
      <c r="AV68" t="s">
        <v>239</v>
      </c>
      <c r="AW68" t="s">
        <v>884</v>
      </c>
      <c r="AX68" t="s">
        <v>222</v>
      </c>
      <c r="BA68" s="57">
        <v>46268.625</v>
      </c>
      <c r="BB68" t="s">
        <v>1828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BOJONEGORO</v>
      </c>
    </row>
    <row r="69" spans="1:61">
      <c r="A69">
        <v>68</v>
      </c>
      <c r="B69">
        <v>1002568233</v>
      </c>
      <c r="C69">
        <v>3</v>
      </c>
      <c r="D69" t="s">
        <v>59</v>
      </c>
      <c r="E69">
        <v>4</v>
      </c>
      <c r="F69" t="s">
        <v>242</v>
      </c>
      <c r="G69" t="s">
        <v>242</v>
      </c>
      <c r="H69" t="s">
        <v>288</v>
      </c>
      <c r="I69" t="s">
        <v>212</v>
      </c>
      <c r="J69" t="s">
        <v>213</v>
      </c>
      <c r="K69" t="s">
        <v>149</v>
      </c>
      <c r="L69" t="s">
        <v>214</v>
      </c>
      <c r="M69" t="s">
        <v>239</v>
      </c>
      <c r="N69" t="s">
        <v>215</v>
      </c>
      <c r="O69" s="57">
        <v>46267.664537037039</v>
      </c>
      <c r="P69" s="57">
        <v>46267.665289351855</v>
      </c>
      <c r="Q69">
        <v>69382525</v>
      </c>
      <c r="S69">
        <v>146137149602</v>
      </c>
      <c r="T69" t="s">
        <v>1829</v>
      </c>
      <c r="U69" t="s">
        <v>1830</v>
      </c>
      <c r="V69" t="s">
        <v>1831</v>
      </c>
      <c r="Z69">
        <v>110.1344077</v>
      </c>
      <c r="AA69">
        <v>-7.5562855000000004</v>
      </c>
      <c r="AB69" t="s">
        <v>1832</v>
      </c>
      <c r="AC69" t="s">
        <v>236</v>
      </c>
      <c r="AL69" t="s">
        <v>217</v>
      </c>
      <c r="AM69" t="s">
        <v>1833</v>
      </c>
      <c r="AN69" t="s">
        <v>6</v>
      </c>
      <c r="AO69" s="57">
        <v>46062.673541666663</v>
      </c>
      <c r="AP69" s="57">
        <v>46269.541666666664</v>
      </c>
      <c r="AR69" t="s">
        <v>240</v>
      </c>
      <c r="AS69" t="s">
        <v>219</v>
      </c>
      <c r="AT69" t="s">
        <v>230</v>
      </c>
      <c r="AV69" t="s">
        <v>239</v>
      </c>
      <c r="AW69" t="s">
        <v>890</v>
      </c>
      <c r="AX69" t="s">
        <v>222</v>
      </c>
      <c r="BA69" s="57">
        <v>46269.541666666664</v>
      </c>
      <c r="BB69" t="s">
        <v>1833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e">
        <f>VLOOKUP(H69,Sheet2!$A$1:$B$270,2,FALSE)</f>
        <v>#N/A</v>
      </c>
    </row>
    <row r="70" spans="1:61">
      <c r="A70">
        <v>69</v>
      </c>
      <c r="B70">
        <v>1002568226</v>
      </c>
      <c r="C70">
        <v>3</v>
      </c>
      <c r="D70" t="s">
        <v>55</v>
      </c>
      <c r="E70">
        <v>5</v>
      </c>
      <c r="F70" t="s">
        <v>307</v>
      </c>
      <c r="G70" t="s">
        <v>126</v>
      </c>
      <c r="H70" t="s">
        <v>308</v>
      </c>
      <c r="I70" t="s">
        <v>212</v>
      </c>
      <c r="J70" t="s">
        <v>213</v>
      </c>
      <c r="K70" t="s">
        <v>149</v>
      </c>
      <c r="L70" t="s">
        <v>214</v>
      </c>
      <c r="M70" t="s">
        <v>239</v>
      </c>
      <c r="N70" t="s">
        <v>215</v>
      </c>
      <c r="O70" s="57">
        <v>46267.663171296299</v>
      </c>
      <c r="P70" s="57">
        <v>46267.663900462961</v>
      </c>
      <c r="Q70">
        <v>69382506</v>
      </c>
      <c r="S70">
        <v>152320246364</v>
      </c>
      <c r="T70" t="s">
        <v>1699</v>
      </c>
      <c r="U70" t="s">
        <v>1834</v>
      </c>
      <c r="V70" t="s">
        <v>1835</v>
      </c>
      <c r="Z70">
        <v>112.7517545</v>
      </c>
      <c r="AA70">
        <v>-7.2931796000000002</v>
      </c>
      <c r="AB70" t="s">
        <v>1836</v>
      </c>
      <c r="AC70" t="s">
        <v>236</v>
      </c>
      <c r="AL70" t="s">
        <v>217</v>
      </c>
      <c r="AM70" t="s">
        <v>1828</v>
      </c>
      <c r="AN70" t="s">
        <v>6</v>
      </c>
      <c r="AO70" s="57">
        <v>46062.673541666663</v>
      </c>
      <c r="AP70" s="57">
        <v>46268.625</v>
      </c>
      <c r="AR70" t="s">
        <v>240</v>
      </c>
      <c r="AS70" t="s">
        <v>907</v>
      </c>
      <c r="AT70" t="s">
        <v>230</v>
      </c>
      <c r="AV70" t="s">
        <v>239</v>
      </c>
      <c r="AW70" t="s">
        <v>886</v>
      </c>
      <c r="AX70" t="s">
        <v>222</v>
      </c>
      <c r="BA70" s="57">
        <v>46268.625</v>
      </c>
      <c r="BB70" t="s">
        <v>1828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SURABAYA SELATAN</v>
      </c>
    </row>
    <row r="71" spans="1:61">
      <c r="A71">
        <v>70</v>
      </c>
      <c r="B71">
        <v>1002568177</v>
      </c>
      <c r="C71">
        <v>3</v>
      </c>
      <c r="D71" t="s">
        <v>34</v>
      </c>
      <c r="E71">
        <v>5</v>
      </c>
      <c r="F71" t="s">
        <v>563</v>
      </c>
      <c r="G71" t="s">
        <v>83</v>
      </c>
      <c r="H71" t="s">
        <v>379</v>
      </c>
      <c r="I71" t="s">
        <v>212</v>
      </c>
      <c r="J71" t="s">
        <v>213</v>
      </c>
      <c r="K71" t="s">
        <v>149</v>
      </c>
      <c r="M71" t="s">
        <v>239</v>
      </c>
      <c r="N71" t="s">
        <v>215</v>
      </c>
      <c r="O71" s="57">
        <v>46267.668680555558</v>
      </c>
      <c r="P71" s="57">
        <v>46267.719467592593</v>
      </c>
      <c r="Q71">
        <v>69382487</v>
      </c>
      <c r="S71">
        <v>172422212789</v>
      </c>
      <c r="T71" t="s">
        <v>1837</v>
      </c>
      <c r="U71" t="s">
        <v>1838</v>
      </c>
      <c r="V71" t="s">
        <v>1839</v>
      </c>
      <c r="Z71">
        <v>115.2363957</v>
      </c>
      <c r="AA71">
        <v>-8.6067844000000004</v>
      </c>
      <c r="AB71" t="s">
        <v>1840</v>
      </c>
      <c r="AC71" t="s">
        <v>229</v>
      </c>
      <c r="AL71" t="s">
        <v>217</v>
      </c>
      <c r="AM71" t="s">
        <v>1841</v>
      </c>
      <c r="AN71" t="s">
        <v>6</v>
      </c>
      <c r="AO71" s="57">
        <v>46062.673541666663</v>
      </c>
      <c r="AP71" s="57">
        <v>46268.625</v>
      </c>
      <c r="AR71" t="s">
        <v>240</v>
      </c>
      <c r="AS71" t="s">
        <v>1525</v>
      </c>
      <c r="AT71" t="s">
        <v>220</v>
      </c>
      <c r="AV71" t="s">
        <v>239</v>
      </c>
      <c r="AW71" t="s">
        <v>572</v>
      </c>
      <c r="AX71" t="s">
        <v>222</v>
      </c>
      <c r="BA71" s="57">
        <v>46268.625</v>
      </c>
      <c r="BB71" t="s">
        <v>1841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SANUR</v>
      </c>
    </row>
    <row r="72" spans="1:61">
      <c r="A72">
        <v>71</v>
      </c>
      <c r="B72">
        <v>1002568264</v>
      </c>
      <c r="C72">
        <v>3</v>
      </c>
      <c r="D72" t="s">
        <v>59</v>
      </c>
      <c r="E72">
        <v>4</v>
      </c>
      <c r="F72" t="s">
        <v>223</v>
      </c>
      <c r="G72" t="s">
        <v>314</v>
      </c>
      <c r="H72" t="s">
        <v>315</v>
      </c>
      <c r="I72" t="s">
        <v>212</v>
      </c>
      <c r="J72" t="s">
        <v>213</v>
      </c>
      <c r="K72" t="s">
        <v>149</v>
      </c>
      <c r="L72" t="s">
        <v>214</v>
      </c>
      <c r="M72" t="s">
        <v>239</v>
      </c>
      <c r="N72" t="s">
        <v>215</v>
      </c>
      <c r="O72" s="57">
        <v>46267.669409722221</v>
      </c>
      <c r="P72" s="57">
        <v>46267.670844907407</v>
      </c>
      <c r="Q72">
        <v>69382512</v>
      </c>
      <c r="S72">
        <v>146372103317</v>
      </c>
      <c r="T72" t="s">
        <v>1842</v>
      </c>
      <c r="U72" t="s">
        <v>1843</v>
      </c>
      <c r="V72" t="s">
        <v>1844</v>
      </c>
      <c r="Z72">
        <v>109.670011</v>
      </c>
      <c r="AA72">
        <v>-7.4078660000000003</v>
      </c>
      <c r="AB72" t="s">
        <v>1845</v>
      </c>
      <c r="AC72" t="s">
        <v>236</v>
      </c>
      <c r="AL72" t="s">
        <v>217</v>
      </c>
      <c r="AM72" t="s">
        <v>1846</v>
      </c>
      <c r="AN72" t="s">
        <v>6</v>
      </c>
      <c r="AO72" s="57">
        <v>46062.673541666663</v>
      </c>
      <c r="AP72" s="57">
        <v>46270.625</v>
      </c>
      <c r="AR72" t="s">
        <v>240</v>
      </c>
      <c r="AS72" t="s">
        <v>219</v>
      </c>
      <c r="AT72" t="s">
        <v>230</v>
      </c>
      <c r="AV72" t="s">
        <v>239</v>
      </c>
      <c r="AW72" t="s">
        <v>887</v>
      </c>
      <c r="AX72" t="s">
        <v>222</v>
      </c>
      <c r="BA72" s="57">
        <v>46270.625</v>
      </c>
      <c r="BB72" t="s">
        <v>1846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e">
        <f>VLOOKUP(H72,Sheet2!$A$1:$B$270,2,FALSE)</f>
        <v>#N/A</v>
      </c>
    </row>
    <row r="73" spans="1:61">
      <c r="A73">
        <v>72</v>
      </c>
      <c r="B73">
        <v>1002567022</v>
      </c>
      <c r="C73">
        <v>3</v>
      </c>
      <c r="D73" t="s">
        <v>38</v>
      </c>
      <c r="E73">
        <v>5</v>
      </c>
      <c r="F73" t="s">
        <v>248</v>
      </c>
      <c r="G73" t="s">
        <v>91</v>
      </c>
      <c r="H73" t="s">
        <v>423</v>
      </c>
      <c r="I73" t="s">
        <v>212</v>
      </c>
      <c r="J73" t="s">
        <v>213</v>
      </c>
      <c r="K73" t="s">
        <v>149</v>
      </c>
      <c r="M73" t="s">
        <v>239</v>
      </c>
      <c r="N73" t="s">
        <v>215</v>
      </c>
      <c r="O73" s="57">
        <v>46267.427951388891</v>
      </c>
      <c r="P73" s="57">
        <v>46267.6250462963</v>
      </c>
      <c r="Q73">
        <v>32627967</v>
      </c>
      <c r="S73">
        <v>152713217136</v>
      </c>
      <c r="T73" t="s">
        <v>1847</v>
      </c>
      <c r="U73" t="s">
        <v>1848</v>
      </c>
      <c r="V73" t="s">
        <v>1849</v>
      </c>
      <c r="Z73">
        <v>112.6941356</v>
      </c>
      <c r="AA73">
        <v>-8.1630912000000002</v>
      </c>
      <c r="AB73" t="s">
        <v>1850</v>
      </c>
      <c r="AC73" t="s">
        <v>229</v>
      </c>
      <c r="AL73" t="s">
        <v>217</v>
      </c>
      <c r="AM73" t="s">
        <v>1851</v>
      </c>
      <c r="AN73" t="s">
        <v>6</v>
      </c>
      <c r="AO73" s="57">
        <v>46062.434062499997</v>
      </c>
      <c r="AP73" s="57">
        <v>46268.541666666664</v>
      </c>
      <c r="AR73" t="s">
        <v>240</v>
      </c>
      <c r="AS73" t="s">
        <v>584</v>
      </c>
      <c r="AT73" t="s">
        <v>220</v>
      </c>
      <c r="AV73" t="s">
        <v>239</v>
      </c>
      <c r="AW73" t="s">
        <v>598</v>
      </c>
      <c r="AX73" t="s">
        <v>222</v>
      </c>
      <c r="BA73" s="57">
        <v>46268.541666666664</v>
      </c>
      <c r="BB73" t="s">
        <v>1851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MALANG</v>
      </c>
    </row>
    <row r="74" spans="1:61">
      <c r="A74">
        <v>73</v>
      </c>
      <c r="B74">
        <v>1002567049</v>
      </c>
      <c r="C74">
        <v>3</v>
      </c>
      <c r="D74" t="s">
        <v>38</v>
      </c>
      <c r="E74">
        <v>5</v>
      </c>
      <c r="F74" t="s">
        <v>248</v>
      </c>
      <c r="G74" t="s">
        <v>91</v>
      </c>
      <c r="H74" t="s">
        <v>423</v>
      </c>
      <c r="I74" t="s">
        <v>212</v>
      </c>
      <c r="J74" t="s">
        <v>213</v>
      </c>
      <c r="K74" t="s">
        <v>149</v>
      </c>
      <c r="M74" t="s">
        <v>239</v>
      </c>
      <c r="N74" t="s">
        <v>215</v>
      </c>
      <c r="O74" s="57">
        <v>46267.431759259256</v>
      </c>
      <c r="P74" s="57">
        <v>46267.625011574077</v>
      </c>
      <c r="Q74">
        <v>32627967</v>
      </c>
      <c r="S74">
        <v>152713217139</v>
      </c>
      <c r="T74" t="s">
        <v>1847</v>
      </c>
      <c r="U74" t="s">
        <v>1852</v>
      </c>
      <c r="V74" t="s">
        <v>1853</v>
      </c>
      <c r="Z74">
        <v>112.69420409999999</v>
      </c>
      <c r="AA74">
        <v>-8.1628181000000009</v>
      </c>
      <c r="AB74" t="s">
        <v>1850</v>
      </c>
      <c r="AC74" t="s">
        <v>229</v>
      </c>
      <c r="AL74" t="s">
        <v>217</v>
      </c>
      <c r="AM74" t="s">
        <v>1854</v>
      </c>
      <c r="AN74" t="s">
        <v>6</v>
      </c>
      <c r="AO74" s="57">
        <v>46062.434062499997</v>
      </c>
      <c r="AP74" s="57">
        <v>46268.541666666664</v>
      </c>
      <c r="AR74" t="s">
        <v>240</v>
      </c>
      <c r="AS74" t="s">
        <v>584</v>
      </c>
      <c r="AT74" t="s">
        <v>220</v>
      </c>
      <c r="AV74" t="s">
        <v>239</v>
      </c>
      <c r="AW74" t="s">
        <v>1855</v>
      </c>
      <c r="AX74" t="s">
        <v>222</v>
      </c>
      <c r="BA74" s="57">
        <v>46268.541666666664</v>
      </c>
      <c r="BB74" t="s">
        <v>1854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MALANG</v>
      </c>
    </row>
    <row r="75" spans="1:61">
      <c r="A75">
        <v>74</v>
      </c>
      <c r="B75">
        <v>1002567011</v>
      </c>
      <c r="C75">
        <v>3</v>
      </c>
      <c r="D75" t="s">
        <v>49</v>
      </c>
      <c r="E75">
        <v>4</v>
      </c>
      <c r="F75" t="s">
        <v>250</v>
      </c>
      <c r="G75" t="s">
        <v>253</v>
      </c>
      <c r="H75" t="s">
        <v>1570</v>
      </c>
      <c r="I75" t="s">
        <v>212</v>
      </c>
      <c r="J75" t="s">
        <v>213</v>
      </c>
      <c r="K75" t="s">
        <v>149</v>
      </c>
      <c r="M75" t="s">
        <v>239</v>
      </c>
      <c r="N75" t="s">
        <v>215</v>
      </c>
      <c r="O75" s="57">
        <v>46267.424270833333</v>
      </c>
      <c r="P75" s="57">
        <v>46267.640289351853</v>
      </c>
      <c r="Q75">
        <v>69382075</v>
      </c>
      <c r="S75">
        <v>142283120013</v>
      </c>
      <c r="T75" t="s">
        <v>1856</v>
      </c>
      <c r="U75" t="s">
        <v>1572</v>
      </c>
      <c r="V75" t="s">
        <v>1857</v>
      </c>
      <c r="Z75">
        <v>109.1181605</v>
      </c>
      <c r="AA75">
        <v>-6.9798542000000001</v>
      </c>
      <c r="AB75" t="s">
        <v>1858</v>
      </c>
      <c r="AC75" t="s">
        <v>225</v>
      </c>
      <c r="AL75" t="s">
        <v>217</v>
      </c>
      <c r="AM75" t="s">
        <v>1859</v>
      </c>
      <c r="AN75" t="s">
        <v>6</v>
      </c>
      <c r="AO75" s="57">
        <v>46062.434062499997</v>
      </c>
      <c r="AP75" s="57">
        <v>46268.541666666664</v>
      </c>
      <c r="AR75" t="s">
        <v>240</v>
      </c>
      <c r="AS75" t="s">
        <v>219</v>
      </c>
      <c r="AT75" t="s">
        <v>230</v>
      </c>
      <c r="AV75" t="s">
        <v>239</v>
      </c>
      <c r="AW75" t="s">
        <v>545</v>
      </c>
      <c r="AX75" t="s">
        <v>222</v>
      </c>
      <c r="BA75" s="57">
        <v>46268.541666666664</v>
      </c>
      <c r="BB75" t="s">
        <v>1859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e">
        <f>VLOOKUP(H75,Sheet2!$A$1:$B$270,2,FALSE)</f>
        <v>#N/A</v>
      </c>
    </row>
    <row r="76" spans="1:61">
      <c r="A76">
        <v>75</v>
      </c>
      <c r="B76">
        <v>1002567524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268</v>
      </c>
      <c r="I76" t="s">
        <v>212</v>
      </c>
      <c r="J76" t="s">
        <v>213</v>
      </c>
      <c r="K76" t="s">
        <v>149</v>
      </c>
      <c r="L76" t="s">
        <v>214</v>
      </c>
      <c r="M76" t="s">
        <v>239</v>
      </c>
      <c r="N76" t="s">
        <v>215</v>
      </c>
      <c r="O76" s="57">
        <v>46267.538148148145</v>
      </c>
      <c r="P76" s="57">
        <v>46267.538900462961</v>
      </c>
      <c r="Q76">
        <v>69382305</v>
      </c>
      <c r="S76">
        <v>172604214270</v>
      </c>
      <c r="T76" t="s">
        <v>1860</v>
      </c>
      <c r="U76" t="s">
        <v>1861</v>
      </c>
      <c r="V76" t="s">
        <v>1862</v>
      </c>
      <c r="Z76">
        <v>116.15055649999999</v>
      </c>
      <c r="AA76">
        <v>-8.3577069000000002</v>
      </c>
      <c r="AB76" t="s">
        <v>1863</v>
      </c>
      <c r="AC76" t="s">
        <v>236</v>
      </c>
      <c r="AL76" t="s">
        <v>217</v>
      </c>
      <c r="AM76" t="s">
        <v>1864</v>
      </c>
      <c r="AN76" t="s">
        <v>6</v>
      </c>
      <c r="AO76" s="57">
        <v>46062.548622685186</v>
      </c>
      <c r="AP76" s="57">
        <v>46269.541666666664</v>
      </c>
      <c r="AR76" t="s">
        <v>240</v>
      </c>
      <c r="AS76" t="s">
        <v>912</v>
      </c>
      <c r="AT76" t="s">
        <v>230</v>
      </c>
      <c r="AV76" t="s">
        <v>239</v>
      </c>
      <c r="AW76" t="s">
        <v>886</v>
      </c>
      <c r="AX76" t="s">
        <v>222</v>
      </c>
      <c r="BA76" s="57">
        <v>46269.541666666664</v>
      </c>
      <c r="BB76" t="s">
        <v>1864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1002567530</v>
      </c>
      <c r="C77">
        <v>3</v>
      </c>
      <c r="D77" t="s">
        <v>45</v>
      </c>
      <c r="E77">
        <v>5</v>
      </c>
      <c r="F77" t="s">
        <v>210</v>
      </c>
      <c r="G77" t="s">
        <v>112</v>
      </c>
      <c r="H77" t="s">
        <v>263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46267.540254629632</v>
      </c>
      <c r="P77" s="57">
        <v>46267.541689814818</v>
      </c>
      <c r="Q77">
        <v>69382293</v>
      </c>
      <c r="S77">
        <v>172601797566</v>
      </c>
      <c r="T77" t="s">
        <v>1865</v>
      </c>
      <c r="U77" t="s">
        <v>1866</v>
      </c>
      <c r="V77" t="s">
        <v>1867</v>
      </c>
      <c r="Z77">
        <v>116.076317899876</v>
      </c>
      <c r="AA77">
        <v>-8.5971644569585504</v>
      </c>
      <c r="AB77" t="s">
        <v>1868</v>
      </c>
      <c r="AC77" t="s">
        <v>236</v>
      </c>
      <c r="AL77" t="s">
        <v>217</v>
      </c>
      <c r="AM77" t="s">
        <v>1869</v>
      </c>
      <c r="AN77" t="s">
        <v>6</v>
      </c>
      <c r="AO77" s="57">
        <v>46062.548622685186</v>
      </c>
      <c r="AP77" s="57">
        <v>46268.541666666664</v>
      </c>
      <c r="AR77" t="s">
        <v>240</v>
      </c>
      <c r="AS77" t="s">
        <v>219</v>
      </c>
      <c r="AT77" t="s">
        <v>230</v>
      </c>
      <c r="AV77" t="s">
        <v>239</v>
      </c>
      <c r="AW77" t="s">
        <v>574</v>
      </c>
      <c r="AX77" t="s">
        <v>222</v>
      </c>
      <c r="BA77" s="57">
        <v>46268.541666666664</v>
      </c>
      <c r="BB77" t="s">
        <v>1869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MATARAM</v>
      </c>
    </row>
    <row r="78" spans="1:61">
      <c r="A78">
        <v>77</v>
      </c>
      <c r="B78">
        <v>1002567529</v>
      </c>
      <c r="C78">
        <v>3</v>
      </c>
      <c r="D78" t="s">
        <v>49</v>
      </c>
      <c r="E78">
        <v>4</v>
      </c>
      <c r="F78" t="s">
        <v>245</v>
      </c>
      <c r="G78" t="s">
        <v>246</v>
      </c>
      <c r="H78" t="s">
        <v>832</v>
      </c>
      <c r="I78" t="s">
        <v>212</v>
      </c>
      <c r="J78" t="s">
        <v>213</v>
      </c>
      <c r="K78" t="s">
        <v>149</v>
      </c>
      <c r="L78" t="s">
        <v>214</v>
      </c>
      <c r="M78" t="s">
        <v>239</v>
      </c>
      <c r="N78" t="s">
        <v>215</v>
      </c>
      <c r="O78" s="57">
        <v>46267.540243055555</v>
      </c>
      <c r="P78" s="57">
        <v>46267.541689814818</v>
      </c>
      <c r="Q78">
        <v>69382292</v>
      </c>
      <c r="S78">
        <v>142406122844</v>
      </c>
      <c r="T78" t="s">
        <v>1870</v>
      </c>
      <c r="U78" t="s">
        <v>1871</v>
      </c>
      <c r="V78" t="s">
        <v>1872</v>
      </c>
      <c r="Z78">
        <v>110.41095009999999</v>
      </c>
      <c r="AA78">
        <v>-6.9813624000000001</v>
      </c>
      <c r="AB78" t="s">
        <v>1873</v>
      </c>
      <c r="AC78" t="s">
        <v>216</v>
      </c>
      <c r="AL78" t="s">
        <v>217</v>
      </c>
      <c r="AM78" t="s">
        <v>1874</v>
      </c>
      <c r="AN78" t="s">
        <v>6</v>
      </c>
      <c r="AO78" s="57">
        <v>46062.548622685186</v>
      </c>
      <c r="AP78" s="57">
        <v>46268.541666666664</v>
      </c>
      <c r="AR78" t="s">
        <v>240</v>
      </c>
      <c r="AS78" t="s">
        <v>900</v>
      </c>
      <c r="AT78" t="s">
        <v>230</v>
      </c>
      <c r="AV78" t="s">
        <v>239</v>
      </c>
      <c r="AW78" t="s">
        <v>1875</v>
      </c>
      <c r="AX78" t="s">
        <v>222</v>
      </c>
      <c r="BA78" s="57">
        <v>46268.541666666664</v>
      </c>
      <c r="BB78" t="s">
        <v>1874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e">
        <f>VLOOKUP(H78,Sheet2!$A$1:$B$270,2,FALSE)</f>
        <v>#N/A</v>
      </c>
    </row>
    <row r="79" spans="1:61">
      <c r="A79">
        <v>78</v>
      </c>
      <c r="B79">
        <v>1002567147</v>
      </c>
      <c r="C79">
        <v>3</v>
      </c>
      <c r="D79" t="s">
        <v>49</v>
      </c>
      <c r="E79">
        <v>4</v>
      </c>
      <c r="F79" t="s">
        <v>250</v>
      </c>
      <c r="G79" t="s">
        <v>539</v>
      </c>
      <c r="H79" t="s">
        <v>577</v>
      </c>
      <c r="I79" t="s">
        <v>212</v>
      </c>
      <c r="J79" t="s">
        <v>213</v>
      </c>
      <c r="K79" t="s">
        <v>149</v>
      </c>
      <c r="L79" t="s">
        <v>214</v>
      </c>
      <c r="M79" t="s">
        <v>239</v>
      </c>
      <c r="N79" t="s">
        <v>215</v>
      </c>
      <c r="O79" s="57">
        <v>46267.447870370372</v>
      </c>
      <c r="P79" s="57">
        <v>46267.448622685188</v>
      </c>
      <c r="Q79">
        <v>69382146</v>
      </c>
      <c r="S79">
        <v>142214107790</v>
      </c>
      <c r="T79" t="s">
        <v>1876</v>
      </c>
      <c r="U79" t="s">
        <v>1877</v>
      </c>
      <c r="V79" t="s">
        <v>1878</v>
      </c>
      <c r="Z79">
        <v>108.82876</v>
      </c>
      <c r="AA79">
        <v>-7.0651979999999996</v>
      </c>
      <c r="AB79" t="s">
        <v>1879</v>
      </c>
      <c r="AC79" t="s">
        <v>236</v>
      </c>
      <c r="AL79" t="s">
        <v>217</v>
      </c>
      <c r="AM79" t="s">
        <v>1880</v>
      </c>
      <c r="AN79" t="s">
        <v>6</v>
      </c>
      <c r="AO79" s="57">
        <v>46062.454895833333</v>
      </c>
      <c r="AP79" s="57">
        <v>46270.333333333336</v>
      </c>
      <c r="AR79" t="s">
        <v>240</v>
      </c>
      <c r="AS79" t="s">
        <v>909</v>
      </c>
      <c r="AT79" t="s">
        <v>230</v>
      </c>
      <c r="AV79" t="s">
        <v>239</v>
      </c>
      <c r="AW79" t="s">
        <v>886</v>
      </c>
      <c r="AX79" t="s">
        <v>222</v>
      </c>
      <c r="BA79" s="57">
        <v>46270.333333333336</v>
      </c>
      <c r="BB79" t="s">
        <v>1880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1002566014</v>
      </c>
      <c r="C80">
        <v>3</v>
      </c>
      <c r="D80" t="s">
        <v>51</v>
      </c>
      <c r="E80">
        <v>4</v>
      </c>
      <c r="F80" t="s">
        <v>234</v>
      </c>
      <c r="G80" t="s">
        <v>562</v>
      </c>
      <c r="H80" t="s">
        <v>873</v>
      </c>
      <c r="I80" t="s">
        <v>212</v>
      </c>
      <c r="J80" t="s">
        <v>213</v>
      </c>
      <c r="K80" t="s">
        <v>149</v>
      </c>
      <c r="L80" t="s">
        <v>214</v>
      </c>
      <c r="M80" t="s">
        <v>239</v>
      </c>
      <c r="N80" t="s">
        <v>215</v>
      </c>
      <c r="O80" s="57">
        <v>46266.650659722225</v>
      </c>
      <c r="P80" s="57">
        <v>46266.651400462964</v>
      </c>
      <c r="Q80">
        <v>69381694</v>
      </c>
      <c r="S80">
        <v>142526106506</v>
      </c>
      <c r="T80" t="s">
        <v>1057</v>
      </c>
      <c r="U80" t="s">
        <v>1058</v>
      </c>
      <c r="V80" t="s">
        <v>1059</v>
      </c>
      <c r="Z80">
        <v>110.878006</v>
      </c>
      <c r="AA80">
        <v>-7.5586039999999999</v>
      </c>
      <c r="AB80" t="s">
        <v>1060</v>
      </c>
      <c r="AC80" t="s">
        <v>236</v>
      </c>
      <c r="AL80" t="s">
        <v>217</v>
      </c>
      <c r="AM80" t="s">
        <v>1061</v>
      </c>
      <c r="AN80" t="s">
        <v>6</v>
      </c>
      <c r="AO80" s="57">
        <v>46031.653344907405</v>
      </c>
      <c r="AP80" s="57">
        <v>46272.541666666664</v>
      </c>
      <c r="AR80" t="s">
        <v>240</v>
      </c>
      <c r="AS80" t="s">
        <v>914</v>
      </c>
      <c r="AT80" t="s">
        <v>230</v>
      </c>
      <c r="AV80" t="s">
        <v>239</v>
      </c>
      <c r="AW80" t="s">
        <v>891</v>
      </c>
      <c r="AX80" t="s">
        <v>222</v>
      </c>
      <c r="BA80" s="57">
        <v>46272.541666666664</v>
      </c>
      <c r="BB80" t="s">
        <v>1061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1002566360</v>
      </c>
      <c r="C81">
        <v>3</v>
      </c>
      <c r="D81" t="s">
        <v>59</v>
      </c>
      <c r="E81">
        <v>4</v>
      </c>
      <c r="F81" t="s">
        <v>223</v>
      </c>
      <c r="G81" t="s">
        <v>314</v>
      </c>
      <c r="H81" t="s">
        <v>315</v>
      </c>
      <c r="I81" t="s">
        <v>212</v>
      </c>
      <c r="J81" t="s">
        <v>213</v>
      </c>
      <c r="K81" t="s">
        <v>149</v>
      </c>
      <c r="L81" t="s">
        <v>214</v>
      </c>
      <c r="M81" t="s">
        <v>239</v>
      </c>
      <c r="N81" t="s">
        <v>215</v>
      </c>
      <c r="O81" s="57">
        <v>46266.711064814815</v>
      </c>
      <c r="P81" s="57">
        <v>46266.712511574071</v>
      </c>
      <c r="Q81">
        <v>69381775</v>
      </c>
      <c r="S81">
        <v>146372103147</v>
      </c>
      <c r="T81" t="s">
        <v>1067</v>
      </c>
      <c r="U81" t="s">
        <v>1068</v>
      </c>
      <c r="V81" t="s">
        <v>1069</v>
      </c>
      <c r="Z81">
        <v>109.636751</v>
      </c>
      <c r="AA81">
        <v>-7.3654310000000001</v>
      </c>
      <c r="AB81" t="s">
        <v>1070</v>
      </c>
      <c r="AC81" t="s">
        <v>236</v>
      </c>
      <c r="AL81" t="s">
        <v>217</v>
      </c>
      <c r="AM81" t="s">
        <v>1071</v>
      </c>
      <c r="AN81" t="s">
        <v>6</v>
      </c>
      <c r="AO81" s="57">
        <v>46031.715439814812</v>
      </c>
      <c r="AP81" s="57">
        <v>46269.333333333336</v>
      </c>
      <c r="AR81" t="s">
        <v>240</v>
      </c>
      <c r="AS81" t="s">
        <v>219</v>
      </c>
      <c r="AT81" t="s">
        <v>230</v>
      </c>
      <c r="AV81" t="s">
        <v>239</v>
      </c>
      <c r="AW81" t="s">
        <v>882</v>
      </c>
      <c r="AX81" t="s">
        <v>222</v>
      </c>
      <c r="BA81" s="57">
        <v>46269.333333333336</v>
      </c>
      <c r="BB81" t="s">
        <v>1071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1002564406</v>
      </c>
      <c r="C82">
        <v>3</v>
      </c>
      <c r="D82" t="s">
        <v>45</v>
      </c>
      <c r="E82">
        <v>5</v>
      </c>
      <c r="F82" t="s">
        <v>210</v>
      </c>
      <c r="G82" t="s">
        <v>112</v>
      </c>
      <c r="H82" t="s">
        <v>263</v>
      </c>
      <c r="I82" t="s">
        <v>212</v>
      </c>
      <c r="J82" t="s">
        <v>213</v>
      </c>
      <c r="K82" t="s">
        <v>149</v>
      </c>
      <c r="L82" t="s">
        <v>214</v>
      </c>
      <c r="M82" t="s">
        <v>239</v>
      </c>
      <c r="N82" t="s">
        <v>215</v>
      </c>
      <c r="O82" s="57">
        <v>46266.395798611113</v>
      </c>
      <c r="P82" s="57">
        <v>46266.397233796299</v>
      </c>
      <c r="Q82">
        <v>69381238</v>
      </c>
      <c r="S82">
        <v>172601795130</v>
      </c>
      <c r="T82" t="s">
        <v>1072</v>
      </c>
      <c r="U82" t="s">
        <v>1073</v>
      </c>
      <c r="V82" t="s">
        <v>1074</v>
      </c>
      <c r="Z82">
        <v>116.141443</v>
      </c>
      <c r="AA82">
        <v>-8.5526759999999999</v>
      </c>
      <c r="AB82" t="s">
        <v>1075</v>
      </c>
      <c r="AC82" t="s">
        <v>236</v>
      </c>
      <c r="AL82" t="s">
        <v>217</v>
      </c>
      <c r="AM82" t="s">
        <v>1076</v>
      </c>
      <c r="AN82" t="s">
        <v>6</v>
      </c>
      <c r="AO82" s="57">
        <v>46031.402905092589</v>
      </c>
      <c r="AP82" s="57">
        <v>46268.541666666664</v>
      </c>
      <c r="AR82" t="s">
        <v>240</v>
      </c>
      <c r="AS82" t="s">
        <v>219</v>
      </c>
      <c r="AT82" t="s">
        <v>230</v>
      </c>
      <c r="AV82" t="s">
        <v>239</v>
      </c>
      <c r="AW82" t="s">
        <v>888</v>
      </c>
      <c r="AX82" t="s">
        <v>222</v>
      </c>
      <c r="BA82" s="57">
        <v>46268.541666666664</v>
      </c>
      <c r="BB82" t="s">
        <v>1076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MATARAM</v>
      </c>
    </row>
    <row r="83" spans="1:61">
      <c r="A83">
        <v>82</v>
      </c>
      <c r="B83">
        <v>1002564380</v>
      </c>
      <c r="C83">
        <v>3</v>
      </c>
      <c r="D83" t="s">
        <v>59</v>
      </c>
      <c r="E83">
        <v>4</v>
      </c>
      <c r="F83" t="s">
        <v>549</v>
      </c>
      <c r="G83" t="s">
        <v>582</v>
      </c>
      <c r="H83" t="s">
        <v>835</v>
      </c>
      <c r="I83" t="s">
        <v>212</v>
      </c>
      <c r="J83" t="s">
        <v>213</v>
      </c>
      <c r="K83" t="s">
        <v>149</v>
      </c>
      <c r="M83" t="s">
        <v>239</v>
      </c>
      <c r="N83" t="s">
        <v>581</v>
      </c>
      <c r="O83" s="57">
        <v>46266.394189814811</v>
      </c>
      <c r="P83" s="57">
        <v>46267.581956018519</v>
      </c>
      <c r="Q83">
        <v>69381235</v>
      </c>
      <c r="R83">
        <v>2745059207</v>
      </c>
      <c r="S83">
        <v>146113146852</v>
      </c>
      <c r="T83" t="s">
        <v>1035</v>
      </c>
      <c r="U83" t="s">
        <v>1355</v>
      </c>
      <c r="V83" t="s">
        <v>1881</v>
      </c>
      <c r="Z83">
        <v>110.392316068968</v>
      </c>
      <c r="AA83">
        <v>-7.7757863593329999</v>
      </c>
      <c r="AB83" t="s">
        <v>1356</v>
      </c>
      <c r="AC83" t="s">
        <v>587</v>
      </c>
      <c r="AL83" t="s">
        <v>217</v>
      </c>
      <c r="AM83" t="s">
        <v>1882</v>
      </c>
      <c r="AN83" t="s">
        <v>6</v>
      </c>
      <c r="AO83" s="57">
        <v>46031.402905092589</v>
      </c>
      <c r="AP83" s="57">
        <v>46268.416666666664</v>
      </c>
      <c r="AR83" t="s">
        <v>240</v>
      </c>
      <c r="AS83" t="s">
        <v>219</v>
      </c>
      <c r="AT83" t="s">
        <v>230</v>
      </c>
      <c r="AV83" t="s">
        <v>239</v>
      </c>
      <c r="AW83" t="s">
        <v>545</v>
      </c>
      <c r="AX83" t="s">
        <v>222</v>
      </c>
      <c r="BA83" s="57">
        <v>46268.416666666664</v>
      </c>
      <c r="BB83" t="s">
        <v>1882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e">
        <f>VLOOKUP(H83,Sheet2!$A$1:$B$270,2,FALSE)</f>
        <v>#N/A</v>
      </c>
    </row>
    <row r="84" spans="1:61">
      <c r="A84">
        <v>83</v>
      </c>
      <c r="B84">
        <v>1002564622</v>
      </c>
      <c r="C84">
        <v>3</v>
      </c>
      <c r="D84" t="s">
        <v>51</v>
      </c>
      <c r="E84">
        <v>4</v>
      </c>
      <c r="F84" t="s">
        <v>234</v>
      </c>
      <c r="G84" t="s">
        <v>562</v>
      </c>
      <c r="H84" t="s">
        <v>854</v>
      </c>
      <c r="I84" t="s">
        <v>212</v>
      </c>
      <c r="J84" t="s">
        <v>213</v>
      </c>
      <c r="K84" t="s">
        <v>149</v>
      </c>
      <c r="M84" t="s">
        <v>239</v>
      </c>
      <c r="N84" t="s">
        <v>215</v>
      </c>
      <c r="O84" s="57">
        <v>46266.422314814816</v>
      </c>
      <c r="P84" s="57">
        <v>46267.518078703702</v>
      </c>
      <c r="Q84">
        <v>69381275</v>
      </c>
      <c r="S84">
        <v>142566103551</v>
      </c>
      <c r="T84" t="s">
        <v>1357</v>
      </c>
      <c r="U84" t="s">
        <v>1358</v>
      </c>
      <c r="V84" t="s">
        <v>1883</v>
      </c>
      <c r="Z84">
        <v>110.833864510059</v>
      </c>
      <c r="AA84">
        <v>-7.5277802287342297</v>
      </c>
      <c r="AB84" t="s">
        <v>1359</v>
      </c>
      <c r="AC84" t="s">
        <v>285</v>
      </c>
      <c r="AL84" t="s">
        <v>217</v>
      </c>
      <c r="AM84" t="s">
        <v>1884</v>
      </c>
      <c r="AN84" t="s">
        <v>6</v>
      </c>
      <c r="AO84" s="57">
        <v>46031.423645833333</v>
      </c>
      <c r="AP84" s="57">
        <v>46270.541666666664</v>
      </c>
      <c r="AR84" t="s">
        <v>240</v>
      </c>
      <c r="AS84" t="s">
        <v>914</v>
      </c>
      <c r="AT84" t="s">
        <v>230</v>
      </c>
      <c r="AV84" t="s">
        <v>239</v>
      </c>
      <c r="AW84" t="s">
        <v>545</v>
      </c>
      <c r="AX84" t="s">
        <v>222</v>
      </c>
      <c r="BA84" s="57">
        <v>46270.541666666664</v>
      </c>
      <c r="BB84" t="s">
        <v>1884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e">
        <f>VLOOKUP(H84,Sheet2!$A$1:$B$270,2,FALSE)</f>
        <v>#N/A</v>
      </c>
    </row>
    <row r="85" spans="1:61">
      <c r="A85">
        <v>84</v>
      </c>
      <c r="B85">
        <v>1002564895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395</v>
      </c>
      <c r="I85" t="s">
        <v>212</v>
      </c>
      <c r="J85" t="s">
        <v>213</v>
      </c>
      <c r="K85" t="s">
        <v>149</v>
      </c>
      <c r="L85" t="s">
        <v>214</v>
      </c>
      <c r="M85" t="s">
        <v>239</v>
      </c>
      <c r="N85" t="s">
        <v>215</v>
      </c>
      <c r="O85" s="57">
        <v>46266.458287037036</v>
      </c>
      <c r="P85" s="57">
        <v>46266.459733796299</v>
      </c>
      <c r="Q85">
        <v>69381343</v>
      </c>
      <c r="S85">
        <v>172602202850</v>
      </c>
      <c r="T85" t="s">
        <v>1192</v>
      </c>
      <c r="U85" t="s">
        <v>1193</v>
      </c>
      <c r="V85" t="s">
        <v>1194</v>
      </c>
      <c r="Z85">
        <v>115.88324419999999</v>
      </c>
      <c r="AA85">
        <v>-8.7682804999999995</v>
      </c>
      <c r="AB85" t="s">
        <v>1195</v>
      </c>
      <c r="AC85" t="s">
        <v>236</v>
      </c>
      <c r="AL85" t="s">
        <v>217</v>
      </c>
      <c r="AM85" t="s">
        <v>1196</v>
      </c>
      <c r="AN85" t="s">
        <v>6</v>
      </c>
      <c r="AO85" s="57">
        <v>46031.465405092589</v>
      </c>
      <c r="AP85" s="57">
        <v>46270.625</v>
      </c>
      <c r="AR85" t="s">
        <v>240</v>
      </c>
      <c r="AS85" t="s">
        <v>901</v>
      </c>
      <c r="AT85" t="s">
        <v>230</v>
      </c>
      <c r="AV85" t="s">
        <v>239</v>
      </c>
      <c r="AW85" t="s">
        <v>887</v>
      </c>
      <c r="AX85" t="s">
        <v>222</v>
      </c>
      <c r="BA85" s="57">
        <v>46270.625</v>
      </c>
      <c r="BB85" t="s">
        <v>1196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1002565594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395</v>
      </c>
      <c r="I86" t="s">
        <v>212</v>
      </c>
      <c r="J86" t="s">
        <v>213</v>
      </c>
      <c r="K86" t="s">
        <v>149</v>
      </c>
      <c r="L86" t="s">
        <v>214</v>
      </c>
      <c r="M86" t="s">
        <v>239</v>
      </c>
      <c r="N86" t="s">
        <v>215</v>
      </c>
      <c r="O86" s="57">
        <v>46266.590231481481</v>
      </c>
      <c r="P86" s="57">
        <v>46266.591689814813</v>
      </c>
      <c r="Q86">
        <v>69381569</v>
      </c>
      <c r="S86">
        <v>172602203391</v>
      </c>
      <c r="T86" t="s">
        <v>1317</v>
      </c>
      <c r="U86" t="s">
        <v>1318</v>
      </c>
      <c r="V86" t="s">
        <v>1319</v>
      </c>
      <c r="Z86">
        <v>116.0745301</v>
      </c>
      <c r="AA86">
        <v>-8.7271529000000001</v>
      </c>
      <c r="AB86" t="s">
        <v>1320</v>
      </c>
      <c r="AC86" t="s">
        <v>216</v>
      </c>
      <c r="AL86" t="s">
        <v>217</v>
      </c>
      <c r="AM86" t="s">
        <v>1321</v>
      </c>
      <c r="AN86" t="s">
        <v>6</v>
      </c>
      <c r="AO86" s="57">
        <v>46031.600787037038</v>
      </c>
      <c r="AP86" s="57">
        <v>46271.333333333336</v>
      </c>
      <c r="AR86" t="s">
        <v>240</v>
      </c>
      <c r="AS86" t="s">
        <v>901</v>
      </c>
      <c r="AT86" t="s">
        <v>230</v>
      </c>
      <c r="AV86" t="s">
        <v>239</v>
      </c>
      <c r="AW86" t="s">
        <v>884</v>
      </c>
      <c r="AX86" t="s">
        <v>222</v>
      </c>
      <c r="BA86" s="57">
        <v>46271.333333333336</v>
      </c>
      <c r="BB86" t="s">
        <v>1321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1002566429</v>
      </c>
      <c r="C87">
        <v>3</v>
      </c>
      <c r="D87" t="s">
        <v>34</v>
      </c>
      <c r="E87">
        <v>5</v>
      </c>
      <c r="F87" t="s">
        <v>563</v>
      </c>
      <c r="G87" t="s">
        <v>83</v>
      </c>
      <c r="H87" t="s">
        <v>392</v>
      </c>
      <c r="I87" t="s">
        <v>212</v>
      </c>
      <c r="J87" t="s">
        <v>213</v>
      </c>
      <c r="K87" t="s">
        <v>149</v>
      </c>
      <c r="L87" t="s">
        <v>214</v>
      </c>
      <c r="M87" t="s">
        <v>239</v>
      </c>
      <c r="N87" t="s">
        <v>215</v>
      </c>
      <c r="O87" s="57">
        <v>46266.740231481483</v>
      </c>
      <c r="P87" s="57">
        <v>46266.741678240738</v>
      </c>
      <c r="Q87">
        <v>69381825</v>
      </c>
      <c r="S87">
        <v>172401298229</v>
      </c>
      <c r="T87" t="s">
        <v>1330</v>
      </c>
      <c r="U87" t="s">
        <v>1331</v>
      </c>
      <c r="V87" t="s">
        <v>1332</v>
      </c>
      <c r="Z87">
        <v>115.253369204419</v>
      </c>
      <c r="AA87">
        <v>-8.6940247248159093</v>
      </c>
      <c r="AB87" t="s">
        <v>1333</v>
      </c>
      <c r="AC87" t="s">
        <v>236</v>
      </c>
      <c r="AL87" t="s">
        <v>217</v>
      </c>
      <c r="AM87" t="s">
        <v>1334</v>
      </c>
      <c r="AN87" t="s">
        <v>6</v>
      </c>
      <c r="AO87" s="57">
        <v>46031.746469907404</v>
      </c>
      <c r="AP87" s="57">
        <v>46269.333333333336</v>
      </c>
      <c r="AR87" t="s">
        <v>240</v>
      </c>
      <c r="AS87" t="s">
        <v>83</v>
      </c>
      <c r="AT87" t="s">
        <v>230</v>
      </c>
      <c r="AV87" t="s">
        <v>239</v>
      </c>
      <c r="AW87" t="s">
        <v>888</v>
      </c>
      <c r="AX87" t="s">
        <v>222</v>
      </c>
      <c r="BA87" s="57">
        <v>46269.333333333336</v>
      </c>
      <c r="BB87" t="s">
        <v>1334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SANUR</v>
      </c>
    </row>
    <row r="88" spans="1:61">
      <c r="A88">
        <v>87</v>
      </c>
      <c r="B88">
        <v>1002564240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395</v>
      </c>
      <c r="I88" t="s">
        <v>212</v>
      </c>
      <c r="J88" t="s">
        <v>213</v>
      </c>
      <c r="K88" t="s">
        <v>149</v>
      </c>
      <c r="L88" t="s">
        <v>214</v>
      </c>
      <c r="M88" t="s">
        <v>239</v>
      </c>
      <c r="N88" t="s">
        <v>215</v>
      </c>
      <c r="O88" s="57">
        <v>46266.375648148147</v>
      </c>
      <c r="P88" s="57">
        <v>46266.376400462963</v>
      </c>
      <c r="Q88">
        <v>69381193</v>
      </c>
      <c r="S88">
        <v>172602202849</v>
      </c>
      <c r="T88" t="s">
        <v>1335</v>
      </c>
      <c r="U88" t="s">
        <v>1033</v>
      </c>
      <c r="V88" t="s">
        <v>1336</v>
      </c>
      <c r="Z88">
        <v>116.15069099999999</v>
      </c>
      <c r="AA88">
        <v>-8.6803889999999999</v>
      </c>
      <c r="AB88" t="s">
        <v>1337</v>
      </c>
      <c r="AC88" t="s">
        <v>236</v>
      </c>
      <c r="AL88" t="s">
        <v>217</v>
      </c>
      <c r="AM88" t="s">
        <v>1338</v>
      </c>
      <c r="AN88" t="s">
        <v>6</v>
      </c>
      <c r="AO88" s="57">
        <v>46031.382175925923</v>
      </c>
      <c r="AP88" s="57">
        <v>46269.541666666664</v>
      </c>
      <c r="AR88" t="s">
        <v>240</v>
      </c>
      <c r="AS88" t="s">
        <v>901</v>
      </c>
      <c r="AT88" t="s">
        <v>230</v>
      </c>
      <c r="AV88" t="s">
        <v>239</v>
      </c>
      <c r="AW88" t="s">
        <v>831</v>
      </c>
      <c r="AX88" t="s">
        <v>222</v>
      </c>
      <c r="BA88" s="57">
        <v>46269.541666666664</v>
      </c>
      <c r="BB88" t="s">
        <v>1338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1002566294</v>
      </c>
      <c r="C89">
        <v>3</v>
      </c>
      <c r="D89" t="s">
        <v>38</v>
      </c>
      <c r="E89">
        <v>5</v>
      </c>
      <c r="F89" t="s">
        <v>248</v>
      </c>
      <c r="G89" t="s">
        <v>91</v>
      </c>
      <c r="H89" t="s">
        <v>436</v>
      </c>
      <c r="I89" t="s">
        <v>212</v>
      </c>
      <c r="J89" t="s">
        <v>213</v>
      </c>
      <c r="K89" t="s">
        <v>149</v>
      </c>
      <c r="M89" t="s">
        <v>239</v>
      </c>
      <c r="N89" t="s">
        <v>215</v>
      </c>
      <c r="O89" s="57">
        <v>46266.698819444442</v>
      </c>
      <c r="P89" s="57">
        <v>46267.502858796295</v>
      </c>
      <c r="Q89">
        <v>18307703</v>
      </c>
      <c r="S89">
        <v>152708207587</v>
      </c>
      <c r="T89" t="s">
        <v>1043</v>
      </c>
      <c r="U89" t="s">
        <v>1044</v>
      </c>
      <c r="V89" t="s">
        <v>1885</v>
      </c>
      <c r="Z89">
        <v>112.6431041</v>
      </c>
      <c r="AA89">
        <v>-8.0098272999999995</v>
      </c>
      <c r="AB89" t="s">
        <v>1045</v>
      </c>
      <c r="AC89" t="s">
        <v>229</v>
      </c>
      <c r="AL89" t="s">
        <v>217</v>
      </c>
      <c r="AM89" t="s">
        <v>1886</v>
      </c>
      <c r="AN89" t="s">
        <v>6</v>
      </c>
      <c r="AO89" s="57">
        <v>46031.704814814817</v>
      </c>
      <c r="AP89" s="57">
        <v>46270.333333333336</v>
      </c>
      <c r="AR89" t="s">
        <v>240</v>
      </c>
      <c r="AS89" t="s">
        <v>591</v>
      </c>
      <c r="AT89" t="s">
        <v>230</v>
      </c>
      <c r="AV89" t="s">
        <v>239</v>
      </c>
      <c r="AW89" t="s">
        <v>546</v>
      </c>
      <c r="AX89" t="s">
        <v>222</v>
      </c>
      <c r="BA89" s="57">
        <v>46270.333333333336</v>
      </c>
      <c r="BB89" t="s">
        <v>1886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MALANG</v>
      </c>
    </row>
    <row r="90" spans="1:61">
      <c r="A90">
        <v>89</v>
      </c>
      <c r="B90">
        <v>1002566159</v>
      </c>
      <c r="C90">
        <v>3</v>
      </c>
      <c r="D90" t="s">
        <v>51</v>
      </c>
      <c r="E90">
        <v>4</v>
      </c>
      <c r="F90" t="s">
        <v>234</v>
      </c>
      <c r="G90" t="s">
        <v>562</v>
      </c>
      <c r="H90" t="s">
        <v>854</v>
      </c>
      <c r="I90" t="s">
        <v>212</v>
      </c>
      <c r="J90" t="s">
        <v>213</v>
      </c>
      <c r="K90" t="s">
        <v>149</v>
      </c>
      <c r="L90" t="s">
        <v>214</v>
      </c>
      <c r="M90" t="s">
        <v>239</v>
      </c>
      <c r="N90" t="s">
        <v>215</v>
      </c>
      <c r="O90" s="57">
        <v>46266.671481481484</v>
      </c>
      <c r="P90" s="57">
        <v>46266.672233796293</v>
      </c>
      <c r="Q90">
        <v>69381707</v>
      </c>
      <c r="S90">
        <v>142566103560</v>
      </c>
      <c r="T90" t="s">
        <v>1351</v>
      </c>
      <c r="U90" t="s">
        <v>974</v>
      </c>
      <c r="V90" t="s">
        <v>1352</v>
      </c>
      <c r="Z90">
        <v>110.80564149999999</v>
      </c>
      <c r="AA90">
        <v>-7.4641721999999904</v>
      </c>
      <c r="AB90" t="s">
        <v>1353</v>
      </c>
      <c r="AC90" t="s">
        <v>236</v>
      </c>
      <c r="AL90" t="s">
        <v>217</v>
      </c>
      <c r="AM90" t="s">
        <v>1354</v>
      </c>
      <c r="AN90" t="s">
        <v>6</v>
      </c>
      <c r="AO90" s="57">
        <v>46031.673645833333</v>
      </c>
      <c r="AP90" s="57">
        <v>46269.333333333336</v>
      </c>
      <c r="AR90" t="s">
        <v>240</v>
      </c>
      <c r="AS90" t="s">
        <v>914</v>
      </c>
      <c r="AT90" t="s">
        <v>230</v>
      </c>
      <c r="AV90" t="s">
        <v>239</v>
      </c>
      <c r="AW90" t="s">
        <v>537</v>
      </c>
      <c r="AX90" t="s">
        <v>222</v>
      </c>
      <c r="BA90" s="57">
        <v>46269.333333333336</v>
      </c>
      <c r="BB90" t="s">
        <v>1354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e">
        <f>VLOOKUP(H90,Sheet2!$A$1:$B$270,2,FALSE)</f>
        <v>#N/A</v>
      </c>
    </row>
    <row r="91" spans="1:61">
      <c r="A91">
        <v>90</v>
      </c>
      <c r="B91">
        <v>1002567365</v>
      </c>
      <c r="C91">
        <v>3</v>
      </c>
      <c r="D91" t="s">
        <v>55</v>
      </c>
      <c r="E91">
        <v>5</v>
      </c>
      <c r="F91" t="s">
        <v>261</v>
      </c>
      <c r="G91" t="s">
        <v>128</v>
      </c>
      <c r="H91" t="s">
        <v>352</v>
      </c>
      <c r="I91" t="s">
        <v>212</v>
      </c>
      <c r="J91" t="s">
        <v>213</v>
      </c>
      <c r="K91" t="s">
        <v>149</v>
      </c>
      <c r="M91" t="s">
        <v>576</v>
      </c>
      <c r="N91" t="s">
        <v>215</v>
      </c>
      <c r="O91" s="57">
        <v>46267.497094907405</v>
      </c>
      <c r="P91" s="57">
        <v>46267.619953703703</v>
      </c>
      <c r="Q91">
        <v>69382219</v>
      </c>
      <c r="S91">
        <v>152412249119</v>
      </c>
      <c r="T91" t="s">
        <v>1887</v>
      </c>
      <c r="U91" t="s">
        <v>1888</v>
      </c>
      <c r="Z91">
        <v>112.6592418</v>
      </c>
      <c r="AA91">
        <v>-7.2758864000000001</v>
      </c>
      <c r="AB91" t="s">
        <v>1889</v>
      </c>
      <c r="AC91" t="s">
        <v>229</v>
      </c>
      <c r="AO91" s="57">
        <v>46062.506898148145</v>
      </c>
      <c r="AR91" t="s">
        <v>5</v>
      </c>
      <c r="AS91" t="s">
        <v>594</v>
      </c>
      <c r="AT91" t="s">
        <v>230</v>
      </c>
      <c r="AV91" t="s">
        <v>1890</v>
      </c>
      <c r="AW91" t="s">
        <v>545</v>
      </c>
      <c r="AX91" t="s">
        <v>222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SURABAYA UTARA</v>
      </c>
    </row>
    <row r="92" spans="1:61">
      <c r="A92">
        <v>91</v>
      </c>
      <c r="B92">
        <v>1002566559</v>
      </c>
      <c r="C92">
        <v>3</v>
      </c>
      <c r="D92" t="s">
        <v>55</v>
      </c>
      <c r="E92">
        <v>5</v>
      </c>
      <c r="F92" t="s">
        <v>261</v>
      </c>
      <c r="G92" t="s">
        <v>126</v>
      </c>
      <c r="H92" t="s">
        <v>262</v>
      </c>
      <c r="I92" t="s">
        <v>212</v>
      </c>
      <c r="J92" t="s">
        <v>213</v>
      </c>
      <c r="K92" t="s">
        <v>149</v>
      </c>
      <c r="L92" t="s">
        <v>214</v>
      </c>
      <c r="M92" t="s">
        <v>280</v>
      </c>
      <c r="N92" t="s">
        <v>215</v>
      </c>
      <c r="O92" s="57">
        <v>46267.306898148148</v>
      </c>
      <c r="P92" s="57">
        <v>46267.902905092589</v>
      </c>
      <c r="Q92">
        <v>69381898</v>
      </c>
      <c r="S92">
        <v>152413167925</v>
      </c>
      <c r="T92" t="s">
        <v>1891</v>
      </c>
      <c r="U92" t="s">
        <v>1892</v>
      </c>
      <c r="V92" t="s">
        <v>1893</v>
      </c>
      <c r="Z92">
        <v>112.7437266</v>
      </c>
      <c r="AA92">
        <v>-7.2708913999999902</v>
      </c>
      <c r="AB92" t="s">
        <v>1894</v>
      </c>
      <c r="AC92" t="s">
        <v>216</v>
      </c>
      <c r="AL92" t="s">
        <v>217</v>
      </c>
      <c r="AM92" t="s">
        <v>1895</v>
      </c>
      <c r="AN92" t="s">
        <v>6</v>
      </c>
      <c r="AO92" s="57">
        <v>46062.309317129628</v>
      </c>
      <c r="AP92" s="57">
        <v>46268.333333333336</v>
      </c>
      <c r="AR92" t="s">
        <v>240</v>
      </c>
      <c r="AS92" t="s">
        <v>575</v>
      </c>
      <c r="AT92" t="s">
        <v>230</v>
      </c>
      <c r="AV92" t="s">
        <v>826</v>
      </c>
      <c r="AW92" t="s">
        <v>884</v>
      </c>
      <c r="AX92" t="s">
        <v>222</v>
      </c>
      <c r="BA92" s="57">
        <v>46268.333333333336</v>
      </c>
      <c r="BB92" t="s">
        <v>1895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SURABAYA SELATAN</v>
      </c>
    </row>
    <row r="93" spans="1:61">
      <c r="A93">
        <v>92</v>
      </c>
      <c r="B93">
        <v>1002567328</v>
      </c>
      <c r="C93">
        <v>3</v>
      </c>
      <c r="D93" t="s">
        <v>55</v>
      </c>
      <c r="E93">
        <v>5</v>
      </c>
      <c r="F93" t="s">
        <v>261</v>
      </c>
      <c r="G93" t="s">
        <v>126</v>
      </c>
      <c r="H93" t="s">
        <v>262</v>
      </c>
      <c r="I93" t="s">
        <v>212</v>
      </c>
      <c r="J93" t="s">
        <v>213</v>
      </c>
      <c r="K93" t="s">
        <v>149</v>
      </c>
      <c r="L93" t="s">
        <v>214</v>
      </c>
      <c r="M93" t="s">
        <v>280</v>
      </c>
      <c r="N93" t="s">
        <v>215</v>
      </c>
      <c r="O93" s="57">
        <v>46267.483993055554</v>
      </c>
      <c r="P93" s="57">
        <v>46267.902256944442</v>
      </c>
      <c r="Q93">
        <v>69382215</v>
      </c>
      <c r="S93">
        <v>152413167928</v>
      </c>
      <c r="T93" t="s">
        <v>1896</v>
      </c>
      <c r="U93" t="s">
        <v>1897</v>
      </c>
      <c r="V93" t="s">
        <v>1898</v>
      </c>
      <c r="Z93">
        <v>112.737861342861</v>
      </c>
      <c r="AA93">
        <v>-7.2616148630009896</v>
      </c>
      <c r="AB93" t="s">
        <v>1899</v>
      </c>
      <c r="AC93" t="s">
        <v>236</v>
      </c>
      <c r="AL93" t="s">
        <v>217</v>
      </c>
      <c r="AM93" t="s">
        <v>1126</v>
      </c>
      <c r="AN93" t="s">
        <v>6</v>
      </c>
      <c r="AO93" s="57">
        <v>46062.486145833333</v>
      </c>
      <c r="AP93" s="57">
        <v>46268.333333333336</v>
      </c>
      <c r="AR93" t="s">
        <v>240</v>
      </c>
      <c r="AS93" t="s">
        <v>575</v>
      </c>
      <c r="AT93" t="s">
        <v>230</v>
      </c>
      <c r="AV93" t="s">
        <v>826</v>
      </c>
      <c r="AW93" t="s">
        <v>237</v>
      </c>
      <c r="AX93" t="s">
        <v>222</v>
      </c>
      <c r="BA93" s="57">
        <v>46268.333333333336</v>
      </c>
      <c r="BB93" t="s">
        <v>1126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SURABAYA SELATAN</v>
      </c>
    </row>
    <row r="94" spans="1:61">
      <c r="A94">
        <v>93</v>
      </c>
      <c r="B94">
        <v>1002567211</v>
      </c>
      <c r="C94">
        <v>3</v>
      </c>
      <c r="D94" t="s">
        <v>55</v>
      </c>
      <c r="E94">
        <v>5</v>
      </c>
      <c r="F94" t="s">
        <v>261</v>
      </c>
      <c r="G94" t="s">
        <v>126</v>
      </c>
      <c r="H94" t="s">
        <v>262</v>
      </c>
      <c r="I94" t="s">
        <v>212</v>
      </c>
      <c r="J94" t="s">
        <v>213</v>
      </c>
      <c r="K94" t="s">
        <v>149</v>
      </c>
      <c r="L94" t="s">
        <v>214</v>
      </c>
      <c r="M94" t="s">
        <v>280</v>
      </c>
      <c r="N94" t="s">
        <v>215</v>
      </c>
      <c r="O94" s="57">
        <v>46267.460370370369</v>
      </c>
      <c r="P94" s="57">
        <v>46267.90357638889</v>
      </c>
      <c r="Q94">
        <v>69382167</v>
      </c>
      <c r="S94">
        <v>152413167930</v>
      </c>
      <c r="T94" t="s">
        <v>1900</v>
      </c>
      <c r="U94" t="s">
        <v>1901</v>
      </c>
      <c r="V94" t="s">
        <v>1902</v>
      </c>
      <c r="Z94">
        <v>112.73390449999999</v>
      </c>
      <c r="AA94">
        <v>-7.2520619999999996</v>
      </c>
      <c r="AB94" t="s">
        <v>1903</v>
      </c>
      <c r="AC94" t="s">
        <v>236</v>
      </c>
      <c r="AL94" t="s">
        <v>217</v>
      </c>
      <c r="AM94" t="s">
        <v>1126</v>
      </c>
      <c r="AN94" t="s">
        <v>6</v>
      </c>
      <c r="AO94" s="57">
        <v>46062.465277777781</v>
      </c>
      <c r="AP94" s="57">
        <v>46268.333333333336</v>
      </c>
      <c r="AR94" t="s">
        <v>240</v>
      </c>
      <c r="AS94" t="s">
        <v>575</v>
      </c>
      <c r="AT94" t="s">
        <v>344</v>
      </c>
      <c r="AV94" t="s">
        <v>826</v>
      </c>
      <c r="AW94" t="s">
        <v>1904</v>
      </c>
      <c r="AX94" t="s">
        <v>222</v>
      </c>
      <c r="BA94" s="57">
        <v>46268.333333333336</v>
      </c>
      <c r="BB94" t="s">
        <v>1126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SURABAYA SELATAN</v>
      </c>
    </row>
    <row r="95" spans="1:61">
      <c r="A95">
        <v>94</v>
      </c>
      <c r="B95">
        <v>1002564024</v>
      </c>
      <c r="C95">
        <v>3</v>
      </c>
      <c r="D95" t="s">
        <v>55</v>
      </c>
      <c r="E95">
        <v>5</v>
      </c>
      <c r="F95" t="s">
        <v>227</v>
      </c>
      <c r="G95" t="s">
        <v>121</v>
      </c>
      <c r="H95" t="s">
        <v>278</v>
      </c>
      <c r="I95" t="s">
        <v>212</v>
      </c>
      <c r="J95" t="s">
        <v>213</v>
      </c>
      <c r="K95" t="s">
        <v>149</v>
      </c>
      <c r="L95" t="s">
        <v>214</v>
      </c>
      <c r="M95" t="s">
        <v>280</v>
      </c>
      <c r="N95" t="s">
        <v>215</v>
      </c>
      <c r="O95" s="57">
        <v>46266.3124537037</v>
      </c>
      <c r="P95" s="57">
        <v>46266.748344907406</v>
      </c>
      <c r="Q95">
        <v>69381131</v>
      </c>
      <c r="S95">
        <v>152437905734</v>
      </c>
      <c r="T95" t="s">
        <v>1363</v>
      </c>
      <c r="U95" t="s">
        <v>1364</v>
      </c>
      <c r="V95" t="s">
        <v>1365</v>
      </c>
      <c r="Z95">
        <v>113.276343941688</v>
      </c>
      <c r="AA95">
        <v>-6.9417270909104403</v>
      </c>
      <c r="AB95" t="s">
        <v>1366</v>
      </c>
      <c r="AC95" t="s">
        <v>216</v>
      </c>
      <c r="AL95" t="s">
        <v>217</v>
      </c>
      <c r="AM95" t="s">
        <v>1367</v>
      </c>
      <c r="AN95" t="s">
        <v>6</v>
      </c>
      <c r="AO95" s="57">
        <v>46031.319398148145</v>
      </c>
      <c r="AP95" s="57">
        <v>46267.333333333336</v>
      </c>
      <c r="AR95" t="s">
        <v>240</v>
      </c>
      <c r="AS95" t="s">
        <v>219</v>
      </c>
      <c r="AT95" t="s">
        <v>220</v>
      </c>
      <c r="AV95" t="s">
        <v>826</v>
      </c>
      <c r="AW95" t="s">
        <v>833</v>
      </c>
      <c r="AX95" t="s">
        <v>222</v>
      </c>
      <c r="BA95" s="57">
        <v>46267.333333333336</v>
      </c>
      <c r="BB95" t="s">
        <v>1367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MADURA</v>
      </c>
    </row>
    <row r="96" spans="1:61">
      <c r="A96">
        <v>95</v>
      </c>
      <c r="B96">
        <v>1002564716</v>
      </c>
      <c r="C96">
        <v>3</v>
      </c>
      <c r="D96" t="s">
        <v>55</v>
      </c>
      <c r="E96">
        <v>5</v>
      </c>
      <c r="F96" t="s">
        <v>227</v>
      </c>
      <c r="G96" t="s">
        <v>121</v>
      </c>
      <c r="H96" t="s">
        <v>437</v>
      </c>
      <c r="I96" t="s">
        <v>212</v>
      </c>
      <c r="J96" t="s">
        <v>213</v>
      </c>
      <c r="K96" t="s">
        <v>149</v>
      </c>
      <c r="L96" t="s">
        <v>214</v>
      </c>
      <c r="M96" t="s">
        <v>280</v>
      </c>
      <c r="N96" t="s">
        <v>215</v>
      </c>
      <c r="O96" s="57">
        <v>46266.434004629627</v>
      </c>
      <c r="P96" s="57">
        <v>46266.749120370368</v>
      </c>
      <c r="Q96">
        <v>69381300</v>
      </c>
      <c r="S96">
        <v>152438901086</v>
      </c>
      <c r="T96" t="s">
        <v>1373</v>
      </c>
      <c r="U96" t="s">
        <v>1374</v>
      </c>
      <c r="V96" t="s">
        <v>1375</v>
      </c>
      <c r="Z96">
        <v>113.35420712828601</v>
      </c>
      <c r="AA96">
        <v>-7.0510811103671998</v>
      </c>
      <c r="AB96" t="s">
        <v>1376</v>
      </c>
      <c r="AC96" t="s">
        <v>216</v>
      </c>
      <c r="AL96" t="s">
        <v>217</v>
      </c>
      <c r="AM96" t="s">
        <v>1377</v>
      </c>
      <c r="AN96" t="s">
        <v>6</v>
      </c>
      <c r="AO96" s="57">
        <v>46031.444409722222</v>
      </c>
      <c r="AP96" s="57">
        <v>46267.333333333336</v>
      </c>
      <c r="AR96" t="s">
        <v>240</v>
      </c>
      <c r="AS96" t="s">
        <v>219</v>
      </c>
      <c r="AT96" t="s">
        <v>220</v>
      </c>
      <c r="AV96" t="s">
        <v>826</v>
      </c>
      <c r="AW96" t="s">
        <v>833</v>
      </c>
      <c r="AX96" t="s">
        <v>222</v>
      </c>
      <c r="BA96" s="57">
        <v>46267.333333333336</v>
      </c>
      <c r="BB96" t="s">
        <v>1377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MADURA</v>
      </c>
    </row>
    <row r="97" spans="1:61">
      <c r="A97">
        <v>96</v>
      </c>
      <c r="B97">
        <v>1002566030</v>
      </c>
      <c r="C97">
        <v>3</v>
      </c>
      <c r="D97" t="s">
        <v>38</v>
      </c>
      <c r="E97">
        <v>5</v>
      </c>
      <c r="F97" t="s">
        <v>248</v>
      </c>
      <c r="G97" t="s">
        <v>91</v>
      </c>
      <c r="H97" t="s">
        <v>388</v>
      </c>
      <c r="I97" t="s">
        <v>212</v>
      </c>
      <c r="J97" t="s">
        <v>213</v>
      </c>
      <c r="K97" t="s">
        <v>149</v>
      </c>
      <c r="L97" t="s">
        <v>214</v>
      </c>
      <c r="M97" t="s">
        <v>280</v>
      </c>
      <c r="N97" t="s">
        <v>215</v>
      </c>
      <c r="O97" s="57">
        <v>46266.652743055558</v>
      </c>
      <c r="P97" s="57">
        <v>46267.444791666669</v>
      </c>
      <c r="Q97">
        <v>69381696</v>
      </c>
      <c r="S97">
        <v>152703903703</v>
      </c>
      <c r="T97" t="s">
        <v>1242</v>
      </c>
      <c r="U97" t="s">
        <v>1243</v>
      </c>
      <c r="V97" t="s">
        <v>1244</v>
      </c>
      <c r="Z97">
        <v>112.62214299999999</v>
      </c>
      <c r="AA97">
        <v>-7.9638900000000001</v>
      </c>
      <c r="AB97" t="s">
        <v>1245</v>
      </c>
      <c r="AC97" t="s">
        <v>236</v>
      </c>
      <c r="AL97" t="s">
        <v>217</v>
      </c>
      <c r="AM97" t="s">
        <v>1162</v>
      </c>
      <c r="AN97" t="s">
        <v>6</v>
      </c>
      <c r="AO97" s="57">
        <v>46031.663206018522</v>
      </c>
      <c r="AP97" s="57">
        <v>46267.541666666664</v>
      </c>
      <c r="AR97" t="s">
        <v>240</v>
      </c>
      <c r="AS97" t="s">
        <v>557</v>
      </c>
      <c r="AT97" t="s">
        <v>230</v>
      </c>
      <c r="AV97" t="s">
        <v>826</v>
      </c>
      <c r="AW97" t="s">
        <v>887</v>
      </c>
      <c r="AX97" t="s">
        <v>222</v>
      </c>
      <c r="BA97" s="57">
        <v>46267.541666666664</v>
      </c>
      <c r="BB97" t="s">
        <v>1162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MALANG</v>
      </c>
    </row>
    <row r="98" spans="1:61">
      <c r="A98">
        <v>97</v>
      </c>
      <c r="B98">
        <v>1002565040</v>
      </c>
      <c r="C98">
        <v>3</v>
      </c>
      <c r="D98" t="s">
        <v>55</v>
      </c>
      <c r="E98">
        <v>5</v>
      </c>
      <c r="F98" t="s">
        <v>261</v>
      </c>
      <c r="G98" t="s">
        <v>125</v>
      </c>
      <c r="H98" t="s">
        <v>325</v>
      </c>
      <c r="I98" t="s">
        <v>212</v>
      </c>
      <c r="J98" t="s">
        <v>213</v>
      </c>
      <c r="K98" t="s">
        <v>149</v>
      </c>
      <c r="L98" t="s">
        <v>214</v>
      </c>
      <c r="M98" t="s">
        <v>280</v>
      </c>
      <c r="N98" t="s">
        <v>215</v>
      </c>
      <c r="O98" s="57">
        <v>46266.475659722222</v>
      </c>
      <c r="P98" s="57">
        <v>46266.654953703706</v>
      </c>
      <c r="Q98">
        <v>69381406</v>
      </c>
      <c r="S98">
        <v>152441211655</v>
      </c>
      <c r="T98" t="s">
        <v>1382</v>
      </c>
      <c r="U98" t="s">
        <v>1383</v>
      </c>
      <c r="V98" t="s">
        <v>1384</v>
      </c>
      <c r="Z98">
        <v>112.11121078580599</v>
      </c>
      <c r="AA98">
        <v>-7.3444968945577296</v>
      </c>
      <c r="AB98" t="s">
        <v>1385</v>
      </c>
      <c r="AC98" t="s">
        <v>216</v>
      </c>
      <c r="AL98" t="s">
        <v>217</v>
      </c>
      <c r="AM98" t="s">
        <v>1367</v>
      </c>
      <c r="AN98" t="s">
        <v>6</v>
      </c>
      <c r="AO98" s="57">
        <v>46031.48609953704</v>
      </c>
      <c r="AP98" s="57">
        <v>46267.333333333336</v>
      </c>
      <c r="AR98" t="s">
        <v>240</v>
      </c>
      <c r="AS98" t="s">
        <v>219</v>
      </c>
      <c r="AT98" t="s">
        <v>230</v>
      </c>
      <c r="AV98" t="s">
        <v>826</v>
      </c>
      <c r="AW98" t="s">
        <v>882</v>
      </c>
      <c r="AX98" t="s">
        <v>222</v>
      </c>
      <c r="BA98" s="57">
        <v>46267.333333333336</v>
      </c>
      <c r="BB98" t="s">
        <v>1367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GRESIK</v>
      </c>
    </row>
    <row r="99" spans="1:61">
      <c r="A99">
        <v>98</v>
      </c>
      <c r="B99">
        <v>1002567333</v>
      </c>
      <c r="C99">
        <v>3</v>
      </c>
      <c r="D99" t="s">
        <v>59</v>
      </c>
      <c r="E99">
        <v>4</v>
      </c>
      <c r="F99" t="s">
        <v>549</v>
      </c>
      <c r="G99" t="s">
        <v>582</v>
      </c>
      <c r="H99" t="s">
        <v>1905</v>
      </c>
      <c r="I99" t="s">
        <v>212</v>
      </c>
      <c r="J99" t="s">
        <v>213</v>
      </c>
      <c r="K99" t="s">
        <v>149</v>
      </c>
      <c r="M99" t="s">
        <v>256</v>
      </c>
      <c r="N99" t="s">
        <v>215</v>
      </c>
      <c r="O99" s="57">
        <v>46267.485949074071</v>
      </c>
      <c r="P99" s="57">
        <v>46268.388796296298</v>
      </c>
      <c r="Q99">
        <v>69382216</v>
      </c>
      <c r="S99">
        <v>141114228278</v>
      </c>
      <c r="T99" t="s">
        <v>1906</v>
      </c>
      <c r="U99" t="s">
        <v>1907</v>
      </c>
      <c r="V99" t="s">
        <v>1908</v>
      </c>
      <c r="Z99">
        <v>110.344008207321</v>
      </c>
      <c r="AA99">
        <v>-7.8007199835811702</v>
      </c>
      <c r="AB99" t="s">
        <v>1909</v>
      </c>
      <c r="AC99" t="s">
        <v>285</v>
      </c>
      <c r="AL99" t="s">
        <v>217</v>
      </c>
      <c r="AM99" t="s">
        <v>1910</v>
      </c>
      <c r="AN99" t="s">
        <v>6</v>
      </c>
      <c r="AO99" s="57">
        <v>46062.496516203704</v>
      </c>
      <c r="AP99" s="57">
        <v>46269.333333333336</v>
      </c>
      <c r="AR99" t="s">
        <v>257</v>
      </c>
      <c r="AS99" t="s">
        <v>219</v>
      </c>
      <c r="AT99" t="s">
        <v>230</v>
      </c>
      <c r="AV99" t="s">
        <v>258</v>
      </c>
      <c r="AW99" t="s">
        <v>544</v>
      </c>
      <c r="AX99" t="s">
        <v>222</v>
      </c>
      <c r="BA99" s="57">
        <v>46269.333333333336</v>
      </c>
      <c r="BB99" t="s">
        <v>1910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1002566722</v>
      </c>
      <c r="C100">
        <v>3</v>
      </c>
      <c r="D100" t="s">
        <v>59</v>
      </c>
      <c r="E100">
        <v>4</v>
      </c>
      <c r="F100" t="s">
        <v>242</v>
      </c>
      <c r="G100" t="s">
        <v>1552</v>
      </c>
      <c r="H100" t="s">
        <v>1553</v>
      </c>
      <c r="I100" t="s">
        <v>212</v>
      </c>
      <c r="J100" t="s">
        <v>213</v>
      </c>
      <c r="K100" t="s">
        <v>149</v>
      </c>
      <c r="L100" t="s">
        <v>214</v>
      </c>
      <c r="M100" t="s">
        <v>256</v>
      </c>
      <c r="N100" t="s">
        <v>215</v>
      </c>
      <c r="O100" s="57">
        <v>46267.369398148148</v>
      </c>
      <c r="P100" s="57">
        <v>46267.522488425922</v>
      </c>
      <c r="Q100">
        <v>69381986</v>
      </c>
      <c r="S100">
        <v>141373127577</v>
      </c>
      <c r="T100" t="s">
        <v>1659</v>
      </c>
      <c r="U100" t="s">
        <v>1660</v>
      </c>
      <c r="V100" t="s">
        <v>1911</v>
      </c>
      <c r="Z100">
        <v>109.999415</v>
      </c>
      <c r="AA100">
        <v>-7.3580639999999997</v>
      </c>
      <c r="AB100" t="s">
        <v>1912</v>
      </c>
      <c r="AC100" t="s">
        <v>236</v>
      </c>
      <c r="AL100" t="s">
        <v>217</v>
      </c>
      <c r="AM100" t="s">
        <v>1913</v>
      </c>
      <c r="AN100" t="s">
        <v>6</v>
      </c>
      <c r="AO100" s="57">
        <v>46062.371550925927</v>
      </c>
      <c r="AP100" s="57">
        <v>46268.333333333336</v>
      </c>
      <c r="AR100" t="s">
        <v>257</v>
      </c>
      <c r="AS100" t="s">
        <v>219</v>
      </c>
      <c r="AT100" t="s">
        <v>230</v>
      </c>
      <c r="AV100" t="s">
        <v>258</v>
      </c>
      <c r="AW100" t="s">
        <v>887</v>
      </c>
      <c r="AX100" t="s">
        <v>222</v>
      </c>
      <c r="BA100" s="57">
        <v>46268.333333333336</v>
      </c>
      <c r="BB100" t="s">
        <v>1913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e">
        <f>VLOOKUP(H100,Sheet2!$A$1:$B$270,2,FALSE)</f>
        <v>#N/A</v>
      </c>
    </row>
    <row r="101" spans="1:61">
      <c r="A101">
        <v>100</v>
      </c>
      <c r="B101">
        <v>1002564112</v>
      </c>
      <c r="C101">
        <v>3</v>
      </c>
      <c r="D101" t="s">
        <v>45</v>
      </c>
      <c r="E101">
        <v>5</v>
      </c>
      <c r="F101" t="s">
        <v>210</v>
      </c>
      <c r="G101" t="s">
        <v>110</v>
      </c>
      <c r="H101" t="s">
        <v>445</v>
      </c>
      <c r="I101" t="s">
        <v>212</v>
      </c>
      <c r="J101" t="s">
        <v>213</v>
      </c>
      <c r="K101" t="s">
        <v>149</v>
      </c>
      <c r="M101" t="s">
        <v>256</v>
      </c>
      <c r="N101" t="s">
        <v>215</v>
      </c>
      <c r="O101" s="57">
        <v>46266.355162037034</v>
      </c>
      <c r="P101" s="57">
        <v>46266.38890046296</v>
      </c>
      <c r="Q101">
        <v>69378707</v>
      </c>
      <c r="S101">
        <v>172610305799</v>
      </c>
      <c r="T101" t="s">
        <v>1007</v>
      </c>
      <c r="U101" t="s">
        <v>1407</v>
      </c>
      <c r="V101" t="s">
        <v>1408</v>
      </c>
      <c r="Z101">
        <v>118.9974441</v>
      </c>
      <c r="AA101">
        <v>-8.5741318</v>
      </c>
      <c r="AB101" t="s">
        <v>1008</v>
      </c>
      <c r="AC101" t="s">
        <v>284</v>
      </c>
      <c r="AL101" t="s">
        <v>217</v>
      </c>
      <c r="AM101" t="s">
        <v>1409</v>
      </c>
      <c r="AN101" t="s">
        <v>6</v>
      </c>
      <c r="AO101" s="57">
        <v>46031.361087962963</v>
      </c>
      <c r="AR101" t="s">
        <v>257</v>
      </c>
      <c r="AS101" t="s">
        <v>915</v>
      </c>
      <c r="AT101" t="s">
        <v>230</v>
      </c>
      <c r="AV101" t="s">
        <v>258</v>
      </c>
      <c r="AW101" t="s">
        <v>545</v>
      </c>
      <c r="AX101" t="s">
        <v>222</v>
      </c>
      <c r="BA101" s="57">
        <v>46266.291666666664</v>
      </c>
      <c r="BB101" t="s">
        <v>1409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BIMA</v>
      </c>
    </row>
    <row r="102" spans="1:61">
      <c r="A102">
        <v>101</v>
      </c>
      <c r="B102">
        <v>1002564319</v>
      </c>
      <c r="C102">
        <v>3</v>
      </c>
      <c r="D102" t="s">
        <v>45</v>
      </c>
      <c r="E102">
        <v>5</v>
      </c>
      <c r="F102" t="s">
        <v>210</v>
      </c>
      <c r="G102" t="s">
        <v>110</v>
      </c>
      <c r="H102" t="s">
        <v>247</v>
      </c>
      <c r="I102" t="s">
        <v>212</v>
      </c>
      <c r="J102" t="s">
        <v>213</v>
      </c>
      <c r="K102" t="s">
        <v>149</v>
      </c>
      <c r="M102" t="s">
        <v>256</v>
      </c>
      <c r="N102" t="s">
        <v>215</v>
      </c>
      <c r="O102" s="57">
        <v>46266.386631944442</v>
      </c>
      <c r="P102" s="57">
        <v>46266.410219907404</v>
      </c>
      <c r="Q102">
        <v>69379683</v>
      </c>
      <c r="S102">
        <v>172616802034</v>
      </c>
      <c r="T102" t="s">
        <v>1003</v>
      </c>
      <c r="U102" t="s">
        <v>1410</v>
      </c>
      <c r="V102" t="s">
        <v>1411</v>
      </c>
      <c r="Z102">
        <v>118.7702972</v>
      </c>
      <c r="AA102">
        <v>-8.4851937</v>
      </c>
      <c r="AB102" t="s">
        <v>1004</v>
      </c>
      <c r="AC102" t="s">
        <v>216</v>
      </c>
      <c r="AL102" t="s">
        <v>217</v>
      </c>
      <c r="AM102" t="s">
        <v>1036</v>
      </c>
      <c r="AN102" t="s">
        <v>6</v>
      </c>
      <c r="AO102" s="57">
        <v>46031.39271990741</v>
      </c>
      <c r="AR102" t="s">
        <v>257</v>
      </c>
      <c r="AS102" t="s">
        <v>219</v>
      </c>
      <c r="AT102" t="s">
        <v>220</v>
      </c>
      <c r="AV102" t="s">
        <v>258</v>
      </c>
      <c r="AW102" t="s">
        <v>598</v>
      </c>
      <c r="AX102" t="s">
        <v>222</v>
      </c>
      <c r="BA102" s="57">
        <v>46266.291666666664</v>
      </c>
      <c r="BB102" t="s">
        <v>1036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BIMA</v>
      </c>
    </row>
    <row r="103" spans="1:61">
      <c r="A103">
        <v>102</v>
      </c>
      <c r="B103">
        <v>1002566558</v>
      </c>
      <c r="C103">
        <v>3</v>
      </c>
      <c r="D103" t="s">
        <v>55</v>
      </c>
      <c r="E103">
        <v>5</v>
      </c>
      <c r="F103" t="s">
        <v>261</v>
      </c>
      <c r="G103" t="s">
        <v>125</v>
      </c>
      <c r="H103" t="s">
        <v>405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46267.304814814815</v>
      </c>
      <c r="P103" s="57">
        <v>46267.934884259259</v>
      </c>
      <c r="Q103">
        <v>69381897</v>
      </c>
      <c r="S103">
        <v>152433910152</v>
      </c>
      <c r="T103" t="s">
        <v>1914</v>
      </c>
      <c r="U103" t="s">
        <v>1915</v>
      </c>
      <c r="V103" t="s">
        <v>1916</v>
      </c>
      <c r="Z103">
        <v>112.35989600000001</v>
      </c>
      <c r="AA103">
        <v>-7.2632190000000003</v>
      </c>
      <c r="AB103" t="s">
        <v>1917</v>
      </c>
      <c r="AC103" t="s">
        <v>236</v>
      </c>
      <c r="AL103" t="s">
        <v>217</v>
      </c>
      <c r="AM103" t="s">
        <v>1918</v>
      </c>
      <c r="AN103" t="s">
        <v>6</v>
      </c>
      <c r="AO103" s="57">
        <v>46062.309317129628</v>
      </c>
      <c r="AP103" s="57">
        <v>46268.416666666664</v>
      </c>
      <c r="AR103" t="s">
        <v>218</v>
      </c>
      <c r="AS103" t="s">
        <v>125</v>
      </c>
      <c r="AT103" t="s">
        <v>344</v>
      </c>
      <c r="AU103">
        <v>20260902</v>
      </c>
      <c r="AV103" t="s">
        <v>221</v>
      </c>
      <c r="AW103" t="s">
        <v>1919</v>
      </c>
      <c r="AX103" t="s">
        <v>222</v>
      </c>
      <c r="BA103" s="57">
        <v>46268.416666666664</v>
      </c>
      <c r="BB103" t="s">
        <v>1918</v>
      </c>
      <c r="BC103">
        <v>2026</v>
      </c>
      <c r="BD103">
        <v>9</v>
      </c>
      <c r="BE103">
        <v>2</v>
      </c>
      <c r="BF103" s="6">
        <f t="shared" si="3"/>
        <v>46267</v>
      </c>
      <c r="BG103">
        <f t="shared" si="4"/>
        <v>-1.4166666666642413</v>
      </c>
      <c r="BH103" t="str">
        <f t="shared" si="5"/>
        <v>COMPLY</v>
      </c>
      <c r="BI103" t="str">
        <f>VLOOKUP(H103,Sheet2!$A$1:$B$270,2,FALSE)</f>
        <v>GRESIK</v>
      </c>
    </row>
    <row r="104" spans="1:61">
      <c r="A104">
        <v>103</v>
      </c>
      <c r="B104">
        <v>1002567799</v>
      </c>
      <c r="C104">
        <v>3</v>
      </c>
      <c r="D104" t="s">
        <v>49</v>
      </c>
      <c r="E104">
        <v>4</v>
      </c>
      <c r="F104" t="s">
        <v>250</v>
      </c>
      <c r="G104" t="s">
        <v>250</v>
      </c>
      <c r="H104" t="s">
        <v>611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46267.592835648145</v>
      </c>
      <c r="P104" s="57">
        <v>46267.628206018519</v>
      </c>
      <c r="Q104">
        <v>69380809</v>
      </c>
      <c r="S104">
        <v>146285103915</v>
      </c>
      <c r="T104" t="s">
        <v>1920</v>
      </c>
      <c r="U104" t="s">
        <v>1483</v>
      </c>
      <c r="V104" t="s">
        <v>1921</v>
      </c>
      <c r="Z104">
        <v>109.63218000000001</v>
      </c>
      <c r="AA104">
        <v>-6.9770830000000004</v>
      </c>
      <c r="AB104" t="s">
        <v>1922</v>
      </c>
      <c r="AC104" t="s">
        <v>284</v>
      </c>
      <c r="AL104" t="s">
        <v>217</v>
      </c>
      <c r="AM104" t="s">
        <v>1923</v>
      </c>
      <c r="AN104" t="s">
        <v>6</v>
      </c>
      <c r="AO104" s="57">
        <v>46062.600717592592</v>
      </c>
      <c r="AR104" t="s">
        <v>218</v>
      </c>
      <c r="AS104" t="s">
        <v>899</v>
      </c>
      <c r="AT104" t="s">
        <v>230</v>
      </c>
      <c r="AU104">
        <v>20260902</v>
      </c>
      <c r="AV104" t="s">
        <v>221</v>
      </c>
      <c r="AW104" t="s">
        <v>545</v>
      </c>
      <c r="AX104" t="s">
        <v>222</v>
      </c>
      <c r="BA104" s="57">
        <v>46267.291666666664</v>
      </c>
      <c r="BB104" t="s">
        <v>1923</v>
      </c>
      <c r="BC104">
        <v>2026</v>
      </c>
      <c r="BD104">
        <v>9</v>
      </c>
      <c r="BE104">
        <v>2</v>
      </c>
      <c r="BF104" s="6">
        <f t="shared" si="3"/>
        <v>46267</v>
      </c>
      <c r="BG104">
        <f t="shared" si="4"/>
        <v>-0.29166666666424135</v>
      </c>
      <c r="BH104" t="str">
        <f t="shared" si="5"/>
        <v>COMPLY</v>
      </c>
      <c r="BI104" t="e">
        <f>VLOOKUP(H104,Sheet2!$A$1:$B$270,2,FALSE)</f>
        <v>#N/A</v>
      </c>
    </row>
    <row r="105" spans="1:61">
      <c r="A105">
        <v>104</v>
      </c>
      <c r="B105">
        <v>1002567809</v>
      </c>
      <c r="C105">
        <v>3</v>
      </c>
      <c r="D105" t="s">
        <v>49</v>
      </c>
      <c r="E105">
        <v>4</v>
      </c>
      <c r="F105" t="s">
        <v>250</v>
      </c>
      <c r="G105" t="s">
        <v>539</v>
      </c>
      <c r="H105" t="s">
        <v>838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46267.595520833333</v>
      </c>
      <c r="P105" s="57">
        <v>46267.63517361111</v>
      </c>
      <c r="Q105">
        <v>69381339</v>
      </c>
      <c r="S105">
        <v>142205105819</v>
      </c>
      <c r="T105" t="s">
        <v>1176</v>
      </c>
      <c r="U105" t="s">
        <v>1924</v>
      </c>
      <c r="V105" t="s">
        <v>1925</v>
      </c>
      <c r="Z105">
        <v>108.990799</v>
      </c>
      <c r="AA105">
        <v>-6.9198139999999997</v>
      </c>
      <c r="AB105" t="s">
        <v>1179</v>
      </c>
      <c r="AC105" t="s">
        <v>284</v>
      </c>
      <c r="AL105" t="s">
        <v>217</v>
      </c>
      <c r="AM105" t="s">
        <v>1926</v>
      </c>
      <c r="AN105" t="s">
        <v>6</v>
      </c>
      <c r="AO105" s="57">
        <v>46062.600717592592</v>
      </c>
      <c r="AR105" t="s">
        <v>218</v>
      </c>
      <c r="AS105" t="s">
        <v>219</v>
      </c>
      <c r="AT105" t="s">
        <v>230</v>
      </c>
      <c r="AU105">
        <v>20260902</v>
      </c>
      <c r="AV105" t="s">
        <v>221</v>
      </c>
      <c r="AW105" t="s">
        <v>1927</v>
      </c>
      <c r="AX105" t="s">
        <v>222</v>
      </c>
      <c r="BA105" s="57">
        <v>46267.291666666664</v>
      </c>
      <c r="BB105" t="s">
        <v>1926</v>
      </c>
      <c r="BC105">
        <v>2026</v>
      </c>
      <c r="BD105">
        <v>9</v>
      </c>
      <c r="BE105">
        <v>2</v>
      </c>
      <c r="BF105" s="6">
        <f t="shared" si="3"/>
        <v>46267</v>
      </c>
      <c r="BG105">
        <f t="shared" si="4"/>
        <v>-0.29166666666424135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1002566950</v>
      </c>
      <c r="C106">
        <v>3</v>
      </c>
      <c r="D106" t="s">
        <v>38</v>
      </c>
      <c r="E106">
        <v>5</v>
      </c>
      <c r="F106" t="s">
        <v>248</v>
      </c>
      <c r="G106" t="s">
        <v>91</v>
      </c>
      <c r="H106" t="s">
        <v>412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46267.412476851852</v>
      </c>
      <c r="P106" s="57">
        <v>46267.601770833331</v>
      </c>
      <c r="Q106">
        <v>69382053</v>
      </c>
      <c r="S106">
        <v>152715213311</v>
      </c>
      <c r="T106" t="s">
        <v>1928</v>
      </c>
      <c r="U106" t="s">
        <v>1929</v>
      </c>
      <c r="V106" t="s">
        <v>1930</v>
      </c>
      <c r="Z106">
        <v>112.61499646168799</v>
      </c>
      <c r="AA106">
        <v>-8.1434994211175802</v>
      </c>
      <c r="AB106" t="s">
        <v>1931</v>
      </c>
      <c r="AC106" t="s">
        <v>236</v>
      </c>
      <c r="AL106" t="s">
        <v>217</v>
      </c>
      <c r="AM106" t="s">
        <v>1932</v>
      </c>
      <c r="AN106" t="s">
        <v>6</v>
      </c>
      <c r="AO106" s="57">
        <v>46062.413263888891</v>
      </c>
      <c r="AP106" s="57">
        <v>46268.333333333336</v>
      </c>
      <c r="AR106" t="s">
        <v>218</v>
      </c>
      <c r="AS106" t="s">
        <v>584</v>
      </c>
      <c r="AT106" t="s">
        <v>220</v>
      </c>
      <c r="AU106">
        <v>20260902</v>
      </c>
      <c r="AV106" t="s">
        <v>221</v>
      </c>
      <c r="AW106" t="s">
        <v>881</v>
      </c>
      <c r="AX106" t="s">
        <v>222</v>
      </c>
      <c r="BA106" s="57">
        <v>46268.333333333336</v>
      </c>
      <c r="BB106" t="s">
        <v>1932</v>
      </c>
      <c r="BC106">
        <v>2026</v>
      </c>
      <c r="BD106">
        <v>9</v>
      </c>
      <c r="BE106">
        <v>2</v>
      </c>
      <c r="BF106" s="6">
        <f t="shared" si="3"/>
        <v>46267</v>
      </c>
      <c r="BG106">
        <f t="shared" si="4"/>
        <v>-1.3333333333357587</v>
      </c>
      <c r="BH106" t="str">
        <f t="shared" si="5"/>
        <v>COMPLY</v>
      </c>
      <c r="BI106" t="str">
        <f>VLOOKUP(H106,Sheet2!$A$1:$B$270,2,FALSE)</f>
        <v>MALANG</v>
      </c>
    </row>
    <row r="107" spans="1:61">
      <c r="A107">
        <v>106</v>
      </c>
      <c r="B107">
        <v>1002566886</v>
      </c>
      <c r="C107">
        <v>3</v>
      </c>
      <c r="D107" t="s">
        <v>38</v>
      </c>
      <c r="E107">
        <v>5</v>
      </c>
      <c r="F107" t="s">
        <v>90</v>
      </c>
      <c r="G107" t="s">
        <v>93</v>
      </c>
      <c r="H107" t="s">
        <v>381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46267.402743055558</v>
      </c>
      <c r="P107" s="57">
        <v>46267.712384259263</v>
      </c>
      <c r="Q107">
        <v>69382041</v>
      </c>
      <c r="S107">
        <v>152615203387</v>
      </c>
      <c r="T107" t="s">
        <v>1933</v>
      </c>
      <c r="U107" t="s">
        <v>1934</v>
      </c>
      <c r="V107" t="s">
        <v>1935</v>
      </c>
      <c r="Z107">
        <v>112.092991881072</v>
      </c>
      <c r="AA107">
        <v>-7.6391968756506801</v>
      </c>
      <c r="AB107" t="s">
        <v>1936</v>
      </c>
      <c r="AC107" t="s">
        <v>216</v>
      </c>
      <c r="AL107" t="s">
        <v>217</v>
      </c>
      <c r="AM107" t="s">
        <v>1937</v>
      </c>
      <c r="AN107" t="s">
        <v>6</v>
      </c>
      <c r="AO107" s="57">
        <v>46062.413263888891</v>
      </c>
      <c r="AP107" s="57">
        <v>46268.625</v>
      </c>
      <c r="AR107" t="s">
        <v>218</v>
      </c>
      <c r="AS107" t="s">
        <v>589</v>
      </c>
      <c r="AT107" t="s">
        <v>230</v>
      </c>
      <c r="AU107">
        <v>20260902</v>
      </c>
      <c r="AV107" t="s">
        <v>221</v>
      </c>
      <c r="AW107" t="s">
        <v>885</v>
      </c>
      <c r="AX107" t="s">
        <v>222</v>
      </c>
      <c r="BA107" s="57">
        <v>46268.625</v>
      </c>
      <c r="BB107" t="s">
        <v>1937</v>
      </c>
      <c r="BC107">
        <v>2026</v>
      </c>
      <c r="BD107">
        <v>9</v>
      </c>
      <c r="BE107">
        <v>2</v>
      </c>
      <c r="BF107" s="6">
        <f t="shared" si="3"/>
        <v>46267</v>
      </c>
      <c r="BG107">
        <f t="shared" si="4"/>
        <v>-1.625</v>
      </c>
      <c r="BH107" t="str">
        <f t="shared" si="5"/>
        <v>COMPLY</v>
      </c>
      <c r="BI107" t="str">
        <f>VLOOKUP(H107,Sheet2!$A$1:$B$270,2,FALSE)</f>
        <v>NGANJUK</v>
      </c>
    </row>
    <row r="108" spans="1:61">
      <c r="A108">
        <v>107</v>
      </c>
      <c r="B108">
        <v>1002566921</v>
      </c>
      <c r="C108">
        <v>3</v>
      </c>
      <c r="D108" t="s">
        <v>49</v>
      </c>
      <c r="E108">
        <v>4</v>
      </c>
      <c r="F108" t="s">
        <v>245</v>
      </c>
      <c r="G108" t="s">
        <v>1938</v>
      </c>
      <c r="H108" t="s">
        <v>1939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46267.406898148147</v>
      </c>
      <c r="P108" s="57">
        <v>46267.828483796293</v>
      </c>
      <c r="Q108">
        <v>69382050</v>
      </c>
      <c r="S108">
        <v>141459109252</v>
      </c>
      <c r="T108" t="s">
        <v>1940</v>
      </c>
      <c r="U108" t="s">
        <v>1941</v>
      </c>
      <c r="V108" t="s">
        <v>1942</v>
      </c>
      <c r="Z108">
        <v>110.408392958343</v>
      </c>
      <c r="AA108">
        <v>-7.25346112780369</v>
      </c>
      <c r="AB108" t="s">
        <v>1943</v>
      </c>
      <c r="AC108" t="s">
        <v>216</v>
      </c>
      <c r="AL108" t="s">
        <v>217</v>
      </c>
      <c r="AM108" t="s">
        <v>1944</v>
      </c>
      <c r="AN108" t="s">
        <v>6</v>
      </c>
      <c r="AO108" s="57">
        <v>46062.413263888891</v>
      </c>
      <c r="AP108" s="57">
        <v>46268.333333333336</v>
      </c>
      <c r="AR108" t="s">
        <v>218</v>
      </c>
      <c r="AS108" t="s">
        <v>1945</v>
      </c>
      <c r="AT108" t="s">
        <v>230</v>
      </c>
      <c r="AU108">
        <v>20260902</v>
      </c>
      <c r="AV108" t="s">
        <v>221</v>
      </c>
      <c r="AW108" t="s">
        <v>883</v>
      </c>
      <c r="AX108" t="s">
        <v>222</v>
      </c>
      <c r="BA108" s="57">
        <v>46268.333333333336</v>
      </c>
      <c r="BB108" t="s">
        <v>1944</v>
      </c>
      <c r="BC108">
        <v>2026</v>
      </c>
      <c r="BD108">
        <v>9</v>
      </c>
      <c r="BE108">
        <v>2</v>
      </c>
      <c r="BF108" s="6">
        <f t="shared" si="3"/>
        <v>46267</v>
      </c>
      <c r="BG108">
        <f t="shared" si="4"/>
        <v>-1.3333333333357587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1002567302</v>
      </c>
      <c r="C109">
        <v>3</v>
      </c>
      <c r="D109" t="s">
        <v>51</v>
      </c>
      <c r="E109">
        <v>4</v>
      </c>
      <c r="F109" t="s">
        <v>269</v>
      </c>
      <c r="G109" t="s">
        <v>1946</v>
      </c>
      <c r="H109" t="s">
        <v>1947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46267.480787037035</v>
      </c>
      <c r="P109" s="57">
        <v>46267.802986111114</v>
      </c>
      <c r="Q109">
        <v>69380377</v>
      </c>
      <c r="S109">
        <v>141569115880</v>
      </c>
      <c r="T109" t="s">
        <v>1948</v>
      </c>
      <c r="U109" t="s">
        <v>1949</v>
      </c>
      <c r="V109" t="s">
        <v>1950</v>
      </c>
      <c r="Z109">
        <v>111.39656453359601</v>
      </c>
      <c r="AA109">
        <v>-6.9893009518497502</v>
      </c>
      <c r="AB109" t="s">
        <v>1951</v>
      </c>
      <c r="AC109" t="s">
        <v>285</v>
      </c>
      <c r="AL109" t="s">
        <v>217</v>
      </c>
      <c r="AM109" t="s">
        <v>1952</v>
      </c>
      <c r="AN109" t="s">
        <v>6</v>
      </c>
      <c r="AO109" s="57">
        <v>46062.486145833333</v>
      </c>
      <c r="AR109" t="s">
        <v>218</v>
      </c>
      <c r="AS109" t="s">
        <v>219</v>
      </c>
      <c r="AT109" t="s">
        <v>230</v>
      </c>
      <c r="AU109">
        <v>20260902</v>
      </c>
      <c r="AV109" t="s">
        <v>221</v>
      </c>
      <c r="AW109" t="s">
        <v>545</v>
      </c>
      <c r="AX109" t="s">
        <v>222</v>
      </c>
      <c r="BA109" s="57">
        <v>46267.291666666664</v>
      </c>
      <c r="BB109" t="s">
        <v>1952</v>
      </c>
      <c r="BC109">
        <v>2026</v>
      </c>
      <c r="BD109">
        <v>9</v>
      </c>
      <c r="BE109">
        <v>2</v>
      </c>
      <c r="BF109" s="6">
        <f t="shared" si="3"/>
        <v>46267</v>
      </c>
      <c r="BG109">
        <f t="shared" si="4"/>
        <v>-0.29166666666424135</v>
      </c>
      <c r="BH109" t="str">
        <f t="shared" si="5"/>
        <v>COMPLY</v>
      </c>
      <c r="BI109" t="e">
        <f>VLOOKUP(H109,Sheet2!$A$1:$B$270,2,FALSE)</f>
        <v>#N/A</v>
      </c>
    </row>
    <row r="110" spans="1:61">
      <c r="A110">
        <v>109</v>
      </c>
      <c r="B110">
        <v>1002567508</v>
      </c>
      <c r="C110">
        <v>3</v>
      </c>
      <c r="D110" t="s">
        <v>34</v>
      </c>
      <c r="E110">
        <v>5</v>
      </c>
      <c r="F110" t="s">
        <v>563</v>
      </c>
      <c r="G110" t="s">
        <v>83</v>
      </c>
      <c r="H110" t="s">
        <v>318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46267.531724537039</v>
      </c>
      <c r="P110" s="57">
        <v>46267.635752314818</v>
      </c>
      <c r="Q110">
        <v>69377728</v>
      </c>
      <c r="R110">
        <v>3612108215</v>
      </c>
      <c r="S110">
        <v>172401793679</v>
      </c>
      <c r="T110" t="s">
        <v>1953</v>
      </c>
      <c r="U110" t="s">
        <v>1954</v>
      </c>
      <c r="V110" t="s">
        <v>1955</v>
      </c>
      <c r="Z110">
        <v>115.230468064463</v>
      </c>
      <c r="AA110">
        <v>-8.6603810957159109</v>
      </c>
      <c r="AB110" t="s">
        <v>1956</v>
      </c>
      <c r="AC110" t="s">
        <v>229</v>
      </c>
      <c r="AL110" t="s">
        <v>217</v>
      </c>
      <c r="AM110" t="s">
        <v>1957</v>
      </c>
      <c r="AN110" t="s">
        <v>6</v>
      </c>
      <c r="AO110" s="57">
        <v>46062.53837962963</v>
      </c>
      <c r="AR110" t="s">
        <v>218</v>
      </c>
      <c r="AS110" t="s">
        <v>1958</v>
      </c>
      <c r="AT110" t="s">
        <v>230</v>
      </c>
      <c r="AU110">
        <v>20260902</v>
      </c>
      <c r="AV110" t="s">
        <v>221</v>
      </c>
      <c r="AW110" t="s">
        <v>585</v>
      </c>
      <c r="AX110" t="s">
        <v>222</v>
      </c>
      <c r="BA110" s="57">
        <v>46267.291666666664</v>
      </c>
      <c r="BB110" t="s">
        <v>1957</v>
      </c>
      <c r="BC110">
        <v>2026</v>
      </c>
      <c r="BD110">
        <v>9</v>
      </c>
      <c r="BE110">
        <v>2</v>
      </c>
      <c r="BF110" s="6">
        <f t="shared" si="3"/>
        <v>46267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SANUR</v>
      </c>
    </row>
    <row r="111" spans="1:61">
      <c r="A111">
        <v>110</v>
      </c>
      <c r="B111">
        <v>1002567521</v>
      </c>
      <c r="C111">
        <v>3</v>
      </c>
      <c r="D111" t="s">
        <v>51</v>
      </c>
      <c r="E111">
        <v>4</v>
      </c>
      <c r="F111" t="s">
        <v>269</v>
      </c>
      <c r="G111" t="s">
        <v>1946</v>
      </c>
      <c r="H111" t="s">
        <v>1959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46267.537685185183</v>
      </c>
      <c r="P111" s="57">
        <v>46267.708124999997</v>
      </c>
      <c r="Q111">
        <v>69378799</v>
      </c>
      <c r="S111">
        <v>142552107738</v>
      </c>
      <c r="T111" t="s">
        <v>1960</v>
      </c>
      <c r="U111" t="s">
        <v>1961</v>
      </c>
      <c r="V111" t="s">
        <v>1962</v>
      </c>
      <c r="Z111">
        <v>111.583192</v>
      </c>
      <c r="AA111">
        <v>-7.1494498000000002</v>
      </c>
      <c r="AB111" t="s">
        <v>1963</v>
      </c>
      <c r="AC111" t="s">
        <v>285</v>
      </c>
      <c r="AL111" t="s">
        <v>217</v>
      </c>
      <c r="AM111" t="s">
        <v>1964</v>
      </c>
      <c r="AN111" t="s">
        <v>6</v>
      </c>
      <c r="AO111" s="57">
        <v>46062.53837962963</v>
      </c>
      <c r="AR111" t="s">
        <v>218</v>
      </c>
      <c r="AS111" t="s">
        <v>1965</v>
      </c>
      <c r="AT111" t="s">
        <v>230</v>
      </c>
      <c r="AU111">
        <v>20260902</v>
      </c>
      <c r="AV111" t="s">
        <v>221</v>
      </c>
      <c r="AW111" t="s">
        <v>545</v>
      </c>
      <c r="AX111" t="s">
        <v>222</v>
      </c>
      <c r="BA111" s="57">
        <v>46267.291666666664</v>
      </c>
      <c r="BB111" t="s">
        <v>1964</v>
      </c>
      <c r="BC111">
        <v>2026</v>
      </c>
      <c r="BD111">
        <v>9</v>
      </c>
      <c r="BE111">
        <v>2</v>
      </c>
      <c r="BF111" s="6">
        <f t="shared" si="3"/>
        <v>46267</v>
      </c>
      <c r="BG111">
        <f t="shared" si="4"/>
        <v>-0.29166666666424135</v>
      </c>
      <c r="BH111" t="str">
        <f t="shared" si="5"/>
        <v>COMPLY</v>
      </c>
      <c r="BI111" t="e">
        <f>VLOOKUP(H111,Sheet2!$A$1:$B$270,2,FALSE)</f>
        <v>#N/A</v>
      </c>
    </row>
    <row r="112" spans="1:61">
      <c r="A112">
        <v>111</v>
      </c>
      <c r="B112">
        <v>1002567513</v>
      </c>
      <c r="C112">
        <v>3</v>
      </c>
      <c r="D112" t="s">
        <v>45</v>
      </c>
      <c r="E112">
        <v>5</v>
      </c>
      <c r="F112" t="s">
        <v>210</v>
      </c>
      <c r="G112" t="s">
        <v>112</v>
      </c>
      <c r="H112" t="s">
        <v>243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46267.53496527778</v>
      </c>
      <c r="P112" s="57">
        <v>46267.623391203706</v>
      </c>
      <c r="Q112">
        <v>69378556</v>
      </c>
      <c r="S112">
        <v>172605804352</v>
      </c>
      <c r="T112" t="s">
        <v>1966</v>
      </c>
      <c r="U112" t="s">
        <v>1967</v>
      </c>
      <c r="V112" t="s">
        <v>1968</v>
      </c>
      <c r="Z112">
        <v>116.146677</v>
      </c>
      <c r="AA112">
        <v>-8.6013626999999993</v>
      </c>
      <c r="AB112" t="s">
        <v>1969</v>
      </c>
      <c r="AC112" t="s">
        <v>216</v>
      </c>
      <c r="AL112" t="s">
        <v>217</v>
      </c>
      <c r="AM112" t="s">
        <v>1970</v>
      </c>
      <c r="AN112" t="s">
        <v>6</v>
      </c>
      <c r="AO112" s="57">
        <v>46062.53837962963</v>
      </c>
      <c r="AR112" t="s">
        <v>218</v>
      </c>
      <c r="AS112" t="s">
        <v>219</v>
      </c>
      <c r="AT112" t="s">
        <v>230</v>
      </c>
      <c r="AU112">
        <v>20260902</v>
      </c>
      <c r="AV112" t="s">
        <v>221</v>
      </c>
      <c r="AW112" t="s">
        <v>545</v>
      </c>
      <c r="AX112" t="s">
        <v>222</v>
      </c>
      <c r="BA112" s="57">
        <v>46267.291666666664</v>
      </c>
      <c r="BB112" t="s">
        <v>1970</v>
      </c>
      <c r="BC112">
        <v>2026</v>
      </c>
      <c r="BD112">
        <v>9</v>
      </c>
      <c r="BE112">
        <v>2</v>
      </c>
      <c r="BF112" s="6">
        <f t="shared" si="3"/>
        <v>46267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MATARAM</v>
      </c>
    </row>
    <row r="113" spans="1:61">
      <c r="A113">
        <v>112</v>
      </c>
      <c r="B113">
        <v>1002567512</v>
      </c>
      <c r="C113">
        <v>3</v>
      </c>
      <c r="D113" t="s">
        <v>34</v>
      </c>
      <c r="E113">
        <v>5</v>
      </c>
      <c r="F113" t="s">
        <v>563</v>
      </c>
      <c r="G113" t="s">
        <v>83</v>
      </c>
      <c r="H113" t="s">
        <v>318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46267.53398148148</v>
      </c>
      <c r="P113" s="57">
        <v>46267.640798611108</v>
      </c>
      <c r="Q113">
        <v>69377715</v>
      </c>
      <c r="R113">
        <v>3612108216</v>
      </c>
      <c r="S113">
        <v>172401793681</v>
      </c>
      <c r="T113" t="s">
        <v>1953</v>
      </c>
      <c r="U113" t="s">
        <v>1954</v>
      </c>
      <c r="V113" t="s">
        <v>1971</v>
      </c>
      <c r="Z113">
        <v>115.230466976686</v>
      </c>
      <c r="AA113">
        <v>-8.6603906572665394</v>
      </c>
      <c r="AB113" t="s">
        <v>1956</v>
      </c>
      <c r="AC113" t="s">
        <v>229</v>
      </c>
      <c r="AL113" t="s">
        <v>217</v>
      </c>
      <c r="AM113" t="s">
        <v>1972</v>
      </c>
      <c r="AN113" t="s">
        <v>6</v>
      </c>
      <c r="AO113" s="57">
        <v>46062.53837962963</v>
      </c>
      <c r="AR113" t="s">
        <v>218</v>
      </c>
      <c r="AS113" t="s">
        <v>1958</v>
      </c>
      <c r="AT113" t="s">
        <v>230</v>
      </c>
      <c r="AU113">
        <v>20260902</v>
      </c>
      <c r="AV113" t="s">
        <v>221</v>
      </c>
      <c r="AW113" t="s">
        <v>880</v>
      </c>
      <c r="AX113" t="s">
        <v>222</v>
      </c>
      <c r="BA113" s="57">
        <v>46267.291666666664</v>
      </c>
      <c r="BB113" t="s">
        <v>1972</v>
      </c>
      <c r="BC113">
        <v>2026</v>
      </c>
      <c r="BD113">
        <v>9</v>
      </c>
      <c r="BE113">
        <v>2</v>
      </c>
      <c r="BF113" s="6">
        <f t="shared" si="3"/>
        <v>46267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SANUR</v>
      </c>
    </row>
    <row r="114" spans="1:61">
      <c r="A114">
        <v>113</v>
      </c>
      <c r="B114">
        <v>1002567503</v>
      </c>
      <c r="C114">
        <v>3</v>
      </c>
      <c r="D114" t="s">
        <v>49</v>
      </c>
      <c r="E114">
        <v>4</v>
      </c>
      <c r="F114" t="s">
        <v>245</v>
      </c>
      <c r="G114" t="s">
        <v>246</v>
      </c>
      <c r="H114" t="s">
        <v>1973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46267.529907407406</v>
      </c>
      <c r="P114" s="57">
        <v>46267.607847222222</v>
      </c>
      <c r="Q114">
        <v>69379859</v>
      </c>
      <c r="S114">
        <v>142426805107</v>
      </c>
      <c r="T114" t="s">
        <v>1974</v>
      </c>
      <c r="U114" t="s">
        <v>1975</v>
      </c>
      <c r="V114" t="s">
        <v>1976</v>
      </c>
      <c r="Z114">
        <v>110.33345199999999</v>
      </c>
      <c r="AA114">
        <v>-7.0401699999999998</v>
      </c>
      <c r="AB114" t="s">
        <v>1977</v>
      </c>
      <c r="AC114" t="s">
        <v>216</v>
      </c>
      <c r="AL114" t="s">
        <v>217</v>
      </c>
      <c r="AM114" t="s">
        <v>1978</v>
      </c>
      <c r="AN114" t="s">
        <v>6</v>
      </c>
      <c r="AO114" s="57">
        <v>46062.53837962963</v>
      </c>
      <c r="AR114" t="s">
        <v>218</v>
      </c>
      <c r="AS114" t="s">
        <v>1979</v>
      </c>
      <c r="AT114" t="s">
        <v>230</v>
      </c>
      <c r="AU114">
        <v>20260902</v>
      </c>
      <c r="AV114" t="s">
        <v>221</v>
      </c>
      <c r="AW114" t="s">
        <v>545</v>
      </c>
      <c r="AX114" t="s">
        <v>222</v>
      </c>
      <c r="BA114" s="57">
        <v>46267.291666666664</v>
      </c>
      <c r="BB114" t="s">
        <v>1978</v>
      </c>
      <c r="BC114">
        <v>2026</v>
      </c>
      <c r="BD114">
        <v>9</v>
      </c>
      <c r="BE114">
        <v>2</v>
      </c>
      <c r="BF114" s="6">
        <f t="shared" si="3"/>
        <v>46267</v>
      </c>
      <c r="BG114">
        <f t="shared" si="4"/>
        <v>-0.29166666666424135</v>
      </c>
      <c r="BH114" t="str">
        <f t="shared" si="5"/>
        <v>COMPLY</v>
      </c>
      <c r="BI114" t="e">
        <f>VLOOKUP(H114,Sheet2!$A$1:$B$270,2,FALSE)</f>
        <v>#N/A</v>
      </c>
    </row>
    <row r="115" spans="1:61">
      <c r="A115">
        <v>114</v>
      </c>
      <c r="B115">
        <v>1002568520</v>
      </c>
      <c r="C115">
        <v>3</v>
      </c>
      <c r="D115" t="s">
        <v>45</v>
      </c>
      <c r="E115">
        <v>5</v>
      </c>
      <c r="F115" t="s">
        <v>210</v>
      </c>
      <c r="G115" t="s">
        <v>115</v>
      </c>
      <c r="H115" t="s">
        <v>395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46267.743425925924</v>
      </c>
      <c r="P115" s="57">
        <v>46267.774108796293</v>
      </c>
      <c r="Q115">
        <v>69380121</v>
      </c>
      <c r="S115">
        <v>172602203029</v>
      </c>
      <c r="T115" t="s">
        <v>1980</v>
      </c>
      <c r="U115" t="s">
        <v>1981</v>
      </c>
      <c r="V115" t="s">
        <v>1982</v>
      </c>
      <c r="Z115">
        <v>116.184251273825</v>
      </c>
      <c r="AA115">
        <v>-8.72128783291293</v>
      </c>
      <c r="AB115" t="s">
        <v>1983</v>
      </c>
      <c r="AC115" t="s">
        <v>284</v>
      </c>
      <c r="AL115" t="s">
        <v>217</v>
      </c>
      <c r="AM115" t="s">
        <v>1984</v>
      </c>
      <c r="AN115" t="s">
        <v>6</v>
      </c>
      <c r="AO115" s="57">
        <v>46062.746516203704</v>
      </c>
      <c r="AR115" t="s">
        <v>218</v>
      </c>
      <c r="AS115" t="s">
        <v>901</v>
      </c>
      <c r="AT115" t="s">
        <v>230</v>
      </c>
      <c r="AU115">
        <v>20260902</v>
      </c>
      <c r="AV115" t="s">
        <v>221</v>
      </c>
      <c r="AW115" t="s">
        <v>545</v>
      </c>
      <c r="AX115" t="s">
        <v>222</v>
      </c>
      <c r="BA115" s="57">
        <v>46267.291666666664</v>
      </c>
      <c r="BB115" t="s">
        <v>1984</v>
      </c>
      <c r="BC115">
        <v>2026</v>
      </c>
      <c r="BD115">
        <v>9</v>
      </c>
      <c r="BE115">
        <v>2</v>
      </c>
      <c r="BF115" s="6">
        <f t="shared" si="3"/>
        <v>46267</v>
      </c>
      <c r="BG115">
        <f t="shared" si="4"/>
        <v>-0.29166666666424135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1002568199</v>
      </c>
      <c r="C116">
        <v>3</v>
      </c>
      <c r="D116" t="s">
        <v>51</v>
      </c>
      <c r="E116">
        <v>4</v>
      </c>
      <c r="F116" t="s">
        <v>269</v>
      </c>
      <c r="G116" t="s">
        <v>1946</v>
      </c>
      <c r="H116" t="s">
        <v>1947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46267.659432870372</v>
      </c>
      <c r="P116" s="57">
        <v>46267.810370370367</v>
      </c>
      <c r="Q116">
        <v>69380564</v>
      </c>
      <c r="S116">
        <v>141569115883</v>
      </c>
      <c r="T116" t="s">
        <v>1985</v>
      </c>
      <c r="U116" t="s">
        <v>1986</v>
      </c>
      <c r="V116" t="s">
        <v>1987</v>
      </c>
      <c r="Z116">
        <v>111.529802027716</v>
      </c>
      <c r="AA116">
        <v>-6.9287640064710496</v>
      </c>
      <c r="AB116" t="s">
        <v>1988</v>
      </c>
      <c r="AC116" t="s">
        <v>285</v>
      </c>
      <c r="AL116" t="s">
        <v>217</v>
      </c>
      <c r="AM116" t="s">
        <v>1989</v>
      </c>
      <c r="AN116" t="s">
        <v>6</v>
      </c>
      <c r="AO116" s="57">
        <v>46062.663159722222</v>
      </c>
      <c r="AR116" t="s">
        <v>218</v>
      </c>
      <c r="AS116" t="s">
        <v>219</v>
      </c>
      <c r="AT116" t="s">
        <v>230</v>
      </c>
      <c r="AU116">
        <v>20260902</v>
      </c>
      <c r="AV116" t="s">
        <v>221</v>
      </c>
      <c r="AW116" t="s">
        <v>545</v>
      </c>
      <c r="AX116" t="s">
        <v>222</v>
      </c>
      <c r="BA116" s="57">
        <v>46267.291666666664</v>
      </c>
      <c r="BB116" t="s">
        <v>1989</v>
      </c>
      <c r="BC116">
        <v>2026</v>
      </c>
      <c r="BD116">
        <v>9</v>
      </c>
      <c r="BE116">
        <v>2</v>
      </c>
      <c r="BF116" s="6">
        <f t="shared" si="3"/>
        <v>46267</v>
      </c>
      <c r="BG116">
        <f t="shared" si="4"/>
        <v>-0.29166666666424135</v>
      </c>
      <c r="BH116" t="str">
        <f t="shared" si="5"/>
        <v>COMPLY</v>
      </c>
      <c r="BI116" t="e">
        <f>VLOOKUP(H116,Sheet2!$A$1:$B$270,2,FALSE)</f>
        <v>#N/A</v>
      </c>
    </row>
    <row r="117" spans="1:61">
      <c r="A117">
        <v>116</v>
      </c>
      <c r="B117">
        <v>1002567254</v>
      </c>
      <c r="C117">
        <v>3</v>
      </c>
      <c r="D117" t="s">
        <v>45</v>
      </c>
      <c r="E117">
        <v>5</v>
      </c>
      <c r="F117" t="s">
        <v>210</v>
      </c>
      <c r="G117" t="s">
        <v>118</v>
      </c>
      <c r="H117" t="s">
        <v>211</v>
      </c>
      <c r="I117" t="s">
        <v>212</v>
      </c>
      <c r="J117" t="s">
        <v>213</v>
      </c>
      <c r="K117" t="s">
        <v>149</v>
      </c>
      <c r="L117" t="s">
        <v>214</v>
      </c>
      <c r="M117" t="s">
        <v>76</v>
      </c>
      <c r="N117" t="s">
        <v>215</v>
      </c>
      <c r="O117" s="57">
        <v>46267.4687037037</v>
      </c>
      <c r="P117" s="57">
        <v>46267.790925925925</v>
      </c>
      <c r="Q117">
        <v>69382185</v>
      </c>
      <c r="S117">
        <v>172606792375</v>
      </c>
      <c r="T117" t="s">
        <v>1990</v>
      </c>
      <c r="U117" t="s">
        <v>1991</v>
      </c>
      <c r="V117" t="s">
        <v>1992</v>
      </c>
      <c r="Z117">
        <v>117.43875325846901</v>
      </c>
      <c r="AA117">
        <v>-8.6440058563321909</v>
      </c>
      <c r="AB117" t="s">
        <v>1993</v>
      </c>
      <c r="AC117" t="s">
        <v>236</v>
      </c>
      <c r="AL117" t="s">
        <v>217</v>
      </c>
      <c r="AM117" t="s">
        <v>1994</v>
      </c>
      <c r="AN117" t="s">
        <v>6</v>
      </c>
      <c r="AO117" s="57">
        <v>46062.475937499999</v>
      </c>
      <c r="AP117" s="57">
        <v>46268.541666666664</v>
      </c>
      <c r="AR117" t="s">
        <v>218</v>
      </c>
      <c r="AS117" t="s">
        <v>219</v>
      </c>
      <c r="AT117" t="s">
        <v>220</v>
      </c>
      <c r="AU117">
        <v>20260902</v>
      </c>
      <c r="AV117" t="s">
        <v>221</v>
      </c>
      <c r="AW117" t="s">
        <v>1995</v>
      </c>
      <c r="AX117" t="s">
        <v>222</v>
      </c>
      <c r="BA117" s="57">
        <v>46268.541666666664</v>
      </c>
      <c r="BB117" t="s">
        <v>1994</v>
      </c>
      <c r="BC117">
        <v>2026</v>
      </c>
      <c r="BD117">
        <v>9</v>
      </c>
      <c r="BE117">
        <v>2</v>
      </c>
      <c r="BF117" s="6">
        <f t="shared" si="3"/>
        <v>46267</v>
      </c>
      <c r="BG117">
        <f t="shared" si="4"/>
        <v>-1.5416666666642413</v>
      </c>
      <c r="BH117" t="str">
        <f t="shared" si="5"/>
        <v>COMPLY</v>
      </c>
      <c r="BI117" t="str">
        <f>VLOOKUP(H117,Sheet2!$A$1:$B$270,2,FALSE)</f>
        <v>SUMBAWA</v>
      </c>
    </row>
    <row r="118" spans="1:61">
      <c r="A118">
        <v>117</v>
      </c>
      <c r="B118">
        <v>1002567272</v>
      </c>
      <c r="C118">
        <v>3</v>
      </c>
      <c r="D118" t="s">
        <v>42</v>
      </c>
      <c r="E118">
        <v>5</v>
      </c>
      <c r="F118" t="s">
        <v>102</v>
      </c>
      <c r="G118" t="s">
        <v>108</v>
      </c>
      <c r="H118" t="s">
        <v>383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46267.473587962966</v>
      </c>
      <c r="P118" s="57">
        <v>46267.659363425926</v>
      </c>
      <c r="Q118">
        <v>69378939</v>
      </c>
      <c r="S118">
        <v>152506219280</v>
      </c>
      <c r="T118" t="s">
        <v>1996</v>
      </c>
      <c r="U118" t="s">
        <v>1997</v>
      </c>
      <c r="V118" t="s">
        <v>1998</v>
      </c>
      <c r="Z118">
        <v>113.9500961</v>
      </c>
      <c r="AA118">
        <v>-7.7049265</v>
      </c>
      <c r="AB118" t="s">
        <v>1999</v>
      </c>
      <c r="AC118" t="s">
        <v>229</v>
      </c>
      <c r="AL118" t="s">
        <v>217</v>
      </c>
      <c r="AM118" t="s">
        <v>2000</v>
      </c>
      <c r="AN118" t="s">
        <v>6</v>
      </c>
      <c r="AO118" s="57">
        <v>46062.475937499999</v>
      </c>
      <c r="AR118" t="s">
        <v>218</v>
      </c>
      <c r="AS118" t="s">
        <v>108</v>
      </c>
      <c r="AT118" t="s">
        <v>230</v>
      </c>
      <c r="AU118">
        <v>20260902</v>
      </c>
      <c r="AV118" t="s">
        <v>221</v>
      </c>
      <c r="AW118" t="s">
        <v>567</v>
      </c>
      <c r="AX118" t="s">
        <v>222</v>
      </c>
      <c r="BA118" s="57">
        <v>46267.291666666664</v>
      </c>
      <c r="BB118" t="s">
        <v>2000</v>
      </c>
      <c r="BC118">
        <v>2026</v>
      </c>
      <c r="BD118">
        <v>9</v>
      </c>
      <c r="BE118">
        <v>2</v>
      </c>
      <c r="BF118" s="6">
        <f t="shared" si="3"/>
        <v>46267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BANYUWANGI</v>
      </c>
    </row>
    <row r="119" spans="1:61">
      <c r="A119">
        <v>118</v>
      </c>
      <c r="B119">
        <v>1002567574</v>
      </c>
      <c r="C119">
        <v>3</v>
      </c>
      <c r="D119" t="s">
        <v>59</v>
      </c>
      <c r="E119">
        <v>4</v>
      </c>
      <c r="F119" t="s">
        <v>242</v>
      </c>
      <c r="G119" t="s">
        <v>1552</v>
      </c>
      <c r="H119" t="s">
        <v>1553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46267.554131944446</v>
      </c>
      <c r="P119" s="57">
        <v>46267.756458333337</v>
      </c>
      <c r="Q119">
        <v>69382313</v>
      </c>
      <c r="S119">
        <v>141373127586</v>
      </c>
      <c r="T119" t="s">
        <v>2001</v>
      </c>
      <c r="U119" t="s">
        <v>2002</v>
      </c>
      <c r="V119" t="s">
        <v>2003</v>
      </c>
      <c r="Z119">
        <v>109.94586099999999</v>
      </c>
      <c r="AA119">
        <v>-7.3257209999999997</v>
      </c>
      <c r="AB119" t="s">
        <v>2004</v>
      </c>
      <c r="AC119" t="s">
        <v>236</v>
      </c>
      <c r="AL119" t="s">
        <v>217</v>
      </c>
      <c r="AM119" t="s">
        <v>1994</v>
      </c>
      <c r="AN119" t="s">
        <v>6</v>
      </c>
      <c r="AO119" s="57">
        <v>46062.559687499997</v>
      </c>
      <c r="AP119" s="57">
        <v>46268.541666666664</v>
      </c>
      <c r="AR119" t="s">
        <v>218</v>
      </c>
      <c r="AS119" t="s">
        <v>219</v>
      </c>
      <c r="AT119" t="s">
        <v>230</v>
      </c>
      <c r="AU119">
        <v>20260902</v>
      </c>
      <c r="AV119" t="s">
        <v>221</v>
      </c>
      <c r="AW119" t="s">
        <v>887</v>
      </c>
      <c r="AX119" t="s">
        <v>222</v>
      </c>
      <c r="BA119" s="57">
        <v>46268.541666666664</v>
      </c>
      <c r="BB119" t="s">
        <v>1994</v>
      </c>
      <c r="BC119">
        <v>2026</v>
      </c>
      <c r="BD119">
        <v>9</v>
      </c>
      <c r="BE119">
        <v>2</v>
      </c>
      <c r="BF119" s="6">
        <f t="shared" si="3"/>
        <v>46267</v>
      </c>
      <c r="BG119">
        <f t="shared" si="4"/>
        <v>-1.5416666666642413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1002568118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46267.648148148146</v>
      </c>
      <c r="P120" s="57">
        <v>46267.741412037038</v>
      </c>
      <c r="Q120">
        <v>69377665</v>
      </c>
      <c r="S120">
        <v>172604214274</v>
      </c>
      <c r="T120" t="s">
        <v>2005</v>
      </c>
      <c r="U120" t="s">
        <v>2006</v>
      </c>
      <c r="V120" t="s">
        <v>2007</v>
      </c>
      <c r="Z120">
        <v>116.07989259999999</v>
      </c>
      <c r="AA120">
        <v>-8.3576961999999995</v>
      </c>
      <c r="AB120" t="s">
        <v>2008</v>
      </c>
      <c r="AC120" t="s">
        <v>216</v>
      </c>
      <c r="AL120" t="s">
        <v>217</v>
      </c>
      <c r="AM120" t="s">
        <v>2009</v>
      </c>
      <c r="AN120" t="s">
        <v>6</v>
      </c>
      <c r="AO120" s="57">
        <v>46062.652743055558</v>
      </c>
      <c r="AR120" t="s">
        <v>218</v>
      </c>
      <c r="AS120" t="s">
        <v>912</v>
      </c>
      <c r="AT120" t="s">
        <v>230</v>
      </c>
      <c r="AU120">
        <v>20260902</v>
      </c>
      <c r="AV120" t="s">
        <v>221</v>
      </c>
      <c r="AW120" t="s">
        <v>544</v>
      </c>
      <c r="AX120" t="s">
        <v>222</v>
      </c>
      <c r="BA120" s="57">
        <v>46267.291666666664</v>
      </c>
      <c r="BB120" t="s">
        <v>2009</v>
      </c>
      <c r="BC120">
        <v>2026</v>
      </c>
      <c r="BD120">
        <v>9</v>
      </c>
      <c r="BE120">
        <v>2</v>
      </c>
      <c r="BF120" s="6">
        <f t="shared" si="3"/>
        <v>46267</v>
      </c>
      <c r="BG120">
        <f t="shared" si="4"/>
        <v>-0.29166666666424135</v>
      </c>
      <c r="BH120" t="str">
        <f t="shared" si="5"/>
        <v>COMPLY</v>
      </c>
      <c r="BI120" t="str">
        <f>VLOOKUP(H120,Sheet2!$A$1:$B$270,2,FALSE)</f>
        <v>SELONG</v>
      </c>
    </row>
    <row r="121" spans="1:61">
      <c r="A121">
        <v>120</v>
      </c>
      <c r="B121">
        <v>1002567608</v>
      </c>
      <c r="C121">
        <v>3</v>
      </c>
      <c r="D121" t="s">
        <v>34</v>
      </c>
      <c r="E121">
        <v>5</v>
      </c>
      <c r="F121" t="s">
        <v>563</v>
      </c>
      <c r="G121" t="s">
        <v>86</v>
      </c>
      <c r="H121" t="s">
        <v>416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46267.561689814815</v>
      </c>
      <c r="P121" s="57">
        <v>46267.922384259262</v>
      </c>
      <c r="Q121">
        <v>69380500</v>
      </c>
      <c r="S121">
        <v>172419207265</v>
      </c>
      <c r="T121" t="s">
        <v>2010</v>
      </c>
      <c r="U121" t="s">
        <v>2011</v>
      </c>
      <c r="V121" t="s">
        <v>2012</v>
      </c>
      <c r="Z121">
        <v>115.1969208</v>
      </c>
      <c r="AA121">
        <v>-8.6612825000000004</v>
      </c>
      <c r="AB121" t="s">
        <v>2013</v>
      </c>
      <c r="AC121" t="s">
        <v>216</v>
      </c>
      <c r="AL121" t="s">
        <v>217</v>
      </c>
      <c r="AM121" t="s">
        <v>2014</v>
      </c>
      <c r="AN121" t="s">
        <v>6</v>
      </c>
      <c r="AO121" s="57">
        <v>46062.569467592592</v>
      </c>
      <c r="AR121" t="s">
        <v>218</v>
      </c>
      <c r="AS121" t="s">
        <v>817</v>
      </c>
      <c r="AT121" t="s">
        <v>230</v>
      </c>
      <c r="AU121">
        <v>20260902</v>
      </c>
      <c r="AV121" t="s">
        <v>221</v>
      </c>
      <c r="AW121" t="s">
        <v>560</v>
      </c>
      <c r="AX121" t="s">
        <v>222</v>
      </c>
      <c r="BA121" s="57">
        <v>46267.291666666664</v>
      </c>
      <c r="BB121" t="s">
        <v>2014</v>
      </c>
      <c r="BC121">
        <v>2026</v>
      </c>
      <c r="BD121">
        <v>9</v>
      </c>
      <c r="BE121">
        <v>2</v>
      </c>
      <c r="BF121" s="6">
        <f t="shared" si="3"/>
        <v>46267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UBUNG</v>
      </c>
    </row>
    <row r="122" spans="1:61">
      <c r="A122">
        <v>121</v>
      </c>
      <c r="B122">
        <v>1002567630</v>
      </c>
      <c r="C122">
        <v>3</v>
      </c>
      <c r="D122" t="s">
        <v>34</v>
      </c>
      <c r="E122">
        <v>5</v>
      </c>
      <c r="F122" t="s">
        <v>563</v>
      </c>
      <c r="G122" t="s">
        <v>86</v>
      </c>
      <c r="H122" t="s">
        <v>416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46267.565324074072</v>
      </c>
      <c r="P122" s="57">
        <v>46267.769444444442</v>
      </c>
      <c r="Q122">
        <v>69380532</v>
      </c>
      <c r="S122">
        <v>172419207267</v>
      </c>
      <c r="T122" t="s">
        <v>2010</v>
      </c>
      <c r="U122" t="s">
        <v>2011</v>
      </c>
      <c r="V122" t="s">
        <v>2015</v>
      </c>
      <c r="Z122">
        <v>115.19668001189601</v>
      </c>
      <c r="AA122">
        <v>-8.6602000167716398</v>
      </c>
      <c r="AB122" t="s">
        <v>2016</v>
      </c>
      <c r="AC122" t="s">
        <v>216</v>
      </c>
      <c r="AL122" t="s">
        <v>217</v>
      </c>
      <c r="AM122" t="s">
        <v>2017</v>
      </c>
      <c r="AN122" t="s">
        <v>6</v>
      </c>
      <c r="AO122" s="57">
        <v>46062.569467592592</v>
      </c>
      <c r="AR122" t="s">
        <v>218</v>
      </c>
      <c r="AS122" t="s">
        <v>817</v>
      </c>
      <c r="AT122" t="s">
        <v>230</v>
      </c>
      <c r="AU122">
        <v>20260902</v>
      </c>
      <c r="AV122" t="s">
        <v>221</v>
      </c>
      <c r="AW122" t="s">
        <v>545</v>
      </c>
      <c r="AX122" t="s">
        <v>222</v>
      </c>
      <c r="BA122" s="57">
        <v>46267.291666666664</v>
      </c>
      <c r="BB122" t="s">
        <v>2017</v>
      </c>
      <c r="BC122">
        <v>2026</v>
      </c>
      <c r="BD122">
        <v>9</v>
      </c>
      <c r="BE122">
        <v>2</v>
      </c>
      <c r="BF122" s="6">
        <f t="shared" si="3"/>
        <v>46267</v>
      </c>
      <c r="BG122">
        <f t="shared" si="4"/>
        <v>-0.29166666666424135</v>
      </c>
      <c r="BH122" t="str">
        <f t="shared" si="5"/>
        <v>COMPLY</v>
      </c>
      <c r="BI122" t="str">
        <f>VLOOKUP(H122,Sheet2!$A$1:$B$270,2,FALSE)</f>
        <v>UBUNG</v>
      </c>
    </row>
    <row r="123" spans="1:61">
      <c r="A123">
        <v>122</v>
      </c>
      <c r="B123">
        <v>1002567620</v>
      </c>
      <c r="C123">
        <v>3</v>
      </c>
      <c r="D123" t="s">
        <v>34</v>
      </c>
      <c r="E123">
        <v>5</v>
      </c>
      <c r="F123" t="s">
        <v>563</v>
      </c>
      <c r="G123" t="s">
        <v>86</v>
      </c>
      <c r="H123" t="s">
        <v>416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46267.563634259262</v>
      </c>
      <c r="P123" s="57">
        <v>46267.772835648146</v>
      </c>
      <c r="Q123">
        <v>69380495</v>
      </c>
      <c r="S123">
        <v>172419207266</v>
      </c>
      <c r="T123" t="s">
        <v>2010</v>
      </c>
      <c r="U123" t="s">
        <v>2011</v>
      </c>
      <c r="V123" t="s">
        <v>2018</v>
      </c>
      <c r="Z123">
        <v>115.1969208</v>
      </c>
      <c r="AA123">
        <v>-8.6612825000000004</v>
      </c>
      <c r="AB123" t="s">
        <v>2019</v>
      </c>
      <c r="AC123" t="s">
        <v>216</v>
      </c>
      <c r="AL123" t="s">
        <v>217</v>
      </c>
      <c r="AM123" t="s">
        <v>2020</v>
      </c>
      <c r="AN123" t="s">
        <v>6</v>
      </c>
      <c r="AO123" s="57">
        <v>46062.569467592592</v>
      </c>
      <c r="AR123" t="s">
        <v>218</v>
      </c>
      <c r="AS123" t="s">
        <v>817</v>
      </c>
      <c r="AT123" t="s">
        <v>230</v>
      </c>
      <c r="AU123">
        <v>20260902</v>
      </c>
      <c r="AV123" t="s">
        <v>221</v>
      </c>
      <c r="AW123" t="s">
        <v>545</v>
      </c>
      <c r="AX123" t="s">
        <v>222</v>
      </c>
      <c r="BA123" s="57">
        <v>46267.291666666664</v>
      </c>
      <c r="BB123" t="s">
        <v>2020</v>
      </c>
      <c r="BC123">
        <v>2026</v>
      </c>
      <c r="BD123">
        <v>9</v>
      </c>
      <c r="BE123">
        <v>2</v>
      </c>
      <c r="BF123" s="6">
        <f t="shared" si="3"/>
        <v>46267</v>
      </c>
      <c r="BG123">
        <f t="shared" si="4"/>
        <v>-0.29166666666424135</v>
      </c>
      <c r="BH123" t="str">
        <f t="shared" si="5"/>
        <v>COMPLY</v>
      </c>
      <c r="BI123" t="str">
        <f>VLOOKUP(H123,Sheet2!$A$1:$B$270,2,FALSE)</f>
        <v>UBUNG</v>
      </c>
    </row>
    <row r="124" spans="1:61">
      <c r="A124">
        <v>123</v>
      </c>
      <c r="B124">
        <v>1002567446</v>
      </c>
      <c r="C124">
        <v>3</v>
      </c>
      <c r="D124" t="s">
        <v>59</v>
      </c>
      <c r="E124">
        <v>4</v>
      </c>
      <c r="F124" t="s">
        <v>549</v>
      </c>
      <c r="G124" t="s">
        <v>1709</v>
      </c>
      <c r="H124" t="s">
        <v>2021</v>
      </c>
      <c r="I124" t="s">
        <v>212</v>
      </c>
      <c r="J124" t="s">
        <v>213</v>
      </c>
      <c r="K124" t="s">
        <v>149</v>
      </c>
      <c r="L124" t="s">
        <v>214</v>
      </c>
      <c r="M124" t="s">
        <v>76</v>
      </c>
      <c r="N124" t="s">
        <v>215</v>
      </c>
      <c r="O124" s="57">
        <v>46267.511064814818</v>
      </c>
      <c r="P124" s="57">
        <v>46267.647812499999</v>
      </c>
      <c r="Q124">
        <v>69382265</v>
      </c>
      <c r="S124">
        <v>146144118456</v>
      </c>
      <c r="T124" t="s">
        <v>2022</v>
      </c>
      <c r="U124" t="s">
        <v>2023</v>
      </c>
      <c r="V124" t="s">
        <v>2024</v>
      </c>
      <c r="Z124">
        <v>110.4043398</v>
      </c>
      <c r="AA124">
        <v>-7.6857075999999998</v>
      </c>
      <c r="AB124" t="s">
        <v>2025</v>
      </c>
      <c r="AC124" t="s">
        <v>236</v>
      </c>
      <c r="AL124" t="s">
        <v>217</v>
      </c>
      <c r="AM124" t="s">
        <v>2026</v>
      </c>
      <c r="AN124" t="s">
        <v>6</v>
      </c>
      <c r="AO124" s="57">
        <v>46062.517766203702</v>
      </c>
      <c r="AP124" s="57">
        <v>46268.541666666664</v>
      </c>
      <c r="AR124" t="s">
        <v>218</v>
      </c>
      <c r="AS124" t="s">
        <v>219</v>
      </c>
      <c r="AT124" t="s">
        <v>230</v>
      </c>
      <c r="AU124">
        <v>20260902</v>
      </c>
      <c r="AV124" t="s">
        <v>221</v>
      </c>
      <c r="AW124" t="s">
        <v>885</v>
      </c>
      <c r="AX124" t="s">
        <v>222</v>
      </c>
      <c r="BA124" s="57">
        <v>46268.541666666664</v>
      </c>
      <c r="BB124" t="s">
        <v>2026</v>
      </c>
      <c r="BC124">
        <v>2026</v>
      </c>
      <c r="BD124">
        <v>9</v>
      </c>
      <c r="BE124">
        <v>2</v>
      </c>
      <c r="BF124" s="6">
        <f t="shared" si="3"/>
        <v>46267</v>
      </c>
      <c r="BG124">
        <f t="shared" si="4"/>
        <v>-1.5416666666642413</v>
      </c>
      <c r="BH124" t="str">
        <f t="shared" si="5"/>
        <v>COMPLY</v>
      </c>
      <c r="BI124" t="e">
        <f>VLOOKUP(H124,Sheet2!$A$1:$B$270,2,FALSE)</f>
        <v>#N/A</v>
      </c>
    </row>
    <row r="125" spans="1:61">
      <c r="A125">
        <v>124</v>
      </c>
      <c r="B125">
        <v>1002567231</v>
      </c>
      <c r="C125">
        <v>3</v>
      </c>
      <c r="D125" t="s">
        <v>42</v>
      </c>
      <c r="E125">
        <v>5</v>
      </c>
      <c r="F125" t="s">
        <v>102</v>
      </c>
      <c r="G125" t="s">
        <v>99</v>
      </c>
      <c r="H125" t="s">
        <v>406</v>
      </c>
      <c r="I125" t="s">
        <v>212</v>
      </c>
      <c r="J125" t="s">
        <v>213</v>
      </c>
      <c r="K125" t="s">
        <v>149</v>
      </c>
      <c r="L125" t="s">
        <v>214</v>
      </c>
      <c r="M125" t="s">
        <v>76</v>
      </c>
      <c r="N125" t="s">
        <v>215</v>
      </c>
      <c r="O125" s="57">
        <v>46267.464537037034</v>
      </c>
      <c r="P125" s="57">
        <v>46267.61173611111</v>
      </c>
      <c r="Q125">
        <v>69382174</v>
      </c>
      <c r="S125">
        <v>152522205703</v>
      </c>
      <c r="T125" t="s">
        <v>2027</v>
      </c>
      <c r="U125" t="s">
        <v>2028</v>
      </c>
      <c r="V125" t="s">
        <v>2029</v>
      </c>
      <c r="Z125">
        <v>114.336446</v>
      </c>
      <c r="AA125">
        <v>-8.4279601999999993</v>
      </c>
      <c r="AB125" t="s">
        <v>2030</v>
      </c>
      <c r="AC125" t="s">
        <v>236</v>
      </c>
      <c r="AL125" t="s">
        <v>217</v>
      </c>
      <c r="AM125" t="s">
        <v>1932</v>
      </c>
      <c r="AN125" t="s">
        <v>6</v>
      </c>
      <c r="AO125" s="57">
        <v>46062.465277777781</v>
      </c>
      <c r="AP125" s="57">
        <v>46268.333333333336</v>
      </c>
      <c r="AR125" t="s">
        <v>218</v>
      </c>
      <c r="AS125" t="s">
        <v>99</v>
      </c>
      <c r="AT125" t="s">
        <v>230</v>
      </c>
      <c r="AU125">
        <v>20260902</v>
      </c>
      <c r="AV125" t="s">
        <v>221</v>
      </c>
      <c r="AW125" t="s">
        <v>2031</v>
      </c>
      <c r="AX125" t="s">
        <v>222</v>
      </c>
      <c r="BA125" s="57">
        <v>46268.333333333336</v>
      </c>
      <c r="BB125" t="s">
        <v>1932</v>
      </c>
      <c r="BC125">
        <v>2026</v>
      </c>
      <c r="BD125">
        <v>9</v>
      </c>
      <c r="BE125">
        <v>2</v>
      </c>
      <c r="BF125" s="6">
        <f t="shared" si="3"/>
        <v>46267</v>
      </c>
      <c r="BG125">
        <f t="shared" si="4"/>
        <v>-1.3333333333357587</v>
      </c>
      <c r="BH125" t="str">
        <f t="shared" si="5"/>
        <v>COMPLY</v>
      </c>
      <c r="BI125" t="str">
        <f>VLOOKUP(H125,Sheet2!$A$1:$B$270,2,FALSE)</f>
        <v>BANYUWANGI</v>
      </c>
    </row>
    <row r="126" spans="1:61">
      <c r="A126">
        <v>125</v>
      </c>
      <c r="B126">
        <v>1002567226</v>
      </c>
      <c r="C126">
        <v>3</v>
      </c>
      <c r="D126" t="s">
        <v>59</v>
      </c>
      <c r="E126">
        <v>4</v>
      </c>
      <c r="F126" t="s">
        <v>242</v>
      </c>
      <c r="G126" t="s">
        <v>1552</v>
      </c>
      <c r="H126" t="s">
        <v>1553</v>
      </c>
      <c r="I126" t="s">
        <v>212</v>
      </c>
      <c r="J126" t="s">
        <v>213</v>
      </c>
      <c r="K126" t="s">
        <v>149</v>
      </c>
      <c r="L126" t="s">
        <v>214</v>
      </c>
      <c r="M126" t="s">
        <v>76</v>
      </c>
      <c r="N126" t="s">
        <v>215</v>
      </c>
      <c r="O126" s="57">
        <v>46267.463148148148</v>
      </c>
      <c r="P126" s="57">
        <v>46268.400787037041</v>
      </c>
      <c r="Q126">
        <v>69382155</v>
      </c>
      <c r="S126">
        <v>141373127582</v>
      </c>
      <c r="T126" t="s">
        <v>2032</v>
      </c>
      <c r="U126" t="s">
        <v>2033</v>
      </c>
      <c r="V126" t="s">
        <v>2034</v>
      </c>
      <c r="Z126">
        <v>109.938009729745</v>
      </c>
      <c r="AA126">
        <v>-7.2331036469159002</v>
      </c>
      <c r="AB126" t="s">
        <v>2035</v>
      </c>
      <c r="AC126" t="s">
        <v>236</v>
      </c>
      <c r="AL126" t="s">
        <v>217</v>
      </c>
      <c r="AM126" t="s">
        <v>2036</v>
      </c>
      <c r="AN126" t="s">
        <v>6</v>
      </c>
      <c r="AO126" s="57">
        <v>46062.465277777781</v>
      </c>
      <c r="AP126" s="57">
        <v>46268.333333333336</v>
      </c>
      <c r="AR126" t="s">
        <v>218</v>
      </c>
      <c r="AS126" t="s">
        <v>219</v>
      </c>
      <c r="AT126" t="s">
        <v>230</v>
      </c>
      <c r="AU126">
        <v>20260903</v>
      </c>
      <c r="AV126" t="s">
        <v>221</v>
      </c>
      <c r="AW126" t="s">
        <v>887</v>
      </c>
      <c r="AX126" t="s">
        <v>222</v>
      </c>
      <c r="BA126" s="57">
        <v>46268.333333333336</v>
      </c>
      <c r="BB126" t="s">
        <v>2036</v>
      </c>
      <c r="BC126">
        <v>2026</v>
      </c>
      <c r="BD126">
        <v>9</v>
      </c>
      <c r="BE126">
        <v>3</v>
      </c>
      <c r="BF126" s="6">
        <f t="shared" si="3"/>
        <v>46268</v>
      </c>
      <c r="BG126">
        <f t="shared" si="4"/>
        <v>-0.33333333333575865</v>
      </c>
      <c r="BH126" t="str">
        <f t="shared" si="5"/>
        <v>COMPLY</v>
      </c>
      <c r="BI126" t="e">
        <f>VLOOKUP(H126,Sheet2!$A$1:$B$270,2,FALSE)</f>
        <v>#N/A</v>
      </c>
    </row>
    <row r="127" spans="1:61">
      <c r="A127">
        <v>126</v>
      </c>
      <c r="B127">
        <v>1002567225</v>
      </c>
      <c r="C127">
        <v>3</v>
      </c>
      <c r="D127" t="s">
        <v>38</v>
      </c>
      <c r="E127">
        <v>5</v>
      </c>
      <c r="F127" t="s">
        <v>90</v>
      </c>
      <c r="G127" t="s">
        <v>90</v>
      </c>
      <c r="H127" t="s">
        <v>346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46267.463148148148</v>
      </c>
      <c r="P127" s="57">
        <v>46267.528495370374</v>
      </c>
      <c r="Q127">
        <v>69382156</v>
      </c>
      <c r="S127">
        <v>152639219544</v>
      </c>
      <c r="T127" t="s">
        <v>2037</v>
      </c>
      <c r="U127" t="s">
        <v>2038</v>
      </c>
      <c r="V127" t="s">
        <v>2039</v>
      </c>
      <c r="Z127">
        <v>112.182354536719</v>
      </c>
      <c r="AA127">
        <v>-7.7745718265972004</v>
      </c>
      <c r="AB127" t="s">
        <v>2040</v>
      </c>
      <c r="AC127" t="s">
        <v>216</v>
      </c>
      <c r="AL127" t="s">
        <v>217</v>
      </c>
      <c r="AM127" t="s">
        <v>1071</v>
      </c>
      <c r="AN127" t="s">
        <v>6</v>
      </c>
      <c r="AO127" s="57">
        <v>46062.465277777781</v>
      </c>
      <c r="AP127" s="57">
        <v>46269.333333333336</v>
      </c>
      <c r="AR127" t="s">
        <v>218</v>
      </c>
      <c r="AS127" t="s">
        <v>304</v>
      </c>
      <c r="AT127" t="s">
        <v>230</v>
      </c>
      <c r="AU127">
        <v>20260902</v>
      </c>
      <c r="AV127" t="s">
        <v>221</v>
      </c>
      <c r="AW127" t="s">
        <v>886</v>
      </c>
      <c r="AX127" t="s">
        <v>222</v>
      </c>
      <c r="BA127" s="57">
        <v>46269.333333333336</v>
      </c>
      <c r="BB127" t="s">
        <v>1071</v>
      </c>
      <c r="BC127">
        <v>2026</v>
      </c>
      <c r="BD127">
        <v>9</v>
      </c>
      <c r="BE127">
        <v>2</v>
      </c>
      <c r="BF127" s="6">
        <f t="shared" si="3"/>
        <v>46267</v>
      </c>
      <c r="BG127">
        <f t="shared" si="4"/>
        <v>-2.3333333333357587</v>
      </c>
      <c r="BH127" t="str">
        <f t="shared" si="5"/>
        <v>COMPLY</v>
      </c>
      <c r="BI127" t="str">
        <f>VLOOKUP(H127,Sheet2!$A$1:$B$270,2,FALSE)</f>
        <v>KEDIRI</v>
      </c>
    </row>
    <row r="128" spans="1:61">
      <c r="A128">
        <v>127</v>
      </c>
      <c r="B128">
        <v>1002567199</v>
      </c>
      <c r="C128">
        <v>3</v>
      </c>
      <c r="D128" t="s">
        <v>49</v>
      </c>
      <c r="E128">
        <v>4</v>
      </c>
      <c r="F128" t="s">
        <v>245</v>
      </c>
      <c r="G128" t="s">
        <v>246</v>
      </c>
      <c r="H128" t="s">
        <v>832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46267.458298611113</v>
      </c>
      <c r="P128" s="57">
        <v>46267.804340277777</v>
      </c>
      <c r="Q128">
        <v>69382152</v>
      </c>
      <c r="S128">
        <v>142406122489</v>
      </c>
      <c r="T128" t="s">
        <v>2041</v>
      </c>
      <c r="U128" t="s">
        <v>2042</v>
      </c>
      <c r="V128" t="s">
        <v>2043</v>
      </c>
      <c r="Z128">
        <v>110.407045483589</v>
      </c>
      <c r="AA128">
        <v>-6.9801912258590004</v>
      </c>
      <c r="AB128" t="s">
        <v>2044</v>
      </c>
      <c r="AC128" t="s">
        <v>216</v>
      </c>
      <c r="AL128" t="s">
        <v>217</v>
      </c>
      <c r="AM128" t="s">
        <v>2045</v>
      </c>
      <c r="AN128" t="s">
        <v>6</v>
      </c>
      <c r="AO128" s="57">
        <v>46062.465277777781</v>
      </c>
      <c r="AP128" s="57">
        <v>46268.333333333336</v>
      </c>
      <c r="AR128" t="s">
        <v>218</v>
      </c>
      <c r="AS128" t="s">
        <v>900</v>
      </c>
      <c r="AT128" t="s">
        <v>230</v>
      </c>
      <c r="AU128">
        <v>20260902</v>
      </c>
      <c r="AV128" t="s">
        <v>221</v>
      </c>
      <c r="AW128" t="s">
        <v>882</v>
      </c>
      <c r="AX128" t="s">
        <v>222</v>
      </c>
      <c r="BA128" s="57">
        <v>46268.333333333336</v>
      </c>
      <c r="BB128" t="s">
        <v>2045</v>
      </c>
      <c r="BC128">
        <v>2026</v>
      </c>
      <c r="BD128">
        <v>9</v>
      </c>
      <c r="BE128">
        <v>2</v>
      </c>
      <c r="BF128" s="6">
        <f t="shared" si="3"/>
        <v>46267</v>
      </c>
      <c r="BG128">
        <f t="shared" si="4"/>
        <v>-1.3333333333357587</v>
      </c>
      <c r="BH128" t="str">
        <f t="shared" si="5"/>
        <v>COMPLY</v>
      </c>
      <c r="BI128" t="e">
        <f>VLOOKUP(H128,Sheet2!$A$1:$B$270,2,FALSE)</f>
        <v>#N/A</v>
      </c>
    </row>
    <row r="129" spans="1:61">
      <c r="A129">
        <v>128</v>
      </c>
      <c r="B129">
        <v>1002568293</v>
      </c>
      <c r="C129">
        <v>3</v>
      </c>
      <c r="D129" t="s">
        <v>49</v>
      </c>
      <c r="E129">
        <v>4</v>
      </c>
      <c r="F129" t="s">
        <v>245</v>
      </c>
      <c r="G129" t="s">
        <v>246</v>
      </c>
      <c r="H129" t="s">
        <v>2046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46267.674537037034</v>
      </c>
      <c r="P129" s="57">
        <v>46267.769328703704</v>
      </c>
      <c r="Q129">
        <v>69379674</v>
      </c>
      <c r="S129">
        <v>141420160156</v>
      </c>
      <c r="T129" t="s">
        <v>2047</v>
      </c>
      <c r="U129" t="s">
        <v>2048</v>
      </c>
      <c r="V129" t="s">
        <v>2049</v>
      </c>
      <c r="Z129">
        <v>110.344567</v>
      </c>
      <c r="AA129">
        <v>-7.0111840000000001</v>
      </c>
      <c r="AB129" t="s">
        <v>2050</v>
      </c>
      <c r="AC129" t="s">
        <v>216</v>
      </c>
      <c r="AL129" t="s">
        <v>217</v>
      </c>
      <c r="AM129" t="s">
        <v>2051</v>
      </c>
      <c r="AN129" t="s">
        <v>6</v>
      </c>
      <c r="AO129" s="57">
        <v>46062.684166666666</v>
      </c>
      <c r="AR129" t="s">
        <v>218</v>
      </c>
      <c r="AS129" t="s">
        <v>1979</v>
      </c>
      <c r="AT129" t="s">
        <v>230</v>
      </c>
      <c r="AU129">
        <v>20260902</v>
      </c>
      <c r="AV129" t="s">
        <v>221</v>
      </c>
      <c r="AW129" t="s">
        <v>546</v>
      </c>
      <c r="AX129" t="s">
        <v>222</v>
      </c>
      <c r="BA129" s="57">
        <v>46267.291666666664</v>
      </c>
      <c r="BB129" t="s">
        <v>2051</v>
      </c>
      <c r="BC129">
        <v>2026</v>
      </c>
      <c r="BD129">
        <v>9</v>
      </c>
      <c r="BE129">
        <v>2</v>
      </c>
      <c r="BF129" s="6">
        <f t="shared" si="3"/>
        <v>46267</v>
      </c>
      <c r="BG129">
        <f t="shared" si="4"/>
        <v>-0.29166666666424135</v>
      </c>
      <c r="BH129" t="str">
        <f t="shared" si="5"/>
        <v>COMPLY</v>
      </c>
      <c r="BI129" t="e">
        <f>VLOOKUP(H129,Sheet2!$A$1:$B$270,2,FALSE)</f>
        <v>#N/A</v>
      </c>
    </row>
    <row r="130" spans="1:61">
      <c r="A130">
        <v>129</v>
      </c>
      <c r="B130">
        <v>1002566882</v>
      </c>
      <c r="C130">
        <v>3</v>
      </c>
      <c r="D130" t="s">
        <v>38</v>
      </c>
      <c r="E130">
        <v>5</v>
      </c>
      <c r="F130" t="s">
        <v>90</v>
      </c>
      <c r="G130" t="s">
        <v>93</v>
      </c>
      <c r="H130" t="s">
        <v>311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46267.402048611111</v>
      </c>
      <c r="P130" s="57">
        <v>46267.603159722225</v>
      </c>
      <c r="Q130">
        <v>69382040</v>
      </c>
      <c r="S130">
        <v>152641205424</v>
      </c>
      <c r="T130" t="s">
        <v>1933</v>
      </c>
      <c r="U130" t="s">
        <v>2052</v>
      </c>
      <c r="V130" t="s">
        <v>2053</v>
      </c>
      <c r="Z130">
        <v>112.048062868416</v>
      </c>
      <c r="AA130">
        <v>-7.67264991606298</v>
      </c>
      <c r="AB130" t="s">
        <v>2054</v>
      </c>
      <c r="AC130" t="s">
        <v>216</v>
      </c>
      <c r="AL130" t="s">
        <v>217</v>
      </c>
      <c r="AM130" t="s">
        <v>1932</v>
      </c>
      <c r="AN130" t="s">
        <v>6</v>
      </c>
      <c r="AO130" s="57">
        <v>46062.402870370373</v>
      </c>
      <c r="AP130" s="57">
        <v>46268.333333333336</v>
      </c>
      <c r="AR130" t="s">
        <v>218</v>
      </c>
      <c r="AS130" t="s">
        <v>589</v>
      </c>
      <c r="AT130" t="s">
        <v>230</v>
      </c>
      <c r="AU130">
        <v>20260902</v>
      </c>
      <c r="AV130" t="s">
        <v>221</v>
      </c>
      <c r="AW130" t="s">
        <v>885</v>
      </c>
      <c r="AX130" t="s">
        <v>222</v>
      </c>
      <c r="BA130" s="57">
        <v>46268.333333333336</v>
      </c>
      <c r="BB130" t="s">
        <v>1932</v>
      </c>
      <c r="BC130">
        <v>2026</v>
      </c>
      <c r="BD130">
        <v>9</v>
      </c>
      <c r="BE130">
        <v>2</v>
      </c>
      <c r="BF130" s="6">
        <f t="shared" ref="BF130:BF193" si="6">DATE(BC130,BD130,BE130)</f>
        <v>46267</v>
      </c>
      <c r="BG130">
        <f t="shared" ref="BG130:BG193" si="7">BF130-BA130</f>
        <v>-1.3333333333357587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NGANJUK</v>
      </c>
    </row>
    <row r="131" spans="1:61">
      <c r="A131">
        <v>130</v>
      </c>
      <c r="B131">
        <v>1002566836</v>
      </c>
      <c r="C131">
        <v>3</v>
      </c>
      <c r="D131" t="s">
        <v>38</v>
      </c>
      <c r="E131">
        <v>5</v>
      </c>
      <c r="F131" t="s">
        <v>92</v>
      </c>
      <c r="G131" t="s">
        <v>94</v>
      </c>
      <c r="H131" t="s">
        <v>466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46267.394409722219</v>
      </c>
      <c r="P131" s="57">
        <v>46267.695208333331</v>
      </c>
      <c r="Q131">
        <v>69382019</v>
      </c>
      <c r="S131">
        <v>152634206976</v>
      </c>
      <c r="T131" t="s">
        <v>2055</v>
      </c>
      <c r="U131" t="s">
        <v>2056</v>
      </c>
      <c r="V131" t="s">
        <v>2057</v>
      </c>
      <c r="Z131">
        <v>111.29764</v>
      </c>
      <c r="AA131">
        <v>-7.4407670000000001</v>
      </c>
      <c r="AB131" t="s">
        <v>2058</v>
      </c>
      <c r="AC131" t="s">
        <v>236</v>
      </c>
      <c r="AL131" t="s">
        <v>217</v>
      </c>
      <c r="AM131" t="s">
        <v>2059</v>
      </c>
      <c r="AN131" t="s">
        <v>6</v>
      </c>
      <c r="AO131" s="57">
        <v>46062.402870370373</v>
      </c>
      <c r="AP131" s="57">
        <v>46266.434027777781</v>
      </c>
      <c r="AR131" t="s">
        <v>218</v>
      </c>
      <c r="AS131" t="s">
        <v>219</v>
      </c>
      <c r="AT131" t="s">
        <v>230</v>
      </c>
      <c r="AU131">
        <v>20260902</v>
      </c>
      <c r="AV131" t="s">
        <v>221</v>
      </c>
      <c r="AW131" t="s">
        <v>886</v>
      </c>
      <c r="AX131" t="s">
        <v>222</v>
      </c>
      <c r="BA131" s="57">
        <v>46266.434027777781</v>
      </c>
      <c r="BB131" t="s">
        <v>2059</v>
      </c>
      <c r="BC131">
        <v>2026</v>
      </c>
      <c r="BD131">
        <v>9</v>
      </c>
      <c r="BE131">
        <v>2</v>
      </c>
      <c r="BF131" s="6">
        <f t="shared" si="6"/>
        <v>46267</v>
      </c>
      <c r="BG131">
        <f t="shared" si="7"/>
        <v>0.56597222221898846</v>
      </c>
      <c r="BH131" t="str">
        <f t="shared" si="8"/>
        <v>COMPLY</v>
      </c>
      <c r="BI131" t="str">
        <f>VLOOKUP(H131,Sheet2!$A$1:$B$270,2,FALSE)</f>
        <v>MADIUN</v>
      </c>
    </row>
    <row r="132" spans="1:61">
      <c r="A132">
        <v>131</v>
      </c>
      <c r="B132">
        <v>1002566565</v>
      </c>
      <c r="C132">
        <v>3</v>
      </c>
      <c r="D132" t="s">
        <v>51</v>
      </c>
      <c r="E132">
        <v>4</v>
      </c>
      <c r="F132" t="s">
        <v>269</v>
      </c>
      <c r="G132" t="s">
        <v>1946</v>
      </c>
      <c r="H132" t="s">
        <v>1959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46267.310370370367</v>
      </c>
      <c r="P132" s="57">
        <v>46267.816770833335</v>
      </c>
      <c r="Q132">
        <v>69381905</v>
      </c>
      <c r="S132">
        <v>142552107736</v>
      </c>
      <c r="T132" t="s">
        <v>2060</v>
      </c>
      <c r="U132" t="s">
        <v>2061</v>
      </c>
      <c r="V132" t="s">
        <v>2062</v>
      </c>
      <c r="Z132">
        <v>111.60079039999999</v>
      </c>
      <c r="AA132">
        <v>-7.1406783999999996</v>
      </c>
      <c r="AB132" t="s">
        <v>2063</v>
      </c>
      <c r="AC132" t="s">
        <v>236</v>
      </c>
      <c r="AL132" t="s">
        <v>217</v>
      </c>
      <c r="AM132" t="s">
        <v>1895</v>
      </c>
      <c r="AN132" t="s">
        <v>6</v>
      </c>
      <c r="AO132" s="57">
        <v>46062.319363425922</v>
      </c>
      <c r="AP132" s="57">
        <v>46268.333333333336</v>
      </c>
      <c r="AR132" t="s">
        <v>218</v>
      </c>
      <c r="AS132" t="s">
        <v>1965</v>
      </c>
      <c r="AT132" t="s">
        <v>230</v>
      </c>
      <c r="AU132">
        <v>20260902</v>
      </c>
      <c r="AV132" t="s">
        <v>221</v>
      </c>
      <c r="AW132" t="s">
        <v>888</v>
      </c>
      <c r="AX132" t="s">
        <v>222</v>
      </c>
      <c r="BA132" s="57">
        <v>46268.333333333336</v>
      </c>
      <c r="BB132" t="s">
        <v>1895</v>
      </c>
      <c r="BC132">
        <v>2026</v>
      </c>
      <c r="BD132">
        <v>9</v>
      </c>
      <c r="BE132">
        <v>2</v>
      </c>
      <c r="BF132" s="6">
        <f t="shared" si="6"/>
        <v>46267</v>
      </c>
      <c r="BG132">
        <f t="shared" si="7"/>
        <v>-1.3333333333357587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1002567058</v>
      </c>
      <c r="C133">
        <v>3</v>
      </c>
      <c r="D133" t="s">
        <v>38</v>
      </c>
      <c r="E133">
        <v>5</v>
      </c>
      <c r="F133" t="s">
        <v>248</v>
      </c>
      <c r="G133" t="s">
        <v>91</v>
      </c>
      <c r="H133" t="s">
        <v>398</v>
      </c>
      <c r="I133" t="s">
        <v>212</v>
      </c>
      <c r="J133" t="s">
        <v>213</v>
      </c>
      <c r="K133" t="s">
        <v>149</v>
      </c>
      <c r="L133" t="s">
        <v>214</v>
      </c>
      <c r="M133" t="s">
        <v>76</v>
      </c>
      <c r="N133" t="s">
        <v>215</v>
      </c>
      <c r="O133" s="57">
        <v>46267.431203703702</v>
      </c>
      <c r="P133" s="57">
        <v>46267.680775462963</v>
      </c>
      <c r="Q133">
        <v>69382081</v>
      </c>
      <c r="S133">
        <v>152718219159</v>
      </c>
      <c r="T133" t="s">
        <v>2064</v>
      </c>
      <c r="U133" t="s">
        <v>2065</v>
      </c>
      <c r="V133" t="s">
        <v>2066</v>
      </c>
      <c r="Z133">
        <v>112.573355298767</v>
      </c>
      <c r="AA133">
        <v>-8.1244884430564408</v>
      </c>
      <c r="AB133" t="s">
        <v>2067</v>
      </c>
      <c r="AC133" t="s">
        <v>236</v>
      </c>
      <c r="AL133" t="s">
        <v>217</v>
      </c>
      <c r="AM133" t="s">
        <v>2068</v>
      </c>
      <c r="AN133" t="s">
        <v>6</v>
      </c>
      <c r="AO133" s="57">
        <v>46062.434062499997</v>
      </c>
      <c r="AP133" s="57">
        <v>46268.333333333336</v>
      </c>
      <c r="AR133" t="s">
        <v>218</v>
      </c>
      <c r="AS133" t="s">
        <v>91</v>
      </c>
      <c r="AT133" t="s">
        <v>230</v>
      </c>
      <c r="AU133">
        <v>20260902</v>
      </c>
      <c r="AV133" t="s">
        <v>221</v>
      </c>
      <c r="AW133" t="s">
        <v>890</v>
      </c>
      <c r="AX133" t="s">
        <v>222</v>
      </c>
      <c r="BA133" s="57">
        <v>46268.333333333336</v>
      </c>
      <c r="BB133" t="s">
        <v>2068</v>
      </c>
      <c r="BC133">
        <v>2026</v>
      </c>
      <c r="BD133">
        <v>9</v>
      </c>
      <c r="BE133">
        <v>2</v>
      </c>
      <c r="BF133" s="6">
        <f t="shared" si="6"/>
        <v>46267</v>
      </c>
      <c r="BG133">
        <f t="shared" si="7"/>
        <v>-1.3333333333357587</v>
      </c>
      <c r="BH133" t="str">
        <f t="shared" si="8"/>
        <v>COMPLY</v>
      </c>
      <c r="BI133" t="str">
        <f>VLOOKUP(H133,Sheet2!$A$1:$B$270,2,FALSE)</f>
        <v>MALANG</v>
      </c>
    </row>
    <row r="134" spans="1:61">
      <c r="A134">
        <v>133</v>
      </c>
      <c r="B134">
        <v>1002566710</v>
      </c>
      <c r="C134">
        <v>3</v>
      </c>
      <c r="D134" t="s">
        <v>38</v>
      </c>
      <c r="E134">
        <v>5</v>
      </c>
      <c r="F134" t="s">
        <v>90</v>
      </c>
      <c r="G134" t="s">
        <v>93</v>
      </c>
      <c r="H134" t="s">
        <v>296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46267.366620370369</v>
      </c>
      <c r="P134" s="57">
        <v>46267.788252314815</v>
      </c>
      <c r="Q134">
        <v>69381983</v>
      </c>
      <c r="S134">
        <v>152611220791</v>
      </c>
      <c r="T134" t="s">
        <v>2069</v>
      </c>
      <c r="U134" t="s">
        <v>2070</v>
      </c>
      <c r="V134" t="s">
        <v>2071</v>
      </c>
      <c r="Z134">
        <v>111.92565087229001</v>
      </c>
      <c r="AA134">
        <v>-7.6678568306266603</v>
      </c>
      <c r="AB134" t="s">
        <v>2072</v>
      </c>
      <c r="AC134" t="s">
        <v>216</v>
      </c>
      <c r="AL134" t="s">
        <v>217</v>
      </c>
      <c r="AM134" t="s">
        <v>2073</v>
      </c>
      <c r="AN134" t="s">
        <v>6</v>
      </c>
      <c r="AO134" s="57">
        <v>46062.371550925927</v>
      </c>
      <c r="AP134" s="57">
        <v>46268.333333333336</v>
      </c>
      <c r="AR134" t="s">
        <v>218</v>
      </c>
      <c r="AS134" t="s">
        <v>219</v>
      </c>
      <c r="AT134" t="s">
        <v>230</v>
      </c>
      <c r="AU134">
        <v>20260902</v>
      </c>
      <c r="AV134" t="s">
        <v>221</v>
      </c>
      <c r="AW134" t="s">
        <v>885</v>
      </c>
      <c r="AX134" t="s">
        <v>222</v>
      </c>
      <c r="BA134" s="57">
        <v>46268.333333333336</v>
      </c>
      <c r="BB134" t="s">
        <v>2073</v>
      </c>
      <c r="BC134">
        <v>2026</v>
      </c>
      <c r="BD134">
        <v>9</v>
      </c>
      <c r="BE134">
        <v>2</v>
      </c>
      <c r="BF134" s="6">
        <f t="shared" si="6"/>
        <v>46267</v>
      </c>
      <c r="BG134">
        <f t="shared" si="7"/>
        <v>-1.3333333333357587</v>
      </c>
      <c r="BH134" t="str">
        <f t="shared" si="8"/>
        <v>COMPLY</v>
      </c>
      <c r="BI134" t="str">
        <f>VLOOKUP(H134,Sheet2!$A$1:$B$270,2,FALSE)</f>
        <v>NGANJUK</v>
      </c>
    </row>
    <row r="135" spans="1:61">
      <c r="A135">
        <v>134</v>
      </c>
      <c r="B135">
        <v>1002567152</v>
      </c>
      <c r="C135">
        <v>3</v>
      </c>
      <c r="D135" t="s">
        <v>38</v>
      </c>
      <c r="E135">
        <v>5</v>
      </c>
      <c r="F135" t="s">
        <v>90</v>
      </c>
      <c r="G135" t="s">
        <v>90</v>
      </c>
      <c r="H135" t="s">
        <v>346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46267.448564814818</v>
      </c>
      <c r="P135" s="57">
        <v>46267.72216435185</v>
      </c>
      <c r="Q135">
        <v>69382147</v>
      </c>
      <c r="S135">
        <v>152639219546</v>
      </c>
      <c r="T135" t="s">
        <v>2074</v>
      </c>
      <c r="U135" t="s">
        <v>2075</v>
      </c>
      <c r="V135" t="s">
        <v>2076</v>
      </c>
      <c r="Z135">
        <v>112.199972793459</v>
      </c>
      <c r="AA135">
        <v>-7.7396477588367603</v>
      </c>
      <c r="AB135" t="s">
        <v>2077</v>
      </c>
      <c r="AC135" t="s">
        <v>216</v>
      </c>
      <c r="AL135" t="s">
        <v>217</v>
      </c>
      <c r="AM135" t="s">
        <v>1932</v>
      </c>
      <c r="AN135" t="s">
        <v>6</v>
      </c>
      <c r="AO135" s="57">
        <v>46062.454895833333</v>
      </c>
      <c r="AP135" s="57">
        <v>46268.333333333336</v>
      </c>
      <c r="AR135" t="s">
        <v>218</v>
      </c>
      <c r="AS135" t="s">
        <v>304</v>
      </c>
      <c r="AT135" t="s">
        <v>230</v>
      </c>
      <c r="AU135">
        <v>20260902</v>
      </c>
      <c r="AV135" t="s">
        <v>221</v>
      </c>
      <c r="AW135" t="s">
        <v>883</v>
      </c>
      <c r="AX135" t="s">
        <v>222</v>
      </c>
      <c r="BA135" s="57">
        <v>46268.333333333336</v>
      </c>
      <c r="BB135" t="s">
        <v>1932</v>
      </c>
      <c r="BC135">
        <v>2026</v>
      </c>
      <c r="BD135">
        <v>9</v>
      </c>
      <c r="BE135">
        <v>2</v>
      </c>
      <c r="BF135" s="6">
        <f t="shared" si="6"/>
        <v>46267</v>
      </c>
      <c r="BG135">
        <f t="shared" si="7"/>
        <v>-1.3333333333357587</v>
      </c>
      <c r="BH135" t="str">
        <f t="shared" si="8"/>
        <v>COMPLY</v>
      </c>
      <c r="BI135" t="str">
        <f>VLOOKUP(H135,Sheet2!$A$1:$B$270,2,FALSE)</f>
        <v>KEDIRI</v>
      </c>
    </row>
    <row r="136" spans="1:61">
      <c r="A136">
        <v>135</v>
      </c>
      <c r="B136">
        <v>1002567545</v>
      </c>
      <c r="C136">
        <v>3</v>
      </c>
      <c r="D136" t="s">
        <v>38</v>
      </c>
      <c r="E136">
        <v>5</v>
      </c>
      <c r="F136" t="s">
        <v>90</v>
      </c>
      <c r="G136" t="s">
        <v>98</v>
      </c>
      <c r="H136" t="s">
        <v>394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46267.545798611114</v>
      </c>
      <c r="P136" s="57">
        <v>46267.826365740744</v>
      </c>
      <c r="Q136">
        <v>69382308</v>
      </c>
      <c r="S136">
        <v>152622209373</v>
      </c>
      <c r="T136" t="s">
        <v>2078</v>
      </c>
      <c r="U136" t="s">
        <v>2079</v>
      </c>
      <c r="V136" t="s">
        <v>2080</v>
      </c>
      <c r="Z136">
        <v>111.861572</v>
      </c>
      <c r="AA136">
        <v>-8.1412499999999994</v>
      </c>
      <c r="AB136" t="s">
        <v>2081</v>
      </c>
      <c r="AC136" t="s">
        <v>236</v>
      </c>
      <c r="AL136" t="s">
        <v>217</v>
      </c>
      <c r="AM136" t="s">
        <v>2082</v>
      </c>
      <c r="AN136" t="s">
        <v>6</v>
      </c>
      <c r="AO136" s="57">
        <v>46062.548622685186</v>
      </c>
      <c r="AP136" s="57">
        <v>46268.541666666664</v>
      </c>
      <c r="AR136" t="s">
        <v>218</v>
      </c>
      <c r="AS136" t="s">
        <v>98</v>
      </c>
      <c r="AT136" t="s">
        <v>344</v>
      </c>
      <c r="AU136">
        <v>20260902</v>
      </c>
      <c r="AV136" t="s">
        <v>221</v>
      </c>
      <c r="AW136" t="s">
        <v>1674</v>
      </c>
      <c r="AX136" t="s">
        <v>222</v>
      </c>
      <c r="BA136" s="57">
        <v>46268.541666666664</v>
      </c>
      <c r="BB136" t="s">
        <v>2082</v>
      </c>
      <c r="BC136">
        <v>2026</v>
      </c>
      <c r="BD136">
        <v>9</v>
      </c>
      <c r="BE136">
        <v>2</v>
      </c>
      <c r="BF136" s="6">
        <f t="shared" si="6"/>
        <v>46267</v>
      </c>
      <c r="BG136">
        <f t="shared" si="7"/>
        <v>-1.5416666666642413</v>
      </c>
      <c r="BH136" t="str">
        <f t="shared" si="8"/>
        <v>COMPLY</v>
      </c>
      <c r="BI136" t="str">
        <f>VLOOKUP(H136,Sheet2!$A$1:$B$270,2,FALSE)</f>
        <v>BLITAR</v>
      </c>
    </row>
    <row r="137" spans="1:61">
      <c r="A137">
        <v>136</v>
      </c>
      <c r="B137">
        <v>1002566211</v>
      </c>
      <c r="C137">
        <v>3</v>
      </c>
      <c r="D137" t="s">
        <v>34</v>
      </c>
      <c r="E137">
        <v>5</v>
      </c>
      <c r="F137" t="s">
        <v>554</v>
      </c>
      <c r="G137" t="s">
        <v>82</v>
      </c>
      <c r="H137" t="s">
        <v>524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46266.683009259257</v>
      </c>
      <c r="P137" s="57">
        <v>46266.82916666667</v>
      </c>
      <c r="Q137">
        <v>69378772</v>
      </c>
      <c r="S137">
        <v>172404695148</v>
      </c>
      <c r="T137" t="s">
        <v>979</v>
      </c>
      <c r="U137" t="s">
        <v>980</v>
      </c>
      <c r="V137" t="s">
        <v>1419</v>
      </c>
      <c r="Z137">
        <v>115.48593934429501</v>
      </c>
      <c r="AA137">
        <v>-8.5469272829796292</v>
      </c>
      <c r="AB137" t="s">
        <v>981</v>
      </c>
      <c r="AC137" t="s">
        <v>229</v>
      </c>
      <c r="AL137" t="s">
        <v>217</v>
      </c>
      <c r="AM137" t="s">
        <v>1420</v>
      </c>
      <c r="AN137" t="s">
        <v>6</v>
      </c>
      <c r="AO137" s="57">
        <v>46031.684131944443</v>
      </c>
      <c r="AR137" t="s">
        <v>218</v>
      </c>
      <c r="AS137" t="s">
        <v>905</v>
      </c>
      <c r="AT137" t="s">
        <v>230</v>
      </c>
      <c r="AU137">
        <v>20260901</v>
      </c>
      <c r="AV137" t="s">
        <v>221</v>
      </c>
      <c r="AW137" t="s">
        <v>544</v>
      </c>
      <c r="AX137" t="s">
        <v>222</v>
      </c>
      <c r="BA137" s="57">
        <v>46266.291666666664</v>
      </c>
      <c r="BB137" t="s">
        <v>1420</v>
      </c>
      <c r="BC137">
        <v>2026</v>
      </c>
      <c r="BD137">
        <v>9</v>
      </c>
      <c r="BE137">
        <v>1</v>
      </c>
      <c r="BF137" s="6">
        <f t="shared" si="6"/>
        <v>46266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KLUNGKUNG</v>
      </c>
    </row>
    <row r="138" spans="1:61">
      <c r="A138">
        <v>137</v>
      </c>
      <c r="B138">
        <v>1002566005</v>
      </c>
      <c r="C138">
        <v>3</v>
      </c>
      <c r="D138" t="s">
        <v>34</v>
      </c>
      <c r="E138">
        <v>5</v>
      </c>
      <c r="F138" t="s">
        <v>554</v>
      </c>
      <c r="G138" t="s">
        <v>82</v>
      </c>
      <c r="H138" t="s">
        <v>264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46266.650231481479</v>
      </c>
      <c r="P138" s="57">
        <v>46266.695081018515</v>
      </c>
      <c r="Q138">
        <v>69365055</v>
      </c>
      <c r="S138">
        <v>172428816064</v>
      </c>
      <c r="T138" t="s">
        <v>875</v>
      </c>
      <c r="U138" t="s">
        <v>876</v>
      </c>
      <c r="V138" t="s">
        <v>1421</v>
      </c>
      <c r="Z138">
        <v>115.37458475576901</v>
      </c>
      <c r="AA138">
        <v>-8.5684007909099495</v>
      </c>
      <c r="AB138" t="s">
        <v>877</v>
      </c>
      <c r="AC138" t="s">
        <v>229</v>
      </c>
      <c r="AL138" t="s">
        <v>217</v>
      </c>
      <c r="AM138" t="s">
        <v>1422</v>
      </c>
      <c r="AN138" t="s">
        <v>6</v>
      </c>
      <c r="AO138" s="57">
        <v>46031.653344907405</v>
      </c>
      <c r="AR138" t="s">
        <v>218</v>
      </c>
      <c r="AS138" t="s">
        <v>555</v>
      </c>
      <c r="AT138" t="s">
        <v>230</v>
      </c>
      <c r="AU138">
        <v>20260901</v>
      </c>
      <c r="AV138" t="s">
        <v>221</v>
      </c>
      <c r="AW138" t="s">
        <v>553</v>
      </c>
      <c r="AX138" t="s">
        <v>222</v>
      </c>
      <c r="BA138" s="57">
        <v>46266.291666666664</v>
      </c>
      <c r="BB138" t="s">
        <v>1422</v>
      </c>
      <c r="BC138">
        <v>2026</v>
      </c>
      <c r="BD138">
        <v>9</v>
      </c>
      <c r="BE138">
        <v>1</v>
      </c>
      <c r="BF138" s="6">
        <f t="shared" si="6"/>
        <v>46266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KLUNGKUNG</v>
      </c>
    </row>
    <row r="139" spans="1:61">
      <c r="A139">
        <v>138</v>
      </c>
      <c r="B139">
        <v>1002564394</v>
      </c>
      <c r="C139">
        <v>3</v>
      </c>
      <c r="D139" t="s">
        <v>45</v>
      </c>
      <c r="E139">
        <v>5</v>
      </c>
      <c r="F139" t="s">
        <v>210</v>
      </c>
      <c r="G139" t="s">
        <v>118</v>
      </c>
      <c r="H139" t="s">
        <v>211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46266.39439814815</v>
      </c>
      <c r="P139" s="57">
        <v>46267.873819444445</v>
      </c>
      <c r="Q139">
        <v>69381216</v>
      </c>
      <c r="S139">
        <v>172606792056</v>
      </c>
      <c r="T139" t="s">
        <v>1077</v>
      </c>
      <c r="U139" t="s">
        <v>1078</v>
      </c>
      <c r="V139" t="s">
        <v>1079</v>
      </c>
      <c r="Z139">
        <v>117.705498151481</v>
      </c>
      <c r="AA139">
        <v>-8.6775460755313905</v>
      </c>
      <c r="AB139" t="s">
        <v>1080</v>
      </c>
      <c r="AC139" t="s">
        <v>216</v>
      </c>
      <c r="AL139" t="s">
        <v>217</v>
      </c>
      <c r="AM139" t="s">
        <v>1081</v>
      </c>
      <c r="AN139" t="s">
        <v>6</v>
      </c>
      <c r="AO139" s="57">
        <v>46031.402905092589</v>
      </c>
      <c r="AP139" s="57">
        <v>46267.333333333336</v>
      </c>
      <c r="AR139" t="s">
        <v>218</v>
      </c>
      <c r="AS139" t="s">
        <v>219</v>
      </c>
      <c r="AT139" t="s">
        <v>344</v>
      </c>
      <c r="AU139">
        <v>20260902</v>
      </c>
      <c r="AV139" t="s">
        <v>221</v>
      </c>
      <c r="AW139" t="s">
        <v>889</v>
      </c>
      <c r="AX139" t="s">
        <v>222</v>
      </c>
      <c r="BA139" s="57">
        <v>46267.333333333336</v>
      </c>
      <c r="BB139" t="s">
        <v>1081</v>
      </c>
      <c r="BC139">
        <v>2026</v>
      </c>
      <c r="BD139">
        <v>9</v>
      </c>
      <c r="BE139">
        <v>2</v>
      </c>
      <c r="BF139" s="6">
        <f t="shared" si="6"/>
        <v>46267</v>
      </c>
      <c r="BG139">
        <f t="shared" si="7"/>
        <v>-0.33333333333575865</v>
      </c>
      <c r="BH139" t="str">
        <f t="shared" si="8"/>
        <v>COMPLY</v>
      </c>
      <c r="BI139" t="str">
        <f>VLOOKUP(H139,Sheet2!$A$1:$B$270,2,FALSE)</f>
        <v>SUMBAWA</v>
      </c>
    </row>
    <row r="140" spans="1:61">
      <c r="A140">
        <v>139</v>
      </c>
      <c r="B140">
        <v>1002564794</v>
      </c>
      <c r="C140">
        <v>3</v>
      </c>
      <c r="D140" t="s">
        <v>45</v>
      </c>
      <c r="E140">
        <v>5</v>
      </c>
      <c r="F140" t="s">
        <v>210</v>
      </c>
      <c r="G140" t="s">
        <v>110</v>
      </c>
      <c r="H140" t="s">
        <v>313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46266.444398148145</v>
      </c>
      <c r="P140" s="57">
        <v>46267.712152777778</v>
      </c>
      <c r="Q140">
        <v>69381330</v>
      </c>
      <c r="S140">
        <v>172611786320</v>
      </c>
      <c r="T140" t="s">
        <v>1082</v>
      </c>
      <c r="U140" t="s">
        <v>1083</v>
      </c>
      <c r="V140" t="s">
        <v>1084</v>
      </c>
      <c r="Z140">
        <v>118.490178</v>
      </c>
      <c r="AA140">
        <v>-8.5041910000000005</v>
      </c>
      <c r="AB140" t="s">
        <v>1085</v>
      </c>
      <c r="AC140" t="s">
        <v>236</v>
      </c>
      <c r="AL140" t="s">
        <v>217</v>
      </c>
      <c r="AM140" t="s">
        <v>1086</v>
      </c>
      <c r="AN140" t="s">
        <v>6</v>
      </c>
      <c r="AO140" s="57">
        <v>46031.454826388886</v>
      </c>
      <c r="AP140" s="57">
        <v>46267.333333333336</v>
      </c>
      <c r="AR140" t="s">
        <v>218</v>
      </c>
      <c r="AS140" t="s">
        <v>569</v>
      </c>
      <c r="AT140" t="s">
        <v>552</v>
      </c>
      <c r="AU140">
        <v>20260902</v>
      </c>
      <c r="AV140" t="s">
        <v>221</v>
      </c>
      <c r="AW140" t="s">
        <v>868</v>
      </c>
      <c r="AX140" t="s">
        <v>222</v>
      </c>
      <c r="BA140" s="57">
        <v>46267.333333333336</v>
      </c>
      <c r="BB140" t="s">
        <v>1086</v>
      </c>
      <c r="BC140">
        <v>2026</v>
      </c>
      <c r="BD140">
        <v>9</v>
      </c>
      <c r="BE140">
        <v>2</v>
      </c>
      <c r="BF140" s="6">
        <f t="shared" si="6"/>
        <v>46267</v>
      </c>
      <c r="BG140">
        <f t="shared" si="7"/>
        <v>-0.33333333333575865</v>
      </c>
      <c r="BH140" t="str">
        <f t="shared" si="8"/>
        <v>COMPLY</v>
      </c>
      <c r="BI140" t="str">
        <f>VLOOKUP(H140,Sheet2!$A$1:$B$270,2,FALSE)</f>
        <v>BIMA</v>
      </c>
    </row>
    <row r="141" spans="1:61">
      <c r="A141">
        <v>140</v>
      </c>
      <c r="B141">
        <v>1002564072</v>
      </c>
      <c r="C141">
        <v>3</v>
      </c>
      <c r="D141" t="s">
        <v>59</v>
      </c>
      <c r="E141">
        <v>4</v>
      </c>
      <c r="F141" t="s">
        <v>223</v>
      </c>
      <c r="G141" t="s">
        <v>223</v>
      </c>
      <c r="H141" t="s">
        <v>845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46266.346446759257</v>
      </c>
      <c r="P141" s="57">
        <v>46266.581354166665</v>
      </c>
      <c r="Q141">
        <v>69380149</v>
      </c>
      <c r="S141">
        <v>143387116898</v>
      </c>
      <c r="T141" t="s">
        <v>975</v>
      </c>
      <c r="U141" t="s">
        <v>1423</v>
      </c>
      <c r="V141" t="s">
        <v>1424</v>
      </c>
      <c r="Z141">
        <v>109.0774661</v>
      </c>
      <c r="AA141">
        <v>-7.4091196000000004</v>
      </c>
      <c r="AB141" t="s">
        <v>976</v>
      </c>
      <c r="AC141" t="s">
        <v>284</v>
      </c>
      <c r="AL141" t="s">
        <v>217</v>
      </c>
      <c r="AM141" t="s">
        <v>1425</v>
      </c>
      <c r="AN141" t="s">
        <v>6</v>
      </c>
      <c r="AO141" s="57">
        <v>46031.350752314815</v>
      </c>
      <c r="AR141" t="s">
        <v>218</v>
      </c>
      <c r="AS141" t="s">
        <v>910</v>
      </c>
      <c r="AT141" t="s">
        <v>230</v>
      </c>
      <c r="AU141">
        <v>20260901</v>
      </c>
      <c r="AV141" t="s">
        <v>221</v>
      </c>
      <c r="AW141" t="s">
        <v>544</v>
      </c>
      <c r="AX141" t="s">
        <v>222</v>
      </c>
      <c r="BA141" s="57">
        <v>46266.291666666664</v>
      </c>
      <c r="BB141" t="s">
        <v>1425</v>
      </c>
      <c r="BC141">
        <v>2026</v>
      </c>
      <c r="BD141">
        <v>9</v>
      </c>
      <c r="BE141">
        <v>1</v>
      </c>
      <c r="BF141" s="6">
        <f t="shared" si="6"/>
        <v>46266</v>
      </c>
      <c r="BG141">
        <f t="shared" si="7"/>
        <v>-0.29166666666424135</v>
      </c>
      <c r="BH141" t="str">
        <f t="shared" si="8"/>
        <v>COMPLY</v>
      </c>
      <c r="BI141" t="e">
        <f>VLOOKUP(H141,Sheet2!$A$1:$B$270,2,FALSE)</f>
        <v>#N/A</v>
      </c>
    </row>
    <row r="142" spans="1:61">
      <c r="A142">
        <v>141</v>
      </c>
      <c r="B142">
        <v>1002564446</v>
      </c>
      <c r="C142">
        <v>3</v>
      </c>
      <c r="D142" t="s">
        <v>38</v>
      </c>
      <c r="E142">
        <v>5</v>
      </c>
      <c r="F142" t="s">
        <v>90</v>
      </c>
      <c r="G142" t="s">
        <v>90</v>
      </c>
      <c r="H142" t="s">
        <v>346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46266.399953703702</v>
      </c>
      <c r="P142" s="57">
        <v>46266.718854166669</v>
      </c>
      <c r="Q142">
        <v>69381219</v>
      </c>
      <c r="S142">
        <v>152639219540</v>
      </c>
      <c r="T142" t="s">
        <v>1426</v>
      </c>
      <c r="U142" t="s">
        <v>1427</v>
      </c>
      <c r="V142" t="s">
        <v>1428</v>
      </c>
      <c r="Z142">
        <v>112.1908955</v>
      </c>
      <c r="AA142">
        <v>-7.7567621000000004</v>
      </c>
      <c r="AB142" t="s">
        <v>1429</v>
      </c>
      <c r="AC142" t="s">
        <v>216</v>
      </c>
      <c r="AL142" t="s">
        <v>217</v>
      </c>
      <c r="AM142" t="s">
        <v>1430</v>
      </c>
      <c r="AN142" t="s">
        <v>6</v>
      </c>
      <c r="AO142" s="57">
        <v>46031.402905092589</v>
      </c>
      <c r="AP142" s="57">
        <v>46268.333333333336</v>
      </c>
      <c r="AR142" t="s">
        <v>218</v>
      </c>
      <c r="AS142" t="s">
        <v>304</v>
      </c>
      <c r="AT142" t="s">
        <v>230</v>
      </c>
      <c r="AU142">
        <v>20260901</v>
      </c>
      <c r="AV142" t="s">
        <v>221</v>
      </c>
      <c r="AW142" t="s">
        <v>887</v>
      </c>
      <c r="AX142" t="s">
        <v>222</v>
      </c>
      <c r="BA142" s="57">
        <v>46268.333333333336</v>
      </c>
      <c r="BB142" t="s">
        <v>1430</v>
      </c>
      <c r="BC142">
        <v>2026</v>
      </c>
      <c r="BD142">
        <v>9</v>
      </c>
      <c r="BE142">
        <v>1</v>
      </c>
      <c r="BF142" s="6">
        <f t="shared" si="6"/>
        <v>46266</v>
      </c>
      <c r="BG142">
        <f t="shared" si="7"/>
        <v>-2.3333333333357587</v>
      </c>
      <c r="BH142" t="str">
        <f t="shared" si="8"/>
        <v>COMPLY</v>
      </c>
      <c r="BI142" t="str">
        <f>VLOOKUP(H142,Sheet2!$A$1:$B$270,2,FALSE)</f>
        <v>KEDIRI</v>
      </c>
    </row>
    <row r="143" spans="1:61">
      <c r="A143">
        <v>142</v>
      </c>
      <c r="B143">
        <v>1002564395</v>
      </c>
      <c r="C143">
        <v>3</v>
      </c>
      <c r="D143" t="s">
        <v>42</v>
      </c>
      <c r="E143">
        <v>5</v>
      </c>
      <c r="F143" t="s">
        <v>102</v>
      </c>
      <c r="G143" t="s">
        <v>99</v>
      </c>
      <c r="H143" t="s">
        <v>406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46266.395300925928</v>
      </c>
      <c r="P143" s="57">
        <v>46266.735567129632</v>
      </c>
      <c r="Q143">
        <v>69379478</v>
      </c>
      <c r="S143">
        <v>152522205701</v>
      </c>
      <c r="T143" t="s">
        <v>956</v>
      </c>
      <c r="U143" t="s">
        <v>1431</v>
      </c>
      <c r="V143" t="s">
        <v>1432</v>
      </c>
      <c r="Z143">
        <v>114.302912987892</v>
      </c>
      <c r="AA143">
        <v>-8.4049953980668199</v>
      </c>
      <c r="AB143" t="s">
        <v>1000</v>
      </c>
      <c r="AC143" t="s">
        <v>216</v>
      </c>
      <c r="AL143" t="s">
        <v>217</v>
      </c>
      <c r="AM143" t="s">
        <v>1433</v>
      </c>
      <c r="AN143" t="s">
        <v>6</v>
      </c>
      <c r="AO143" s="57">
        <v>46031.402905092589</v>
      </c>
      <c r="AR143" t="s">
        <v>218</v>
      </c>
      <c r="AS143" t="s">
        <v>99</v>
      </c>
      <c r="AT143" t="s">
        <v>230</v>
      </c>
      <c r="AU143">
        <v>20260901</v>
      </c>
      <c r="AV143" t="s">
        <v>221</v>
      </c>
      <c r="AW143" t="s">
        <v>546</v>
      </c>
      <c r="AX143" t="s">
        <v>222</v>
      </c>
      <c r="BA143" s="57">
        <v>46266.291666666664</v>
      </c>
      <c r="BB143" t="s">
        <v>1433</v>
      </c>
      <c r="BC143">
        <v>2026</v>
      </c>
      <c r="BD143">
        <v>9</v>
      </c>
      <c r="BE143">
        <v>1</v>
      </c>
      <c r="BF143" s="6">
        <f t="shared" si="6"/>
        <v>46266</v>
      </c>
      <c r="BG143">
        <f t="shared" si="7"/>
        <v>-0.29166666666424135</v>
      </c>
      <c r="BH143" t="str">
        <f t="shared" si="8"/>
        <v>COMPLY</v>
      </c>
      <c r="BI143" t="str">
        <f>VLOOKUP(H143,Sheet2!$A$1:$B$270,2,FALSE)</f>
        <v>BANYUWANGI</v>
      </c>
    </row>
    <row r="144" spans="1:61">
      <c r="A144">
        <v>143</v>
      </c>
      <c r="B144">
        <v>1002564057</v>
      </c>
      <c r="C144">
        <v>3</v>
      </c>
      <c r="D144" t="s">
        <v>59</v>
      </c>
      <c r="E144">
        <v>4</v>
      </c>
      <c r="F144" t="s">
        <v>223</v>
      </c>
      <c r="G144" t="s">
        <v>223</v>
      </c>
      <c r="H144" t="s">
        <v>1009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46266.340960648151</v>
      </c>
      <c r="P144" s="57">
        <v>46266.45484953704</v>
      </c>
      <c r="Q144">
        <v>69379064</v>
      </c>
      <c r="S144">
        <v>146396100343</v>
      </c>
      <c r="T144" t="s">
        <v>1010</v>
      </c>
      <c r="U144" t="s">
        <v>1434</v>
      </c>
      <c r="V144" t="s">
        <v>1435</v>
      </c>
      <c r="Z144">
        <v>109.21419779999999</v>
      </c>
      <c r="AA144">
        <v>-7.3366372000000002</v>
      </c>
      <c r="AB144" t="s">
        <v>1011</v>
      </c>
      <c r="AC144" t="s">
        <v>284</v>
      </c>
      <c r="AL144" t="s">
        <v>217</v>
      </c>
      <c r="AM144" t="s">
        <v>1436</v>
      </c>
      <c r="AN144" t="s">
        <v>6</v>
      </c>
      <c r="AO144" s="57">
        <v>46031.350752314815</v>
      </c>
      <c r="AR144" t="s">
        <v>218</v>
      </c>
      <c r="AS144" t="s">
        <v>219</v>
      </c>
      <c r="AT144" t="s">
        <v>230</v>
      </c>
      <c r="AU144">
        <v>20260901</v>
      </c>
      <c r="AV144" t="s">
        <v>221</v>
      </c>
      <c r="AW144" t="s">
        <v>550</v>
      </c>
      <c r="AX144" t="s">
        <v>222</v>
      </c>
      <c r="BA144" s="57">
        <v>46266.291666666664</v>
      </c>
      <c r="BB144" t="s">
        <v>1436</v>
      </c>
      <c r="BC144">
        <v>2026</v>
      </c>
      <c r="BD144">
        <v>9</v>
      </c>
      <c r="BE144">
        <v>1</v>
      </c>
      <c r="BF144" s="6">
        <f t="shared" si="6"/>
        <v>46266</v>
      </c>
      <c r="BG144">
        <f t="shared" si="7"/>
        <v>-0.29166666666424135</v>
      </c>
      <c r="BH144" t="str">
        <f t="shared" si="8"/>
        <v>COMPLY</v>
      </c>
      <c r="BI144" t="e">
        <f>VLOOKUP(H144,Sheet2!$A$1:$B$270,2,FALSE)</f>
        <v>#N/A</v>
      </c>
    </row>
    <row r="145" spans="1:61">
      <c r="A145">
        <v>144</v>
      </c>
      <c r="B145">
        <v>1002564025</v>
      </c>
      <c r="C145">
        <v>3</v>
      </c>
      <c r="D145" t="s">
        <v>45</v>
      </c>
      <c r="E145">
        <v>5</v>
      </c>
      <c r="F145" t="s">
        <v>210</v>
      </c>
      <c r="G145" t="s">
        <v>118</v>
      </c>
      <c r="H145" t="s">
        <v>211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46266.313148148147</v>
      </c>
      <c r="P145" s="57">
        <v>46267.697337962964</v>
      </c>
      <c r="Q145">
        <v>69381121</v>
      </c>
      <c r="S145">
        <v>172606792340</v>
      </c>
      <c r="T145" t="s">
        <v>1092</v>
      </c>
      <c r="U145" t="s">
        <v>858</v>
      </c>
      <c r="V145" t="s">
        <v>1093</v>
      </c>
      <c r="Z145">
        <v>117.43840914219599</v>
      </c>
      <c r="AA145">
        <v>-8.6443586928006209</v>
      </c>
      <c r="AB145" t="s">
        <v>1094</v>
      </c>
      <c r="AC145" t="s">
        <v>216</v>
      </c>
      <c r="AL145" t="s">
        <v>217</v>
      </c>
      <c r="AM145" t="s">
        <v>1095</v>
      </c>
      <c r="AN145" t="s">
        <v>6</v>
      </c>
      <c r="AO145" s="57">
        <v>46031.319398148145</v>
      </c>
      <c r="AP145" s="57">
        <v>46267.333333333336</v>
      </c>
      <c r="AR145" t="s">
        <v>218</v>
      </c>
      <c r="AS145" t="s">
        <v>219</v>
      </c>
      <c r="AT145" t="s">
        <v>220</v>
      </c>
      <c r="AU145">
        <v>20260902</v>
      </c>
      <c r="AV145" t="s">
        <v>221</v>
      </c>
      <c r="AW145" t="s">
        <v>840</v>
      </c>
      <c r="AX145" t="s">
        <v>222</v>
      </c>
      <c r="BA145" s="57">
        <v>46267.333333333336</v>
      </c>
      <c r="BB145" t="s">
        <v>1095</v>
      </c>
      <c r="BC145">
        <v>2026</v>
      </c>
      <c r="BD145">
        <v>9</v>
      </c>
      <c r="BE145">
        <v>2</v>
      </c>
      <c r="BF145" s="6">
        <f t="shared" si="6"/>
        <v>46267</v>
      </c>
      <c r="BG145">
        <f t="shared" si="7"/>
        <v>-0.33333333333575865</v>
      </c>
      <c r="BH145" t="str">
        <f t="shared" si="8"/>
        <v>COMPLY</v>
      </c>
      <c r="BI145" t="str">
        <f>VLOOKUP(H145,Sheet2!$A$1:$B$270,2,FALSE)</f>
        <v>SUMBAWA</v>
      </c>
    </row>
    <row r="146" spans="1:61">
      <c r="A146">
        <v>145</v>
      </c>
      <c r="B146">
        <v>1002565129</v>
      </c>
      <c r="C146">
        <v>3</v>
      </c>
      <c r="D146" t="s">
        <v>49</v>
      </c>
      <c r="E146">
        <v>4</v>
      </c>
      <c r="F146" t="s">
        <v>250</v>
      </c>
      <c r="G146" t="s">
        <v>539</v>
      </c>
      <c r="H146" t="s">
        <v>577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46266.493634259263</v>
      </c>
      <c r="P146" s="57">
        <v>46267.568738425929</v>
      </c>
      <c r="Q146">
        <v>69228573</v>
      </c>
      <c r="S146">
        <v>142214107371</v>
      </c>
      <c r="T146" t="s">
        <v>1101</v>
      </c>
      <c r="U146" t="s">
        <v>960</v>
      </c>
      <c r="V146" t="s">
        <v>1102</v>
      </c>
      <c r="Z146">
        <v>108.9829376</v>
      </c>
      <c r="AA146">
        <v>-6.9595906999999997</v>
      </c>
      <c r="AB146" t="s">
        <v>1103</v>
      </c>
      <c r="AC146" t="s">
        <v>225</v>
      </c>
      <c r="AL146" t="s">
        <v>217</v>
      </c>
      <c r="AM146" t="s">
        <v>1104</v>
      </c>
      <c r="AN146" t="s">
        <v>6</v>
      </c>
      <c r="AO146" s="57">
        <v>46031.49659722222</v>
      </c>
      <c r="AP146" s="57">
        <v>46267.541666666664</v>
      </c>
      <c r="AR146" t="s">
        <v>218</v>
      </c>
      <c r="AS146" t="s">
        <v>909</v>
      </c>
      <c r="AT146" t="s">
        <v>230</v>
      </c>
      <c r="AU146">
        <v>20260902</v>
      </c>
      <c r="AV146" t="s">
        <v>221</v>
      </c>
      <c r="AW146" t="s">
        <v>578</v>
      </c>
      <c r="AX146" t="s">
        <v>222</v>
      </c>
      <c r="BA146" s="57">
        <v>46267.541666666664</v>
      </c>
      <c r="BB146" t="s">
        <v>1104</v>
      </c>
      <c r="BC146">
        <v>2026</v>
      </c>
      <c r="BD146">
        <v>9</v>
      </c>
      <c r="BE146">
        <v>2</v>
      </c>
      <c r="BF146" s="6">
        <f t="shared" si="6"/>
        <v>46267</v>
      </c>
      <c r="BG146">
        <f t="shared" si="7"/>
        <v>-0.54166666666424135</v>
      </c>
      <c r="BH146" t="str">
        <f t="shared" si="8"/>
        <v>COMPLY</v>
      </c>
      <c r="BI146" t="e">
        <f>VLOOKUP(H146,Sheet2!$A$1:$B$270,2,FALSE)</f>
        <v>#N/A</v>
      </c>
    </row>
    <row r="147" spans="1:61">
      <c r="A147">
        <v>146</v>
      </c>
      <c r="B147">
        <v>1002564592</v>
      </c>
      <c r="C147">
        <v>3</v>
      </c>
      <c r="D147" t="s">
        <v>42</v>
      </c>
      <c r="E147">
        <v>5</v>
      </c>
      <c r="F147" t="s">
        <v>232</v>
      </c>
      <c r="G147" t="s">
        <v>103</v>
      </c>
      <c r="H147" t="s">
        <v>294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46266.417939814812</v>
      </c>
      <c r="P147" s="57">
        <v>46267.517129629632</v>
      </c>
      <c r="Q147">
        <v>69381278</v>
      </c>
      <c r="S147">
        <v>152319208061</v>
      </c>
      <c r="T147" t="s">
        <v>1105</v>
      </c>
      <c r="U147" t="s">
        <v>1106</v>
      </c>
      <c r="V147" t="s">
        <v>1107</v>
      </c>
      <c r="Z147">
        <v>112.3860248</v>
      </c>
      <c r="AA147">
        <v>-7.5268009999999999</v>
      </c>
      <c r="AB147" t="s">
        <v>1108</v>
      </c>
      <c r="AC147" t="s">
        <v>229</v>
      </c>
      <c r="AL147" t="s">
        <v>217</v>
      </c>
      <c r="AM147" t="s">
        <v>1109</v>
      </c>
      <c r="AN147" t="s">
        <v>6</v>
      </c>
      <c r="AO147" s="57">
        <v>46031.423645833333</v>
      </c>
      <c r="AP147" s="57">
        <v>46267.458333333336</v>
      </c>
      <c r="AR147" t="s">
        <v>218</v>
      </c>
      <c r="AS147" t="s">
        <v>103</v>
      </c>
      <c r="AT147" t="s">
        <v>230</v>
      </c>
      <c r="AU147">
        <v>20260902</v>
      </c>
      <c r="AV147" t="s">
        <v>221</v>
      </c>
      <c r="AW147" t="s">
        <v>544</v>
      </c>
      <c r="AX147" t="s">
        <v>222</v>
      </c>
      <c r="BA147" s="57">
        <v>46267.458333333336</v>
      </c>
      <c r="BB147" t="s">
        <v>1109</v>
      </c>
      <c r="BC147">
        <v>2026</v>
      </c>
      <c r="BD147">
        <v>9</v>
      </c>
      <c r="BE147">
        <v>2</v>
      </c>
      <c r="BF147" s="6">
        <f t="shared" si="6"/>
        <v>46267</v>
      </c>
      <c r="BG147">
        <f t="shared" si="7"/>
        <v>-0.45833333333575865</v>
      </c>
      <c r="BH147" t="str">
        <f t="shared" si="8"/>
        <v>COMPLY</v>
      </c>
      <c r="BI147" t="str">
        <f>VLOOKUP(H147,Sheet2!$A$1:$B$270,2,FALSE)</f>
        <v>MOJOKERTO</v>
      </c>
    </row>
    <row r="148" spans="1:61">
      <c r="A148">
        <v>147</v>
      </c>
      <c r="B148">
        <v>1002565224</v>
      </c>
      <c r="C148">
        <v>3</v>
      </c>
      <c r="D148" t="s">
        <v>55</v>
      </c>
      <c r="E148">
        <v>5</v>
      </c>
      <c r="F148" t="s">
        <v>261</v>
      </c>
      <c r="G148" t="s">
        <v>122</v>
      </c>
      <c r="H148" t="s">
        <v>321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46266.518530092595</v>
      </c>
      <c r="P148" s="57">
        <v>46266.639976851853</v>
      </c>
      <c r="Q148">
        <v>69379339</v>
      </c>
      <c r="S148">
        <v>152445902503</v>
      </c>
      <c r="T148" t="s">
        <v>989</v>
      </c>
      <c r="U148" t="s">
        <v>1437</v>
      </c>
      <c r="V148" t="s">
        <v>1438</v>
      </c>
      <c r="Z148">
        <v>112.49171</v>
      </c>
      <c r="AA148">
        <v>-7.1393560000000003</v>
      </c>
      <c r="AB148" t="s">
        <v>990</v>
      </c>
      <c r="AC148" t="s">
        <v>216</v>
      </c>
      <c r="AL148" t="s">
        <v>217</v>
      </c>
      <c r="AM148" t="s">
        <v>1439</v>
      </c>
      <c r="AN148" t="s">
        <v>6</v>
      </c>
      <c r="AO148" s="57">
        <v>46031.52784722222</v>
      </c>
      <c r="AR148" t="s">
        <v>218</v>
      </c>
      <c r="AS148" t="s">
        <v>122</v>
      </c>
      <c r="AT148" t="s">
        <v>220</v>
      </c>
      <c r="AU148">
        <v>20260901</v>
      </c>
      <c r="AV148" t="s">
        <v>221</v>
      </c>
      <c r="AW148" t="s">
        <v>545</v>
      </c>
      <c r="AX148" t="s">
        <v>222</v>
      </c>
      <c r="BA148" s="57">
        <v>46266.291666666664</v>
      </c>
      <c r="BB148" t="s">
        <v>1439</v>
      </c>
      <c r="BC148">
        <v>2026</v>
      </c>
      <c r="BD148">
        <v>9</v>
      </c>
      <c r="BE148">
        <v>1</v>
      </c>
      <c r="BF148" s="6">
        <f t="shared" si="6"/>
        <v>46266</v>
      </c>
      <c r="BG148">
        <f t="shared" si="7"/>
        <v>-0.29166666666424135</v>
      </c>
      <c r="BH148" t="str">
        <f t="shared" si="8"/>
        <v>COMPLY</v>
      </c>
      <c r="BI148" t="str">
        <f>VLOOKUP(H148,Sheet2!$A$1:$B$270,2,FALSE)</f>
        <v>GRESIK</v>
      </c>
    </row>
    <row r="149" spans="1:61">
      <c r="A149">
        <v>148</v>
      </c>
      <c r="B149">
        <v>1002564429</v>
      </c>
      <c r="C149">
        <v>3</v>
      </c>
      <c r="D149" t="s">
        <v>55</v>
      </c>
      <c r="E149">
        <v>5</v>
      </c>
      <c r="F149" t="s">
        <v>307</v>
      </c>
      <c r="G149" t="s">
        <v>124</v>
      </c>
      <c r="H149" t="s">
        <v>329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46266.397893518515</v>
      </c>
      <c r="P149" s="57">
        <v>46267.671238425923</v>
      </c>
      <c r="Q149">
        <v>69381217</v>
      </c>
      <c r="S149">
        <v>152306253338</v>
      </c>
      <c r="T149" t="s">
        <v>1368</v>
      </c>
      <c r="U149" t="s">
        <v>1369</v>
      </c>
      <c r="V149" t="s">
        <v>1370</v>
      </c>
      <c r="Z149">
        <v>112.7257608</v>
      </c>
      <c r="AA149">
        <v>-7.3288592999999898</v>
      </c>
      <c r="AB149" t="s">
        <v>1371</v>
      </c>
      <c r="AC149" t="s">
        <v>216</v>
      </c>
      <c r="AL149" t="s">
        <v>217</v>
      </c>
      <c r="AM149" t="s">
        <v>1372</v>
      </c>
      <c r="AN149" t="s">
        <v>6</v>
      </c>
      <c r="AO149" s="57">
        <v>46031.402905092589</v>
      </c>
      <c r="AP149" s="57">
        <v>46267.333333333336</v>
      </c>
      <c r="AR149" t="s">
        <v>218</v>
      </c>
      <c r="AS149" t="s">
        <v>917</v>
      </c>
      <c r="AT149" t="s">
        <v>230</v>
      </c>
      <c r="AU149">
        <v>20260902</v>
      </c>
      <c r="AV149" t="s">
        <v>221</v>
      </c>
      <c r="AW149" t="s">
        <v>884</v>
      </c>
      <c r="AX149" t="s">
        <v>222</v>
      </c>
      <c r="BA149" s="57">
        <v>46267.333333333336</v>
      </c>
      <c r="BB149" t="s">
        <v>1372</v>
      </c>
      <c r="BC149">
        <v>2026</v>
      </c>
      <c r="BD149">
        <v>9</v>
      </c>
      <c r="BE149">
        <v>2</v>
      </c>
      <c r="BF149" s="6">
        <f t="shared" si="6"/>
        <v>46267</v>
      </c>
      <c r="BG149">
        <f t="shared" si="7"/>
        <v>-0.33333333333575865</v>
      </c>
      <c r="BH149" t="str">
        <f t="shared" si="8"/>
        <v>COMPLY</v>
      </c>
      <c r="BI149" t="str">
        <f>VLOOKUP(H149,Sheet2!$A$1:$B$270,2,FALSE)</f>
        <v>SURABAYA SELATAN</v>
      </c>
    </row>
    <row r="150" spans="1:61">
      <c r="A150">
        <v>149</v>
      </c>
      <c r="B150">
        <v>1002564751</v>
      </c>
      <c r="C150">
        <v>3</v>
      </c>
      <c r="D150" t="s">
        <v>42</v>
      </c>
      <c r="E150">
        <v>5</v>
      </c>
      <c r="F150" t="s">
        <v>232</v>
      </c>
      <c r="G150" t="s">
        <v>103</v>
      </c>
      <c r="H150" t="s">
        <v>294</v>
      </c>
      <c r="I150" t="s">
        <v>212</v>
      </c>
      <c r="J150" t="s">
        <v>213</v>
      </c>
      <c r="K150" t="s">
        <v>149</v>
      </c>
      <c r="M150" t="s">
        <v>76</v>
      </c>
      <c r="N150" t="s">
        <v>215</v>
      </c>
      <c r="O150" s="57">
        <v>46266.439259259256</v>
      </c>
      <c r="P150" s="57">
        <v>46266.69866898148</v>
      </c>
      <c r="Q150">
        <v>69381304</v>
      </c>
      <c r="S150">
        <v>152319208063</v>
      </c>
      <c r="T150" t="s">
        <v>1440</v>
      </c>
      <c r="U150" t="s">
        <v>1441</v>
      </c>
      <c r="V150" t="s">
        <v>1442</v>
      </c>
      <c r="Z150">
        <v>112.34956579999999</v>
      </c>
      <c r="AA150">
        <v>-7.5649582000000004</v>
      </c>
      <c r="AB150" t="s">
        <v>1443</v>
      </c>
      <c r="AC150" t="s">
        <v>229</v>
      </c>
      <c r="AL150" t="s">
        <v>217</v>
      </c>
      <c r="AM150" t="s">
        <v>1444</v>
      </c>
      <c r="AN150" t="s">
        <v>6</v>
      </c>
      <c r="AO150" s="57">
        <v>46031.444409722222</v>
      </c>
      <c r="AP150" s="57">
        <v>46267.458333333336</v>
      </c>
      <c r="AR150" t="s">
        <v>218</v>
      </c>
      <c r="AS150" t="s">
        <v>103</v>
      </c>
      <c r="AT150" t="s">
        <v>230</v>
      </c>
      <c r="AU150">
        <v>20260901</v>
      </c>
      <c r="AV150" t="s">
        <v>221</v>
      </c>
      <c r="AW150" t="s">
        <v>545</v>
      </c>
      <c r="AX150" t="s">
        <v>222</v>
      </c>
      <c r="BA150" s="57">
        <v>46267.458333333336</v>
      </c>
      <c r="BB150" t="s">
        <v>1444</v>
      </c>
      <c r="BC150">
        <v>2026</v>
      </c>
      <c r="BD150">
        <v>9</v>
      </c>
      <c r="BE150">
        <v>1</v>
      </c>
      <c r="BF150" s="6">
        <f t="shared" si="6"/>
        <v>46266</v>
      </c>
      <c r="BG150">
        <f t="shared" si="7"/>
        <v>-1.4583333333357587</v>
      </c>
      <c r="BH150" t="str">
        <f t="shared" si="8"/>
        <v>COMPLY</v>
      </c>
      <c r="BI150" t="str">
        <f>VLOOKUP(H150,Sheet2!$A$1:$B$270,2,FALSE)</f>
        <v>MOJOKERTO</v>
      </c>
    </row>
    <row r="151" spans="1:61">
      <c r="A151">
        <v>150</v>
      </c>
      <c r="B151">
        <v>1002564376</v>
      </c>
      <c r="C151">
        <v>3</v>
      </c>
      <c r="D151" t="s">
        <v>51</v>
      </c>
      <c r="E151">
        <v>4</v>
      </c>
      <c r="F151" t="s">
        <v>269</v>
      </c>
      <c r="G151" t="s">
        <v>823</v>
      </c>
      <c r="H151" t="s">
        <v>871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46266.392905092594</v>
      </c>
      <c r="P151" s="57">
        <v>46266.611898148149</v>
      </c>
      <c r="Q151">
        <v>69379400</v>
      </c>
      <c r="S151">
        <v>142539117950</v>
      </c>
      <c r="T151" t="s">
        <v>998</v>
      </c>
      <c r="U151" t="s">
        <v>1445</v>
      </c>
      <c r="V151" t="s">
        <v>1446</v>
      </c>
      <c r="Z151">
        <v>110.665736361276</v>
      </c>
      <c r="AA151">
        <v>-6.5372442790072096</v>
      </c>
      <c r="AB151" t="s">
        <v>999</v>
      </c>
      <c r="AC151" t="s">
        <v>216</v>
      </c>
      <c r="AL151" t="s">
        <v>217</v>
      </c>
      <c r="AM151" t="s">
        <v>1447</v>
      </c>
      <c r="AN151" t="s">
        <v>6</v>
      </c>
      <c r="AO151" s="57">
        <v>46031.402905092589</v>
      </c>
      <c r="AR151" t="s">
        <v>218</v>
      </c>
      <c r="AS151" t="s">
        <v>219</v>
      </c>
      <c r="AT151" t="s">
        <v>230</v>
      </c>
      <c r="AU151">
        <v>20260901</v>
      </c>
      <c r="AV151" t="s">
        <v>221</v>
      </c>
      <c r="AW151" t="s">
        <v>544</v>
      </c>
      <c r="AX151" t="s">
        <v>222</v>
      </c>
      <c r="BA151" s="57">
        <v>46266.291666666664</v>
      </c>
      <c r="BB151" t="s">
        <v>1447</v>
      </c>
      <c r="BC151">
        <v>2026</v>
      </c>
      <c r="BD151">
        <v>9</v>
      </c>
      <c r="BE151">
        <v>1</v>
      </c>
      <c r="BF151" s="6">
        <f t="shared" si="6"/>
        <v>46266</v>
      </c>
      <c r="BG151">
        <f t="shared" si="7"/>
        <v>-0.29166666666424135</v>
      </c>
      <c r="BH151" t="str">
        <f t="shared" si="8"/>
        <v>COMPLY</v>
      </c>
      <c r="BI151" t="e">
        <f>VLOOKUP(H151,Sheet2!$A$1:$B$270,2,FALSE)</f>
        <v>#N/A</v>
      </c>
    </row>
    <row r="152" spans="1:61">
      <c r="A152">
        <v>151</v>
      </c>
      <c r="B152">
        <v>1002564818</v>
      </c>
      <c r="C152">
        <v>3</v>
      </c>
      <c r="D152" t="s">
        <v>59</v>
      </c>
      <c r="E152">
        <v>4</v>
      </c>
      <c r="F152" t="s">
        <v>242</v>
      </c>
      <c r="G152" t="s">
        <v>542</v>
      </c>
      <c r="H152" t="s">
        <v>846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46266.447870370372</v>
      </c>
      <c r="P152" s="57">
        <v>46267.503321759257</v>
      </c>
      <c r="Q152">
        <v>69381321</v>
      </c>
      <c r="S152">
        <v>142141120250</v>
      </c>
      <c r="T152" t="s">
        <v>1114</v>
      </c>
      <c r="U152" t="s">
        <v>1115</v>
      </c>
      <c r="V152" t="s">
        <v>1116</v>
      </c>
      <c r="Z152">
        <v>109.61434250000001</v>
      </c>
      <c r="AA152">
        <v>-7.7214121999999996</v>
      </c>
      <c r="AB152" t="s">
        <v>1117</v>
      </c>
      <c r="AC152" t="s">
        <v>236</v>
      </c>
      <c r="AL152" t="s">
        <v>217</v>
      </c>
      <c r="AM152" t="s">
        <v>1118</v>
      </c>
      <c r="AN152" t="s">
        <v>6</v>
      </c>
      <c r="AO152" s="57">
        <v>46031.454826388886</v>
      </c>
      <c r="AP152" s="57">
        <v>46267.333333333336</v>
      </c>
      <c r="AR152" t="s">
        <v>218</v>
      </c>
      <c r="AS152" t="s">
        <v>219</v>
      </c>
      <c r="AT152" t="s">
        <v>230</v>
      </c>
      <c r="AU152">
        <v>20260902</v>
      </c>
      <c r="AV152" t="s">
        <v>221</v>
      </c>
      <c r="AW152" t="s">
        <v>890</v>
      </c>
      <c r="AX152" t="s">
        <v>222</v>
      </c>
      <c r="BA152" s="57">
        <v>46267.333333333336</v>
      </c>
      <c r="BB152" t="s">
        <v>1118</v>
      </c>
      <c r="BC152">
        <v>2026</v>
      </c>
      <c r="BD152">
        <v>9</v>
      </c>
      <c r="BE152">
        <v>2</v>
      </c>
      <c r="BF152" s="6">
        <f t="shared" si="6"/>
        <v>46267</v>
      </c>
      <c r="BG152">
        <f t="shared" si="7"/>
        <v>-0.33333333333575865</v>
      </c>
      <c r="BH152" t="str">
        <f t="shared" si="8"/>
        <v>COMPLY</v>
      </c>
      <c r="BI152" t="e">
        <f>VLOOKUP(H152,Sheet2!$A$1:$B$270,2,FALSE)</f>
        <v>#N/A</v>
      </c>
    </row>
    <row r="153" spans="1:61">
      <c r="A153">
        <v>152</v>
      </c>
      <c r="B153">
        <v>1002566468</v>
      </c>
      <c r="C153">
        <v>3</v>
      </c>
      <c r="D153" t="s">
        <v>42</v>
      </c>
      <c r="E153">
        <v>5</v>
      </c>
      <c r="F153" t="s">
        <v>102</v>
      </c>
      <c r="G153" t="s">
        <v>102</v>
      </c>
      <c r="H153" t="s">
        <v>362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46266.770821759259</v>
      </c>
      <c r="P153" s="57">
        <v>46267.61986111111</v>
      </c>
      <c r="Q153">
        <v>69381852</v>
      </c>
      <c r="S153">
        <v>152501280958</v>
      </c>
      <c r="T153" t="s">
        <v>1119</v>
      </c>
      <c r="U153" t="s">
        <v>1120</v>
      </c>
      <c r="V153" t="s">
        <v>1121</v>
      </c>
      <c r="Z153">
        <v>113.672512</v>
      </c>
      <c r="AA153">
        <v>-8.1785209999999999</v>
      </c>
      <c r="AB153" t="s">
        <v>1122</v>
      </c>
      <c r="AC153" t="s">
        <v>236</v>
      </c>
      <c r="AL153" t="s">
        <v>217</v>
      </c>
      <c r="AM153" t="s">
        <v>1123</v>
      </c>
      <c r="AN153" t="s">
        <v>6</v>
      </c>
      <c r="AO153" s="57">
        <v>46031.777754629627</v>
      </c>
      <c r="AP153" s="57">
        <v>46267.625</v>
      </c>
      <c r="AR153" t="s">
        <v>218</v>
      </c>
      <c r="AS153" t="s">
        <v>102</v>
      </c>
      <c r="AT153" t="s">
        <v>230</v>
      </c>
      <c r="AU153">
        <v>20260902</v>
      </c>
      <c r="AV153" t="s">
        <v>221</v>
      </c>
      <c r="AW153" t="s">
        <v>887</v>
      </c>
      <c r="AX153" t="s">
        <v>222</v>
      </c>
      <c r="BA153" s="57">
        <v>46267.625</v>
      </c>
      <c r="BB153" t="s">
        <v>1123</v>
      </c>
      <c r="BC153">
        <v>2026</v>
      </c>
      <c r="BD153">
        <v>9</v>
      </c>
      <c r="BE153">
        <v>2</v>
      </c>
      <c r="BF153" s="6">
        <f t="shared" si="6"/>
        <v>46267</v>
      </c>
      <c r="BG153">
        <f t="shared" si="7"/>
        <v>-0.625</v>
      </c>
      <c r="BH153" t="str">
        <f t="shared" si="8"/>
        <v>COMPLY</v>
      </c>
      <c r="BI153" t="str">
        <f>VLOOKUP(H153,Sheet2!$A$1:$B$270,2,FALSE)</f>
        <v>JEMBER</v>
      </c>
    </row>
    <row r="154" spans="1:61">
      <c r="A154">
        <v>153</v>
      </c>
      <c r="B154">
        <v>1002566472</v>
      </c>
      <c r="C154">
        <v>3</v>
      </c>
      <c r="D154" t="s">
        <v>51</v>
      </c>
      <c r="E154">
        <v>4</v>
      </c>
      <c r="F154" t="s">
        <v>269</v>
      </c>
      <c r="G154" t="s">
        <v>551</v>
      </c>
      <c r="H154" t="s">
        <v>597</v>
      </c>
      <c r="I154" t="s">
        <v>212</v>
      </c>
      <c r="J154" t="s">
        <v>213</v>
      </c>
      <c r="K154" t="s">
        <v>149</v>
      </c>
      <c r="L154" t="s">
        <v>214</v>
      </c>
      <c r="M154" t="s">
        <v>76</v>
      </c>
      <c r="N154" t="s">
        <v>215</v>
      </c>
      <c r="O154" s="57">
        <v>46266.774953703702</v>
      </c>
      <c r="P154" s="57">
        <v>46267.693356481483</v>
      </c>
      <c r="Q154">
        <v>69381854</v>
      </c>
      <c r="S154">
        <v>146516109249</v>
      </c>
      <c r="T154" t="s">
        <v>1127</v>
      </c>
      <c r="U154" t="s">
        <v>1128</v>
      </c>
      <c r="V154" t="s">
        <v>1132</v>
      </c>
      <c r="Z154">
        <v>110.669185</v>
      </c>
      <c r="AA154">
        <v>-7.0584210000000001</v>
      </c>
      <c r="AB154" t="s">
        <v>1133</v>
      </c>
      <c r="AC154" t="s">
        <v>236</v>
      </c>
      <c r="AL154" t="s">
        <v>217</v>
      </c>
      <c r="AM154" t="s">
        <v>1134</v>
      </c>
      <c r="AN154" t="s">
        <v>6</v>
      </c>
      <c r="AO154" s="57">
        <v>46031.777754629627</v>
      </c>
      <c r="AP154" s="57">
        <v>46267.625</v>
      </c>
      <c r="AR154" t="s">
        <v>218</v>
      </c>
      <c r="AS154" t="s">
        <v>913</v>
      </c>
      <c r="AT154" t="s">
        <v>230</v>
      </c>
      <c r="AU154">
        <v>20260902</v>
      </c>
      <c r="AV154" t="s">
        <v>221</v>
      </c>
      <c r="AW154" t="s">
        <v>887</v>
      </c>
      <c r="AX154" t="s">
        <v>222</v>
      </c>
      <c r="BA154" s="57">
        <v>46267.625</v>
      </c>
      <c r="BB154" t="s">
        <v>1134</v>
      </c>
      <c r="BC154">
        <v>2026</v>
      </c>
      <c r="BD154">
        <v>9</v>
      </c>
      <c r="BE154">
        <v>2</v>
      </c>
      <c r="BF154" s="6">
        <f t="shared" si="6"/>
        <v>46267</v>
      </c>
      <c r="BG154">
        <f t="shared" si="7"/>
        <v>-0.625</v>
      </c>
      <c r="BH154" t="str">
        <f t="shared" si="8"/>
        <v>COMPLY</v>
      </c>
      <c r="BI154" t="e">
        <f>VLOOKUP(H154,Sheet2!$A$1:$B$270,2,FALSE)</f>
        <v>#N/A</v>
      </c>
    </row>
    <row r="155" spans="1:61">
      <c r="A155">
        <v>154</v>
      </c>
      <c r="B155">
        <v>1002565810</v>
      </c>
      <c r="C155">
        <v>3</v>
      </c>
      <c r="D155" t="s">
        <v>42</v>
      </c>
      <c r="E155">
        <v>5</v>
      </c>
      <c r="F155" t="s">
        <v>102</v>
      </c>
      <c r="G155" t="s">
        <v>99</v>
      </c>
      <c r="H155" t="s">
        <v>450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46266.624965277777</v>
      </c>
      <c r="P155" s="57">
        <v>46267.711458333331</v>
      </c>
      <c r="Q155">
        <v>69381617</v>
      </c>
      <c r="S155">
        <v>152518202018</v>
      </c>
      <c r="T155" t="s">
        <v>928</v>
      </c>
      <c r="U155" t="s">
        <v>1135</v>
      </c>
      <c r="V155" t="s">
        <v>1136</v>
      </c>
      <c r="Z155">
        <v>114.38845310000001</v>
      </c>
      <c r="AA155">
        <v>-7.9216124999999904</v>
      </c>
      <c r="AB155" t="s">
        <v>1137</v>
      </c>
      <c r="AC155" t="s">
        <v>216</v>
      </c>
      <c r="AL155" t="s">
        <v>217</v>
      </c>
      <c r="AM155" t="s">
        <v>1138</v>
      </c>
      <c r="AN155" t="s">
        <v>6</v>
      </c>
      <c r="AO155" s="57">
        <v>46031.631921296299</v>
      </c>
      <c r="AP155" s="57">
        <v>46267.541666666664</v>
      </c>
      <c r="AR155" t="s">
        <v>218</v>
      </c>
      <c r="AS155" t="s">
        <v>99</v>
      </c>
      <c r="AT155" t="s">
        <v>220</v>
      </c>
      <c r="AU155">
        <v>20260902</v>
      </c>
      <c r="AV155" t="s">
        <v>221</v>
      </c>
      <c r="AW155" t="s">
        <v>853</v>
      </c>
      <c r="AX155" t="s">
        <v>222</v>
      </c>
      <c r="BA155" s="57">
        <v>46267.541666666664</v>
      </c>
      <c r="BB155" t="s">
        <v>1138</v>
      </c>
      <c r="BC155">
        <v>2026</v>
      </c>
      <c r="BD155">
        <v>9</v>
      </c>
      <c r="BE155">
        <v>2</v>
      </c>
      <c r="BF155" s="6">
        <f t="shared" si="6"/>
        <v>46267</v>
      </c>
      <c r="BG155">
        <f t="shared" si="7"/>
        <v>-0.54166666666424135</v>
      </c>
      <c r="BH155" t="str">
        <f t="shared" si="8"/>
        <v>COMPLY</v>
      </c>
      <c r="BI155" t="str">
        <f>VLOOKUP(H155,Sheet2!$A$1:$B$270,2,FALSE)</f>
        <v>BANYUWANGI</v>
      </c>
    </row>
    <row r="156" spans="1:61">
      <c r="A156">
        <v>155</v>
      </c>
      <c r="B156">
        <v>1002565759</v>
      </c>
      <c r="C156">
        <v>3</v>
      </c>
      <c r="D156" t="s">
        <v>51</v>
      </c>
      <c r="E156">
        <v>4</v>
      </c>
      <c r="F156" t="s">
        <v>234</v>
      </c>
      <c r="G156" t="s">
        <v>562</v>
      </c>
      <c r="H156" t="s">
        <v>848</v>
      </c>
      <c r="I156" t="s">
        <v>212</v>
      </c>
      <c r="J156" t="s">
        <v>213</v>
      </c>
      <c r="K156" t="s">
        <v>149</v>
      </c>
      <c r="L156" t="s">
        <v>214</v>
      </c>
      <c r="M156" t="s">
        <v>76</v>
      </c>
      <c r="N156" t="s">
        <v>215</v>
      </c>
      <c r="O156" s="57">
        <v>46266.616631944446</v>
      </c>
      <c r="P156" s="57">
        <v>46267.821064814816</v>
      </c>
      <c r="Q156">
        <v>69381629</v>
      </c>
      <c r="S156">
        <v>146514602773</v>
      </c>
      <c r="T156" t="s">
        <v>1139</v>
      </c>
      <c r="U156" t="s">
        <v>1140</v>
      </c>
      <c r="V156" t="s">
        <v>1141</v>
      </c>
      <c r="Z156">
        <v>110.86271000000001</v>
      </c>
      <c r="AA156">
        <v>-7.5542189999999998</v>
      </c>
      <c r="AB156" t="s">
        <v>1142</v>
      </c>
      <c r="AC156" t="s">
        <v>236</v>
      </c>
      <c r="AL156" t="s">
        <v>217</v>
      </c>
      <c r="AM156" t="s">
        <v>1143</v>
      </c>
      <c r="AN156" t="s">
        <v>6</v>
      </c>
      <c r="AO156" s="57">
        <v>46031.621435185189</v>
      </c>
      <c r="AP156" s="57">
        <v>46267.541666666664</v>
      </c>
      <c r="AR156" t="s">
        <v>218</v>
      </c>
      <c r="AS156" t="s">
        <v>219</v>
      </c>
      <c r="AT156" t="s">
        <v>230</v>
      </c>
      <c r="AU156">
        <v>20260902</v>
      </c>
      <c r="AV156" t="s">
        <v>221</v>
      </c>
      <c r="AW156" t="s">
        <v>887</v>
      </c>
      <c r="AX156" t="s">
        <v>222</v>
      </c>
      <c r="BA156" s="57">
        <v>46267.541666666664</v>
      </c>
      <c r="BB156" t="s">
        <v>1143</v>
      </c>
      <c r="BC156">
        <v>2026</v>
      </c>
      <c r="BD156">
        <v>9</v>
      </c>
      <c r="BE156">
        <v>2</v>
      </c>
      <c r="BF156" s="6">
        <f t="shared" si="6"/>
        <v>46267</v>
      </c>
      <c r="BG156">
        <f t="shared" si="7"/>
        <v>-0.54166666666424135</v>
      </c>
      <c r="BH156" t="str">
        <f t="shared" si="8"/>
        <v>COMPLY</v>
      </c>
      <c r="BI156" t="e">
        <f>VLOOKUP(H156,Sheet2!$A$1:$B$270,2,FALSE)</f>
        <v>#N/A</v>
      </c>
    </row>
    <row r="157" spans="1:61">
      <c r="A157">
        <v>156</v>
      </c>
      <c r="B157">
        <v>1002565180</v>
      </c>
      <c r="C157">
        <v>3</v>
      </c>
      <c r="D157" t="s">
        <v>45</v>
      </c>
      <c r="E157">
        <v>5</v>
      </c>
      <c r="F157" t="s">
        <v>210</v>
      </c>
      <c r="G157" t="s">
        <v>115</v>
      </c>
      <c r="H157" t="s">
        <v>273</v>
      </c>
      <c r="I157" t="s">
        <v>212</v>
      </c>
      <c r="J157" t="s">
        <v>213</v>
      </c>
      <c r="K157" t="s">
        <v>149</v>
      </c>
      <c r="M157" t="s">
        <v>76</v>
      </c>
      <c r="N157" t="s">
        <v>215</v>
      </c>
      <c r="O157" s="57">
        <v>46266.501782407409</v>
      </c>
      <c r="P157" s="57">
        <v>46267.470810185187</v>
      </c>
      <c r="Q157">
        <v>69378774</v>
      </c>
      <c r="S157">
        <v>172603791812</v>
      </c>
      <c r="T157" t="s">
        <v>1019</v>
      </c>
      <c r="U157" t="s">
        <v>1386</v>
      </c>
      <c r="V157" t="s">
        <v>1387</v>
      </c>
      <c r="Z157">
        <v>116.28367710000001</v>
      </c>
      <c r="AA157">
        <v>-8.8907635000000003</v>
      </c>
      <c r="AB157" t="s">
        <v>1020</v>
      </c>
      <c r="AC157" t="s">
        <v>216</v>
      </c>
      <c r="AL157" t="s">
        <v>217</v>
      </c>
      <c r="AM157" t="s">
        <v>1388</v>
      </c>
      <c r="AN157" t="s">
        <v>6</v>
      </c>
      <c r="AO157" s="57">
        <v>46031.506874999999</v>
      </c>
      <c r="AR157" t="s">
        <v>218</v>
      </c>
      <c r="AS157" t="s">
        <v>901</v>
      </c>
      <c r="AT157" t="s">
        <v>230</v>
      </c>
      <c r="AU157">
        <v>20260902</v>
      </c>
      <c r="AV157" t="s">
        <v>221</v>
      </c>
      <c r="AW157" t="s">
        <v>545</v>
      </c>
      <c r="AX157" t="s">
        <v>222</v>
      </c>
      <c r="BA157" s="57">
        <v>46266.291666666664</v>
      </c>
      <c r="BB157" t="s">
        <v>1388</v>
      </c>
      <c r="BC157">
        <v>2026</v>
      </c>
      <c r="BD157">
        <v>9</v>
      </c>
      <c r="BE157">
        <v>2</v>
      </c>
      <c r="BF157" s="6">
        <f t="shared" si="6"/>
        <v>46267</v>
      </c>
      <c r="BG157">
        <f t="shared" si="7"/>
        <v>0.70833333333575865</v>
      </c>
      <c r="BH157" t="str">
        <f t="shared" si="8"/>
        <v>COMPLY</v>
      </c>
      <c r="BI157" t="str">
        <f>VLOOKUP(H157,Sheet2!$A$1:$B$270,2,FALSE)</f>
        <v>SELONG</v>
      </c>
    </row>
    <row r="158" spans="1:61">
      <c r="A158">
        <v>157</v>
      </c>
      <c r="B158">
        <v>1002565851</v>
      </c>
      <c r="C158">
        <v>3</v>
      </c>
      <c r="D158" t="s">
        <v>59</v>
      </c>
      <c r="E158">
        <v>4</v>
      </c>
      <c r="F158" t="s">
        <v>549</v>
      </c>
      <c r="G158" t="s">
        <v>582</v>
      </c>
      <c r="H158" t="s">
        <v>841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46266.631423611114</v>
      </c>
      <c r="P158" s="57">
        <v>46266.680821759262</v>
      </c>
      <c r="Q158">
        <v>69375430</v>
      </c>
      <c r="S158">
        <v>143132123703</v>
      </c>
      <c r="T158" t="s">
        <v>938</v>
      </c>
      <c r="U158" t="s">
        <v>1448</v>
      </c>
      <c r="V158" t="s">
        <v>1449</v>
      </c>
      <c r="Z158">
        <v>110.43269342918499</v>
      </c>
      <c r="AA158">
        <v>-7.8331409517625099</v>
      </c>
      <c r="AB158" t="s">
        <v>939</v>
      </c>
      <c r="AC158" t="s">
        <v>284</v>
      </c>
      <c r="AL158" t="s">
        <v>217</v>
      </c>
      <c r="AM158" t="s">
        <v>1450</v>
      </c>
      <c r="AN158" t="s">
        <v>6</v>
      </c>
      <c r="AO158" s="57">
        <v>46031.631921296299</v>
      </c>
      <c r="AR158" t="s">
        <v>218</v>
      </c>
      <c r="AS158" t="s">
        <v>916</v>
      </c>
      <c r="AT158" t="s">
        <v>230</v>
      </c>
      <c r="AU158">
        <v>20260901</v>
      </c>
      <c r="AV158" t="s">
        <v>221</v>
      </c>
      <c r="AW158" t="s">
        <v>571</v>
      </c>
      <c r="AX158" t="s">
        <v>222</v>
      </c>
      <c r="BA158" s="57">
        <v>46266.291666666664</v>
      </c>
      <c r="BB158" t="s">
        <v>1450</v>
      </c>
      <c r="BC158">
        <v>2026</v>
      </c>
      <c r="BD158">
        <v>9</v>
      </c>
      <c r="BE158">
        <v>1</v>
      </c>
      <c r="BF158" s="6">
        <f t="shared" si="6"/>
        <v>46266</v>
      </c>
      <c r="BG158">
        <f t="shared" si="7"/>
        <v>-0.29166666666424135</v>
      </c>
      <c r="BH158" t="str">
        <f t="shared" si="8"/>
        <v>COMPLY</v>
      </c>
      <c r="BI158" t="e">
        <f>VLOOKUP(H158,Sheet2!$A$1:$B$270,2,FALSE)</f>
        <v>#N/A</v>
      </c>
    </row>
    <row r="159" spans="1:61">
      <c r="A159">
        <v>158</v>
      </c>
      <c r="B159">
        <v>1002565160</v>
      </c>
      <c r="C159">
        <v>3</v>
      </c>
      <c r="D159" t="s">
        <v>55</v>
      </c>
      <c r="E159">
        <v>5</v>
      </c>
      <c r="F159" t="s">
        <v>261</v>
      </c>
      <c r="G159" t="s">
        <v>126</v>
      </c>
      <c r="H159" t="s">
        <v>262</v>
      </c>
      <c r="I159" t="s">
        <v>212</v>
      </c>
      <c r="J159" t="s">
        <v>213</v>
      </c>
      <c r="K159" t="s">
        <v>149</v>
      </c>
      <c r="M159" t="s">
        <v>76</v>
      </c>
      <c r="N159" t="s">
        <v>215</v>
      </c>
      <c r="O159" s="57">
        <v>46266.498518518521</v>
      </c>
      <c r="P159" s="57">
        <v>46266.576226851852</v>
      </c>
      <c r="Q159">
        <v>69380063</v>
      </c>
      <c r="S159">
        <v>152413167467</v>
      </c>
      <c r="T159" t="s">
        <v>982</v>
      </c>
      <c r="U159" t="s">
        <v>898</v>
      </c>
      <c r="V159" t="s">
        <v>1451</v>
      </c>
      <c r="Z159">
        <v>112.733196051937</v>
      </c>
      <c r="AA159">
        <v>-7.2537710348810096</v>
      </c>
      <c r="AB159" t="s">
        <v>983</v>
      </c>
      <c r="AC159" t="s">
        <v>216</v>
      </c>
      <c r="AL159" t="s">
        <v>217</v>
      </c>
      <c r="AM159" t="s">
        <v>1452</v>
      </c>
      <c r="AN159" t="s">
        <v>6</v>
      </c>
      <c r="AO159" s="57">
        <v>46031.506874999999</v>
      </c>
      <c r="AR159" t="s">
        <v>218</v>
      </c>
      <c r="AS159" t="s">
        <v>575</v>
      </c>
      <c r="AT159" t="s">
        <v>230</v>
      </c>
      <c r="AU159">
        <v>20260901</v>
      </c>
      <c r="AV159" t="s">
        <v>221</v>
      </c>
      <c r="AW159" t="s">
        <v>572</v>
      </c>
      <c r="AX159" t="s">
        <v>222</v>
      </c>
      <c r="BA159" s="57">
        <v>46266.291666666664</v>
      </c>
      <c r="BB159" t="s">
        <v>1452</v>
      </c>
      <c r="BC159">
        <v>2026</v>
      </c>
      <c r="BD159">
        <v>9</v>
      </c>
      <c r="BE159">
        <v>1</v>
      </c>
      <c r="BF159" s="6">
        <f t="shared" si="6"/>
        <v>46266</v>
      </c>
      <c r="BG159">
        <f t="shared" si="7"/>
        <v>-0.29166666666424135</v>
      </c>
      <c r="BH159" t="str">
        <f t="shared" si="8"/>
        <v>COMPLY</v>
      </c>
      <c r="BI159" t="str">
        <f>VLOOKUP(H159,Sheet2!$A$1:$B$270,2,FALSE)</f>
        <v>SURABAYA SELATAN</v>
      </c>
    </row>
    <row r="160" spans="1:61">
      <c r="A160">
        <v>159</v>
      </c>
      <c r="B160">
        <v>1002565854</v>
      </c>
      <c r="C160">
        <v>3</v>
      </c>
      <c r="D160" t="s">
        <v>49</v>
      </c>
      <c r="E160">
        <v>4</v>
      </c>
      <c r="F160" t="s">
        <v>250</v>
      </c>
      <c r="G160" t="s">
        <v>253</v>
      </c>
      <c r="H160" t="s">
        <v>821</v>
      </c>
      <c r="I160" t="s">
        <v>212</v>
      </c>
      <c r="J160" t="s">
        <v>213</v>
      </c>
      <c r="K160" t="s">
        <v>149</v>
      </c>
      <c r="L160" t="s">
        <v>214</v>
      </c>
      <c r="M160" t="s">
        <v>76</v>
      </c>
      <c r="N160" t="s">
        <v>215</v>
      </c>
      <c r="O160" s="57">
        <v>46266.631203703706</v>
      </c>
      <c r="P160" s="57">
        <v>46267.568703703706</v>
      </c>
      <c r="Q160">
        <v>69381654</v>
      </c>
      <c r="S160">
        <v>142206131379</v>
      </c>
      <c r="T160" t="s">
        <v>1144</v>
      </c>
      <c r="U160" t="s">
        <v>859</v>
      </c>
      <c r="V160" t="s">
        <v>1145</v>
      </c>
      <c r="Z160">
        <v>109.08651988953299</v>
      </c>
      <c r="AA160">
        <v>-7.0883428813953202</v>
      </c>
      <c r="AB160" t="s">
        <v>1146</v>
      </c>
      <c r="AC160" t="s">
        <v>216</v>
      </c>
      <c r="AL160" t="s">
        <v>217</v>
      </c>
      <c r="AM160" t="s">
        <v>1147</v>
      </c>
      <c r="AN160" t="s">
        <v>6</v>
      </c>
      <c r="AO160" s="57">
        <v>46031.631921296299</v>
      </c>
      <c r="AP160" s="57">
        <v>46267.541666666664</v>
      </c>
      <c r="AR160" t="s">
        <v>218</v>
      </c>
      <c r="AS160" t="s">
        <v>219</v>
      </c>
      <c r="AT160" t="s">
        <v>230</v>
      </c>
      <c r="AU160">
        <v>20260902</v>
      </c>
      <c r="AV160" t="s">
        <v>221</v>
      </c>
      <c r="AW160" t="s">
        <v>885</v>
      </c>
      <c r="AX160" t="s">
        <v>222</v>
      </c>
      <c r="BA160" s="57">
        <v>46267.541666666664</v>
      </c>
      <c r="BB160" t="s">
        <v>1147</v>
      </c>
      <c r="BC160">
        <v>2026</v>
      </c>
      <c r="BD160">
        <v>9</v>
      </c>
      <c r="BE160">
        <v>2</v>
      </c>
      <c r="BF160" s="6">
        <f t="shared" si="6"/>
        <v>46267</v>
      </c>
      <c r="BG160">
        <f t="shared" si="7"/>
        <v>-0.54166666666424135</v>
      </c>
      <c r="BH160" t="str">
        <f t="shared" si="8"/>
        <v>COMPLY</v>
      </c>
      <c r="BI160" t="e">
        <f>VLOOKUP(H160,Sheet2!$A$1:$B$270,2,FALSE)</f>
        <v>#N/A</v>
      </c>
    </row>
    <row r="161" spans="1:61">
      <c r="A161">
        <v>160</v>
      </c>
      <c r="B161">
        <v>1002566045</v>
      </c>
      <c r="C161">
        <v>3</v>
      </c>
      <c r="D161" t="s">
        <v>51</v>
      </c>
      <c r="E161">
        <v>4</v>
      </c>
      <c r="F161" t="s">
        <v>269</v>
      </c>
      <c r="G161" t="s">
        <v>269</v>
      </c>
      <c r="H161" t="s">
        <v>839</v>
      </c>
      <c r="I161" t="s">
        <v>212</v>
      </c>
      <c r="J161" t="s">
        <v>213</v>
      </c>
      <c r="K161" t="s">
        <v>149</v>
      </c>
      <c r="M161" t="s">
        <v>76</v>
      </c>
      <c r="N161" t="s">
        <v>215</v>
      </c>
      <c r="O161" s="57">
        <v>46266.655324074076</v>
      </c>
      <c r="P161" s="57">
        <v>46267.392291666663</v>
      </c>
      <c r="Q161">
        <v>69376231</v>
      </c>
      <c r="S161">
        <v>142401146170</v>
      </c>
      <c r="T161" t="s">
        <v>945</v>
      </c>
      <c r="U161" t="s">
        <v>1389</v>
      </c>
      <c r="V161" t="s">
        <v>1390</v>
      </c>
      <c r="Z161">
        <v>110.85576696</v>
      </c>
      <c r="AA161">
        <v>-6.7977829779999999</v>
      </c>
      <c r="AB161" t="s">
        <v>946</v>
      </c>
      <c r="AC161" t="s">
        <v>284</v>
      </c>
      <c r="AL161" t="s">
        <v>217</v>
      </c>
      <c r="AM161" t="s">
        <v>1391</v>
      </c>
      <c r="AN161" t="s">
        <v>6</v>
      </c>
      <c r="AO161" s="57">
        <v>46031.663206018522</v>
      </c>
      <c r="AR161" t="s">
        <v>218</v>
      </c>
      <c r="AS161" t="s">
        <v>219</v>
      </c>
      <c r="AT161" t="s">
        <v>230</v>
      </c>
      <c r="AU161">
        <v>20260902</v>
      </c>
      <c r="AV161" t="s">
        <v>221</v>
      </c>
      <c r="AW161" t="s">
        <v>572</v>
      </c>
      <c r="AX161" t="s">
        <v>222</v>
      </c>
      <c r="BA161" s="57">
        <v>46266.291666666664</v>
      </c>
      <c r="BB161" t="s">
        <v>1391</v>
      </c>
      <c r="BC161">
        <v>2026</v>
      </c>
      <c r="BD161">
        <v>9</v>
      </c>
      <c r="BE161">
        <v>2</v>
      </c>
      <c r="BF161" s="6">
        <f t="shared" si="6"/>
        <v>46267</v>
      </c>
      <c r="BG161">
        <f t="shared" si="7"/>
        <v>0.70833333333575865</v>
      </c>
      <c r="BH161" t="str">
        <f t="shared" si="8"/>
        <v>COMPLY</v>
      </c>
      <c r="BI161" t="e">
        <f>VLOOKUP(H161,Sheet2!$A$1:$B$270,2,FALSE)</f>
        <v>#N/A</v>
      </c>
    </row>
    <row r="162" spans="1:61">
      <c r="A162">
        <v>161</v>
      </c>
      <c r="B162">
        <v>1002565201</v>
      </c>
      <c r="C162">
        <v>3</v>
      </c>
      <c r="D162" t="s">
        <v>51</v>
      </c>
      <c r="E162">
        <v>4</v>
      </c>
      <c r="F162" t="s">
        <v>269</v>
      </c>
      <c r="G162" t="s">
        <v>289</v>
      </c>
      <c r="H162" t="s">
        <v>824</v>
      </c>
      <c r="I162" t="s">
        <v>212</v>
      </c>
      <c r="J162" t="s">
        <v>213</v>
      </c>
      <c r="K162" t="s">
        <v>149</v>
      </c>
      <c r="L162" t="s">
        <v>214</v>
      </c>
      <c r="M162" t="s">
        <v>76</v>
      </c>
      <c r="N162" t="s">
        <v>215</v>
      </c>
      <c r="O162" s="57">
        <v>46266.506909722222</v>
      </c>
      <c r="P162" s="57">
        <v>46267.583668981482</v>
      </c>
      <c r="Q162">
        <v>69381448</v>
      </c>
      <c r="S162">
        <v>142551119569</v>
      </c>
      <c r="T162" t="s">
        <v>1153</v>
      </c>
      <c r="U162" t="s">
        <v>1154</v>
      </c>
      <c r="V162" t="s">
        <v>1155</v>
      </c>
      <c r="Z162">
        <v>111.017602</v>
      </c>
      <c r="AA162">
        <v>-6.7608309999999996</v>
      </c>
      <c r="AB162" t="s">
        <v>1156</v>
      </c>
      <c r="AC162" t="s">
        <v>236</v>
      </c>
      <c r="AL162" t="s">
        <v>217</v>
      </c>
      <c r="AM162" t="s">
        <v>1157</v>
      </c>
      <c r="AN162" t="s">
        <v>6</v>
      </c>
      <c r="AO162" s="57">
        <v>46031.517465277779</v>
      </c>
      <c r="AP162" s="57">
        <v>46267.541666666664</v>
      </c>
      <c r="AR162" t="s">
        <v>218</v>
      </c>
      <c r="AS162" t="s">
        <v>219</v>
      </c>
      <c r="AT162" t="s">
        <v>230</v>
      </c>
      <c r="AU162">
        <v>20260902</v>
      </c>
      <c r="AV162" t="s">
        <v>221</v>
      </c>
      <c r="AW162" t="s">
        <v>882</v>
      </c>
      <c r="AX162" t="s">
        <v>222</v>
      </c>
      <c r="BA162" s="57">
        <v>46267.541666666664</v>
      </c>
      <c r="BB162" t="s">
        <v>1157</v>
      </c>
      <c r="BC162">
        <v>2026</v>
      </c>
      <c r="BD162">
        <v>9</v>
      </c>
      <c r="BE162">
        <v>2</v>
      </c>
      <c r="BF162" s="6">
        <f t="shared" si="6"/>
        <v>46267</v>
      </c>
      <c r="BG162">
        <f t="shared" si="7"/>
        <v>-0.54166666666424135</v>
      </c>
      <c r="BH162" t="str">
        <f t="shared" si="8"/>
        <v>COMPLY</v>
      </c>
      <c r="BI162" t="e">
        <f>VLOOKUP(H162,Sheet2!$A$1:$B$270,2,FALSE)</f>
        <v>#N/A</v>
      </c>
    </row>
    <row r="163" spans="1:61">
      <c r="A163">
        <v>162</v>
      </c>
      <c r="B163">
        <v>1002565198</v>
      </c>
      <c r="C163">
        <v>3</v>
      </c>
      <c r="D163" t="s">
        <v>55</v>
      </c>
      <c r="E163">
        <v>5</v>
      </c>
      <c r="F163" t="s">
        <v>261</v>
      </c>
      <c r="G163" t="s">
        <v>122</v>
      </c>
      <c r="H163" t="s">
        <v>321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46266.507916666669</v>
      </c>
      <c r="P163" s="57">
        <v>46266.869085648148</v>
      </c>
      <c r="Q163">
        <v>69379381</v>
      </c>
      <c r="S163">
        <v>152445902502</v>
      </c>
      <c r="T163" t="s">
        <v>987</v>
      </c>
      <c r="U163" t="s">
        <v>1453</v>
      </c>
      <c r="V163" t="s">
        <v>1454</v>
      </c>
      <c r="Z163">
        <v>112.512376</v>
      </c>
      <c r="AA163">
        <v>-7.1506679999999996</v>
      </c>
      <c r="AB163" t="s">
        <v>988</v>
      </c>
      <c r="AC163" t="s">
        <v>229</v>
      </c>
      <c r="AL163" t="s">
        <v>217</v>
      </c>
      <c r="AM163" t="s">
        <v>1439</v>
      </c>
      <c r="AN163" t="s">
        <v>6</v>
      </c>
      <c r="AO163" s="57">
        <v>46031.517465277779</v>
      </c>
      <c r="AR163" t="s">
        <v>218</v>
      </c>
      <c r="AS163" t="s">
        <v>122</v>
      </c>
      <c r="AT163" t="s">
        <v>220</v>
      </c>
      <c r="AU163">
        <v>20260901</v>
      </c>
      <c r="AV163" t="s">
        <v>221</v>
      </c>
      <c r="AW163" t="s">
        <v>560</v>
      </c>
      <c r="AX163" t="s">
        <v>222</v>
      </c>
      <c r="BA163" s="57">
        <v>46266.291666666664</v>
      </c>
      <c r="BB163" t="s">
        <v>1439</v>
      </c>
      <c r="BC163">
        <v>2026</v>
      </c>
      <c r="BD163">
        <v>9</v>
      </c>
      <c r="BE163">
        <v>1</v>
      </c>
      <c r="BF163" s="6">
        <f t="shared" si="6"/>
        <v>46266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GRESIK</v>
      </c>
    </row>
    <row r="164" spans="1:61">
      <c r="A164">
        <v>163</v>
      </c>
      <c r="B164">
        <v>1002565668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243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46266.603182870371</v>
      </c>
      <c r="P164" s="57">
        <v>46267.61822916667</v>
      </c>
      <c r="Q164">
        <v>69375489</v>
      </c>
      <c r="S164">
        <v>172605804340</v>
      </c>
      <c r="T164" t="s">
        <v>947</v>
      </c>
      <c r="U164" t="s">
        <v>1392</v>
      </c>
      <c r="V164" t="s">
        <v>1393</v>
      </c>
      <c r="Z164">
        <v>116.149145</v>
      </c>
      <c r="AA164">
        <v>-8.6191750000000003</v>
      </c>
      <c r="AB164" t="s">
        <v>948</v>
      </c>
      <c r="AC164" t="s">
        <v>284</v>
      </c>
      <c r="AL164" t="s">
        <v>217</v>
      </c>
      <c r="AM164" t="s">
        <v>1394</v>
      </c>
      <c r="AN164" t="s">
        <v>6</v>
      </c>
      <c r="AO164" s="57">
        <v>46031.611076388886</v>
      </c>
      <c r="AR164" t="s">
        <v>218</v>
      </c>
      <c r="AS164" t="s">
        <v>219</v>
      </c>
      <c r="AT164" t="s">
        <v>230</v>
      </c>
      <c r="AU164">
        <v>20260902</v>
      </c>
      <c r="AV164" t="s">
        <v>221</v>
      </c>
      <c r="AW164" t="s">
        <v>546</v>
      </c>
      <c r="AX164" t="s">
        <v>222</v>
      </c>
      <c r="BA164" s="57">
        <v>46266.291666666664</v>
      </c>
      <c r="BB164" t="s">
        <v>1394</v>
      </c>
      <c r="BC164">
        <v>2026</v>
      </c>
      <c r="BD164">
        <v>9</v>
      </c>
      <c r="BE164">
        <v>2</v>
      </c>
      <c r="BF164" s="6">
        <f t="shared" si="6"/>
        <v>46267</v>
      </c>
      <c r="BG164">
        <f t="shared" si="7"/>
        <v>0.70833333333575865</v>
      </c>
      <c r="BH164" t="str">
        <f t="shared" si="8"/>
        <v>COMPLY</v>
      </c>
      <c r="BI164" t="str">
        <f>VLOOKUP(H164,Sheet2!$A$1:$B$270,2,FALSE)</f>
        <v>MATARAM</v>
      </c>
    </row>
    <row r="165" spans="1:61">
      <c r="A165">
        <v>164</v>
      </c>
      <c r="B165">
        <v>1002566034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247</v>
      </c>
      <c r="I165" t="s">
        <v>212</v>
      </c>
      <c r="J165" t="s">
        <v>213</v>
      </c>
      <c r="K165" t="s">
        <v>149</v>
      </c>
      <c r="M165" t="s">
        <v>76</v>
      </c>
      <c r="N165" t="s">
        <v>215</v>
      </c>
      <c r="O165" s="57">
        <v>46266.654999999999</v>
      </c>
      <c r="P165" s="57">
        <v>46266.7028587963</v>
      </c>
      <c r="Q165">
        <v>69380024</v>
      </c>
      <c r="S165">
        <v>172616802043</v>
      </c>
      <c r="T165" t="s">
        <v>937</v>
      </c>
      <c r="U165" t="s">
        <v>1455</v>
      </c>
      <c r="V165" t="s">
        <v>1456</v>
      </c>
      <c r="Z165">
        <v>118.7467125</v>
      </c>
      <c r="AA165">
        <v>-8.4558693999999992</v>
      </c>
      <c r="AB165" t="s">
        <v>993</v>
      </c>
      <c r="AC165" t="s">
        <v>216</v>
      </c>
      <c r="AL165" t="s">
        <v>217</v>
      </c>
      <c r="AM165" t="s">
        <v>1457</v>
      </c>
      <c r="AN165" t="s">
        <v>6</v>
      </c>
      <c r="AO165" s="57">
        <v>46031.663206018522</v>
      </c>
      <c r="AR165" t="s">
        <v>218</v>
      </c>
      <c r="AS165" t="s">
        <v>219</v>
      </c>
      <c r="AT165" t="s">
        <v>220</v>
      </c>
      <c r="AU165">
        <v>20260901</v>
      </c>
      <c r="AV165" t="s">
        <v>221</v>
      </c>
      <c r="AW165" t="s">
        <v>578</v>
      </c>
      <c r="AX165" t="s">
        <v>222</v>
      </c>
      <c r="BA165" s="57">
        <v>46266.291666666664</v>
      </c>
      <c r="BB165" t="s">
        <v>1457</v>
      </c>
      <c r="BC165">
        <v>2026</v>
      </c>
      <c r="BD165">
        <v>9</v>
      </c>
      <c r="BE165">
        <v>1</v>
      </c>
      <c r="BF165" s="6">
        <f t="shared" si="6"/>
        <v>46266</v>
      </c>
      <c r="BG165">
        <f t="shared" si="7"/>
        <v>-0.29166666666424135</v>
      </c>
      <c r="BH165" t="str">
        <f t="shared" si="8"/>
        <v>COMPLY</v>
      </c>
      <c r="BI165" t="str">
        <f>VLOOKUP(H165,Sheet2!$A$1:$B$270,2,FALSE)</f>
        <v>BIMA</v>
      </c>
    </row>
    <row r="166" spans="1:61">
      <c r="A166">
        <v>165</v>
      </c>
      <c r="B166">
        <v>1002564469</v>
      </c>
      <c r="C166">
        <v>3</v>
      </c>
      <c r="D166" t="s">
        <v>59</v>
      </c>
      <c r="E166">
        <v>4</v>
      </c>
      <c r="F166" t="s">
        <v>549</v>
      </c>
      <c r="G166" t="s">
        <v>582</v>
      </c>
      <c r="H166" t="s">
        <v>590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46266.402719907404</v>
      </c>
      <c r="P166" s="57">
        <v>46267.575312499997</v>
      </c>
      <c r="Q166">
        <v>69381251</v>
      </c>
      <c r="S166">
        <v>146131120709</v>
      </c>
      <c r="T166" t="s">
        <v>1167</v>
      </c>
      <c r="U166" t="s">
        <v>1168</v>
      </c>
      <c r="V166" t="s">
        <v>1169</v>
      </c>
      <c r="Z166">
        <v>110.41681440000001</v>
      </c>
      <c r="AA166">
        <v>-7.7777422999999999</v>
      </c>
      <c r="AB166" t="s">
        <v>1170</v>
      </c>
      <c r="AC166" t="s">
        <v>284</v>
      </c>
      <c r="AL166" t="s">
        <v>217</v>
      </c>
      <c r="AM166" t="s">
        <v>1171</v>
      </c>
      <c r="AN166" t="s">
        <v>6</v>
      </c>
      <c r="AO166" s="57">
        <v>46031.413310185184</v>
      </c>
      <c r="AP166" s="57">
        <v>46267.541666666664</v>
      </c>
      <c r="AR166" t="s">
        <v>218</v>
      </c>
      <c r="AS166" t="s">
        <v>219</v>
      </c>
      <c r="AT166" t="s">
        <v>230</v>
      </c>
      <c r="AU166">
        <v>20260902</v>
      </c>
      <c r="AV166" t="s">
        <v>221</v>
      </c>
      <c r="AW166" t="s">
        <v>544</v>
      </c>
      <c r="AX166" t="s">
        <v>222</v>
      </c>
      <c r="BA166" s="57">
        <v>46267.541666666664</v>
      </c>
      <c r="BB166" t="s">
        <v>1171</v>
      </c>
      <c r="BC166">
        <v>2026</v>
      </c>
      <c r="BD166">
        <v>9</v>
      </c>
      <c r="BE166">
        <v>2</v>
      </c>
      <c r="BF166" s="6">
        <f t="shared" si="6"/>
        <v>46267</v>
      </c>
      <c r="BG166">
        <f t="shared" si="7"/>
        <v>-0.54166666666424135</v>
      </c>
      <c r="BH166" t="str">
        <f t="shared" si="8"/>
        <v>COMPLY</v>
      </c>
      <c r="BI166" t="e">
        <f>VLOOKUP(H166,Sheet2!$A$1:$B$270,2,FALSE)</f>
        <v>#N/A</v>
      </c>
    </row>
    <row r="167" spans="1:61">
      <c r="A167">
        <v>166</v>
      </c>
      <c r="B167">
        <v>1002564921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243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46266.461087962962</v>
      </c>
      <c r="P167" s="57">
        <v>46267.772337962961</v>
      </c>
      <c r="Q167">
        <v>69381359</v>
      </c>
      <c r="S167">
        <v>172605804355</v>
      </c>
      <c r="T167" t="s">
        <v>1172</v>
      </c>
      <c r="U167" t="s">
        <v>2083</v>
      </c>
      <c r="V167" t="s">
        <v>1173</v>
      </c>
      <c r="Z167">
        <v>116.16868257522501</v>
      </c>
      <c r="AA167">
        <v>-8.6085286704885196</v>
      </c>
      <c r="AB167" t="s">
        <v>1174</v>
      </c>
      <c r="AC167" t="s">
        <v>216</v>
      </c>
      <c r="AL167" t="s">
        <v>217</v>
      </c>
      <c r="AM167" t="s">
        <v>1175</v>
      </c>
      <c r="AN167" t="s">
        <v>6</v>
      </c>
      <c r="AO167" s="57">
        <v>46031.465405092589</v>
      </c>
      <c r="AP167" s="57">
        <v>46268.333333333336</v>
      </c>
      <c r="AR167" t="s">
        <v>218</v>
      </c>
      <c r="AS167" t="s">
        <v>219</v>
      </c>
      <c r="AT167" t="s">
        <v>230</v>
      </c>
      <c r="AU167">
        <v>20260902</v>
      </c>
      <c r="AV167" t="s">
        <v>221</v>
      </c>
      <c r="AW167" t="s">
        <v>888</v>
      </c>
      <c r="AX167" t="s">
        <v>222</v>
      </c>
      <c r="BA167" s="57">
        <v>46268.333333333336</v>
      </c>
      <c r="BB167" t="s">
        <v>1175</v>
      </c>
      <c r="BC167">
        <v>2026</v>
      </c>
      <c r="BD167">
        <v>9</v>
      </c>
      <c r="BE167">
        <v>2</v>
      </c>
      <c r="BF167" s="6">
        <f t="shared" si="6"/>
        <v>46267</v>
      </c>
      <c r="BG167">
        <f t="shared" si="7"/>
        <v>-1.3333333333357587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1002564898</v>
      </c>
      <c r="C168">
        <v>3</v>
      </c>
      <c r="D168" t="s">
        <v>34</v>
      </c>
      <c r="E168">
        <v>5</v>
      </c>
      <c r="F168" t="s">
        <v>554</v>
      </c>
      <c r="G168" t="s">
        <v>79</v>
      </c>
      <c r="H168" t="s">
        <v>282</v>
      </c>
      <c r="I168" t="s">
        <v>212</v>
      </c>
      <c r="J168" t="s">
        <v>213</v>
      </c>
      <c r="K168" t="s">
        <v>149</v>
      </c>
      <c r="M168" t="s">
        <v>76</v>
      </c>
      <c r="N168" t="s">
        <v>215</v>
      </c>
      <c r="O168" s="57">
        <v>46266.45894675926</v>
      </c>
      <c r="P168" s="57">
        <v>46267.341724537036</v>
      </c>
      <c r="Q168">
        <v>69379494</v>
      </c>
      <c r="S168">
        <v>172408248244</v>
      </c>
      <c r="T168" t="s">
        <v>1001</v>
      </c>
      <c r="U168" t="s">
        <v>1395</v>
      </c>
      <c r="V168" t="s">
        <v>1396</v>
      </c>
      <c r="Z168">
        <v>115.302389173123</v>
      </c>
      <c r="AA168">
        <v>-8.4823694597113501</v>
      </c>
      <c r="AB168" t="s">
        <v>1002</v>
      </c>
      <c r="AC168" t="s">
        <v>216</v>
      </c>
      <c r="AL168" t="s">
        <v>217</v>
      </c>
      <c r="AM168" t="s">
        <v>1397</v>
      </c>
      <c r="AN168" t="s">
        <v>6</v>
      </c>
      <c r="AO168" s="57">
        <v>46031.465405092589</v>
      </c>
      <c r="AR168" t="s">
        <v>218</v>
      </c>
      <c r="AS168" t="s">
        <v>609</v>
      </c>
      <c r="AT168" t="s">
        <v>230</v>
      </c>
      <c r="AU168">
        <v>20260902</v>
      </c>
      <c r="AV168" t="s">
        <v>221</v>
      </c>
      <c r="AW168" t="s">
        <v>571</v>
      </c>
      <c r="AX168" t="s">
        <v>222</v>
      </c>
      <c r="BA168" s="57">
        <v>46266.291666666664</v>
      </c>
      <c r="BB168" t="s">
        <v>1397</v>
      </c>
      <c r="BC168">
        <v>2026</v>
      </c>
      <c r="BD168">
        <v>9</v>
      </c>
      <c r="BE168">
        <v>2</v>
      </c>
      <c r="BF168" s="6">
        <f t="shared" si="6"/>
        <v>46267</v>
      </c>
      <c r="BG168">
        <f t="shared" si="7"/>
        <v>0.70833333333575865</v>
      </c>
      <c r="BH168" t="str">
        <f t="shared" si="8"/>
        <v>COMPLY</v>
      </c>
      <c r="BI168" t="str">
        <f>VLOOKUP(H168,Sheet2!$A$1:$B$270,2,FALSE)</f>
        <v>GIANYAR</v>
      </c>
    </row>
    <row r="169" spans="1:61">
      <c r="A169">
        <v>168</v>
      </c>
      <c r="B169">
        <v>1002564914</v>
      </c>
      <c r="C169">
        <v>3</v>
      </c>
      <c r="D169" t="s">
        <v>38</v>
      </c>
      <c r="E169">
        <v>5</v>
      </c>
      <c r="F169" t="s">
        <v>248</v>
      </c>
      <c r="G169" t="s">
        <v>87</v>
      </c>
      <c r="H169" t="s">
        <v>354</v>
      </c>
      <c r="I169" t="s">
        <v>212</v>
      </c>
      <c r="J169" t="s">
        <v>213</v>
      </c>
      <c r="K169" t="s">
        <v>149</v>
      </c>
      <c r="L169" t="s">
        <v>214</v>
      </c>
      <c r="M169" t="s">
        <v>76</v>
      </c>
      <c r="N169" t="s">
        <v>215</v>
      </c>
      <c r="O169" s="57">
        <v>46266.460381944446</v>
      </c>
      <c r="P169" s="57">
        <v>46267.451238425929</v>
      </c>
      <c r="Q169">
        <v>69381356</v>
      </c>
      <c r="S169">
        <v>152707239342</v>
      </c>
      <c r="T169" t="s">
        <v>1378</v>
      </c>
      <c r="U169" t="s">
        <v>1379</v>
      </c>
      <c r="V169" t="s">
        <v>1380</v>
      </c>
      <c r="Z169">
        <v>112.49473817646501</v>
      </c>
      <c r="AA169">
        <v>-7.86437651417857</v>
      </c>
      <c r="AB169" t="s">
        <v>1381</v>
      </c>
      <c r="AC169" t="s">
        <v>216</v>
      </c>
      <c r="AL169" t="s">
        <v>217</v>
      </c>
      <c r="AM169" t="s">
        <v>1316</v>
      </c>
      <c r="AN169" t="s">
        <v>6</v>
      </c>
      <c r="AO169" s="57">
        <v>46031.465405092589</v>
      </c>
      <c r="AP169" s="57">
        <v>46267.333333333336</v>
      </c>
      <c r="AR169" t="s">
        <v>218</v>
      </c>
      <c r="AS169" t="s">
        <v>87</v>
      </c>
      <c r="AT169" t="s">
        <v>230</v>
      </c>
      <c r="AU169">
        <v>20260902</v>
      </c>
      <c r="AV169" t="s">
        <v>221</v>
      </c>
      <c r="AW169" t="s">
        <v>886</v>
      </c>
      <c r="AX169" t="s">
        <v>222</v>
      </c>
      <c r="BA169" s="57">
        <v>46267.333333333336</v>
      </c>
      <c r="BB169" t="s">
        <v>1316</v>
      </c>
      <c r="BC169">
        <v>2026</v>
      </c>
      <c r="BD169">
        <v>9</v>
      </c>
      <c r="BE169">
        <v>2</v>
      </c>
      <c r="BF169" s="6">
        <f t="shared" si="6"/>
        <v>46267</v>
      </c>
      <c r="BG169">
        <f t="shared" si="7"/>
        <v>-0.33333333333575865</v>
      </c>
      <c r="BH169" t="str">
        <f t="shared" si="8"/>
        <v>COMPLY</v>
      </c>
      <c r="BI169" t="str">
        <f>VLOOKUP(H169,Sheet2!$A$1:$B$270,2,FALSE)</f>
        <v>BATU</v>
      </c>
    </row>
    <row r="170" spans="1:61">
      <c r="A170">
        <v>169</v>
      </c>
      <c r="B170">
        <v>1002564483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247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46266.406747685185</v>
      </c>
      <c r="P170" s="57">
        <v>46267.395578703705</v>
      </c>
      <c r="Q170">
        <v>69378885</v>
      </c>
      <c r="S170">
        <v>172616802036</v>
      </c>
      <c r="T170" t="s">
        <v>1015</v>
      </c>
      <c r="U170" t="s">
        <v>1398</v>
      </c>
      <c r="V170" t="s">
        <v>1399</v>
      </c>
      <c r="Z170">
        <v>118.7534485</v>
      </c>
      <c r="AA170">
        <v>-8.4804061999999991</v>
      </c>
      <c r="AB170" t="s">
        <v>1016</v>
      </c>
      <c r="AC170" t="s">
        <v>284</v>
      </c>
      <c r="AL170" t="s">
        <v>217</v>
      </c>
      <c r="AM170" t="s">
        <v>1400</v>
      </c>
      <c r="AN170" t="s">
        <v>6</v>
      </c>
      <c r="AO170" s="57">
        <v>46031.413310185184</v>
      </c>
      <c r="AR170" t="s">
        <v>218</v>
      </c>
      <c r="AS170" t="s">
        <v>219</v>
      </c>
      <c r="AT170" t="s">
        <v>220</v>
      </c>
      <c r="AU170">
        <v>20260902</v>
      </c>
      <c r="AV170" t="s">
        <v>221</v>
      </c>
      <c r="AW170" t="s">
        <v>545</v>
      </c>
      <c r="AX170" t="s">
        <v>222</v>
      </c>
      <c r="BA170" s="57">
        <v>46266.291666666664</v>
      </c>
      <c r="BB170" t="s">
        <v>1400</v>
      </c>
      <c r="BC170">
        <v>2026</v>
      </c>
      <c r="BD170">
        <v>9</v>
      </c>
      <c r="BE170">
        <v>2</v>
      </c>
      <c r="BF170" s="6">
        <f t="shared" si="6"/>
        <v>46267</v>
      </c>
      <c r="BG170">
        <f t="shared" si="7"/>
        <v>0.70833333333575865</v>
      </c>
      <c r="BH170" t="str">
        <f t="shared" si="8"/>
        <v>COMPLY</v>
      </c>
      <c r="BI170" t="str">
        <f>VLOOKUP(H170,Sheet2!$A$1:$B$270,2,FALSE)</f>
        <v>BIMA</v>
      </c>
    </row>
    <row r="171" spans="1:61">
      <c r="A171">
        <v>170</v>
      </c>
      <c r="B171">
        <v>1002564922</v>
      </c>
      <c r="C171">
        <v>3</v>
      </c>
      <c r="D171" t="s">
        <v>34</v>
      </c>
      <c r="E171">
        <v>5</v>
      </c>
      <c r="F171" t="s">
        <v>563</v>
      </c>
      <c r="G171" t="s">
        <v>81</v>
      </c>
      <c r="H171" t="s">
        <v>316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46266.461793981478</v>
      </c>
      <c r="P171" s="57">
        <v>46266.498506944445</v>
      </c>
      <c r="Q171">
        <v>69377687</v>
      </c>
      <c r="S171">
        <v>172415798837</v>
      </c>
      <c r="T171" t="s">
        <v>969</v>
      </c>
      <c r="U171" t="s">
        <v>1458</v>
      </c>
      <c r="V171" t="s">
        <v>1459</v>
      </c>
      <c r="Z171">
        <v>115.11239999999999</v>
      </c>
      <c r="AA171">
        <v>-8.8366000000000007</v>
      </c>
      <c r="AB171" t="s">
        <v>970</v>
      </c>
      <c r="AC171" t="s">
        <v>216</v>
      </c>
      <c r="AL171" t="s">
        <v>217</v>
      </c>
      <c r="AM171" t="s">
        <v>1460</v>
      </c>
      <c r="AN171" t="s">
        <v>6</v>
      </c>
      <c r="AO171" s="57">
        <v>46031.465405092589</v>
      </c>
      <c r="AR171" t="s">
        <v>218</v>
      </c>
      <c r="AS171" t="s">
        <v>906</v>
      </c>
      <c r="AT171" t="s">
        <v>230</v>
      </c>
      <c r="AU171">
        <v>20260901</v>
      </c>
      <c r="AV171" t="s">
        <v>221</v>
      </c>
      <c r="AW171" t="s">
        <v>545</v>
      </c>
      <c r="AX171" t="s">
        <v>222</v>
      </c>
      <c r="BA171" s="57">
        <v>46266.291666666664</v>
      </c>
      <c r="BB171" t="s">
        <v>1460</v>
      </c>
      <c r="BC171">
        <v>2026</v>
      </c>
      <c r="BD171">
        <v>9</v>
      </c>
      <c r="BE171">
        <v>1</v>
      </c>
      <c r="BF171" s="6">
        <f t="shared" si="6"/>
        <v>46266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JIMBARAN</v>
      </c>
    </row>
    <row r="172" spans="1:61">
      <c r="A172">
        <v>171</v>
      </c>
      <c r="B172">
        <v>1002564906</v>
      </c>
      <c r="C172">
        <v>3</v>
      </c>
      <c r="D172" t="s">
        <v>59</v>
      </c>
      <c r="E172">
        <v>4</v>
      </c>
      <c r="F172" t="s">
        <v>242</v>
      </c>
      <c r="G172" t="s">
        <v>600</v>
      </c>
      <c r="H172" t="s">
        <v>872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46266.458981481483</v>
      </c>
      <c r="P172" s="57">
        <v>46267.682222222225</v>
      </c>
      <c r="Q172">
        <v>69381352</v>
      </c>
      <c r="S172">
        <v>146149124469</v>
      </c>
      <c r="T172" t="s">
        <v>1187</v>
      </c>
      <c r="U172" t="s">
        <v>1188</v>
      </c>
      <c r="V172" t="s">
        <v>1189</v>
      </c>
      <c r="Z172">
        <v>110.1240986</v>
      </c>
      <c r="AA172">
        <v>-7.3415486999999997</v>
      </c>
      <c r="AB172" t="s">
        <v>1190</v>
      </c>
      <c r="AC172" t="s">
        <v>236</v>
      </c>
      <c r="AL172" t="s">
        <v>217</v>
      </c>
      <c r="AM172" t="s">
        <v>1191</v>
      </c>
      <c r="AN172" t="s">
        <v>6</v>
      </c>
      <c r="AO172" s="57">
        <v>46031.465405092589</v>
      </c>
      <c r="AP172" s="57">
        <v>46267.333333333336</v>
      </c>
      <c r="AR172" t="s">
        <v>218</v>
      </c>
      <c r="AS172" t="s">
        <v>219</v>
      </c>
      <c r="AT172" t="s">
        <v>230</v>
      </c>
      <c r="AU172">
        <v>20260902</v>
      </c>
      <c r="AV172" t="s">
        <v>221</v>
      </c>
      <c r="AW172" t="s">
        <v>883</v>
      </c>
      <c r="AX172" t="s">
        <v>222</v>
      </c>
      <c r="BA172" s="57">
        <v>46267.333333333336</v>
      </c>
      <c r="BB172" t="s">
        <v>1191</v>
      </c>
      <c r="BC172">
        <v>2026</v>
      </c>
      <c r="BD172">
        <v>9</v>
      </c>
      <c r="BE172">
        <v>2</v>
      </c>
      <c r="BF172" s="6">
        <f t="shared" si="6"/>
        <v>46267</v>
      </c>
      <c r="BG172">
        <f t="shared" si="7"/>
        <v>-0.33333333333575865</v>
      </c>
      <c r="BH172" t="str">
        <f t="shared" si="8"/>
        <v>COMPLY</v>
      </c>
      <c r="BI172" t="e">
        <f>VLOOKUP(H172,Sheet2!$A$1:$B$270,2,FALSE)</f>
        <v>#N/A</v>
      </c>
    </row>
    <row r="173" spans="1:61">
      <c r="A173">
        <v>172</v>
      </c>
      <c r="B173">
        <v>1002564932</v>
      </c>
      <c r="C173">
        <v>3</v>
      </c>
      <c r="D173" t="s">
        <v>59</v>
      </c>
      <c r="E173">
        <v>4</v>
      </c>
      <c r="F173" t="s">
        <v>223</v>
      </c>
      <c r="G173" t="s">
        <v>580</v>
      </c>
      <c r="H173" t="s">
        <v>829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46266.463159722225</v>
      </c>
      <c r="P173" s="57">
        <v>46267.718298611115</v>
      </c>
      <c r="Q173">
        <v>69381362</v>
      </c>
      <c r="S173">
        <v>143361127092</v>
      </c>
      <c r="T173" t="s">
        <v>1197</v>
      </c>
      <c r="U173" t="s">
        <v>1198</v>
      </c>
      <c r="V173" t="s">
        <v>1199</v>
      </c>
      <c r="Z173">
        <v>109.0122937</v>
      </c>
      <c r="AA173">
        <v>-7.7399620000000002</v>
      </c>
      <c r="AB173" t="s">
        <v>1200</v>
      </c>
      <c r="AC173" t="s">
        <v>236</v>
      </c>
      <c r="AL173" t="s">
        <v>217</v>
      </c>
      <c r="AM173" t="s">
        <v>1201</v>
      </c>
      <c r="AN173" t="s">
        <v>6</v>
      </c>
      <c r="AO173" s="57">
        <v>46031.465405092589</v>
      </c>
      <c r="AP173" s="57">
        <v>46272.333333333336</v>
      </c>
      <c r="AR173" t="s">
        <v>218</v>
      </c>
      <c r="AS173" t="s">
        <v>219</v>
      </c>
      <c r="AT173" t="s">
        <v>230</v>
      </c>
      <c r="AU173">
        <v>20260902</v>
      </c>
      <c r="AV173" t="s">
        <v>221</v>
      </c>
      <c r="AW173" t="s">
        <v>888</v>
      </c>
      <c r="AX173" t="s">
        <v>222</v>
      </c>
      <c r="BA173" s="57">
        <v>46272.333333333336</v>
      </c>
      <c r="BB173" t="s">
        <v>1201</v>
      </c>
      <c r="BC173">
        <v>2026</v>
      </c>
      <c r="BD173">
        <v>9</v>
      </c>
      <c r="BE173">
        <v>2</v>
      </c>
      <c r="BF173" s="6">
        <f t="shared" si="6"/>
        <v>46267</v>
      </c>
      <c r="BG173">
        <f t="shared" si="7"/>
        <v>-5.3333333333357587</v>
      </c>
      <c r="BH173" t="str">
        <f t="shared" si="8"/>
        <v>COMPLY</v>
      </c>
      <c r="BI173" t="e">
        <f>VLOOKUP(H173,Sheet2!$A$1:$B$270,2,FALSE)</f>
        <v>#N/A</v>
      </c>
    </row>
    <row r="174" spans="1:61">
      <c r="A174">
        <v>173</v>
      </c>
      <c r="B174">
        <v>1002564905</v>
      </c>
      <c r="C174">
        <v>3</v>
      </c>
      <c r="D174" t="s">
        <v>55</v>
      </c>
      <c r="E174">
        <v>5</v>
      </c>
      <c r="F174" t="s">
        <v>261</v>
      </c>
      <c r="G174" t="s">
        <v>123</v>
      </c>
      <c r="H174" t="s">
        <v>287</v>
      </c>
      <c r="I174" t="s">
        <v>212</v>
      </c>
      <c r="J174" t="s">
        <v>213</v>
      </c>
      <c r="K174" t="s">
        <v>149</v>
      </c>
      <c r="M174" t="s">
        <v>76</v>
      </c>
      <c r="N174" t="s">
        <v>215</v>
      </c>
      <c r="O174" s="57">
        <v>46266.459374999999</v>
      </c>
      <c r="P174" s="57">
        <v>46266.630798611113</v>
      </c>
      <c r="Q174">
        <v>69370432</v>
      </c>
      <c r="S174">
        <v>152401227586</v>
      </c>
      <c r="T174" t="s">
        <v>895</v>
      </c>
      <c r="U174" t="s">
        <v>896</v>
      </c>
      <c r="V174" t="s">
        <v>1461</v>
      </c>
      <c r="Z174">
        <v>112.73806873573299</v>
      </c>
      <c r="AA174">
        <v>-7.2091245735555303</v>
      </c>
      <c r="AB174" t="s">
        <v>897</v>
      </c>
      <c r="AC174" t="s">
        <v>285</v>
      </c>
      <c r="AL174" t="s">
        <v>217</v>
      </c>
      <c r="AM174" t="s">
        <v>1462</v>
      </c>
      <c r="AN174" t="s">
        <v>6</v>
      </c>
      <c r="AO174" s="57">
        <v>46031.465405092589</v>
      </c>
      <c r="AR174" t="s">
        <v>218</v>
      </c>
      <c r="AS174" t="s">
        <v>271</v>
      </c>
      <c r="AT174" t="s">
        <v>230</v>
      </c>
      <c r="AU174">
        <v>20260901</v>
      </c>
      <c r="AV174" t="s">
        <v>221</v>
      </c>
      <c r="AW174" t="s">
        <v>862</v>
      </c>
      <c r="AX174" t="s">
        <v>222</v>
      </c>
      <c r="BA174" s="57">
        <v>46266.291666666664</v>
      </c>
      <c r="BB174" t="s">
        <v>1462</v>
      </c>
      <c r="BC174">
        <v>2026</v>
      </c>
      <c r="BD174">
        <v>9</v>
      </c>
      <c r="BE174">
        <v>1</v>
      </c>
      <c r="BF174" s="6">
        <f t="shared" si="6"/>
        <v>46266</v>
      </c>
      <c r="BG174">
        <f t="shared" si="7"/>
        <v>-0.29166666666424135</v>
      </c>
      <c r="BH174" t="str">
        <f t="shared" si="8"/>
        <v>COMPLY</v>
      </c>
      <c r="BI174" t="str">
        <f>VLOOKUP(H174,Sheet2!$A$1:$B$270,2,FALSE)</f>
        <v>SURABAYA UTARA</v>
      </c>
    </row>
    <row r="175" spans="1:61">
      <c r="A175">
        <v>174</v>
      </c>
      <c r="B175">
        <v>1002564503</v>
      </c>
      <c r="C175">
        <v>3</v>
      </c>
      <c r="D175" t="s">
        <v>51</v>
      </c>
      <c r="E175">
        <v>4</v>
      </c>
      <c r="F175" t="s">
        <v>269</v>
      </c>
      <c r="G175" t="s">
        <v>823</v>
      </c>
      <c r="H175" t="s">
        <v>871</v>
      </c>
      <c r="I175" t="s">
        <v>212</v>
      </c>
      <c r="J175" t="s">
        <v>213</v>
      </c>
      <c r="K175" t="s">
        <v>149</v>
      </c>
      <c r="M175" t="s">
        <v>76</v>
      </c>
      <c r="N175" t="s">
        <v>215</v>
      </c>
      <c r="O175" s="57">
        <v>46266.406898148147</v>
      </c>
      <c r="P175" s="57">
        <v>46266.579710648148</v>
      </c>
      <c r="Q175">
        <v>69377664</v>
      </c>
      <c r="R175">
        <v>2916942037</v>
      </c>
      <c r="S175">
        <v>142539117952</v>
      </c>
      <c r="T175" t="s">
        <v>962</v>
      </c>
      <c r="U175" t="s">
        <v>1463</v>
      </c>
      <c r="V175" t="s">
        <v>1464</v>
      </c>
      <c r="Z175">
        <v>110.70882</v>
      </c>
      <c r="AA175">
        <v>-6.6393199999999997</v>
      </c>
      <c r="AB175" t="s">
        <v>963</v>
      </c>
      <c r="AC175" t="s">
        <v>225</v>
      </c>
      <c r="AL175" t="s">
        <v>217</v>
      </c>
      <c r="AM175" t="s">
        <v>1465</v>
      </c>
      <c r="AN175" t="s">
        <v>6</v>
      </c>
      <c r="AO175" s="57">
        <v>46031.413310185184</v>
      </c>
      <c r="AR175" t="s">
        <v>218</v>
      </c>
      <c r="AS175" t="s">
        <v>219</v>
      </c>
      <c r="AT175" t="s">
        <v>230</v>
      </c>
      <c r="AU175">
        <v>20260901</v>
      </c>
      <c r="AV175" t="s">
        <v>221</v>
      </c>
      <c r="AW175" t="s">
        <v>585</v>
      </c>
      <c r="AX175" t="s">
        <v>222</v>
      </c>
      <c r="BA175" s="57">
        <v>46266.291666666664</v>
      </c>
      <c r="BB175" t="s">
        <v>1465</v>
      </c>
      <c r="BC175">
        <v>2026</v>
      </c>
      <c r="BD175">
        <v>9</v>
      </c>
      <c r="BE175">
        <v>1</v>
      </c>
      <c r="BF175" s="6">
        <f t="shared" si="6"/>
        <v>46266</v>
      </c>
      <c r="BG175">
        <f t="shared" si="7"/>
        <v>-0.29166666666424135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1002565698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263</v>
      </c>
      <c r="I176" t="s">
        <v>212</v>
      </c>
      <c r="J176" t="s">
        <v>213</v>
      </c>
      <c r="K176" t="s">
        <v>149</v>
      </c>
      <c r="M176" t="s">
        <v>76</v>
      </c>
      <c r="N176" t="s">
        <v>215</v>
      </c>
      <c r="O176" s="57">
        <v>46266.607476851852</v>
      </c>
      <c r="P176" s="57">
        <v>46266.68209490741</v>
      </c>
      <c r="Q176">
        <v>69376585</v>
      </c>
      <c r="S176">
        <v>172601797534</v>
      </c>
      <c r="T176" t="s">
        <v>922</v>
      </c>
      <c r="U176" t="s">
        <v>923</v>
      </c>
      <c r="V176" t="s">
        <v>1466</v>
      </c>
      <c r="Z176">
        <v>116.11380029999999</v>
      </c>
      <c r="AA176">
        <v>-8.6038099999999993</v>
      </c>
      <c r="AB176" t="s">
        <v>959</v>
      </c>
      <c r="AC176" t="s">
        <v>225</v>
      </c>
      <c r="AL176" t="s">
        <v>217</v>
      </c>
      <c r="AM176" t="s">
        <v>1467</v>
      </c>
      <c r="AN176" t="s">
        <v>6</v>
      </c>
      <c r="AO176" s="57">
        <v>46031.611076388886</v>
      </c>
      <c r="AR176" t="s">
        <v>218</v>
      </c>
      <c r="AS176" t="s">
        <v>219</v>
      </c>
      <c r="AT176" t="s">
        <v>220</v>
      </c>
      <c r="AU176">
        <v>20260901</v>
      </c>
      <c r="AV176" t="s">
        <v>221</v>
      </c>
      <c r="AW176" t="s">
        <v>598</v>
      </c>
      <c r="AX176" t="s">
        <v>222</v>
      </c>
      <c r="BA176" s="57">
        <v>46266.291666666664</v>
      </c>
      <c r="BB176" t="s">
        <v>1467</v>
      </c>
      <c r="BC176">
        <v>2026</v>
      </c>
      <c r="BD176">
        <v>9</v>
      </c>
      <c r="BE176">
        <v>1</v>
      </c>
      <c r="BF176" s="6">
        <f t="shared" si="6"/>
        <v>46266</v>
      </c>
      <c r="BG176">
        <f t="shared" si="7"/>
        <v>-0.29166666666424135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1002564495</v>
      </c>
      <c r="C177">
        <v>3</v>
      </c>
      <c r="D177" t="s">
        <v>55</v>
      </c>
      <c r="E177">
        <v>5</v>
      </c>
      <c r="F177" t="s">
        <v>261</v>
      </c>
      <c r="G177" t="s">
        <v>126</v>
      </c>
      <c r="H177" t="s">
        <v>262</v>
      </c>
      <c r="I177" t="s">
        <v>212</v>
      </c>
      <c r="J177" t="s">
        <v>213</v>
      </c>
      <c r="K177" t="s">
        <v>149</v>
      </c>
      <c r="M177" t="s">
        <v>76</v>
      </c>
      <c r="N177" t="s">
        <v>215</v>
      </c>
      <c r="O177" s="57">
        <v>46266.406087962961</v>
      </c>
      <c r="P177" s="57">
        <v>46266.473483796297</v>
      </c>
      <c r="Q177">
        <v>69359764</v>
      </c>
      <c r="S177">
        <v>152413167896</v>
      </c>
      <c r="T177" t="s">
        <v>861</v>
      </c>
      <c r="U177" t="s">
        <v>1468</v>
      </c>
      <c r="V177" t="s">
        <v>1469</v>
      </c>
      <c r="Z177">
        <v>112.751255</v>
      </c>
      <c r="AA177">
        <v>-7.2597950000000004</v>
      </c>
      <c r="AB177" t="s">
        <v>863</v>
      </c>
      <c r="AC177" t="s">
        <v>216</v>
      </c>
      <c r="AL177" t="s">
        <v>217</v>
      </c>
      <c r="AM177" t="s">
        <v>1470</v>
      </c>
      <c r="AN177" t="s">
        <v>6</v>
      </c>
      <c r="AO177" s="57">
        <v>46031.413310185184</v>
      </c>
      <c r="AR177" t="s">
        <v>218</v>
      </c>
      <c r="AS177" t="s">
        <v>575</v>
      </c>
      <c r="AT177" t="s">
        <v>230</v>
      </c>
      <c r="AU177">
        <v>20260901</v>
      </c>
      <c r="AV177" t="s">
        <v>221</v>
      </c>
      <c r="AW177" t="s">
        <v>545</v>
      </c>
      <c r="AX177" t="s">
        <v>222</v>
      </c>
      <c r="BA177" s="57">
        <v>46266.291666666664</v>
      </c>
      <c r="BB177" t="s">
        <v>1470</v>
      </c>
      <c r="BC177">
        <v>2026</v>
      </c>
      <c r="BD177">
        <v>9</v>
      </c>
      <c r="BE177">
        <v>1</v>
      </c>
      <c r="BF177" s="6">
        <f t="shared" si="6"/>
        <v>46266</v>
      </c>
      <c r="BG177">
        <f t="shared" si="7"/>
        <v>-0.29166666666424135</v>
      </c>
      <c r="BH177" t="str">
        <f t="shared" si="8"/>
        <v>COMPLY</v>
      </c>
      <c r="BI177" t="str">
        <f>VLOOKUP(H177,Sheet2!$A$1:$B$270,2,FALSE)</f>
        <v>SURABAYA SELATAN</v>
      </c>
    </row>
    <row r="178" spans="1:61">
      <c r="A178">
        <v>177</v>
      </c>
      <c r="B178">
        <v>1002566276</v>
      </c>
      <c r="C178">
        <v>3</v>
      </c>
      <c r="D178" t="s">
        <v>59</v>
      </c>
      <c r="E178">
        <v>4</v>
      </c>
      <c r="F178" t="s">
        <v>242</v>
      </c>
      <c r="G178" t="s">
        <v>242</v>
      </c>
      <c r="H178" t="s">
        <v>288</v>
      </c>
      <c r="I178" t="s">
        <v>212</v>
      </c>
      <c r="J178" t="s">
        <v>213</v>
      </c>
      <c r="K178" t="s">
        <v>149</v>
      </c>
      <c r="L178" t="s">
        <v>214</v>
      </c>
      <c r="M178" t="s">
        <v>76</v>
      </c>
      <c r="N178" t="s">
        <v>215</v>
      </c>
      <c r="O178" s="57">
        <v>46266.693715277775</v>
      </c>
      <c r="P178" s="57">
        <v>46267.598333333335</v>
      </c>
      <c r="Q178">
        <v>69381721</v>
      </c>
      <c r="S178">
        <v>146137147391</v>
      </c>
      <c r="T178" t="s">
        <v>1215</v>
      </c>
      <c r="U178" t="s">
        <v>1216</v>
      </c>
      <c r="V178" t="s">
        <v>1217</v>
      </c>
      <c r="Z178">
        <v>110.31212480000001</v>
      </c>
      <c r="AA178">
        <v>-7.4485051000000002</v>
      </c>
      <c r="AB178" t="s">
        <v>1218</v>
      </c>
      <c r="AC178" t="s">
        <v>236</v>
      </c>
      <c r="AL178" t="s">
        <v>217</v>
      </c>
      <c r="AM178" t="s">
        <v>1219</v>
      </c>
      <c r="AN178" t="s">
        <v>6</v>
      </c>
      <c r="AO178" s="57">
        <v>46031.694467592592</v>
      </c>
      <c r="AP178" s="57">
        <v>46267.541666666664</v>
      </c>
      <c r="AR178" t="s">
        <v>218</v>
      </c>
      <c r="AS178" t="s">
        <v>219</v>
      </c>
      <c r="AT178" t="s">
        <v>230</v>
      </c>
      <c r="AU178">
        <v>20260902</v>
      </c>
      <c r="AV178" t="s">
        <v>221</v>
      </c>
      <c r="AW178" t="s">
        <v>890</v>
      </c>
      <c r="AX178" t="s">
        <v>222</v>
      </c>
      <c r="BA178" s="57">
        <v>46267.541666666664</v>
      </c>
      <c r="BB178" t="s">
        <v>1219</v>
      </c>
      <c r="BC178">
        <v>2026</v>
      </c>
      <c r="BD178">
        <v>9</v>
      </c>
      <c r="BE178">
        <v>2</v>
      </c>
      <c r="BF178" s="6">
        <f t="shared" si="6"/>
        <v>46267</v>
      </c>
      <c r="BG178">
        <f t="shared" si="7"/>
        <v>-0.54166666666424135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1002565406</v>
      </c>
      <c r="C179">
        <v>3</v>
      </c>
      <c r="D179" t="s">
        <v>38</v>
      </c>
      <c r="E179">
        <v>5</v>
      </c>
      <c r="F179" t="s">
        <v>248</v>
      </c>
      <c r="G179" t="s">
        <v>87</v>
      </c>
      <c r="H179" t="s">
        <v>354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46266.558993055558</v>
      </c>
      <c r="P179" s="57">
        <v>46267.604895833334</v>
      </c>
      <c r="Q179">
        <v>69381495</v>
      </c>
      <c r="S179">
        <v>152707239344</v>
      </c>
      <c r="T179" t="s">
        <v>1220</v>
      </c>
      <c r="U179" t="s">
        <v>1221</v>
      </c>
      <c r="V179" t="s">
        <v>1222</v>
      </c>
      <c r="Z179">
        <v>112.54147330000001</v>
      </c>
      <c r="AA179">
        <v>-7.8921427</v>
      </c>
      <c r="AB179" t="s">
        <v>1223</v>
      </c>
      <c r="AC179" t="s">
        <v>236</v>
      </c>
      <c r="AL179" t="s">
        <v>217</v>
      </c>
      <c r="AM179" t="s">
        <v>1224</v>
      </c>
      <c r="AN179" t="s">
        <v>6</v>
      </c>
      <c r="AO179" s="57">
        <v>46031.569398148145</v>
      </c>
      <c r="AP179" s="57">
        <v>46267.541666666664</v>
      </c>
      <c r="AR179" t="s">
        <v>218</v>
      </c>
      <c r="AS179" t="s">
        <v>87</v>
      </c>
      <c r="AT179" t="s">
        <v>230</v>
      </c>
      <c r="AU179">
        <v>20260902</v>
      </c>
      <c r="AV179" t="s">
        <v>221</v>
      </c>
      <c r="AW179" t="s">
        <v>884</v>
      </c>
      <c r="AX179" t="s">
        <v>222</v>
      </c>
      <c r="BA179" s="57">
        <v>46267.541666666664</v>
      </c>
      <c r="BB179" t="s">
        <v>1224</v>
      </c>
      <c r="BC179">
        <v>2026</v>
      </c>
      <c r="BD179">
        <v>9</v>
      </c>
      <c r="BE179">
        <v>2</v>
      </c>
      <c r="BF179" s="6">
        <f t="shared" si="6"/>
        <v>46267</v>
      </c>
      <c r="BG179">
        <f t="shared" si="7"/>
        <v>-0.54166666666424135</v>
      </c>
      <c r="BH179" t="str">
        <f t="shared" si="8"/>
        <v>COMPLY</v>
      </c>
      <c r="BI179" t="str">
        <f>VLOOKUP(H179,Sheet2!$A$1:$B$270,2,FALSE)</f>
        <v>BATU</v>
      </c>
    </row>
    <row r="180" spans="1:61">
      <c r="A180">
        <v>179</v>
      </c>
      <c r="B180">
        <v>1002565062</v>
      </c>
      <c r="C180">
        <v>3</v>
      </c>
      <c r="D180" t="s">
        <v>45</v>
      </c>
      <c r="E180">
        <v>5</v>
      </c>
      <c r="F180" t="s">
        <v>210</v>
      </c>
      <c r="G180" t="s">
        <v>116</v>
      </c>
      <c r="H180" t="s">
        <v>268</v>
      </c>
      <c r="I180" t="s">
        <v>212</v>
      </c>
      <c r="J180" t="s">
        <v>213</v>
      </c>
      <c r="K180" t="s">
        <v>149</v>
      </c>
      <c r="L180" t="s">
        <v>214</v>
      </c>
      <c r="M180" t="s">
        <v>76</v>
      </c>
      <c r="N180" t="s">
        <v>215</v>
      </c>
      <c r="O180" s="57">
        <v>46266.479120370372</v>
      </c>
      <c r="P180" s="57">
        <v>46267.570324074077</v>
      </c>
      <c r="Q180">
        <v>69381411</v>
      </c>
      <c r="S180">
        <v>172604214268</v>
      </c>
      <c r="T180" t="s">
        <v>1225</v>
      </c>
      <c r="U180" t="s">
        <v>2084</v>
      </c>
      <c r="V180" t="s">
        <v>1226</v>
      </c>
      <c r="Z180">
        <v>116.0894498</v>
      </c>
      <c r="AA180">
        <v>-8.4311583999999993</v>
      </c>
      <c r="AB180" t="s">
        <v>1227</v>
      </c>
      <c r="AC180" t="s">
        <v>216</v>
      </c>
      <c r="AL180" t="s">
        <v>217</v>
      </c>
      <c r="AM180" t="s">
        <v>1228</v>
      </c>
      <c r="AN180" t="s">
        <v>6</v>
      </c>
      <c r="AO180" s="57">
        <v>46031.48609953704</v>
      </c>
      <c r="AP180" s="57">
        <v>46268.541666666664</v>
      </c>
      <c r="AR180" t="s">
        <v>218</v>
      </c>
      <c r="AS180" t="s">
        <v>912</v>
      </c>
      <c r="AT180" t="s">
        <v>230</v>
      </c>
      <c r="AU180">
        <v>20260902</v>
      </c>
      <c r="AV180" t="s">
        <v>221</v>
      </c>
      <c r="AW180" t="s">
        <v>831</v>
      </c>
      <c r="AX180" t="s">
        <v>222</v>
      </c>
      <c r="BA180" s="57">
        <v>46268.541666666664</v>
      </c>
      <c r="BB180" t="s">
        <v>1228</v>
      </c>
      <c r="BC180">
        <v>2026</v>
      </c>
      <c r="BD180">
        <v>9</v>
      </c>
      <c r="BE180">
        <v>2</v>
      </c>
      <c r="BF180" s="6">
        <f t="shared" si="6"/>
        <v>46267</v>
      </c>
      <c r="BG180">
        <f t="shared" si="7"/>
        <v>-1.5416666666642413</v>
      </c>
      <c r="BH180" t="str">
        <f t="shared" si="8"/>
        <v>COMPLY</v>
      </c>
      <c r="BI180" t="str">
        <f>VLOOKUP(H180,Sheet2!$A$1:$B$270,2,FALSE)</f>
        <v>SELONG</v>
      </c>
    </row>
    <row r="181" spans="1:61">
      <c r="A181">
        <v>180</v>
      </c>
      <c r="B181">
        <v>1002566521</v>
      </c>
      <c r="C181">
        <v>3</v>
      </c>
      <c r="D181" t="s">
        <v>51</v>
      </c>
      <c r="E181">
        <v>4</v>
      </c>
      <c r="F181" t="s">
        <v>269</v>
      </c>
      <c r="G181" t="s">
        <v>823</v>
      </c>
      <c r="H181" t="s">
        <v>837</v>
      </c>
      <c r="I181" t="s">
        <v>212</v>
      </c>
      <c r="J181" t="s">
        <v>213</v>
      </c>
      <c r="K181" t="s">
        <v>149</v>
      </c>
      <c r="L181" t="s">
        <v>214</v>
      </c>
      <c r="M181" t="s">
        <v>76</v>
      </c>
      <c r="N181" t="s">
        <v>215</v>
      </c>
      <c r="O181" s="57">
        <v>46266.824965277781</v>
      </c>
      <c r="P181" s="57">
        <v>46267.564988425926</v>
      </c>
      <c r="Q181">
        <v>69381888</v>
      </c>
      <c r="S181">
        <v>146593115587</v>
      </c>
      <c r="T181" t="s">
        <v>1229</v>
      </c>
      <c r="U181" t="s">
        <v>2085</v>
      </c>
      <c r="V181" t="s">
        <v>1230</v>
      </c>
      <c r="Z181">
        <v>110.768336469944</v>
      </c>
      <c r="AA181">
        <v>-6.72109014731969</v>
      </c>
      <c r="AB181" t="s">
        <v>1231</v>
      </c>
      <c r="AC181" t="s">
        <v>216</v>
      </c>
      <c r="AL181" t="s">
        <v>217</v>
      </c>
      <c r="AM181" t="s">
        <v>1232</v>
      </c>
      <c r="AN181" t="s">
        <v>6</v>
      </c>
      <c r="AO181" s="57">
        <v>46031.829826388886</v>
      </c>
      <c r="AP181" s="57">
        <v>46268.333333333336</v>
      </c>
      <c r="AR181" t="s">
        <v>218</v>
      </c>
      <c r="AS181" t="s">
        <v>919</v>
      </c>
      <c r="AT181" t="s">
        <v>230</v>
      </c>
      <c r="AU181">
        <v>20260902</v>
      </c>
      <c r="AV181" t="s">
        <v>221</v>
      </c>
      <c r="AW181" t="s">
        <v>885</v>
      </c>
      <c r="AX181" t="s">
        <v>222</v>
      </c>
      <c r="BA181" s="57">
        <v>46268.333333333336</v>
      </c>
      <c r="BB181" t="s">
        <v>1232</v>
      </c>
      <c r="BC181">
        <v>2026</v>
      </c>
      <c r="BD181">
        <v>9</v>
      </c>
      <c r="BE181">
        <v>2</v>
      </c>
      <c r="BF181" s="6">
        <f t="shared" si="6"/>
        <v>46267</v>
      </c>
      <c r="BG181">
        <f t="shared" si="7"/>
        <v>-1.3333333333357587</v>
      </c>
      <c r="BH181" t="str">
        <f t="shared" si="8"/>
        <v>COMPLY</v>
      </c>
      <c r="BI181" t="e">
        <f>VLOOKUP(H181,Sheet2!$A$1:$B$270,2,FALSE)</f>
        <v>#N/A</v>
      </c>
    </row>
    <row r="182" spans="1:61">
      <c r="A182">
        <v>181</v>
      </c>
      <c r="B182">
        <v>1002566093</v>
      </c>
      <c r="C182">
        <v>3</v>
      </c>
      <c r="D182" t="s">
        <v>55</v>
      </c>
      <c r="E182">
        <v>5</v>
      </c>
      <c r="F182" t="s">
        <v>261</v>
      </c>
      <c r="G182" t="s">
        <v>126</v>
      </c>
      <c r="H182" t="s">
        <v>262</v>
      </c>
      <c r="I182" t="s">
        <v>212</v>
      </c>
      <c r="J182" t="s">
        <v>213</v>
      </c>
      <c r="K182" t="s">
        <v>149</v>
      </c>
      <c r="L182" t="s">
        <v>214</v>
      </c>
      <c r="M182" t="s">
        <v>76</v>
      </c>
      <c r="N182" t="s">
        <v>215</v>
      </c>
      <c r="O182" s="57">
        <v>46266.661076388889</v>
      </c>
      <c r="P182" s="57">
        <v>46267.525937500002</v>
      </c>
      <c r="Q182">
        <v>69381678</v>
      </c>
      <c r="S182">
        <v>152413167908</v>
      </c>
      <c r="T182" t="s">
        <v>1238</v>
      </c>
      <c r="U182" t="s">
        <v>1239</v>
      </c>
      <c r="V182" t="s">
        <v>1240</v>
      </c>
      <c r="Z182">
        <v>112.737238658344</v>
      </c>
      <c r="AA182">
        <v>-7.2498527509245596</v>
      </c>
      <c r="AB182" t="s">
        <v>1241</v>
      </c>
      <c r="AC182" t="s">
        <v>216</v>
      </c>
      <c r="AL182" t="s">
        <v>217</v>
      </c>
      <c r="AM182" t="s">
        <v>1123</v>
      </c>
      <c r="AN182" t="s">
        <v>6</v>
      </c>
      <c r="AO182" s="57">
        <v>46031.663206018522</v>
      </c>
      <c r="AP182" s="57">
        <v>46267.625</v>
      </c>
      <c r="AR182" t="s">
        <v>218</v>
      </c>
      <c r="AS182" t="s">
        <v>575</v>
      </c>
      <c r="AT182" t="s">
        <v>230</v>
      </c>
      <c r="AU182">
        <v>20260902</v>
      </c>
      <c r="AV182" t="s">
        <v>221</v>
      </c>
      <c r="AW182" t="s">
        <v>886</v>
      </c>
      <c r="AX182" t="s">
        <v>222</v>
      </c>
      <c r="BA182" s="57">
        <v>46267.625</v>
      </c>
      <c r="BB182" t="s">
        <v>1123</v>
      </c>
      <c r="BC182">
        <v>2026</v>
      </c>
      <c r="BD182">
        <v>9</v>
      </c>
      <c r="BE182">
        <v>2</v>
      </c>
      <c r="BF182" s="6">
        <f t="shared" si="6"/>
        <v>46267</v>
      </c>
      <c r="BG182">
        <f t="shared" si="7"/>
        <v>-0.625</v>
      </c>
      <c r="BH182" t="str">
        <f t="shared" si="8"/>
        <v>COMPLY</v>
      </c>
      <c r="BI182" t="str">
        <f>VLOOKUP(H182,Sheet2!$A$1:$B$270,2,FALSE)</f>
        <v>SURABAYA SELATAN</v>
      </c>
    </row>
    <row r="183" spans="1:61">
      <c r="A183">
        <v>182</v>
      </c>
      <c r="B183">
        <v>1002564164</v>
      </c>
      <c r="C183">
        <v>3</v>
      </c>
      <c r="D183" t="s">
        <v>55</v>
      </c>
      <c r="E183">
        <v>5</v>
      </c>
      <c r="F183" t="s">
        <v>261</v>
      </c>
      <c r="G183" t="s">
        <v>126</v>
      </c>
      <c r="H183" t="s">
        <v>262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46266.365300925929</v>
      </c>
      <c r="P183" s="57">
        <v>46266.455138888887</v>
      </c>
      <c r="Q183">
        <v>69379119</v>
      </c>
      <c r="S183">
        <v>152413167888</v>
      </c>
      <c r="T183" t="s">
        <v>985</v>
      </c>
      <c r="U183" t="s">
        <v>1038</v>
      </c>
      <c r="V183" t="s">
        <v>1471</v>
      </c>
      <c r="Z183">
        <v>112.7345</v>
      </c>
      <c r="AA183">
        <v>-7.2671000000000001</v>
      </c>
      <c r="AB183" t="s">
        <v>986</v>
      </c>
      <c r="AC183" t="s">
        <v>229</v>
      </c>
      <c r="AL183" t="s">
        <v>217</v>
      </c>
      <c r="AM183" t="s">
        <v>1037</v>
      </c>
      <c r="AN183" t="s">
        <v>6</v>
      </c>
      <c r="AO183" s="57">
        <v>46031.37159722222</v>
      </c>
      <c r="AR183" t="s">
        <v>218</v>
      </c>
      <c r="AS183" t="s">
        <v>575</v>
      </c>
      <c r="AT183" t="s">
        <v>230</v>
      </c>
      <c r="AU183">
        <v>20260901</v>
      </c>
      <c r="AV183" t="s">
        <v>221</v>
      </c>
      <c r="AW183" t="s">
        <v>545</v>
      </c>
      <c r="AX183" t="s">
        <v>222</v>
      </c>
      <c r="BA183" s="57">
        <v>46266.291666666664</v>
      </c>
      <c r="BB183" t="s">
        <v>1037</v>
      </c>
      <c r="BC183">
        <v>2026</v>
      </c>
      <c r="BD183">
        <v>9</v>
      </c>
      <c r="BE183">
        <v>1</v>
      </c>
      <c r="BF183" s="6">
        <f t="shared" si="6"/>
        <v>46266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SURABAYA SELATAN</v>
      </c>
    </row>
    <row r="184" spans="1:61">
      <c r="A184">
        <v>183</v>
      </c>
      <c r="B184">
        <v>1002564167</v>
      </c>
      <c r="C184">
        <v>3</v>
      </c>
      <c r="D184" t="s">
        <v>45</v>
      </c>
      <c r="E184">
        <v>5</v>
      </c>
      <c r="F184" t="s">
        <v>210</v>
      </c>
      <c r="G184" t="s">
        <v>112</v>
      </c>
      <c r="H184" t="s">
        <v>263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46266.365601851852</v>
      </c>
      <c r="P184" s="57">
        <v>46267.406863425924</v>
      </c>
      <c r="Q184">
        <v>69378690</v>
      </c>
      <c r="S184">
        <v>172601797511</v>
      </c>
      <c r="T184" t="s">
        <v>1017</v>
      </c>
      <c r="U184" t="s">
        <v>1401</v>
      </c>
      <c r="V184" t="s">
        <v>1402</v>
      </c>
      <c r="Z184">
        <v>116.0652328</v>
      </c>
      <c r="AA184">
        <v>-8.5082637000000005</v>
      </c>
      <c r="AB184" t="s">
        <v>1018</v>
      </c>
      <c r="AC184" t="s">
        <v>284</v>
      </c>
      <c r="AL184" t="s">
        <v>217</v>
      </c>
      <c r="AM184" t="s">
        <v>1403</v>
      </c>
      <c r="AN184" t="s">
        <v>6</v>
      </c>
      <c r="AO184" s="57">
        <v>46031.37159722222</v>
      </c>
      <c r="AR184" t="s">
        <v>218</v>
      </c>
      <c r="AS184" t="s">
        <v>219</v>
      </c>
      <c r="AT184" t="s">
        <v>230</v>
      </c>
      <c r="AU184">
        <v>20260902</v>
      </c>
      <c r="AV184" t="s">
        <v>221</v>
      </c>
      <c r="AW184" t="s">
        <v>545</v>
      </c>
      <c r="AX184" t="s">
        <v>222</v>
      </c>
      <c r="BA184" s="57">
        <v>46266.291666666664</v>
      </c>
      <c r="BB184" t="s">
        <v>1403</v>
      </c>
      <c r="BC184">
        <v>2026</v>
      </c>
      <c r="BD184">
        <v>9</v>
      </c>
      <c r="BE184">
        <v>2</v>
      </c>
      <c r="BF184" s="6">
        <f t="shared" si="6"/>
        <v>46267</v>
      </c>
      <c r="BG184">
        <f t="shared" si="7"/>
        <v>0.70833333333575865</v>
      </c>
      <c r="BH184" t="str">
        <f t="shared" si="8"/>
        <v>COMPLY</v>
      </c>
      <c r="BI184" t="str">
        <f>VLOOKUP(H184,Sheet2!$A$1:$B$270,2,FALSE)</f>
        <v>MATARAM</v>
      </c>
    </row>
    <row r="185" spans="1:61">
      <c r="A185">
        <v>184</v>
      </c>
      <c r="B185">
        <v>1002565076</v>
      </c>
      <c r="C185">
        <v>3</v>
      </c>
      <c r="D185" t="s">
        <v>51</v>
      </c>
      <c r="E185">
        <v>4</v>
      </c>
      <c r="F185" t="s">
        <v>234</v>
      </c>
      <c r="G185" t="s">
        <v>562</v>
      </c>
      <c r="H185" t="s">
        <v>854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46266.483472222222</v>
      </c>
      <c r="P185" s="57">
        <v>46266.522685185184</v>
      </c>
      <c r="Q185">
        <v>69365080</v>
      </c>
      <c r="S185">
        <v>142566103555</v>
      </c>
      <c r="T185" t="s">
        <v>878</v>
      </c>
      <c r="U185" t="s">
        <v>1472</v>
      </c>
      <c r="V185" t="s">
        <v>1473</v>
      </c>
      <c r="Z185">
        <v>110.82982891</v>
      </c>
      <c r="AA185">
        <v>-7.5508999330000002</v>
      </c>
      <c r="AB185" t="s">
        <v>879</v>
      </c>
      <c r="AC185" t="s">
        <v>285</v>
      </c>
      <c r="AL185" t="s">
        <v>217</v>
      </c>
      <c r="AM185" t="s">
        <v>1474</v>
      </c>
      <c r="AN185" t="s">
        <v>6</v>
      </c>
      <c r="AO185" s="57">
        <v>46031.48609953704</v>
      </c>
      <c r="AR185" t="s">
        <v>218</v>
      </c>
      <c r="AS185" t="s">
        <v>914</v>
      </c>
      <c r="AT185" t="s">
        <v>230</v>
      </c>
      <c r="AU185">
        <v>20260901</v>
      </c>
      <c r="AV185" t="s">
        <v>221</v>
      </c>
      <c r="AW185" t="s">
        <v>545</v>
      </c>
      <c r="AX185" t="s">
        <v>222</v>
      </c>
      <c r="BA185" s="57">
        <v>46266.291666666664</v>
      </c>
      <c r="BB185" t="s">
        <v>1474</v>
      </c>
      <c r="BC185">
        <v>2026</v>
      </c>
      <c r="BD185">
        <v>9</v>
      </c>
      <c r="BE185">
        <v>1</v>
      </c>
      <c r="BF185" s="6">
        <f t="shared" si="6"/>
        <v>46266</v>
      </c>
      <c r="BG185">
        <f t="shared" si="7"/>
        <v>-0.29166666666424135</v>
      </c>
      <c r="BH185" t="str">
        <f t="shared" si="8"/>
        <v>COMPLY</v>
      </c>
      <c r="BI185" t="e">
        <f>VLOOKUP(H185,Sheet2!$A$1:$B$270,2,FALSE)</f>
        <v>#N/A</v>
      </c>
    </row>
    <row r="186" spans="1:61">
      <c r="A186">
        <v>185</v>
      </c>
      <c r="B186">
        <v>1002565865</v>
      </c>
      <c r="C186">
        <v>3</v>
      </c>
      <c r="D186" t="s">
        <v>38</v>
      </c>
      <c r="E186">
        <v>5</v>
      </c>
      <c r="F186" t="s">
        <v>90</v>
      </c>
      <c r="G186" t="s">
        <v>90</v>
      </c>
      <c r="H186" t="s">
        <v>458</v>
      </c>
      <c r="I186" t="s">
        <v>212</v>
      </c>
      <c r="J186" t="s">
        <v>213</v>
      </c>
      <c r="K186" t="s">
        <v>149</v>
      </c>
      <c r="L186" t="s">
        <v>214</v>
      </c>
      <c r="M186" t="s">
        <v>76</v>
      </c>
      <c r="N186" t="s">
        <v>215</v>
      </c>
      <c r="O186" s="57">
        <v>46266.633310185185</v>
      </c>
      <c r="P186" s="57">
        <v>46267.482071759259</v>
      </c>
      <c r="Q186">
        <v>69381655</v>
      </c>
      <c r="S186">
        <v>152652205004</v>
      </c>
      <c r="T186" t="s">
        <v>1246</v>
      </c>
      <c r="U186" t="s">
        <v>1247</v>
      </c>
      <c r="V186" t="s">
        <v>1248</v>
      </c>
      <c r="Z186">
        <v>112.105591</v>
      </c>
      <c r="AA186">
        <v>-7.6803629999999998</v>
      </c>
      <c r="AB186" t="s">
        <v>1249</v>
      </c>
      <c r="AC186" t="s">
        <v>236</v>
      </c>
      <c r="AL186" t="s">
        <v>217</v>
      </c>
      <c r="AM186" t="s">
        <v>1250</v>
      </c>
      <c r="AN186" t="s">
        <v>6</v>
      </c>
      <c r="AO186" s="57">
        <v>46031.642361111109</v>
      </c>
      <c r="AP186" s="57">
        <v>46267.541666666664</v>
      </c>
      <c r="AR186" t="s">
        <v>218</v>
      </c>
      <c r="AS186" t="s">
        <v>304</v>
      </c>
      <c r="AT186" t="s">
        <v>230</v>
      </c>
      <c r="AU186">
        <v>20260902</v>
      </c>
      <c r="AV186" t="s">
        <v>221</v>
      </c>
      <c r="AW186" t="s">
        <v>882</v>
      </c>
      <c r="AX186" t="s">
        <v>222</v>
      </c>
      <c r="BA186" s="57">
        <v>46267.541666666664</v>
      </c>
      <c r="BB186" t="s">
        <v>1250</v>
      </c>
      <c r="BC186">
        <v>2026</v>
      </c>
      <c r="BD186">
        <v>9</v>
      </c>
      <c r="BE186">
        <v>2</v>
      </c>
      <c r="BF186" s="6">
        <f t="shared" si="6"/>
        <v>46267</v>
      </c>
      <c r="BG186">
        <f t="shared" si="7"/>
        <v>-0.54166666666424135</v>
      </c>
      <c r="BH186" t="str">
        <f t="shared" si="8"/>
        <v>COMPLY</v>
      </c>
      <c r="BI186" t="str">
        <f>VLOOKUP(H186,Sheet2!$A$1:$B$270,2,FALSE)</f>
        <v>KEDIRI</v>
      </c>
    </row>
    <row r="187" spans="1:61">
      <c r="A187">
        <v>186</v>
      </c>
      <c r="B187">
        <v>1002566411</v>
      </c>
      <c r="C187">
        <v>3</v>
      </c>
      <c r="D187" t="s">
        <v>49</v>
      </c>
      <c r="E187">
        <v>4</v>
      </c>
      <c r="F187" t="s">
        <v>245</v>
      </c>
      <c r="G187" t="s">
        <v>246</v>
      </c>
      <c r="H187" t="s">
        <v>834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46266.733587962961</v>
      </c>
      <c r="P187" s="57">
        <v>46266.763611111113</v>
      </c>
      <c r="Q187">
        <v>69379981</v>
      </c>
      <c r="S187">
        <v>142410346458</v>
      </c>
      <c r="T187" t="s">
        <v>994</v>
      </c>
      <c r="U187" t="s">
        <v>1475</v>
      </c>
      <c r="V187" t="s">
        <v>1476</v>
      </c>
      <c r="Z187">
        <v>110.57664844999999</v>
      </c>
      <c r="AA187">
        <v>-7.0446439280000002</v>
      </c>
      <c r="AB187" t="s">
        <v>995</v>
      </c>
      <c r="AC187" t="s">
        <v>216</v>
      </c>
      <c r="AL187" t="s">
        <v>217</v>
      </c>
      <c r="AM187" t="s">
        <v>1477</v>
      </c>
      <c r="AN187" t="s">
        <v>6</v>
      </c>
      <c r="AO187" s="57">
        <v>46031.736030092594</v>
      </c>
      <c r="AR187" t="s">
        <v>218</v>
      </c>
      <c r="AS187" t="s">
        <v>911</v>
      </c>
      <c r="AT187" t="s">
        <v>230</v>
      </c>
      <c r="AU187">
        <v>20260901</v>
      </c>
      <c r="AV187" t="s">
        <v>221</v>
      </c>
      <c r="AW187" t="s">
        <v>578</v>
      </c>
      <c r="AX187" t="s">
        <v>222</v>
      </c>
      <c r="BA187" s="57">
        <v>46266.291666666664</v>
      </c>
      <c r="BB187" t="s">
        <v>1477</v>
      </c>
      <c r="BC187">
        <v>2026</v>
      </c>
      <c r="BD187">
        <v>9</v>
      </c>
      <c r="BE187">
        <v>1</v>
      </c>
      <c r="BF187" s="6">
        <f t="shared" si="6"/>
        <v>46266</v>
      </c>
      <c r="BG187">
        <f t="shared" si="7"/>
        <v>-0.29166666666424135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1002564644</v>
      </c>
      <c r="C188">
        <v>3</v>
      </c>
      <c r="D188" t="s">
        <v>59</v>
      </c>
      <c r="E188">
        <v>4</v>
      </c>
      <c r="F188" t="s">
        <v>223</v>
      </c>
      <c r="G188" t="s">
        <v>314</v>
      </c>
      <c r="H188" t="s">
        <v>869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46266.424953703703</v>
      </c>
      <c r="P188" s="57">
        <v>46267.703217592592</v>
      </c>
      <c r="Q188">
        <v>69381281</v>
      </c>
      <c r="S188">
        <v>143395109404</v>
      </c>
      <c r="T188" t="s">
        <v>1261</v>
      </c>
      <c r="U188" t="s">
        <v>2086</v>
      </c>
      <c r="V188" t="s">
        <v>1262</v>
      </c>
      <c r="Z188">
        <v>109.431105022954</v>
      </c>
      <c r="AA188">
        <v>-7.4626980231590299</v>
      </c>
      <c r="AB188" t="s">
        <v>1263</v>
      </c>
      <c r="AC188" t="s">
        <v>236</v>
      </c>
      <c r="AL188" t="s">
        <v>217</v>
      </c>
      <c r="AM188" t="s">
        <v>1264</v>
      </c>
      <c r="AN188" t="s">
        <v>6</v>
      </c>
      <c r="AO188" s="57">
        <v>46031.434351851851</v>
      </c>
      <c r="AP188" s="57">
        <v>46268.625</v>
      </c>
      <c r="AR188" t="s">
        <v>218</v>
      </c>
      <c r="AS188" t="s">
        <v>918</v>
      </c>
      <c r="AT188" t="s">
        <v>230</v>
      </c>
      <c r="AU188">
        <v>20260902</v>
      </c>
      <c r="AV188" t="s">
        <v>221</v>
      </c>
      <c r="AW188" t="s">
        <v>888</v>
      </c>
      <c r="AX188" t="s">
        <v>222</v>
      </c>
      <c r="BA188" s="57">
        <v>46268.625</v>
      </c>
      <c r="BB188" t="s">
        <v>1264</v>
      </c>
      <c r="BC188">
        <v>2026</v>
      </c>
      <c r="BD188">
        <v>9</v>
      </c>
      <c r="BE188">
        <v>2</v>
      </c>
      <c r="BF188" s="6">
        <f t="shared" si="6"/>
        <v>46267</v>
      </c>
      <c r="BG188">
        <f t="shared" si="7"/>
        <v>-1.625</v>
      </c>
      <c r="BH188" t="str">
        <f t="shared" si="8"/>
        <v>COMPLY</v>
      </c>
      <c r="BI188" t="e">
        <f>VLOOKUP(H188,Sheet2!$A$1:$B$270,2,FALSE)</f>
        <v>#N/A</v>
      </c>
    </row>
    <row r="189" spans="1:61">
      <c r="A189">
        <v>188</v>
      </c>
      <c r="B189">
        <v>1002565046</v>
      </c>
      <c r="C189">
        <v>3</v>
      </c>
      <c r="D189" t="s">
        <v>49</v>
      </c>
      <c r="E189">
        <v>4</v>
      </c>
      <c r="F189" t="s">
        <v>245</v>
      </c>
      <c r="G189" t="s">
        <v>246</v>
      </c>
      <c r="H189" t="s">
        <v>832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46266.477048611108</v>
      </c>
      <c r="P189" s="57">
        <v>46267.649386574078</v>
      </c>
      <c r="Q189">
        <v>69381409</v>
      </c>
      <c r="S189">
        <v>142406122465</v>
      </c>
      <c r="T189" t="s">
        <v>1265</v>
      </c>
      <c r="U189" t="s">
        <v>1266</v>
      </c>
      <c r="V189" t="s">
        <v>1267</v>
      </c>
      <c r="Z189">
        <v>110.437211953103</v>
      </c>
      <c r="AA189">
        <v>-6.9509257691123096</v>
      </c>
      <c r="AB189" t="s">
        <v>1268</v>
      </c>
      <c r="AC189" t="s">
        <v>216</v>
      </c>
      <c r="AL189" t="s">
        <v>217</v>
      </c>
      <c r="AM189" t="s">
        <v>1269</v>
      </c>
      <c r="AN189" t="s">
        <v>6</v>
      </c>
      <c r="AO189" s="57">
        <v>46031.48609953704</v>
      </c>
      <c r="AP189" s="57">
        <v>46267.333333333336</v>
      </c>
      <c r="AR189" t="s">
        <v>218</v>
      </c>
      <c r="AS189" t="s">
        <v>900</v>
      </c>
      <c r="AT189" t="s">
        <v>230</v>
      </c>
      <c r="AU189">
        <v>20260902</v>
      </c>
      <c r="AV189" t="s">
        <v>221</v>
      </c>
      <c r="AW189" t="s">
        <v>887</v>
      </c>
      <c r="AX189" t="s">
        <v>222</v>
      </c>
      <c r="BA189" s="57">
        <v>46267.333333333336</v>
      </c>
      <c r="BB189" t="s">
        <v>1269</v>
      </c>
      <c r="BC189">
        <v>2026</v>
      </c>
      <c r="BD189">
        <v>9</v>
      </c>
      <c r="BE189">
        <v>2</v>
      </c>
      <c r="BF189" s="6">
        <f t="shared" si="6"/>
        <v>46267</v>
      </c>
      <c r="BG189">
        <f t="shared" si="7"/>
        <v>-0.33333333333575865</v>
      </c>
      <c r="BH189" t="str">
        <f t="shared" si="8"/>
        <v>COMPLY</v>
      </c>
      <c r="BI189" t="e">
        <f>VLOOKUP(H189,Sheet2!$A$1:$B$270,2,FALSE)</f>
        <v>#N/A</v>
      </c>
    </row>
    <row r="190" spans="1:61">
      <c r="A190">
        <v>189</v>
      </c>
      <c r="B190">
        <v>1002565053</v>
      </c>
      <c r="C190">
        <v>3</v>
      </c>
      <c r="D190" t="s">
        <v>49</v>
      </c>
      <c r="E190">
        <v>4</v>
      </c>
      <c r="F190" t="s">
        <v>250</v>
      </c>
      <c r="G190" t="s">
        <v>539</v>
      </c>
      <c r="H190" t="s">
        <v>577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46266.481215277781</v>
      </c>
      <c r="P190" s="57">
        <v>46267.546354166669</v>
      </c>
      <c r="Q190">
        <v>69228573</v>
      </c>
      <c r="S190">
        <v>142214107207</v>
      </c>
      <c r="T190" t="s">
        <v>1101</v>
      </c>
      <c r="U190" t="s">
        <v>960</v>
      </c>
      <c r="V190" t="s">
        <v>1270</v>
      </c>
      <c r="Z190">
        <v>108.9829376</v>
      </c>
      <c r="AA190">
        <v>-6.9595906999999997</v>
      </c>
      <c r="AB190" t="s">
        <v>1271</v>
      </c>
      <c r="AC190" t="s">
        <v>225</v>
      </c>
      <c r="AL190" t="s">
        <v>217</v>
      </c>
      <c r="AM190" t="s">
        <v>1104</v>
      </c>
      <c r="AN190" t="s">
        <v>6</v>
      </c>
      <c r="AO190" s="57">
        <v>46031.48609953704</v>
      </c>
      <c r="AP190" s="57">
        <v>46267.541666666664</v>
      </c>
      <c r="AR190" t="s">
        <v>218</v>
      </c>
      <c r="AS190" t="s">
        <v>909</v>
      </c>
      <c r="AT190" t="s">
        <v>230</v>
      </c>
      <c r="AU190">
        <v>20260902</v>
      </c>
      <c r="AV190" t="s">
        <v>221</v>
      </c>
      <c r="AW190" t="s">
        <v>545</v>
      </c>
      <c r="AX190" t="s">
        <v>222</v>
      </c>
      <c r="BA190" s="57">
        <v>46267.541666666664</v>
      </c>
      <c r="BB190" t="s">
        <v>1104</v>
      </c>
      <c r="BC190">
        <v>2026</v>
      </c>
      <c r="BD190">
        <v>9</v>
      </c>
      <c r="BE190">
        <v>2</v>
      </c>
      <c r="BF190" s="6">
        <f t="shared" si="6"/>
        <v>46267</v>
      </c>
      <c r="BG190">
        <f t="shared" si="7"/>
        <v>-0.54166666666424135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1002564711</v>
      </c>
      <c r="C191">
        <v>3</v>
      </c>
      <c r="D191" t="s">
        <v>59</v>
      </c>
      <c r="E191">
        <v>4</v>
      </c>
      <c r="F191" t="s">
        <v>549</v>
      </c>
      <c r="G191" t="s">
        <v>582</v>
      </c>
      <c r="H191" t="s">
        <v>835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46266.433298611111</v>
      </c>
      <c r="P191" s="57">
        <v>46267.598402777781</v>
      </c>
      <c r="Q191">
        <v>69381307</v>
      </c>
      <c r="S191">
        <v>146113147303</v>
      </c>
      <c r="T191" t="s">
        <v>1272</v>
      </c>
      <c r="U191" t="s">
        <v>2087</v>
      </c>
      <c r="V191" t="s">
        <v>1273</v>
      </c>
      <c r="Z191">
        <v>110.38992449135399</v>
      </c>
      <c r="AA191">
        <v>-7.7797019308825099</v>
      </c>
      <c r="AB191" t="s">
        <v>1274</v>
      </c>
      <c r="AC191" t="s">
        <v>236</v>
      </c>
      <c r="AL191" t="s">
        <v>217</v>
      </c>
      <c r="AM191" t="s">
        <v>1275</v>
      </c>
      <c r="AN191" t="s">
        <v>6</v>
      </c>
      <c r="AO191" s="57">
        <v>46031.434351851851</v>
      </c>
      <c r="AP191" s="57">
        <v>46267.541666666664</v>
      </c>
      <c r="AR191" t="s">
        <v>218</v>
      </c>
      <c r="AS191" t="s">
        <v>219</v>
      </c>
      <c r="AT191" t="s">
        <v>230</v>
      </c>
      <c r="AU191">
        <v>20260902</v>
      </c>
      <c r="AV191" t="s">
        <v>221</v>
      </c>
      <c r="AW191" t="s">
        <v>836</v>
      </c>
      <c r="AX191" t="s">
        <v>222</v>
      </c>
      <c r="BA191" s="57">
        <v>46267.541666666664</v>
      </c>
      <c r="BB191" t="s">
        <v>1275</v>
      </c>
      <c r="BC191">
        <v>2026</v>
      </c>
      <c r="BD191">
        <v>9</v>
      </c>
      <c r="BE191">
        <v>2</v>
      </c>
      <c r="BF191" s="6">
        <f t="shared" si="6"/>
        <v>46267</v>
      </c>
      <c r="BG191">
        <f t="shared" si="7"/>
        <v>-0.54166666666424135</v>
      </c>
      <c r="BH191" t="str">
        <f t="shared" si="8"/>
        <v>COMPLY</v>
      </c>
      <c r="BI191" t="e">
        <f>VLOOKUP(H191,Sheet2!$A$1:$B$270,2,FALSE)</f>
        <v>#N/A</v>
      </c>
    </row>
    <row r="192" spans="1:61">
      <c r="A192">
        <v>191</v>
      </c>
      <c r="B192">
        <v>1002565535</v>
      </c>
      <c r="C192">
        <v>3</v>
      </c>
      <c r="D192" t="s">
        <v>51</v>
      </c>
      <c r="E192">
        <v>4</v>
      </c>
      <c r="F192" t="s">
        <v>269</v>
      </c>
      <c r="G192" t="s">
        <v>551</v>
      </c>
      <c r="H192" t="s">
        <v>852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46266.583287037036</v>
      </c>
      <c r="P192" s="57">
        <v>46267.779097222221</v>
      </c>
      <c r="Q192">
        <v>69381546</v>
      </c>
      <c r="S192">
        <v>142521103415</v>
      </c>
      <c r="T192" t="s">
        <v>1276</v>
      </c>
      <c r="U192" t="s">
        <v>1277</v>
      </c>
      <c r="V192" t="s">
        <v>1278</v>
      </c>
      <c r="Z192">
        <v>110.77288299999999</v>
      </c>
      <c r="AA192">
        <v>-7.0582070000000003</v>
      </c>
      <c r="AB192" t="s">
        <v>1279</v>
      </c>
      <c r="AC192" t="s">
        <v>236</v>
      </c>
      <c r="AL192" t="s">
        <v>217</v>
      </c>
      <c r="AM192" t="s">
        <v>1023</v>
      </c>
      <c r="AN192" t="s">
        <v>6</v>
      </c>
      <c r="AO192" s="57">
        <v>46031.590208333335</v>
      </c>
      <c r="AP192" s="57">
        <v>46267.541666666664</v>
      </c>
      <c r="AR192" t="s">
        <v>218</v>
      </c>
      <c r="AS192" t="s">
        <v>913</v>
      </c>
      <c r="AT192" t="s">
        <v>230</v>
      </c>
      <c r="AU192">
        <v>20260902</v>
      </c>
      <c r="AV192" t="s">
        <v>221</v>
      </c>
      <c r="AW192" t="s">
        <v>887</v>
      </c>
      <c r="AX192" t="s">
        <v>222</v>
      </c>
      <c r="BA192" s="57">
        <v>46267.541666666664</v>
      </c>
      <c r="BB192" t="s">
        <v>1023</v>
      </c>
      <c r="BC192">
        <v>2026</v>
      </c>
      <c r="BD192">
        <v>9</v>
      </c>
      <c r="BE192">
        <v>2</v>
      </c>
      <c r="BF192" s="6">
        <f t="shared" si="6"/>
        <v>46267</v>
      </c>
      <c r="BG192">
        <f t="shared" si="7"/>
        <v>-0.54166666666424135</v>
      </c>
      <c r="BH192" t="str">
        <f t="shared" si="8"/>
        <v>COMPLY</v>
      </c>
      <c r="BI192" t="e">
        <f>VLOOKUP(H192,Sheet2!$A$1:$B$270,2,FALSE)</f>
        <v>#N/A</v>
      </c>
    </row>
    <row r="193" spans="1:61">
      <c r="A193">
        <v>192</v>
      </c>
      <c r="B193">
        <v>1002564963</v>
      </c>
      <c r="C193">
        <v>3</v>
      </c>
      <c r="D193" t="s">
        <v>42</v>
      </c>
      <c r="E193">
        <v>5</v>
      </c>
      <c r="F193" t="s">
        <v>232</v>
      </c>
      <c r="G193" t="s">
        <v>103</v>
      </c>
      <c r="H193" t="s">
        <v>294</v>
      </c>
      <c r="I193" t="s">
        <v>212</v>
      </c>
      <c r="J193" t="s">
        <v>213</v>
      </c>
      <c r="K193" t="s">
        <v>149</v>
      </c>
      <c r="M193" t="s">
        <v>76</v>
      </c>
      <c r="N193" t="s">
        <v>215</v>
      </c>
      <c r="O193" s="57">
        <v>46266.467060185183</v>
      </c>
      <c r="P193" s="57">
        <v>46267.786724537036</v>
      </c>
      <c r="Q193">
        <v>69381370</v>
      </c>
      <c r="S193">
        <v>152319208065</v>
      </c>
      <c r="T193" t="s">
        <v>957</v>
      </c>
      <c r="U193" t="s">
        <v>1280</v>
      </c>
      <c r="V193" t="s">
        <v>1281</v>
      </c>
      <c r="Z193">
        <v>112.3805254</v>
      </c>
      <c r="AA193">
        <v>-7.5600582999999997</v>
      </c>
      <c r="AB193" t="s">
        <v>958</v>
      </c>
      <c r="AC193" t="s">
        <v>587</v>
      </c>
      <c r="AL193" t="s">
        <v>217</v>
      </c>
      <c r="AM193" t="s">
        <v>1282</v>
      </c>
      <c r="AN193" t="s">
        <v>6</v>
      </c>
      <c r="AO193" s="57">
        <v>46031.475810185184</v>
      </c>
      <c r="AP193" s="57">
        <v>46267.458333333336</v>
      </c>
      <c r="AR193" t="s">
        <v>218</v>
      </c>
      <c r="AS193" t="s">
        <v>103</v>
      </c>
      <c r="AT193" t="s">
        <v>230</v>
      </c>
      <c r="AU193">
        <v>20260902</v>
      </c>
      <c r="AV193" t="s">
        <v>221</v>
      </c>
      <c r="AW193" t="s">
        <v>544</v>
      </c>
      <c r="AX193" t="s">
        <v>222</v>
      </c>
      <c r="BA193" s="57">
        <v>46267.458333333336</v>
      </c>
      <c r="BB193" t="s">
        <v>1282</v>
      </c>
      <c r="BC193">
        <v>2026</v>
      </c>
      <c r="BD193">
        <v>9</v>
      </c>
      <c r="BE193">
        <v>2</v>
      </c>
      <c r="BF193" s="6">
        <f t="shared" si="6"/>
        <v>46267</v>
      </c>
      <c r="BG193">
        <f t="shared" si="7"/>
        <v>-0.45833333333575865</v>
      </c>
      <c r="BH193" t="str">
        <f t="shared" si="8"/>
        <v>COMPLY</v>
      </c>
      <c r="BI193" t="str">
        <f>VLOOKUP(H193,Sheet2!$A$1:$B$270,2,FALSE)</f>
        <v>MOJOKERTO</v>
      </c>
    </row>
    <row r="194" spans="1:61">
      <c r="A194">
        <v>193</v>
      </c>
      <c r="B194">
        <v>1002564992</v>
      </c>
      <c r="C194">
        <v>3</v>
      </c>
      <c r="D194" t="s">
        <v>55</v>
      </c>
      <c r="E194">
        <v>5</v>
      </c>
      <c r="F194" t="s">
        <v>261</v>
      </c>
      <c r="G194" t="s">
        <v>122</v>
      </c>
      <c r="H194" t="s">
        <v>347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46266.469409722224</v>
      </c>
      <c r="P194" s="57">
        <v>46267.644861111112</v>
      </c>
      <c r="Q194">
        <v>69381390</v>
      </c>
      <c r="S194">
        <v>152421262549</v>
      </c>
      <c r="T194" t="s">
        <v>1283</v>
      </c>
      <c r="U194" t="s">
        <v>1284</v>
      </c>
      <c r="V194" t="s">
        <v>1285</v>
      </c>
      <c r="Z194">
        <v>112.658372372388</v>
      </c>
      <c r="AA194">
        <v>-7.1551595617720096</v>
      </c>
      <c r="AB194" t="s">
        <v>1286</v>
      </c>
      <c r="AC194" t="s">
        <v>216</v>
      </c>
      <c r="AL194" t="s">
        <v>217</v>
      </c>
      <c r="AM194" t="s">
        <v>1287</v>
      </c>
      <c r="AN194" t="s">
        <v>6</v>
      </c>
      <c r="AO194" s="57">
        <v>46031.475810185184</v>
      </c>
      <c r="AP194" s="57">
        <v>46273.625</v>
      </c>
      <c r="AR194" t="s">
        <v>218</v>
      </c>
      <c r="AS194" t="s">
        <v>122</v>
      </c>
      <c r="AT194" t="s">
        <v>230</v>
      </c>
      <c r="AU194">
        <v>20260902</v>
      </c>
      <c r="AV194" t="s">
        <v>221</v>
      </c>
      <c r="AW194" t="s">
        <v>890</v>
      </c>
      <c r="AX194" t="s">
        <v>222</v>
      </c>
      <c r="BA194" s="57">
        <v>46273.625</v>
      </c>
      <c r="BB194" t="s">
        <v>1287</v>
      </c>
      <c r="BC194">
        <v>2026</v>
      </c>
      <c r="BD194">
        <v>9</v>
      </c>
      <c r="BE194">
        <v>2</v>
      </c>
      <c r="BF194" s="6">
        <f t="shared" ref="BF194:BF257" si="9">DATE(BC194,BD194,BE194)</f>
        <v>46267</v>
      </c>
      <c r="BG194">
        <f t="shared" ref="BG194:BG257" si="10">BF194-BA194</f>
        <v>-6.625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GRESIK</v>
      </c>
    </row>
    <row r="195" spans="1:61">
      <c r="A195">
        <v>194</v>
      </c>
      <c r="B195">
        <v>1002565516</v>
      </c>
      <c r="C195">
        <v>3</v>
      </c>
      <c r="D195" t="s">
        <v>42</v>
      </c>
      <c r="E195">
        <v>5</v>
      </c>
      <c r="F195" t="s">
        <v>232</v>
      </c>
      <c r="G195" t="s">
        <v>105</v>
      </c>
      <c r="H195" t="s">
        <v>371</v>
      </c>
      <c r="I195" t="s">
        <v>212</v>
      </c>
      <c r="J195" t="s">
        <v>213</v>
      </c>
      <c r="K195" t="s">
        <v>149</v>
      </c>
      <c r="M195" t="s">
        <v>76</v>
      </c>
      <c r="N195" t="s">
        <v>215</v>
      </c>
      <c r="O195" s="57">
        <v>46266.582187499997</v>
      </c>
      <c r="P195" s="57">
        <v>46266.866608796299</v>
      </c>
      <c r="Q195">
        <v>69381534</v>
      </c>
      <c r="S195">
        <v>152312243354</v>
      </c>
      <c r="T195" t="s">
        <v>1478</v>
      </c>
      <c r="U195" t="s">
        <v>1479</v>
      </c>
      <c r="V195" t="s">
        <v>1480</v>
      </c>
      <c r="Z195">
        <v>112.41749660000001</v>
      </c>
      <c r="AA195">
        <v>-7.4878688000000002</v>
      </c>
      <c r="AB195" t="s">
        <v>1481</v>
      </c>
      <c r="AC195" t="s">
        <v>229</v>
      </c>
      <c r="AL195" t="s">
        <v>217</v>
      </c>
      <c r="AM195" t="s">
        <v>1482</v>
      </c>
      <c r="AN195" t="s">
        <v>6</v>
      </c>
      <c r="AO195" s="57">
        <v>46031.590208333335</v>
      </c>
      <c r="AP195" s="57">
        <v>46267.458333333336</v>
      </c>
      <c r="AR195" t="s">
        <v>218</v>
      </c>
      <c r="AS195" t="s">
        <v>105</v>
      </c>
      <c r="AT195" t="s">
        <v>844</v>
      </c>
      <c r="AU195">
        <v>20260901</v>
      </c>
      <c r="AV195" t="s">
        <v>221</v>
      </c>
      <c r="AW195" t="s">
        <v>566</v>
      </c>
      <c r="AX195" t="s">
        <v>222</v>
      </c>
      <c r="BA195" s="57">
        <v>46267.458333333336</v>
      </c>
      <c r="BB195" t="s">
        <v>1482</v>
      </c>
      <c r="BC195">
        <v>2026</v>
      </c>
      <c r="BD195">
        <v>9</v>
      </c>
      <c r="BE195">
        <v>1</v>
      </c>
      <c r="BF195" s="6">
        <f t="shared" si="9"/>
        <v>46266</v>
      </c>
      <c r="BG195">
        <f t="shared" si="10"/>
        <v>-1.4583333333357587</v>
      </c>
      <c r="BH195" t="str">
        <f t="shared" si="11"/>
        <v>COMPLY</v>
      </c>
      <c r="BI195" t="str">
        <f>VLOOKUP(H195,Sheet2!$A$1:$B$270,2,FALSE)</f>
        <v>MOJOKERTO</v>
      </c>
    </row>
    <row r="196" spans="1:61">
      <c r="A196">
        <v>195</v>
      </c>
      <c r="B196">
        <v>1002565015</v>
      </c>
      <c r="C196">
        <v>3</v>
      </c>
      <c r="D196" t="s">
        <v>59</v>
      </c>
      <c r="E196">
        <v>4</v>
      </c>
      <c r="F196" t="s">
        <v>549</v>
      </c>
      <c r="G196" t="s">
        <v>825</v>
      </c>
      <c r="H196" t="s">
        <v>830</v>
      </c>
      <c r="I196" t="s">
        <v>212</v>
      </c>
      <c r="J196" t="s">
        <v>213</v>
      </c>
      <c r="K196" t="s">
        <v>149</v>
      </c>
      <c r="M196" t="s">
        <v>76</v>
      </c>
      <c r="N196" t="s">
        <v>215</v>
      </c>
      <c r="O196" s="57">
        <v>46266.473043981481</v>
      </c>
      <c r="P196" s="57">
        <v>46267.561319444445</v>
      </c>
      <c r="Q196">
        <v>69381380</v>
      </c>
      <c r="S196">
        <v>146129128456</v>
      </c>
      <c r="T196" t="s">
        <v>1293</v>
      </c>
      <c r="U196" t="s">
        <v>2088</v>
      </c>
      <c r="V196" t="s">
        <v>1294</v>
      </c>
      <c r="Z196">
        <v>110.363086736611</v>
      </c>
      <c r="AA196">
        <v>-7.9457943388721004</v>
      </c>
      <c r="AB196" t="s">
        <v>1295</v>
      </c>
      <c r="AC196" t="s">
        <v>285</v>
      </c>
      <c r="AL196" t="s">
        <v>217</v>
      </c>
      <c r="AM196" t="s">
        <v>1296</v>
      </c>
      <c r="AN196" t="s">
        <v>6</v>
      </c>
      <c r="AO196" s="57">
        <v>46031.475810185184</v>
      </c>
      <c r="AP196" s="57">
        <v>46267.625</v>
      </c>
      <c r="AR196" t="s">
        <v>218</v>
      </c>
      <c r="AS196" t="s">
        <v>219</v>
      </c>
      <c r="AT196" t="s">
        <v>230</v>
      </c>
      <c r="AU196">
        <v>20260902</v>
      </c>
      <c r="AV196" t="s">
        <v>221</v>
      </c>
      <c r="AW196" t="s">
        <v>560</v>
      </c>
      <c r="AX196" t="s">
        <v>222</v>
      </c>
      <c r="BA196" s="57">
        <v>46267.625</v>
      </c>
      <c r="BB196" t="s">
        <v>1296</v>
      </c>
      <c r="BC196">
        <v>2026</v>
      </c>
      <c r="BD196">
        <v>9</v>
      </c>
      <c r="BE196">
        <v>2</v>
      </c>
      <c r="BF196" s="6">
        <f t="shared" si="9"/>
        <v>46267</v>
      </c>
      <c r="BG196">
        <f t="shared" si="10"/>
        <v>-0.625</v>
      </c>
      <c r="BH196" t="str">
        <f t="shared" si="11"/>
        <v>COMPLY</v>
      </c>
      <c r="BI196" t="e">
        <f>VLOOKUP(H196,Sheet2!$A$1:$B$270,2,FALSE)</f>
        <v>#N/A</v>
      </c>
    </row>
    <row r="197" spans="1:61">
      <c r="A197">
        <v>196</v>
      </c>
      <c r="B197">
        <v>1002565519</v>
      </c>
      <c r="C197">
        <v>3</v>
      </c>
      <c r="D197" t="s">
        <v>49</v>
      </c>
      <c r="E197">
        <v>4</v>
      </c>
      <c r="F197" t="s">
        <v>250</v>
      </c>
      <c r="G197" t="s">
        <v>250</v>
      </c>
      <c r="H197" t="s">
        <v>611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46266.581041666665</v>
      </c>
      <c r="P197" s="57">
        <v>46266.632071759261</v>
      </c>
      <c r="Q197">
        <v>69380776</v>
      </c>
      <c r="S197">
        <v>146285103905</v>
      </c>
      <c r="T197" t="s">
        <v>1031</v>
      </c>
      <c r="U197" t="s">
        <v>1483</v>
      </c>
      <c r="V197" t="s">
        <v>1484</v>
      </c>
      <c r="Z197">
        <v>109.63218000000001</v>
      </c>
      <c r="AA197">
        <v>-6.9770830000000004</v>
      </c>
      <c r="AB197" t="s">
        <v>1032</v>
      </c>
      <c r="AC197" t="s">
        <v>284</v>
      </c>
      <c r="AL197" t="s">
        <v>217</v>
      </c>
      <c r="AM197" t="s">
        <v>1485</v>
      </c>
      <c r="AN197" t="s">
        <v>6</v>
      </c>
      <c r="AO197" s="57">
        <v>46031.590208333335</v>
      </c>
      <c r="AR197" t="s">
        <v>218</v>
      </c>
      <c r="AS197" t="s">
        <v>899</v>
      </c>
      <c r="AT197" t="s">
        <v>230</v>
      </c>
      <c r="AU197">
        <v>20260901</v>
      </c>
      <c r="AV197" t="s">
        <v>221</v>
      </c>
      <c r="AW197" t="s">
        <v>545</v>
      </c>
      <c r="AX197" t="s">
        <v>222</v>
      </c>
      <c r="BA197" s="57">
        <v>46266.291666666664</v>
      </c>
      <c r="BB197" t="s">
        <v>1485</v>
      </c>
      <c r="BC197">
        <v>2026</v>
      </c>
      <c r="BD197">
        <v>9</v>
      </c>
      <c r="BE197">
        <v>1</v>
      </c>
      <c r="BF197" s="6">
        <f t="shared" si="9"/>
        <v>46266</v>
      </c>
      <c r="BG197">
        <f t="shared" si="10"/>
        <v>-0.29166666666424135</v>
      </c>
      <c r="BH197" t="str">
        <f t="shared" si="11"/>
        <v>COMPLY</v>
      </c>
      <c r="BI197" t="e">
        <f>VLOOKUP(H197,Sheet2!$A$1:$B$270,2,FALSE)</f>
        <v>#N/A</v>
      </c>
    </row>
    <row r="198" spans="1:61">
      <c r="A198">
        <v>197</v>
      </c>
      <c r="B198">
        <v>1002564987</v>
      </c>
      <c r="C198">
        <v>3</v>
      </c>
      <c r="D198" t="s">
        <v>49</v>
      </c>
      <c r="E198">
        <v>4</v>
      </c>
      <c r="F198" t="s">
        <v>250</v>
      </c>
      <c r="G198" t="s">
        <v>539</v>
      </c>
      <c r="H198" t="s">
        <v>856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46266.470081018517</v>
      </c>
      <c r="P198" s="57">
        <v>46266.581944444442</v>
      </c>
      <c r="Q198">
        <v>69361764</v>
      </c>
      <c r="S198">
        <v>142204107639</v>
      </c>
      <c r="T198" t="s">
        <v>857</v>
      </c>
      <c r="U198" t="s">
        <v>927</v>
      </c>
      <c r="V198" t="s">
        <v>1486</v>
      </c>
      <c r="Z198">
        <v>108.878922</v>
      </c>
      <c r="AA198">
        <v>-6.8734359999999999</v>
      </c>
      <c r="AB198" t="s">
        <v>870</v>
      </c>
      <c r="AC198" t="s">
        <v>225</v>
      </c>
      <c r="AL198" t="s">
        <v>217</v>
      </c>
      <c r="AM198" t="s">
        <v>1487</v>
      </c>
      <c r="AN198" t="s">
        <v>6</v>
      </c>
      <c r="AO198" s="57">
        <v>46031.475810185184</v>
      </c>
      <c r="AR198" t="s">
        <v>218</v>
      </c>
      <c r="AS198" t="s">
        <v>909</v>
      </c>
      <c r="AT198" t="s">
        <v>230</v>
      </c>
      <c r="AU198">
        <v>20260901</v>
      </c>
      <c r="AV198" t="s">
        <v>221</v>
      </c>
      <c r="AW198" t="s">
        <v>828</v>
      </c>
      <c r="AX198" t="s">
        <v>222</v>
      </c>
      <c r="BA198" s="57">
        <v>46266.291666666664</v>
      </c>
      <c r="BB198" t="s">
        <v>1487</v>
      </c>
      <c r="BC198">
        <v>2026</v>
      </c>
      <c r="BD198">
        <v>9</v>
      </c>
      <c r="BE198">
        <v>1</v>
      </c>
      <c r="BF198" s="6">
        <f t="shared" si="9"/>
        <v>46266</v>
      </c>
      <c r="BG198">
        <f t="shared" si="10"/>
        <v>-0.29166666666424135</v>
      </c>
      <c r="BH198" t="str">
        <f t="shared" si="11"/>
        <v>COMPLY</v>
      </c>
      <c r="BI198" t="e">
        <f>VLOOKUP(H198,Sheet2!$A$1:$B$270,2,FALSE)</f>
        <v>#N/A</v>
      </c>
    </row>
    <row r="199" spans="1:61">
      <c r="A199">
        <v>198</v>
      </c>
      <c r="B199">
        <v>1002565560</v>
      </c>
      <c r="C199">
        <v>3</v>
      </c>
      <c r="D199" t="s">
        <v>51</v>
      </c>
      <c r="E199">
        <v>4</v>
      </c>
      <c r="F199" t="s">
        <v>269</v>
      </c>
      <c r="G199" t="s">
        <v>823</v>
      </c>
      <c r="H199" t="s">
        <v>849</v>
      </c>
      <c r="I199" t="s">
        <v>212</v>
      </c>
      <c r="J199" t="s">
        <v>213</v>
      </c>
      <c r="K199" t="s">
        <v>149</v>
      </c>
      <c r="M199" t="s">
        <v>76</v>
      </c>
      <c r="N199" t="s">
        <v>215</v>
      </c>
      <c r="O199" s="57">
        <v>46266.587812500002</v>
      </c>
      <c r="P199" s="57">
        <v>46266.664224537039</v>
      </c>
      <c r="Q199">
        <v>69379112</v>
      </c>
      <c r="S199">
        <v>142507105445</v>
      </c>
      <c r="T199" t="s">
        <v>1012</v>
      </c>
      <c r="U199" t="s">
        <v>1013</v>
      </c>
      <c r="V199" t="s">
        <v>1488</v>
      </c>
      <c r="Z199">
        <v>110.7289</v>
      </c>
      <c r="AA199">
        <v>-6.5291399999999999</v>
      </c>
      <c r="AB199" t="s">
        <v>1014</v>
      </c>
      <c r="AC199" t="s">
        <v>225</v>
      </c>
      <c r="AL199" t="s">
        <v>217</v>
      </c>
      <c r="AM199" t="s">
        <v>1489</v>
      </c>
      <c r="AN199" t="s">
        <v>6</v>
      </c>
      <c r="AO199" s="57">
        <v>46031.590208333335</v>
      </c>
      <c r="AR199" t="s">
        <v>218</v>
      </c>
      <c r="AS199" t="s">
        <v>219</v>
      </c>
      <c r="AT199" t="s">
        <v>230</v>
      </c>
      <c r="AU199">
        <v>20260901</v>
      </c>
      <c r="AV199" t="s">
        <v>221</v>
      </c>
      <c r="AW199" t="s">
        <v>544</v>
      </c>
      <c r="AX199" t="s">
        <v>222</v>
      </c>
      <c r="BA199" s="57">
        <v>46266.291666666664</v>
      </c>
      <c r="BB199" t="s">
        <v>1489</v>
      </c>
      <c r="BC199">
        <v>2026</v>
      </c>
      <c r="BD199">
        <v>9</v>
      </c>
      <c r="BE199">
        <v>1</v>
      </c>
      <c r="BF199" s="6">
        <f t="shared" si="9"/>
        <v>46266</v>
      </c>
      <c r="BG199">
        <f t="shared" si="10"/>
        <v>-0.29166666666424135</v>
      </c>
      <c r="BH199" t="str">
        <f t="shared" si="11"/>
        <v>COMPLY</v>
      </c>
      <c r="BI199" t="e">
        <f>VLOOKUP(H199,Sheet2!$A$1:$B$270,2,FALSE)</f>
        <v>#N/A</v>
      </c>
    </row>
    <row r="200" spans="1:61">
      <c r="A200">
        <v>199</v>
      </c>
      <c r="B200">
        <v>1002565555</v>
      </c>
      <c r="C200">
        <v>3</v>
      </c>
      <c r="D200" t="s">
        <v>45</v>
      </c>
      <c r="E200">
        <v>5</v>
      </c>
      <c r="F200" t="s">
        <v>210</v>
      </c>
      <c r="G200" t="s">
        <v>116</v>
      </c>
      <c r="H200" t="s">
        <v>268</v>
      </c>
      <c r="I200" t="s">
        <v>212</v>
      </c>
      <c r="J200" t="s">
        <v>213</v>
      </c>
      <c r="K200" t="s">
        <v>149</v>
      </c>
      <c r="M200" t="s">
        <v>76</v>
      </c>
      <c r="N200" t="s">
        <v>215</v>
      </c>
      <c r="O200" s="57">
        <v>46266.586701388886</v>
      </c>
      <c r="P200" s="57">
        <v>46267.552847222221</v>
      </c>
      <c r="Q200">
        <v>69372556</v>
      </c>
      <c r="S200">
        <v>172604214263</v>
      </c>
      <c r="T200" t="s">
        <v>930</v>
      </c>
      <c r="U200" t="s">
        <v>1404</v>
      </c>
      <c r="V200" t="s">
        <v>1405</v>
      </c>
      <c r="Z200">
        <v>116.0288245</v>
      </c>
      <c r="AA200">
        <v>-8.3446458000000003</v>
      </c>
      <c r="AB200" t="s">
        <v>931</v>
      </c>
      <c r="AC200" t="s">
        <v>229</v>
      </c>
      <c r="AL200" t="s">
        <v>217</v>
      </c>
      <c r="AM200" t="s">
        <v>1406</v>
      </c>
      <c r="AN200" t="s">
        <v>6</v>
      </c>
      <c r="AO200" s="57">
        <v>46031.590208333335</v>
      </c>
      <c r="AR200" t="s">
        <v>218</v>
      </c>
      <c r="AS200" t="s">
        <v>912</v>
      </c>
      <c r="AT200" t="s">
        <v>230</v>
      </c>
      <c r="AU200">
        <v>20260902</v>
      </c>
      <c r="AV200" t="s">
        <v>221</v>
      </c>
      <c r="AW200" t="s">
        <v>567</v>
      </c>
      <c r="AX200" t="s">
        <v>222</v>
      </c>
      <c r="BA200" s="57">
        <v>46266.291666666664</v>
      </c>
      <c r="BB200" t="s">
        <v>1406</v>
      </c>
      <c r="BC200">
        <v>2026</v>
      </c>
      <c r="BD200">
        <v>9</v>
      </c>
      <c r="BE200">
        <v>2</v>
      </c>
      <c r="BF200" s="6">
        <f t="shared" si="9"/>
        <v>46267</v>
      </c>
      <c r="BG200">
        <f t="shared" si="10"/>
        <v>0.70833333333575865</v>
      </c>
      <c r="BH200" t="str">
        <f t="shared" si="11"/>
        <v>COMPLY</v>
      </c>
      <c r="BI200" t="str">
        <f>VLOOKUP(H200,Sheet2!$A$1:$B$270,2,FALSE)</f>
        <v>SELONG</v>
      </c>
    </row>
    <row r="201" spans="1:61">
      <c r="A201">
        <v>200</v>
      </c>
      <c r="B201">
        <v>1002565542</v>
      </c>
      <c r="C201">
        <v>3</v>
      </c>
      <c r="D201" t="s">
        <v>49</v>
      </c>
      <c r="E201">
        <v>4</v>
      </c>
      <c r="F201" t="s">
        <v>250</v>
      </c>
      <c r="G201" t="s">
        <v>250</v>
      </c>
      <c r="H201" t="s">
        <v>611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46266.584953703707</v>
      </c>
      <c r="P201" s="57">
        <v>46266.643101851849</v>
      </c>
      <c r="Q201">
        <v>69380877</v>
      </c>
      <c r="S201">
        <v>146285103907</v>
      </c>
      <c r="T201" t="s">
        <v>1025</v>
      </c>
      <c r="U201" t="s">
        <v>1483</v>
      </c>
      <c r="V201" t="s">
        <v>1490</v>
      </c>
      <c r="Z201">
        <v>109.63218000000001</v>
      </c>
      <c r="AA201">
        <v>-6.9770830000000004</v>
      </c>
      <c r="AB201" t="s">
        <v>1026</v>
      </c>
      <c r="AC201" t="s">
        <v>284</v>
      </c>
      <c r="AL201" t="s">
        <v>217</v>
      </c>
      <c r="AM201" t="s">
        <v>1491</v>
      </c>
      <c r="AN201" t="s">
        <v>6</v>
      </c>
      <c r="AO201" s="57">
        <v>46031.590208333335</v>
      </c>
      <c r="AR201" t="s">
        <v>218</v>
      </c>
      <c r="AS201" t="s">
        <v>899</v>
      </c>
      <c r="AT201" t="s">
        <v>230</v>
      </c>
      <c r="AU201">
        <v>20260901</v>
      </c>
      <c r="AV201" t="s">
        <v>221</v>
      </c>
      <c r="AW201" t="s">
        <v>545</v>
      </c>
      <c r="AX201" t="s">
        <v>222</v>
      </c>
      <c r="BA201" s="57">
        <v>46266.291666666664</v>
      </c>
      <c r="BB201" t="s">
        <v>1491</v>
      </c>
      <c r="BC201">
        <v>2026</v>
      </c>
      <c r="BD201">
        <v>9</v>
      </c>
      <c r="BE201">
        <v>1</v>
      </c>
      <c r="BF201" s="6">
        <f t="shared" si="9"/>
        <v>46266</v>
      </c>
      <c r="BG201">
        <f t="shared" si="10"/>
        <v>-0.29166666666424135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1002564957</v>
      </c>
      <c r="C202">
        <v>3</v>
      </c>
      <c r="D202" t="s">
        <v>51</v>
      </c>
      <c r="E202">
        <v>4</v>
      </c>
      <c r="F202" t="s">
        <v>269</v>
      </c>
      <c r="G202" t="s">
        <v>289</v>
      </c>
      <c r="H202" t="s">
        <v>824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46266.465231481481</v>
      </c>
      <c r="P202" s="57">
        <v>46267.607615740744</v>
      </c>
      <c r="Q202">
        <v>69381386</v>
      </c>
      <c r="S202">
        <v>142551119567</v>
      </c>
      <c r="T202" t="s">
        <v>1153</v>
      </c>
      <c r="U202" t="s">
        <v>1301</v>
      </c>
      <c r="V202" t="s">
        <v>1302</v>
      </c>
      <c r="Z202">
        <v>111.017602</v>
      </c>
      <c r="AA202">
        <v>-6.7608309999999996</v>
      </c>
      <c r="AB202" t="s">
        <v>1303</v>
      </c>
      <c r="AC202" t="s">
        <v>236</v>
      </c>
      <c r="AL202" t="s">
        <v>217</v>
      </c>
      <c r="AM202" t="s">
        <v>1304</v>
      </c>
      <c r="AN202" t="s">
        <v>6</v>
      </c>
      <c r="AO202" s="57">
        <v>46031.475810185184</v>
      </c>
      <c r="AP202" s="57">
        <v>46267.333333333336</v>
      </c>
      <c r="AR202" t="s">
        <v>218</v>
      </c>
      <c r="AS202" t="s">
        <v>219</v>
      </c>
      <c r="AT202" t="s">
        <v>230</v>
      </c>
      <c r="AU202">
        <v>20260902</v>
      </c>
      <c r="AV202" t="s">
        <v>221</v>
      </c>
      <c r="AW202" t="s">
        <v>885</v>
      </c>
      <c r="AX202" t="s">
        <v>222</v>
      </c>
      <c r="BA202" s="57">
        <v>46267.333333333336</v>
      </c>
      <c r="BB202" t="s">
        <v>1304</v>
      </c>
      <c r="BC202">
        <v>2026</v>
      </c>
      <c r="BD202">
        <v>9</v>
      </c>
      <c r="BE202">
        <v>2</v>
      </c>
      <c r="BF202" s="6">
        <f t="shared" si="9"/>
        <v>46267</v>
      </c>
      <c r="BG202">
        <f t="shared" si="10"/>
        <v>-0.33333333333575865</v>
      </c>
      <c r="BH202" t="str">
        <f t="shared" si="11"/>
        <v>COMPLY</v>
      </c>
      <c r="BI202" t="e">
        <f>VLOOKUP(H202,Sheet2!$A$1:$B$270,2,FALSE)</f>
        <v>#N/A</v>
      </c>
    </row>
    <row r="203" spans="1:61">
      <c r="A203">
        <v>202</v>
      </c>
      <c r="B203">
        <v>1002564132</v>
      </c>
      <c r="C203">
        <v>3</v>
      </c>
      <c r="D203" t="s">
        <v>59</v>
      </c>
      <c r="E203">
        <v>4</v>
      </c>
      <c r="F203" t="s">
        <v>223</v>
      </c>
      <c r="G203" t="s">
        <v>314</v>
      </c>
      <c r="H203" t="s">
        <v>315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46266.358981481484</v>
      </c>
      <c r="P203" s="57">
        <v>46267.703912037039</v>
      </c>
      <c r="Q203">
        <v>69381161</v>
      </c>
      <c r="S203">
        <v>146372103739</v>
      </c>
      <c r="T203" t="s">
        <v>1024</v>
      </c>
      <c r="U203" t="s">
        <v>2089</v>
      </c>
      <c r="V203" t="s">
        <v>1309</v>
      </c>
      <c r="Z203">
        <v>109.77256199999999</v>
      </c>
      <c r="AA203">
        <v>-7.2659840000000004</v>
      </c>
      <c r="AB203" t="s">
        <v>1310</v>
      </c>
      <c r="AC203" t="s">
        <v>236</v>
      </c>
      <c r="AL203" t="s">
        <v>217</v>
      </c>
      <c r="AM203" t="s">
        <v>1311</v>
      </c>
      <c r="AN203" t="s">
        <v>6</v>
      </c>
      <c r="AO203" s="57">
        <v>46031.361087962963</v>
      </c>
      <c r="AP203" s="57">
        <v>46268.333333333336</v>
      </c>
      <c r="AR203" t="s">
        <v>218</v>
      </c>
      <c r="AS203" t="s">
        <v>219</v>
      </c>
      <c r="AT203" t="s">
        <v>230</v>
      </c>
      <c r="AU203">
        <v>20260902</v>
      </c>
      <c r="AV203" t="s">
        <v>221</v>
      </c>
      <c r="AW203" t="s">
        <v>884</v>
      </c>
      <c r="AX203" t="s">
        <v>222</v>
      </c>
      <c r="BA203" s="57">
        <v>46268.333333333336</v>
      </c>
      <c r="BB203" t="s">
        <v>1311</v>
      </c>
      <c r="BC203">
        <v>2026</v>
      </c>
      <c r="BD203">
        <v>9</v>
      </c>
      <c r="BE203">
        <v>2</v>
      </c>
      <c r="BF203" s="6">
        <f t="shared" si="9"/>
        <v>46267</v>
      </c>
      <c r="BG203">
        <f t="shared" si="10"/>
        <v>-1.3333333333357587</v>
      </c>
      <c r="BH203" t="str">
        <f t="shared" si="11"/>
        <v>COMPLY</v>
      </c>
      <c r="BI203" t="e">
        <f>VLOOKUP(H203,Sheet2!$A$1:$B$270,2,FALSE)</f>
        <v>#N/A</v>
      </c>
    </row>
    <row r="204" spans="1:61">
      <c r="A204">
        <v>203</v>
      </c>
      <c r="B204">
        <v>1002565586</v>
      </c>
      <c r="C204">
        <v>3</v>
      </c>
      <c r="D204" t="s">
        <v>42</v>
      </c>
      <c r="E204">
        <v>5</v>
      </c>
      <c r="F204" t="s">
        <v>232</v>
      </c>
      <c r="G204" t="s">
        <v>103</v>
      </c>
      <c r="H204" t="s">
        <v>391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46266.590694444443</v>
      </c>
      <c r="P204" s="57">
        <v>46266.742638888885</v>
      </c>
      <c r="Q204">
        <v>69381558</v>
      </c>
      <c r="S204">
        <v>152318240210</v>
      </c>
      <c r="T204" t="s">
        <v>1492</v>
      </c>
      <c r="U204" t="s">
        <v>992</v>
      </c>
      <c r="V204" t="s">
        <v>1493</v>
      </c>
      <c r="Z204">
        <v>112.215132</v>
      </c>
      <c r="AA204">
        <v>-7.5832278999999998</v>
      </c>
      <c r="AB204" t="s">
        <v>1494</v>
      </c>
      <c r="AC204" t="s">
        <v>229</v>
      </c>
      <c r="AL204" t="s">
        <v>217</v>
      </c>
      <c r="AM204" t="s">
        <v>1482</v>
      </c>
      <c r="AN204" t="s">
        <v>6</v>
      </c>
      <c r="AO204" s="57">
        <v>46031.600787037038</v>
      </c>
      <c r="AP204" s="57">
        <v>46267.458333333336</v>
      </c>
      <c r="AR204" t="s">
        <v>218</v>
      </c>
      <c r="AS204" t="s">
        <v>103</v>
      </c>
      <c r="AT204" t="s">
        <v>230</v>
      </c>
      <c r="AU204">
        <v>20260901</v>
      </c>
      <c r="AV204" t="s">
        <v>221</v>
      </c>
      <c r="AW204" t="s">
        <v>545</v>
      </c>
      <c r="AX204" t="s">
        <v>222</v>
      </c>
      <c r="BA204" s="57">
        <v>46267.458333333336</v>
      </c>
      <c r="BB204" t="s">
        <v>1482</v>
      </c>
      <c r="BC204">
        <v>2026</v>
      </c>
      <c r="BD204">
        <v>9</v>
      </c>
      <c r="BE204">
        <v>1</v>
      </c>
      <c r="BF204" s="6">
        <f t="shared" si="9"/>
        <v>46266</v>
      </c>
      <c r="BG204">
        <f t="shared" si="10"/>
        <v>-1.4583333333357587</v>
      </c>
      <c r="BH204" t="str">
        <f t="shared" si="11"/>
        <v>COMPLY</v>
      </c>
      <c r="BI204" t="str">
        <f>VLOOKUP(H204,Sheet2!$A$1:$B$270,2,FALSE)</f>
        <v>MOJOKERTO</v>
      </c>
    </row>
    <row r="205" spans="1:61">
      <c r="A205">
        <v>204</v>
      </c>
      <c r="B205">
        <v>1002564360</v>
      </c>
      <c r="C205">
        <v>3</v>
      </c>
      <c r="D205" t="s">
        <v>55</v>
      </c>
      <c r="E205">
        <v>5</v>
      </c>
      <c r="F205" t="s">
        <v>307</v>
      </c>
      <c r="G205" t="s">
        <v>126</v>
      </c>
      <c r="H205" t="s">
        <v>308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46266.390243055554</v>
      </c>
      <c r="P205" s="57">
        <v>46266.81181712963</v>
      </c>
      <c r="Q205">
        <v>69381215</v>
      </c>
      <c r="S205">
        <v>152320246354</v>
      </c>
      <c r="T205" t="s">
        <v>1495</v>
      </c>
      <c r="U205" t="s">
        <v>1496</v>
      </c>
      <c r="V205" t="s">
        <v>1497</v>
      </c>
      <c r="Z205">
        <v>112.7669856</v>
      </c>
      <c r="AA205">
        <v>-7.2519329999999904</v>
      </c>
      <c r="AB205" t="s">
        <v>1498</v>
      </c>
      <c r="AC205" t="s">
        <v>216</v>
      </c>
      <c r="AL205" t="s">
        <v>217</v>
      </c>
      <c r="AM205" t="s">
        <v>1367</v>
      </c>
      <c r="AN205" t="s">
        <v>6</v>
      </c>
      <c r="AO205" s="57">
        <v>46031.39271990741</v>
      </c>
      <c r="AP205" s="57">
        <v>46267.333333333336</v>
      </c>
      <c r="AR205" t="s">
        <v>218</v>
      </c>
      <c r="AS205" t="s">
        <v>907</v>
      </c>
      <c r="AT205" t="s">
        <v>230</v>
      </c>
      <c r="AU205">
        <v>20260901</v>
      </c>
      <c r="AV205" t="s">
        <v>221</v>
      </c>
      <c r="AW205" t="s">
        <v>886</v>
      </c>
      <c r="AX205" t="s">
        <v>222</v>
      </c>
      <c r="BA205" s="57">
        <v>46267.333333333336</v>
      </c>
      <c r="BB205" t="s">
        <v>1367</v>
      </c>
      <c r="BC205">
        <v>2026</v>
      </c>
      <c r="BD205">
        <v>9</v>
      </c>
      <c r="BE205">
        <v>1</v>
      </c>
      <c r="BF205" s="6">
        <f t="shared" si="9"/>
        <v>46266</v>
      </c>
      <c r="BG205">
        <f t="shared" si="10"/>
        <v>-1.3333333333357587</v>
      </c>
      <c r="BH205" t="str">
        <f t="shared" si="11"/>
        <v>COMPLY</v>
      </c>
      <c r="BI205" t="str">
        <f>VLOOKUP(H205,Sheet2!$A$1:$B$270,2,FALSE)</f>
        <v>SURABAYA SELATAN</v>
      </c>
    </row>
    <row r="206" spans="1:61">
      <c r="A206">
        <v>205</v>
      </c>
      <c r="B206">
        <v>1002564309</v>
      </c>
      <c r="C206">
        <v>3</v>
      </c>
      <c r="D206" t="s">
        <v>42</v>
      </c>
      <c r="E206">
        <v>5</v>
      </c>
      <c r="F206" t="s">
        <v>102</v>
      </c>
      <c r="G206" t="s">
        <v>99</v>
      </c>
      <c r="H206" t="s">
        <v>310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46266.384236111109</v>
      </c>
      <c r="P206" s="57">
        <v>46266.633935185186</v>
      </c>
      <c r="Q206">
        <v>69381199</v>
      </c>
      <c r="R206">
        <v>3332821587</v>
      </c>
      <c r="S206">
        <v>152503269425</v>
      </c>
      <c r="T206" t="s">
        <v>971</v>
      </c>
      <c r="U206" t="s">
        <v>1021</v>
      </c>
      <c r="V206" t="s">
        <v>1499</v>
      </c>
      <c r="Z206">
        <v>114.3601863</v>
      </c>
      <c r="AA206">
        <v>-8.1830163999999996</v>
      </c>
      <c r="AB206" t="s">
        <v>1022</v>
      </c>
      <c r="AC206" t="s">
        <v>285</v>
      </c>
      <c r="AL206" t="s">
        <v>217</v>
      </c>
      <c r="AM206" t="s">
        <v>1500</v>
      </c>
      <c r="AN206" t="s">
        <v>6</v>
      </c>
      <c r="AO206" s="57">
        <v>46031.39271990741</v>
      </c>
      <c r="AP206" s="57">
        <v>46267.333333333336</v>
      </c>
      <c r="AR206" t="s">
        <v>218</v>
      </c>
      <c r="AS206" t="s">
        <v>99</v>
      </c>
      <c r="AT206" t="s">
        <v>230</v>
      </c>
      <c r="AU206">
        <v>20260901</v>
      </c>
      <c r="AV206" t="s">
        <v>221</v>
      </c>
      <c r="AW206" t="s">
        <v>880</v>
      </c>
      <c r="AX206" t="s">
        <v>222</v>
      </c>
      <c r="BA206" s="57">
        <v>46267.333333333336</v>
      </c>
      <c r="BB206" t="s">
        <v>1500</v>
      </c>
      <c r="BC206">
        <v>2026</v>
      </c>
      <c r="BD206">
        <v>9</v>
      </c>
      <c r="BE206">
        <v>1</v>
      </c>
      <c r="BF206" s="6">
        <f t="shared" si="9"/>
        <v>46266</v>
      </c>
      <c r="BG206">
        <f t="shared" si="10"/>
        <v>-1.3333333333357587</v>
      </c>
      <c r="BH206" t="str">
        <f t="shared" si="11"/>
        <v>COMPLY</v>
      </c>
      <c r="BI206" t="str">
        <f>VLOOKUP(H206,Sheet2!$A$1:$B$270,2,FALSE)</f>
        <v>BANYUWANGI</v>
      </c>
    </row>
    <row r="207" spans="1:61">
      <c r="A207">
        <v>206</v>
      </c>
      <c r="B207">
        <v>1002566447</v>
      </c>
      <c r="C207">
        <v>3</v>
      </c>
      <c r="D207" t="s">
        <v>45</v>
      </c>
      <c r="E207">
        <v>5</v>
      </c>
      <c r="F207" t="s">
        <v>210</v>
      </c>
      <c r="G207" t="s">
        <v>116</v>
      </c>
      <c r="H207" t="s">
        <v>268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46266.753981481481</v>
      </c>
      <c r="P207" s="57">
        <v>46267.811759259261</v>
      </c>
      <c r="Q207">
        <v>69379616</v>
      </c>
      <c r="S207">
        <v>172604214265</v>
      </c>
      <c r="T207" t="s">
        <v>977</v>
      </c>
      <c r="U207" t="s">
        <v>1412</v>
      </c>
      <c r="V207" t="s">
        <v>1413</v>
      </c>
      <c r="Z207">
        <v>116.389690409748</v>
      </c>
      <c r="AA207">
        <v>-8.2807747139765802</v>
      </c>
      <c r="AB207" t="s">
        <v>978</v>
      </c>
      <c r="AC207" t="s">
        <v>229</v>
      </c>
      <c r="AL207" t="s">
        <v>217</v>
      </c>
      <c r="AM207" t="s">
        <v>1414</v>
      </c>
      <c r="AN207" t="s">
        <v>6</v>
      </c>
      <c r="AO207" s="57">
        <v>46031.756886574076</v>
      </c>
      <c r="AR207" t="s">
        <v>218</v>
      </c>
      <c r="AS207" t="s">
        <v>912</v>
      </c>
      <c r="AT207" t="s">
        <v>230</v>
      </c>
      <c r="AU207">
        <v>20260902</v>
      </c>
      <c r="AV207" t="s">
        <v>221</v>
      </c>
      <c r="AW207" t="s">
        <v>546</v>
      </c>
      <c r="AX207" t="s">
        <v>222</v>
      </c>
      <c r="BA207" s="57">
        <v>46266.291666666664</v>
      </c>
      <c r="BB207" t="s">
        <v>1414</v>
      </c>
      <c r="BC207">
        <v>2026</v>
      </c>
      <c r="BD207">
        <v>9</v>
      </c>
      <c r="BE207">
        <v>2</v>
      </c>
      <c r="BF207" s="6">
        <f t="shared" si="9"/>
        <v>46267</v>
      </c>
      <c r="BG207">
        <f t="shared" si="10"/>
        <v>0.70833333333575865</v>
      </c>
      <c r="BH207" t="str">
        <f t="shared" si="11"/>
        <v>COMPLY</v>
      </c>
      <c r="BI207" t="str">
        <f>VLOOKUP(H207,Sheet2!$A$1:$B$270,2,FALSE)</f>
        <v>SELONG</v>
      </c>
    </row>
    <row r="208" spans="1:61">
      <c r="A208">
        <v>207</v>
      </c>
      <c r="B208">
        <v>1002566441</v>
      </c>
      <c r="C208">
        <v>3</v>
      </c>
      <c r="D208" t="s">
        <v>42</v>
      </c>
      <c r="E208">
        <v>5</v>
      </c>
      <c r="F208" t="s">
        <v>232</v>
      </c>
      <c r="G208" t="s">
        <v>103</v>
      </c>
      <c r="H208" t="s">
        <v>294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46266.746493055558</v>
      </c>
      <c r="P208" s="57">
        <v>46267.786377314813</v>
      </c>
      <c r="Q208">
        <v>69381848</v>
      </c>
      <c r="S208">
        <v>152319208069</v>
      </c>
      <c r="T208" t="s">
        <v>1062</v>
      </c>
      <c r="U208" t="s">
        <v>1063</v>
      </c>
      <c r="V208" t="s">
        <v>1322</v>
      </c>
      <c r="Z208">
        <v>112.34413499999999</v>
      </c>
      <c r="AA208">
        <v>-7.5706119999999997</v>
      </c>
      <c r="AB208" t="s">
        <v>1323</v>
      </c>
      <c r="AC208" t="s">
        <v>236</v>
      </c>
      <c r="AL208" t="s">
        <v>217</v>
      </c>
      <c r="AM208" t="s">
        <v>1066</v>
      </c>
      <c r="AN208" t="s">
        <v>6</v>
      </c>
      <c r="AO208" s="57">
        <v>46031.756886574076</v>
      </c>
      <c r="AP208" s="57">
        <v>46267.625</v>
      </c>
      <c r="AR208" t="s">
        <v>218</v>
      </c>
      <c r="AS208" t="s">
        <v>103</v>
      </c>
      <c r="AT208" t="s">
        <v>230</v>
      </c>
      <c r="AU208">
        <v>20260902</v>
      </c>
      <c r="AV208" t="s">
        <v>221</v>
      </c>
      <c r="AW208" t="s">
        <v>237</v>
      </c>
      <c r="AX208" t="s">
        <v>222</v>
      </c>
      <c r="BA208" s="57">
        <v>46267.625</v>
      </c>
      <c r="BB208" t="s">
        <v>1066</v>
      </c>
      <c r="BC208">
        <v>2026</v>
      </c>
      <c r="BD208">
        <v>9</v>
      </c>
      <c r="BE208">
        <v>2</v>
      </c>
      <c r="BF208" s="6">
        <f t="shared" si="9"/>
        <v>46267</v>
      </c>
      <c r="BG208">
        <f t="shared" si="10"/>
        <v>-0.625</v>
      </c>
      <c r="BH208" t="str">
        <f t="shared" si="11"/>
        <v>COMPLY</v>
      </c>
      <c r="BI208" t="str">
        <f>VLOOKUP(H208,Sheet2!$A$1:$B$270,2,FALSE)</f>
        <v>MOJOKERTO</v>
      </c>
    </row>
    <row r="209" spans="1:61">
      <c r="A209">
        <v>208</v>
      </c>
      <c r="B209">
        <v>1002566432</v>
      </c>
      <c r="C209">
        <v>3</v>
      </c>
      <c r="D209" t="s">
        <v>38</v>
      </c>
      <c r="E209">
        <v>5</v>
      </c>
      <c r="F209" t="s">
        <v>248</v>
      </c>
      <c r="G209" t="s">
        <v>91</v>
      </c>
      <c r="H209" t="s">
        <v>412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46266.741631944446</v>
      </c>
      <c r="P209" s="57">
        <v>46267.712534722225</v>
      </c>
      <c r="Q209">
        <v>69381827</v>
      </c>
      <c r="S209">
        <v>152715213304</v>
      </c>
      <c r="T209" t="s">
        <v>1324</v>
      </c>
      <c r="U209" t="s">
        <v>1325</v>
      </c>
      <c r="V209" t="s">
        <v>1326</v>
      </c>
      <c r="Z209">
        <v>112.64369120000001</v>
      </c>
      <c r="AA209">
        <v>-8.1517681999999994</v>
      </c>
      <c r="AB209" t="s">
        <v>1327</v>
      </c>
      <c r="AC209" t="s">
        <v>236</v>
      </c>
      <c r="AL209" t="s">
        <v>217</v>
      </c>
      <c r="AM209" t="s">
        <v>1123</v>
      </c>
      <c r="AN209" t="s">
        <v>6</v>
      </c>
      <c r="AO209" s="57">
        <v>46031.746469907404</v>
      </c>
      <c r="AP209" s="57">
        <v>46267.625</v>
      </c>
      <c r="AR209" t="s">
        <v>218</v>
      </c>
      <c r="AS209" t="s">
        <v>584</v>
      </c>
      <c r="AT209" t="s">
        <v>220</v>
      </c>
      <c r="AU209">
        <v>20260902</v>
      </c>
      <c r="AV209" t="s">
        <v>221</v>
      </c>
      <c r="AW209" t="s">
        <v>881</v>
      </c>
      <c r="AX209" t="s">
        <v>222</v>
      </c>
      <c r="BA209" s="57">
        <v>46267.625</v>
      </c>
      <c r="BB209" t="s">
        <v>1123</v>
      </c>
      <c r="BC209">
        <v>2026</v>
      </c>
      <c r="BD209">
        <v>9</v>
      </c>
      <c r="BE209">
        <v>2</v>
      </c>
      <c r="BF209" s="6">
        <f t="shared" si="9"/>
        <v>46267</v>
      </c>
      <c r="BG209">
        <f t="shared" si="10"/>
        <v>-0.625</v>
      </c>
      <c r="BH209" t="str">
        <f t="shared" si="11"/>
        <v>COMPLY</v>
      </c>
      <c r="BI209" t="str">
        <f>VLOOKUP(H209,Sheet2!$A$1:$B$270,2,FALSE)</f>
        <v>MALANG</v>
      </c>
    </row>
    <row r="210" spans="1:61">
      <c r="A210">
        <v>209</v>
      </c>
      <c r="B210">
        <v>1002566437</v>
      </c>
      <c r="C210">
        <v>3</v>
      </c>
      <c r="D210" t="s">
        <v>49</v>
      </c>
      <c r="E210">
        <v>4</v>
      </c>
      <c r="F210" t="s">
        <v>250</v>
      </c>
      <c r="G210" t="s">
        <v>540</v>
      </c>
      <c r="H210" t="s">
        <v>543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46266.744398148148</v>
      </c>
      <c r="P210" s="57">
        <v>46267.536354166667</v>
      </c>
      <c r="Q210">
        <v>69381846</v>
      </c>
      <c r="S210">
        <v>142278112752</v>
      </c>
      <c r="T210" t="s">
        <v>996</v>
      </c>
      <c r="U210" t="s">
        <v>997</v>
      </c>
      <c r="V210" t="s">
        <v>1328</v>
      </c>
      <c r="Z210">
        <v>109.45561600000001</v>
      </c>
      <c r="AA210">
        <v>-6.894787</v>
      </c>
      <c r="AB210" t="s">
        <v>1329</v>
      </c>
      <c r="AC210" t="s">
        <v>236</v>
      </c>
      <c r="AL210" t="s">
        <v>217</v>
      </c>
      <c r="AM210" t="s">
        <v>1066</v>
      </c>
      <c r="AN210" t="s">
        <v>6</v>
      </c>
      <c r="AO210" s="57">
        <v>46031.746469907404</v>
      </c>
      <c r="AP210" s="57">
        <v>46267.625</v>
      </c>
      <c r="AR210" t="s">
        <v>218</v>
      </c>
      <c r="AS210" t="s">
        <v>219</v>
      </c>
      <c r="AT210" t="s">
        <v>230</v>
      </c>
      <c r="AU210">
        <v>20260902</v>
      </c>
      <c r="AV210" t="s">
        <v>221</v>
      </c>
      <c r="AW210" t="s">
        <v>574</v>
      </c>
      <c r="AX210" t="s">
        <v>222</v>
      </c>
      <c r="BA210" s="57">
        <v>46267.625</v>
      </c>
      <c r="BB210" t="s">
        <v>1066</v>
      </c>
      <c r="BC210">
        <v>2026</v>
      </c>
      <c r="BD210">
        <v>9</v>
      </c>
      <c r="BE210">
        <v>2</v>
      </c>
      <c r="BF210" s="6">
        <f t="shared" si="9"/>
        <v>46267</v>
      </c>
      <c r="BG210">
        <f t="shared" si="10"/>
        <v>-0.625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1002566415</v>
      </c>
      <c r="C211">
        <v>3</v>
      </c>
      <c r="D211" t="s">
        <v>45</v>
      </c>
      <c r="E211">
        <v>5</v>
      </c>
      <c r="F211" t="s">
        <v>210</v>
      </c>
      <c r="G211" t="s">
        <v>115</v>
      </c>
      <c r="H211" t="s">
        <v>395</v>
      </c>
      <c r="I211" t="s">
        <v>212</v>
      </c>
      <c r="J211" t="s">
        <v>213</v>
      </c>
      <c r="K211" t="s">
        <v>149</v>
      </c>
      <c r="M211" t="s">
        <v>76</v>
      </c>
      <c r="N211" t="s">
        <v>215</v>
      </c>
      <c r="O211" s="57">
        <v>46266.735763888886</v>
      </c>
      <c r="P211" s="57">
        <v>46267.395497685182</v>
      </c>
      <c r="Q211">
        <v>69375993</v>
      </c>
      <c r="S211">
        <v>172602202851</v>
      </c>
      <c r="T211" t="s">
        <v>940</v>
      </c>
      <c r="U211" t="s">
        <v>1415</v>
      </c>
      <c r="V211" t="s">
        <v>1416</v>
      </c>
      <c r="Z211">
        <v>116.07763903</v>
      </c>
      <c r="AA211">
        <v>-8.7333719730000006</v>
      </c>
      <c r="AB211" t="s">
        <v>941</v>
      </c>
      <c r="AC211" t="s">
        <v>216</v>
      </c>
      <c r="AL211" t="s">
        <v>217</v>
      </c>
      <c r="AM211" t="s">
        <v>1417</v>
      </c>
      <c r="AN211" t="s">
        <v>6</v>
      </c>
      <c r="AO211" s="57">
        <v>46031.746469907404</v>
      </c>
      <c r="AR211" t="s">
        <v>218</v>
      </c>
      <c r="AS211" t="s">
        <v>901</v>
      </c>
      <c r="AT211" t="s">
        <v>230</v>
      </c>
      <c r="AU211">
        <v>20260902</v>
      </c>
      <c r="AV211" t="s">
        <v>221</v>
      </c>
      <c r="AW211" t="s">
        <v>544</v>
      </c>
      <c r="AX211" t="s">
        <v>222</v>
      </c>
      <c r="BA211" s="57">
        <v>46266.291666666664</v>
      </c>
      <c r="BB211" t="s">
        <v>1417</v>
      </c>
      <c r="BC211">
        <v>2026</v>
      </c>
      <c r="BD211">
        <v>9</v>
      </c>
      <c r="BE211">
        <v>2</v>
      </c>
      <c r="BF211" s="6">
        <f t="shared" si="9"/>
        <v>46267</v>
      </c>
      <c r="BG211">
        <f t="shared" si="10"/>
        <v>0.70833333333575865</v>
      </c>
      <c r="BH211" t="str">
        <f t="shared" si="11"/>
        <v>COMPLY</v>
      </c>
      <c r="BI211" t="str">
        <f>VLOOKUP(H211,Sheet2!$A$1:$B$270,2,FALSE)</f>
        <v>SELONG</v>
      </c>
    </row>
    <row r="212" spans="1:61">
      <c r="A212">
        <v>211</v>
      </c>
      <c r="B212">
        <v>1002564252</v>
      </c>
      <c r="C212">
        <v>3</v>
      </c>
      <c r="D212" t="s">
        <v>42</v>
      </c>
      <c r="E212">
        <v>5</v>
      </c>
      <c r="F212" t="s">
        <v>232</v>
      </c>
      <c r="G212" t="s">
        <v>101</v>
      </c>
      <c r="H212" t="s">
        <v>427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46266.377754629626</v>
      </c>
      <c r="P212" s="57">
        <v>46266.773368055554</v>
      </c>
      <c r="Q212">
        <v>69381184</v>
      </c>
      <c r="S212">
        <v>152331251329</v>
      </c>
      <c r="T212" t="s">
        <v>1501</v>
      </c>
      <c r="U212" t="s">
        <v>1502</v>
      </c>
      <c r="V212" t="s">
        <v>1503</v>
      </c>
      <c r="Z212">
        <v>112.4996391</v>
      </c>
      <c r="AA212">
        <v>-7.4140965000000003</v>
      </c>
      <c r="AB212" t="s">
        <v>1504</v>
      </c>
      <c r="AC212" t="s">
        <v>229</v>
      </c>
      <c r="AL212" t="s">
        <v>217</v>
      </c>
      <c r="AM212" t="s">
        <v>1505</v>
      </c>
      <c r="AN212" t="s">
        <v>6</v>
      </c>
      <c r="AO212" s="57">
        <v>46031.382175925923</v>
      </c>
      <c r="AP212" s="57">
        <v>46267.333333333336</v>
      </c>
      <c r="AR212" t="s">
        <v>218</v>
      </c>
      <c r="AS212" t="s">
        <v>573</v>
      </c>
      <c r="AT212" t="s">
        <v>230</v>
      </c>
      <c r="AU212">
        <v>20260901</v>
      </c>
      <c r="AV212" t="s">
        <v>221</v>
      </c>
      <c r="AW212" t="s">
        <v>544</v>
      </c>
      <c r="AX212" t="s">
        <v>222</v>
      </c>
      <c r="BA212" s="57">
        <v>46267.333333333336</v>
      </c>
      <c r="BB212" t="s">
        <v>1505</v>
      </c>
      <c r="BC212">
        <v>2026</v>
      </c>
      <c r="BD212">
        <v>9</v>
      </c>
      <c r="BE212">
        <v>1</v>
      </c>
      <c r="BF212" s="6">
        <f t="shared" si="9"/>
        <v>46266</v>
      </c>
      <c r="BG212">
        <f t="shared" si="10"/>
        <v>-1.3333333333357587</v>
      </c>
      <c r="BH212" t="str">
        <f t="shared" si="11"/>
        <v>COMPLY</v>
      </c>
      <c r="BI212" t="str">
        <f>VLOOKUP(H212,Sheet2!$A$1:$B$270,2,FALSE)</f>
        <v>SIDOARJO</v>
      </c>
    </row>
    <row r="213" spans="1:61">
      <c r="A213">
        <v>212</v>
      </c>
      <c r="B213">
        <v>1002564257</v>
      </c>
      <c r="C213">
        <v>3</v>
      </c>
      <c r="D213" t="s">
        <v>49</v>
      </c>
      <c r="E213">
        <v>4</v>
      </c>
      <c r="F213" t="s">
        <v>245</v>
      </c>
      <c r="G213" t="s">
        <v>564</v>
      </c>
      <c r="H213" t="s">
        <v>565</v>
      </c>
      <c r="I213" t="s">
        <v>212</v>
      </c>
      <c r="J213" t="s">
        <v>213</v>
      </c>
      <c r="K213" t="s">
        <v>149</v>
      </c>
      <c r="M213" t="s">
        <v>76</v>
      </c>
      <c r="N213" t="s">
        <v>215</v>
      </c>
      <c r="O213" s="57">
        <v>46266.378287037034</v>
      </c>
      <c r="P213" s="57">
        <v>46266.672581018516</v>
      </c>
      <c r="Q213">
        <v>69379742</v>
      </c>
      <c r="S213">
        <v>142434111557</v>
      </c>
      <c r="T213" t="s">
        <v>1005</v>
      </c>
      <c r="U213" t="s">
        <v>1506</v>
      </c>
      <c r="V213" t="s">
        <v>1507</v>
      </c>
      <c r="Z213">
        <v>110.47078811</v>
      </c>
      <c r="AA213">
        <v>-7.3204740670000001</v>
      </c>
      <c r="AB213" t="s">
        <v>1006</v>
      </c>
      <c r="AC213" t="s">
        <v>216</v>
      </c>
      <c r="AL213" t="s">
        <v>217</v>
      </c>
      <c r="AM213" t="s">
        <v>1508</v>
      </c>
      <c r="AN213" t="s">
        <v>6</v>
      </c>
      <c r="AO213" s="57">
        <v>46031.382175925923</v>
      </c>
      <c r="AR213" t="s">
        <v>218</v>
      </c>
      <c r="AS213" t="s">
        <v>219</v>
      </c>
      <c r="AT213" t="s">
        <v>230</v>
      </c>
      <c r="AU213">
        <v>20260901</v>
      </c>
      <c r="AV213" t="s">
        <v>221</v>
      </c>
      <c r="AW213" t="s">
        <v>544</v>
      </c>
      <c r="AX213" t="s">
        <v>222</v>
      </c>
      <c r="BA213" s="57">
        <v>46266.291666666664</v>
      </c>
      <c r="BB213" t="s">
        <v>1508</v>
      </c>
      <c r="BC213">
        <v>2026</v>
      </c>
      <c r="BD213">
        <v>9</v>
      </c>
      <c r="BE213">
        <v>1</v>
      </c>
      <c r="BF213" s="6">
        <f t="shared" si="9"/>
        <v>46266</v>
      </c>
      <c r="BG213">
        <f t="shared" si="10"/>
        <v>-0.29166666666424135</v>
      </c>
      <c r="BH213" t="str">
        <f t="shared" si="11"/>
        <v>COMPLY</v>
      </c>
      <c r="BI213" t="e">
        <f>VLOOKUP(H213,Sheet2!$A$1:$B$270,2,FALSE)</f>
        <v>#N/A</v>
      </c>
    </row>
    <row r="214" spans="1:61">
      <c r="A214">
        <v>213</v>
      </c>
      <c r="B214">
        <v>1002566137</v>
      </c>
      <c r="C214">
        <v>3</v>
      </c>
      <c r="D214" t="s">
        <v>38</v>
      </c>
      <c r="E214">
        <v>5</v>
      </c>
      <c r="F214" t="s">
        <v>248</v>
      </c>
      <c r="G214" t="s">
        <v>91</v>
      </c>
      <c r="H214" t="s">
        <v>388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46266.668715277781</v>
      </c>
      <c r="P214" s="57">
        <v>46267.669849537036</v>
      </c>
      <c r="Q214">
        <v>69381727</v>
      </c>
      <c r="S214">
        <v>152703903704</v>
      </c>
      <c r="T214" t="s">
        <v>1242</v>
      </c>
      <c r="U214" t="s">
        <v>1339</v>
      </c>
      <c r="V214" t="s">
        <v>1340</v>
      </c>
      <c r="Z214">
        <v>112.62214299999999</v>
      </c>
      <c r="AA214">
        <v>-7.9638900000000001</v>
      </c>
      <c r="AB214" t="s">
        <v>1341</v>
      </c>
      <c r="AC214" t="s">
        <v>236</v>
      </c>
      <c r="AL214" t="s">
        <v>217</v>
      </c>
      <c r="AM214" t="s">
        <v>1342</v>
      </c>
      <c r="AN214" t="s">
        <v>6</v>
      </c>
      <c r="AO214" s="57">
        <v>46031.673645833333</v>
      </c>
      <c r="AP214" s="57">
        <v>46267.541666666664</v>
      </c>
      <c r="AR214" t="s">
        <v>218</v>
      </c>
      <c r="AS214" t="s">
        <v>557</v>
      </c>
      <c r="AT214" t="s">
        <v>230</v>
      </c>
      <c r="AU214">
        <v>20260902</v>
      </c>
      <c r="AV214" t="s">
        <v>221</v>
      </c>
      <c r="AW214" t="s">
        <v>887</v>
      </c>
      <c r="AX214" t="s">
        <v>222</v>
      </c>
      <c r="BA214" s="57">
        <v>46267.541666666664</v>
      </c>
      <c r="BB214" t="s">
        <v>1342</v>
      </c>
      <c r="BC214">
        <v>2026</v>
      </c>
      <c r="BD214">
        <v>9</v>
      </c>
      <c r="BE214">
        <v>2</v>
      </c>
      <c r="BF214" s="6">
        <f t="shared" si="9"/>
        <v>46267</v>
      </c>
      <c r="BG214">
        <f t="shared" si="10"/>
        <v>-0.54166666666424135</v>
      </c>
      <c r="BH214" t="str">
        <f t="shared" si="11"/>
        <v>COMPLY</v>
      </c>
      <c r="BI214" t="str">
        <f>VLOOKUP(H214,Sheet2!$A$1:$B$270,2,FALSE)</f>
        <v>MALANG</v>
      </c>
    </row>
    <row r="215" spans="1:61">
      <c r="A215">
        <v>214</v>
      </c>
      <c r="B215">
        <v>1002566283</v>
      </c>
      <c r="C215">
        <v>3</v>
      </c>
      <c r="D215" t="s">
        <v>38</v>
      </c>
      <c r="E215">
        <v>5</v>
      </c>
      <c r="F215" t="s">
        <v>248</v>
      </c>
      <c r="G215" t="s">
        <v>91</v>
      </c>
      <c r="H215" t="s">
        <v>403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46266.694398148145</v>
      </c>
      <c r="P215" s="57">
        <v>46267.536932870367</v>
      </c>
      <c r="Q215">
        <v>69381751</v>
      </c>
      <c r="S215">
        <v>152701239122</v>
      </c>
      <c r="T215" t="s">
        <v>984</v>
      </c>
      <c r="U215" t="s">
        <v>1343</v>
      </c>
      <c r="V215" t="s">
        <v>1344</v>
      </c>
      <c r="Z215">
        <v>112.62572400000001</v>
      </c>
      <c r="AA215">
        <v>-7.9933690000000004</v>
      </c>
      <c r="AB215" t="s">
        <v>1345</v>
      </c>
      <c r="AC215" t="s">
        <v>236</v>
      </c>
      <c r="AL215" t="s">
        <v>217</v>
      </c>
      <c r="AM215" t="s">
        <v>1056</v>
      </c>
      <c r="AN215" t="s">
        <v>6</v>
      </c>
      <c r="AO215" s="57">
        <v>46031.704814814817</v>
      </c>
      <c r="AP215" s="57">
        <v>46267.541666666664</v>
      </c>
      <c r="AR215" t="s">
        <v>218</v>
      </c>
      <c r="AS215" t="s">
        <v>248</v>
      </c>
      <c r="AT215" t="s">
        <v>230</v>
      </c>
      <c r="AU215">
        <v>20260902</v>
      </c>
      <c r="AV215" t="s">
        <v>221</v>
      </c>
      <c r="AW215" t="s">
        <v>884</v>
      </c>
      <c r="AX215" t="s">
        <v>222</v>
      </c>
      <c r="BA215" s="57">
        <v>46267.541666666664</v>
      </c>
      <c r="BB215" t="s">
        <v>1056</v>
      </c>
      <c r="BC215">
        <v>2026</v>
      </c>
      <c r="BD215">
        <v>9</v>
      </c>
      <c r="BE215">
        <v>2</v>
      </c>
      <c r="BF215" s="6">
        <f t="shared" si="9"/>
        <v>46267</v>
      </c>
      <c r="BG215">
        <f t="shared" si="10"/>
        <v>-0.54166666666424135</v>
      </c>
      <c r="BH215" t="str">
        <f t="shared" si="11"/>
        <v>COMPLY</v>
      </c>
      <c r="BI215" t="str">
        <f>VLOOKUP(H215,Sheet2!$A$1:$B$270,2,FALSE)</f>
        <v>MALANG</v>
      </c>
    </row>
    <row r="216" spans="1:61">
      <c r="A216">
        <v>215</v>
      </c>
      <c r="B216">
        <v>1002566158</v>
      </c>
      <c r="C216">
        <v>3</v>
      </c>
      <c r="D216" t="s">
        <v>34</v>
      </c>
      <c r="E216">
        <v>5</v>
      </c>
      <c r="F216" t="s">
        <v>563</v>
      </c>
      <c r="G216" t="s">
        <v>81</v>
      </c>
      <c r="H216" t="s">
        <v>350</v>
      </c>
      <c r="I216" t="s">
        <v>212</v>
      </c>
      <c r="J216" t="s">
        <v>213</v>
      </c>
      <c r="K216" t="s">
        <v>149</v>
      </c>
      <c r="M216" t="s">
        <v>76</v>
      </c>
      <c r="N216" t="s">
        <v>581</v>
      </c>
      <c r="O216" s="57">
        <v>46266.671678240738</v>
      </c>
      <c r="P216" s="57">
        <v>46266.714097222219</v>
      </c>
      <c r="Q216">
        <v>69374767</v>
      </c>
      <c r="S216">
        <v>172416429339</v>
      </c>
      <c r="T216" t="s">
        <v>953</v>
      </c>
      <c r="U216" t="s">
        <v>954</v>
      </c>
      <c r="V216" t="s">
        <v>1509</v>
      </c>
      <c r="Z216">
        <v>115.19119000000001</v>
      </c>
      <c r="AA216">
        <v>-8.7216970000000007</v>
      </c>
      <c r="AB216" t="s">
        <v>955</v>
      </c>
      <c r="AC216" t="s">
        <v>284</v>
      </c>
      <c r="AL216" t="s">
        <v>217</v>
      </c>
      <c r="AM216" t="s">
        <v>1510</v>
      </c>
      <c r="AN216" t="s">
        <v>6</v>
      </c>
      <c r="AO216" s="57">
        <v>46031.673645833333</v>
      </c>
      <c r="AR216" t="s">
        <v>218</v>
      </c>
      <c r="AS216" t="s">
        <v>818</v>
      </c>
      <c r="AT216" t="s">
        <v>230</v>
      </c>
      <c r="AU216">
        <v>20260901</v>
      </c>
      <c r="AV216" t="s">
        <v>221</v>
      </c>
      <c r="AW216" t="s">
        <v>599</v>
      </c>
      <c r="AX216" t="s">
        <v>222</v>
      </c>
      <c r="BA216" s="57">
        <v>46266.291666666664</v>
      </c>
      <c r="BB216" t="s">
        <v>1510</v>
      </c>
      <c r="BC216">
        <v>2026</v>
      </c>
      <c r="BD216">
        <v>9</v>
      </c>
      <c r="BE216">
        <v>1</v>
      </c>
      <c r="BF216" s="6">
        <f t="shared" si="9"/>
        <v>46266</v>
      </c>
      <c r="BG216">
        <f t="shared" si="10"/>
        <v>-0.29166666666424135</v>
      </c>
      <c r="BH216" t="str">
        <f t="shared" si="11"/>
        <v>COMPLY</v>
      </c>
      <c r="BI216" t="str">
        <f>VLOOKUP(H216,Sheet2!$A$1:$B$270,2,FALSE)</f>
        <v>JIMBARAN</v>
      </c>
    </row>
    <row r="217" spans="1:61">
      <c r="A217">
        <v>216</v>
      </c>
      <c r="B217">
        <v>1002566131</v>
      </c>
      <c r="C217">
        <v>3</v>
      </c>
      <c r="D217" t="s">
        <v>59</v>
      </c>
      <c r="E217">
        <v>4</v>
      </c>
      <c r="F217" t="s">
        <v>223</v>
      </c>
      <c r="G217" t="s">
        <v>580</v>
      </c>
      <c r="H217" t="s">
        <v>843</v>
      </c>
      <c r="I217" t="s">
        <v>212</v>
      </c>
      <c r="J217" t="s">
        <v>213</v>
      </c>
      <c r="K217" t="s">
        <v>149</v>
      </c>
      <c r="L217" t="s">
        <v>214</v>
      </c>
      <c r="M217" t="s">
        <v>76</v>
      </c>
      <c r="N217" t="s">
        <v>215</v>
      </c>
      <c r="O217" s="57">
        <v>46266.667326388888</v>
      </c>
      <c r="P217" s="57">
        <v>46267.738020833334</v>
      </c>
      <c r="Q217">
        <v>69381726</v>
      </c>
      <c r="S217">
        <v>141362105347</v>
      </c>
      <c r="T217" t="s">
        <v>1346</v>
      </c>
      <c r="U217" t="s">
        <v>1347</v>
      </c>
      <c r="V217" t="s">
        <v>1348</v>
      </c>
      <c r="Z217">
        <v>109.0269304</v>
      </c>
      <c r="AA217">
        <v>-7.6734384000000002</v>
      </c>
      <c r="AB217" t="s">
        <v>1349</v>
      </c>
      <c r="AC217" t="s">
        <v>236</v>
      </c>
      <c r="AL217" t="s">
        <v>217</v>
      </c>
      <c r="AM217" t="s">
        <v>1350</v>
      </c>
      <c r="AN217" t="s">
        <v>6</v>
      </c>
      <c r="AO217" s="57">
        <v>46031.673645833333</v>
      </c>
      <c r="AP217" s="57">
        <v>46272.333333333336</v>
      </c>
      <c r="AR217" t="s">
        <v>218</v>
      </c>
      <c r="AS217" t="s">
        <v>219</v>
      </c>
      <c r="AT217" t="s">
        <v>230</v>
      </c>
      <c r="AU217">
        <v>20260902</v>
      </c>
      <c r="AV217" t="s">
        <v>221</v>
      </c>
      <c r="AW217" t="s">
        <v>891</v>
      </c>
      <c r="AX217" t="s">
        <v>222</v>
      </c>
      <c r="BA217" s="57">
        <v>46272.333333333336</v>
      </c>
      <c r="BB217" t="s">
        <v>1350</v>
      </c>
      <c r="BC217">
        <v>2026</v>
      </c>
      <c r="BD217">
        <v>9</v>
      </c>
      <c r="BE217">
        <v>2</v>
      </c>
      <c r="BF217" s="6">
        <f t="shared" si="9"/>
        <v>46267</v>
      </c>
      <c r="BG217">
        <f t="shared" si="10"/>
        <v>-5.3333333333357587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1002566337</v>
      </c>
      <c r="C218">
        <v>3</v>
      </c>
      <c r="D218" t="s">
        <v>42</v>
      </c>
      <c r="E218">
        <v>5</v>
      </c>
      <c r="F218" t="s">
        <v>232</v>
      </c>
      <c r="G218" t="s">
        <v>103</v>
      </c>
      <c r="H218" t="s">
        <v>294</v>
      </c>
      <c r="I218" t="s">
        <v>212</v>
      </c>
      <c r="J218" t="s">
        <v>213</v>
      </c>
      <c r="K218" t="s">
        <v>149</v>
      </c>
      <c r="L218" t="s">
        <v>214</v>
      </c>
      <c r="M218" t="s">
        <v>2090</v>
      </c>
      <c r="N218" t="s">
        <v>215</v>
      </c>
      <c r="O218" s="57">
        <v>46266.704814814817</v>
      </c>
      <c r="P218" s="57">
        <v>46267.710636574076</v>
      </c>
      <c r="Q218">
        <v>69381769</v>
      </c>
      <c r="S218">
        <v>152319208068</v>
      </c>
      <c r="T218" t="s">
        <v>1062</v>
      </c>
      <c r="U218" t="s">
        <v>1063</v>
      </c>
      <c r="V218" t="s">
        <v>1064</v>
      </c>
      <c r="Z218">
        <v>112.34413499999999</v>
      </c>
      <c r="AA218">
        <v>-7.5706119999999997</v>
      </c>
      <c r="AB218" t="s">
        <v>1065</v>
      </c>
      <c r="AC218" t="s">
        <v>236</v>
      </c>
      <c r="AL218" t="s">
        <v>217</v>
      </c>
      <c r="AM218" t="s">
        <v>1066</v>
      </c>
      <c r="AN218" t="s">
        <v>6</v>
      </c>
      <c r="AO218" s="57">
        <v>46031.715439814812</v>
      </c>
      <c r="AP218" s="57">
        <v>46267.625</v>
      </c>
      <c r="AR218" t="s">
        <v>2091</v>
      </c>
      <c r="AS218" t="s">
        <v>103</v>
      </c>
      <c r="AT218" t="s">
        <v>230</v>
      </c>
      <c r="AV218" t="s">
        <v>2092</v>
      </c>
      <c r="AW218" t="s">
        <v>574</v>
      </c>
      <c r="AX218" t="s">
        <v>222</v>
      </c>
      <c r="BA218" s="57">
        <v>46267.625</v>
      </c>
      <c r="BB218" t="s">
        <v>1066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MOJOKERTO</v>
      </c>
    </row>
    <row r="219" spans="1:61">
      <c r="A219">
        <v>218</v>
      </c>
      <c r="B219">
        <v>1002566996</v>
      </c>
      <c r="C219">
        <v>3</v>
      </c>
      <c r="D219" t="s">
        <v>45</v>
      </c>
      <c r="E219">
        <v>5</v>
      </c>
      <c r="F219" t="s">
        <v>113</v>
      </c>
      <c r="G219" t="s">
        <v>109</v>
      </c>
      <c r="H219" t="s">
        <v>413</v>
      </c>
      <c r="I219" t="s">
        <v>212</v>
      </c>
      <c r="J219" t="s">
        <v>213</v>
      </c>
      <c r="K219" t="s">
        <v>149</v>
      </c>
      <c r="L219" t="s">
        <v>214</v>
      </c>
      <c r="M219" t="s">
        <v>224</v>
      </c>
      <c r="N219" t="s">
        <v>215</v>
      </c>
      <c r="O219" s="57">
        <v>46267.421481481484</v>
      </c>
      <c r="P219" s="57">
        <v>46268.33761574074</v>
      </c>
      <c r="Q219">
        <v>69382062</v>
      </c>
      <c r="S219">
        <v>172518797056</v>
      </c>
      <c r="T219" t="s">
        <v>2093</v>
      </c>
      <c r="U219" t="s">
        <v>2094</v>
      </c>
      <c r="V219" t="s">
        <v>2095</v>
      </c>
      <c r="Z219">
        <v>124.48156237722</v>
      </c>
      <c r="AA219">
        <v>-9.4678893831694708</v>
      </c>
      <c r="AB219" t="s">
        <v>2096</v>
      </c>
      <c r="AC219" t="s">
        <v>236</v>
      </c>
      <c r="AL219" t="s">
        <v>217</v>
      </c>
      <c r="AM219" t="s">
        <v>2073</v>
      </c>
      <c r="AN219" t="s">
        <v>6</v>
      </c>
      <c r="AO219" s="57">
        <v>46062.423657407409</v>
      </c>
      <c r="AP219" s="57">
        <v>46268.333333333336</v>
      </c>
      <c r="AR219" t="s">
        <v>18</v>
      </c>
      <c r="AS219" t="s">
        <v>219</v>
      </c>
      <c r="AT219" t="s">
        <v>230</v>
      </c>
      <c r="AV219" t="s">
        <v>226</v>
      </c>
      <c r="AW219" t="s">
        <v>886</v>
      </c>
      <c r="AX219" t="s">
        <v>222</v>
      </c>
      <c r="BA219" s="57">
        <v>46268.333333333336</v>
      </c>
      <c r="BB219" t="s">
        <v>2073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ATAMBUA</v>
      </c>
    </row>
    <row r="220" spans="1:61">
      <c r="A220">
        <v>219</v>
      </c>
      <c r="B220">
        <v>1002566938</v>
      </c>
      <c r="C220">
        <v>3</v>
      </c>
      <c r="D220" t="s">
        <v>51</v>
      </c>
      <c r="E220">
        <v>4</v>
      </c>
      <c r="F220" t="s">
        <v>234</v>
      </c>
      <c r="G220" t="s">
        <v>562</v>
      </c>
      <c r="H220" t="s">
        <v>848</v>
      </c>
      <c r="I220" t="s">
        <v>212</v>
      </c>
      <c r="J220" t="s">
        <v>213</v>
      </c>
      <c r="K220" t="s">
        <v>149</v>
      </c>
      <c r="M220" t="s">
        <v>224</v>
      </c>
      <c r="N220" t="s">
        <v>581</v>
      </c>
      <c r="O220" s="57">
        <v>46267.412453703706</v>
      </c>
      <c r="P220" s="57">
        <v>46268.33803240741</v>
      </c>
      <c r="Q220">
        <v>69382048</v>
      </c>
      <c r="R220">
        <v>2716008068</v>
      </c>
      <c r="S220">
        <v>146514602779</v>
      </c>
      <c r="T220" t="s">
        <v>2097</v>
      </c>
      <c r="U220" t="s">
        <v>2098</v>
      </c>
      <c r="V220" t="s">
        <v>2099</v>
      </c>
      <c r="Z220">
        <v>110.8229042</v>
      </c>
      <c r="AA220">
        <v>-7.5706189000000004</v>
      </c>
      <c r="AB220" t="s">
        <v>2100</v>
      </c>
      <c r="AC220" t="s">
        <v>225</v>
      </c>
      <c r="AL220" t="s">
        <v>217</v>
      </c>
      <c r="AM220" t="s">
        <v>2101</v>
      </c>
      <c r="AN220" t="s">
        <v>6</v>
      </c>
      <c r="AO220" s="57">
        <v>46062.413263888891</v>
      </c>
      <c r="AP220" s="57">
        <v>46268.333333333336</v>
      </c>
      <c r="AR220" t="s">
        <v>18</v>
      </c>
      <c r="AS220" t="s">
        <v>219</v>
      </c>
      <c r="AT220" t="s">
        <v>230</v>
      </c>
      <c r="AV220" t="s">
        <v>226</v>
      </c>
      <c r="AW220" t="s">
        <v>585</v>
      </c>
      <c r="AX220" t="s">
        <v>222</v>
      </c>
      <c r="BA220" s="57">
        <v>46268.333333333336</v>
      </c>
      <c r="BB220" t="s">
        <v>2101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:61">
      <c r="A221">
        <v>220</v>
      </c>
      <c r="B221">
        <v>1002566926</v>
      </c>
      <c r="C221">
        <v>3</v>
      </c>
      <c r="D221" t="s">
        <v>34</v>
      </c>
      <c r="E221">
        <v>5</v>
      </c>
      <c r="F221" t="s">
        <v>554</v>
      </c>
      <c r="G221" t="s">
        <v>85</v>
      </c>
      <c r="H221" t="s">
        <v>279</v>
      </c>
      <c r="I221" t="s">
        <v>212</v>
      </c>
      <c r="J221" t="s">
        <v>213</v>
      </c>
      <c r="K221" t="s">
        <v>149</v>
      </c>
      <c r="M221" t="s">
        <v>224</v>
      </c>
      <c r="N221" t="s">
        <v>215</v>
      </c>
      <c r="O221" s="57">
        <v>46267.409259259257</v>
      </c>
      <c r="P221" s="57">
        <v>46268.337291666663</v>
      </c>
      <c r="Q221">
        <v>69382067</v>
      </c>
      <c r="S221">
        <v>172413244695</v>
      </c>
      <c r="T221" t="s">
        <v>2102</v>
      </c>
      <c r="U221" t="s">
        <v>2103</v>
      </c>
      <c r="V221" t="s">
        <v>2104</v>
      </c>
      <c r="Z221">
        <v>114.963000532588</v>
      </c>
      <c r="AA221">
        <v>-8.4939798564935494</v>
      </c>
      <c r="AB221" t="s">
        <v>2105</v>
      </c>
      <c r="AC221" t="s">
        <v>229</v>
      </c>
      <c r="AL221" t="s">
        <v>217</v>
      </c>
      <c r="AM221" t="s">
        <v>2106</v>
      </c>
      <c r="AN221" t="s">
        <v>6</v>
      </c>
      <c r="AO221" s="57">
        <v>46062.413263888891</v>
      </c>
      <c r="AP221" s="57">
        <v>46268.333333333336</v>
      </c>
      <c r="AR221" t="s">
        <v>18</v>
      </c>
      <c r="AS221" t="s">
        <v>85</v>
      </c>
      <c r="AT221" t="s">
        <v>230</v>
      </c>
      <c r="AV221" t="s">
        <v>226</v>
      </c>
      <c r="AW221" t="s">
        <v>2107</v>
      </c>
      <c r="AX221" t="s">
        <v>222</v>
      </c>
      <c r="BA221" s="57">
        <v>46268.333333333336</v>
      </c>
      <c r="BB221" t="s">
        <v>2106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TABANAN</v>
      </c>
    </row>
    <row r="222" spans="1:61">
      <c r="A222">
        <v>221</v>
      </c>
      <c r="B222">
        <v>1002567273</v>
      </c>
      <c r="C222">
        <v>3</v>
      </c>
      <c r="D222" t="s">
        <v>59</v>
      </c>
      <c r="E222">
        <v>4</v>
      </c>
      <c r="F222" t="s">
        <v>242</v>
      </c>
      <c r="G222" t="s">
        <v>600</v>
      </c>
      <c r="H222" t="s">
        <v>601</v>
      </c>
      <c r="I222" t="s">
        <v>212</v>
      </c>
      <c r="J222" t="s">
        <v>213</v>
      </c>
      <c r="K222" t="s">
        <v>149</v>
      </c>
      <c r="L222" t="s">
        <v>214</v>
      </c>
      <c r="M222" t="s">
        <v>224</v>
      </c>
      <c r="N222" t="s">
        <v>215</v>
      </c>
      <c r="O222" s="57">
        <v>46267.472870370373</v>
      </c>
      <c r="P222" s="57">
        <v>46268.337847222225</v>
      </c>
      <c r="Q222">
        <v>69382190</v>
      </c>
      <c r="S222">
        <v>141149112956</v>
      </c>
      <c r="T222" t="s">
        <v>2108</v>
      </c>
      <c r="U222" t="s">
        <v>2109</v>
      </c>
      <c r="V222" t="s">
        <v>2110</v>
      </c>
      <c r="Z222">
        <v>110.118285</v>
      </c>
      <c r="AA222">
        <v>-7.2858770000000002</v>
      </c>
      <c r="AB222" t="s">
        <v>2111</v>
      </c>
      <c r="AC222" t="s">
        <v>236</v>
      </c>
      <c r="AL222" t="s">
        <v>217</v>
      </c>
      <c r="AM222" t="s">
        <v>1126</v>
      </c>
      <c r="AN222" t="s">
        <v>6</v>
      </c>
      <c r="AO222" s="57">
        <v>46062.475937499999</v>
      </c>
      <c r="AP222" s="57">
        <v>46268.333333333336</v>
      </c>
      <c r="AR222" t="s">
        <v>18</v>
      </c>
      <c r="AS222" t="s">
        <v>920</v>
      </c>
      <c r="AT222" t="s">
        <v>230</v>
      </c>
      <c r="AV222" t="s">
        <v>226</v>
      </c>
      <c r="AW222" t="s">
        <v>2112</v>
      </c>
      <c r="AX222" t="s">
        <v>222</v>
      </c>
      <c r="BA222" s="57">
        <v>46268.333333333336</v>
      </c>
      <c r="BB222" t="s">
        <v>1126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1002566584</v>
      </c>
      <c r="C223">
        <v>3</v>
      </c>
      <c r="D223" t="s">
        <v>45</v>
      </c>
      <c r="E223">
        <v>5</v>
      </c>
      <c r="F223" t="s">
        <v>113</v>
      </c>
      <c r="G223" t="s">
        <v>117</v>
      </c>
      <c r="H223" t="s">
        <v>456</v>
      </c>
      <c r="I223" t="s">
        <v>212</v>
      </c>
      <c r="J223" t="s">
        <v>213</v>
      </c>
      <c r="K223" t="s">
        <v>149</v>
      </c>
      <c r="L223" t="s">
        <v>214</v>
      </c>
      <c r="M223" t="s">
        <v>224</v>
      </c>
      <c r="N223" t="s">
        <v>215</v>
      </c>
      <c r="O223" s="57">
        <v>46267.325659722221</v>
      </c>
      <c r="P223" s="57">
        <v>46267.736493055556</v>
      </c>
      <c r="Q223">
        <v>69381908</v>
      </c>
      <c r="S223">
        <v>172508209056</v>
      </c>
      <c r="T223" t="s">
        <v>2113</v>
      </c>
      <c r="U223" t="s">
        <v>2114</v>
      </c>
      <c r="V223" t="s">
        <v>2115</v>
      </c>
      <c r="Z223">
        <v>122.20816145767201</v>
      </c>
      <c r="AA223">
        <v>-8.6204345178180599</v>
      </c>
      <c r="AB223" t="s">
        <v>2116</v>
      </c>
      <c r="AC223" t="s">
        <v>236</v>
      </c>
      <c r="AL223" t="s">
        <v>217</v>
      </c>
      <c r="AM223" t="s">
        <v>2068</v>
      </c>
      <c r="AN223" t="s">
        <v>6</v>
      </c>
      <c r="AO223" s="57">
        <v>46062.329884259256</v>
      </c>
      <c r="AP223" s="57">
        <v>46268.333333333336</v>
      </c>
      <c r="AR223" t="s">
        <v>18</v>
      </c>
      <c r="AS223" t="s">
        <v>219</v>
      </c>
      <c r="AT223" t="s">
        <v>230</v>
      </c>
      <c r="AV223" t="s">
        <v>226</v>
      </c>
      <c r="AW223" t="s">
        <v>831</v>
      </c>
      <c r="AX223" t="s">
        <v>222</v>
      </c>
      <c r="BA223" s="57">
        <v>46268.333333333336</v>
      </c>
      <c r="BB223" t="s">
        <v>2068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MAUMERE</v>
      </c>
    </row>
    <row r="224" spans="1:61">
      <c r="A224">
        <v>223</v>
      </c>
      <c r="B224">
        <v>1002566762</v>
      </c>
      <c r="C224">
        <v>3</v>
      </c>
      <c r="D224" t="s">
        <v>55</v>
      </c>
      <c r="E224">
        <v>5</v>
      </c>
      <c r="F224" t="s">
        <v>307</v>
      </c>
      <c r="G224" t="s">
        <v>124</v>
      </c>
      <c r="H224" t="s">
        <v>309</v>
      </c>
      <c r="I224" t="s">
        <v>212</v>
      </c>
      <c r="J224" t="s">
        <v>213</v>
      </c>
      <c r="K224" t="s">
        <v>149</v>
      </c>
      <c r="L224" t="s">
        <v>214</v>
      </c>
      <c r="M224" t="s">
        <v>224</v>
      </c>
      <c r="N224" t="s">
        <v>215</v>
      </c>
      <c r="O224" s="57">
        <v>46267.379120370373</v>
      </c>
      <c r="P224" s="57">
        <v>46268.338750000003</v>
      </c>
      <c r="Q224">
        <v>69381963</v>
      </c>
      <c r="S224">
        <v>152308243225</v>
      </c>
      <c r="T224" t="s">
        <v>2117</v>
      </c>
      <c r="U224" t="s">
        <v>2118</v>
      </c>
      <c r="V224" t="s">
        <v>2119</v>
      </c>
      <c r="Z224">
        <v>112.757417</v>
      </c>
      <c r="AA224">
        <v>-7.3170400000000004</v>
      </c>
      <c r="AB224" t="s">
        <v>2120</v>
      </c>
      <c r="AC224" t="s">
        <v>236</v>
      </c>
      <c r="AL224" t="s">
        <v>217</v>
      </c>
      <c r="AM224" t="s">
        <v>2121</v>
      </c>
      <c r="AN224" t="s">
        <v>6</v>
      </c>
      <c r="AO224" s="57">
        <v>46062.382025462961</v>
      </c>
      <c r="AP224" s="57">
        <v>46268.333333333336</v>
      </c>
      <c r="AR224" t="s">
        <v>18</v>
      </c>
      <c r="AS224" t="s">
        <v>605</v>
      </c>
      <c r="AT224" t="s">
        <v>230</v>
      </c>
      <c r="AV224" t="s">
        <v>226</v>
      </c>
      <c r="AW224" t="s">
        <v>891</v>
      </c>
      <c r="AX224" t="s">
        <v>222</v>
      </c>
      <c r="BA224" s="57">
        <v>46268.333333333336</v>
      </c>
      <c r="BB224" t="s">
        <v>2121</v>
      </c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str">
        <f>VLOOKUP(H224,Sheet2!$A$1:$B$270,2,FALSE)</f>
        <v>SURABAYA SELATAN</v>
      </c>
    </row>
    <row r="225" spans="1:61">
      <c r="A225">
        <v>224</v>
      </c>
      <c r="B225">
        <v>1002567344</v>
      </c>
      <c r="C225">
        <v>3</v>
      </c>
      <c r="D225" t="s">
        <v>45</v>
      </c>
      <c r="E225">
        <v>5</v>
      </c>
      <c r="F225" t="s">
        <v>113</v>
      </c>
      <c r="G225" t="s">
        <v>113</v>
      </c>
      <c r="H225" t="s">
        <v>317</v>
      </c>
      <c r="I225" t="s">
        <v>212</v>
      </c>
      <c r="J225" t="s">
        <v>213</v>
      </c>
      <c r="K225" t="s">
        <v>149</v>
      </c>
      <c r="L225" t="s">
        <v>214</v>
      </c>
      <c r="M225" t="s">
        <v>224</v>
      </c>
      <c r="N225" t="s">
        <v>215</v>
      </c>
      <c r="O225" s="57">
        <v>46267.487453703703</v>
      </c>
      <c r="P225" s="57">
        <v>46268.337696759256</v>
      </c>
      <c r="Q225">
        <v>69382197</v>
      </c>
      <c r="S225">
        <v>172503813798</v>
      </c>
      <c r="T225" t="s">
        <v>2122</v>
      </c>
      <c r="U225" t="s">
        <v>2123</v>
      </c>
      <c r="V225" t="s">
        <v>2124</v>
      </c>
      <c r="Z225">
        <v>123.65912299999999</v>
      </c>
      <c r="AA225">
        <v>-10.177958</v>
      </c>
      <c r="AB225" t="s">
        <v>2125</v>
      </c>
      <c r="AC225" t="s">
        <v>236</v>
      </c>
      <c r="AL225" t="s">
        <v>217</v>
      </c>
      <c r="AM225" t="s">
        <v>1932</v>
      </c>
      <c r="AN225" t="s">
        <v>6</v>
      </c>
      <c r="AO225" s="57">
        <v>46062.496516203704</v>
      </c>
      <c r="AP225" s="57">
        <v>46268.333333333336</v>
      </c>
      <c r="AR225" t="s">
        <v>18</v>
      </c>
      <c r="AS225" t="s">
        <v>113</v>
      </c>
      <c r="AT225" t="s">
        <v>230</v>
      </c>
      <c r="AV225" t="s">
        <v>226</v>
      </c>
      <c r="AW225" t="s">
        <v>929</v>
      </c>
      <c r="AX225" t="s">
        <v>222</v>
      </c>
      <c r="BA225" s="57">
        <v>46268.333333333336</v>
      </c>
      <c r="BB225" t="s">
        <v>1932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KUPANG</v>
      </c>
    </row>
    <row r="226" spans="1:61">
      <c r="A226">
        <v>225</v>
      </c>
      <c r="B226">
        <v>1002566793</v>
      </c>
      <c r="C226">
        <v>3</v>
      </c>
      <c r="D226" t="s">
        <v>49</v>
      </c>
      <c r="E226">
        <v>4</v>
      </c>
      <c r="F226" t="s">
        <v>250</v>
      </c>
      <c r="G226" t="s">
        <v>250</v>
      </c>
      <c r="H226" t="s">
        <v>2126</v>
      </c>
      <c r="I226" t="s">
        <v>212</v>
      </c>
      <c r="J226" t="s">
        <v>213</v>
      </c>
      <c r="K226" t="s">
        <v>149</v>
      </c>
      <c r="L226" t="s">
        <v>214</v>
      </c>
      <c r="M226" t="s">
        <v>224</v>
      </c>
      <c r="N226" t="s">
        <v>215</v>
      </c>
      <c r="O226" s="57">
        <v>46267.386076388888</v>
      </c>
      <c r="P226" s="57">
        <v>46268.337546296294</v>
      </c>
      <c r="Q226">
        <v>69382000</v>
      </c>
      <c r="S226">
        <v>142202154665</v>
      </c>
      <c r="T226" t="s">
        <v>2127</v>
      </c>
      <c r="U226" t="s">
        <v>2128</v>
      </c>
      <c r="V226" t="s">
        <v>2129</v>
      </c>
      <c r="Z226">
        <v>109.683713</v>
      </c>
      <c r="AA226">
        <v>-6.9448752999999996</v>
      </c>
      <c r="AB226" t="s">
        <v>2130</v>
      </c>
      <c r="AC226" t="s">
        <v>236</v>
      </c>
      <c r="AL226" t="s">
        <v>217</v>
      </c>
      <c r="AM226" t="s">
        <v>1932</v>
      </c>
      <c r="AN226" t="s">
        <v>6</v>
      </c>
      <c r="AO226" s="57">
        <v>46062.402870370373</v>
      </c>
      <c r="AP226" s="57">
        <v>46268.333333333336</v>
      </c>
      <c r="AR226" t="s">
        <v>18</v>
      </c>
      <c r="AS226" t="s">
        <v>219</v>
      </c>
      <c r="AT226" t="s">
        <v>230</v>
      </c>
      <c r="AV226" t="s">
        <v>226</v>
      </c>
      <c r="AW226" t="s">
        <v>886</v>
      </c>
      <c r="AX226" t="s">
        <v>222</v>
      </c>
      <c r="BA226" s="57">
        <v>46268.333333333336</v>
      </c>
      <c r="BB226" t="s">
        <v>1932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1002566634</v>
      </c>
      <c r="C227">
        <v>3</v>
      </c>
      <c r="D227" t="s">
        <v>45</v>
      </c>
      <c r="E227">
        <v>5</v>
      </c>
      <c r="F227" t="s">
        <v>113</v>
      </c>
      <c r="G227" t="s">
        <v>117</v>
      </c>
      <c r="H227" t="s">
        <v>411</v>
      </c>
      <c r="I227" t="s">
        <v>212</v>
      </c>
      <c r="J227" t="s">
        <v>213</v>
      </c>
      <c r="K227" t="s">
        <v>149</v>
      </c>
      <c r="L227" t="s">
        <v>214</v>
      </c>
      <c r="M227" t="s">
        <v>224</v>
      </c>
      <c r="N227" t="s">
        <v>215</v>
      </c>
      <c r="O227" s="57">
        <v>46267.349965277775</v>
      </c>
      <c r="P227" s="57">
        <v>46268.337719907409</v>
      </c>
      <c r="Q227">
        <v>69381496</v>
      </c>
      <c r="S227">
        <v>172509796466</v>
      </c>
      <c r="T227" t="s">
        <v>2131</v>
      </c>
      <c r="U227" t="s">
        <v>2132</v>
      </c>
      <c r="V227" t="s">
        <v>2133</v>
      </c>
      <c r="Z227">
        <v>123.018106296658</v>
      </c>
      <c r="AA227">
        <v>-8.3062444849669799</v>
      </c>
      <c r="AB227" t="s">
        <v>2134</v>
      </c>
      <c r="AC227" t="s">
        <v>216</v>
      </c>
      <c r="AL227" t="s">
        <v>217</v>
      </c>
      <c r="AM227" t="s">
        <v>1311</v>
      </c>
      <c r="AN227" t="s">
        <v>6</v>
      </c>
      <c r="AO227" s="57">
        <v>46062.350763888891</v>
      </c>
      <c r="AP227" s="57">
        <v>46268.333333333336</v>
      </c>
      <c r="AR227" t="s">
        <v>18</v>
      </c>
      <c r="AS227" t="s">
        <v>219</v>
      </c>
      <c r="AT227" t="s">
        <v>230</v>
      </c>
      <c r="AV227" t="s">
        <v>226</v>
      </c>
      <c r="AW227" t="s">
        <v>890</v>
      </c>
      <c r="AX227" t="s">
        <v>222</v>
      </c>
      <c r="BA227" s="57">
        <v>46268.333333333336</v>
      </c>
      <c r="BB227" t="s">
        <v>1311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MAUMERE</v>
      </c>
    </row>
    <row r="228" spans="1:61">
      <c r="A228">
        <v>227</v>
      </c>
      <c r="B228">
        <v>1002566611</v>
      </c>
      <c r="C228">
        <v>3</v>
      </c>
      <c r="D228" t="s">
        <v>45</v>
      </c>
      <c r="E228">
        <v>5</v>
      </c>
      <c r="F228" t="s">
        <v>113</v>
      </c>
      <c r="G228" t="s">
        <v>113</v>
      </c>
      <c r="H228" t="s">
        <v>408</v>
      </c>
      <c r="I228" t="s">
        <v>212</v>
      </c>
      <c r="J228" t="s">
        <v>213</v>
      </c>
      <c r="K228" t="s">
        <v>149</v>
      </c>
      <c r="L228" t="s">
        <v>214</v>
      </c>
      <c r="M228" t="s">
        <v>224</v>
      </c>
      <c r="N228" t="s">
        <v>215</v>
      </c>
      <c r="O228" s="57">
        <v>46267.344409722224</v>
      </c>
      <c r="P228" s="57">
        <v>46268.338113425925</v>
      </c>
      <c r="Q228">
        <v>69381942</v>
      </c>
      <c r="S228">
        <v>172502311706</v>
      </c>
      <c r="T228" t="s">
        <v>2135</v>
      </c>
      <c r="U228" t="s">
        <v>2136</v>
      </c>
      <c r="V228" t="s">
        <v>2137</v>
      </c>
      <c r="Z228">
        <v>123.5930237</v>
      </c>
      <c r="AA228">
        <v>-10.1868269</v>
      </c>
      <c r="AB228" t="s">
        <v>2138</v>
      </c>
      <c r="AC228" t="s">
        <v>236</v>
      </c>
      <c r="AL228" t="s">
        <v>217</v>
      </c>
      <c r="AM228" t="s">
        <v>2139</v>
      </c>
      <c r="AN228" t="s">
        <v>6</v>
      </c>
      <c r="AO228" s="57">
        <v>46062.350763888891</v>
      </c>
      <c r="AP228" s="57">
        <v>46268.333333333336</v>
      </c>
      <c r="AR228" t="s">
        <v>18</v>
      </c>
      <c r="AS228" t="s">
        <v>113</v>
      </c>
      <c r="AT228" t="s">
        <v>230</v>
      </c>
      <c r="AV228" t="s">
        <v>226</v>
      </c>
      <c r="AW228" t="s">
        <v>886</v>
      </c>
      <c r="AX228" t="s">
        <v>222</v>
      </c>
      <c r="BA228" s="57">
        <v>46268.333333333336</v>
      </c>
      <c r="BB228" t="s">
        <v>2139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KUPANG</v>
      </c>
    </row>
    <row r="229" spans="1:61">
      <c r="A229">
        <v>228</v>
      </c>
      <c r="B229">
        <v>1002566719</v>
      </c>
      <c r="C229">
        <v>3</v>
      </c>
      <c r="D229" t="s">
        <v>55</v>
      </c>
      <c r="E229">
        <v>5</v>
      </c>
      <c r="F229" t="s">
        <v>261</v>
      </c>
      <c r="G229" t="s">
        <v>128</v>
      </c>
      <c r="H229" t="s">
        <v>305</v>
      </c>
      <c r="I229" t="s">
        <v>212</v>
      </c>
      <c r="J229" t="s">
        <v>213</v>
      </c>
      <c r="K229" t="s">
        <v>149</v>
      </c>
      <c r="M229" t="s">
        <v>224</v>
      </c>
      <c r="N229" t="s">
        <v>215</v>
      </c>
      <c r="O229" s="57">
        <v>46267.370023148149</v>
      </c>
      <c r="P229" s="57">
        <v>46268.337245370371</v>
      </c>
      <c r="Q229">
        <v>69381952</v>
      </c>
      <c r="S229">
        <v>152417230066</v>
      </c>
      <c r="T229" t="s">
        <v>2140</v>
      </c>
      <c r="U229" t="s">
        <v>2141</v>
      </c>
      <c r="V229" t="s">
        <v>2142</v>
      </c>
      <c r="Z229">
        <v>112.598271906877</v>
      </c>
      <c r="AA229">
        <v>-7.3525522048741303</v>
      </c>
      <c r="AB229" t="s">
        <v>2143</v>
      </c>
      <c r="AC229" t="s">
        <v>229</v>
      </c>
      <c r="AL229" t="s">
        <v>217</v>
      </c>
      <c r="AM229" t="s">
        <v>2144</v>
      </c>
      <c r="AN229" t="s">
        <v>6</v>
      </c>
      <c r="AO229" s="57">
        <v>46062.371550925927</v>
      </c>
      <c r="AP229" s="57">
        <v>46268.333333333336</v>
      </c>
      <c r="AR229" t="s">
        <v>18</v>
      </c>
      <c r="AS229" t="s">
        <v>602</v>
      </c>
      <c r="AT229" t="s">
        <v>230</v>
      </c>
      <c r="AV229" t="s">
        <v>226</v>
      </c>
      <c r="AW229" t="s">
        <v>572</v>
      </c>
      <c r="AX229" t="s">
        <v>222</v>
      </c>
      <c r="BA229" s="57">
        <v>46268.333333333336</v>
      </c>
      <c r="BB229" t="s">
        <v>2144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SURABAYA UTARA</v>
      </c>
    </row>
    <row r="230" spans="1:61">
      <c r="A230">
        <v>229</v>
      </c>
      <c r="B230">
        <v>1002567130</v>
      </c>
      <c r="C230">
        <v>3</v>
      </c>
      <c r="D230" t="s">
        <v>38</v>
      </c>
      <c r="E230">
        <v>5</v>
      </c>
      <c r="F230" t="s">
        <v>90</v>
      </c>
      <c r="G230" t="s">
        <v>90</v>
      </c>
      <c r="H230" t="s">
        <v>409</v>
      </c>
      <c r="I230" t="s">
        <v>212</v>
      </c>
      <c r="J230" t="s">
        <v>213</v>
      </c>
      <c r="K230" t="s">
        <v>149</v>
      </c>
      <c r="L230" t="s">
        <v>214</v>
      </c>
      <c r="M230" t="s">
        <v>224</v>
      </c>
      <c r="N230" t="s">
        <v>215</v>
      </c>
      <c r="O230" s="57">
        <v>46267.444409722222</v>
      </c>
      <c r="P230" s="57">
        <v>46268.337847222225</v>
      </c>
      <c r="Q230">
        <v>69382124</v>
      </c>
      <c r="S230">
        <v>152610241443</v>
      </c>
      <c r="T230" t="s">
        <v>2145</v>
      </c>
      <c r="U230" t="s">
        <v>2146</v>
      </c>
      <c r="V230" t="s">
        <v>2147</v>
      </c>
      <c r="Z230">
        <v>112.010162584483</v>
      </c>
      <c r="AA230">
        <v>-7.7882147921386</v>
      </c>
      <c r="AB230" t="s">
        <v>2148</v>
      </c>
      <c r="AC230" t="s">
        <v>216</v>
      </c>
      <c r="AL230" t="s">
        <v>217</v>
      </c>
      <c r="AM230" t="s">
        <v>2149</v>
      </c>
      <c r="AN230" t="s">
        <v>6</v>
      </c>
      <c r="AO230" s="57">
        <v>46062.454895833333</v>
      </c>
      <c r="AP230" s="57">
        <v>46268.333333333336</v>
      </c>
      <c r="AR230" t="s">
        <v>18</v>
      </c>
      <c r="AS230" t="s">
        <v>219</v>
      </c>
      <c r="AT230" t="s">
        <v>230</v>
      </c>
      <c r="AV230" t="s">
        <v>226</v>
      </c>
      <c r="AW230" t="s">
        <v>884</v>
      </c>
      <c r="AX230" t="s">
        <v>222</v>
      </c>
      <c r="BA230" s="57">
        <v>46268.333333333336</v>
      </c>
      <c r="BB230" t="s">
        <v>2149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KEDIRI</v>
      </c>
    </row>
    <row r="231" spans="1:61">
      <c r="A231">
        <v>230</v>
      </c>
      <c r="B231">
        <v>1002566682</v>
      </c>
      <c r="C231">
        <v>3</v>
      </c>
      <c r="D231" t="s">
        <v>34</v>
      </c>
      <c r="E231">
        <v>5</v>
      </c>
      <c r="F231" t="s">
        <v>554</v>
      </c>
      <c r="G231" t="s">
        <v>85</v>
      </c>
      <c r="H231" t="s">
        <v>279</v>
      </c>
      <c r="I231" t="s">
        <v>212</v>
      </c>
      <c r="J231" t="s">
        <v>213</v>
      </c>
      <c r="K231" t="s">
        <v>149</v>
      </c>
      <c r="M231" t="s">
        <v>224</v>
      </c>
      <c r="N231" t="s">
        <v>215</v>
      </c>
      <c r="O231" s="57">
        <v>46267.360798611109</v>
      </c>
      <c r="P231" s="57">
        <v>46268.337743055556</v>
      </c>
      <c r="Q231">
        <v>69381973</v>
      </c>
      <c r="S231">
        <v>172413244692</v>
      </c>
      <c r="T231" t="s">
        <v>2150</v>
      </c>
      <c r="U231" t="s">
        <v>2151</v>
      </c>
      <c r="V231" t="s">
        <v>2152</v>
      </c>
      <c r="Z231">
        <v>115.1847394</v>
      </c>
      <c r="AA231">
        <v>-8.5033984999999994</v>
      </c>
      <c r="AB231" t="s">
        <v>2153</v>
      </c>
      <c r="AC231" t="s">
        <v>229</v>
      </c>
      <c r="AL231" t="s">
        <v>217</v>
      </c>
      <c r="AM231" t="s">
        <v>2154</v>
      </c>
      <c r="AN231" t="s">
        <v>6</v>
      </c>
      <c r="AO231" s="57">
        <v>46062.371550925927</v>
      </c>
      <c r="AP231" s="57">
        <v>46268.333333333336</v>
      </c>
      <c r="AR231" t="s">
        <v>18</v>
      </c>
      <c r="AS231" t="s">
        <v>85</v>
      </c>
      <c r="AT231" t="s">
        <v>230</v>
      </c>
      <c r="AV231" t="s">
        <v>226</v>
      </c>
      <c r="AW231" t="s">
        <v>545</v>
      </c>
      <c r="AX231" t="s">
        <v>222</v>
      </c>
      <c r="BA231" s="57">
        <v>46268.333333333336</v>
      </c>
      <c r="BB231" t="s">
        <v>2154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TABANAN</v>
      </c>
    </row>
    <row r="232" spans="1:61">
      <c r="A232">
        <v>231</v>
      </c>
      <c r="B232">
        <v>1002567158</v>
      </c>
      <c r="C232">
        <v>3</v>
      </c>
      <c r="D232" t="s">
        <v>49</v>
      </c>
      <c r="E232">
        <v>4</v>
      </c>
      <c r="F232" t="s">
        <v>250</v>
      </c>
      <c r="G232" t="s">
        <v>253</v>
      </c>
      <c r="H232" t="s">
        <v>821</v>
      </c>
      <c r="I232" t="s">
        <v>212</v>
      </c>
      <c r="J232" t="s">
        <v>213</v>
      </c>
      <c r="K232" t="s">
        <v>149</v>
      </c>
      <c r="L232" t="s">
        <v>214</v>
      </c>
      <c r="M232" t="s">
        <v>224</v>
      </c>
      <c r="N232" t="s">
        <v>215</v>
      </c>
      <c r="O232" s="57">
        <v>46267.449953703705</v>
      </c>
      <c r="P232" s="57">
        <v>46268.337210648147</v>
      </c>
      <c r="Q232">
        <v>69382133</v>
      </c>
      <c r="S232">
        <v>142206131298</v>
      </c>
      <c r="T232" t="s">
        <v>2155</v>
      </c>
      <c r="U232" t="s">
        <v>2156</v>
      </c>
      <c r="V232" t="s">
        <v>2157</v>
      </c>
      <c r="Z232">
        <v>109.11459993571</v>
      </c>
      <c r="AA232">
        <v>-7.0477889644675402</v>
      </c>
      <c r="AB232" t="s">
        <v>2158</v>
      </c>
      <c r="AC232" t="s">
        <v>216</v>
      </c>
      <c r="AL232" t="s">
        <v>217</v>
      </c>
      <c r="AM232" t="s">
        <v>1944</v>
      </c>
      <c r="AN232" t="s">
        <v>6</v>
      </c>
      <c r="AO232" s="57">
        <v>46062.454895833333</v>
      </c>
      <c r="AP232" s="57">
        <v>46268.333333333336</v>
      </c>
      <c r="AR232" t="s">
        <v>18</v>
      </c>
      <c r="AS232" t="s">
        <v>219</v>
      </c>
      <c r="AT232" t="s">
        <v>230</v>
      </c>
      <c r="AV232" t="s">
        <v>226</v>
      </c>
      <c r="AW232" t="s">
        <v>887</v>
      </c>
      <c r="AX232" t="s">
        <v>222</v>
      </c>
      <c r="BA232" s="57">
        <v>46268.333333333336</v>
      </c>
      <c r="BB232" t="s">
        <v>1944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:61">
      <c r="A233">
        <v>232</v>
      </c>
      <c r="B233">
        <v>1002566694</v>
      </c>
      <c r="C233">
        <v>3</v>
      </c>
      <c r="D233" t="s">
        <v>45</v>
      </c>
      <c r="E233">
        <v>5</v>
      </c>
      <c r="F233" t="s">
        <v>113</v>
      </c>
      <c r="G233" t="s">
        <v>117</v>
      </c>
      <c r="H233" t="s">
        <v>411</v>
      </c>
      <c r="I233" t="s">
        <v>212</v>
      </c>
      <c r="J233" t="s">
        <v>213</v>
      </c>
      <c r="K233" t="s">
        <v>149</v>
      </c>
      <c r="L233" t="s">
        <v>214</v>
      </c>
      <c r="M233" t="s">
        <v>224</v>
      </c>
      <c r="N233" t="s">
        <v>215</v>
      </c>
      <c r="O233" s="57">
        <v>46267.363159722219</v>
      </c>
      <c r="P233" s="57">
        <v>46268.337233796294</v>
      </c>
      <c r="Q233">
        <v>69381950</v>
      </c>
      <c r="S233">
        <v>172509796566</v>
      </c>
      <c r="T233" t="s">
        <v>2159</v>
      </c>
      <c r="U233" t="s">
        <v>2160</v>
      </c>
      <c r="V233" t="s">
        <v>2161</v>
      </c>
      <c r="Z233">
        <v>123.01813211292</v>
      </c>
      <c r="AA233">
        <v>-8.3061595546289109</v>
      </c>
      <c r="AB233" t="s">
        <v>2162</v>
      </c>
      <c r="AC233" t="s">
        <v>216</v>
      </c>
      <c r="AL233" t="s">
        <v>217</v>
      </c>
      <c r="AM233" t="s">
        <v>2163</v>
      </c>
      <c r="AN233" t="s">
        <v>6</v>
      </c>
      <c r="AO233" s="57">
        <v>46062.371550925927</v>
      </c>
      <c r="AP233" s="57">
        <v>46268.333333333336</v>
      </c>
      <c r="AR233" t="s">
        <v>18</v>
      </c>
      <c r="AS233" t="s">
        <v>219</v>
      </c>
      <c r="AT233" t="s">
        <v>230</v>
      </c>
      <c r="AV233" t="s">
        <v>226</v>
      </c>
      <c r="AW233" t="s">
        <v>890</v>
      </c>
      <c r="AX233" t="s">
        <v>222</v>
      </c>
      <c r="BA233" s="57">
        <v>46268.333333333336</v>
      </c>
      <c r="BB233" t="s">
        <v>2163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MAUMERE</v>
      </c>
    </row>
    <row r="234" spans="1:61">
      <c r="A234">
        <v>233</v>
      </c>
      <c r="B234">
        <v>1002567171</v>
      </c>
      <c r="C234">
        <v>3</v>
      </c>
      <c r="D234" t="s">
        <v>51</v>
      </c>
      <c r="E234">
        <v>4</v>
      </c>
      <c r="F234" t="s">
        <v>234</v>
      </c>
      <c r="G234" t="s">
        <v>562</v>
      </c>
      <c r="H234" t="s">
        <v>588</v>
      </c>
      <c r="I234" t="s">
        <v>212</v>
      </c>
      <c r="J234" t="s">
        <v>213</v>
      </c>
      <c r="K234" t="s">
        <v>149</v>
      </c>
      <c r="L234" t="s">
        <v>214</v>
      </c>
      <c r="M234" t="s">
        <v>224</v>
      </c>
      <c r="N234" t="s">
        <v>215</v>
      </c>
      <c r="O234" s="57">
        <v>46267.452743055554</v>
      </c>
      <c r="P234" s="57">
        <v>46268.338020833333</v>
      </c>
      <c r="Q234">
        <v>69382137</v>
      </c>
      <c r="S234">
        <v>142505403201</v>
      </c>
      <c r="T234" t="s">
        <v>2164</v>
      </c>
      <c r="U234" t="s">
        <v>2165</v>
      </c>
      <c r="V234" t="s">
        <v>2166</v>
      </c>
      <c r="Z234">
        <v>110.796262</v>
      </c>
      <c r="AA234">
        <v>-7.5554240000000004</v>
      </c>
      <c r="AB234" t="s">
        <v>2167</v>
      </c>
      <c r="AC234" t="s">
        <v>236</v>
      </c>
      <c r="AL234" t="s">
        <v>217</v>
      </c>
      <c r="AM234" t="s">
        <v>2168</v>
      </c>
      <c r="AN234" t="s">
        <v>6</v>
      </c>
      <c r="AO234" s="57">
        <v>46062.454895833333</v>
      </c>
      <c r="AP234" s="57">
        <v>46268.333333333336</v>
      </c>
      <c r="AR234" t="s">
        <v>18</v>
      </c>
      <c r="AS234" t="s">
        <v>219</v>
      </c>
      <c r="AT234" t="s">
        <v>230</v>
      </c>
      <c r="AV234" t="s">
        <v>226</v>
      </c>
      <c r="AW234" t="s">
        <v>884</v>
      </c>
      <c r="AX234" t="s">
        <v>222</v>
      </c>
      <c r="BA234" s="57">
        <v>46268.333333333336</v>
      </c>
      <c r="BB234" t="s">
        <v>2168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:61">
      <c r="A235">
        <v>234</v>
      </c>
      <c r="B235">
        <v>1002566199</v>
      </c>
      <c r="C235">
        <v>3</v>
      </c>
      <c r="D235" t="s">
        <v>45</v>
      </c>
      <c r="E235">
        <v>5</v>
      </c>
      <c r="F235" t="s">
        <v>113</v>
      </c>
      <c r="G235" t="s">
        <v>113</v>
      </c>
      <c r="H235" t="s">
        <v>408</v>
      </c>
      <c r="I235" t="s">
        <v>212</v>
      </c>
      <c r="J235" t="s">
        <v>213</v>
      </c>
      <c r="K235" t="s">
        <v>149</v>
      </c>
      <c r="L235" t="s">
        <v>214</v>
      </c>
      <c r="M235" t="s">
        <v>224</v>
      </c>
      <c r="N235" t="s">
        <v>215</v>
      </c>
      <c r="O235" s="57">
        <v>46266.679814814815</v>
      </c>
      <c r="P235" s="57">
        <v>46267.546030092592</v>
      </c>
      <c r="Q235">
        <v>69381711</v>
      </c>
      <c r="S235">
        <v>172502311693</v>
      </c>
      <c r="T235" t="s">
        <v>1052</v>
      </c>
      <c r="U235" t="s">
        <v>1053</v>
      </c>
      <c r="V235" t="s">
        <v>1054</v>
      </c>
      <c r="Z235">
        <v>123.5713068</v>
      </c>
      <c r="AA235">
        <v>-10.166021300000001</v>
      </c>
      <c r="AB235" t="s">
        <v>1055</v>
      </c>
      <c r="AC235" t="s">
        <v>236</v>
      </c>
      <c r="AL235" t="s">
        <v>217</v>
      </c>
      <c r="AM235" t="s">
        <v>1056</v>
      </c>
      <c r="AN235" t="s">
        <v>6</v>
      </c>
      <c r="AO235" s="57">
        <v>46031.684131944443</v>
      </c>
      <c r="AP235" s="57">
        <v>46267.541666666664</v>
      </c>
      <c r="AR235" t="s">
        <v>18</v>
      </c>
      <c r="AS235" t="s">
        <v>113</v>
      </c>
      <c r="AT235" t="s">
        <v>230</v>
      </c>
      <c r="AV235" t="s">
        <v>226</v>
      </c>
      <c r="AW235" t="s">
        <v>890</v>
      </c>
      <c r="AX235" t="s">
        <v>222</v>
      </c>
      <c r="BA235" s="57">
        <v>46267.541666666664</v>
      </c>
      <c r="BB235" t="s">
        <v>1056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KUPANG</v>
      </c>
    </row>
    <row r="236" spans="1:61">
      <c r="A236">
        <v>235</v>
      </c>
      <c r="B236">
        <v>1002564623</v>
      </c>
      <c r="C236">
        <v>3</v>
      </c>
      <c r="D236" t="s">
        <v>38</v>
      </c>
      <c r="E236">
        <v>5</v>
      </c>
      <c r="F236" t="s">
        <v>90</v>
      </c>
      <c r="G236" t="s">
        <v>88</v>
      </c>
      <c r="H236" t="s">
        <v>505</v>
      </c>
      <c r="I236" t="s">
        <v>212</v>
      </c>
      <c r="J236" t="s">
        <v>213</v>
      </c>
      <c r="K236" t="s">
        <v>149</v>
      </c>
      <c r="L236" t="s">
        <v>214</v>
      </c>
      <c r="M236" t="s">
        <v>224</v>
      </c>
      <c r="N236" t="s">
        <v>215</v>
      </c>
      <c r="O236" s="57">
        <v>46266.421481481484</v>
      </c>
      <c r="P236" s="57">
        <v>46267.677754629629</v>
      </c>
      <c r="Q236">
        <v>69381290</v>
      </c>
      <c r="S236">
        <v>152735209558</v>
      </c>
      <c r="T236" t="s">
        <v>1360</v>
      </c>
      <c r="U236" t="s">
        <v>2169</v>
      </c>
      <c r="V236" t="s">
        <v>1361</v>
      </c>
      <c r="Z236">
        <v>112.252102531492</v>
      </c>
      <c r="AA236">
        <v>-8.0182332173502093</v>
      </c>
      <c r="AB236" t="s">
        <v>1362</v>
      </c>
      <c r="AC236" t="s">
        <v>216</v>
      </c>
      <c r="AL236" t="s">
        <v>217</v>
      </c>
      <c r="AM236" t="s">
        <v>2170</v>
      </c>
      <c r="AN236" t="s">
        <v>6</v>
      </c>
      <c r="AO236" s="57">
        <v>46031.423645833333</v>
      </c>
      <c r="AP236" s="57">
        <v>46267.333333333336</v>
      </c>
      <c r="AR236" t="s">
        <v>18</v>
      </c>
      <c r="AS236" t="s">
        <v>558</v>
      </c>
      <c r="AT236" t="s">
        <v>230</v>
      </c>
      <c r="AV236" t="s">
        <v>226</v>
      </c>
      <c r="AW236" t="s">
        <v>886</v>
      </c>
      <c r="AX236" t="s">
        <v>222</v>
      </c>
      <c r="BA236" s="57">
        <v>46268.541666666664</v>
      </c>
      <c r="BB236" t="s">
        <v>2170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BLITAR</v>
      </c>
    </row>
    <row r="237" spans="1:61">
      <c r="A237">
        <v>236</v>
      </c>
      <c r="B237">
        <v>1002564858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478</v>
      </c>
      <c r="I237" t="s">
        <v>212</v>
      </c>
      <c r="J237" t="s">
        <v>213</v>
      </c>
      <c r="K237" t="s">
        <v>149</v>
      </c>
      <c r="L237" t="s">
        <v>214</v>
      </c>
      <c r="M237" t="s">
        <v>224</v>
      </c>
      <c r="N237" t="s">
        <v>215</v>
      </c>
      <c r="O237" s="57">
        <v>46266.452048611114</v>
      </c>
      <c r="P237" s="57">
        <v>46267.414733796293</v>
      </c>
      <c r="Q237">
        <v>69381346</v>
      </c>
      <c r="S237">
        <v>172607203846</v>
      </c>
      <c r="T237" t="s">
        <v>1087</v>
      </c>
      <c r="U237" t="s">
        <v>1088</v>
      </c>
      <c r="V237" t="s">
        <v>1089</v>
      </c>
      <c r="Z237">
        <v>116.843798446929</v>
      </c>
      <c r="AA237">
        <v>-8.5673763751423309</v>
      </c>
      <c r="AB237" t="s">
        <v>1090</v>
      </c>
      <c r="AC237" t="s">
        <v>236</v>
      </c>
      <c r="AL237" t="s">
        <v>217</v>
      </c>
      <c r="AM237" t="s">
        <v>1091</v>
      </c>
      <c r="AN237" t="s">
        <v>6</v>
      </c>
      <c r="AO237" s="57">
        <v>46031.454826388886</v>
      </c>
      <c r="AP237" s="57">
        <v>46267.333333333336</v>
      </c>
      <c r="AR237" t="s">
        <v>18</v>
      </c>
      <c r="AS237" t="s">
        <v>902</v>
      </c>
      <c r="AT237" t="s">
        <v>230</v>
      </c>
      <c r="AV237" t="s">
        <v>226</v>
      </c>
      <c r="AW237" t="s">
        <v>884</v>
      </c>
      <c r="AX237" t="s">
        <v>222</v>
      </c>
      <c r="BA237" s="57">
        <v>46267.333333333336</v>
      </c>
      <c r="BB237" t="s">
        <v>1091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SUMBAWA</v>
      </c>
    </row>
    <row r="238" spans="1:61">
      <c r="A238">
        <v>237</v>
      </c>
      <c r="B238">
        <v>1002564783</v>
      </c>
      <c r="C238">
        <v>3</v>
      </c>
      <c r="D238" t="s">
        <v>45</v>
      </c>
      <c r="E238">
        <v>5</v>
      </c>
      <c r="F238" t="s">
        <v>210</v>
      </c>
      <c r="G238" t="s">
        <v>116</v>
      </c>
      <c r="H238" t="s">
        <v>268</v>
      </c>
      <c r="I238" t="s">
        <v>212</v>
      </c>
      <c r="J238" t="s">
        <v>213</v>
      </c>
      <c r="K238" t="s">
        <v>149</v>
      </c>
      <c r="L238" t="s">
        <v>214</v>
      </c>
      <c r="M238" t="s">
        <v>224</v>
      </c>
      <c r="N238" t="s">
        <v>215</v>
      </c>
      <c r="O238" s="57">
        <v>46266.443703703706</v>
      </c>
      <c r="P238" s="57">
        <v>46267.644108796296</v>
      </c>
      <c r="Q238">
        <v>69381328</v>
      </c>
      <c r="S238">
        <v>172604214259</v>
      </c>
      <c r="T238" t="s">
        <v>1096</v>
      </c>
      <c r="U238" t="s">
        <v>1097</v>
      </c>
      <c r="V238" t="s">
        <v>1098</v>
      </c>
      <c r="Z238">
        <v>116.544966995716</v>
      </c>
      <c r="AA238">
        <v>-8.38643504546903</v>
      </c>
      <c r="AB238" t="s">
        <v>1099</v>
      </c>
      <c r="AC238" t="s">
        <v>216</v>
      </c>
      <c r="AL238" t="s">
        <v>217</v>
      </c>
      <c r="AM238" t="s">
        <v>1100</v>
      </c>
      <c r="AN238" t="s">
        <v>6</v>
      </c>
      <c r="AO238" s="57">
        <v>46031.444409722222</v>
      </c>
      <c r="AP238" s="57">
        <v>46267.625</v>
      </c>
      <c r="AR238" t="s">
        <v>18</v>
      </c>
      <c r="AS238" t="s">
        <v>912</v>
      </c>
      <c r="AT238" t="s">
        <v>230</v>
      </c>
      <c r="AV238" t="s">
        <v>226</v>
      </c>
      <c r="AW238" t="s">
        <v>884</v>
      </c>
      <c r="AX238" t="s">
        <v>222</v>
      </c>
      <c r="BA238" s="57">
        <v>46267.625</v>
      </c>
      <c r="BB238" t="s">
        <v>1100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SELONG</v>
      </c>
    </row>
    <row r="239" spans="1:61">
      <c r="A239">
        <v>238</v>
      </c>
      <c r="B239">
        <v>1002565482</v>
      </c>
      <c r="C239">
        <v>3</v>
      </c>
      <c r="D239" t="s">
        <v>49</v>
      </c>
      <c r="E239">
        <v>4</v>
      </c>
      <c r="F239" t="s">
        <v>245</v>
      </c>
      <c r="G239" t="s">
        <v>246</v>
      </c>
      <c r="H239" t="s">
        <v>610</v>
      </c>
      <c r="I239" t="s">
        <v>212</v>
      </c>
      <c r="J239" t="s">
        <v>213</v>
      </c>
      <c r="K239" t="s">
        <v>149</v>
      </c>
      <c r="L239" t="s">
        <v>214</v>
      </c>
      <c r="M239" t="s">
        <v>224</v>
      </c>
      <c r="N239" t="s">
        <v>215</v>
      </c>
      <c r="O239" s="57">
        <v>46266.574953703705</v>
      </c>
      <c r="P239" s="57">
        <v>46267.545520833337</v>
      </c>
      <c r="Q239">
        <v>69381526</v>
      </c>
      <c r="S239">
        <v>141408116576</v>
      </c>
      <c r="T239" t="s">
        <v>1110</v>
      </c>
      <c r="U239" t="s">
        <v>1111</v>
      </c>
      <c r="V239" t="s">
        <v>1112</v>
      </c>
      <c r="Z239">
        <v>110.40788000000001</v>
      </c>
      <c r="AA239">
        <v>-6.9934120000000002</v>
      </c>
      <c r="AB239" t="s">
        <v>1113</v>
      </c>
      <c r="AC239" t="s">
        <v>236</v>
      </c>
      <c r="AL239" t="s">
        <v>217</v>
      </c>
      <c r="AM239" t="s">
        <v>1023</v>
      </c>
      <c r="AN239" t="s">
        <v>6</v>
      </c>
      <c r="AO239" s="57">
        <v>46031.579826388886</v>
      </c>
      <c r="AP239" s="57">
        <v>46267.541666666664</v>
      </c>
      <c r="AR239" t="s">
        <v>18</v>
      </c>
      <c r="AS239" t="s">
        <v>219</v>
      </c>
      <c r="AT239" t="s">
        <v>230</v>
      </c>
      <c r="AV239" t="s">
        <v>226</v>
      </c>
      <c r="AW239" t="s">
        <v>237</v>
      </c>
      <c r="AX239" t="s">
        <v>222</v>
      </c>
      <c r="BA239" s="57">
        <v>46267.541666666664</v>
      </c>
      <c r="BB239" t="s">
        <v>1023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:61">
      <c r="A240">
        <v>239</v>
      </c>
      <c r="B240">
        <v>1002564593</v>
      </c>
      <c r="C240">
        <v>3</v>
      </c>
      <c r="D240" t="s">
        <v>45</v>
      </c>
      <c r="E240">
        <v>5</v>
      </c>
      <c r="F240" t="s">
        <v>210</v>
      </c>
      <c r="G240" t="s">
        <v>115</v>
      </c>
      <c r="H240" t="s">
        <v>273</v>
      </c>
      <c r="I240" t="s">
        <v>212</v>
      </c>
      <c r="J240" t="s">
        <v>213</v>
      </c>
      <c r="K240" t="s">
        <v>149</v>
      </c>
      <c r="L240" t="s">
        <v>214</v>
      </c>
      <c r="M240" t="s">
        <v>224</v>
      </c>
      <c r="N240" t="s">
        <v>215</v>
      </c>
      <c r="O240" s="57">
        <v>46266.417303240742</v>
      </c>
      <c r="P240" s="57">
        <v>46267.456585648149</v>
      </c>
      <c r="Q240">
        <v>69376157</v>
      </c>
      <c r="S240">
        <v>172603791822</v>
      </c>
      <c r="T240" t="s">
        <v>942</v>
      </c>
      <c r="U240" t="s">
        <v>2171</v>
      </c>
      <c r="V240" t="s">
        <v>943</v>
      </c>
      <c r="Z240">
        <v>116.339</v>
      </c>
      <c r="AA240">
        <v>-8.6628299999999996</v>
      </c>
      <c r="AB240" t="s">
        <v>944</v>
      </c>
      <c r="AC240" t="s">
        <v>236</v>
      </c>
      <c r="AL240" t="s">
        <v>217</v>
      </c>
      <c r="AM240" t="s">
        <v>2172</v>
      </c>
      <c r="AN240" t="s">
        <v>6</v>
      </c>
      <c r="AO240" s="57">
        <v>46031.423645833333</v>
      </c>
      <c r="AP240" s="57">
        <v>46269</v>
      </c>
      <c r="AR240" t="s">
        <v>18</v>
      </c>
      <c r="AS240" t="s">
        <v>901</v>
      </c>
      <c r="AT240" t="s">
        <v>230</v>
      </c>
      <c r="AV240" t="s">
        <v>226</v>
      </c>
      <c r="AW240" t="s">
        <v>894</v>
      </c>
      <c r="AX240" t="s">
        <v>222</v>
      </c>
      <c r="BA240" s="57">
        <v>46269.541666666664</v>
      </c>
      <c r="BB240" t="s">
        <v>2172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SELONG</v>
      </c>
    </row>
    <row r="241" spans="1:61">
      <c r="A241">
        <v>240</v>
      </c>
      <c r="B241">
        <v>1002566497</v>
      </c>
      <c r="C241">
        <v>3</v>
      </c>
      <c r="D241" t="s">
        <v>45</v>
      </c>
      <c r="E241">
        <v>5</v>
      </c>
      <c r="F241" t="s">
        <v>113</v>
      </c>
      <c r="G241" t="s">
        <v>113</v>
      </c>
      <c r="H241" t="s">
        <v>404</v>
      </c>
      <c r="I241" t="s">
        <v>212</v>
      </c>
      <c r="J241" t="s">
        <v>213</v>
      </c>
      <c r="K241" t="s">
        <v>149</v>
      </c>
      <c r="L241" t="s">
        <v>214</v>
      </c>
      <c r="M241" t="s">
        <v>224</v>
      </c>
      <c r="N241" t="s">
        <v>215</v>
      </c>
      <c r="O241" s="57">
        <v>46266.800023148149</v>
      </c>
      <c r="P241" s="57">
        <v>46268.337881944448</v>
      </c>
      <c r="Q241">
        <v>69381866</v>
      </c>
      <c r="S241">
        <v>172522660839</v>
      </c>
      <c r="T241" t="s">
        <v>932</v>
      </c>
      <c r="U241" t="s">
        <v>933</v>
      </c>
      <c r="V241" t="s">
        <v>1124</v>
      </c>
      <c r="Z241">
        <v>123.06012080000001</v>
      </c>
      <c r="AA241">
        <v>-10.751958999999999</v>
      </c>
      <c r="AB241" t="s">
        <v>1125</v>
      </c>
      <c r="AC241" t="s">
        <v>236</v>
      </c>
      <c r="AL241" t="s">
        <v>217</v>
      </c>
      <c r="AM241" t="s">
        <v>1126</v>
      </c>
      <c r="AN241" t="s">
        <v>6</v>
      </c>
      <c r="AO241" s="57">
        <v>46031.809212962966</v>
      </c>
      <c r="AP241" s="57">
        <v>46268.333333333336</v>
      </c>
      <c r="AR241" t="s">
        <v>18</v>
      </c>
      <c r="AS241" t="s">
        <v>219</v>
      </c>
      <c r="AT241" t="s">
        <v>220</v>
      </c>
      <c r="AV241" t="s">
        <v>226</v>
      </c>
      <c r="AW241" t="s">
        <v>881</v>
      </c>
      <c r="AX241" t="s">
        <v>222</v>
      </c>
      <c r="BA241" s="57">
        <v>46268.333333333336</v>
      </c>
      <c r="BB241" t="s">
        <v>1126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KUPANG</v>
      </c>
    </row>
    <row r="242" spans="1:61">
      <c r="A242">
        <v>241</v>
      </c>
      <c r="B242">
        <v>1002566474</v>
      </c>
      <c r="C242">
        <v>3</v>
      </c>
      <c r="D242" t="s">
        <v>51</v>
      </c>
      <c r="E242">
        <v>4</v>
      </c>
      <c r="F242" t="s">
        <v>269</v>
      </c>
      <c r="G242" t="s">
        <v>551</v>
      </c>
      <c r="H242" t="s">
        <v>597</v>
      </c>
      <c r="I242" t="s">
        <v>212</v>
      </c>
      <c r="J242" t="s">
        <v>213</v>
      </c>
      <c r="K242" t="s">
        <v>149</v>
      </c>
      <c r="L242" t="s">
        <v>214</v>
      </c>
      <c r="M242" t="s">
        <v>224</v>
      </c>
      <c r="N242" t="s">
        <v>215</v>
      </c>
      <c r="O242" s="57">
        <v>46266.775648148148</v>
      </c>
      <c r="P242" s="57">
        <v>46268.337569444448</v>
      </c>
      <c r="Q242">
        <v>69381855</v>
      </c>
      <c r="S242">
        <v>146516109250</v>
      </c>
      <c r="T242" t="s">
        <v>1127</v>
      </c>
      <c r="U242" t="s">
        <v>1128</v>
      </c>
      <c r="V242" t="s">
        <v>1129</v>
      </c>
      <c r="Z242">
        <v>110.669162</v>
      </c>
      <c r="AA242">
        <v>-7.0585110000000002</v>
      </c>
      <c r="AB242" t="s">
        <v>1130</v>
      </c>
      <c r="AC242" t="s">
        <v>236</v>
      </c>
      <c r="AL242" t="s">
        <v>217</v>
      </c>
      <c r="AM242" t="s">
        <v>1131</v>
      </c>
      <c r="AN242" t="s">
        <v>6</v>
      </c>
      <c r="AO242" s="57">
        <v>46031.777754629627</v>
      </c>
      <c r="AP242" s="57">
        <v>46268.333333333336</v>
      </c>
      <c r="AR242" t="s">
        <v>18</v>
      </c>
      <c r="AS242" t="s">
        <v>913</v>
      </c>
      <c r="AT242" t="s">
        <v>230</v>
      </c>
      <c r="AV242" t="s">
        <v>226</v>
      </c>
      <c r="AW242" t="s">
        <v>887</v>
      </c>
      <c r="AX242" t="s">
        <v>222</v>
      </c>
      <c r="BA242" s="57">
        <v>46268.333333333336</v>
      </c>
      <c r="BB242" t="s">
        <v>1131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:61">
      <c r="A243">
        <v>242</v>
      </c>
      <c r="B243">
        <v>1002565843</v>
      </c>
      <c r="C243">
        <v>3</v>
      </c>
      <c r="D243" t="s">
        <v>42</v>
      </c>
      <c r="E243">
        <v>5</v>
      </c>
      <c r="F243" t="s">
        <v>232</v>
      </c>
      <c r="G243" t="s">
        <v>101</v>
      </c>
      <c r="H243" t="s">
        <v>233</v>
      </c>
      <c r="I243" t="s">
        <v>212</v>
      </c>
      <c r="J243" t="s">
        <v>213</v>
      </c>
      <c r="K243" t="s">
        <v>149</v>
      </c>
      <c r="M243" t="s">
        <v>224</v>
      </c>
      <c r="N243" t="s">
        <v>215</v>
      </c>
      <c r="O243" s="57">
        <v>46266.630925925929</v>
      </c>
      <c r="P243" s="57">
        <v>46267.71130787037</v>
      </c>
      <c r="Q243">
        <v>69381650</v>
      </c>
      <c r="S243">
        <v>152327226522</v>
      </c>
      <c r="T243" t="s">
        <v>1148</v>
      </c>
      <c r="U243" t="s">
        <v>1149</v>
      </c>
      <c r="V243" t="s">
        <v>1150</v>
      </c>
      <c r="Z243">
        <v>112.6471193</v>
      </c>
      <c r="AA243">
        <v>-7.4807923000000001</v>
      </c>
      <c r="AB243" t="s">
        <v>1151</v>
      </c>
      <c r="AC243" t="s">
        <v>229</v>
      </c>
      <c r="AL243" t="s">
        <v>217</v>
      </c>
      <c r="AM243" t="s">
        <v>1152</v>
      </c>
      <c r="AN243" t="s">
        <v>6</v>
      </c>
      <c r="AO243" s="57">
        <v>46031.631921296299</v>
      </c>
      <c r="AP243" s="57">
        <v>46267.625</v>
      </c>
      <c r="AR243" t="s">
        <v>18</v>
      </c>
      <c r="AS243" t="s">
        <v>770</v>
      </c>
      <c r="AT243" t="s">
        <v>220</v>
      </c>
      <c r="AV243" t="s">
        <v>226</v>
      </c>
      <c r="AW243" t="s">
        <v>598</v>
      </c>
      <c r="AX243" t="s">
        <v>222</v>
      </c>
      <c r="BA243" s="57">
        <v>46267.625</v>
      </c>
      <c r="BB243" t="s">
        <v>1152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SIDOARJO</v>
      </c>
    </row>
    <row r="244" spans="1:61">
      <c r="A244">
        <v>243</v>
      </c>
      <c r="B244">
        <v>1002565223</v>
      </c>
      <c r="C244">
        <v>3</v>
      </c>
      <c r="D244" t="s">
        <v>45</v>
      </c>
      <c r="E244">
        <v>5</v>
      </c>
      <c r="F244" t="s">
        <v>113</v>
      </c>
      <c r="G244" t="s">
        <v>113</v>
      </c>
      <c r="H244" t="s">
        <v>317</v>
      </c>
      <c r="I244" t="s">
        <v>212</v>
      </c>
      <c r="J244" t="s">
        <v>213</v>
      </c>
      <c r="K244" t="s">
        <v>149</v>
      </c>
      <c r="L244" t="s">
        <v>214</v>
      </c>
      <c r="M244" t="s">
        <v>224</v>
      </c>
      <c r="N244" t="s">
        <v>215</v>
      </c>
      <c r="O244" s="57">
        <v>46266.51525462963</v>
      </c>
      <c r="P244" s="57">
        <v>46267.545590277776</v>
      </c>
      <c r="Q244">
        <v>69381467</v>
      </c>
      <c r="S244">
        <v>172503813656</v>
      </c>
      <c r="T244" t="s">
        <v>1158</v>
      </c>
      <c r="U244" t="s">
        <v>1159</v>
      </c>
      <c r="V244" t="s">
        <v>1160</v>
      </c>
      <c r="Z244">
        <v>123.652345</v>
      </c>
      <c r="AA244">
        <v>-10.157748</v>
      </c>
      <c r="AB244" t="s">
        <v>1161</v>
      </c>
      <c r="AC244" t="s">
        <v>236</v>
      </c>
      <c r="AL244" t="s">
        <v>217</v>
      </c>
      <c r="AM244" t="s">
        <v>1162</v>
      </c>
      <c r="AN244" t="s">
        <v>6</v>
      </c>
      <c r="AO244" s="57">
        <v>46031.517465277779</v>
      </c>
      <c r="AP244" s="57">
        <v>46267.541666666664</v>
      </c>
      <c r="AR244" t="s">
        <v>18</v>
      </c>
      <c r="AS244" t="s">
        <v>113</v>
      </c>
      <c r="AT244" t="s">
        <v>230</v>
      </c>
      <c r="AV244" t="s">
        <v>226</v>
      </c>
      <c r="AW244" t="s">
        <v>921</v>
      </c>
      <c r="AX244" t="s">
        <v>222</v>
      </c>
      <c r="BA244" s="57">
        <v>46267.541666666664</v>
      </c>
      <c r="BB244" t="s">
        <v>1162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KUPANG</v>
      </c>
    </row>
    <row r="245" spans="1:61">
      <c r="A245">
        <v>244</v>
      </c>
      <c r="B245">
        <v>1002566046</v>
      </c>
      <c r="C245">
        <v>3</v>
      </c>
      <c r="D245" t="s">
        <v>45</v>
      </c>
      <c r="E245">
        <v>5</v>
      </c>
      <c r="F245" t="s">
        <v>113</v>
      </c>
      <c r="G245" t="s">
        <v>114</v>
      </c>
      <c r="H245" t="s">
        <v>359</v>
      </c>
      <c r="I245" t="s">
        <v>212</v>
      </c>
      <c r="J245" t="s">
        <v>213</v>
      </c>
      <c r="K245" t="s">
        <v>149</v>
      </c>
      <c r="L245" t="s">
        <v>214</v>
      </c>
      <c r="M245" t="s">
        <v>224</v>
      </c>
      <c r="N245" t="s">
        <v>215</v>
      </c>
      <c r="O245" s="57">
        <v>46266.654826388891</v>
      </c>
      <c r="P245" s="57">
        <v>46267.546365740738</v>
      </c>
      <c r="Q245">
        <v>69381700</v>
      </c>
      <c r="S245">
        <v>172514217027</v>
      </c>
      <c r="T245" t="s">
        <v>1163</v>
      </c>
      <c r="U245" t="s">
        <v>892</v>
      </c>
      <c r="V245" t="s">
        <v>1164</v>
      </c>
      <c r="Z245">
        <v>120.466625488734</v>
      </c>
      <c r="AA245">
        <v>-8.6137046416800995</v>
      </c>
      <c r="AB245" t="s">
        <v>1165</v>
      </c>
      <c r="AC245" t="s">
        <v>236</v>
      </c>
      <c r="AL245" t="s">
        <v>217</v>
      </c>
      <c r="AM245" t="s">
        <v>1166</v>
      </c>
      <c r="AN245" t="s">
        <v>6</v>
      </c>
      <c r="AO245" s="57">
        <v>46031.663206018522</v>
      </c>
      <c r="AP245" s="57">
        <v>46267.541666666664</v>
      </c>
      <c r="AR245" t="s">
        <v>18</v>
      </c>
      <c r="AS245" t="s">
        <v>219</v>
      </c>
      <c r="AT245" t="s">
        <v>230</v>
      </c>
      <c r="AV245" t="s">
        <v>226</v>
      </c>
      <c r="AW245" t="s">
        <v>891</v>
      </c>
      <c r="AX245" t="s">
        <v>222</v>
      </c>
      <c r="BA245" s="57">
        <v>46267.541666666664</v>
      </c>
      <c r="BB245" t="s">
        <v>1166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LABOAN BAJO</v>
      </c>
    </row>
    <row r="246" spans="1:61">
      <c r="A246">
        <v>245</v>
      </c>
      <c r="B246">
        <v>1002564872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211</v>
      </c>
      <c r="I246" t="s">
        <v>212</v>
      </c>
      <c r="J246" t="s">
        <v>213</v>
      </c>
      <c r="K246" t="s">
        <v>149</v>
      </c>
      <c r="L246" t="s">
        <v>214</v>
      </c>
      <c r="M246" t="s">
        <v>224</v>
      </c>
      <c r="N246" t="s">
        <v>215</v>
      </c>
      <c r="O246" s="57">
        <v>46266.454814814817</v>
      </c>
      <c r="P246" s="57">
        <v>46267.546226851853</v>
      </c>
      <c r="Q246">
        <v>69381348</v>
      </c>
      <c r="S246">
        <v>172606792348</v>
      </c>
      <c r="T246" t="s">
        <v>1181</v>
      </c>
      <c r="U246" t="s">
        <v>1182</v>
      </c>
      <c r="V246" t="s">
        <v>1183</v>
      </c>
      <c r="Z246">
        <v>117.67344566999699</v>
      </c>
      <c r="AA246">
        <v>-8.6544796736751799</v>
      </c>
      <c r="AB246" t="s">
        <v>1184</v>
      </c>
      <c r="AC246" t="s">
        <v>236</v>
      </c>
      <c r="AL246" t="s">
        <v>217</v>
      </c>
      <c r="AM246" t="s">
        <v>1185</v>
      </c>
      <c r="AN246" t="s">
        <v>6</v>
      </c>
      <c r="AO246" s="57">
        <v>46031.465405092589</v>
      </c>
      <c r="AP246" s="57">
        <v>46267.541666666664</v>
      </c>
      <c r="AR246" t="s">
        <v>18</v>
      </c>
      <c r="AS246" t="s">
        <v>219</v>
      </c>
      <c r="AT246" t="s">
        <v>344</v>
      </c>
      <c r="AV246" t="s">
        <v>226</v>
      </c>
      <c r="AW246" t="s">
        <v>1186</v>
      </c>
      <c r="AX246" t="s">
        <v>222</v>
      </c>
      <c r="BA246" s="57">
        <v>46267.541666666664</v>
      </c>
      <c r="BB246" t="s">
        <v>1185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SUMBAWA</v>
      </c>
    </row>
    <row r="247" spans="1:61">
      <c r="A247">
        <v>246</v>
      </c>
      <c r="B247">
        <v>1002564524</v>
      </c>
      <c r="C247">
        <v>3</v>
      </c>
      <c r="D247" t="s">
        <v>51</v>
      </c>
      <c r="E247">
        <v>4</v>
      </c>
      <c r="F247" t="s">
        <v>234</v>
      </c>
      <c r="G247" t="s">
        <v>562</v>
      </c>
      <c r="H247" t="s">
        <v>588</v>
      </c>
      <c r="I247" t="s">
        <v>212</v>
      </c>
      <c r="J247" t="s">
        <v>213</v>
      </c>
      <c r="K247" t="s">
        <v>149</v>
      </c>
      <c r="L247" t="s">
        <v>214</v>
      </c>
      <c r="M247" t="s">
        <v>224</v>
      </c>
      <c r="N247" t="s">
        <v>215</v>
      </c>
      <c r="O247" s="57">
        <v>46266.40898148148</v>
      </c>
      <c r="P247" s="57">
        <v>46267.39334490741</v>
      </c>
      <c r="Q247">
        <v>69381266</v>
      </c>
      <c r="S247">
        <v>142505402916</v>
      </c>
      <c r="T247" t="s">
        <v>1202</v>
      </c>
      <c r="U247" t="s">
        <v>1203</v>
      </c>
      <c r="V247" t="s">
        <v>1204</v>
      </c>
      <c r="Z247">
        <v>110.800161100924</v>
      </c>
      <c r="AA247">
        <v>-7.5824571276059904</v>
      </c>
      <c r="AB247" t="s">
        <v>1205</v>
      </c>
      <c r="AC247" t="s">
        <v>216</v>
      </c>
      <c r="AL247" t="s">
        <v>217</v>
      </c>
      <c r="AM247" t="s">
        <v>1206</v>
      </c>
      <c r="AN247" t="s">
        <v>6</v>
      </c>
      <c r="AO247" s="57">
        <v>46031.413310185184</v>
      </c>
      <c r="AP247" s="57">
        <v>46267.333333333336</v>
      </c>
      <c r="AR247" t="s">
        <v>18</v>
      </c>
      <c r="AS247" t="s">
        <v>219</v>
      </c>
      <c r="AT247" t="s">
        <v>230</v>
      </c>
      <c r="AV247" t="s">
        <v>226</v>
      </c>
      <c r="AW247" t="s">
        <v>886</v>
      </c>
      <c r="AX247" t="s">
        <v>222</v>
      </c>
      <c r="BA247" s="57">
        <v>46267.333333333336</v>
      </c>
      <c r="BB247" t="s">
        <v>1206</v>
      </c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:61">
      <c r="A248">
        <v>247</v>
      </c>
      <c r="B248">
        <v>1002565696</v>
      </c>
      <c r="C248">
        <v>3</v>
      </c>
      <c r="D248" t="s">
        <v>34</v>
      </c>
      <c r="E248">
        <v>5</v>
      </c>
      <c r="F248" t="s">
        <v>554</v>
      </c>
      <c r="G248" t="s">
        <v>79</v>
      </c>
      <c r="H248" t="s">
        <v>461</v>
      </c>
      <c r="I248" t="s">
        <v>212</v>
      </c>
      <c r="J248" t="s">
        <v>213</v>
      </c>
      <c r="K248" t="s">
        <v>149</v>
      </c>
      <c r="M248" t="s">
        <v>224</v>
      </c>
      <c r="N248" t="s">
        <v>215</v>
      </c>
      <c r="O248" s="57">
        <v>46266.607731481483</v>
      </c>
      <c r="P248" s="57">
        <v>46268.337511574071</v>
      </c>
      <c r="Q248">
        <v>69381598</v>
      </c>
      <c r="S248">
        <v>172407215197</v>
      </c>
      <c r="T248" t="s">
        <v>1046</v>
      </c>
      <c r="U248" t="s">
        <v>1047</v>
      </c>
      <c r="V248" t="s">
        <v>2173</v>
      </c>
      <c r="Z248">
        <v>115.32357209118</v>
      </c>
      <c r="AA248">
        <v>-8.5396048130261306</v>
      </c>
      <c r="AB248" t="s">
        <v>1048</v>
      </c>
      <c r="AC248" t="s">
        <v>229</v>
      </c>
      <c r="AL248" t="s">
        <v>217</v>
      </c>
      <c r="AM248" t="s">
        <v>2174</v>
      </c>
      <c r="AN248" t="s">
        <v>6</v>
      </c>
      <c r="AO248" s="57">
        <v>46031.611076388886</v>
      </c>
      <c r="AP248" s="57">
        <v>46268.333333333336</v>
      </c>
      <c r="AR248" t="s">
        <v>18</v>
      </c>
      <c r="AS248" t="s">
        <v>79</v>
      </c>
      <c r="AT248" t="s">
        <v>230</v>
      </c>
      <c r="AV248" t="s">
        <v>226</v>
      </c>
      <c r="AW248" t="s">
        <v>572</v>
      </c>
      <c r="AX248" t="s">
        <v>222</v>
      </c>
      <c r="BA248" s="57">
        <v>46268.333333333336</v>
      </c>
      <c r="BB248" t="s">
        <v>2174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str">
        <f>VLOOKUP(H248,Sheet2!$A$1:$B$270,2,FALSE)</f>
        <v>GIANYAR</v>
      </c>
    </row>
    <row r="249" spans="1:61">
      <c r="A249">
        <v>248</v>
      </c>
      <c r="B249">
        <v>1002566268</v>
      </c>
      <c r="C249">
        <v>3</v>
      </c>
      <c r="D249" t="s">
        <v>38</v>
      </c>
      <c r="E249">
        <v>5</v>
      </c>
      <c r="F249" t="s">
        <v>90</v>
      </c>
      <c r="G249" t="s">
        <v>90</v>
      </c>
      <c r="H249" t="s">
        <v>430</v>
      </c>
      <c r="I249" t="s">
        <v>212</v>
      </c>
      <c r="J249" t="s">
        <v>213</v>
      </c>
      <c r="K249" t="s">
        <v>149</v>
      </c>
      <c r="L249" t="s">
        <v>214</v>
      </c>
      <c r="M249" t="s">
        <v>224</v>
      </c>
      <c r="N249" t="s">
        <v>215</v>
      </c>
      <c r="O249" s="57">
        <v>46266.692314814813</v>
      </c>
      <c r="P249" s="57">
        <v>46267.545937499999</v>
      </c>
      <c r="Q249">
        <v>69381748</v>
      </c>
      <c r="S249">
        <v>152651207810</v>
      </c>
      <c r="T249" t="s">
        <v>1207</v>
      </c>
      <c r="U249" t="s">
        <v>1208</v>
      </c>
      <c r="V249" t="s">
        <v>1209</v>
      </c>
      <c r="Z249">
        <v>111.99246805161199</v>
      </c>
      <c r="AA249">
        <v>-7.8936391494959697</v>
      </c>
      <c r="AB249" t="s">
        <v>1210</v>
      </c>
      <c r="AC249" t="s">
        <v>216</v>
      </c>
      <c r="AL249" t="s">
        <v>217</v>
      </c>
      <c r="AM249" t="s">
        <v>1211</v>
      </c>
      <c r="AN249" t="s">
        <v>6</v>
      </c>
      <c r="AO249" s="57">
        <v>46031.694467592592</v>
      </c>
      <c r="AP249" s="57">
        <v>46267.541666666664</v>
      </c>
      <c r="AR249" t="s">
        <v>18</v>
      </c>
      <c r="AS249" t="s">
        <v>556</v>
      </c>
      <c r="AT249" t="s">
        <v>230</v>
      </c>
      <c r="AV249" t="s">
        <v>226</v>
      </c>
      <c r="AW249" t="s">
        <v>888</v>
      </c>
      <c r="AX249" t="s">
        <v>222</v>
      </c>
      <c r="BA249" s="57">
        <v>46267.541666666664</v>
      </c>
      <c r="BB249" t="s">
        <v>1211</v>
      </c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str">
        <f>VLOOKUP(H249,Sheet2!$A$1:$B$270,2,FALSE)</f>
        <v>KEDIRI</v>
      </c>
    </row>
    <row r="250" spans="1:61">
      <c r="A250">
        <v>249</v>
      </c>
      <c r="B250">
        <v>1002565310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277</v>
      </c>
      <c r="I250" t="s">
        <v>212</v>
      </c>
      <c r="J250" t="s">
        <v>213</v>
      </c>
      <c r="K250" t="s">
        <v>149</v>
      </c>
      <c r="L250" t="s">
        <v>214</v>
      </c>
      <c r="M250" t="s">
        <v>224</v>
      </c>
      <c r="N250" t="s">
        <v>215</v>
      </c>
      <c r="O250" s="57">
        <v>46266.542314814818</v>
      </c>
      <c r="P250" s="57">
        <v>46267.545613425929</v>
      </c>
      <c r="Q250">
        <v>69381485</v>
      </c>
      <c r="S250">
        <v>172610203695</v>
      </c>
      <c r="T250" t="s">
        <v>964</v>
      </c>
      <c r="U250" t="s">
        <v>1212</v>
      </c>
      <c r="V250" t="s">
        <v>1213</v>
      </c>
      <c r="Z250">
        <v>116.844051070511</v>
      </c>
      <c r="AA250">
        <v>-8.7440700973437906</v>
      </c>
      <c r="AB250" t="s">
        <v>1214</v>
      </c>
      <c r="AC250" t="s">
        <v>216</v>
      </c>
      <c r="AL250" t="s">
        <v>217</v>
      </c>
      <c r="AM250" t="s">
        <v>1034</v>
      </c>
      <c r="AN250" t="s">
        <v>6</v>
      </c>
      <c r="AO250" s="57">
        <v>46031.548877314817</v>
      </c>
      <c r="AP250" s="57">
        <v>46267.541666666664</v>
      </c>
      <c r="AR250" t="s">
        <v>18</v>
      </c>
      <c r="AS250" t="s">
        <v>908</v>
      </c>
      <c r="AT250" t="s">
        <v>230</v>
      </c>
      <c r="AV250" t="s">
        <v>226</v>
      </c>
      <c r="AW250" t="s">
        <v>887</v>
      </c>
      <c r="AX250" t="s">
        <v>222</v>
      </c>
      <c r="BA250" s="57">
        <v>46267.541666666664</v>
      </c>
      <c r="BB250" t="s">
        <v>1034</v>
      </c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str">
        <f>VLOOKUP(H250,Sheet2!$A$1:$B$270,2,FALSE)</f>
        <v>SUMBAWA</v>
      </c>
    </row>
    <row r="251" spans="1:61">
      <c r="A251">
        <v>250</v>
      </c>
      <c r="B251">
        <v>1002565915</v>
      </c>
      <c r="C251">
        <v>3</v>
      </c>
      <c r="D251" t="s">
        <v>45</v>
      </c>
      <c r="E251">
        <v>5</v>
      </c>
      <c r="F251" t="s">
        <v>113</v>
      </c>
      <c r="G251" t="s">
        <v>113</v>
      </c>
      <c r="H251" t="s">
        <v>408</v>
      </c>
      <c r="I251" t="s">
        <v>212</v>
      </c>
      <c r="J251" t="s">
        <v>213</v>
      </c>
      <c r="K251" t="s">
        <v>149</v>
      </c>
      <c r="L251" t="s">
        <v>214</v>
      </c>
      <c r="M251" t="s">
        <v>224</v>
      </c>
      <c r="N251" t="s">
        <v>215</v>
      </c>
      <c r="O251" s="57">
        <v>46266.640243055554</v>
      </c>
      <c r="P251" s="57">
        <v>46267.546064814815</v>
      </c>
      <c r="Q251">
        <v>69381663</v>
      </c>
      <c r="S251">
        <v>172502311690</v>
      </c>
      <c r="T251" t="s">
        <v>1251</v>
      </c>
      <c r="U251" t="s">
        <v>1252</v>
      </c>
      <c r="V251" t="s">
        <v>1253</v>
      </c>
      <c r="Z251">
        <v>123.60230300000001</v>
      </c>
      <c r="AA251">
        <v>-10.182314999999999</v>
      </c>
      <c r="AB251" t="s">
        <v>1254</v>
      </c>
      <c r="AC251" t="s">
        <v>236</v>
      </c>
      <c r="AL251" t="s">
        <v>217</v>
      </c>
      <c r="AM251" t="s">
        <v>1255</v>
      </c>
      <c r="AN251" t="s">
        <v>6</v>
      </c>
      <c r="AO251" s="57">
        <v>46031.642361111109</v>
      </c>
      <c r="AP251" s="57">
        <v>46267.541666666664</v>
      </c>
      <c r="AR251" t="s">
        <v>18</v>
      </c>
      <c r="AS251" t="s">
        <v>113</v>
      </c>
      <c r="AT251" t="s">
        <v>230</v>
      </c>
      <c r="AV251" t="s">
        <v>226</v>
      </c>
      <c r="AW251" t="s">
        <v>886</v>
      </c>
      <c r="AX251" t="s">
        <v>222</v>
      </c>
      <c r="BA251" s="57">
        <v>46267.541666666664</v>
      </c>
      <c r="BB251" t="s">
        <v>1255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KUPANG</v>
      </c>
    </row>
    <row r="252" spans="1:61">
      <c r="A252">
        <v>251</v>
      </c>
      <c r="B252">
        <v>1002565896</v>
      </c>
      <c r="C252">
        <v>3</v>
      </c>
      <c r="D252" t="s">
        <v>38</v>
      </c>
      <c r="E252">
        <v>5</v>
      </c>
      <c r="F252" t="s">
        <v>90</v>
      </c>
      <c r="G252" t="s">
        <v>93</v>
      </c>
      <c r="H252" t="s">
        <v>296</v>
      </c>
      <c r="I252" t="s">
        <v>212</v>
      </c>
      <c r="J252" t="s">
        <v>213</v>
      </c>
      <c r="K252" t="s">
        <v>149</v>
      </c>
      <c r="L252" t="s">
        <v>214</v>
      </c>
      <c r="M252" t="s">
        <v>224</v>
      </c>
      <c r="N252" t="s">
        <v>215</v>
      </c>
      <c r="O252" s="57">
        <v>46266.638148148151</v>
      </c>
      <c r="P252" s="57">
        <v>46267.546678240738</v>
      </c>
      <c r="Q252">
        <v>69381667</v>
      </c>
      <c r="S252">
        <v>152611229998</v>
      </c>
      <c r="T252" t="s">
        <v>1256</v>
      </c>
      <c r="U252" t="s">
        <v>1257</v>
      </c>
      <c r="V252" t="s">
        <v>1258</v>
      </c>
      <c r="Z252">
        <v>111.838794909417</v>
      </c>
      <c r="AA252">
        <v>-7.5491190295066302</v>
      </c>
      <c r="AB252" t="s">
        <v>1259</v>
      </c>
      <c r="AC252" t="s">
        <v>216</v>
      </c>
      <c r="AL252" t="s">
        <v>217</v>
      </c>
      <c r="AM252" t="s">
        <v>1260</v>
      </c>
      <c r="AN252" t="s">
        <v>6</v>
      </c>
      <c r="AO252" s="57">
        <v>46031.642361111109</v>
      </c>
      <c r="AP252" s="57">
        <v>46267.541666666664</v>
      </c>
      <c r="AR252" t="s">
        <v>18</v>
      </c>
      <c r="AS252" t="s">
        <v>219</v>
      </c>
      <c r="AT252" t="s">
        <v>230</v>
      </c>
      <c r="AV252" t="s">
        <v>226</v>
      </c>
      <c r="AW252" t="s">
        <v>883</v>
      </c>
      <c r="AX252" t="s">
        <v>222</v>
      </c>
      <c r="BA252" s="57">
        <v>46267.541666666664</v>
      </c>
      <c r="BB252" t="s">
        <v>1260</v>
      </c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str">
        <f>VLOOKUP(H252,Sheet2!$A$1:$B$270,2,FALSE)</f>
        <v>NGANJUK</v>
      </c>
    </row>
    <row r="253" spans="1:61">
      <c r="A253">
        <v>252</v>
      </c>
      <c r="B253">
        <v>1002564991</v>
      </c>
      <c r="C253">
        <v>3</v>
      </c>
      <c r="D253" t="s">
        <v>45</v>
      </c>
      <c r="E253">
        <v>5</v>
      </c>
      <c r="F253" t="s">
        <v>210</v>
      </c>
      <c r="G253" t="s">
        <v>110</v>
      </c>
      <c r="H253" t="s">
        <v>445</v>
      </c>
      <c r="I253" t="s">
        <v>212</v>
      </c>
      <c r="J253" t="s">
        <v>213</v>
      </c>
      <c r="K253" t="s">
        <v>149</v>
      </c>
      <c r="L253" t="s">
        <v>214</v>
      </c>
      <c r="M253" t="s">
        <v>224</v>
      </c>
      <c r="N253" t="s">
        <v>215</v>
      </c>
      <c r="O253" s="57">
        <v>46266.469409722224</v>
      </c>
      <c r="P253" s="57">
        <v>46267.395902777775</v>
      </c>
      <c r="Q253">
        <v>69381373</v>
      </c>
      <c r="S253">
        <v>172610305800</v>
      </c>
      <c r="T253" t="s">
        <v>1288</v>
      </c>
      <c r="U253" t="s">
        <v>1289</v>
      </c>
      <c r="V253" t="s">
        <v>1290</v>
      </c>
      <c r="Z253">
        <v>118.969731</v>
      </c>
      <c r="AA253">
        <v>-8.5671809999999997</v>
      </c>
      <c r="AB253" t="s">
        <v>1291</v>
      </c>
      <c r="AC253" t="s">
        <v>236</v>
      </c>
      <c r="AL253" t="s">
        <v>217</v>
      </c>
      <c r="AM253" t="s">
        <v>1292</v>
      </c>
      <c r="AN253" t="s">
        <v>6</v>
      </c>
      <c r="AO253" s="57">
        <v>46031.475810185184</v>
      </c>
      <c r="AP253" s="57">
        <v>46267.333333333336</v>
      </c>
      <c r="AR253" t="s">
        <v>18</v>
      </c>
      <c r="AS253" t="s">
        <v>915</v>
      </c>
      <c r="AT253" t="s">
        <v>220</v>
      </c>
      <c r="AV253" t="s">
        <v>226</v>
      </c>
      <c r="AW253" t="s">
        <v>874</v>
      </c>
      <c r="AX253" t="s">
        <v>222</v>
      </c>
      <c r="BA253" s="57">
        <v>46267.333333333336</v>
      </c>
      <c r="BB253" t="s">
        <v>1292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BIMA</v>
      </c>
    </row>
    <row r="254" spans="1:61">
      <c r="A254">
        <v>253</v>
      </c>
      <c r="B254">
        <v>1002565568</v>
      </c>
      <c r="C254">
        <v>3</v>
      </c>
      <c r="D254" t="s">
        <v>59</v>
      </c>
      <c r="E254">
        <v>4</v>
      </c>
      <c r="F254" t="s">
        <v>223</v>
      </c>
      <c r="G254" t="s">
        <v>223</v>
      </c>
      <c r="H254" t="s">
        <v>827</v>
      </c>
      <c r="I254" t="s">
        <v>212</v>
      </c>
      <c r="J254" t="s">
        <v>213</v>
      </c>
      <c r="K254" t="s">
        <v>149</v>
      </c>
      <c r="L254" t="s">
        <v>214</v>
      </c>
      <c r="M254" t="s">
        <v>2175</v>
      </c>
      <c r="N254" t="s">
        <v>215</v>
      </c>
      <c r="O254" s="57">
        <v>46266.587476851855</v>
      </c>
      <c r="P254" s="57">
        <v>46267.692418981482</v>
      </c>
      <c r="Q254">
        <v>69381554</v>
      </c>
      <c r="S254">
        <v>146303608408</v>
      </c>
      <c r="T254" t="s">
        <v>1305</v>
      </c>
      <c r="U254" t="s">
        <v>1306</v>
      </c>
      <c r="V254" t="s">
        <v>1307</v>
      </c>
      <c r="Z254">
        <v>109.25642209999999</v>
      </c>
      <c r="AA254">
        <v>-7.4259066000000002</v>
      </c>
      <c r="AB254" t="s">
        <v>1308</v>
      </c>
      <c r="AC254" t="s">
        <v>236</v>
      </c>
      <c r="AL254" t="s">
        <v>217</v>
      </c>
      <c r="AM254" t="s">
        <v>1056</v>
      </c>
      <c r="AN254" t="s">
        <v>6</v>
      </c>
      <c r="AO254" s="57">
        <v>46031.590208333335</v>
      </c>
      <c r="AP254" s="57">
        <v>46267.541666666664</v>
      </c>
      <c r="AQ254" t="s">
        <v>2176</v>
      </c>
      <c r="AR254" t="s">
        <v>14</v>
      </c>
      <c r="AS254" t="s">
        <v>219</v>
      </c>
      <c r="AT254" t="s">
        <v>230</v>
      </c>
      <c r="AV254" t="s">
        <v>2177</v>
      </c>
      <c r="AW254" t="s">
        <v>890</v>
      </c>
      <c r="AX254" t="s">
        <v>222</v>
      </c>
      <c r="BA254" s="57">
        <v>46267.541666666664</v>
      </c>
      <c r="BB254" t="s">
        <v>1056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:61">
      <c r="A255">
        <v>254</v>
      </c>
      <c r="B255">
        <v>1002564873</v>
      </c>
      <c r="C255">
        <v>3</v>
      </c>
      <c r="D255" t="s">
        <v>49</v>
      </c>
      <c r="E255">
        <v>4</v>
      </c>
      <c r="F255" t="s">
        <v>250</v>
      </c>
      <c r="G255" t="s">
        <v>539</v>
      </c>
      <c r="H255" t="s">
        <v>838</v>
      </c>
      <c r="I255" t="s">
        <v>212</v>
      </c>
      <c r="J255" t="s">
        <v>213</v>
      </c>
      <c r="K255" t="s">
        <v>149</v>
      </c>
      <c r="L255" t="s">
        <v>214</v>
      </c>
      <c r="M255" t="s">
        <v>2178</v>
      </c>
      <c r="N255" t="s">
        <v>215</v>
      </c>
      <c r="O255" s="57">
        <v>46266.454814814817</v>
      </c>
      <c r="P255" s="57">
        <v>46267.595520833333</v>
      </c>
      <c r="Q255">
        <v>69381339</v>
      </c>
      <c r="S255">
        <v>142205105696</v>
      </c>
      <c r="T255" t="s">
        <v>1176</v>
      </c>
      <c r="U255" t="s">
        <v>1177</v>
      </c>
      <c r="V255" t="s">
        <v>1178</v>
      </c>
      <c r="Z255">
        <v>108.9903396</v>
      </c>
      <c r="AA255">
        <v>-6.9210346999999999</v>
      </c>
      <c r="AB255" t="s">
        <v>1179</v>
      </c>
      <c r="AC255" t="s">
        <v>236</v>
      </c>
      <c r="AL255" t="s">
        <v>217</v>
      </c>
      <c r="AM255" t="s">
        <v>1180</v>
      </c>
      <c r="AN255" t="s">
        <v>6</v>
      </c>
      <c r="AO255" s="57">
        <v>46031.465405092589</v>
      </c>
      <c r="AP255" s="57">
        <v>46267.333333333336</v>
      </c>
      <c r="AQ255" t="s">
        <v>2179</v>
      </c>
      <c r="AR255" t="s">
        <v>14</v>
      </c>
      <c r="AS255" t="s">
        <v>219</v>
      </c>
      <c r="AT255" t="s">
        <v>230</v>
      </c>
      <c r="AV255" t="s">
        <v>2180</v>
      </c>
      <c r="AW255" t="s">
        <v>886</v>
      </c>
      <c r="AX255" t="s">
        <v>222</v>
      </c>
      <c r="BA255" s="57">
        <v>46267.333333333336</v>
      </c>
      <c r="BB255" t="s">
        <v>1180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:61">
      <c r="A256">
        <v>255</v>
      </c>
      <c r="B256">
        <v>1002564550</v>
      </c>
      <c r="C256">
        <v>3</v>
      </c>
      <c r="D256" t="s">
        <v>45</v>
      </c>
      <c r="E256">
        <v>5</v>
      </c>
      <c r="F256" t="s">
        <v>210</v>
      </c>
      <c r="G256" t="s">
        <v>112</v>
      </c>
      <c r="H256" t="s">
        <v>243</v>
      </c>
      <c r="I256" t="s">
        <v>212</v>
      </c>
      <c r="J256" t="s">
        <v>213</v>
      </c>
      <c r="K256" t="s">
        <v>149</v>
      </c>
      <c r="L256" t="s">
        <v>214</v>
      </c>
      <c r="M256" t="s">
        <v>547</v>
      </c>
      <c r="N256" t="s">
        <v>215</v>
      </c>
      <c r="O256" s="57">
        <v>46266.411261574074</v>
      </c>
      <c r="P256" s="57">
        <v>46266.411261574074</v>
      </c>
      <c r="Q256">
        <v>69372675</v>
      </c>
      <c r="T256" t="s">
        <v>934</v>
      </c>
      <c r="V256" t="s">
        <v>935</v>
      </c>
      <c r="Z256">
        <v>116.229</v>
      </c>
      <c r="AA256">
        <v>-8.5942000000000007</v>
      </c>
      <c r="AB256" t="s">
        <v>936</v>
      </c>
      <c r="AC256" t="s">
        <v>236</v>
      </c>
      <c r="AL256" t="s">
        <v>217</v>
      </c>
      <c r="AM256" t="s">
        <v>893</v>
      </c>
      <c r="AN256" t="s">
        <v>6</v>
      </c>
      <c r="AO256" s="57">
        <v>46031.413310185184</v>
      </c>
      <c r="AP256" s="57">
        <v>46256</v>
      </c>
      <c r="AR256" t="s">
        <v>548</v>
      </c>
      <c r="AS256" t="s">
        <v>219</v>
      </c>
      <c r="AT256" t="s">
        <v>230</v>
      </c>
      <c r="AV256" t="s">
        <v>1418</v>
      </c>
      <c r="AW256" t="s">
        <v>884</v>
      </c>
      <c r="AX256" t="s">
        <v>222</v>
      </c>
      <c r="BA256" s="57">
        <v>46256.541666666664</v>
      </c>
      <c r="BB256" t="s">
        <v>893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MATARAM</v>
      </c>
    </row>
    <row r="257" spans="1:61">
      <c r="A257">
        <v>256</v>
      </c>
      <c r="B257">
        <v>1002566859</v>
      </c>
      <c r="C257">
        <v>3</v>
      </c>
      <c r="D257" t="s">
        <v>38</v>
      </c>
      <c r="E257">
        <v>5</v>
      </c>
      <c r="F257" t="s">
        <v>248</v>
      </c>
      <c r="G257" t="s">
        <v>91</v>
      </c>
      <c r="H257" t="s">
        <v>388</v>
      </c>
      <c r="I257" t="s">
        <v>212</v>
      </c>
      <c r="J257" t="s">
        <v>213</v>
      </c>
      <c r="K257" t="s">
        <v>149</v>
      </c>
      <c r="L257" t="s">
        <v>214</v>
      </c>
      <c r="M257" t="s">
        <v>2181</v>
      </c>
      <c r="N257" t="s">
        <v>215</v>
      </c>
      <c r="O257" s="57">
        <v>46267.398576388892</v>
      </c>
      <c r="P257" s="57">
        <v>46267.711527777778</v>
      </c>
      <c r="Q257">
        <v>69382034</v>
      </c>
      <c r="S257">
        <v>152703903384</v>
      </c>
      <c r="T257" t="s">
        <v>2182</v>
      </c>
      <c r="U257" t="s">
        <v>2183</v>
      </c>
      <c r="V257" t="s">
        <v>2184</v>
      </c>
      <c r="Z257">
        <v>112.617013664574</v>
      </c>
      <c r="AA257">
        <v>-7.9559393419297901</v>
      </c>
      <c r="AB257" t="s">
        <v>2185</v>
      </c>
      <c r="AC257" t="s">
        <v>236</v>
      </c>
      <c r="AL257" t="s">
        <v>217</v>
      </c>
      <c r="AM257" t="s">
        <v>1944</v>
      </c>
      <c r="AN257" t="s">
        <v>6</v>
      </c>
      <c r="AO257" s="57">
        <v>46062.402870370373</v>
      </c>
      <c r="AP257" s="57">
        <v>46268.333333333336</v>
      </c>
      <c r="AR257" t="s">
        <v>2091</v>
      </c>
      <c r="AS257" t="s">
        <v>557</v>
      </c>
      <c r="AT257" t="s">
        <v>344</v>
      </c>
      <c r="AV257" t="s">
        <v>2186</v>
      </c>
      <c r="AW257" t="s">
        <v>2187</v>
      </c>
      <c r="AX257" t="s">
        <v>222</v>
      </c>
      <c r="BA257" s="57">
        <v>46268.333333333336</v>
      </c>
      <c r="BB257" t="s">
        <v>1944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MALANG</v>
      </c>
    </row>
    <row r="258" spans="1:61">
      <c r="A258">
        <v>257</v>
      </c>
      <c r="B258">
        <v>1002568437</v>
      </c>
      <c r="C258">
        <v>3</v>
      </c>
      <c r="D258" t="s">
        <v>59</v>
      </c>
      <c r="E258">
        <v>4</v>
      </c>
      <c r="F258" t="s">
        <v>549</v>
      </c>
      <c r="G258" t="s">
        <v>582</v>
      </c>
      <c r="H258" t="s">
        <v>590</v>
      </c>
      <c r="I258" t="s">
        <v>212</v>
      </c>
      <c r="J258" t="s">
        <v>213</v>
      </c>
      <c r="K258" t="s">
        <v>149</v>
      </c>
      <c r="M258" t="s">
        <v>2188</v>
      </c>
      <c r="N258" t="s">
        <v>215</v>
      </c>
      <c r="O258" s="57">
        <v>46267.707997685182</v>
      </c>
      <c r="P258" s="57">
        <v>46267.960810185185</v>
      </c>
      <c r="Q258">
        <v>69381014</v>
      </c>
      <c r="S258">
        <v>146131120730</v>
      </c>
      <c r="T258" t="s">
        <v>2189</v>
      </c>
      <c r="U258" t="s">
        <v>2190</v>
      </c>
      <c r="V258" t="s">
        <v>2191</v>
      </c>
      <c r="Z258">
        <v>110.427503</v>
      </c>
      <c r="AA258">
        <v>-7.7804053356237004</v>
      </c>
      <c r="AB258" t="s">
        <v>2192</v>
      </c>
      <c r="AC258" t="s">
        <v>284</v>
      </c>
      <c r="AL258" t="s">
        <v>217</v>
      </c>
      <c r="AM258" t="s">
        <v>2193</v>
      </c>
      <c r="AN258" t="s">
        <v>6</v>
      </c>
      <c r="AO258" s="57">
        <v>46062.715486111112</v>
      </c>
      <c r="AR258" t="s">
        <v>2194</v>
      </c>
      <c r="AS258" t="s">
        <v>219</v>
      </c>
      <c r="AT258" t="s">
        <v>230</v>
      </c>
      <c r="AV258" t="s">
        <v>2195</v>
      </c>
      <c r="AW258" t="s">
        <v>545</v>
      </c>
      <c r="AX258" t="s">
        <v>222</v>
      </c>
      <c r="BA258" s="57">
        <v>46267.291666666664</v>
      </c>
      <c r="BB258" t="s">
        <v>2193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:61">
      <c r="A259">
        <v>258</v>
      </c>
      <c r="B259">
        <v>1002567710</v>
      </c>
      <c r="C259">
        <v>3</v>
      </c>
      <c r="D259" t="s">
        <v>34</v>
      </c>
      <c r="E259">
        <v>5</v>
      </c>
      <c r="F259" t="s">
        <v>563</v>
      </c>
      <c r="G259" t="s">
        <v>86</v>
      </c>
      <c r="H259" t="s">
        <v>416</v>
      </c>
      <c r="I259" t="s">
        <v>212</v>
      </c>
      <c r="J259" t="s">
        <v>213</v>
      </c>
      <c r="K259" t="s">
        <v>149</v>
      </c>
      <c r="M259" t="s">
        <v>2188</v>
      </c>
      <c r="N259" t="s">
        <v>215</v>
      </c>
      <c r="O259" s="57">
        <v>46267.578206018516</v>
      </c>
      <c r="P259" s="57">
        <v>46267.784548611111</v>
      </c>
      <c r="Q259">
        <v>69380617</v>
      </c>
      <c r="S259">
        <v>172419207269</v>
      </c>
      <c r="T259" t="s">
        <v>2010</v>
      </c>
      <c r="U259" t="s">
        <v>2011</v>
      </c>
      <c r="V259" t="s">
        <v>2196</v>
      </c>
      <c r="Z259">
        <v>115.197194541104</v>
      </c>
      <c r="AA259">
        <v>-8.6606507128151495</v>
      </c>
      <c r="AB259" t="s">
        <v>2197</v>
      </c>
      <c r="AC259" t="s">
        <v>229</v>
      </c>
      <c r="AL259" t="s">
        <v>217</v>
      </c>
      <c r="AM259" t="s">
        <v>2198</v>
      </c>
      <c r="AN259" t="s">
        <v>6</v>
      </c>
      <c r="AO259" s="57">
        <v>46062.579953703702</v>
      </c>
      <c r="AQ259" t="s">
        <v>2176</v>
      </c>
      <c r="AR259" t="s">
        <v>2199</v>
      </c>
      <c r="AS259" t="s">
        <v>817</v>
      </c>
      <c r="AT259" t="s">
        <v>230</v>
      </c>
      <c r="AV259" t="s">
        <v>2200</v>
      </c>
      <c r="AW259" t="s">
        <v>571</v>
      </c>
      <c r="AX259" t="s">
        <v>222</v>
      </c>
      <c r="BA259" s="57">
        <v>46267.291666666664</v>
      </c>
      <c r="BB259" t="s">
        <v>2198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str">
        <f>VLOOKUP(H259,Sheet2!$A$1:$B$270,2,FALSE)</f>
        <v>UBUNG</v>
      </c>
    </row>
    <row r="260" spans="1:61">
      <c r="A260">
        <v>259</v>
      </c>
      <c r="B260">
        <v>1002566519</v>
      </c>
      <c r="C260">
        <v>3</v>
      </c>
      <c r="D260" t="s">
        <v>42</v>
      </c>
      <c r="E260">
        <v>5</v>
      </c>
      <c r="F260" t="s">
        <v>232</v>
      </c>
      <c r="G260" t="s">
        <v>101</v>
      </c>
      <c r="H260" t="s">
        <v>427</v>
      </c>
      <c r="I260" t="s">
        <v>212</v>
      </c>
      <c r="J260" t="s">
        <v>213</v>
      </c>
      <c r="K260" t="s">
        <v>149</v>
      </c>
      <c r="L260" t="s">
        <v>214</v>
      </c>
      <c r="M260" t="s">
        <v>2188</v>
      </c>
      <c r="N260" t="s">
        <v>215</v>
      </c>
      <c r="O260" s="57">
        <v>46266.824953703705</v>
      </c>
      <c r="P260" s="57">
        <v>46267.772766203707</v>
      </c>
      <c r="Q260">
        <v>69381889</v>
      </c>
      <c r="S260">
        <v>152331251345</v>
      </c>
      <c r="T260" t="s">
        <v>1233</v>
      </c>
      <c r="U260" t="s">
        <v>1234</v>
      </c>
      <c r="V260" t="s">
        <v>1235</v>
      </c>
      <c r="Z260">
        <v>112.63038083910899</v>
      </c>
      <c r="AA260">
        <v>-7.4526970491075497</v>
      </c>
      <c r="AB260" t="s">
        <v>1236</v>
      </c>
      <c r="AC260" t="s">
        <v>216</v>
      </c>
      <c r="AL260" t="s">
        <v>217</v>
      </c>
      <c r="AM260" t="s">
        <v>1237</v>
      </c>
      <c r="AN260" t="s">
        <v>6</v>
      </c>
      <c r="AO260" s="57">
        <v>46031.829826388886</v>
      </c>
      <c r="AP260" s="57">
        <v>46268.333333333336</v>
      </c>
      <c r="AQ260" t="s">
        <v>2201</v>
      </c>
      <c r="AR260" t="s">
        <v>2199</v>
      </c>
      <c r="AS260" t="s">
        <v>573</v>
      </c>
      <c r="AT260" t="s">
        <v>230</v>
      </c>
      <c r="AV260" t="s">
        <v>2202</v>
      </c>
      <c r="AW260" t="s">
        <v>887</v>
      </c>
      <c r="AX260" t="s">
        <v>222</v>
      </c>
      <c r="BA260" s="57">
        <v>46268.333333333336</v>
      </c>
      <c r="BB260" t="s">
        <v>1237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SIDOARJO</v>
      </c>
    </row>
    <row r="261" spans="1:61">
      <c r="A261">
        <v>260</v>
      </c>
      <c r="B261">
        <v>1002564984</v>
      </c>
      <c r="C261">
        <v>3</v>
      </c>
      <c r="D261" t="s">
        <v>59</v>
      </c>
      <c r="E261">
        <v>4</v>
      </c>
      <c r="F261" t="s">
        <v>242</v>
      </c>
      <c r="G261" t="s">
        <v>600</v>
      </c>
      <c r="H261" t="s">
        <v>601</v>
      </c>
      <c r="I261" t="s">
        <v>212</v>
      </c>
      <c r="J261" t="s">
        <v>213</v>
      </c>
      <c r="K261" t="s">
        <v>149</v>
      </c>
      <c r="L261" t="s">
        <v>214</v>
      </c>
      <c r="M261" t="s">
        <v>2188</v>
      </c>
      <c r="N261" t="s">
        <v>215</v>
      </c>
      <c r="O261" s="57">
        <v>46266.468715277777</v>
      </c>
      <c r="P261" s="57">
        <v>46267.722141203703</v>
      </c>
      <c r="Q261">
        <v>69381389</v>
      </c>
      <c r="S261">
        <v>141149112951</v>
      </c>
      <c r="T261" t="s">
        <v>1297</v>
      </c>
      <c r="U261" t="s">
        <v>1298</v>
      </c>
      <c r="V261" t="s">
        <v>1299</v>
      </c>
      <c r="Z261">
        <v>110.088058</v>
      </c>
      <c r="AA261">
        <v>-7.2862179999999999</v>
      </c>
      <c r="AB261" t="s">
        <v>1300</v>
      </c>
      <c r="AC261" t="s">
        <v>236</v>
      </c>
      <c r="AL261" t="s">
        <v>217</v>
      </c>
      <c r="AM261" t="s">
        <v>991</v>
      </c>
      <c r="AN261" t="s">
        <v>6</v>
      </c>
      <c r="AO261" s="57">
        <v>46031.475810185184</v>
      </c>
      <c r="AP261" s="57">
        <v>46267.333333333336</v>
      </c>
      <c r="AQ261" t="s">
        <v>2201</v>
      </c>
      <c r="AR261" t="s">
        <v>2199</v>
      </c>
      <c r="AS261" t="s">
        <v>920</v>
      </c>
      <c r="AT261" t="s">
        <v>230</v>
      </c>
      <c r="AV261" t="s">
        <v>2203</v>
      </c>
      <c r="AW261" t="s">
        <v>929</v>
      </c>
      <c r="AX261" t="s">
        <v>222</v>
      </c>
      <c r="BA261" s="57">
        <v>46267.333333333336</v>
      </c>
      <c r="BB261" t="s">
        <v>991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:61">
      <c r="A262">
        <v>261</v>
      </c>
      <c r="B262">
        <v>1002564133</v>
      </c>
      <c r="C262">
        <v>3</v>
      </c>
      <c r="D262" t="s">
        <v>55</v>
      </c>
      <c r="E262">
        <v>5</v>
      </c>
      <c r="F262" t="s">
        <v>261</v>
      </c>
      <c r="G262" t="s">
        <v>122</v>
      </c>
      <c r="H262" t="s">
        <v>348</v>
      </c>
      <c r="I262" t="s">
        <v>212</v>
      </c>
      <c r="J262" t="s">
        <v>213</v>
      </c>
      <c r="K262" t="s">
        <v>149</v>
      </c>
      <c r="L262" t="s">
        <v>214</v>
      </c>
      <c r="M262" t="s">
        <v>2188</v>
      </c>
      <c r="N262" t="s">
        <v>215</v>
      </c>
      <c r="O262" s="57">
        <v>46266.358981481484</v>
      </c>
      <c r="P262" s="57">
        <v>46267.802951388891</v>
      </c>
      <c r="Q262">
        <v>69381160</v>
      </c>
      <c r="S262">
        <v>152451212101</v>
      </c>
      <c r="T262" t="s">
        <v>1312</v>
      </c>
      <c r="U262" t="s">
        <v>1313</v>
      </c>
      <c r="V262" t="s">
        <v>1314</v>
      </c>
      <c r="Z262">
        <v>112.488868</v>
      </c>
      <c r="AA262">
        <v>-6.9035650000000004</v>
      </c>
      <c r="AB262" t="s">
        <v>1315</v>
      </c>
      <c r="AC262" t="s">
        <v>236</v>
      </c>
      <c r="AL262" t="s">
        <v>217</v>
      </c>
      <c r="AM262" t="s">
        <v>1316</v>
      </c>
      <c r="AN262" t="s">
        <v>6</v>
      </c>
      <c r="AO262" s="57">
        <v>46031.361087962963</v>
      </c>
      <c r="AP262" s="57">
        <v>46267.333333333336</v>
      </c>
      <c r="AQ262" t="s">
        <v>2201</v>
      </c>
      <c r="AR262" t="s">
        <v>2199</v>
      </c>
      <c r="AS262" t="s">
        <v>122</v>
      </c>
      <c r="AT262" t="s">
        <v>230</v>
      </c>
      <c r="AV262" t="s">
        <v>2204</v>
      </c>
      <c r="AW262" t="s">
        <v>884</v>
      </c>
      <c r="AX262" t="s">
        <v>222</v>
      </c>
      <c r="BA262" s="57">
        <v>46267.333333333336</v>
      </c>
      <c r="BB262" t="s">
        <v>1316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GRESIK</v>
      </c>
    </row>
    <row r="263" spans="1:61">
      <c r="A263">
        <v>262</v>
      </c>
      <c r="B263">
        <v>1002566583</v>
      </c>
      <c r="C263">
        <v>3</v>
      </c>
      <c r="D263" t="s">
        <v>45</v>
      </c>
      <c r="E263">
        <v>5</v>
      </c>
      <c r="F263" t="s">
        <v>210</v>
      </c>
      <c r="G263" t="s">
        <v>112</v>
      </c>
      <c r="H263" t="s">
        <v>263</v>
      </c>
      <c r="I263" t="s">
        <v>212</v>
      </c>
      <c r="J263" t="s">
        <v>213</v>
      </c>
      <c r="K263" t="s">
        <v>149</v>
      </c>
      <c r="L263" t="s">
        <v>214</v>
      </c>
      <c r="M263" t="s">
        <v>2205</v>
      </c>
      <c r="N263" t="s">
        <v>215</v>
      </c>
      <c r="O263" s="57">
        <v>46267.325659722221</v>
      </c>
      <c r="P263" s="57">
        <v>46268.340798611112</v>
      </c>
      <c r="Q263">
        <v>69381910</v>
      </c>
      <c r="S263">
        <v>172601797567</v>
      </c>
      <c r="T263" t="s">
        <v>2206</v>
      </c>
      <c r="U263" t="s">
        <v>2207</v>
      </c>
      <c r="V263" t="s">
        <v>2208</v>
      </c>
      <c r="Z263">
        <v>116.13445488865599</v>
      </c>
      <c r="AA263">
        <v>-8.5917912971272994</v>
      </c>
      <c r="AB263" t="s">
        <v>2209</v>
      </c>
      <c r="AC263" t="s">
        <v>236</v>
      </c>
      <c r="AL263" t="s">
        <v>217</v>
      </c>
      <c r="AM263" t="s">
        <v>2210</v>
      </c>
      <c r="AN263" t="s">
        <v>6</v>
      </c>
      <c r="AO263" s="57">
        <v>46062.329884259256</v>
      </c>
      <c r="AP263" s="57">
        <v>46269.333333333336</v>
      </c>
      <c r="AR263" t="s">
        <v>257</v>
      </c>
      <c r="AS263" t="s">
        <v>219</v>
      </c>
      <c r="AT263" t="s">
        <v>230</v>
      </c>
      <c r="AV263" t="s">
        <v>2211</v>
      </c>
      <c r="AW263" t="s">
        <v>884</v>
      </c>
      <c r="AX263" t="s">
        <v>222</v>
      </c>
      <c r="BA263" s="57">
        <v>46269.333333333336</v>
      </c>
      <c r="BB263" t="s">
        <v>2210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MATARAM</v>
      </c>
    </row>
    <row r="264" spans="1:61">
      <c r="A264">
        <v>263</v>
      </c>
      <c r="B264">
        <v>1002567232</v>
      </c>
      <c r="C264">
        <v>3</v>
      </c>
      <c r="D264" t="s">
        <v>42</v>
      </c>
      <c r="E264">
        <v>5</v>
      </c>
      <c r="F264" t="s">
        <v>102</v>
      </c>
      <c r="G264" t="s">
        <v>102</v>
      </c>
      <c r="H264" t="s">
        <v>435</v>
      </c>
      <c r="I264" t="s">
        <v>212</v>
      </c>
      <c r="J264" t="s">
        <v>213</v>
      </c>
      <c r="K264" t="s">
        <v>149</v>
      </c>
      <c r="L264" t="s">
        <v>214</v>
      </c>
      <c r="M264" t="s">
        <v>2205</v>
      </c>
      <c r="N264" t="s">
        <v>215</v>
      </c>
      <c r="O264" s="57">
        <v>46267.464548611111</v>
      </c>
      <c r="P264" s="57">
        <v>46267.790706018517</v>
      </c>
      <c r="Q264">
        <v>69382157</v>
      </c>
      <c r="S264">
        <v>152537204705</v>
      </c>
      <c r="T264" t="s">
        <v>2212</v>
      </c>
      <c r="U264" t="s">
        <v>2213</v>
      </c>
      <c r="V264" t="s">
        <v>2214</v>
      </c>
      <c r="Z264">
        <v>113.904381280301</v>
      </c>
      <c r="AA264">
        <v>-8.0751779819193796</v>
      </c>
      <c r="AB264" t="s">
        <v>2215</v>
      </c>
      <c r="AC264" t="s">
        <v>236</v>
      </c>
      <c r="AL264" t="s">
        <v>217</v>
      </c>
      <c r="AM264" t="s">
        <v>2073</v>
      </c>
      <c r="AN264" t="s">
        <v>6</v>
      </c>
      <c r="AO264" s="57">
        <v>46062.465277777781</v>
      </c>
      <c r="AP264" s="57">
        <v>46268.333333333336</v>
      </c>
      <c r="AR264" t="s">
        <v>257</v>
      </c>
      <c r="AS264" t="s">
        <v>2216</v>
      </c>
      <c r="AT264" t="s">
        <v>230</v>
      </c>
      <c r="AV264" t="s">
        <v>2211</v>
      </c>
      <c r="AW264" t="s">
        <v>886</v>
      </c>
      <c r="AX264" t="s">
        <v>222</v>
      </c>
      <c r="BA264" s="57">
        <v>46268.333333333336</v>
      </c>
      <c r="BB264" t="s">
        <v>2073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JEMBER</v>
      </c>
    </row>
    <row r="265" spans="1:61">
      <c r="O265" s="57"/>
      <c r="P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:61">
      <c r="O267" s="57"/>
      <c r="P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:61">
      <c r="O268" s="57"/>
      <c r="P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:61">
      <c r="O269" s="57"/>
      <c r="P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:61">
      <c r="O270" s="57"/>
      <c r="P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O271" s="57"/>
      <c r="P271" s="57"/>
      <c r="A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O272" s="57"/>
      <c r="P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>
      <c r="O275" s="57"/>
      <c r="P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>
      <c r="O276" s="57"/>
      <c r="P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>
      <c r="O277" s="57"/>
      <c r="P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>
      <c r="O278" s="57"/>
      <c r="P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>
      <c r="O279" s="57"/>
      <c r="P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>
      <c r="O280" s="57"/>
      <c r="P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>
      <c r="O281" s="57"/>
      <c r="P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>
      <c r="O282" s="57"/>
      <c r="P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>
      <c r="O283" s="57"/>
      <c r="P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>
      <c r="O284" s="57"/>
      <c r="P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>
      <c r="O285" s="57"/>
      <c r="P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>
      <c r="O286" s="57"/>
      <c r="P286" s="57"/>
      <c r="A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>
      <c r="O287" s="57"/>
      <c r="P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>
      <c r="O288" s="57"/>
      <c r="P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>
      <c r="O289" s="57"/>
      <c r="P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>
      <c r="O290" s="57"/>
      <c r="P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>
      <c r="O291" s="57"/>
      <c r="P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>
      <c r="O294" s="57"/>
      <c r="P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>
      <c r="O295" s="57"/>
      <c r="P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>
      <c r="O296" s="57"/>
      <c r="P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>
      <c r="O297" s="57"/>
      <c r="P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>
      <c r="O298" s="57"/>
      <c r="P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>
      <c r="O299" s="57"/>
      <c r="P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>
      <c r="O300" s="57"/>
      <c r="P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>
      <c r="O301" s="57"/>
      <c r="P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>
      <c r="O302" s="57"/>
      <c r="P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>
      <c r="O303" s="57"/>
      <c r="P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>
      <c r="O304" s="57"/>
      <c r="P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>
      <c r="O305" s="57"/>
      <c r="P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>
      <c r="O306" s="57"/>
      <c r="P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>
      <c r="O307" s="57"/>
      <c r="P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>
      <c r="O308" s="57"/>
      <c r="P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>
      <c r="O309" s="57"/>
      <c r="P309" s="57"/>
      <c r="A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>
      <c r="O310" s="57"/>
      <c r="P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>
      <c r="O311" s="57"/>
      <c r="P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>
      <c r="O312" s="57"/>
      <c r="P312" s="57"/>
      <c r="A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>
      <c r="O313" s="57"/>
      <c r="P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>
      <c r="O314" s="57"/>
      <c r="P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>
      <c r="O315" s="57"/>
      <c r="P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>
      <c r="O316" s="57"/>
      <c r="P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>
      <c r="O317" s="57"/>
      <c r="P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>
      <c r="O318" s="57"/>
      <c r="P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>
      <c r="O319" s="57"/>
      <c r="P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>
      <c r="O320" s="57"/>
      <c r="P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>
      <c r="O321" s="57"/>
      <c r="P321" s="57"/>
      <c r="AO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>
      <c r="O322" s="57"/>
      <c r="P322" s="57"/>
      <c r="AO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>
      <c r="O323" s="57"/>
      <c r="P323" s="57"/>
      <c r="AO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>
      <c r="O324" s="57"/>
      <c r="P324" s="57"/>
      <c r="AO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>
      <c r="O325" s="57"/>
      <c r="P325" s="57"/>
      <c r="AO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>
      <c r="O326" s="57"/>
      <c r="P326" s="57"/>
      <c r="AO326" s="57"/>
      <c r="AP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>
      <c r="O327" s="57"/>
      <c r="P327" s="57"/>
      <c r="AO327" s="57"/>
      <c r="AP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>
      <c r="O328" s="57"/>
      <c r="P328" s="57"/>
      <c r="AO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>
      <c r="O329" s="57"/>
      <c r="P329" s="57"/>
      <c r="AO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>
      <c r="O330" s="57"/>
      <c r="P330" s="57"/>
      <c r="AO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>
      <c r="O331" s="57"/>
      <c r="P331" s="57"/>
      <c r="AO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>
      <c r="O332" s="57"/>
      <c r="P332" s="57"/>
      <c r="AO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>
      <c r="O333" s="57"/>
      <c r="P333" s="57"/>
      <c r="AO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>
      <c r="O335" s="57"/>
      <c r="P335" s="57"/>
      <c r="AO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>
      <c r="O336" s="57"/>
      <c r="P336" s="57"/>
      <c r="AO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>
      <c r="O337" s="57"/>
      <c r="P337" s="57"/>
      <c r="AO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>
      <c r="O338" s="57"/>
      <c r="P338" s="57"/>
      <c r="AO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>
      <c r="O339" s="57"/>
      <c r="P339" s="57"/>
      <c r="AO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>
      <c r="O340" s="57"/>
      <c r="P340" s="57"/>
      <c r="AO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>
      <c r="O341" s="57"/>
      <c r="P341" s="57"/>
      <c r="AO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>
      <c r="O342" s="57"/>
      <c r="P342" s="57"/>
      <c r="AO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>
      <c r="O343" s="57"/>
      <c r="P343" s="57"/>
      <c r="AO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>
      <c r="O344" s="57"/>
      <c r="P344" s="57"/>
      <c r="AO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>
      <c r="O345" s="57"/>
      <c r="P345" s="57"/>
      <c r="AO345" s="57"/>
      <c r="A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>
      <c r="O346" s="57"/>
      <c r="P346" s="57"/>
      <c r="AO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>
      <c r="O347" s="57"/>
      <c r="P347" s="57"/>
      <c r="AO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>
      <c r="O348" s="57"/>
      <c r="P348" s="57"/>
      <c r="AO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>
      <c r="O349" s="57"/>
      <c r="P349" s="57"/>
      <c r="AO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>
      <c r="O350" s="57"/>
      <c r="P350" s="57"/>
      <c r="AO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>
      <c r="O352" s="57"/>
      <c r="P352" s="57"/>
      <c r="AO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>
      <c r="O353" s="57"/>
      <c r="P353" s="57"/>
      <c r="AO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>
      <c r="O354" s="57"/>
      <c r="P354" s="57"/>
      <c r="AO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>
      <c r="O355" s="57"/>
      <c r="P355" s="57"/>
      <c r="AO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>
      <c r="O356" s="57"/>
      <c r="P356" s="57"/>
      <c r="AO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>
      <c r="O357" s="57"/>
      <c r="P357" s="57"/>
      <c r="AO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>
      <c r="O358" s="57"/>
      <c r="P358" s="57"/>
      <c r="AO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>
      <c r="O359" s="57"/>
      <c r="P359" s="57"/>
      <c r="AO359" s="57"/>
      <c r="A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>
      <c r="O360" s="57"/>
      <c r="P360" s="57"/>
      <c r="AO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>
      <c r="O361" s="57"/>
      <c r="P361" s="57"/>
      <c r="AO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>
      <c r="O363" s="57"/>
      <c r="P363" s="57"/>
      <c r="AO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>
      <c r="O364" s="57"/>
      <c r="P364" s="57"/>
      <c r="AO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>
      <c r="O365" s="57"/>
      <c r="P365" s="57"/>
      <c r="AO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>
      <c r="O366" s="57"/>
      <c r="P366" s="57"/>
      <c r="AO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>
      <c r="O367" s="57"/>
      <c r="P367" s="57"/>
      <c r="AO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>
      <c r="O368" s="57"/>
      <c r="P368" s="57"/>
      <c r="AO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>
      <c r="O369" s="57"/>
      <c r="P369" s="57"/>
      <c r="AO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>
      <c r="O370" s="57"/>
      <c r="P370" s="57"/>
      <c r="AO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>
      <c r="O371" s="57"/>
      <c r="P371" s="57"/>
      <c r="AO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>
      <c r="O372" s="57"/>
      <c r="P372" s="57"/>
      <c r="AO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>
      <c r="O373" s="57"/>
      <c r="P373" s="57"/>
      <c r="AO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>
      <c r="O374" s="57"/>
      <c r="P374" s="57"/>
      <c r="AO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>
      <c r="O375" s="57"/>
      <c r="P375" s="57"/>
      <c r="AO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>
      <c r="O376" s="57"/>
      <c r="P376" s="57"/>
      <c r="AO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>
      <c r="O377" s="57"/>
      <c r="P377" s="57"/>
      <c r="AO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>
      <c r="O378" s="57"/>
      <c r="P378" s="57"/>
      <c r="AO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>
      <c r="O379" s="57"/>
      <c r="P379" s="57"/>
      <c r="AO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>
      <c r="O380" s="57"/>
      <c r="P380" s="57"/>
      <c r="AO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>
      <c r="O381" s="57"/>
      <c r="P381" s="57"/>
      <c r="AO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>
      <c r="O382" s="57"/>
      <c r="P382" s="57"/>
      <c r="AO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>
      <c r="O383" s="57"/>
      <c r="P383" s="57"/>
      <c r="AO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>
      <c r="O384" s="57"/>
      <c r="P384" s="57"/>
      <c r="AO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>
      <c r="O385" s="57"/>
      <c r="P385" s="57"/>
      <c r="AO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>
      <c r="O386" s="57"/>
      <c r="P386" s="57"/>
      <c r="AO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>
      <c r="O387" s="57"/>
      <c r="P387" s="57"/>
      <c r="AM387" s="58"/>
      <c r="AO387" s="57"/>
      <c r="BA387" s="57"/>
      <c r="BB387" s="58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>
      <c r="O388" s="57"/>
      <c r="P388" s="57"/>
      <c r="AO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>
      <c r="O389" s="57"/>
      <c r="P389" s="57"/>
      <c r="AO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>
      <c r="O390" s="57"/>
      <c r="P390" s="57"/>
      <c r="AO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>
      <c r="O391" s="57"/>
      <c r="P391" s="57"/>
      <c r="AO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>
      <c r="O392" s="57"/>
      <c r="P392" s="57"/>
      <c r="AM392" s="58"/>
      <c r="AO392" s="57"/>
      <c r="BA392" s="57"/>
      <c r="BB392" s="58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>
      <c r="O393" s="57"/>
      <c r="P393" s="57"/>
      <c r="AM393" s="58"/>
      <c r="AO393" s="57"/>
      <c r="BA393" s="57"/>
      <c r="BB393" s="58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>
      <c r="O394" s="57"/>
      <c r="P394" s="57"/>
      <c r="AO394" s="57"/>
      <c r="A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>
      <c r="O395" s="57"/>
      <c r="P395" s="57"/>
      <c r="AM395" s="58"/>
      <c r="AO395" s="57"/>
      <c r="BA395" s="57"/>
      <c r="BB395" s="58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>
      <c r="O396" s="57"/>
      <c r="P396" s="57"/>
      <c r="AM396" s="58"/>
      <c r="AO396" s="57"/>
      <c r="BA396" s="57"/>
      <c r="BB396" s="58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>
      <c r="O397" s="57"/>
      <c r="P397" s="57"/>
      <c r="AO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>
      <c r="O398" s="57"/>
      <c r="P398" s="57"/>
      <c r="AO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>
      <c r="O399" s="57"/>
      <c r="P399" s="57"/>
      <c r="AO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>
      <c r="O400" s="57"/>
      <c r="P400" s="57"/>
      <c r="AO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>
      <c r="O401" s="57"/>
      <c r="P401" s="57"/>
      <c r="AO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>
      <c r="O402" s="57"/>
      <c r="P402" s="57"/>
      <c r="AO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>
      <c r="O403" s="57"/>
      <c r="P403" s="57"/>
      <c r="AO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>
      <c r="O404" s="57"/>
      <c r="P404" s="57"/>
      <c r="AO404" s="57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>
      <c r="O405" s="57"/>
      <c r="P405" s="57"/>
      <c r="AO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>
      <c r="O406" s="57"/>
      <c r="P406" s="57"/>
      <c r="AO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>
      <c r="O407" s="57"/>
      <c r="P407" s="57"/>
      <c r="AO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>
      <c r="O408" s="57"/>
      <c r="P408" s="57"/>
      <c r="AP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>
      <c r="O409" s="57"/>
      <c r="P409" s="57"/>
      <c r="AP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>
      <c r="O410" s="57"/>
      <c r="P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>
      <c r="O411" s="57"/>
      <c r="P411" s="57"/>
      <c r="AP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>
      <c r="O412" s="57"/>
      <c r="P412" s="57"/>
      <c r="AP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>
      <c r="O413" s="57"/>
      <c r="P413" s="57"/>
      <c r="AO413" s="57"/>
      <c r="AP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>
      <c r="O414" s="57"/>
      <c r="P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>
      <c r="O415" s="57"/>
      <c r="P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>
      <c r="O416" s="57"/>
      <c r="P416" s="57"/>
      <c r="AM416" s="58"/>
      <c r="BA416" s="57"/>
      <c r="BB416" s="58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>
      <c r="O417" s="57"/>
      <c r="P417" s="57"/>
      <c r="AM417" s="58"/>
      <c r="BA417" s="57"/>
      <c r="BB417" s="58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>
      <c r="O418" s="57"/>
      <c r="P418" s="57"/>
      <c r="AM418" s="58"/>
      <c r="BA418" s="57"/>
      <c r="BB418" s="58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>
      <c r="O419" s="57"/>
      <c r="P419" s="57"/>
      <c r="AM419" s="58"/>
      <c r="BA419" s="57"/>
      <c r="BB419" s="58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>
      <c r="O420" s="57"/>
      <c r="P420" s="57"/>
      <c r="AO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>
      <c r="O421" s="57"/>
      <c r="P421" s="57"/>
      <c r="AO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>
      <c r="O422" s="57"/>
      <c r="P422" s="57"/>
      <c r="AO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>
      <c r="O423" s="57"/>
      <c r="P423" s="57"/>
      <c r="AO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>
      <c r="O424" s="57"/>
      <c r="P424" s="57"/>
      <c r="AO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>
      <c r="O425" s="57"/>
      <c r="P425" s="57"/>
      <c r="AO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>
      <c r="O426" s="57"/>
      <c r="P426" s="57"/>
      <c r="AO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>
      <c r="O427" s="57"/>
      <c r="P427" s="57"/>
      <c r="AO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>
      <c r="O428" s="57"/>
      <c r="P428" s="57"/>
      <c r="AO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>
      <c r="O429" s="57"/>
      <c r="P429" s="57"/>
      <c r="AO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>
      <c r="O430" s="57"/>
      <c r="P430" s="57"/>
      <c r="AO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>
      <c r="O431" s="57"/>
      <c r="P431" s="57"/>
      <c r="AO431" s="57"/>
      <c r="A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>
      <c r="O432" s="57"/>
      <c r="P432" s="57"/>
      <c r="A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>
      <c r="O434" s="57"/>
      <c r="P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>
      <c r="O435" s="57"/>
      <c r="P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>
      <c r="O436" s="57"/>
      <c r="P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>
      <c r="O437" s="57"/>
      <c r="P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>
      <c r="O438" s="57"/>
      <c r="P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>
      <c r="O439" s="57"/>
      <c r="P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>
      <c r="O440" s="57"/>
      <c r="P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>
      <c r="O441" s="57"/>
      <c r="P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>
      <c r="O442" s="57"/>
      <c r="P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>
      <c r="O443" s="57"/>
      <c r="P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>
      <c r="O445" s="57"/>
      <c r="P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>
      <c r="O446" s="57"/>
      <c r="P446" s="57"/>
      <c r="AP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>
      <c r="O447" s="57"/>
      <c r="P447" s="57"/>
      <c r="AP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>
      <c r="O448" s="57"/>
      <c r="P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P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P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P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AO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AO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AO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A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A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A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A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A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A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AO473" s="57"/>
      <c r="A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AO474" s="57"/>
      <c r="A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AO475" s="57"/>
      <c r="A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AO476" s="57"/>
      <c r="A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AO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AO478" s="57"/>
      <c r="A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AO479" s="57"/>
      <c r="A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AO480" s="57"/>
      <c r="A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AO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A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A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A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A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A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P503" s="57"/>
      <c r="BA503" s="57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P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P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P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P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A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A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A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A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A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A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A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P532" s="57"/>
      <c r="BA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A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A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P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P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P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P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P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A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A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A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A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A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A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P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P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A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A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O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O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AO633" s="57"/>
      <c r="A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O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O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AO636" s="57"/>
      <c r="A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O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O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AO640" s="57"/>
      <c r="A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P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P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A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O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A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AP663" s="57"/>
      <c r="BA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A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P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A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A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A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P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A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A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A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A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O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P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P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P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P720" s="57"/>
      <c r="BA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P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A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P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P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P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A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A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BA812" s="57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AP813" s="57"/>
      <c r="BA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AP821" s="57"/>
      <c r="BA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P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P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A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A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A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A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AP846" s="57"/>
      <c r="BA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A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A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AP888" s="57"/>
      <c r="BA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P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A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A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A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P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P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P934" s="57"/>
      <c r="BA934" s="57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P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P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P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A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P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A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sortState xmlns:xlrd2="http://schemas.microsoft.com/office/spreadsheetml/2017/richdata2" ref="A2:BI5978">
      <sortCondition descending="1" ref="BC1:BC5978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2026-09-03T04:36:38Z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